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LC\SSP2-45\NOAK\"/>
    </mc:Choice>
  </mc:AlternateContent>
  <xr:revisionPtr revIDLastSave="0" documentId="13_ncr:1_{833D5560-3846-4D48-9851-579D4E514A5A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<sst xmlns="http://schemas.openxmlformats.org/spreadsheetml/2006/main" count="1079" uniqueCount="55">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</sst>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3889.2453601553857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1178.0991866502491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818.35446895156792</v>
      </c>
      <c r="N19" s="2">
        <f>N8/'Output-Calculation-sheet'!N7*'Output-Calculation-sheet'!N25</f>
        <v>680.77421254423825</v>
      </c>
      <c r="O19" s="2">
        <f>O8/'Output-Calculation-sheet'!O7*'Output-Calculation-sheet'!O25</f>
        <v>427.25940405498068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88.568717886911315</v>
      </c>
      <c r="Y19" s="2">
        <f>Y8/'Output-Calculation-sheet'!Y7*'Output-Calculation-sheet'!Y25</f>
        <v>0</v>
      </c>
      <c r="AA19" s="2">
        <f t="shared" si="0"/>
        <v>8.2237654399564146</v>
      </c>
    </row>
    <row r="20" spans="1:27" x14ac:dyDescent="0.25">
      <c r="A20" s="2">
        <v>2032</v>
      </c>
      <c r="B20" s="2">
        <f>B9/'Output-Calculation-sheet'!B8*'Output-Calculation-sheet'!B26</f>
        <v>3743.0711409735013</v>
      </c>
      <c r="C20" s="2">
        <f>C9/'Output-Calculation-sheet'!C8*'Output-Calculation-sheet'!C26</f>
        <v>2052.6088317160475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1232.1912167934631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861.06372617706279</v>
      </c>
      <c r="N20" s="2">
        <f>N9/'Output-Calculation-sheet'!N8*'Output-Calculation-sheet'!N26</f>
        <v>596.74062609824898</v>
      </c>
      <c r="O20" s="2">
        <f>O9/'Output-Calculation-sheet'!O8*'Output-Calculation-sheet'!O26</f>
        <v>401.04172655159897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283.06583225245538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93.696309183930339</v>
      </c>
      <c r="Y20" s="2">
        <f>Y9/'Output-Calculation-sheet'!Y8*'Output-Calculation-sheet'!Y26</f>
        <v>0</v>
      </c>
      <c r="AA20" s="2">
        <f t="shared" si="0"/>
        <v>9.2634794097463082</v>
      </c>
    </row>
    <row r="21" spans="1:27" x14ac:dyDescent="0.25">
      <c r="A21" s="2">
        <v>2033</v>
      </c>
      <c r="B21" s="2">
        <f>B10/'Output-Calculation-sheet'!B9*'Output-Calculation-sheet'!B27</f>
        <v>3304.8246611419254</v>
      </c>
      <c r="C21" s="2">
        <f>C10/'Output-Calculation-sheet'!C9*'Output-Calculation-sheet'!C27</f>
        <v>2031.2850976054201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666.01124245075641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471.40825155034173</v>
      </c>
      <c r="N21" s="2">
        <f>N10/'Output-Calculation-sheet'!N9*'Output-Calculation-sheet'!N27</f>
        <v>477.39385970358813</v>
      </c>
      <c r="O21" s="2">
        <f>O10/'Output-Calculation-sheet'!O9*'Output-Calculation-sheet'!O27</f>
        <v>397.68207282920827</v>
      </c>
      <c r="P21" s="2">
        <f>P10/'Output-Calculation-sheet'!P9*'Output-Calculation-sheet'!P27</f>
        <v>0</v>
      </c>
      <c r="Q21" s="2">
        <f>Q10/'Output-Calculation-sheet'!Q9*'Output-Calculation-sheet'!Q27</f>
        <v>5.7821071975958578</v>
      </c>
      <c r="R21" s="2">
        <f>R10/'Output-Calculation-sheet'!R9*'Output-Calculation-sheet'!R27</f>
        <v>0</v>
      </c>
      <c r="S21" s="2">
        <f>S10/'Output-Calculation-sheet'!S9*'Output-Calculation-sheet'!S27</f>
        <v>227.31728078138784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47.072139900692072</v>
      </c>
      <c r="Y21" s="2">
        <f>Y10/'Output-Calculation-sheet'!Y9*'Output-Calculation-sheet'!Y27</f>
        <v>0</v>
      </c>
      <c r="AA21" s="2">
        <f t="shared" si="0"/>
        <v>7.6287767131609163</v>
      </c>
    </row>
    <row r="22" spans="1:27" x14ac:dyDescent="0.25">
      <c r="A22" s="2">
        <v>2034</v>
      </c>
      <c r="B22" s="2">
        <f>B11/'Output-Calculation-sheet'!B10*'Output-Calculation-sheet'!B28</f>
        <v>2735.4093711522787</v>
      </c>
      <c r="C22" s="2">
        <f>C11/'Output-Calculation-sheet'!C10*'Output-Calculation-sheet'!C28</f>
        <v>278.02506125673557</v>
      </c>
      <c r="D22" s="2">
        <f>D11/'Output-Calculation-sheet'!D10*'Output-Calculation-sheet'!D28</f>
        <v>0</v>
      </c>
      <c r="E22" s="2">
        <f>E11/'Output-Calculation-sheet'!E10*'Output-Calculation-sheet'!E28</f>
        <v>923.19343506968573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732.06176862722566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559.88720110007011</v>
      </c>
      <c r="M22" s="2">
        <f>M11/'Output-Calculation-sheet'!M10*'Output-Calculation-sheet'!M28</f>
        <v>521.00557034494841</v>
      </c>
      <c r="N22" s="2">
        <f>N11/'Output-Calculation-sheet'!N10*'Output-Calculation-sheet'!N28</f>
        <v>348.29519620706571</v>
      </c>
      <c r="O22" s="2">
        <f>O11/'Output-Calculation-sheet'!O10*'Output-Calculation-sheet'!O28</f>
        <v>54.535262812987703</v>
      </c>
      <c r="P22" s="2">
        <f>P11/'Output-Calculation-sheet'!P10*'Output-Calculation-sheet'!P28</f>
        <v>0</v>
      </c>
      <c r="Q22" s="2">
        <f>Q11/'Output-Calculation-sheet'!Q10*'Output-Calculation-sheet'!Q28</f>
        <v>177.89024391238121</v>
      </c>
      <c r="R22" s="2">
        <f>R11/'Output-Calculation-sheet'!R10*'Output-Calculation-sheet'!R28</f>
        <v>0</v>
      </c>
      <c r="S22" s="2">
        <f>S11/'Output-Calculation-sheet'!S10*'Output-Calculation-sheet'!S28</f>
        <v>130.41277117030009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51.192424816994581</v>
      </c>
      <c r="Y22" s="2">
        <f>Y11/'Output-Calculation-sheet'!Y10*'Output-Calculation-sheet'!Y28</f>
        <v>20.867478276216001</v>
      </c>
      <c r="AA22" s="2">
        <f t="shared" si="0"/>
        <v>6.5327757847468906</v>
      </c>
    </row>
    <row r="23" spans="1:27" x14ac:dyDescent="0.25">
      <c r="A23" s="2">
        <v>2035</v>
      </c>
      <c r="B23" s="2">
        <f>B12/'Output-Calculation-sheet'!B11*'Output-Calculation-sheet'!B29</f>
        <v>622.97337006706414</v>
      </c>
      <c r="C23" s="2">
        <f>C12/'Output-Calculation-sheet'!C11*'Output-Calculation-sheet'!C29</f>
        <v>129.28423579231824</v>
      </c>
      <c r="D23" s="2">
        <f>D12/'Output-Calculation-sheet'!D11*'Output-Calculation-sheet'!D29</f>
        <v>0</v>
      </c>
      <c r="E23" s="2">
        <f>E12/'Output-Calculation-sheet'!E11*'Output-Calculation-sheet'!E29</f>
        <v>1593.4036771015135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224.09055767019257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918.70239906669019</v>
      </c>
      <c r="M23" s="2">
        <f>M12/'Output-Calculation-sheet'!M11*'Output-Calculation-sheet'!M29</f>
        <v>199.7086012730619</v>
      </c>
      <c r="N23" s="2">
        <f>N12/'Output-Calculation-sheet'!N11*'Output-Calculation-sheet'!N29</f>
        <v>166.27785082037809</v>
      </c>
      <c r="O23" s="2">
        <f>O12/'Output-Calculation-sheet'!O11*'Output-Calculation-sheet'!O29</f>
        <v>22.092230108181486</v>
      </c>
      <c r="P23" s="2">
        <f>P12/'Output-Calculation-sheet'!P11*'Output-Calculation-sheet'!P29</f>
        <v>34.603684396441047</v>
      </c>
      <c r="Q23" s="2">
        <f>Q12/'Output-Calculation-sheet'!Q11*'Output-Calculation-sheet'!Q29</f>
        <v>283.4462030032156</v>
      </c>
      <c r="R23" s="2">
        <f>R12/'Output-Calculation-sheet'!R11*'Output-Calculation-sheet'!R29</f>
        <v>0</v>
      </c>
      <c r="S23" s="2">
        <f>S12/'Output-Calculation-sheet'!S11*'Output-Calculation-sheet'!S29</f>
        <v>74.660132808775217</v>
      </c>
      <c r="T23" s="2">
        <f>T12/'Output-Calculation-sheet'!T11*'Output-Calculation-sheet'!T29</f>
        <v>0</v>
      </c>
      <c r="U23" s="2">
        <f>U12/'Output-Calculation-sheet'!U11*'Output-Calculation-sheet'!U29</f>
        <v>100.52021722450563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6.5375560775652088</v>
      </c>
      <c r="Y23" s="2">
        <f>Y12/'Output-Calculation-sheet'!Y11*'Output-Calculation-sheet'!Y29</f>
        <v>41.585716957815684</v>
      </c>
      <c r="AA23" s="2">
        <f t="shared" si="0"/>
        <v>4.4178864323677187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776.06820184809783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30.42765828781345</v>
      </c>
    </row>
    <row r="31" spans="1:27" x14ac:dyDescent="0.25">
      <c r="A31" s="2">
        <v>2032</v>
      </c>
      <c r="B31" s="2">
        <f>B9/'Output-Calculation-sheet'!B8*'Output-Calculation-sheet'!B17</f>
        <v>15737.42103418192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615.34974840394977</v>
      </c>
      <c r="O31" s="2">
        <f>O9/'Output-Calculation-sheet'!O8*'Output-Calculation-sheet'!O17</f>
        <v>0</v>
      </c>
      <c r="P31" s="2">
        <f>P9/'Output-Calculation-sheet'!P8*'Output-Calculation-sheet'!P17</f>
        <v>1538.0821383490488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509.30515847453813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36.056414380456452</v>
      </c>
    </row>
    <row r="32" spans="1:27" x14ac:dyDescent="0.25">
      <c r="A32" s="2">
        <v>2033</v>
      </c>
      <c r="B32" s="2">
        <f>B10/'Output-Calculation-sheet'!B9*'Output-Calculation-sheet'!B18</f>
        <v>11954.424542903938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1871.3725627250756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483.85762162562304</v>
      </c>
      <c r="O32" s="2">
        <f>O10/'Output-Calculation-sheet'!O9*'Output-Calculation-sheet'!O18</f>
        <v>0</v>
      </c>
      <c r="P32" s="2">
        <f>P10/'Output-Calculation-sheet'!P9*'Output-Calculation-sheet'!P18</f>
        <v>1926.2128909989219</v>
      </c>
      <c r="Q32" s="2">
        <f>Q10/'Output-Calculation-sheet'!Q9*'Output-Calculation-sheet'!Q18</f>
        <v>1783.3750588164628</v>
      </c>
      <c r="R32" s="2">
        <f>R10/'Output-Calculation-sheet'!R9*'Output-Calculation-sheet'!R18</f>
        <v>1383.5042991654973</v>
      </c>
      <c r="S32" s="2">
        <f>S10/'Output-Calculation-sheet'!S9*'Output-Calculation-sheet'!S18</f>
        <v>440.16741644148362</v>
      </c>
      <c r="T32" s="2">
        <f>T10/'Output-Calculation-sheet'!T9*'Output-Calculation-sheet'!T18</f>
        <v>403.85103142453681</v>
      </c>
      <c r="U32" s="2">
        <f>U10/'Output-Calculation-sheet'!U9*'Output-Calculation-sheet'!U18</f>
        <v>446.45184749222648</v>
      </c>
      <c r="V32" s="2">
        <f>V10/'Output-Calculation-sheet'!V9*'Output-Calculation-sheet'!V18</f>
        <v>329.53788333409852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190.80457633321774</v>
      </c>
      <c r="AA32" s="2">
        <f t="shared" si="1"/>
        <v>38.004089746418302</v>
      </c>
    </row>
    <row r="33" spans="1:27" x14ac:dyDescent="0.25">
      <c r="A33" s="2">
        <v>2034</v>
      </c>
      <c r="B33" s="2">
        <f>B11/'Output-Calculation-sheet'!B10*'Output-Calculation-sheet'!B19</f>
        <v>8359.4728239071155</v>
      </c>
      <c r="C33" s="2">
        <f>C11/'Output-Calculation-sheet'!C10*'Output-Calculation-sheet'!C19</f>
        <v>0</v>
      </c>
      <c r="D33" s="2">
        <f>D11/'Output-Calculation-sheet'!D10*'Output-Calculation-sheet'!D19</f>
        <v>5540.8199053387098</v>
      </c>
      <c r="E33" s="2">
        <f>E11/'Output-Calculation-sheet'!E10*'Output-Calculation-sheet'!E19</f>
        <v>6869.2176903474847</v>
      </c>
      <c r="F33" s="2">
        <f>F11/'Output-Calculation-sheet'!F10*'Output-Calculation-sheet'!F19</f>
        <v>3145.3048790941684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2058.2099898727147</v>
      </c>
      <c r="J33" s="2">
        <f>J11/'Output-Calculation-sheet'!J10*'Output-Calculation-sheet'!J19</f>
        <v>1740.2912218053873</v>
      </c>
      <c r="K33" s="2">
        <f>K11/'Output-Calculation-sheet'!K10*'Output-Calculation-sheet'!K19</f>
        <v>2413.725307140568</v>
      </c>
      <c r="L33" s="2">
        <f>L11/'Output-Calculation-sheet'!L10*'Output-Calculation-sheet'!L19</f>
        <v>1963.3927697930733</v>
      </c>
      <c r="M33" s="2">
        <f>M11/'Output-Calculation-sheet'!M10*'Output-Calculation-sheet'!M19</f>
        <v>0</v>
      </c>
      <c r="N33" s="2">
        <f>N11/'Output-Calculation-sheet'!N10*'Output-Calculation-sheet'!N19</f>
        <v>372.6840792210586</v>
      </c>
      <c r="O33" s="2">
        <f>O11/'Output-Calculation-sheet'!O10*'Output-Calculation-sheet'!O19</f>
        <v>0</v>
      </c>
      <c r="P33" s="2">
        <f>P11/'Output-Calculation-sheet'!P10*'Output-Calculation-sheet'!P19</f>
        <v>1850.902900290693</v>
      </c>
      <c r="Q33" s="2">
        <f>Q11/'Output-Calculation-sheet'!Q10*'Output-Calculation-sheet'!Q19</f>
        <v>1176.4330770460224</v>
      </c>
      <c r="R33" s="2">
        <f>R11/'Output-Calculation-sheet'!R10*'Output-Calculation-sheet'!R19</f>
        <v>1743.7332562517506</v>
      </c>
      <c r="S33" s="2">
        <f>S11/'Output-Calculation-sheet'!S10*'Output-Calculation-sheet'!S19</f>
        <v>236.9149171728144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588.45770092393821</v>
      </c>
      <c r="V33" s="2">
        <f>V11/'Output-Calculation-sheet'!V10*'Output-Calculation-sheet'!V19</f>
        <v>401.29362492396081</v>
      </c>
      <c r="W33" s="2">
        <f>W11/'Output-Calculation-sheet'!W10*'Output-Calculation-sheet'!W19</f>
        <v>249.86460583979428</v>
      </c>
      <c r="X33" s="2">
        <f>X11/'Output-Calculation-sheet'!X10*'Output-Calculation-sheet'!X19</f>
        <v>0</v>
      </c>
      <c r="Y33" s="2">
        <f>Y11/'Output-Calculation-sheet'!Y10*'Output-Calculation-sheet'!Y19</f>
        <v>204.57293198433422</v>
      </c>
      <c r="AA33" s="2">
        <f t="shared" si="1"/>
        <v>41.313089461872451</v>
      </c>
    </row>
    <row r="34" spans="1:27" x14ac:dyDescent="0.25">
      <c r="A34" s="2">
        <v>2035</v>
      </c>
      <c r="B34" s="2">
        <f>B12/'Output-Calculation-sheet'!B11*'Output-Calculation-sheet'!B20</f>
        <v>124.01841802143589</v>
      </c>
      <c r="C34" s="2">
        <f>C12/'Output-Calculation-sheet'!C11*'Output-Calculation-sheet'!C20</f>
        <v>0</v>
      </c>
      <c r="D34" s="2">
        <f>D12/'Output-Calculation-sheet'!D11*'Output-Calculation-sheet'!D20</f>
        <v>6116.9992402869893</v>
      </c>
      <c r="E34" s="2">
        <f>E12/'Output-Calculation-sheet'!E11*'Output-Calculation-sheet'!E20</f>
        <v>2857.8513355771333</v>
      </c>
      <c r="F34" s="2">
        <f>F12/'Output-Calculation-sheet'!F11*'Output-Calculation-sheet'!F20</f>
        <v>3882.6304323880936</v>
      </c>
      <c r="G34" s="2">
        <f>G12/'Output-Calculation-sheet'!G11*'Output-Calculation-sheet'!G20</f>
        <v>2085.1369291059532</v>
      </c>
      <c r="H34" s="2">
        <f>H12/'Output-Calculation-sheet'!H11*'Output-Calculation-sheet'!H20</f>
        <v>0</v>
      </c>
      <c r="I34" s="2">
        <f>I12/'Output-Calculation-sheet'!I11*'Output-Calculation-sheet'!I20</f>
        <v>2316.631397030515</v>
      </c>
      <c r="J34" s="2">
        <f>J12/'Output-Calculation-sheet'!J11*'Output-Calculation-sheet'!J20</f>
        <v>2006.076498754896</v>
      </c>
      <c r="K34" s="2">
        <f>K12/'Output-Calculation-sheet'!K11*'Output-Calculation-sheet'!K20</f>
        <v>2826.4230298256002</v>
      </c>
      <c r="L34" s="2">
        <f>L12/'Output-Calculation-sheet'!L11*'Output-Calculation-sheet'!L20</f>
        <v>1565.2031771254594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622.33897946983564</v>
      </c>
      <c r="Q34" s="2">
        <f>Q12/'Output-Calculation-sheet'!Q11*'Output-Calculation-sheet'!Q20</f>
        <v>588.79750324316319</v>
      </c>
      <c r="R34" s="2">
        <f>R12/'Output-Calculation-sheet'!R11*'Output-Calculation-sheet'!R20</f>
        <v>2086.6441907773146</v>
      </c>
      <c r="S34" s="2">
        <f>S12/'Output-Calculation-sheet'!S11*'Output-Calculation-sheet'!S20</f>
        <v>1.6697837237187396</v>
      </c>
      <c r="T34" s="2">
        <f>T12/'Output-Calculation-sheet'!T11*'Output-Calculation-sheet'!T20</f>
        <v>622.35030992241389</v>
      </c>
      <c r="U34" s="2">
        <f>U12/'Output-Calculation-sheet'!U11*'Output-Calculation-sheet'!U20</f>
        <v>566.42922795616369</v>
      </c>
      <c r="V34" s="2">
        <f>V12/'Output-Calculation-sheet'!V11*'Output-Calculation-sheet'!V20</f>
        <v>546.68576897406649</v>
      </c>
      <c r="W34" s="2">
        <f>W12/'Output-Calculation-sheet'!W11*'Output-Calculation-sheet'!W20</f>
        <v>332.51863437315899</v>
      </c>
      <c r="X34" s="2">
        <f>X12/'Output-Calculation-sheet'!X11*'Output-Calculation-sheet'!X20</f>
        <v>0</v>
      </c>
      <c r="Y34" s="2">
        <f>Y12/'Output-Calculation-sheet'!Y11*'Output-Calculation-sheet'!Y20</f>
        <v>71.526339412215009</v>
      </c>
      <c r="AA34" s="2">
        <f t="shared" si="1"/>
        <v>29.21993119596813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0.10435638870295391</v>
      </c>
      <c r="E45" s="2">
        <f>E12/'Output-Calculation-sheet'!E11*'Output-Calculation-sheet'!E38*0.0114</f>
        <v>5.5290393912837937E-2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9.1412450026971837E-3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0.59145922878131951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0.10034113892750149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122.63551267470004</v>
      </c>
      <c r="R54" s="2">
        <f>R10/'Output-Calculation-sheet'!R9*'Output-Calculation-sheet'!R45</f>
        <v>917.42290397289764</v>
      </c>
      <c r="S54" s="2">
        <f>S10/'Output-Calculation-sheet'!S9*'Output-Calculation-sheet'!S45</f>
        <v>0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11.442799046017123</v>
      </c>
      <c r="AA54" s="2">
        <f t="shared" si="3"/>
        <v>3.0202301095116826</v>
      </c>
    </row>
    <row r="55" spans="1:27" x14ac:dyDescent="0.25">
      <c r="A55" s="2">
        <v>2034</v>
      </c>
      <c r="B55" s="2">
        <f>B11/'Output-Calculation-sheet'!B10*'Output-Calculation-sheet'!B46</f>
        <v>1023.4702621016199</v>
      </c>
      <c r="C55" s="2">
        <f>C11/'Output-Calculation-sheet'!C10*'Output-Calculation-sheet'!C46</f>
        <v>0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371.18075212017158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275.1114205238452</v>
      </c>
      <c r="N55" s="2">
        <f>N11/'Output-Calculation-sheet'!N10*'Output-Calculation-sheet'!N46</f>
        <v>93.955114684107414</v>
      </c>
      <c r="O55" s="2">
        <f>O11/'Output-Calculation-sheet'!O10*'Output-Calculation-sheet'!O46</f>
        <v>0</v>
      </c>
      <c r="P55" s="2">
        <f>P11/'Output-Calculation-sheet'!P10*'Output-Calculation-sheet'!P46</f>
        <v>2003.6429046951364</v>
      </c>
      <c r="Q55" s="2">
        <f>Q11/'Output-Calculation-sheet'!Q10*'Output-Calculation-sheet'!Q46</f>
        <v>437.98770000575684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0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51.67448429003143</v>
      </c>
      <c r="X55" s="2">
        <f>X11/'Output-Calculation-sheet'!X10*'Output-Calculation-sheet'!X46</f>
        <v>26.257657203134166</v>
      </c>
      <c r="Y55" s="2">
        <f>Y11/'Output-Calculation-sheet'!Y10*'Output-Calculation-sheet'!Y46</f>
        <v>182.6272268867736</v>
      </c>
      <c r="AA55" s="2">
        <f t="shared" si="3"/>
        <v>27.233016888976632</v>
      </c>
    </row>
    <row r="56" spans="1:27" x14ac:dyDescent="0.25">
      <c r="A56" s="2">
        <v>2035</v>
      </c>
      <c r="B56" s="2">
        <f>B12/'Output-Calculation-sheet'!B11*'Output-Calculation-sheet'!B47</f>
        <v>304.82054991223708</v>
      </c>
      <c r="C56" s="2">
        <f>C12/'Output-Calculation-sheet'!C11*'Output-Calculation-sheet'!C47</f>
        <v>248.01409402768076</v>
      </c>
      <c r="D56" s="2">
        <f>D12/'Output-Calculation-sheet'!D11*'Output-Calculation-sheet'!D47</f>
        <v>10081.681528495898</v>
      </c>
      <c r="E56" s="2">
        <f>E12/'Output-Calculation-sheet'!E11*'Output-Calculation-sheet'!E47</f>
        <v>7008.2999301798955</v>
      </c>
      <c r="F56" s="2">
        <f>F12/'Output-Calculation-sheet'!F11*'Output-Calculation-sheet'!F47</f>
        <v>2092.5319128636133</v>
      </c>
      <c r="G56" s="2">
        <f>G12/'Output-Calculation-sheet'!G11*'Output-Calculation-sheet'!G47</f>
        <v>4679.3744770473677</v>
      </c>
      <c r="H56" s="2">
        <f>H12/'Output-Calculation-sheet'!H11*'Output-Calculation-sheet'!H47</f>
        <v>93.312303686489784</v>
      </c>
      <c r="I56" s="2">
        <f>I12/'Output-Calculation-sheet'!I11*'Output-Calculation-sheet'!I47</f>
        <v>2749.7546782202057</v>
      </c>
      <c r="J56" s="2">
        <f>J12/'Output-Calculation-sheet'!J11*'Output-Calculation-sheet'!J47</f>
        <v>2913.292277990176</v>
      </c>
      <c r="K56" s="2">
        <f>K12/'Output-Calculation-sheet'!K11*'Output-Calculation-sheet'!K47</f>
        <v>4026.2794701205762</v>
      </c>
      <c r="L56" s="2">
        <f>L12/'Output-Calculation-sheet'!L11*'Output-Calculation-sheet'!L47</f>
        <v>2695.2407665519427</v>
      </c>
      <c r="M56" s="2">
        <f>M12/'Output-Calculation-sheet'!M11*'Output-Calculation-sheet'!M47</f>
        <v>62.019038793651177</v>
      </c>
      <c r="N56" s="2">
        <f>N12/'Output-Calculation-sheet'!N11*'Output-Calculation-sheet'!N47</f>
        <v>68.125793341711201</v>
      </c>
      <c r="O56" s="2">
        <f>O12/'Output-Calculation-sheet'!O11*'Output-Calculation-sheet'!O47</f>
        <v>45.505456861125651</v>
      </c>
      <c r="P56" s="2">
        <f>P12/'Output-Calculation-sheet'!P11*'Output-Calculation-sheet'!P47</f>
        <v>877.79529847576032</v>
      </c>
      <c r="Q56" s="2">
        <f>Q12/'Output-Calculation-sheet'!Q11*'Output-Calculation-sheet'!Q47</f>
        <v>648.40696272106891</v>
      </c>
      <c r="R56" s="2">
        <f>R12/'Output-Calculation-sheet'!R11*'Output-Calculation-sheet'!R47</f>
        <v>3661.8363304257155</v>
      </c>
      <c r="S56" s="2">
        <f>S12/'Output-Calculation-sheet'!S11*'Output-Calculation-sheet'!S47</f>
        <v>30.419496690100129</v>
      </c>
      <c r="T56" s="2">
        <f>T12/'Output-Calculation-sheet'!T11*'Output-Calculation-sheet'!T47</f>
        <v>1329.615272904703</v>
      </c>
      <c r="U56" s="2">
        <f>U12/'Output-Calculation-sheet'!U11*'Output-Calculation-sheet'!U47</f>
        <v>1239.0797228436686</v>
      </c>
      <c r="V56" s="2">
        <f>V12/'Output-Calculation-sheet'!V11*'Output-Calculation-sheet'!V47</f>
        <v>762.68154023101545</v>
      </c>
      <c r="W56" s="2">
        <f>W12/'Output-Calculation-sheet'!W11*'Output-Calculation-sheet'!W47</f>
        <v>451.08416673209825</v>
      </c>
      <c r="X56" s="2">
        <f>X12/'Output-Calculation-sheet'!X11*'Output-Calculation-sheet'!X47</f>
        <v>6.9637026635507757</v>
      </c>
      <c r="Y56" s="2">
        <f>Y12/'Output-Calculation-sheet'!Y11*'Output-Calculation-sheet'!Y47</f>
        <v>149.30994743369476</v>
      </c>
      <c r="AA56" s="2">
        <f t="shared" si="3"/>
        <v>46.225444719213947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5.6116038644282495</v>
      </c>
      <c r="C63" s="2">
        <f>C8*'Output-Calculation-sheet'!C52/10^9</f>
        <v>2.9980073917848906</v>
      </c>
      <c r="D63" s="2">
        <f>D8*'Output-Calculation-sheet'!D52/10^9</f>
        <v>1.9243392230108394</v>
      </c>
      <c r="E63" s="2">
        <f>E8*'Output-Calculation-sheet'!E52/10^9</f>
        <v>1.9133093691004135</v>
      </c>
      <c r="F63" s="2">
        <f>F8*'Output-Calculation-sheet'!F52/10^9</f>
        <v>0.81028635964155082</v>
      </c>
      <c r="G63" s="2">
        <f>G8*'Output-Calculation-sheet'!G52/10^9</f>
        <v>0.58255928697040749</v>
      </c>
      <c r="H63" s="2">
        <f>H8*'Output-Calculation-sheet'!H52/10^9</f>
        <v>0.94747671526102983</v>
      </c>
      <c r="I63" s="2">
        <f>I8*'Output-Calculation-sheet'!I52/10^9</f>
        <v>0.54191538528642691</v>
      </c>
      <c r="J63" s="2">
        <f>J8*'Output-Calculation-sheet'!J52/10^9</f>
        <v>0.7457123022257055</v>
      </c>
      <c r="K63" s="2">
        <f>K8*'Output-Calculation-sheet'!K52/10^9</f>
        <v>0.6551745826890556</v>
      </c>
      <c r="L63" s="2">
        <f>L8*'Output-Calculation-sheet'!L52/10^9</f>
        <v>0.88124133691699424</v>
      </c>
      <c r="M63" s="2">
        <f>M8*'Output-Calculation-sheet'!M52/10^9</f>
        <v>0.77620415714348534</v>
      </c>
      <c r="N63" s="2">
        <f>N8*'Output-Calculation-sheet'!N52/10^9</f>
        <v>0.68488765024270037</v>
      </c>
      <c r="O63" s="2">
        <f>O8*'Output-Calculation-sheet'!O52/10^9</f>
        <v>0.61336643161907056</v>
      </c>
      <c r="P63" s="2">
        <f>P8*'Output-Calculation-sheet'!P52/10^9</f>
        <v>0.45270796330726731</v>
      </c>
      <c r="Q63" s="2">
        <f>Q8*'Output-Calculation-sheet'!Q52/10^9</f>
        <v>0.51233275024873171</v>
      </c>
      <c r="R63" s="2">
        <f>R8*'Output-Calculation-sheet'!R52/10^9</f>
        <v>0.45997311154048232</v>
      </c>
      <c r="S63" s="2">
        <f>S8*'Output-Calculation-sheet'!S52/10^9</f>
        <v>0.34085637330813484</v>
      </c>
      <c r="T63" s="2">
        <f>T8*'Output-Calculation-sheet'!T52/10^9</f>
        <v>0.1748752063107154</v>
      </c>
      <c r="U63" s="2">
        <f>U8*'Output-Calculation-sheet'!U52/10^9</f>
        <v>0.12010241779043568</v>
      </c>
      <c r="V63" s="2">
        <f>V8*'Output-Calculation-sheet'!V52/10^9</f>
        <v>0.21315340915134098</v>
      </c>
      <c r="W63" s="2">
        <f>W8*'Output-Calculation-sheet'!W52/10^9</f>
        <v>7.7151547774583801E-2</v>
      </c>
      <c r="X63" s="2">
        <f>X8*'Output-Calculation-sheet'!X52/10^9</f>
        <v>7.9495524767183121E-2</v>
      </c>
      <c r="Y63" s="2">
        <f>Y8*'Output-Calculation-sheet'!Y52/10^9</f>
        <v>5.0339238755217168E-2</v>
      </c>
      <c r="AA63" s="2">
        <f t="shared" si="4"/>
        <v>22.167071599274912</v>
      </c>
    </row>
    <row r="64" spans="1:27" x14ac:dyDescent="0.25">
      <c r="A64" s="2">
        <v>2032</v>
      </c>
      <c r="B64" s="2">
        <f>B9*'Output-Calculation-sheet'!B53/10^9</f>
        <v>5.3665122488082</v>
      </c>
      <c r="C64" s="2">
        <f>C9*'Output-Calculation-sheet'!C53/10^9</f>
        <v>2.8449538863859747</v>
      </c>
      <c r="D64" s="2">
        <f>D9*'Output-Calculation-sheet'!D53/10^9</f>
        <v>1.5893860347804516</v>
      </c>
      <c r="E64" s="2">
        <f>E9*'Output-Calculation-sheet'!E53/10^9</f>
        <v>1.6276012292636879</v>
      </c>
      <c r="F64" s="2">
        <f>F9*'Output-Calculation-sheet'!F53/10^9</f>
        <v>0.68651199260575502</v>
      </c>
      <c r="G64" s="2">
        <f>G9*'Output-Calculation-sheet'!G53/10^9</f>
        <v>0.48863823517908089</v>
      </c>
      <c r="H64" s="2">
        <f>H9*'Output-Calculation-sheet'!H53/10^9</f>
        <v>0.89286767122173571</v>
      </c>
      <c r="I64" s="2">
        <f>I9*'Output-Calculation-sheet'!I53/10^9</f>
        <v>0.45679688864056084</v>
      </c>
      <c r="J64" s="2">
        <f>J9*'Output-Calculation-sheet'!J53/10^9</f>
        <v>0.60470626626943702</v>
      </c>
      <c r="K64" s="2">
        <f>K9*'Output-Calculation-sheet'!K53/10^9</f>
        <v>0.56108514268735565</v>
      </c>
      <c r="L64" s="2">
        <f>L9*'Output-Calculation-sheet'!L53/10^9</f>
        <v>0.72183435902377358</v>
      </c>
      <c r="M64" s="2">
        <f>M9*'Output-Calculation-sheet'!M53/10^9</f>
        <v>0.70838606854373598</v>
      </c>
      <c r="N64" s="2">
        <f>N9*'Output-Calculation-sheet'!N53/10^9</f>
        <v>0.63777634639967939</v>
      </c>
      <c r="O64" s="2">
        <f>O9*'Output-Calculation-sheet'!O53/10^9</f>
        <v>0.57612446707563547</v>
      </c>
      <c r="P64" s="2">
        <f>P9*'Output-Calculation-sheet'!P53/10^9</f>
        <v>0.42779190502629494</v>
      </c>
      <c r="Q64" s="2">
        <f>Q9*'Output-Calculation-sheet'!Q53/10^9</f>
        <v>0.47277155562732137</v>
      </c>
      <c r="R64" s="2">
        <f>R9*'Output-Calculation-sheet'!R53/10^9</f>
        <v>0.40527686902422283</v>
      </c>
      <c r="S64" s="2">
        <f>S9*'Output-Calculation-sheet'!S53/10^9</f>
        <v>0.32611495591436751</v>
      </c>
      <c r="T64" s="2">
        <f>T9*'Output-Calculation-sheet'!T53/10^9</f>
        <v>0.14568590656576547</v>
      </c>
      <c r="U64" s="2">
        <f>U9*'Output-Calculation-sheet'!U53/10^9</f>
        <v>0.10965474438459225</v>
      </c>
      <c r="V64" s="2">
        <f>V9*'Output-Calculation-sheet'!V53/10^9</f>
        <v>0.17291931951029449</v>
      </c>
      <c r="W64" s="2">
        <f>W9*'Output-Calculation-sheet'!W53/10^9</f>
        <v>6.425359128216096E-2</v>
      </c>
      <c r="X64" s="2">
        <f>X9*'Output-Calculation-sheet'!X53/10^9</f>
        <v>7.3665823143765963E-2</v>
      </c>
      <c r="Y64" s="2">
        <f>Y9*'Output-Calculation-sheet'!Y53/10^9</f>
        <v>4.5018186377112836E-2</v>
      </c>
      <c r="AA64" s="2">
        <f t="shared" si="4"/>
        <v>20.00633369374097</v>
      </c>
    </row>
    <row r="65" spans="1:27" x14ac:dyDescent="0.25">
      <c r="A65" s="2">
        <v>2033</v>
      </c>
      <c r="B65" s="2">
        <f>B10*'Output-Calculation-sheet'!B54/10^9</f>
        <v>5.1903077722380448</v>
      </c>
      <c r="C65" s="2">
        <f>C10*'Output-Calculation-sheet'!C54/10^9</f>
        <v>2.6829631044341888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0.84254096736173589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0.49085553589811554</v>
      </c>
      <c r="L65" s="2">
        <f>L10*'Output-Calculation-sheet'!L54/10^9</f>
        <v>0.57979646202074064</v>
      </c>
      <c r="M65" s="2">
        <f>M10*'Output-Calculation-sheet'!M54/10^9</f>
        <v>0.64249114496564286</v>
      </c>
      <c r="N65" s="2">
        <f>N10*'Output-Calculation-sheet'!N54/10^9</f>
        <v>0.58956435591379164</v>
      </c>
      <c r="O65" s="2">
        <f>O10*'Output-Calculation-sheet'!O54/10^9</f>
        <v>0.53767766999504241</v>
      </c>
      <c r="P65" s="2">
        <f>P10*'Output-Calculation-sheet'!P54/10^9</f>
        <v>0.41531385119247216</v>
      </c>
      <c r="Q65" s="2">
        <f>Q10*'Output-Calculation-sheet'!Q54/10^9</f>
        <v>0.45241497738968905</v>
      </c>
      <c r="R65" s="2">
        <f>R10*'Output-Calculation-sheet'!R54/10^9</f>
        <v>0.36567110748779863</v>
      </c>
      <c r="S65" s="2">
        <f>S10*'Output-Calculation-sheet'!S54/10^9</f>
        <v>0.31099434546402033</v>
      </c>
      <c r="T65" s="2">
        <f>T10*'Output-Calculation-sheet'!T54/10^9</f>
        <v>0.12224895188283991</v>
      </c>
      <c r="U65" s="2">
        <f>U10*'Output-Calculation-sheet'!U54/10^9</f>
        <v>0.10555954921757089</v>
      </c>
      <c r="V65" s="2">
        <f>V10*'Output-Calculation-sheet'!V54/10^9</f>
        <v>0.13529204539210307</v>
      </c>
      <c r="W65" s="2">
        <f>W10*'Output-Calculation-sheet'!W54/10^9</f>
        <v>5.1508793106956323E-2</v>
      </c>
      <c r="X65" s="2">
        <f>X10*'Output-Calculation-sheet'!X54/10^9</f>
        <v>6.7365650241867664E-2</v>
      </c>
      <c r="Y65" s="2">
        <f>Y10*'Output-Calculation-sheet'!Y54/10^9</f>
        <v>4.2398009044557088E-2</v>
      </c>
      <c r="AA65" s="2">
        <f t="shared" si="4"/>
        <v>18.11885047386539</v>
      </c>
    </row>
    <row r="66" spans="1:27" x14ac:dyDescent="0.25">
      <c r="A66" s="2">
        <v>2034</v>
      </c>
      <c r="B66" s="2">
        <f>B11*'Output-Calculation-sheet'!B55/10^9</f>
        <v>5.0646742059084007</v>
      </c>
      <c r="C66" s="2">
        <f>C11*'Output-Calculation-sheet'!C55/10^9</f>
        <v>2.5477314396682864</v>
      </c>
      <c r="D66" s="2">
        <f>D11*'Output-Calculation-sheet'!D55/10^9</f>
        <v>1.143017045465643</v>
      </c>
      <c r="E66" s="2">
        <f>E11*'Output-Calculation-sheet'!E55/10^9</f>
        <v>1.3841125769295499</v>
      </c>
      <c r="F66" s="2">
        <f>F11*'Output-Calculation-sheet'!F55/10^9</f>
        <v>0.5319380138622708</v>
      </c>
      <c r="G66" s="2">
        <f>G11*'Output-Calculation-sheet'!G55/10^9</f>
        <v>0.38021770364540575</v>
      </c>
      <c r="H66" s="2">
        <f>H11*'Output-Calculation-sheet'!H55/10^9</f>
        <v>0.79341674581448851</v>
      </c>
      <c r="I66" s="2">
        <f>I11*'Output-Calculation-sheet'!I55/10^9</f>
        <v>0.37180685394132756</v>
      </c>
      <c r="J66" s="2">
        <f>J11*'Output-Calculation-sheet'!J55/10^9</f>
        <v>0.38234229441129286</v>
      </c>
      <c r="K66" s="2">
        <f>K11*'Output-Calculation-sheet'!K55/10^9</f>
        <v>0.45729960111511575</v>
      </c>
      <c r="L66" s="2">
        <f>L11*'Output-Calculation-sheet'!L55/10^9</f>
        <v>0.48429623824721574</v>
      </c>
      <c r="M66" s="2">
        <f>M11*'Output-Calculation-sheet'!M55/10^9</f>
        <v>0.57834598677221472</v>
      </c>
      <c r="N66" s="2">
        <f>N11*'Output-Calculation-sheet'!N55/10^9</f>
        <v>0.54636978224454069</v>
      </c>
      <c r="O66" s="2">
        <f>O11*'Output-Calculation-sheet'!O55/10^9</f>
        <v>0.50216644386030895</v>
      </c>
      <c r="P66" s="2">
        <f>P11*'Output-Calculation-sheet'!P55/10^9</f>
        <v>0.41933545607192241</v>
      </c>
      <c r="Q66" s="2">
        <f>Q11*'Output-Calculation-sheet'!Q55/10^9</f>
        <v>0.44356170278236456</v>
      </c>
      <c r="R66" s="2">
        <f>R11*'Output-Calculation-sheet'!R55/10^9</f>
        <v>0.34256862661373222</v>
      </c>
      <c r="S66" s="2">
        <f>S11*'Output-Calculation-sheet'!S55/10^9</f>
        <v>0.29882787257599014</v>
      </c>
      <c r="T66" s="2">
        <f>T11*'Output-Calculation-sheet'!T55/10^9</f>
        <v>0.10737820965781038</v>
      </c>
      <c r="U66" s="2">
        <f>U11*'Output-Calculation-sheet'!U55/10^9</f>
        <v>0.10963166877579951</v>
      </c>
      <c r="V66" s="2">
        <f>V11*'Output-Calculation-sheet'!V55/10^9</f>
        <v>0.10186338040450081</v>
      </c>
      <c r="W66" s="2">
        <f>W11*'Output-Calculation-sheet'!W55/10^9</f>
        <v>4.6123673464691331E-2</v>
      </c>
      <c r="X66" s="2">
        <f>X11*'Output-Calculation-sheet'!X55/10^9</f>
        <v>6.1791561255902412E-2</v>
      </c>
      <c r="Y66" s="2">
        <f>Y11*'Output-Calculation-sheet'!Y55/10^9</f>
        <v>4.5093749226234887E-2</v>
      </c>
      <c r="AA66" s="2">
        <f t="shared" si="4"/>
        <v>17.143910832715015</v>
      </c>
    </row>
    <row r="67" spans="1:27" x14ac:dyDescent="0.25">
      <c r="A67" s="2">
        <v>2035</v>
      </c>
      <c r="B67" s="2">
        <f>B12*'Output-Calculation-sheet'!B56/10^9</f>
        <v>5.1360456294064738</v>
      </c>
      <c r="C67" s="2">
        <f>C12*'Output-Calculation-sheet'!C56/10^9</f>
        <v>2.402782139859629</v>
      </c>
      <c r="D67" s="2">
        <f>D12*'Output-Calculation-sheet'!D56/10^9</f>
        <v>1.3105870346327899</v>
      </c>
      <c r="E67" s="2">
        <f>E12*'Output-Calculation-sheet'!E56/10^9</f>
        <v>1.6028752360903329</v>
      </c>
      <c r="F67" s="2">
        <f>F12*'Output-Calculation-sheet'!F56/10^9</f>
        <v>0.64871308091947921</v>
      </c>
      <c r="G67" s="2">
        <f>G12*'Output-Calculation-sheet'!G56/10^9</f>
        <v>0.47615966435321738</v>
      </c>
      <c r="H67" s="2">
        <f>H12*'Output-Calculation-sheet'!H56/10^9</f>
        <v>0.75936970034427265</v>
      </c>
      <c r="I67" s="2">
        <f>I12*'Output-Calculation-sheet'!I56/10^9</f>
        <v>0.44978087783908299</v>
      </c>
      <c r="J67" s="2">
        <f>J12*'Output-Calculation-sheet'!J56/10^9</f>
        <v>0.41779745407478108</v>
      </c>
      <c r="K67" s="2">
        <f>K12*'Output-Calculation-sheet'!K56/10^9</f>
        <v>0.51336553893798975</v>
      </c>
      <c r="L67" s="2">
        <f>L12*'Output-Calculation-sheet'!L56/10^9</f>
        <v>0.49013675002958679</v>
      </c>
      <c r="M67" s="2">
        <f>M12*'Output-Calculation-sheet'!M56/10^9</f>
        <v>0.5285686649248309</v>
      </c>
      <c r="N67" s="2">
        <f>N12*'Output-Calculation-sheet'!N56/10^9</f>
        <v>0.51507272431971662</v>
      </c>
      <c r="O67" s="2">
        <f>O12*'Output-Calculation-sheet'!O56/10^9</f>
        <v>0.46703470173618605</v>
      </c>
      <c r="P67" s="2">
        <f>P12*'Output-Calculation-sheet'!P56/10^9</f>
        <v>0.45415917258058602</v>
      </c>
      <c r="Q67" s="2">
        <f>Q12*'Output-Calculation-sheet'!Q56/10^9</f>
        <v>0.45985835207222803</v>
      </c>
      <c r="R67" s="2">
        <f>R12*'Output-Calculation-sheet'!R56/10^9</f>
        <v>0.37854796588089634</v>
      </c>
      <c r="S67" s="2">
        <f>S12*'Output-Calculation-sheet'!S56/10^9</f>
        <v>0.29447313804666414</v>
      </c>
      <c r="T67" s="2">
        <f>T12*'Output-Calculation-sheet'!T56/10^9</f>
        <v>0.11600917609858291</v>
      </c>
      <c r="U67" s="2">
        <f>U12*'Output-Calculation-sheet'!U56/10^9</f>
        <v>0.12458272118909847</v>
      </c>
      <c r="V67" s="2">
        <f>V12*'Output-Calculation-sheet'!V56/10^9</f>
        <v>8.9057801519640795E-2</v>
      </c>
      <c r="W67" s="2">
        <f>W12*'Output-Calculation-sheet'!W56/10^9</f>
        <v>5.9119069311550553E-2</v>
      </c>
      <c r="X67" s="2">
        <f>X12*'Output-Calculation-sheet'!X56/10^9</f>
        <v>5.6286972173490955E-2</v>
      </c>
      <c r="Y67" s="2">
        <f>Y12*'Output-Calculation-sheet'!Y56/10^9</f>
        <v>5.2575438966119936E-2</v>
      </c>
      <c r="AA67" s="2">
        <f t="shared" si="4"/>
        <v>17.802959005307226</v>
      </c>
    </row>
    <row r="68" spans="1:27" x14ac:dyDescent="0.25">
      <c r="B68" s="2">
        <f>SUM(B60:B67)</f>
        <v>26.369143720789371</v>
      </c>
      <c r="C68" s="2">
        <f t="shared" ref="C68:Y68" si="5">SUM(C60:C67)</f>
        <v>13.47643796213297</v>
      </c>
      <c r="D68" s="2">
        <f t="shared" si="5"/>
        <v>7.2268739899784311</v>
      </c>
      <c r="E68" s="2">
        <f t="shared" si="5"/>
        <v>7.946124221771842</v>
      </c>
      <c r="F68" s="2">
        <f t="shared" si="5"/>
        <v>3.2532242581718247</v>
      </c>
      <c r="G68" s="2">
        <f t="shared" si="5"/>
        <v>2.3228967098962379</v>
      </c>
      <c r="H68" s="2">
        <f t="shared" si="5"/>
        <v>4.2356718000032627</v>
      </c>
      <c r="I68" s="2">
        <f t="shared" si="5"/>
        <v>2.2052356672869813</v>
      </c>
      <c r="J68" s="2">
        <f t="shared" si="5"/>
        <v>2.6106417426523882</v>
      </c>
      <c r="K68" s="2">
        <f t="shared" si="5"/>
        <v>2.6777804013276323</v>
      </c>
      <c r="L68" s="2">
        <f t="shared" si="5"/>
        <v>3.1573051462383113</v>
      </c>
      <c r="M68" s="2">
        <f t="shared" si="5"/>
        <v>3.2339960223499098</v>
      </c>
      <c r="N68" s="2">
        <f t="shared" si="5"/>
        <v>2.9736708591204284</v>
      </c>
      <c r="O68" s="2">
        <f t="shared" si="5"/>
        <v>2.6963697142862433</v>
      </c>
      <c r="P68" s="2">
        <f t="shared" si="5"/>
        <v>2.1693083481785429</v>
      </c>
      <c r="Q68" s="2">
        <f t="shared" si="5"/>
        <v>2.3409393381203349</v>
      </c>
      <c r="R68" s="2">
        <f t="shared" si="5"/>
        <v>1.9520376805471324</v>
      </c>
      <c r="S68" s="2">
        <f t="shared" si="5"/>
        <v>1.5712666853091768</v>
      </c>
      <c r="T68" s="2">
        <f t="shared" si="5"/>
        <v>0.666197450515714</v>
      </c>
      <c r="U68" s="2">
        <f t="shared" si="5"/>
        <v>0.56953110135749685</v>
      </c>
      <c r="V68" s="2">
        <f t="shared" si="5"/>
        <v>0.71228595597788014</v>
      </c>
      <c r="W68" s="2">
        <f t="shared" si="5"/>
        <v>0.29815667493994297</v>
      </c>
      <c r="X68" s="2">
        <f t="shared" si="5"/>
        <v>0.33860553158221013</v>
      </c>
      <c r="Y68" s="2">
        <f t="shared" si="5"/>
        <v>0.23542462236924191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35.232365469775687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3.5232365469775685E-2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326.85368214630108</v>
      </c>
      <c r="Q76" s="2">
        <f>Q10/'Output-Calculation-sheet'!Q9*'Output-Calculation-sheet'!Q63</f>
        <v>38.764142206375183</v>
      </c>
      <c r="R76" s="2">
        <f>R10/'Output-Calculation-sheet'!R9*'Output-Calculation-sheet'!R63</f>
        <v>249.42801609619093</v>
      </c>
      <c r="S76" s="2">
        <f>S10/'Output-Calculation-sheet'!S9*'Output-Calculation-sheet'!S63</f>
        <v>0</v>
      </c>
      <c r="T76" s="2">
        <f>T10/'Output-Calculation-sheet'!T9*'Output-Calculation-sheet'!T63</f>
        <v>16.345994730667467</v>
      </c>
      <c r="U76" s="2">
        <f>U10/'Output-Calculation-sheet'!U9*'Output-Calculation-sheet'!U63</f>
        <v>88.370317321511351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4.1914663640721646</v>
      </c>
      <c r="AA76" s="2">
        <f t="shared" si="6"/>
        <v>0.79257080492700338</v>
      </c>
    </row>
    <row r="77" spans="1:27" x14ac:dyDescent="0.25">
      <c r="A77" s="2">
        <v>2034</v>
      </c>
      <c r="B77" s="2">
        <f>B11/'Output-Calculation-sheet'!B10*'Output-Calculation-sheet'!B64</f>
        <v>311.63580682843156</v>
      </c>
      <c r="C77" s="2">
        <f>C11/'Output-Calculation-sheet'!C10*'Output-Calculation-sheet'!C64</f>
        <v>0</v>
      </c>
      <c r="D77" s="2">
        <f>D11/'Output-Calculation-sheet'!D10*'Output-Calculation-sheet'!D64</f>
        <v>1108.4728218274142</v>
      </c>
      <c r="E77" s="2">
        <f>E11/'Output-Calculation-sheet'!E10*'Output-Calculation-sheet'!E64</f>
        <v>1374.4751015083507</v>
      </c>
      <c r="F77" s="2">
        <f>F11/'Output-Calculation-sheet'!F10*'Output-Calculation-sheet'!F64</f>
        <v>89.430204062284389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90.882016381972065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241.793464114507</v>
      </c>
      <c r="K77" s="2">
        <f>K11/'Output-Calculation-sheet'!K10*'Output-Calculation-sheet'!K64</f>
        <v>528.35207447808489</v>
      </c>
      <c r="L77" s="2">
        <f>L11/'Output-Calculation-sheet'!L10*'Output-Calculation-sheet'!L64</f>
        <v>217.83429084310328</v>
      </c>
      <c r="M77" s="2">
        <f>M11/'Output-Calculation-sheet'!M10*'Output-Calculation-sheet'!M64</f>
        <v>65.454625929195814</v>
      </c>
      <c r="N77" s="2">
        <f>N11/'Output-Calculation-sheet'!N10*'Output-Calculation-sheet'!N64</f>
        <v>21.647688751987893</v>
      </c>
      <c r="O77" s="2">
        <f>O11/'Output-Calculation-sheet'!O10*'Output-Calculation-sheet'!O64</f>
        <v>0</v>
      </c>
      <c r="P77" s="2">
        <f>P11/'Output-Calculation-sheet'!P10*'Output-Calculation-sheet'!P64</f>
        <v>448.94985187748716</v>
      </c>
      <c r="Q77" s="2">
        <f>Q11/'Output-Calculation-sheet'!Q10*'Output-Calculation-sheet'!Q64</f>
        <v>107.69281784689612</v>
      </c>
      <c r="R77" s="2">
        <f>R11/'Output-Calculation-sheet'!R10*'Output-Calculation-sheet'!R64</f>
        <v>554.12751726412591</v>
      </c>
      <c r="S77" s="2">
        <f>S11/'Output-Calculation-sheet'!S10*'Output-Calculation-sheet'!S64</f>
        <v>0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203.71848043830352</v>
      </c>
      <c r="V77" s="2">
        <f>V11/'Output-Calculation-sheet'!V10*'Output-Calculation-sheet'!V64</f>
        <v>79.571843884387405</v>
      </c>
      <c r="W77" s="2">
        <f>W11/'Output-Calculation-sheet'!W10*'Output-Calculation-sheet'!W64</f>
        <v>17.425278686859198</v>
      </c>
      <c r="X77" s="2">
        <f>X11/'Output-Calculation-sheet'!X10*'Output-Calculation-sheet'!X64</f>
        <v>6.5251078688117765</v>
      </c>
      <c r="Y77" s="2">
        <f>Y11/'Output-Calculation-sheet'!Y10*'Output-Calculation-sheet'!Y64</f>
        <v>36.778914045466188</v>
      </c>
      <c r="AA77" s="2">
        <f t="shared" si="6"/>
        <v>6.5844020391780518</v>
      </c>
    </row>
    <row r="78" spans="1:27" x14ac:dyDescent="0.25">
      <c r="A78" s="2">
        <v>2035</v>
      </c>
      <c r="B78" s="2">
        <f>B12/'Output-Calculation-sheet'!B11*'Output-Calculation-sheet'!B65</f>
        <v>57.959450276169648</v>
      </c>
      <c r="C78" s="2">
        <f>C12/'Output-Calculation-sheet'!C11*'Output-Calculation-sheet'!C65</f>
        <v>46.423415905709078</v>
      </c>
      <c r="D78" s="2">
        <f>D12/'Output-Calculation-sheet'!D11*'Output-Calculation-sheet'!D65</f>
        <v>2215.7546515264557</v>
      </c>
      <c r="E78" s="2">
        <f>E12/'Output-Calculation-sheet'!E11*'Output-Calculation-sheet'!E65</f>
        <v>1074.4984801949756</v>
      </c>
      <c r="F78" s="2">
        <f>F12/'Output-Calculation-sheet'!F11*'Output-Calculation-sheet'!F65</f>
        <v>554.12898846745372</v>
      </c>
      <c r="G78" s="2">
        <f>G12/'Output-Calculation-sheet'!G11*'Output-Calculation-sheet'!G65</f>
        <v>1028.4334698607308</v>
      </c>
      <c r="H78" s="2">
        <f>H12/'Output-Calculation-sheet'!H11*'Output-Calculation-sheet'!H65</f>
        <v>19.491667799602901</v>
      </c>
      <c r="I78" s="2">
        <f>I12/'Output-Calculation-sheet'!I11*'Output-Calculation-sheet'!I65</f>
        <v>683.47992857362522</v>
      </c>
      <c r="J78" s="2">
        <f>J12/'Output-Calculation-sheet'!J11*'Output-Calculation-sheet'!J65</f>
        <v>710.85208493679409</v>
      </c>
      <c r="K78" s="2">
        <f>K12/'Output-Calculation-sheet'!K11*'Output-Calculation-sheet'!K65</f>
        <v>884.89610834477708</v>
      </c>
      <c r="L78" s="2">
        <f>L12/'Output-Calculation-sheet'!L11*'Output-Calculation-sheet'!L65</f>
        <v>481.03469233464881</v>
      </c>
      <c r="M78" s="2">
        <f>M12/'Output-Calculation-sheet'!M11*'Output-Calculation-sheet'!M65</f>
        <v>13.630325455343502</v>
      </c>
      <c r="N78" s="2">
        <f>N12/'Output-Calculation-sheet'!N11*'Output-Calculation-sheet'!N65</f>
        <v>14.168730787847682</v>
      </c>
      <c r="O78" s="2">
        <f>O12/'Output-Calculation-sheet'!O11*'Output-Calculation-sheet'!O65</f>
        <v>8.0899333528551178</v>
      </c>
      <c r="P78" s="2">
        <f>P12/'Output-Calculation-sheet'!P11*'Output-Calculation-sheet'!P65</f>
        <v>166.63535956649659</v>
      </c>
      <c r="Q78" s="2">
        <f>Q12/'Output-Calculation-sheet'!Q11*'Output-Calculation-sheet'!Q65</f>
        <v>124.17244656636656</v>
      </c>
      <c r="R78" s="2">
        <f>R12/'Output-Calculation-sheet'!R11*'Output-Calculation-sheet'!R65</f>
        <v>765.78300241332602</v>
      </c>
      <c r="S78" s="2">
        <f>S12/'Output-Calculation-sheet'!S11*'Output-Calculation-sheet'!S65</f>
        <v>5.8056020507335688</v>
      </c>
      <c r="T78" s="2">
        <f>T12/'Output-Calculation-sheet'!T11*'Output-Calculation-sheet'!T65</f>
        <v>277.89835163839541</v>
      </c>
      <c r="U78" s="2">
        <f>U12/'Output-Calculation-sheet'!U11*'Output-Calculation-sheet'!U65</f>
        <v>228.60128813214325</v>
      </c>
      <c r="V78" s="2">
        <f>V12/'Output-Calculation-sheet'!V11*'Output-Calculation-sheet'!V65</f>
        <v>138.56937386519101</v>
      </c>
      <c r="W78" s="2">
        <f>W12/'Output-Calculation-sheet'!W11*'Output-Calculation-sheet'!W65</f>
        <v>99.139331705527937</v>
      </c>
      <c r="X78" s="2">
        <f>X12/'Output-Calculation-sheet'!X11*'Output-Calculation-sheet'!X65</f>
        <v>1.3916199368792388</v>
      </c>
      <c r="Y78" s="2">
        <f>Y12/'Output-Calculation-sheet'!Y11*'Output-Calculation-sheet'!Y65</f>
        <v>24.388424305649206</v>
      </c>
      <c r="AA78" s="2">
        <f t="shared" si="6"/>
        <v>9.6252267279977008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48.821702317171415</v>
      </c>
      <c r="E89" s="2">
        <f>E12/'Output-Calculation-sheet'!E11*'Output-Calculation-sheet'!E74</f>
        <v>36.375259153182853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25.175581981775309</v>
      </c>
      <c r="H89" s="2">
        <f>H12/'Output-Calculation-sheet'!H11*'Output-Calculation-sheet'!H74</f>
        <v>3.1811012620394243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11.692142921699702</v>
      </c>
      <c r="K89" s="2">
        <f>K12/'Output-Calculation-sheet'!K11*'Output-Calculation-sheet'!K74</f>
        <v>16.449591682780532</v>
      </c>
      <c r="L89" s="2">
        <f>L12/'Output-Calculation-sheet'!L11*'Output-Calculation-sheet'!L74</f>
        <v>6.1552743740837972</v>
      </c>
      <c r="M89" s="2">
        <f>M12/'Output-Calculation-sheet'!M11*'Output-Calculation-sheet'!M74</f>
        <v>2.9185430020541729</v>
      </c>
      <c r="N89" s="2">
        <f>N12/'Output-Calculation-sheet'!N11*'Output-Calculation-sheet'!N74</f>
        <v>1.4342272282465516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2.6499480708702197</v>
      </c>
      <c r="Q89" s="2">
        <f>Q12/'Output-Calculation-sheet'!Q11*'Output-Calculation-sheet'!Q74</f>
        <v>3.7698079227969123</v>
      </c>
      <c r="R89" s="2">
        <f>R12/'Output-Calculation-sheet'!R11*'Output-Calculation-sheet'!R74</f>
        <v>10.592346029817451</v>
      </c>
      <c r="S89" s="2">
        <f>S12/'Output-Calculation-sheet'!S11*'Output-Calculation-sheet'!S74</f>
        <v>1.233222838787843</v>
      </c>
      <c r="T89" s="2">
        <f>T12/'Output-Calculation-sheet'!T11*'Output-Calculation-sheet'!T74</f>
        <v>2.7661898881512546</v>
      </c>
      <c r="U89" s="2">
        <f>U12/'Output-Calculation-sheet'!U11*'Output-Calculation-sheet'!U74</f>
        <v>5.6130451770947616</v>
      </c>
      <c r="V89" s="2">
        <f>V12/'Output-Calculation-sheet'!V11*'Output-Calculation-sheet'!V74</f>
        <v>0.77288360380119114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1.3903668152128843</v>
      </c>
      <c r="AA89" s="2">
        <f t="shared" si="7"/>
        <v>0.25274730619220265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1326.2611634814132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408.26432005662258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280.92558428785111</v>
      </c>
      <c r="N107" s="2">
        <f>N8/'Output-Calculation-sheet'!N7*'Output-Calculation-sheet'!N88</f>
        <v>110.44171610646126</v>
      </c>
      <c r="O107" s="2">
        <f>O8/'Output-Calculation-sheet'!O7*'Output-Calculation-sheet'!O88</f>
        <v>309.18683937196005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30.818120874412635</v>
      </c>
      <c r="Y107" s="2">
        <f>Y8/'Output-Calculation-sheet'!Y7*'Output-Calculation-sheet'!Y88</f>
        <v>0</v>
      </c>
      <c r="AA107" s="2">
        <f t="shared" si="9"/>
        <v>2.4658977441787209</v>
      </c>
    </row>
    <row r="108" spans="1:27" x14ac:dyDescent="0.25">
      <c r="A108" s="2">
        <v>2032</v>
      </c>
      <c r="B108" s="2">
        <f>B9/'Output-Calculation-sheet'!B8*'Output-Calculation-sheet'!B89</f>
        <v>560.54487186186645</v>
      </c>
      <c r="C108" s="2">
        <f>C9/'Output-Calculation-sheet'!C8*'Output-Calculation-sheet'!C89</f>
        <v>2128.3805617807416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573.28385498499074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394.47508394099685</v>
      </c>
      <c r="N108" s="2">
        <f>N9/'Output-Calculation-sheet'!N8*'Output-Calculation-sheet'!N89</f>
        <v>276.93216681592492</v>
      </c>
      <c r="O108" s="2">
        <f>O9/'Output-Calculation-sheet'!O8*'Output-Calculation-sheet'!O89</f>
        <v>413.48521505264767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126.997662550282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43.274737150251966</v>
      </c>
      <c r="Y108" s="2">
        <f>Y9/'Output-Calculation-sheet'!Y8*'Output-Calculation-sheet'!Y89</f>
        <v>0</v>
      </c>
      <c r="AA108" s="2">
        <f t="shared" si="9"/>
        <v>4.5173741541377019</v>
      </c>
    </row>
    <row r="109" spans="1:27" x14ac:dyDescent="0.25">
      <c r="A109" s="2">
        <v>2033</v>
      </c>
      <c r="B109" s="2">
        <f>B10/'Output-Calculation-sheet'!B9*'Output-Calculation-sheet'!B90</f>
        <v>2796.8511173042616</v>
      </c>
      <c r="C109" s="2">
        <f>C10/'Output-Calculation-sheet'!C9*'Output-Calculation-sheet'!C90</f>
        <v>2654.9005490376085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817.26073062832575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562.3549180967774</v>
      </c>
      <c r="N109" s="2">
        <f>N10/'Output-Calculation-sheet'!N9*'Output-Calculation-sheet'!N90</f>
        <v>442.16294769278119</v>
      </c>
      <c r="O109" s="2">
        <f>O10/'Output-Calculation-sheet'!O9*'Output-Calculation-sheet'!O90</f>
        <v>515.77342143349995</v>
      </c>
      <c r="P109" s="2">
        <f>P10/'Output-Calculation-sheet'!P9*'Output-Calculation-sheet'!P90</f>
        <v>0</v>
      </c>
      <c r="Q109" s="2">
        <f>Q10/'Output-Calculation-sheet'!Q9*'Output-Calculation-sheet'!Q90</f>
        <v>96.850610009763102</v>
      </c>
      <c r="R109" s="2">
        <f>R10/'Output-Calculation-sheet'!R9*'Output-Calculation-sheet'!R90</f>
        <v>0</v>
      </c>
      <c r="S109" s="2">
        <f>S10/'Output-Calculation-sheet'!S9*'Output-Calculation-sheet'!S90</f>
        <v>221.78018260456113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61.691504119001614</v>
      </c>
      <c r="Y109" s="2">
        <f>Y10/'Output-Calculation-sheet'!Y9*'Output-Calculation-sheet'!Y90</f>
        <v>0</v>
      </c>
      <c r="AA109" s="2">
        <f t="shared" si="9"/>
        <v>8.1696259809265808</v>
      </c>
    </row>
    <row r="110" spans="1:27" x14ac:dyDescent="0.25">
      <c r="A110" s="2">
        <v>2034</v>
      </c>
      <c r="B110" s="2">
        <f>B11/'Output-Calculation-sheet'!B10*'Output-Calculation-sheet'!B91</f>
        <v>5030.2474584143447</v>
      </c>
      <c r="C110" s="2">
        <f>C11/'Output-Calculation-sheet'!C10*'Output-Calculation-sheet'!C91</f>
        <v>3448.5704801426541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979.91718559725291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674.27838876401324</v>
      </c>
      <c r="N110" s="2">
        <f>N11/'Output-Calculation-sheet'!N10*'Output-Calculation-sheet'!N91</f>
        <v>607.48077967510665</v>
      </c>
      <c r="O110" s="2">
        <f>O11/'Output-Calculation-sheet'!O10*'Output-Calculation-sheet'!O91</f>
        <v>669.96144026657043</v>
      </c>
      <c r="P110" s="2">
        <f>P11/'Output-Calculation-sheet'!P10*'Output-Calculation-sheet'!P91</f>
        <v>153.05605521976736</v>
      </c>
      <c r="Q110" s="2">
        <f>Q11/'Output-Calculation-sheet'!Q10*'Output-Calculation-sheet'!Q91</f>
        <v>338.70210947360539</v>
      </c>
      <c r="R110" s="2">
        <f>R11/'Output-Calculation-sheet'!R10*'Output-Calculation-sheet'!R91</f>
        <v>0</v>
      </c>
      <c r="S110" s="2">
        <f>S11/'Output-Calculation-sheet'!S10*'Output-Calculation-sheet'!S91</f>
        <v>348.22895417852288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73.969741633219428</v>
      </c>
      <c r="Y110" s="2">
        <f>Y11/'Output-Calculation-sheet'!Y10*'Output-Calculation-sheet'!Y91</f>
        <v>11.89703593086427</v>
      </c>
      <c r="AA110" s="2">
        <f t="shared" si="9"/>
        <v>12.33630962929592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1680.5369728770477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236.97806340222618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612.13800437102077</v>
      </c>
      <c r="Q111" s="2">
        <f>Q12/'Output-Calculation-sheet'!Q11*'Output-Calculation-sheet'!Q92</f>
        <v>580.55042011072453</v>
      </c>
      <c r="R111" s="2">
        <f>R12/'Output-Calculation-sheet'!R11*'Output-Calculation-sheet'!R92</f>
        <v>0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65.424482915850732</v>
      </c>
      <c r="AA111" s="2">
        <f t="shared" si="9"/>
        <v>19.772635511059502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6234729615.6867876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1918298305.3149858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1332423479.1856971</v>
      </c>
      <c r="N118" s="2">
        <f>N8/'Output-Calculation-sheet'!N7*'Output-Calculation-sheet'!N97</f>
        <v>1045572523.8458887</v>
      </c>
      <c r="O118" s="2">
        <f>O8/'Output-Calculation-sheet'!O7*'Output-Calculation-sheet'!O97</f>
        <v>695735973.67404962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143609961.81567949</v>
      </c>
      <c r="Y118" s="2">
        <f>Y8/'Output-Calculation-sheet'!Y7*'Output-Calculation-sheet'!Y97</f>
        <v>0</v>
      </c>
      <c r="AA118" s="2">
        <f t="shared" si="10"/>
        <v>12812.177785639033</v>
      </c>
    </row>
    <row r="119" spans="1:27" x14ac:dyDescent="0.25">
      <c r="A119" s="2">
        <v>2032</v>
      </c>
      <c r="B119" s="2">
        <f>B9/'Output-Calculation-sheet'!B8*'Output-Calculation-sheet'!B98</f>
        <v>4205236747.9218445</v>
      </c>
      <c r="C119" s="2">
        <f>C9/'Output-Calculation-sheet'!C8*'Output-Calculation-sheet'!C98</f>
        <v>3342407106.6388516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1998098447.0534108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1394680198.7707095</v>
      </c>
      <c r="N119" s="2">
        <f>N9/'Output-Calculation-sheet'!N8*'Output-Calculation-sheet'!N98</f>
        <v>943202188.00186467</v>
      </c>
      <c r="O119" s="2">
        <f>O9/'Output-Calculation-sheet'!O8*'Output-Calculation-sheet'!O98</f>
        <v>653044586.81572139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391419495.74622416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149235781.25405174</v>
      </c>
      <c r="Y119" s="2">
        <f>Y9/'Output-Calculation-sheet'!Y8*'Output-Calculation-sheet'!Y98</f>
        <v>0</v>
      </c>
      <c r="AA119" s="2">
        <f t="shared" si="10"/>
        <v>13077.324552202679</v>
      </c>
    </row>
    <row r="120" spans="1:27" x14ac:dyDescent="0.25">
      <c r="A120" s="2">
        <v>2033</v>
      </c>
      <c r="B120" s="2">
        <f>B10/'Output-Calculation-sheet'!B9*'Output-Calculation-sheet'!B99</f>
        <v>4023643003.572876</v>
      </c>
      <c r="C120" s="2">
        <f>C10/'Output-Calculation-sheet'!C9*'Output-Calculation-sheet'!C99</f>
        <v>3307684392.9044638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1084511357.8092217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767626148.49910069</v>
      </c>
      <c r="N120" s="2">
        <f>N10/'Output-Calculation-sheet'!N9*'Output-Calculation-sheet'!N99</f>
        <v>765241938.65158868</v>
      </c>
      <c r="O120" s="2">
        <f>O10/'Output-Calculation-sheet'!O9*'Output-Calculation-sheet'!O99</f>
        <v>647573357.74388182</v>
      </c>
      <c r="P120" s="2">
        <f>P10/'Output-Calculation-sheet'!P9*'Output-Calculation-sheet'!P99</f>
        <v>0</v>
      </c>
      <c r="Q120" s="2">
        <f>Q10/'Output-Calculation-sheet'!Q9*'Output-Calculation-sheet'!Q99</f>
        <v>4862548.5386063717</v>
      </c>
      <c r="R120" s="2">
        <f>R10/'Output-Calculation-sheet'!R9*'Output-Calculation-sheet'!R99</f>
        <v>0</v>
      </c>
      <c r="S120" s="2">
        <f>S10/'Output-Calculation-sheet'!S9*'Output-Calculation-sheet'!S99</f>
        <v>320478330.12082231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76650876.655727014</v>
      </c>
      <c r="Y120" s="2">
        <f>Y10/'Output-Calculation-sheet'!Y9*'Output-Calculation-sheet'!Y99</f>
        <v>0</v>
      </c>
      <c r="AA120" s="2">
        <f t="shared" si="10"/>
        <v>10998.271954496291</v>
      </c>
    </row>
    <row r="121" spans="1:27" x14ac:dyDescent="0.25">
      <c r="A121" s="2">
        <v>2034</v>
      </c>
      <c r="B121" s="2">
        <f>B11/'Output-Calculation-sheet'!B10*'Output-Calculation-sheet'!B100</f>
        <v>3735975675.3458457</v>
      </c>
      <c r="C121" s="2">
        <f>C11/'Output-Calculation-sheet'!C10*'Output-Calculation-sheet'!C100</f>
        <v>452724956.41027993</v>
      </c>
      <c r="D121" s="2">
        <f>D11/'Output-Calculation-sheet'!D10*'Output-Calculation-sheet'!D100</f>
        <v>0</v>
      </c>
      <c r="E121" s="2">
        <f>E11/'Output-Calculation-sheet'!E10*'Output-Calculation-sheet'!E100</f>
        <v>522987642.7291919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1192067135.2461889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434272676.64348209</v>
      </c>
      <c r="M121" s="2">
        <f>M11/'Output-Calculation-sheet'!M10*'Output-Calculation-sheet'!M100</f>
        <v>848389620.2453562</v>
      </c>
      <c r="N121" s="2">
        <f>N11/'Output-Calculation-sheet'!N10*'Output-Calculation-sheet'!N100</f>
        <v>565602403.08778274</v>
      </c>
      <c r="O121" s="2">
        <f>O11/'Output-Calculation-sheet'!O10*'Output-Calculation-sheet'!O100</f>
        <v>88803489.301156119</v>
      </c>
      <c r="P121" s="2">
        <f>P11/'Output-Calculation-sheet'!P10*'Output-Calculation-sheet'!P100</f>
        <v>0</v>
      </c>
      <c r="Q121" s="2">
        <f>Q11/'Output-Calculation-sheet'!Q10*'Output-Calculation-sheet'!Q100</f>
        <v>190696199.92158827</v>
      </c>
      <c r="R121" s="2">
        <f>R11/'Output-Calculation-sheet'!R10*'Output-Calculation-sheet'!R100</f>
        <v>0</v>
      </c>
      <c r="S121" s="2">
        <f>S11/'Output-Calculation-sheet'!S10*'Output-Calculation-sheet'!S100</f>
        <v>211474551.39970699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83360216.344323218</v>
      </c>
      <c r="Y121" s="2">
        <f>Y11/'Output-Calculation-sheet'!Y10*'Output-Calculation-sheet'!Y100</f>
        <v>12101270.956126776</v>
      </c>
      <c r="AA121" s="2">
        <f t="shared" si="10"/>
        <v>8338.4558376310288</v>
      </c>
    </row>
    <row r="122" spans="1:27" x14ac:dyDescent="0.25">
      <c r="A122" s="2">
        <v>2035</v>
      </c>
      <c r="B122" s="2">
        <f>B12/'Output-Calculation-sheet'!B11*'Output-Calculation-sheet'!B101</f>
        <v>1014431903.6597139</v>
      </c>
      <c r="C122" s="2">
        <f>C12/'Output-Calculation-sheet'!C11*'Output-Calculation-sheet'!C101</f>
        <v>210524593.59207407</v>
      </c>
      <c r="D122" s="2">
        <f>D12/'Output-Calculation-sheet'!D11*'Output-Calculation-sheet'!D101</f>
        <v>0</v>
      </c>
      <c r="E122" s="2">
        <f>E12/'Output-Calculation-sheet'!E11*'Output-Calculation-sheet'!E101</f>
        <v>1739797605.0755918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364901474.850824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924971546.01669443</v>
      </c>
      <c r="M122" s="2">
        <f>M12/'Output-Calculation-sheet'!M11*'Output-Calculation-sheet'!M101</f>
        <v>325199091.78533655</v>
      </c>
      <c r="N122" s="2">
        <f>N12/'Output-Calculation-sheet'!N11*'Output-Calculation-sheet'!N101</f>
        <v>270762236.64583772</v>
      </c>
      <c r="O122" s="2">
        <f>O12/'Output-Calculation-sheet'!O11*'Output-Calculation-sheet'!O101</f>
        <v>35974405.841352388</v>
      </c>
      <c r="P122" s="2">
        <f>P12/'Output-Calculation-sheet'!P11*'Output-Calculation-sheet'!P101</f>
        <v>44278552.055005737</v>
      </c>
      <c r="Q122" s="2">
        <f>Q12/'Output-Calculation-sheet'!Q11*'Output-Calculation-sheet'!Q101</f>
        <v>411812749.3740899</v>
      </c>
      <c r="R122" s="2">
        <f>R12/'Output-Calculation-sheet'!R11*'Output-Calculation-sheet'!R101</f>
        <v>0</v>
      </c>
      <c r="S122" s="2">
        <f>S12/'Output-Calculation-sheet'!S11*'Output-Calculation-sheet'!S101</f>
        <v>121574396.04194233</v>
      </c>
      <c r="T122" s="2">
        <f>T12/'Output-Calculation-sheet'!T11*'Output-Calculation-sheet'!T101</f>
        <v>0</v>
      </c>
      <c r="U122" s="2">
        <f>U12/'Output-Calculation-sheet'!U11*'Output-Calculation-sheet'!U101</f>
        <v>51333102.337624237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10645588.355400642</v>
      </c>
      <c r="Y122" s="2">
        <f>Y12/'Output-Calculation-sheet'!Y11*'Output-Calculation-sheet'!Y101</f>
        <v>52276162.433126621</v>
      </c>
      <c r="AA122" s="2">
        <f t="shared" si="10"/>
        <v>5578.483408064616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1735038642.8785057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114047.26865007359</v>
      </c>
    </row>
    <row r="130" spans="1:27" x14ac:dyDescent="0.25">
      <c r="A130" s="2">
        <v>2032</v>
      </c>
      <c r="B130" s="2">
        <f>B9/'Output-Calculation-sheet'!B8*'Output-Calculation-sheet'!B107</f>
        <v>38054983681.704391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1383107856.0324674</v>
      </c>
      <c r="O130" s="2">
        <f>O9/'Output-Calculation-sheet'!O8*'Output-Calculation-sheet'!O107</f>
        <v>0</v>
      </c>
      <c r="P130" s="2">
        <f>P9/'Output-Calculation-sheet'!P8*'Output-Calculation-sheet'!P107</f>
        <v>4224448335.2588096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1229607862.0147591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134018.20655181151</v>
      </c>
    </row>
    <row r="131" spans="1:27" x14ac:dyDescent="0.25">
      <c r="A131" s="2">
        <v>2033</v>
      </c>
      <c r="B131" s="2">
        <f>B10/'Output-Calculation-sheet'!B9*'Output-Calculation-sheet'!B108</f>
        <v>30015152381.55724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1099836546.7692196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4266983172.5038381</v>
      </c>
      <c r="R131" s="2">
        <f>R10/'Output-Calculation-sheet'!R9*'Output-Calculation-sheet'!R108</f>
        <v>4787871722.9061985</v>
      </c>
      <c r="S131" s="2">
        <f>S10/'Output-Calculation-sheet'!S9*'Output-Calculation-sheet'!S108</f>
        <v>1066782840.1627214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143257.45752527268</v>
      </c>
    </row>
    <row r="132" spans="1:27" x14ac:dyDescent="0.25">
      <c r="A132" s="2">
        <v>2034</v>
      </c>
      <c r="B132" s="2">
        <f>B11/'Output-Calculation-sheet'!B10*'Output-Calculation-sheet'!B109</f>
        <v>21975779260.141796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21162766774.273613</v>
      </c>
      <c r="F132" s="2">
        <f>F11/'Output-Calculation-sheet'!F10*'Output-Calculation-sheet'!F109</f>
        <v>13957683187.32045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8696400493.9465294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6475214117.2605896</v>
      </c>
      <c r="M132" s="2">
        <f>M11/'Output-Calculation-sheet'!M10*'Output-Calculation-sheet'!M109</f>
        <v>0</v>
      </c>
      <c r="N132" s="2">
        <f>N11/'Output-Calculation-sheet'!N10*'Output-Calculation-sheet'!N109</f>
        <v>851339486.80116773</v>
      </c>
      <c r="O132" s="2">
        <f>O11/'Output-Calculation-sheet'!O10*'Output-Calculation-sheet'!O109</f>
        <v>0</v>
      </c>
      <c r="P132" s="2">
        <f>P11/'Output-Calculation-sheet'!P10*'Output-Calculation-sheet'!P109</f>
        <v>4838127746.1295462</v>
      </c>
      <c r="Q132" s="2">
        <f>Q11/'Output-Calculation-sheet'!Q10*'Output-Calculation-sheet'!Q109</f>
        <v>3116342810.9630556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584282960.57205772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609022247.88559377</v>
      </c>
      <c r="AA132" s="2">
        <f t="shared" si="11"/>
        <v>148937.4926446529</v>
      </c>
    </row>
    <row r="133" spans="1:27" x14ac:dyDescent="0.25">
      <c r="A133" s="2">
        <v>2035</v>
      </c>
      <c r="B133" s="2">
        <f>B12/'Output-Calculation-sheet'!B11*'Output-Calculation-sheet'!B110</f>
        <v>339460066.89897805</v>
      </c>
      <c r="C133" s="2">
        <f>C12/'Output-Calculation-sheet'!C11*'Output-Calculation-sheet'!C110</f>
        <v>0</v>
      </c>
      <c r="D133" s="2">
        <f>D12/'Output-Calculation-sheet'!D11*'Output-Calculation-sheet'!D110</f>
        <v>29116167825.015289</v>
      </c>
      <c r="E133" s="2">
        <f>E12/'Output-Calculation-sheet'!E11*'Output-Calculation-sheet'!E110</f>
        <v>12471822629.694254</v>
      </c>
      <c r="F133" s="2">
        <f>F12/'Output-Calculation-sheet'!F11*'Output-Calculation-sheet'!F110</f>
        <v>15307206479.784525</v>
      </c>
      <c r="G133" s="2">
        <f>G12/'Output-Calculation-sheet'!G11*'Output-Calculation-sheet'!G110</f>
        <v>10611013050.402824</v>
      </c>
      <c r="H133" s="2">
        <f>H12/'Output-Calculation-sheet'!H11*'Output-Calculation-sheet'!H110</f>
        <v>0</v>
      </c>
      <c r="I133" s="2">
        <f>I12/'Output-Calculation-sheet'!I11*'Output-Calculation-sheet'!I110</f>
        <v>9635766544.9989414</v>
      </c>
      <c r="J133" s="2">
        <f>J12/'Output-Calculation-sheet'!J11*'Output-Calculation-sheet'!J110</f>
        <v>9329620728.1791134</v>
      </c>
      <c r="K133" s="2">
        <f>K12/'Output-Calculation-sheet'!K11*'Output-Calculation-sheet'!K110</f>
        <v>9377013296.5488701</v>
      </c>
      <c r="L133" s="2">
        <f>L12/'Output-Calculation-sheet'!L11*'Output-Calculation-sheet'!L110</f>
        <v>5458513472.5327435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2069141065.0281153</v>
      </c>
      <c r="Q133" s="2">
        <f>Q12/'Output-Calculation-sheet'!Q11*'Output-Calculation-sheet'!Q110</f>
        <v>1740783576.2086098</v>
      </c>
      <c r="R133" s="2">
        <f>R12/'Output-Calculation-sheet'!R11*'Output-Calculation-sheet'!R110</f>
        <v>6121301816.7312279</v>
      </c>
      <c r="S133" s="2">
        <f>S12/'Output-Calculation-sheet'!S11*'Output-Calculation-sheet'!S110</f>
        <v>4118035.2536795088</v>
      </c>
      <c r="T133" s="2">
        <f>T12/'Output-Calculation-sheet'!T11*'Output-Calculation-sheet'!T110</f>
        <v>2282476635.6223249</v>
      </c>
      <c r="U133" s="2">
        <f>U12/'Output-Calculation-sheet'!U11*'Output-Calculation-sheet'!U110</f>
        <v>1849279477.0908175</v>
      </c>
      <c r="V133" s="2">
        <f>V12/'Output-Calculation-sheet'!V11*'Output-Calculation-sheet'!V110</f>
        <v>1537443560.342885</v>
      </c>
      <c r="W133" s="2">
        <f>W12/'Output-Calculation-sheet'!W11*'Output-Calculation-sheet'!W110</f>
        <v>1341098659.7395368</v>
      </c>
      <c r="X133" s="2">
        <f>X12/'Output-Calculation-sheet'!X11*'Output-Calculation-sheet'!X110</f>
        <v>0</v>
      </c>
      <c r="Y133" s="2">
        <f>Y12/'Output-Calculation-sheet'!Y11*'Output-Calculation-sheet'!Y110</f>
        <v>307620048.2326659</v>
      </c>
      <c r="AA133" s="2">
        <f t="shared" si="11"/>
        <v>118899.8469683054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11285049450.203428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3547735288.4280391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2438660271.4396625</v>
      </c>
      <c r="N140" s="2">
        <f>N8/'Output-Calculation-sheet'!N7*'Output-Calculation-sheet'!N115</f>
        <v>920690911.93550801</v>
      </c>
      <c r="O140" s="2">
        <f>O8/'Output-Calculation-sheet'!O7*'Output-Calculation-sheet'!O115</f>
        <v>2708356919.729003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264809226.27268773</v>
      </c>
      <c r="Y140" s="2">
        <f>Y8/'Output-Calculation-sheet'!Y7*'Output-Calculation-sheet'!Y115</f>
        <v>0</v>
      </c>
      <c r="AA140" s="2">
        <f t="shared" si="12"/>
        <v>21165.302068008328</v>
      </c>
    </row>
    <row r="141" spans="1:27" x14ac:dyDescent="0.25">
      <c r="A141" s="2">
        <v>2032</v>
      </c>
      <c r="B141" s="2">
        <f>B9/'Output-Calculation-sheet'!B8*'Output-Calculation-sheet'!B116</f>
        <v>4350562737.8243284</v>
      </c>
      <c r="C141" s="2">
        <f>C9/'Output-Calculation-sheet'!C8*'Output-Calculation-sheet'!C116</f>
        <v>18622980944.093273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4854930373.798708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3333308604.3836656</v>
      </c>
      <c r="N141" s="2">
        <f>N9/'Output-Calculation-sheet'!N8*'Output-Calculation-sheet'!N116</f>
        <v>2314189766.0840764</v>
      </c>
      <c r="O141" s="2">
        <f>O9/'Output-Calculation-sheet'!O8*'Output-Calculation-sheet'!O116</f>
        <v>3614830053.3434782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1036548736.7843035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362818928.89931655</v>
      </c>
      <c r="Y141" s="2">
        <f>Y9/'Output-Calculation-sheet'!Y8*'Output-Calculation-sheet'!Y116</f>
        <v>0</v>
      </c>
      <c r="AA141" s="2">
        <f t="shared" si="12"/>
        <v>38490.170145211145</v>
      </c>
    </row>
    <row r="142" spans="1:27" x14ac:dyDescent="0.25">
      <c r="A142" s="2">
        <v>2033</v>
      </c>
      <c r="B142" s="2">
        <f>B10/'Output-Calculation-sheet'!B9*'Output-Calculation-sheet'!B117</f>
        <v>21776936608.683079</v>
      </c>
      <c r="C142" s="2">
        <f>C10/'Output-Calculation-sheet'!C9*'Output-Calculation-sheet'!C117</f>
        <v>22995545230.709721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7121890210.3743029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4894071145.1853848</v>
      </c>
      <c r="N142" s="2">
        <f>N10/'Output-Calculation-sheet'!N9*'Output-Calculation-sheet'!N117</f>
        <v>3691851734.3097577</v>
      </c>
      <c r="O142" s="2">
        <f>O10/'Output-Calculation-sheet'!O9*'Output-Calculation-sheet'!O117</f>
        <v>4463143487.3617296</v>
      </c>
      <c r="P142" s="2">
        <f>P10/'Output-Calculation-sheet'!P9*'Output-Calculation-sheet'!P117</f>
        <v>0</v>
      </c>
      <c r="Q142" s="2">
        <f>Q10/'Output-Calculation-sheet'!Q9*'Output-Calculation-sheet'!Q117</f>
        <v>705104514.77439034</v>
      </c>
      <c r="R142" s="2">
        <f>R10/'Output-Calculation-sheet'!R9*'Output-Calculation-sheet'!R117</f>
        <v>0</v>
      </c>
      <c r="S142" s="2">
        <f>S10/'Output-Calculation-sheet'!S9*'Output-Calculation-sheet'!S117</f>
        <v>1795147226.1755848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536527165.61880416</v>
      </c>
      <c r="Y142" s="2">
        <f>Y10/'Output-Calculation-sheet'!Y9*'Output-Calculation-sheet'!Y117</f>
        <v>0</v>
      </c>
      <c r="AA142" s="2">
        <f t="shared" si="12"/>
        <v>67980.217323192759</v>
      </c>
    </row>
    <row r="143" spans="1:27" x14ac:dyDescent="0.25">
      <c r="A143" s="2">
        <v>2034</v>
      </c>
      <c r="B143" s="2">
        <f>B11/'Output-Calculation-sheet'!B10*'Output-Calculation-sheet'!B118</f>
        <v>39353491341.341095</v>
      </c>
      <c r="C143" s="2">
        <f>C11/'Output-Calculation-sheet'!C10*'Output-Calculation-sheet'!C118</f>
        <v>30209477406.049648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8374217432.7146683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5751505628.0580835</v>
      </c>
      <c r="N143" s="2">
        <f>N11/'Output-Calculation-sheet'!N10*'Output-Calculation-sheet'!N118</f>
        <v>5060863563.8748093</v>
      </c>
      <c r="O143" s="2">
        <f>O11/'Output-Calculation-sheet'!O10*'Output-Calculation-sheet'!O118</f>
        <v>5868862216.735157</v>
      </c>
      <c r="P143" s="2">
        <f>P11/'Output-Calculation-sheet'!P10*'Output-Calculation-sheet'!P118</f>
        <v>1058553567.5687031</v>
      </c>
      <c r="Q143" s="2">
        <f>Q11/'Output-Calculation-sheet'!Q10*'Output-Calculation-sheet'!Q118</f>
        <v>2494635294.7451277</v>
      </c>
      <c r="R143" s="2">
        <f>R11/'Output-Calculation-sheet'!R10*'Output-Calculation-sheet'!R118</f>
        <v>0</v>
      </c>
      <c r="S143" s="2">
        <f>S11/'Output-Calculation-sheet'!S10*'Output-Calculation-sheet'!S118</f>
        <v>2914039913.8637662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631427809.43905139</v>
      </c>
      <c r="Y143" s="2">
        <f>Y11/'Output-Calculation-sheet'!Y10*'Output-Calculation-sheet'!Y118</f>
        <v>73994016.69010669</v>
      </c>
      <c r="AA143" s="2">
        <f t="shared" si="12"/>
        <v>101791.06819108024</v>
      </c>
    </row>
    <row r="144" spans="1:27" x14ac:dyDescent="0.25">
      <c r="A144" s="2">
        <v>2035</v>
      </c>
      <c r="B144" s="2">
        <f>B12/'Output-Calculation-sheet'!B11*'Output-Calculation-sheet'!B119</f>
        <v>72734537788.344223</v>
      </c>
      <c r="C144" s="2">
        <f>C12/'Output-Calculation-sheet'!C11*'Output-Calculation-sheet'!C119</f>
        <v>34795688464.044647</v>
      </c>
      <c r="D144" s="2">
        <f>D12/'Output-Calculation-sheet'!D11*'Output-Calculation-sheet'!D119</f>
        <v>0</v>
      </c>
      <c r="E144" s="2">
        <f>E12/'Output-Calculation-sheet'!E11*'Output-Calculation-sheet'!E119</f>
        <v>10364596591.89854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10520333442.968925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1335905357.3234963</v>
      </c>
      <c r="M144" s="2">
        <f>M12/'Output-Calculation-sheet'!M11*'Output-Calculation-sheet'!M119</f>
        <v>7180280483.221983</v>
      </c>
      <c r="N144" s="2">
        <f>N12/'Output-Calculation-sheet'!N11*'Output-Calculation-sheet'!N119</f>
        <v>7093820536.9260569</v>
      </c>
      <c r="O144" s="2">
        <f>O12/'Output-Calculation-sheet'!O11*'Output-Calculation-sheet'!O119</f>
        <v>6762980846.8267937</v>
      </c>
      <c r="P144" s="2">
        <f>P12/'Output-Calculation-sheet'!P11*'Output-Calculation-sheet'!P119</f>
        <v>4590524255.291995</v>
      </c>
      <c r="Q144" s="2">
        <f>Q12/'Output-Calculation-sheet'!Q11*'Output-Calculation-sheet'!Q119</f>
        <v>4347426688.9463415</v>
      </c>
      <c r="R144" s="2">
        <f>R12/'Output-Calculation-sheet'!R11*'Output-Calculation-sheet'!R119</f>
        <v>0</v>
      </c>
      <c r="S144" s="2">
        <f>S12/'Output-Calculation-sheet'!S11*'Output-Calculation-sheet'!S119</f>
        <v>4089945314.931879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805052053.44208038</v>
      </c>
      <c r="Y144" s="2">
        <f>Y12/'Output-Calculation-sheet'!Y11*'Output-Calculation-sheet'!Y119</f>
        <v>429883807.95083117</v>
      </c>
      <c r="AA144" s="2">
        <f t="shared" si="12"/>
        <v>165050.97563211783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3404092893.4030523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148024.74830682235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2560724676.6967626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111351.440113877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375760855.88274074</v>
      </c>
      <c r="C155" s="2">
        <f>C12/'Output-Calculation-sheet'!C11*'Output-Calculation-sheet'!C128</f>
        <v>40483822.817765608</v>
      </c>
      <c r="D155" s="2">
        <f>D12/'Output-Calculation-sheet'!D11*'Output-Calculation-sheet'!D128</f>
        <v>2699739748.5141897</v>
      </c>
      <c r="E155" s="2">
        <f>E12/'Output-Calculation-sheet'!E11*'Output-Calculation-sheet'!E128</f>
        <v>438202804.44755858</v>
      </c>
      <c r="F155" s="2">
        <f>F12/'Output-Calculation-sheet'!F11*'Output-Calculation-sheet'!F128</f>
        <v>986163162.80951047</v>
      </c>
      <c r="G155" s="2">
        <f>G12/'Output-Calculation-sheet'!G11*'Output-Calculation-sheet'!G128</f>
        <v>902442160.3738842</v>
      </c>
      <c r="H155" s="2">
        <f>H12/'Output-Calculation-sheet'!H11*'Output-Calculation-sheet'!H128</f>
        <v>69777784.896631852</v>
      </c>
      <c r="I155" s="2">
        <f>I12/'Output-Calculation-sheet'!I11*'Output-Calculation-sheet'!I128</f>
        <v>828074395.08210504</v>
      </c>
      <c r="J155" s="2">
        <f>J12/'Output-Calculation-sheet'!J11*'Output-Calculation-sheet'!J128</f>
        <v>750844280.32427323</v>
      </c>
      <c r="K155" s="2">
        <f>K12/'Output-Calculation-sheet'!K11*'Output-Calculation-sheet'!K128</f>
        <v>650218782.7008208</v>
      </c>
      <c r="L155" s="2">
        <f>L12/'Output-Calculation-sheet'!L11*'Output-Calculation-sheet'!L128</f>
        <v>244945142.78832155</v>
      </c>
      <c r="M155" s="2">
        <f>M12/'Output-Calculation-sheet'!M11*'Output-Calculation-sheet'!M128</f>
        <v>57552916.475685261</v>
      </c>
      <c r="N155" s="2">
        <f>N12/'Output-Calculation-sheet'!N11*'Output-Calculation-sheet'!N128</f>
        <v>50861899.799401484</v>
      </c>
      <c r="O155" s="2">
        <f>O12/'Output-Calculation-sheet'!O11*'Output-Calculation-sheet'!O128</f>
        <v>10474352.372588599</v>
      </c>
      <c r="P155" s="2">
        <f>P12/'Output-Calculation-sheet'!P11*'Output-Calculation-sheet'!P128</f>
        <v>66727944.880372368</v>
      </c>
      <c r="Q155" s="2">
        <f>Q12/'Output-Calculation-sheet'!Q11*'Output-Calculation-sheet'!Q128</f>
        <v>169153794.70117933</v>
      </c>
      <c r="R155" s="2">
        <f>R12/'Output-Calculation-sheet'!R11*'Output-Calculation-sheet'!R128</f>
        <v>375919868.28150845</v>
      </c>
      <c r="S155" s="2">
        <f>S12/'Output-Calculation-sheet'!S11*'Output-Calculation-sheet'!S128</f>
        <v>32468673.198686354</v>
      </c>
      <c r="T155" s="2">
        <f>T12/'Output-Calculation-sheet'!T11*'Output-Calculation-sheet'!T128</f>
        <v>96260872.433599517</v>
      </c>
      <c r="U155" s="2">
        <f>U12/'Output-Calculation-sheet'!U11*'Output-Calculation-sheet'!U128</f>
        <v>197307178.05513564</v>
      </c>
      <c r="V155" s="2">
        <f>V12/'Output-Calculation-sheet'!V11*'Output-Calculation-sheet'!V128</f>
        <v>43336572.956145652</v>
      </c>
      <c r="W155" s="2">
        <f>W12/'Output-Calculation-sheet'!W11*'Output-Calculation-sheet'!W128</f>
        <v>52734282.29548315</v>
      </c>
      <c r="X155" s="2">
        <f>X12/'Output-Calculation-sheet'!X11*'Output-Calculation-sheet'!X128</f>
        <v>1801532.290977204</v>
      </c>
      <c r="Y155" s="2">
        <f>Y12/'Output-Calculation-sheet'!Y11*'Output-Calculation-sheet'!Y128</f>
        <v>10613550.466169581</v>
      </c>
      <c r="AA155" s="2">
        <f t="shared" si="13"/>
        <v>9151.8663788447338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4927.6882959322702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1492.6560388753207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1036.8581473130296</v>
      </c>
      <c r="N19" s="2">
        <f>N8/'Output-Calculation-sheet'!N7*'Output-Calculation-sheet'!N25</f>
        <v>862.54345218084245</v>
      </c>
      <c r="O19" s="2">
        <f>O8/'Output-Calculation-sheet'!O7*'Output-Calculation-sheet'!O25</f>
        <v>541.33924957735462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112.21689405052682</v>
      </c>
      <c r="Y19" s="2">
        <f>Y8/'Output-Calculation-sheet'!Y7*'Output-Calculation-sheet'!Y25</f>
        <v>0</v>
      </c>
      <c r="AA19" s="2">
        <f t="shared" si="0"/>
        <v>10.419541313111308</v>
      </c>
    </row>
    <row r="20" spans="1:27" x14ac:dyDescent="0.25">
      <c r="A20" s="2">
        <v>2032</v>
      </c>
      <c r="B20" s="2">
        <f>B9/'Output-Calculation-sheet'!B8*'Output-Calculation-sheet'!B26</f>
        <v>4987.9685146047777</v>
      </c>
      <c r="C20" s="2">
        <f>C9/'Output-Calculation-sheet'!C8*'Output-Calculation-sheet'!C26</f>
        <v>2735.2801589382943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1642.0021853337932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1147.4424592748785</v>
      </c>
      <c r="N20" s="2">
        <f>N9/'Output-Calculation-sheet'!N8*'Output-Calculation-sheet'!N26</f>
        <v>795.2088919126104</v>
      </c>
      <c r="O20" s="2">
        <f>O9/'Output-Calculation-sheet'!O8*'Output-Calculation-sheet'!O26</f>
        <v>534.42305255300414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377.20989146587016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124.85849788646262</v>
      </c>
      <c r="Y20" s="2">
        <f>Y9/'Output-Calculation-sheet'!Y8*'Output-Calculation-sheet'!Y26</f>
        <v>0</v>
      </c>
      <c r="AA20" s="2">
        <f t="shared" si="0"/>
        <v>12.344393651969691</v>
      </c>
    </row>
    <row r="21" spans="1:27" x14ac:dyDescent="0.25">
      <c r="A21" s="2">
        <v>2033</v>
      </c>
      <c r="B21" s="2">
        <f>B10/'Output-Calculation-sheet'!B9*'Output-Calculation-sheet'!B27</f>
        <v>4443.3678774504497</v>
      </c>
      <c r="C21" s="2">
        <f>C10/'Output-Calculation-sheet'!C9*'Output-Calculation-sheet'!C27</f>
        <v>2731.0819417345515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895.45838710366183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633.81283331990812</v>
      </c>
      <c r="N21" s="2">
        <f>N10/'Output-Calculation-sheet'!N9*'Output-Calculation-sheet'!N27</f>
        <v>641.86053984662931</v>
      </c>
      <c r="O21" s="2">
        <f>O10/'Output-Calculation-sheet'!O9*'Output-Calculation-sheet'!O27</f>
        <v>534.68729177197599</v>
      </c>
      <c r="P21" s="2">
        <f>P10/'Output-Calculation-sheet'!P9*'Output-Calculation-sheet'!P27</f>
        <v>0</v>
      </c>
      <c r="Q21" s="2">
        <f>Q10/'Output-Calculation-sheet'!Q9*'Output-Calculation-sheet'!Q27</f>
        <v>7.7740975755412807</v>
      </c>
      <c r="R21" s="2">
        <f>R10/'Output-Calculation-sheet'!R9*'Output-Calculation-sheet'!R27</f>
        <v>0</v>
      </c>
      <c r="S21" s="2">
        <f>S10/'Output-Calculation-sheet'!S9*'Output-Calculation-sheet'!S27</f>
        <v>305.63022458940253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63.288935360739387</v>
      </c>
      <c r="Y21" s="2">
        <f>Y10/'Output-Calculation-sheet'!Y9*'Output-Calculation-sheet'!Y27</f>
        <v>0</v>
      </c>
      <c r="AA21" s="2">
        <f t="shared" si="0"/>
        <v>10.256962128752859</v>
      </c>
    </row>
    <row r="22" spans="1:27" x14ac:dyDescent="0.25">
      <c r="A22" s="2">
        <v>2034</v>
      </c>
      <c r="B22" s="2">
        <f>B11/'Output-Calculation-sheet'!B10*'Output-Calculation-sheet'!B28</f>
        <v>3540.1255705313806</v>
      </c>
      <c r="C22" s="2">
        <f>C11/'Output-Calculation-sheet'!C10*'Output-Calculation-sheet'!C28</f>
        <v>359.81584291674591</v>
      </c>
      <c r="D22" s="2">
        <f>D11/'Output-Calculation-sheet'!D10*'Output-Calculation-sheet'!D28</f>
        <v>0</v>
      </c>
      <c r="E22" s="2">
        <f>E11/'Output-Calculation-sheet'!E10*'Output-Calculation-sheet'!E28</f>
        <v>1194.7830260814574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947.42330477356404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724.59757509446047</v>
      </c>
      <c r="M22" s="2">
        <f>M11/'Output-Calculation-sheet'!M10*'Output-Calculation-sheet'!M28</f>
        <v>674.27755473049444</v>
      </c>
      <c r="N22" s="2">
        <f>N11/'Output-Calculation-sheet'!N10*'Output-Calculation-sheet'!N28</f>
        <v>450.75839221333024</v>
      </c>
      <c r="O22" s="2">
        <f>O11/'Output-Calculation-sheet'!O10*'Output-Calculation-sheet'!O28</f>
        <v>70.578714987212507</v>
      </c>
      <c r="P22" s="2">
        <f>P11/'Output-Calculation-sheet'!P10*'Output-Calculation-sheet'!P28</f>
        <v>0</v>
      </c>
      <c r="Q22" s="2">
        <f>Q11/'Output-Calculation-sheet'!Q10*'Output-Calculation-sheet'!Q28</f>
        <v>230.22287189028825</v>
      </c>
      <c r="R22" s="2">
        <f>R11/'Output-Calculation-sheet'!R10*'Output-Calculation-sheet'!R28</f>
        <v>0</v>
      </c>
      <c r="S22" s="2">
        <f>S11/'Output-Calculation-sheet'!S10*'Output-Calculation-sheet'!S28</f>
        <v>168.77824241325797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66.25246444769121</v>
      </c>
      <c r="Y22" s="2">
        <f>Y11/'Output-Calculation-sheet'!Y10*'Output-Calculation-sheet'!Y28</f>
        <v>27.006375797792007</v>
      </c>
      <c r="AA22" s="2">
        <f t="shared" si="0"/>
        <v>8.4546199358776732</v>
      </c>
    </row>
    <row r="23" spans="1:27" x14ac:dyDescent="0.25">
      <c r="A23" s="2">
        <v>2035</v>
      </c>
      <c r="B23" s="2">
        <f>B12/'Output-Calculation-sheet'!B11*'Output-Calculation-sheet'!B29</f>
        <v>737.93227015249761</v>
      </c>
      <c r="C23" s="2">
        <f>C12/'Output-Calculation-sheet'!C11*'Output-Calculation-sheet'!C29</f>
        <v>153.14139287026975</v>
      </c>
      <c r="D23" s="2">
        <f>D12/'Output-Calculation-sheet'!D11*'Output-Calculation-sheet'!D29</f>
        <v>0</v>
      </c>
      <c r="E23" s="2">
        <f>E12/'Output-Calculation-sheet'!E11*'Output-Calculation-sheet'!E29</f>
        <v>1887.4386116797862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265.44257248669027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1088.2329478463055</v>
      </c>
      <c r="M23" s="2">
        <f>M12/'Output-Calculation-sheet'!M11*'Output-Calculation-sheet'!M29</f>
        <v>236.56135011123476</v>
      </c>
      <c r="N23" s="2">
        <f>N12/'Output-Calculation-sheet'!N11*'Output-Calculation-sheet'!N29</f>
        <v>196.96153612272525</v>
      </c>
      <c r="O23" s="2">
        <f>O12/'Output-Calculation-sheet'!O11*'Output-Calculation-sheet'!O29</f>
        <v>26.168966925033601</v>
      </c>
      <c r="P23" s="2">
        <f>P12/'Output-Calculation-sheet'!P11*'Output-Calculation-sheet'!P29</f>
        <v>40.989192490775963</v>
      </c>
      <c r="Q23" s="2">
        <f>Q12/'Output-Calculation-sheet'!Q11*'Output-Calculation-sheet'!Q29</f>
        <v>335.75126979464909</v>
      </c>
      <c r="R23" s="2">
        <f>R12/'Output-Calculation-sheet'!R11*'Output-Calculation-sheet'!R29</f>
        <v>0</v>
      </c>
      <c r="S23" s="2">
        <f>S12/'Output-Calculation-sheet'!S11*'Output-Calculation-sheet'!S29</f>
        <v>88.437361756788249</v>
      </c>
      <c r="T23" s="2">
        <f>T12/'Output-Calculation-sheet'!T11*'Output-Calculation-sheet'!T29</f>
        <v>0</v>
      </c>
      <c r="U23" s="2">
        <f>U12/'Output-Calculation-sheet'!U11*'Output-Calculation-sheet'!U29</f>
        <v>119.06947496763202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7.7439483441284347</v>
      </c>
      <c r="Y23" s="2">
        <f>Y12/'Output-Calculation-sheet'!Y11*'Output-Calculation-sheet'!Y29</f>
        <v>49.259637723032355</v>
      </c>
      <c r="AA23" s="2">
        <f t="shared" si="0"/>
        <v>5.2331305332715496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983.28129005964433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38.551955902184169</v>
      </c>
    </row>
    <row r="31" spans="1:27" x14ac:dyDescent="0.25">
      <c r="A31" s="2">
        <v>2032</v>
      </c>
      <c r="B31" s="2">
        <f>B9/'Output-Calculation-sheet'!B8*'Output-Calculation-sheet'!B17</f>
        <v>20971.485088889498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820.00716922270283</v>
      </c>
      <c r="O31" s="2">
        <f>O9/'Output-Calculation-sheet'!O8*'Output-Calculation-sheet'!O17</f>
        <v>0</v>
      </c>
      <c r="P31" s="2">
        <f>P9/'Output-Calculation-sheet'!P8*'Output-Calculation-sheet'!P17</f>
        <v>2049.6284975673025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678.69351105522514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48.048314580653312</v>
      </c>
    </row>
    <row r="32" spans="1:27" x14ac:dyDescent="0.25">
      <c r="A32" s="2">
        <v>2033</v>
      </c>
      <c r="B32" s="2">
        <f>B10/'Output-Calculation-sheet'!B9*'Output-Calculation-sheet'!B18</f>
        <v>16072.836369173865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2516.0780327394291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650.55112861811745</v>
      </c>
      <c r="O32" s="2">
        <f>O10/'Output-Calculation-sheet'!O9*'Output-Calculation-sheet'!O18</f>
        <v>0</v>
      </c>
      <c r="P32" s="2">
        <f>P10/'Output-Calculation-sheet'!P9*'Output-Calculation-sheet'!P18</f>
        <v>2589.8113705185801</v>
      </c>
      <c r="Q32" s="2">
        <f>Q10/'Output-Calculation-sheet'!Q9*'Output-Calculation-sheet'!Q18</f>
        <v>2397.7645600881319</v>
      </c>
      <c r="R32" s="2">
        <f>R10/'Output-Calculation-sheet'!R9*'Output-Calculation-sheet'!R18</f>
        <v>1860.1345582740935</v>
      </c>
      <c r="S32" s="2">
        <f>S10/'Output-Calculation-sheet'!S9*'Output-Calculation-sheet'!S18</f>
        <v>591.80923633045052</v>
      </c>
      <c r="T32" s="2">
        <f>T10/'Output-Calculation-sheet'!T9*'Output-Calculation-sheet'!T18</f>
        <v>542.98151469463255</v>
      </c>
      <c r="U32" s="2">
        <f>U10/'Output-Calculation-sheet'!U9*'Output-Calculation-sheet'!U18</f>
        <v>600.25871305678152</v>
      </c>
      <c r="V32" s="2">
        <f>V10/'Output-Calculation-sheet'!V9*'Output-Calculation-sheet'!V18</f>
        <v>443.06678730235507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256.53854962962362</v>
      </c>
      <c r="AA32" s="2">
        <f t="shared" si="1"/>
        <v>51.096856537202861</v>
      </c>
    </row>
    <row r="33" spans="1:27" x14ac:dyDescent="0.25">
      <c r="A33" s="2">
        <v>2034</v>
      </c>
      <c r="B33" s="2">
        <f>B11/'Output-Calculation-sheet'!B10*'Output-Calculation-sheet'!B19</f>
        <v>10818.703705621067</v>
      </c>
      <c r="C33" s="2">
        <f>C11/'Output-Calculation-sheet'!C10*'Output-Calculation-sheet'!C19</f>
        <v>0</v>
      </c>
      <c r="D33" s="2">
        <f>D11/'Output-Calculation-sheet'!D10*'Output-Calculation-sheet'!D19</f>
        <v>7170.845590960309</v>
      </c>
      <c r="E33" s="2">
        <f>E11/'Output-Calculation-sheet'!E10*'Output-Calculation-sheet'!E19</f>
        <v>8890.037978082175</v>
      </c>
      <c r="F33" s="2">
        <f>F11/'Output-Calculation-sheet'!F10*'Output-Calculation-sheet'!F19</f>
        <v>4070.6061575375479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2663.704340386244</v>
      </c>
      <c r="J33" s="2">
        <f>J11/'Output-Calculation-sheet'!J10*'Output-Calculation-sheet'!J19</f>
        <v>2252.2586635320763</v>
      </c>
      <c r="K33" s="2">
        <f>K11/'Output-Calculation-sheet'!K10*'Output-Calculation-sheet'!K19</f>
        <v>3123.8069044296421</v>
      </c>
      <c r="L33" s="2">
        <f>L11/'Output-Calculation-sheet'!L10*'Output-Calculation-sheet'!L19</f>
        <v>2540.9933235744379</v>
      </c>
      <c r="M33" s="2">
        <f>M11/'Output-Calculation-sheet'!M10*'Output-Calculation-sheet'!M19</f>
        <v>0</v>
      </c>
      <c r="N33" s="2">
        <f>N11/'Output-Calculation-sheet'!N10*'Output-Calculation-sheet'!N19</f>
        <v>482.32211693588039</v>
      </c>
      <c r="O33" s="2">
        <f>O11/'Output-Calculation-sheet'!O10*'Output-Calculation-sheet'!O19</f>
        <v>0</v>
      </c>
      <c r="P33" s="2">
        <f>P11/'Output-Calculation-sheet'!P10*'Output-Calculation-sheet'!P19</f>
        <v>2395.410630303425</v>
      </c>
      <c r="Q33" s="2">
        <f>Q11/'Output-Calculation-sheet'!Q10*'Output-Calculation-sheet'!Q19</f>
        <v>1522.5219530176457</v>
      </c>
      <c r="R33" s="2">
        <f>R11/'Output-Calculation-sheet'!R10*'Output-Calculation-sheet'!R19</f>
        <v>2256.7132926222325</v>
      </c>
      <c r="S33" s="2">
        <f>S11/'Output-Calculation-sheet'!S10*'Output-Calculation-sheet'!S19</f>
        <v>306.61171419855958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761.57308525246344</v>
      </c>
      <c r="V33" s="2">
        <f>V11/'Output-Calculation-sheet'!V10*'Output-Calculation-sheet'!V19</f>
        <v>519.34815968189389</v>
      </c>
      <c r="W33" s="2">
        <f>W11/'Output-Calculation-sheet'!W10*'Output-Calculation-sheet'!W19</f>
        <v>323.37100604857056</v>
      </c>
      <c r="X33" s="2">
        <f>X11/'Output-Calculation-sheet'!X10*'Output-Calculation-sheet'!X19</f>
        <v>0</v>
      </c>
      <c r="Y33" s="2">
        <f>Y11/'Output-Calculation-sheet'!Y10*'Output-Calculation-sheet'!Y19</f>
        <v>264.75520453863425</v>
      </c>
      <c r="AA33" s="2">
        <f t="shared" si="1"/>
        <v>53.466777566831475</v>
      </c>
    </row>
    <row r="34" spans="1:27" x14ac:dyDescent="0.25">
      <c r="A34" s="2">
        <v>2035</v>
      </c>
      <c r="B34" s="2">
        <f>B12/'Output-Calculation-sheet'!B11*'Output-Calculation-sheet'!B20</f>
        <v>146.90386001800948</v>
      </c>
      <c r="C34" s="2">
        <f>C12/'Output-Calculation-sheet'!C11*'Output-Calculation-sheet'!C20</f>
        <v>0</v>
      </c>
      <c r="D34" s="2">
        <f>D12/'Output-Calculation-sheet'!D11*'Output-Calculation-sheet'!D20</f>
        <v>7245.7850572652069</v>
      </c>
      <c r="E34" s="2">
        <f>E12/'Output-Calculation-sheet'!E11*'Output-Calculation-sheet'!E20</f>
        <v>3385.2180930201798</v>
      </c>
      <c r="F34" s="2">
        <f>F12/'Output-Calculation-sheet'!F11*'Output-Calculation-sheet'!F20</f>
        <v>4599.1023481900756</v>
      </c>
      <c r="G34" s="2">
        <f>G12/'Output-Calculation-sheet'!G11*'Output-Calculation-sheet'!G20</f>
        <v>2469.9126826373354</v>
      </c>
      <c r="H34" s="2">
        <f>H12/'Output-Calculation-sheet'!H11*'Output-Calculation-sheet'!H20</f>
        <v>0</v>
      </c>
      <c r="I34" s="2">
        <f>I12/'Output-Calculation-sheet'!I11*'Output-Calculation-sheet'!I20</f>
        <v>2744.1254282398104</v>
      </c>
      <c r="J34" s="2">
        <f>J12/'Output-Calculation-sheet'!J11*'Output-Calculation-sheet'!J20</f>
        <v>2376.2630249611034</v>
      </c>
      <c r="K34" s="2">
        <f>K12/'Output-Calculation-sheet'!K11*'Output-Calculation-sheet'!K20</f>
        <v>3347.9902400739466</v>
      </c>
      <c r="L34" s="2">
        <f>L12/'Output-Calculation-sheet'!L11*'Output-Calculation-sheet'!L20</f>
        <v>1854.0341999237512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737.18081380449064</v>
      </c>
      <c r="Q34" s="2">
        <f>Q12/'Output-Calculation-sheet'!Q11*'Output-Calculation-sheet'!Q20</f>
        <v>697.44984152625364</v>
      </c>
      <c r="R34" s="2">
        <f>R12/'Output-Calculation-sheet'!R11*'Output-Calculation-sheet'!R20</f>
        <v>2471.6980832343811</v>
      </c>
      <c r="S34" s="2">
        <f>S12/'Output-Calculation-sheet'!S11*'Output-Calculation-sheet'!S20</f>
        <v>1.9779132674239566</v>
      </c>
      <c r="T34" s="2">
        <f>T12/'Output-Calculation-sheet'!T11*'Output-Calculation-sheet'!T20</f>
        <v>737.1942350950219</v>
      </c>
      <c r="U34" s="2">
        <f>U12/'Output-Calculation-sheet'!U11*'Output-Calculation-sheet'!U20</f>
        <v>670.95389008589825</v>
      </c>
      <c r="V34" s="2">
        <f>V12/'Output-Calculation-sheet'!V11*'Output-Calculation-sheet'!V20</f>
        <v>647.56711914614948</v>
      </c>
      <c r="W34" s="2">
        <f>W12/'Output-Calculation-sheet'!W11*'Output-Calculation-sheet'!W20</f>
        <v>393.87916485832841</v>
      </c>
      <c r="X34" s="2">
        <f>X12/'Output-Calculation-sheet'!X11*'Output-Calculation-sheet'!X20</f>
        <v>0</v>
      </c>
      <c r="Y34" s="2">
        <f>Y12/'Output-Calculation-sheet'!Y11*'Output-Calculation-sheet'!Y20</f>
        <v>84.725281294884013</v>
      </c>
      <c r="AA34" s="2">
        <f t="shared" si="1"/>
        <v>34.611961276642248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0.1236135451699921</v>
      </c>
      <c r="E45" s="2">
        <f>E12/'Output-Calculation-sheet'!E11*'Output-Calculation-sheet'!E38*0.0114</f>
        <v>6.5493274444996072E-2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1.0828102774496334E-2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0.70060274221714991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0.13371331263551436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164.88460161306824</v>
      </c>
      <c r="R54" s="2">
        <f>R10/'Output-Calculation-sheet'!R9*'Output-Calculation-sheet'!R45</f>
        <v>1233.4837334885824</v>
      </c>
      <c r="S54" s="2">
        <f>S10/'Output-Calculation-sheet'!S9*'Output-Calculation-sheet'!S45</f>
        <v>0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15.3849510707853</v>
      </c>
      <c r="AA54" s="2">
        <f t="shared" si="3"/>
        <v>4.0607278228418373</v>
      </c>
    </row>
    <row r="55" spans="1:27" x14ac:dyDescent="0.25">
      <c r="A55" s="2">
        <v>2034</v>
      </c>
      <c r="B55" s="2">
        <f>B11/'Output-Calculation-sheet'!B10*'Output-Calculation-sheet'!B46</f>
        <v>1324.5597839047166</v>
      </c>
      <c r="C55" s="2">
        <f>C11/'Output-Calculation-sheet'!C10*'Output-Calculation-sheet'!C46</f>
        <v>0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480.37653366529247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356.04505300477672</v>
      </c>
      <c r="N55" s="2">
        <f>N11/'Output-Calculation-sheet'!N10*'Output-Calculation-sheet'!N46</f>
        <v>121.59529300556041</v>
      </c>
      <c r="O55" s="2">
        <f>O11/'Output-Calculation-sheet'!O10*'Output-Calculation-sheet'!O46</f>
        <v>0</v>
      </c>
      <c r="P55" s="2">
        <f>P11/'Output-Calculation-sheet'!P10*'Output-Calculation-sheet'!P46</f>
        <v>2593.0844413745158</v>
      </c>
      <c r="Q55" s="2">
        <f>Q11/'Output-Calculation-sheet'!Q10*'Output-Calculation-sheet'!Q46</f>
        <v>566.83707847189726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0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66.876338550416733</v>
      </c>
      <c r="X55" s="2">
        <f>X11/'Output-Calculation-sheet'!X10*'Output-Calculation-sheet'!X46</f>
        <v>33.982264105465759</v>
      </c>
      <c r="Y55" s="2">
        <f>Y11/'Output-Calculation-sheet'!Y10*'Output-Calculation-sheet'!Y46</f>
        <v>236.35340384344673</v>
      </c>
      <c r="AA55" s="2">
        <f t="shared" si="3"/>
        <v>35.244559906865994</v>
      </c>
    </row>
    <row r="56" spans="1:27" x14ac:dyDescent="0.25">
      <c r="A56" s="2">
        <v>2035</v>
      </c>
      <c r="B56" s="2">
        <f>B12/'Output-Calculation-sheet'!B11*'Output-Calculation-sheet'!B47</f>
        <v>361.06988066224238</v>
      </c>
      <c r="C56" s="2">
        <f>C12/'Output-Calculation-sheet'!C11*'Output-Calculation-sheet'!C47</f>
        <v>293.78078137747582</v>
      </c>
      <c r="D56" s="2">
        <f>D12/'Output-Calculation-sheet'!D11*'Output-Calculation-sheet'!D47</f>
        <v>11942.080504141926</v>
      </c>
      <c r="E56" s="2">
        <f>E12/'Output-Calculation-sheet'!E11*'Output-Calculation-sheet'!E47</f>
        <v>8301.5597871069585</v>
      </c>
      <c r="F56" s="2">
        <f>F12/'Output-Calculation-sheet'!F11*'Output-Calculation-sheet'!F47</f>
        <v>2478.6722820267014</v>
      </c>
      <c r="G56" s="2">
        <f>G12/'Output-Calculation-sheet'!G11*'Output-Calculation-sheet'!G47</f>
        <v>5542.8716485417226</v>
      </c>
      <c r="H56" s="2">
        <f>H12/'Output-Calculation-sheet'!H11*'Output-Calculation-sheet'!H47</f>
        <v>110.53146635323751</v>
      </c>
      <c r="I56" s="2">
        <f>I12/'Output-Calculation-sheet'!I11*'Output-Calculation-sheet'!I47</f>
        <v>3257.1740776705233</v>
      </c>
      <c r="J56" s="2">
        <f>J12/'Output-Calculation-sheet'!J11*'Output-Calculation-sheet'!J47</f>
        <v>3450.8896970726069</v>
      </c>
      <c r="K56" s="2">
        <f>K12/'Output-Calculation-sheet'!K11*'Output-Calculation-sheet'!K47</f>
        <v>4769.2593173519208</v>
      </c>
      <c r="L56" s="2">
        <f>L12/'Output-Calculation-sheet'!L11*'Output-Calculation-sheet'!L47</f>
        <v>3192.6005717630019</v>
      </c>
      <c r="M56" s="2">
        <f>M12/'Output-Calculation-sheet'!M11*'Output-Calculation-sheet'!M47</f>
        <v>73.46357370740914</v>
      </c>
      <c r="N56" s="2">
        <f>N12/'Output-Calculation-sheet'!N11*'Output-Calculation-sheet'!N47</f>
        <v>80.697223592682562</v>
      </c>
      <c r="O56" s="2">
        <f>O12/'Output-Calculation-sheet'!O11*'Output-Calculation-sheet'!O47</f>
        <v>53.902697449558808</v>
      </c>
      <c r="P56" s="2">
        <f>P12/'Output-Calculation-sheet'!P11*'Output-Calculation-sheet'!P47</f>
        <v>1039.7771533375098</v>
      </c>
      <c r="Q56" s="2">
        <f>Q12/'Output-Calculation-sheet'!Q11*'Output-Calculation-sheet'!Q47</f>
        <v>768.05918996495006</v>
      </c>
      <c r="R56" s="2">
        <f>R12/'Output-Calculation-sheet'!R11*'Output-Calculation-sheet'!R47</f>
        <v>4337.5645349769047</v>
      </c>
      <c r="S56" s="2">
        <f>S12/'Output-Calculation-sheet'!S11*'Output-Calculation-sheet'!S47</f>
        <v>36.032885718703291</v>
      </c>
      <c r="T56" s="2">
        <f>T12/'Output-Calculation-sheet'!T11*'Output-Calculation-sheet'!T47</f>
        <v>1574.972645553655</v>
      </c>
      <c r="U56" s="2">
        <f>U12/'Output-Calculation-sheet'!U11*'Output-Calculation-sheet'!U47</f>
        <v>1467.7303344114439</v>
      </c>
      <c r="V56" s="2">
        <f>V12/'Output-Calculation-sheet'!V11*'Output-Calculation-sheet'!V47</f>
        <v>903.4211531794524</v>
      </c>
      <c r="W56" s="2">
        <f>W12/'Output-Calculation-sheet'!W11*'Output-Calculation-sheet'!W47</f>
        <v>534.32390400673319</v>
      </c>
      <c r="X56" s="2">
        <f>X12/'Output-Calculation-sheet'!X11*'Output-Calculation-sheet'!X47</f>
        <v>8.2487328706005911</v>
      </c>
      <c r="Y56" s="2">
        <f>Y12/'Output-Calculation-sheet'!Y11*'Output-Calculation-sheet'!Y47</f>
        <v>176.86250128835417</v>
      </c>
      <c r="AA56" s="2">
        <f t="shared" si="3"/>
        <v>54.755546544126268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7.1099229088098976</v>
      </c>
      <c r="C63" s="2">
        <f>C8*'Output-Calculation-sheet'!C52/10^9</f>
        <v>3.7984864845417228</v>
      </c>
      <c r="D63" s="2">
        <f>D8*'Output-Calculation-sheet'!D52/10^9</f>
        <v>2.4381449326341955</v>
      </c>
      <c r="E63" s="2">
        <f>E8*'Output-Calculation-sheet'!E52/10^9</f>
        <v>2.424170066821647</v>
      </c>
      <c r="F63" s="2">
        <f>F8*'Output-Calculation-sheet'!F52/10^9</f>
        <v>1.0266358228938559</v>
      </c>
      <c r="G63" s="2">
        <f>G8*'Output-Calculation-sheet'!G52/10^9</f>
        <v>0.7381047772146816</v>
      </c>
      <c r="H63" s="2">
        <f>H8*'Output-Calculation-sheet'!H52/10^9</f>
        <v>1.2004565122817541</v>
      </c>
      <c r="I63" s="2">
        <f>I8*'Output-Calculation-sheet'!I52/10^9</f>
        <v>0.68660880303907179</v>
      </c>
      <c r="J63" s="2">
        <f>J8*'Output-Calculation-sheet'!J52/10^9</f>
        <v>0.94482025265269076</v>
      </c>
      <c r="K63" s="2">
        <f>K8*'Output-Calculation-sheet'!K52/10^9</f>
        <v>0.83010862620921932</v>
      </c>
      <c r="L63" s="2">
        <f>L8*'Output-Calculation-sheet'!L52/10^9</f>
        <v>1.1165360422629866</v>
      </c>
      <c r="M63" s="2">
        <f>M8*'Output-Calculation-sheet'!M52/10^9</f>
        <v>0.98345354592313783</v>
      </c>
      <c r="N63" s="2">
        <f>N8*'Output-Calculation-sheet'!N52/10^9</f>
        <v>0.86775519300090431</v>
      </c>
      <c r="O63" s="2">
        <f>O8*'Output-Calculation-sheet'!O52/10^9</f>
        <v>0.77713754374351907</v>
      </c>
      <c r="P63" s="2">
        <f>P8*'Output-Calculation-sheet'!P52/10^9</f>
        <v>0.57358266853481055</v>
      </c>
      <c r="Q63" s="2">
        <f>Q8*'Output-Calculation-sheet'!Q52/10^9</f>
        <v>0.6491274947288489</v>
      </c>
      <c r="R63" s="2">
        <f>R8*'Output-Calculation-sheet'!R52/10^9</f>
        <v>0.58278763829161606</v>
      </c>
      <c r="S63" s="2">
        <f>S8*'Output-Calculation-sheet'!S52/10^9</f>
        <v>0.43186628916549269</v>
      </c>
      <c r="T63" s="2">
        <f>T8*'Output-Calculation-sheet'!T52/10^9</f>
        <v>0.22156753498103413</v>
      </c>
      <c r="U63" s="2">
        <f>U8*'Output-Calculation-sheet'!U52/10^9</f>
        <v>0.1521702087819557</v>
      </c>
      <c r="V63" s="2">
        <f>V8*'Output-Calculation-sheet'!V52/10^9</f>
        <v>0.27006615994809879</v>
      </c>
      <c r="W63" s="2">
        <f>W8*'Output-Calculation-sheet'!W52/10^9</f>
        <v>9.775129717367248E-2</v>
      </c>
      <c r="X63" s="2">
        <f>X8*'Output-Calculation-sheet'!X52/10^9</f>
        <v>0.1007211247167475</v>
      </c>
      <c r="Y63" s="2">
        <f>Y8*'Output-Calculation-sheet'!Y52/10^9</f>
        <v>6.3780002203387143E-2</v>
      </c>
      <c r="AA63" s="2">
        <f t="shared" si="4"/>
        <v>28.085761930554941</v>
      </c>
    </row>
    <row r="64" spans="1:27" x14ac:dyDescent="0.25">
      <c r="A64" s="2">
        <v>2032</v>
      </c>
      <c r="B64" s="2">
        <f>B9*'Output-Calculation-sheet'!B53/10^9</f>
        <v>7.1513452782878018</v>
      </c>
      <c r="C64" s="2">
        <f>C9*'Output-Calculation-sheet'!C53/10^9</f>
        <v>3.7911489994029477</v>
      </c>
      <c r="D64" s="2">
        <f>D9*'Output-Calculation-sheet'!D53/10^9</f>
        <v>2.1179954108421128</v>
      </c>
      <c r="E64" s="2">
        <f>E9*'Output-Calculation-sheet'!E53/10^9</f>
        <v>2.1689204880535242</v>
      </c>
      <c r="F64" s="2">
        <f>F9*'Output-Calculation-sheet'!F53/10^9</f>
        <v>0.91483706161286016</v>
      </c>
      <c r="G64" s="2">
        <f>G9*'Output-Calculation-sheet'!G53/10^9</f>
        <v>0.65115303458309426</v>
      </c>
      <c r="H64" s="2">
        <f>H9*'Output-Calculation-sheet'!H53/10^9</f>
        <v>1.1898239878508463</v>
      </c>
      <c r="I64" s="2">
        <f>I9*'Output-Calculation-sheet'!I53/10^9</f>
        <v>0.60872166525692895</v>
      </c>
      <c r="J64" s="2">
        <f>J9*'Output-Calculation-sheet'!J53/10^9</f>
        <v>0.80582380166883361</v>
      </c>
      <c r="K64" s="2">
        <f>K9*'Output-Calculation-sheet'!K53/10^9</f>
        <v>0.74769485279117009</v>
      </c>
      <c r="L64" s="2">
        <f>L9*'Output-Calculation-sheet'!L53/10^9</f>
        <v>0.96190719330920471</v>
      </c>
      <c r="M64" s="2">
        <f>M9*'Output-Calculation-sheet'!M53/10^9</f>
        <v>0.94398617418792785</v>
      </c>
      <c r="N64" s="2">
        <f>N9*'Output-Calculation-sheet'!N53/10^9</f>
        <v>0.84989256559358362</v>
      </c>
      <c r="O64" s="2">
        <f>O9*'Output-Calculation-sheet'!O53/10^9</f>
        <v>0.76773606325829413</v>
      </c>
      <c r="P64" s="2">
        <f>P9*'Output-Calculation-sheet'!P53/10^9</f>
        <v>0.57006999672439906</v>
      </c>
      <c r="Q64" s="2">
        <f>Q9*'Output-Calculation-sheet'!Q53/10^9</f>
        <v>0.63000930125428645</v>
      </c>
      <c r="R64" s="2">
        <f>R9*'Output-Calculation-sheet'!R53/10^9</f>
        <v>0.540066749002444</v>
      </c>
      <c r="S64" s="2">
        <f>S9*'Output-Calculation-sheet'!S53/10^9</f>
        <v>0.43457660059849401</v>
      </c>
      <c r="T64" s="2">
        <f>T9*'Output-Calculation-sheet'!T53/10^9</f>
        <v>0.19413916743850529</v>
      </c>
      <c r="U64" s="2">
        <f>U9*'Output-Calculation-sheet'!U53/10^9</f>
        <v>0.14612450361419765</v>
      </c>
      <c r="V64" s="2">
        <f>V9*'Output-Calculation-sheet'!V53/10^9</f>
        <v>0.23043006365620627</v>
      </c>
      <c r="W64" s="2">
        <f>W9*'Output-Calculation-sheet'!W53/10^9</f>
        <v>8.5623510266050765E-2</v>
      </c>
      <c r="X64" s="2">
        <f>X9*'Output-Calculation-sheet'!X53/10^9</f>
        <v>9.8166129524319884E-2</v>
      </c>
      <c r="Y64" s="2">
        <f>Y9*'Output-Calculation-sheet'!Y53/10^9</f>
        <v>5.9990656810024613E-2</v>
      </c>
      <c r="AA64" s="2">
        <f t="shared" si="4"/>
        <v>26.660183255588056</v>
      </c>
    </row>
    <row r="65" spans="1:27" x14ac:dyDescent="0.25">
      <c r="A65" s="2">
        <v>2033</v>
      </c>
      <c r="B65" s="2">
        <f>B10*'Output-Calculation-sheet'!B54/10^9</f>
        <v>6.9784176753495588</v>
      </c>
      <c r="C65" s="2">
        <f>C10*'Output-Calculation-sheet'!C54/10^9</f>
        <v>3.6072691585726586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1.1328042645740808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0.65995989025474866</v>
      </c>
      <c r="L65" s="2">
        <f>L10*'Output-Calculation-sheet'!L54/10^9</f>
        <v>0.77954180295671094</v>
      </c>
      <c r="M65" s="2">
        <f>M10*'Output-Calculation-sheet'!M54/10^9</f>
        <v>0.8638353945532049</v>
      </c>
      <c r="N65" s="2">
        <f>N10*'Output-Calculation-sheet'!N54/10^9</f>
        <v>0.79267482827725266</v>
      </c>
      <c r="O65" s="2">
        <f>O10*'Output-Calculation-sheet'!O54/10^9</f>
        <v>0.72291269045809603</v>
      </c>
      <c r="P65" s="2">
        <f>P10*'Output-Calculation-sheet'!P54/10^9</f>
        <v>0.55839338381456605</v>
      </c>
      <c r="Q65" s="2">
        <f>Q10*'Output-Calculation-sheet'!Q54/10^9</f>
        <v>0.60827619735693017</v>
      </c>
      <c r="R65" s="2">
        <f>R10*'Output-Calculation-sheet'!R54/10^9</f>
        <v>0.49164824743276675</v>
      </c>
      <c r="S65" s="2">
        <f>S10*'Output-Calculation-sheet'!S54/10^9</f>
        <v>0.41813482601708635</v>
      </c>
      <c r="T65" s="2">
        <f>T10*'Output-Calculation-sheet'!T54/10^9</f>
        <v>0.16436486698828492</v>
      </c>
      <c r="U65" s="2">
        <f>U10*'Output-Calculation-sheet'!U54/10^9</f>
        <v>0.14192580794571885</v>
      </c>
      <c r="V65" s="2">
        <f>V10*'Output-Calculation-sheet'!V54/10^9</f>
        <v>0.18190142903439874</v>
      </c>
      <c r="W65" s="2">
        <f>W10*'Output-Calculation-sheet'!W54/10^9</f>
        <v>6.9254057375197575E-2</v>
      </c>
      <c r="X65" s="2">
        <f>X10*'Output-Calculation-sheet'!X54/10^9</f>
        <v>9.0573751112365639E-2</v>
      </c>
      <c r="Y65" s="2">
        <f>Y10*'Output-Calculation-sheet'!Y54/10^9</f>
        <v>5.7004522409773981E-2</v>
      </c>
      <c r="AA65" s="2">
        <f t="shared" si="4"/>
        <v>24.360965081906315</v>
      </c>
    </row>
    <row r="66" spans="1:27" x14ac:dyDescent="0.25">
      <c r="A66" s="2">
        <v>2034</v>
      </c>
      <c r="B66" s="2">
        <f>B11*'Output-Calculation-sheet'!B55/10^9</f>
        <v>6.5546250048833778</v>
      </c>
      <c r="C66" s="2">
        <f>C11*'Output-Calculation-sheet'!C55/10^9</f>
        <v>3.2972356209400182</v>
      </c>
      <c r="D66" s="2">
        <f>D11*'Output-Calculation-sheet'!D55/10^9</f>
        <v>1.479275428709091</v>
      </c>
      <c r="E66" s="2">
        <f>E11*'Output-Calculation-sheet'!E55/10^9</f>
        <v>1.7912976308984081</v>
      </c>
      <c r="F66" s="2">
        <f>F11*'Output-Calculation-sheet'!F55/10^9</f>
        <v>0.68842615831876075</v>
      </c>
      <c r="G66" s="2">
        <f>G11*'Output-Calculation-sheet'!G55/10^9</f>
        <v>0.49207202009285333</v>
      </c>
      <c r="H66" s="2">
        <f>H11*'Output-Calculation-sheet'!H55/10^9</f>
        <v>1.0268279912934841</v>
      </c>
      <c r="I66" s="2">
        <f>I11*'Output-Calculation-sheet'!I55/10^9</f>
        <v>0.48118682520344608</v>
      </c>
      <c r="J66" s="2">
        <f>J11*'Output-Calculation-sheet'!J55/10^9</f>
        <v>0.49482163343283508</v>
      </c>
      <c r="K66" s="2">
        <f>K11*'Output-Calculation-sheet'!K55/10^9</f>
        <v>0.59183024975141774</v>
      </c>
      <c r="L66" s="2">
        <f>L11*'Output-Calculation-sheet'!L55/10^9</f>
        <v>0.6267688905404728</v>
      </c>
      <c r="M66" s="2">
        <f>M11*'Output-Calculation-sheet'!M55/10^9</f>
        <v>0.7484866572362644</v>
      </c>
      <c r="N66" s="2">
        <f>N11*'Output-Calculation-sheet'!N55/10^9</f>
        <v>0.70710353539323456</v>
      </c>
      <c r="O66" s="2">
        <f>O11*'Output-Calculation-sheet'!O55/10^9</f>
        <v>0.64989624124298051</v>
      </c>
      <c r="P66" s="2">
        <f>P11*'Output-Calculation-sheet'!P55/10^9</f>
        <v>0.54269762556429058</v>
      </c>
      <c r="Q66" s="2">
        <f>Q11*'Output-Calculation-sheet'!Q55/10^9</f>
        <v>0.5740508688346061</v>
      </c>
      <c r="R66" s="2">
        <f>R11*'Output-Calculation-sheet'!R55/10^9</f>
        <v>0.44334715217643295</v>
      </c>
      <c r="S66" s="2">
        <f>S11*'Output-Calculation-sheet'!S55/10^9</f>
        <v>0.38673852771372391</v>
      </c>
      <c r="T66" s="2">
        <f>T11*'Output-Calculation-sheet'!T55/10^9</f>
        <v>0.13896726016090422</v>
      </c>
      <c r="U66" s="2">
        <f>U11*'Output-Calculation-sheet'!U55/10^9</f>
        <v>0.14188365297942412</v>
      </c>
      <c r="V66" s="2">
        <f>V11*'Output-Calculation-sheet'!V55/10^9</f>
        <v>0.13183005127997843</v>
      </c>
      <c r="W66" s="2">
        <f>W11*'Output-Calculation-sheet'!W55/10^9</f>
        <v>5.9692562861408574E-2</v>
      </c>
      <c r="X66" s="2">
        <f>X11*'Output-Calculation-sheet'!X55/10^9</f>
        <v>7.996970703983837E-2</v>
      </c>
      <c r="Y66" s="2">
        <f>Y11*'Output-Calculation-sheet'!Y55/10^9</f>
        <v>5.8359650438602244E-2</v>
      </c>
      <c r="AA66" s="2">
        <f t="shared" si="4"/>
        <v>22.18739094698585</v>
      </c>
    </row>
    <row r="67" spans="1:27" x14ac:dyDescent="0.25">
      <c r="A67" s="2">
        <v>2035</v>
      </c>
      <c r="B67" s="2">
        <f>B12*'Output-Calculation-sheet'!B56/10^9</f>
        <v>6.0838135191986247</v>
      </c>
      <c r="C67" s="2">
        <f>C12*'Output-Calculation-sheet'!C56/10^9</f>
        <v>2.846173792240295</v>
      </c>
      <c r="D67" s="2">
        <f>D12*'Output-Calculation-sheet'!D56/10^9</f>
        <v>1.5524330768663386</v>
      </c>
      <c r="E67" s="2">
        <f>E12*'Output-Calculation-sheet'!E56/10^9</f>
        <v>1.8986579821414005</v>
      </c>
      <c r="F67" s="2">
        <f>F12*'Output-Calculation-sheet'!F56/10^9</f>
        <v>0.76842179695257062</v>
      </c>
      <c r="G67" s="2">
        <f>G12*'Output-Calculation-sheet'!G56/10^9</f>
        <v>0.5640266485763189</v>
      </c>
      <c r="H67" s="2">
        <f>H12*'Output-Calculation-sheet'!H56/10^9</f>
        <v>0.89949817084436023</v>
      </c>
      <c r="I67" s="2">
        <f>I12*'Output-Calculation-sheet'!I56/10^9</f>
        <v>0.53278011581658347</v>
      </c>
      <c r="J67" s="2">
        <f>J12*'Output-Calculation-sheet'!J56/10^9</f>
        <v>0.49489470748347936</v>
      </c>
      <c r="K67" s="2">
        <f>K12*'Output-Calculation-sheet'!K56/10^9</f>
        <v>0.60809822019485293</v>
      </c>
      <c r="L67" s="2">
        <f>L12*'Output-Calculation-sheet'!L56/10^9</f>
        <v>0.58058296231115625</v>
      </c>
      <c r="M67" s="2">
        <f>M12*'Output-Calculation-sheet'!M56/10^9</f>
        <v>0.62610681865497086</v>
      </c>
      <c r="N67" s="2">
        <f>N12*'Output-Calculation-sheet'!N56/10^9</f>
        <v>0.61012043694574425</v>
      </c>
      <c r="O67" s="2">
        <f>O12*'Output-Calculation-sheet'!O56/10^9</f>
        <v>0.55321783281856374</v>
      </c>
      <c r="P67" s="2">
        <f>P12*'Output-Calculation-sheet'!P56/10^9</f>
        <v>0.53796634870105853</v>
      </c>
      <c r="Q67" s="2">
        <f>Q12*'Output-Calculation-sheet'!Q56/10^9</f>
        <v>0.54471721264219486</v>
      </c>
      <c r="R67" s="2">
        <f>R12*'Output-Calculation-sheet'!R56/10^9</f>
        <v>0.44840240890879229</v>
      </c>
      <c r="S67" s="2">
        <f>S12*'Output-Calculation-sheet'!S56/10^9</f>
        <v>0.34881303390915708</v>
      </c>
      <c r="T67" s="2">
        <f>T12*'Output-Calculation-sheet'!T56/10^9</f>
        <v>0.13741665180284099</v>
      </c>
      <c r="U67" s="2">
        <f>U12*'Output-Calculation-sheet'!U56/10^9</f>
        <v>0.14757229552035314</v>
      </c>
      <c r="V67" s="2">
        <f>V12*'Output-Calculation-sheet'!V56/10^9</f>
        <v>0.10549186980994768</v>
      </c>
      <c r="W67" s="2">
        <f>W12*'Output-Calculation-sheet'!W56/10^9</f>
        <v>7.0028465296484446E-2</v>
      </c>
      <c r="X67" s="2">
        <f>X12*'Output-Calculation-sheet'!X56/10^9</f>
        <v>6.667375389019152E-2</v>
      </c>
      <c r="Y67" s="2">
        <f>Y12*'Output-Calculation-sheet'!Y56/10^9</f>
        <v>6.2277321784005621E-2</v>
      </c>
      <c r="AA67" s="2">
        <f t="shared" si="4"/>
        <v>21.088185443310284</v>
      </c>
    </row>
    <row r="68" spans="1:27" x14ac:dyDescent="0.25">
      <c r="B68" s="2">
        <f>SUM(B60:B67)</f>
        <v>33.878124386529258</v>
      </c>
      <c r="C68" s="2">
        <f t="shared" ref="C68:Y68" si="5">SUM(C60:C67)</f>
        <v>17.34031405569764</v>
      </c>
      <c r="D68" s="2">
        <f t="shared" si="5"/>
        <v>9.2813184945401748</v>
      </c>
      <c r="E68" s="2">
        <f t="shared" si="5"/>
        <v>10.189864124989622</v>
      </c>
      <c r="F68" s="2">
        <f t="shared" si="5"/>
        <v>4.1724554952586423</v>
      </c>
      <c r="G68" s="2">
        <f t="shared" si="5"/>
        <v>2.9768703897456121</v>
      </c>
      <c r="H68" s="2">
        <f t="shared" si="5"/>
        <v>5.449410926844525</v>
      </c>
      <c r="I68" s="2">
        <f t="shared" si="5"/>
        <v>2.8268470311337435</v>
      </c>
      <c r="J68" s="2">
        <f t="shared" si="5"/>
        <v>3.3589468935207059</v>
      </c>
      <c r="K68" s="2">
        <f t="shared" si="5"/>
        <v>3.4376918392014089</v>
      </c>
      <c r="L68" s="2">
        <f t="shared" si="5"/>
        <v>4.0653368913805306</v>
      </c>
      <c r="M68" s="2">
        <f t="shared" si="5"/>
        <v>4.1658685905555055</v>
      </c>
      <c r="N68" s="2">
        <f t="shared" si="5"/>
        <v>3.8275465592107198</v>
      </c>
      <c r="O68" s="2">
        <f t="shared" si="5"/>
        <v>3.470900371521453</v>
      </c>
      <c r="P68" s="2">
        <f t="shared" si="5"/>
        <v>2.7827100233391246</v>
      </c>
      <c r="Q68" s="2">
        <f t="shared" si="5"/>
        <v>3.0061810748168662</v>
      </c>
      <c r="R68" s="2">
        <f t="shared" si="5"/>
        <v>2.5062521958120523</v>
      </c>
      <c r="S68" s="2">
        <f t="shared" si="5"/>
        <v>2.0201292774039539</v>
      </c>
      <c r="T68" s="2">
        <f t="shared" si="5"/>
        <v>0.85645548137156957</v>
      </c>
      <c r="U68" s="2">
        <f t="shared" si="5"/>
        <v>0.72967646884164949</v>
      </c>
      <c r="V68" s="2">
        <f t="shared" si="5"/>
        <v>0.91971957372862989</v>
      </c>
      <c r="W68" s="2">
        <f t="shared" si="5"/>
        <v>0.3823498929728138</v>
      </c>
      <c r="X68" s="2">
        <f t="shared" si="5"/>
        <v>0.43610446628346294</v>
      </c>
      <c r="Y68" s="2">
        <f t="shared" si="5"/>
        <v>0.3014121536457936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46.950197588973325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4.6950197588973328E-2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439.45785352904187</v>
      </c>
      <c r="Q76" s="2">
        <f>Q10/'Output-Calculation-sheet'!Q9*'Output-Calculation-sheet'!Q63</f>
        <v>52.118754226801542</v>
      </c>
      <c r="R76" s="2">
        <f>R10/'Output-Calculation-sheet'!R9*'Output-Calculation-sheet'!R63</f>
        <v>335.35831643033498</v>
      </c>
      <c r="S76" s="2">
        <f>S10/'Output-Calculation-sheet'!S9*'Output-Calculation-sheet'!S63</f>
        <v>0</v>
      </c>
      <c r="T76" s="2">
        <f>T10/'Output-Calculation-sheet'!T9*'Output-Calculation-sheet'!T63</f>
        <v>21.977343840724558</v>
      </c>
      <c r="U76" s="2">
        <f>U10/'Output-Calculation-sheet'!U9*'Output-Calculation-sheet'!U63</f>
        <v>118.81472379561252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5.6354659962798159</v>
      </c>
      <c r="AA76" s="2">
        <f t="shared" si="6"/>
        <v>1.0656189106265128</v>
      </c>
    </row>
    <row r="77" spans="1:27" x14ac:dyDescent="0.25">
      <c r="A77" s="2">
        <v>2034</v>
      </c>
      <c r="B77" s="2">
        <f>B11/'Output-Calculation-sheet'!B10*'Output-Calculation-sheet'!B64</f>
        <v>403.3143631374553</v>
      </c>
      <c r="C77" s="2">
        <f>C11/'Output-Calculation-sheet'!C10*'Output-Calculation-sheet'!C64</f>
        <v>0</v>
      </c>
      <c r="D77" s="2">
        <f>D11/'Output-Calculation-sheet'!D10*'Output-Calculation-sheet'!D64</f>
        <v>1434.5688152473065</v>
      </c>
      <c r="E77" s="2">
        <f>E11/'Output-Calculation-sheet'!E10*'Output-Calculation-sheet'!E64</f>
        <v>1778.8249554978765</v>
      </c>
      <c r="F77" s="2">
        <f>F11/'Output-Calculation-sheet'!F10*'Output-Calculation-sheet'!F64</f>
        <v>115.73922189400426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117.61813551137401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312.92545610405307</v>
      </c>
      <c r="K77" s="2">
        <f>K11/'Output-Calculation-sheet'!K10*'Output-Calculation-sheet'!K64</f>
        <v>683.78528962751091</v>
      </c>
      <c r="L77" s="2">
        <f>L11/'Output-Calculation-sheet'!L10*'Output-Calculation-sheet'!L64</f>
        <v>281.9178552522805</v>
      </c>
      <c r="M77" s="2">
        <f>M11/'Output-Calculation-sheet'!M10*'Output-Calculation-sheet'!M64</f>
        <v>84.710390117550276</v>
      </c>
      <c r="N77" s="2">
        <f>N11/'Output-Calculation-sheet'!N10*'Output-Calculation-sheet'!N64</f>
        <v>28.016112433487251</v>
      </c>
      <c r="O77" s="2">
        <f>O11/'Output-Calculation-sheet'!O10*'Output-Calculation-sheet'!O64</f>
        <v>0</v>
      </c>
      <c r="P77" s="2">
        <f>P11/'Output-Calculation-sheet'!P10*'Output-Calculation-sheet'!P64</f>
        <v>581.02413016457058</v>
      </c>
      <c r="Q77" s="2">
        <f>Q11/'Output-Calculation-sheet'!Q10*'Output-Calculation-sheet'!Q64</f>
        <v>139.37442133634903</v>
      </c>
      <c r="R77" s="2">
        <f>R11/'Output-Calculation-sheet'!R10*'Output-Calculation-sheet'!R64</f>
        <v>717.14347910398931</v>
      </c>
      <c r="S77" s="2">
        <f>S11/'Output-Calculation-sheet'!S10*'Output-Calculation-sheet'!S64</f>
        <v>0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263.64938622903003</v>
      </c>
      <c r="V77" s="2">
        <f>V11/'Output-Calculation-sheet'!V10*'Output-Calculation-sheet'!V64</f>
        <v>102.98068077129838</v>
      </c>
      <c r="W77" s="2">
        <f>W11/'Output-Calculation-sheet'!W10*'Output-Calculation-sheet'!W64</f>
        <v>22.551532982063325</v>
      </c>
      <c r="X77" s="2">
        <f>X11/'Output-Calculation-sheet'!X10*'Output-Calculation-sheet'!X64</f>
        <v>8.4446962346719783</v>
      </c>
      <c r="Y77" s="2">
        <f>Y11/'Output-Calculation-sheet'!Y10*'Output-Calculation-sheet'!Y64</f>
        <v>47.598716097796938</v>
      </c>
      <c r="AA77" s="2">
        <f t="shared" si="6"/>
        <v>8.5214338560718303</v>
      </c>
    </row>
    <row r="78" spans="1:27" x14ac:dyDescent="0.25">
      <c r="A78" s="2">
        <v>2035</v>
      </c>
      <c r="B78" s="2">
        <f>B12/'Output-Calculation-sheet'!B11*'Output-Calculation-sheet'!B65</f>
        <v>68.65485873734923</v>
      </c>
      <c r="C78" s="2">
        <f>C12/'Output-Calculation-sheet'!C11*'Output-Calculation-sheet'!C65</f>
        <v>54.990049869781132</v>
      </c>
      <c r="D78" s="2">
        <f>D12/'Output-Calculation-sheet'!D11*'Output-Calculation-sheet'!D65</f>
        <v>2624.6336338997203</v>
      </c>
      <c r="E78" s="2">
        <f>E12/'Output-Calculation-sheet'!E11*'Output-Calculation-sheet'!E65</f>
        <v>1272.7784859894239</v>
      </c>
      <c r="F78" s="2">
        <f>F12/'Output-Calculation-sheet'!F11*'Output-Calculation-sheet'!F65</f>
        <v>656.38385533730843</v>
      </c>
      <c r="G78" s="2">
        <f>G12/'Output-Calculation-sheet'!G11*'Output-Calculation-sheet'!G65</f>
        <v>1218.2129792055814</v>
      </c>
      <c r="H78" s="2">
        <f>H12/'Output-Calculation-sheet'!H11*'Output-Calculation-sheet'!H65</f>
        <v>23.088516073922865</v>
      </c>
      <c r="I78" s="2">
        <f>I12/'Output-Calculation-sheet'!I11*'Output-Calculation-sheet'!I65</f>
        <v>809.60426164236662</v>
      </c>
      <c r="J78" s="2">
        <f>J12/'Output-Calculation-sheet'!J11*'Output-Calculation-sheet'!J65</f>
        <v>842.02747337911853</v>
      </c>
      <c r="K78" s="2">
        <f>K12/'Output-Calculation-sheet'!K11*'Output-Calculation-sheet'!K65</f>
        <v>1048.1882941636429</v>
      </c>
      <c r="L78" s="2">
        <f>L12/'Output-Calculation-sheet'!L11*'Output-Calculation-sheet'!L65</f>
        <v>569.80127818048209</v>
      </c>
      <c r="M78" s="2">
        <f>M12/'Output-Calculation-sheet'!M11*'Output-Calculation-sheet'!M65</f>
        <v>16.145564946213064</v>
      </c>
      <c r="N78" s="2">
        <f>N12/'Output-Calculation-sheet'!N11*'Output-Calculation-sheet'!N65</f>
        <v>16.783323618360232</v>
      </c>
      <c r="O78" s="2">
        <f>O12/'Output-Calculation-sheet'!O11*'Output-Calculation-sheet'!O65</f>
        <v>9.5827898451134779</v>
      </c>
      <c r="P78" s="2">
        <f>P12/'Output-Calculation-sheet'!P11*'Output-Calculation-sheet'!P65</f>
        <v>197.38501688979915</v>
      </c>
      <c r="Q78" s="2">
        <f>Q12/'Output-Calculation-sheet'!Q11*'Output-Calculation-sheet'!Q65</f>
        <v>147.08631185189245</v>
      </c>
      <c r="R78" s="2">
        <f>R12/'Output-Calculation-sheet'!R11*'Output-Calculation-sheet'!R65</f>
        <v>907.09493626385313</v>
      </c>
      <c r="S78" s="2">
        <f>S12/'Output-Calculation-sheet'!S11*'Output-Calculation-sheet'!S65</f>
        <v>6.8769249325033321</v>
      </c>
      <c r="T78" s="2">
        <f>T12/'Output-Calculation-sheet'!T11*'Output-Calculation-sheet'!T65</f>
        <v>329.17965895409304</v>
      </c>
      <c r="U78" s="2">
        <f>U12/'Output-Calculation-sheet'!U11*'Output-Calculation-sheet'!U65</f>
        <v>270.78567980037047</v>
      </c>
      <c r="V78" s="2">
        <f>V12/'Output-Calculation-sheet'!V11*'Output-Calculation-sheet'!V65</f>
        <v>164.13994167831393</v>
      </c>
      <c r="W78" s="2">
        <f>W12/'Output-Calculation-sheet'!W11*'Output-Calculation-sheet'!W65</f>
        <v>117.43377104383471</v>
      </c>
      <c r="X78" s="2">
        <f>X12/'Output-Calculation-sheet'!X11*'Output-Calculation-sheet'!X65</f>
        <v>1.6484191918191018</v>
      </c>
      <c r="Y78" s="2">
        <f>Y12/'Output-Calculation-sheet'!Y11*'Output-Calculation-sheet'!Y65</f>
        <v>28.888883823995016</v>
      </c>
      <c r="AA78" s="2">
        <f t="shared" si="6"/>
        <v>11.401394909318855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57.830898325142499</v>
      </c>
      <c r="E89" s="2">
        <f>E12/'Output-Calculation-sheet'!E11*'Output-Calculation-sheet'!E74</f>
        <v>43.087680555918467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29.821297758236167</v>
      </c>
      <c r="H89" s="2">
        <f>H12/'Output-Calculation-sheet'!H11*'Output-Calculation-sheet'!H74</f>
        <v>3.7681181711330969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13.849724536746248</v>
      </c>
      <c r="K89" s="2">
        <f>K12/'Output-Calculation-sheet'!K11*'Output-Calculation-sheet'!K74</f>
        <v>19.48507772049571</v>
      </c>
      <c r="L89" s="2">
        <f>L12/'Output-Calculation-sheet'!L11*'Output-Calculation-sheet'!L74</f>
        <v>7.2911232012857594</v>
      </c>
      <c r="M89" s="2">
        <f>M12/'Output-Calculation-sheet'!M11*'Output-Calculation-sheet'!M74</f>
        <v>3.4571093509369009</v>
      </c>
      <c r="N89" s="2">
        <f>N12/'Output-Calculation-sheet'!N11*'Output-Calculation-sheet'!N74</f>
        <v>1.6988889177406854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3.1389498968679543</v>
      </c>
      <c r="Q89" s="2">
        <f>Q12/'Output-Calculation-sheet'!Q11*'Output-Calculation-sheet'!Q74</f>
        <v>4.4654604067729657</v>
      </c>
      <c r="R89" s="2">
        <f>R12/'Output-Calculation-sheet'!R11*'Output-Calculation-sheet'!R74</f>
        <v>12.546979257207312</v>
      </c>
      <c r="S89" s="2">
        <f>S12/'Output-Calculation-sheet'!S11*'Output-Calculation-sheet'!S74</f>
        <v>1.460792664271755</v>
      </c>
      <c r="T89" s="2">
        <f>T12/'Output-Calculation-sheet'!T11*'Output-Calculation-sheet'!T74</f>
        <v>3.2766421197371463</v>
      </c>
      <c r="U89" s="2">
        <f>U12/'Output-Calculation-sheet'!U11*'Output-Calculation-sheet'!U74</f>
        <v>6.6488350369714331</v>
      </c>
      <c r="V89" s="2">
        <f>V12/'Output-Calculation-sheet'!V11*'Output-Calculation-sheet'!V74</f>
        <v>0.91550583013726428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1.646934828344736</v>
      </c>
      <c r="AA89" s="2">
        <f t="shared" si="7"/>
        <v>0.29938742552231778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1680.3778130304868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517.27240770157755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355.93375720267528</v>
      </c>
      <c r="N107" s="2">
        <f>N8/'Output-Calculation-sheet'!N7*'Output-Calculation-sheet'!N88</f>
        <v>139.93006391829709</v>
      </c>
      <c r="O107" s="2">
        <f>O8/'Output-Calculation-sheet'!O7*'Output-Calculation-sheet'!O88</f>
        <v>391.74087221090809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39.04667344757128</v>
      </c>
      <c r="Y107" s="2">
        <f>Y8/'Output-Calculation-sheet'!Y7*'Output-Calculation-sheet'!Y88</f>
        <v>0</v>
      </c>
      <c r="AA107" s="2">
        <f t="shared" si="9"/>
        <v>3.1243015875115163</v>
      </c>
    </row>
    <row r="108" spans="1:27" x14ac:dyDescent="0.25">
      <c r="A108" s="2">
        <v>2032</v>
      </c>
      <c r="B108" s="2">
        <f>B9/'Output-Calculation-sheet'!B8*'Output-Calculation-sheet'!B89</f>
        <v>746.97489483007212</v>
      </c>
      <c r="C108" s="2">
        <f>C9/'Output-Calculation-sheet'!C8*'Output-Calculation-sheet'!C89</f>
        <v>2836.2525929705071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763.95070008011601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525.67242897286394</v>
      </c>
      <c r="N108" s="2">
        <f>N9/'Output-Calculation-sheet'!N8*'Output-Calculation-sheet'!N89</f>
        <v>369.03624770536811</v>
      </c>
      <c r="O108" s="2">
        <f>O9/'Output-Calculation-sheet'!O8*'Output-Calculation-sheet'!O89</f>
        <v>551.00508546593858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169.23545355444625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57.667358768691557</v>
      </c>
      <c r="Y108" s="2">
        <f>Y9/'Output-Calculation-sheet'!Y8*'Output-Calculation-sheet'!Y89</f>
        <v>0</v>
      </c>
      <c r="AA108" s="2">
        <f t="shared" si="9"/>
        <v>6.0197947623480035</v>
      </c>
    </row>
    <row r="109" spans="1:27" x14ac:dyDescent="0.25">
      <c r="A109" s="2">
        <v>2033</v>
      </c>
      <c r="B109" s="2">
        <f>B10/'Output-Calculation-sheet'!B9*'Output-Calculation-sheet'!B90</f>
        <v>3760.3926643258183</v>
      </c>
      <c r="C109" s="2">
        <f>C10/'Output-Calculation-sheet'!C9*'Output-Calculation-sheet'!C90</f>
        <v>3569.5387885852679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1098.8147482295847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756.09148290914129</v>
      </c>
      <c r="N109" s="2">
        <f>N10/'Output-Calculation-sheet'!N9*'Output-Calculation-sheet'!N90</f>
        <v>594.49224688914092</v>
      </c>
      <c r="O109" s="2">
        <f>O10/'Output-Calculation-sheet'!O9*'Output-Calculation-sheet'!O90</f>
        <v>693.46222200134662</v>
      </c>
      <c r="P109" s="2">
        <f>P10/'Output-Calculation-sheet'!P9*'Output-Calculation-sheet'!P90</f>
        <v>0</v>
      </c>
      <c r="Q109" s="2">
        <f>Q10/'Output-Calculation-sheet'!Q9*'Output-Calculation-sheet'!Q90</f>
        <v>130.21655717134621</v>
      </c>
      <c r="R109" s="2">
        <f>R10/'Output-Calculation-sheet'!R9*'Output-Calculation-sheet'!R90</f>
        <v>0</v>
      </c>
      <c r="S109" s="2">
        <f>S10/'Output-Calculation-sheet'!S9*'Output-Calculation-sheet'!S90</f>
        <v>298.1855439494621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82.944808218435725</v>
      </c>
      <c r="Y109" s="2">
        <f>Y10/'Output-Calculation-sheet'!Y9*'Output-Calculation-sheet'!Y90</f>
        <v>0</v>
      </c>
      <c r="AA109" s="2">
        <f t="shared" si="9"/>
        <v>10.984139062279546</v>
      </c>
    </row>
    <row r="110" spans="1:27" x14ac:dyDescent="0.25">
      <c r="A110" s="2">
        <v>2034</v>
      </c>
      <c r="B110" s="2">
        <f>B11/'Output-Calculation-sheet'!B10*'Output-Calculation-sheet'!B91</f>
        <v>6510.0704272763733</v>
      </c>
      <c r="C110" s="2">
        <f>C11/'Output-Calculation-sheet'!C10*'Output-Calculation-sheet'!C91</f>
        <v>4463.0879265394815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1268.1940488763721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872.64092566687987</v>
      </c>
      <c r="N110" s="2">
        <f>N11/'Output-Calculation-sheet'!N10*'Output-Calculation-sheet'!N91</f>
        <v>786.19246699015014</v>
      </c>
      <c r="O110" s="2">
        <f>O11/'Output-Calculation-sheet'!O10*'Output-Calculation-sheet'!O91</f>
        <v>867.0539960015675</v>
      </c>
      <c r="P110" s="2">
        <f>P11/'Output-Calculation-sheet'!P10*'Output-Calculation-sheet'!P91</f>
        <v>198.0828392716644</v>
      </c>
      <c r="Q110" s="2">
        <f>Q11/'Output-Calculation-sheet'!Q10*'Output-Calculation-sheet'!Q91</f>
        <v>438.34316398328923</v>
      </c>
      <c r="R110" s="2">
        <f>R11/'Output-Calculation-sheet'!R10*'Output-Calculation-sheet'!R91</f>
        <v>0</v>
      </c>
      <c r="S110" s="2">
        <f>S11/'Output-Calculation-sheet'!S10*'Output-Calculation-sheet'!S91</f>
        <v>450.67266277862035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95.730524492226721</v>
      </c>
      <c r="Y110" s="2">
        <f>Y11/'Output-Calculation-sheet'!Y10*'Output-Calculation-sheet'!Y91</f>
        <v>15.396964548177154</v>
      </c>
      <c r="AA110" s="2">
        <f t="shared" si="9"/>
        <v>15.965465946424803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1990.6508416834333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280.70824324950172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725.09742617649749</v>
      </c>
      <c r="Q111" s="2">
        <f>Q12/'Output-Calculation-sheet'!Q11*'Output-Calculation-sheet'!Q92</f>
        <v>687.68090264303669</v>
      </c>
      <c r="R111" s="2">
        <f>R12/'Output-Calculation-sheet'!R11*'Output-Calculation-sheet'!R92</f>
        <v>0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77.497433311555085</v>
      </c>
      <c r="AA111" s="2">
        <f t="shared" si="9"/>
        <v>23.421331489664311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7899425546.7324457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2430491067.5087109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1688185489.8828995</v>
      </c>
      <c r="N118" s="2">
        <f>N8/'Output-Calculation-sheet'!N7*'Output-Calculation-sheet'!N97</f>
        <v>1324744265.5811007</v>
      </c>
      <c r="O118" s="2">
        <f>O8/'Output-Calculation-sheet'!O7*'Output-Calculation-sheet'!O97</f>
        <v>881500059.02319396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181954354.24782017</v>
      </c>
      <c r="Y118" s="2">
        <f>Y8/'Output-Calculation-sheet'!Y7*'Output-Calculation-sheet'!Y97</f>
        <v>0</v>
      </c>
      <c r="AA118" s="2">
        <f t="shared" si="10"/>
        <v>16233.076772809854</v>
      </c>
    </row>
    <row r="119" spans="1:27" x14ac:dyDescent="0.25">
      <c r="A119" s="2">
        <v>2032</v>
      </c>
      <c r="B119" s="2">
        <f>B9/'Output-Calculation-sheet'!B8*'Output-Calculation-sheet'!B98</f>
        <v>5603844464.9058418</v>
      </c>
      <c r="C119" s="2">
        <f>C9/'Output-Calculation-sheet'!C8*'Output-Calculation-sheet'!C98</f>
        <v>4454048769.847806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2662640320.6408286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1858532915.1937385</v>
      </c>
      <c r="N119" s="2">
        <f>N9/'Output-Calculation-sheet'!N8*'Output-Calculation-sheet'!N98</f>
        <v>1256899118.2561507</v>
      </c>
      <c r="O119" s="2">
        <f>O9/'Output-Calculation-sheet'!O8*'Output-Calculation-sheet'!O98</f>
        <v>870238826.61838102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521600591.40015876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198869684.84228605</v>
      </c>
      <c r="Y119" s="2">
        <f>Y9/'Output-Calculation-sheet'!Y8*'Output-Calculation-sheet'!Y98</f>
        <v>0</v>
      </c>
      <c r="AA119" s="2">
        <f t="shared" si="10"/>
        <v>17426.674691705193</v>
      </c>
    </row>
    <row r="120" spans="1:27" x14ac:dyDescent="0.25">
      <c r="A120" s="2">
        <v>2033</v>
      </c>
      <c r="B120" s="2">
        <f>B10/'Output-Calculation-sheet'!B9*'Output-Calculation-sheet'!B99</f>
        <v>5409825907.7461443</v>
      </c>
      <c r="C120" s="2">
        <f>C10/'Output-Calculation-sheet'!C9*'Output-Calculation-sheet'!C99</f>
        <v>4447212813.7344189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1458135733.093502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1032080585.1628306</v>
      </c>
      <c r="N120" s="2">
        <f>N10/'Output-Calculation-sheet'!N9*'Output-Calculation-sheet'!N99</f>
        <v>1028874992.57146</v>
      </c>
      <c r="O120" s="2">
        <f>O10/'Output-Calculation-sheet'!O9*'Output-Calculation-sheet'!O99</f>
        <v>870668477.49122477</v>
      </c>
      <c r="P120" s="2">
        <f>P10/'Output-Calculation-sheet'!P9*'Output-Calculation-sheet'!P99</f>
        <v>0</v>
      </c>
      <c r="Q120" s="2">
        <f>Q10/'Output-Calculation-sheet'!Q9*'Output-Calculation-sheet'!Q99</f>
        <v>6537742.2993211281</v>
      </c>
      <c r="R120" s="2">
        <f>R10/'Output-Calculation-sheet'!R9*'Output-Calculation-sheet'!R99</f>
        <v>0</v>
      </c>
      <c r="S120" s="2">
        <f>S10/'Output-Calculation-sheet'!S9*'Output-Calculation-sheet'!S99</f>
        <v>430886132.6960029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103057825.46199882</v>
      </c>
      <c r="Y120" s="2">
        <f>Y10/'Output-Calculation-sheet'!Y9*'Output-Calculation-sheet'!Y99</f>
        <v>0</v>
      </c>
      <c r="AA120" s="2">
        <f t="shared" si="10"/>
        <v>14787.280210256902</v>
      </c>
    </row>
    <row r="121" spans="1:27" x14ac:dyDescent="0.25">
      <c r="A121" s="2">
        <v>2034</v>
      </c>
      <c r="B121" s="2">
        <f>B11/'Output-Calculation-sheet'!B10*'Output-Calculation-sheet'!B100</f>
        <v>4835043397.3996935</v>
      </c>
      <c r="C121" s="2">
        <f>C11/'Output-Calculation-sheet'!C10*'Output-Calculation-sheet'!C100</f>
        <v>585909813.53939176</v>
      </c>
      <c r="D121" s="2">
        <f>D11/'Output-Calculation-sheet'!D10*'Output-Calculation-sheet'!D100</f>
        <v>0</v>
      </c>
      <c r="E121" s="2">
        <f>E11/'Output-Calculation-sheet'!E10*'Output-Calculation-sheet'!E100</f>
        <v>676842722.92948627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1542755315.4493427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562029151.242208</v>
      </c>
      <c r="M121" s="2">
        <f>M11/'Output-Calculation-sheet'!M10*'Output-Calculation-sheet'!M100</f>
        <v>1097973056.6393511</v>
      </c>
      <c r="N121" s="2">
        <f>N11/'Output-Calculation-sheet'!N10*'Output-Calculation-sheet'!N100</f>
        <v>731994103.34753501</v>
      </c>
      <c r="O121" s="2">
        <f>O11/'Output-Calculation-sheet'!O10*'Output-Calculation-sheet'!O100</f>
        <v>114928137.098179</v>
      </c>
      <c r="P121" s="2">
        <f>P11/'Output-Calculation-sheet'!P10*'Output-Calculation-sheet'!P100</f>
        <v>0</v>
      </c>
      <c r="Q121" s="2">
        <f>Q11/'Output-Calculation-sheet'!Q10*'Output-Calculation-sheet'!Q100</f>
        <v>246796147.10144863</v>
      </c>
      <c r="R121" s="2">
        <f>R11/'Output-Calculation-sheet'!R10*'Output-Calculation-sheet'!R100</f>
        <v>0</v>
      </c>
      <c r="S121" s="2">
        <f>S11/'Output-Calculation-sheet'!S10*'Output-Calculation-sheet'!S100</f>
        <v>273687176.34077245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107883535.29740764</v>
      </c>
      <c r="Y121" s="2">
        <f>Y11/'Output-Calculation-sheet'!Y10*'Output-Calculation-sheet'!Y100</f>
        <v>15661282.438930506</v>
      </c>
      <c r="AA121" s="2">
        <f t="shared" si="10"/>
        <v>10791.503838823744</v>
      </c>
    </row>
    <row r="122" spans="1:27" x14ac:dyDescent="0.25">
      <c r="A122" s="2">
        <v>2035</v>
      </c>
      <c r="B122" s="2">
        <f>B12/'Output-Calculation-sheet'!B11*'Output-Calculation-sheet'!B101</f>
        <v>1201627667.4910619</v>
      </c>
      <c r="C122" s="2">
        <f>C12/'Output-Calculation-sheet'!C11*'Output-Calculation-sheet'!C101</f>
        <v>249373245.69043329</v>
      </c>
      <c r="D122" s="2">
        <f>D12/'Output-Calculation-sheet'!D11*'Output-Calculation-sheet'!D101</f>
        <v>0</v>
      </c>
      <c r="E122" s="2">
        <f>E12/'Output-Calculation-sheet'!E11*'Output-Calculation-sheet'!E101</f>
        <v>2060846992.835506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432237695.31220162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1095658956.8268149</v>
      </c>
      <c r="M122" s="2">
        <f>M12/'Output-Calculation-sheet'!M11*'Output-Calculation-sheet'!M101</f>
        <v>385208927.99454683</v>
      </c>
      <c r="N122" s="2">
        <f>N12/'Output-Calculation-sheet'!N11*'Output-Calculation-sheet'!N101</f>
        <v>320726698.05793071</v>
      </c>
      <c r="O122" s="2">
        <f>O12/'Output-Calculation-sheet'!O11*'Output-Calculation-sheet'!O101</f>
        <v>42612856.737421438</v>
      </c>
      <c r="P122" s="2">
        <f>P12/'Output-Calculation-sheet'!P11*'Output-Calculation-sheet'!P101</f>
        <v>52449388.700994477</v>
      </c>
      <c r="Q122" s="2">
        <f>Q12/'Output-Calculation-sheet'!Q11*'Output-Calculation-sheet'!Q101</f>
        <v>487805629.62209684</v>
      </c>
      <c r="R122" s="2">
        <f>R12/'Output-Calculation-sheet'!R11*'Output-Calculation-sheet'!R101</f>
        <v>0</v>
      </c>
      <c r="S122" s="2">
        <f>S12/'Output-Calculation-sheet'!S11*'Output-Calculation-sheet'!S101</f>
        <v>144008836.29101434</v>
      </c>
      <c r="T122" s="2">
        <f>T12/'Output-Calculation-sheet'!T11*'Output-Calculation-sheet'!T101</f>
        <v>0</v>
      </c>
      <c r="U122" s="2">
        <f>U12/'Output-Calculation-sheet'!U11*'Output-Calculation-sheet'!U101</f>
        <v>60805733.538651355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12610046.527934425</v>
      </c>
      <c r="Y122" s="2">
        <f>Y12/'Output-Calculation-sheet'!Y11*'Output-Calculation-sheet'!Y101</f>
        <v>61922818.972157739</v>
      </c>
      <c r="AA122" s="2">
        <f t="shared" si="10"/>
        <v>6607.8954945987653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2198300395.5196691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144498.3123634962</v>
      </c>
    </row>
    <row r="130" spans="1:27" x14ac:dyDescent="0.25">
      <c r="A130" s="2">
        <v>2032</v>
      </c>
      <c r="B130" s="2">
        <f>B9/'Output-Calculation-sheet'!B8*'Output-Calculation-sheet'!B107</f>
        <v>50711582355.544632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1843111759.9325655</v>
      </c>
      <c r="O130" s="2">
        <f>O9/'Output-Calculation-sheet'!O8*'Output-Calculation-sheet'!O107</f>
        <v>0</v>
      </c>
      <c r="P130" s="2">
        <f>P9/'Output-Calculation-sheet'!P8*'Output-Calculation-sheet'!P107</f>
        <v>5629445579.3766289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1638559639.9444802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178590.94029678992</v>
      </c>
    </row>
    <row r="131" spans="1:27" x14ac:dyDescent="0.25">
      <c r="A131" s="2">
        <v>2033</v>
      </c>
      <c r="B131" s="2">
        <f>B10/'Output-Calculation-sheet'!B9*'Output-Calculation-sheet'!B108</f>
        <v>40355655020.714066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1478740593.962939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5736999056.3353949</v>
      </c>
      <c r="R131" s="2">
        <f>R10/'Output-Calculation-sheet'!R9*'Output-Calculation-sheet'!R108</f>
        <v>6437338617.4030123</v>
      </c>
      <c r="S131" s="2">
        <f>S10/'Output-Calculation-sheet'!S9*'Output-Calculation-sheet'!S108</f>
        <v>1434299574.1736352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192611.00065534833</v>
      </c>
    </row>
    <row r="132" spans="1:27" x14ac:dyDescent="0.25">
      <c r="A132" s="2">
        <v>2034</v>
      </c>
      <c r="B132" s="2">
        <f>B11/'Output-Calculation-sheet'!B10*'Output-Calculation-sheet'!B109</f>
        <v>28440722223.017582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27388533720.36182</v>
      </c>
      <c r="F132" s="2">
        <f>F11/'Output-Calculation-sheet'!F10*'Output-Calculation-sheet'!F109</f>
        <v>18063823162.23275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11254750416.839151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8380124493.586772</v>
      </c>
      <c r="M132" s="2">
        <f>M11/'Output-Calculation-sheet'!M10*'Output-Calculation-sheet'!M109</f>
        <v>0</v>
      </c>
      <c r="N132" s="2">
        <f>N11/'Output-Calculation-sheet'!N10*'Output-Calculation-sheet'!N109</f>
        <v>1101790729.4652233</v>
      </c>
      <c r="O132" s="2">
        <f>O11/'Output-Calculation-sheet'!O10*'Output-Calculation-sheet'!O109</f>
        <v>0</v>
      </c>
      <c r="P132" s="2">
        <f>P11/'Output-Calculation-sheet'!P10*'Output-Calculation-sheet'!P109</f>
        <v>6261431991.9345913</v>
      </c>
      <c r="Q132" s="2">
        <f>Q11/'Output-Calculation-sheet'!Q10*'Output-Calculation-sheet'!Q109</f>
        <v>4033123885.5793896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756170199.225281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788187411.90978658</v>
      </c>
      <c r="AA132" s="2">
        <f t="shared" si="11"/>
        <v>192752.65767626592</v>
      </c>
    </row>
    <row r="133" spans="1:27" x14ac:dyDescent="0.25">
      <c r="A133" s="2">
        <v>2035</v>
      </c>
      <c r="B133" s="2">
        <f>B12/'Output-Calculation-sheet'!B11*'Output-Calculation-sheet'!B110</f>
        <v>402101518.0246228</v>
      </c>
      <c r="C133" s="2">
        <f>C12/'Output-Calculation-sheet'!C11*'Output-Calculation-sheet'!C110</f>
        <v>0</v>
      </c>
      <c r="D133" s="2">
        <f>D12/'Output-Calculation-sheet'!D11*'Output-Calculation-sheet'!D110</f>
        <v>34489050180.333817</v>
      </c>
      <c r="E133" s="2">
        <f>E12/'Output-Calculation-sheet'!E11*'Output-Calculation-sheet'!E110</f>
        <v>14773280573.901283</v>
      </c>
      <c r="F133" s="2">
        <f>F12/'Output-Calculation-sheet'!F11*'Output-Calculation-sheet'!F110</f>
        <v>18131885197.76442</v>
      </c>
      <c r="G133" s="2">
        <f>G12/'Output-Calculation-sheet'!G11*'Output-Calculation-sheet'!G110</f>
        <v>12569090951.766687</v>
      </c>
      <c r="H133" s="2">
        <f>H12/'Output-Calculation-sheet'!H11*'Output-Calculation-sheet'!H110</f>
        <v>0</v>
      </c>
      <c r="I133" s="2">
        <f>I12/'Output-Calculation-sheet'!I11*'Output-Calculation-sheet'!I110</f>
        <v>11413879666.228907</v>
      </c>
      <c r="J133" s="2">
        <f>J12/'Output-Calculation-sheet'!J11*'Output-Calculation-sheet'!J110</f>
        <v>11051239963.701611</v>
      </c>
      <c r="K133" s="2">
        <f>K12/'Output-Calculation-sheet'!K11*'Output-Calculation-sheet'!K110</f>
        <v>11107378006.266232</v>
      </c>
      <c r="L133" s="2">
        <f>L12/'Output-Calculation-sheet'!L11*'Output-Calculation-sheet'!L110</f>
        <v>6465787194.0986147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2450965060.0596008</v>
      </c>
      <c r="Q133" s="2">
        <f>Q12/'Output-Calculation-sheet'!Q11*'Output-Calculation-sheet'!Q110</f>
        <v>2062014907.7921512</v>
      </c>
      <c r="R133" s="2">
        <f>R12/'Output-Calculation-sheet'!R11*'Output-Calculation-sheet'!R110</f>
        <v>7250881599.357625</v>
      </c>
      <c r="S133" s="2">
        <f>S12/'Output-Calculation-sheet'!S11*'Output-Calculation-sheet'!S110</f>
        <v>4877947.0348605774</v>
      </c>
      <c r="T133" s="2">
        <f>T12/'Output-Calculation-sheet'!T11*'Output-Calculation-sheet'!T110</f>
        <v>2703667999.6666603</v>
      </c>
      <c r="U133" s="2">
        <f>U12/'Output-Calculation-sheet'!U11*'Output-Calculation-sheet'!U110</f>
        <v>2190531840.1156454</v>
      </c>
      <c r="V133" s="2">
        <f>V12/'Output-Calculation-sheet'!V11*'Output-Calculation-sheet'!V110</f>
        <v>1821152028.6862822</v>
      </c>
      <c r="W133" s="2">
        <f>W12/'Output-Calculation-sheet'!W11*'Output-Calculation-sheet'!W110</f>
        <v>1588575091.6985939</v>
      </c>
      <c r="X133" s="2">
        <f>X12/'Output-Calculation-sheet'!X11*'Output-Calculation-sheet'!X110</f>
        <v>0</v>
      </c>
      <c r="Y133" s="2">
        <f>Y12/'Output-Calculation-sheet'!Y11*'Output-Calculation-sheet'!Y110</f>
        <v>364385977.70610118</v>
      </c>
      <c r="AA133" s="2">
        <f t="shared" si="11"/>
        <v>140840.74570420376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14298199507.927832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4494993768.4451685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3089791608.5315142</v>
      </c>
      <c r="N140" s="2">
        <f>N8/'Output-Calculation-sheet'!N7*'Output-Calculation-sheet'!N115</f>
        <v>1166518800.1238756</v>
      </c>
      <c r="O140" s="2">
        <f>O8/'Output-Calculation-sheet'!O7*'Output-Calculation-sheet'!O115</f>
        <v>3431498262.1776724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335514271.8243596</v>
      </c>
      <c r="Y140" s="2">
        <f>Y8/'Output-Calculation-sheet'!Y7*'Output-Calculation-sheet'!Y115</f>
        <v>0</v>
      </c>
      <c r="AA140" s="2">
        <f t="shared" si="12"/>
        <v>26816.516219030422</v>
      </c>
    </row>
    <row r="141" spans="1:27" x14ac:dyDescent="0.25">
      <c r="A141" s="2">
        <v>2032</v>
      </c>
      <c r="B141" s="2">
        <f>B9/'Output-Calculation-sheet'!B8*'Output-Calculation-sheet'!B116</f>
        <v>5797504012.0227671</v>
      </c>
      <c r="C141" s="2">
        <f>C9/'Output-Calculation-sheet'!C8*'Output-Calculation-sheet'!C116</f>
        <v>24816745153.570038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6469617844.0274525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4441924222.632515</v>
      </c>
      <c r="N141" s="2">
        <f>N9/'Output-Calculation-sheet'!N8*'Output-Calculation-sheet'!N116</f>
        <v>3083859551.5034294</v>
      </c>
      <c r="O141" s="2">
        <f>O9/'Output-Calculation-sheet'!O8*'Output-Calculation-sheet'!O116</f>
        <v>4817076088.7635574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1381291529.9250159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483487843.45620131</v>
      </c>
      <c r="Y141" s="2">
        <f>Y9/'Output-Calculation-sheet'!Y8*'Output-Calculation-sheet'!Y116</f>
        <v>0</v>
      </c>
      <c r="AA141" s="2">
        <f t="shared" si="12"/>
        <v>51291.506245900971</v>
      </c>
    </row>
    <row r="142" spans="1:27" x14ac:dyDescent="0.25">
      <c r="A142" s="2">
        <v>2033</v>
      </c>
      <c r="B142" s="2">
        <f>B10/'Output-Calculation-sheet'!B9*'Output-Calculation-sheet'!B117</f>
        <v>29279296337.271442</v>
      </c>
      <c r="C142" s="2">
        <f>C10/'Output-Calculation-sheet'!C9*'Output-Calculation-sheet'!C117</f>
        <v>30917727104.859074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9575448452.5577068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6580124740.7055645</v>
      </c>
      <c r="N142" s="2">
        <f>N10/'Output-Calculation-sheet'!N9*'Output-Calculation-sheet'!N117</f>
        <v>4963729421.842761</v>
      </c>
      <c r="O142" s="2">
        <f>O10/'Output-Calculation-sheet'!O9*'Output-Calculation-sheet'!O117</f>
        <v>6000738446.8448296</v>
      </c>
      <c r="P142" s="2">
        <f>P10/'Output-Calculation-sheet'!P9*'Output-Calculation-sheet'!P117</f>
        <v>0</v>
      </c>
      <c r="Q142" s="2">
        <f>Q10/'Output-Calculation-sheet'!Q9*'Output-Calculation-sheet'!Q117</f>
        <v>948019659.87243772</v>
      </c>
      <c r="R142" s="2">
        <f>R10/'Output-Calculation-sheet'!R9*'Output-Calculation-sheet'!R117</f>
        <v>0</v>
      </c>
      <c r="S142" s="2">
        <f>S10/'Output-Calculation-sheet'!S9*'Output-Calculation-sheet'!S117</f>
        <v>2413592349.9574485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721365826.49028814</v>
      </c>
      <c r="Y142" s="2">
        <f>Y10/'Output-Calculation-sheet'!Y9*'Output-Calculation-sheet'!Y117</f>
        <v>0</v>
      </c>
      <c r="AA142" s="2">
        <f t="shared" si="12"/>
        <v>91400.042340401546</v>
      </c>
    </row>
    <row r="143" spans="1:27" x14ac:dyDescent="0.25">
      <c r="A143" s="2">
        <v>2034</v>
      </c>
      <c r="B143" s="2">
        <f>B11/'Output-Calculation-sheet'!B10*'Output-Calculation-sheet'!B118</f>
        <v>50930695221.125366</v>
      </c>
      <c r="C143" s="2">
        <f>C11/'Output-Calculation-sheet'!C10*'Output-Calculation-sheet'!C118</f>
        <v>39096650236.485855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10837785956.057718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7443511877.1149664</v>
      </c>
      <c r="N143" s="2">
        <f>N11/'Output-Calculation-sheet'!N10*'Output-Calculation-sheet'!N118</f>
        <v>6549693329.4107695</v>
      </c>
      <c r="O143" s="2">
        <f>O11/'Output-Calculation-sheet'!O10*'Output-Calculation-sheet'!O118</f>
        <v>7595393004.973732</v>
      </c>
      <c r="P143" s="2">
        <f>P11/'Output-Calculation-sheet'!P10*'Output-Calculation-sheet'!P118</f>
        <v>1369964068.942486</v>
      </c>
      <c r="Q143" s="2">
        <f>Q11/'Output-Calculation-sheet'!Q10*'Output-Calculation-sheet'!Q118</f>
        <v>3228519390.6304269</v>
      </c>
      <c r="R143" s="2">
        <f>R11/'Output-Calculation-sheet'!R10*'Output-Calculation-sheet'!R118</f>
        <v>0</v>
      </c>
      <c r="S143" s="2">
        <f>S11/'Output-Calculation-sheet'!S10*'Output-Calculation-sheet'!S118</f>
        <v>3771306525.9671097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817184351.89763844</v>
      </c>
      <c r="Y143" s="2">
        <f>Y11/'Output-Calculation-sheet'!Y10*'Output-Calculation-sheet'!Y118</f>
        <v>95761940.904892042</v>
      </c>
      <c r="AA143" s="2">
        <f t="shared" si="12"/>
        <v>131736.46590351098</v>
      </c>
    </row>
    <row r="144" spans="1:27" x14ac:dyDescent="0.25">
      <c r="A144" s="2">
        <v>2035</v>
      </c>
      <c r="B144" s="2">
        <f>B12/'Output-Calculation-sheet'!B11*'Output-Calculation-sheet'!B119</f>
        <v>86156431667.163345</v>
      </c>
      <c r="C144" s="2">
        <f>C12/'Output-Calculation-sheet'!C11*'Output-Calculation-sheet'!C119</f>
        <v>41216627569.533806</v>
      </c>
      <c r="D144" s="2">
        <f>D12/'Output-Calculation-sheet'!D11*'Output-Calculation-sheet'!D119</f>
        <v>0</v>
      </c>
      <c r="E144" s="2">
        <f>E12/'Output-Calculation-sheet'!E11*'Output-Calculation-sheet'!E119</f>
        <v>12277202621.760815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12461677999.969034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1582423455.6486537</v>
      </c>
      <c r="M144" s="2">
        <f>M12/'Output-Calculation-sheet'!M11*'Output-Calculation-sheet'!M119</f>
        <v>8505276359.9594517</v>
      </c>
      <c r="N144" s="2">
        <f>N12/'Output-Calculation-sheet'!N11*'Output-Calculation-sheet'!N119</f>
        <v>8402861734.3703213</v>
      </c>
      <c r="O144" s="2">
        <f>O12/'Output-Calculation-sheet'!O11*'Output-Calculation-sheet'!O119</f>
        <v>8010971333.7497988</v>
      </c>
      <c r="P144" s="2">
        <f>P12/'Output-Calculation-sheet'!P11*'Output-Calculation-sheet'!P119</f>
        <v>5437625663.7311096</v>
      </c>
      <c r="Q144" s="2">
        <f>Q12/'Output-Calculation-sheet'!Q11*'Output-Calculation-sheet'!Q119</f>
        <v>5149668669.7063351</v>
      </c>
      <c r="R144" s="2">
        <f>R12/'Output-Calculation-sheet'!R11*'Output-Calculation-sheet'!R119</f>
        <v>0</v>
      </c>
      <c r="S144" s="2">
        <f>S12/'Output-Calculation-sheet'!S11*'Output-Calculation-sheet'!S119</f>
        <v>4844673586.484683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953610407.65432894</v>
      </c>
      <c r="Y144" s="2">
        <f>Y12/'Output-Calculation-sheet'!Y11*'Output-Calculation-sheet'!Y119</f>
        <v>509211387.74970001</v>
      </c>
      <c r="AA144" s="2">
        <f t="shared" si="12"/>
        <v>195508.26245748132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4312998321.2008667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187547.90510586512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3412388806.1109591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148385.49854531072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445100986.23661238</v>
      </c>
      <c r="C155" s="2">
        <f>C12/'Output-Calculation-sheet'!C11*'Output-Calculation-sheet'!C128</f>
        <v>47954408.18465361</v>
      </c>
      <c r="D155" s="2">
        <f>D12/'Output-Calculation-sheet'!D11*'Output-Calculation-sheet'!D128</f>
        <v>3197929762.5956993</v>
      </c>
      <c r="E155" s="2">
        <f>E12/'Output-Calculation-sheet'!E11*'Output-Calculation-sheet'!E128</f>
        <v>519065510.35779786</v>
      </c>
      <c r="F155" s="2">
        <f>F12/'Output-Calculation-sheet'!F11*'Output-Calculation-sheet'!F128</f>
        <v>1168142422.1944652</v>
      </c>
      <c r="G155" s="2">
        <f>G12/'Output-Calculation-sheet'!G11*'Output-Calculation-sheet'!G128</f>
        <v>1068972164.9166722</v>
      </c>
      <c r="H155" s="2">
        <f>H12/'Output-Calculation-sheet'!H11*'Output-Calculation-sheet'!H128</f>
        <v>82654061.456015497</v>
      </c>
      <c r="I155" s="2">
        <f>I12/'Output-Calculation-sheet'!I11*'Output-Calculation-sheet'!I128</f>
        <v>980881122.01700068</v>
      </c>
      <c r="J155" s="2">
        <f>J12/'Output-Calculation-sheet'!J11*'Output-Calculation-sheet'!J128</f>
        <v>889399532.84209001</v>
      </c>
      <c r="K155" s="2">
        <f>K12/'Output-Calculation-sheet'!K11*'Output-Calculation-sheet'!K128</f>
        <v>770205349.80902481</v>
      </c>
      <c r="L155" s="2">
        <f>L12/'Output-Calculation-sheet'!L11*'Output-Calculation-sheet'!L128</f>
        <v>290145508.56508595</v>
      </c>
      <c r="M155" s="2">
        <f>M12/'Output-Calculation-sheet'!M11*'Output-Calculation-sheet'!M128</f>
        <v>68173306.194817826</v>
      </c>
      <c r="N155" s="2">
        <f>N12/'Output-Calculation-sheet'!N11*'Output-Calculation-sheet'!N128</f>
        <v>60247578.767613687</v>
      </c>
      <c r="O155" s="2">
        <f>O12/'Output-Calculation-sheet'!O11*'Output-Calculation-sheet'!O128</f>
        <v>12407211.922797639</v>
      </c>
      <c r="P155" s="2">
        <f>P12/'Output-Calculation-sheet'!P11*'Output-Calculation-sheet'!P128</f>
        <v>79041426.510547429</v>
      </c>
      <c r="Q155" s="2">
        <f>Q12/'Output-Calculation-sheet'!Q11*'Output-Calculation-sheet'!Q128</f>
        <v>200368185.42550749</v>
      </c>
      <c r="R155" s="2">
        <f>R12/'Output-Calculation-sheet'!R11*'Output-Calculation-sheet'!R128</f>
        <v>445289341.6078741</v>
      </c>
      <c r="S155" s="2">
        <f>S12/'Output-Calculation-sheet'!S11*'Output-Calculation-sheet'!S128</f>
        <v>38460202.11067269</v>
      </c>
      <c r="T155" s="2">
        <f>T12/'Output-Calculation-sheet'!T11*'Output-Calculation-sheet'!T128</f>
        <v>114024142.17824294</v>
      </c>
      <c r="U155" s="2">
        <f>U12/'Output-Calculation-sheet'!U11*'Output-Calculation-sheet'!U128</f>
        <v>233716786.00633493</v>
      </c>
      <c r="V155" s="2">
        <f>V12/'Output-Calculation-sheet'!V11*'Output-Calculation-sheet'!V128</f>
        <v>51333583.743258983</v>
      </c>
      <c r="W155" s="2">
        <f>W12/'Output-Calculation-sheet'!W11*'Output-Calculation-sheet'!W128</f>
        <v>62465476.887044713</v>
      </c>
      <c r="X155" s="2">
        <f>X12/'Output-Calculation-sheet'!X11*'Output-Calculation-sheet'!X128</f>
        <v>2133973.7412703931</v>
      </c>
      <c r="Y155" s="2">
        <f>Y12/'Output-Calculation-sheet'!Y11*'Output-Calculation-sheet'!Y128</f>
        <v>12572096.603479989</v>
      </c>
      <c r="AA155" s="2">
        <f t="shared" si="13"/>
        <v>10840.68414087458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5006.6781210898826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1516.5830067455383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1053.4787691646818</v>
      </c>
      <c r="N19" s="2">
        <f>N8/'Output-Calculation-sheet'!N7*'Output-Calculation-sheet'!N25</f>
        <v>876.36984548880605</v>
      </c>
      <c r="O19" s="2">
        <f>O8/'Output-Calculation-sheet'!O7*'Output-Calculation-sheet'!O25</f>
        <v>550.01680588917873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114.01570767437123</v>
      </c>
      <c r="Y19" s="2">
        <f>Y8/'Output-Calculation-sheet'!Y7*'Output-Calculation-sheet'!Y25</f>
        <v>0</v>
      </c>
      <c r="AA19" s="2">
        <f t="shared" si="0"/>
        <v>10.586564407332709</v>
      </c>
    </row>
    <row r="20" spans="1:27" x14ac:dyDescent="0.25">
      <c r="A20" s="2">
        <v>2032</v>
      </c>
      <c r="B20" s="2">
        <f>B9/'Output-Calculation-sheet'!B8*'Output-Calculation-sheet'!B26</f>
        <v>5272.5976585277222</v>
      </c>
      <c r="C20" s="2">
        <f>C9/'Output-Calculation-sheet'!C8*'Output-Calculation-sheet'!C26</f>
        <v>2891.3638326319947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1735.6999853424995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1212.9191285697975</v>
      </c>
      <c r="N20" s="2">
        <f>N9/'Output-Calculation-sheet'!N8*'Output-Calculation-sheet'!N26</f>
        <v>840.58600796341864</v>
      </c>
      <c r="O20" s="2">
        <f>O9/'Output-Calculation-sheet'!O8*'Output-Calculation-sheet'!O26</f>
        <v>564.91890983347082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398.7346721802698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131.98331578795342</v>
      </c>
      <c r="Y20" s="2">
        <f>Y9/'Output-Calculation-sheet'!Y8*'Output-Calculation-sheet'!Y26</f>
        <v>0</v>
      </c>
      <c r="AA20" s="2">
        <f t="shared" si="0"/>
        <v>13.048803510837127</v>
      </c>
    </row>
    <row r="21" spans="1:27" x14ac:dyDescent="0.25">
      <c r="A21" s="2">
        <v>2033</v>
      </c>
      <c r="B21" s="2">
        <f>B10/'Output-Calculation-sheet'!B9*'Output-Calculation-sheet'!B27</f>
        <v>5011.1095167515477</v>
      </c>
      <c r="C21" s="2">
        <f>C10/'Output-Calculation-sheet'!C9*'Output-Calculation-sheet'!C27</f>
        <v>3080.0399801933636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1009.8736294697424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714.79688571522581</v>
      </c>
      <c r="N21" s="2">
        <f>N10/'Output-Calculation-sheet'!N9*'Output-Calculation-sheet'!N27</f>
        <v>723.87287039088937</v>
      </c>
      <c r="O21" s="2">
        <f>O10/'Output-Calculation-sheet'!O9*'Output-Calculation-sheet'!O27</f>
        <v>603.0057942944967</v>
      </c>
      <c r="P21" s="2">
        <f>P10/'Output-Calculation-sheet'!P9*'Output-Calculation-sheet'!P27</f>
        <v>0</v>
      </c>
      <c r="Q21" s="2">
        <f>Q10/'Output-Calculation-sheet'!Q9*'Output-Calculation-sheet'!Q27</f>
        <v>8.7674159375034719</v>
      </c>
      <c r="R21" s="2">
        <f>R10/'Output-Calculation-sheet'!R9*'Output-Calculation-sheet'!R27</f>
        <v>0</v>
      </c>
      <c r="S21" s="2">
        <f>S10/'Output-Calculation-sheet'!S9*'Output-Calculation-sheet'!S27</f>
        <v>344.68145993926811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71.375541039660718</v>
      </c>
      <c r="Y21" s="2">
        <f>Y10/'Output-Calculation-sheet'!Y9*'Output-Calculation-sheet'!Y27</f>
        <v>0</v>
      </c>
      <c r="AA21" s="2">
        <f t="shared" si="0"/>
        <v>11.567523093731698</v>
      </c>
    </row>
    <row r="22" spans="1:27" x14ac:dyDescent="0.25">
      <c r="A22" s="2">
        <v>2034</v>
      </c>
      <c r="B22" s="2">
        <f>B11/'Output-Calculation-sheet'!B10*'Output-Calculation-sheet'!B28</f>
        <v>4400.4795260684159</v>
      </c>
      <c r="C22" s="2">
        <f>C11/'Output-Calculation-sheet'!C10*'Output-Calculation-sheet'!C28</f>
        <v>447.26160650638269</v>
      </c>
      <c r="D22" s="2">
        <f>D11/'Output-Calculation-sheet'!D10*'Output-Calculation-sheet'!D28</f>
        <v>0</v>
      </c>
      <c r="E22" s="2">
        <f>E11/'Output-Calculation-sheet'!E10*'Output-Calculation-sheet'!E28</f>
        <v>1485.1502127864746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1177.6748513896225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900.69595846663174</v>
      </c>
      <c r="M22" s="2">
        <f>M11/'Output-Calculation-sheet'!M10*'Output-Calculation-sheet'!M28</f>
        <v>838.14670281134738</v>
      </c>
      <c r="N22" s="2">
        <f>N11/'Output-Calculation-sheet'!N10*'Output-Calculation-sheet'!N28</f>
        <v>560.30585260865212</v>
      </c>
      <c r="O22" s="2">
        <f>O11/'Output-Calculation-sheet'!O10*'Output-Calculation-sheet'!O28</f>
        <v>87.731405027767977</v>
      </c>
      <c r="P22" s="2">
        <f>P11/'Output-Calculation-sheet'!P10*'Output-Calculation-sheet'!P28</f>
        <v>0</v>
      </c>
      <c r="Q22" s="2">
        <f>Q11/'Output-Calculation-sheet'!Q10*'Output-Calculation-sheet'!Q28</f>
        <v>286.1737568347944</v>
      </c>
      <c r="R22" s="2">
        <f>R11/'Output-Calculation-sheet'!R10*'Output-Calculation-sheet'!R28</f>
        <v>0</v>
      </c>
      <c r="S22" s="2">
        <f>S11/'Output-Calculation-sheet'!S10*'Output-Calculation-sheet'!S28</f>
        <v>209.7962869926877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82.353749194800329</v>
      </c>
      <c r="Y22" s="2">
        <f>Y11/'Output-Calculation-sheet'!Y10*'Output-Calculation-sheet'!Y28</f>
        <v>33.569714238598323</v>
      </c>
      <c r="AA22" s="2">
        <f t="shared" si="0"/>
        <v>10.509339622926174</v>
      </c>
    </row>
    <row r="23" spans="1:27" x14ac:dyDescent="0.25">
      <c r="A23" s="2">
        <v>2035</v>
      </c>
      <c r="B23" s="2">
        <f>B12/'Output-Calculation-sheet'!B11*'Output-Calculation-sheet'!B29</f>
        <v>1051.9347789225574</v>
      </c>
      <c r="C23" s="2">
        <f>C12/'Output-Calculation-sheet'!C11*'Output-Calculation-sheet'!C29</f>
        <v>218.30561390083753</v>
      </c>
      <c r="D23" s="2">
        <f>D12/'Output-Calculation-sheet'!D11*'Output-Calculation-sheet'!D29</f>
        <v>0</v>
      </c>
      <c r="E23" s="2">
        <f>E12/'Output-Calculation-sheet'!E11*'Output-Calculation-sheet'!E29</f>
        <v>2690.5752723037413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378.39282153593501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1551.2942470619657</v>
      </c>
      <c r="M23" s="2">
        <f>M12/'Output-Calculation-sheet'!M11*'Output-Calculation-sheet'!M29</f>
        <v>337.22215655300971</v>
      </c>
      <c r="N23" s="2">
        <f>N12/'Output-Calculation-sheet'!N11*'Output-Calculation-sheet'!N29</f>
        <v>280.77196016199315</v>
      </c>
      <c r="O23" s="2">
        <f>O12/'Output-Calculation-sheet'!O11*'Output-Calculation-sheet'!O29</f>
        <v>37.304299527689871</v>
      </c>
      <c r="P23" s="2">
        <f>P12/'Output-Calculation-sheet'!P11*'Output-Calculation-sheet'!P29</f>
        <v>58.43077865681088</v>
      </c>
      <c r="Q23" s="2">
        <f>Q12/'Output-Calculation-sheet'!Q11*'Output-Calculation-sheet'!Q29</f>
        <v>478.61904411825469</v>
      </c>
      <c r="R23" s="2">
        <f>R12/'Output-Calculation-sheet'!R11*'Output-Calculation-sheet'!R29</f>
        <v>0</v>
      </c>
      <c r="S23" s="2">
        <f>S12/'Output-Calculation-sheet'!S11*'Output-Calculation-sheet'!S29</f>
        <v>126.068936609719</v>
      </c>
      <c r="T23" s="2">
        <f>T12/'Output-Calculation-sheet'!T11*'Output-Calculation-sheet'!T29</f>
        <v>0</v>
      </c>
      <c r="U23" s="2">
        <f>U12/'Output-Calculation-sheet'!U11*'Output-Calculation-sheet'!U29</f>
        <v>169.73552572869147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11.03912773415507</v>
      </c>
      <c r="Y23" s="2">
        <f>Y12/'Output-Calculation-sheet'!Y11*'Output-Calculation-sheet'!Y29</f>
        <v>70.220436500594886</v>
      </c>
      <c r="AA23" s="2">
        <f t="shared" si="0"/>
        <v>7.4599149993159548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999.0430859603058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39.169935789165116</v>
      </c>
    </row>
    <row r="31" spans="1:27" x14ac:dyDescent="0.25">
      <c r="A31" s="2">
        <v>2032</v>
      </c>
      <c r="B31" s="2">
        <f>B9/'Output-Calculation-sheet'!B8*'Output-Calculation-sheet'!B17</f>
        <v>22168.183871202556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866.79935283475754</v>
      </c>
      <c r="O31" s="2">
        <f>O9/'Output-Calculation-sheet'!O8*'Output-Calculation-sheet'!O17</f>
        <v>0</v>
      </c>
      <c r="P31" s="2">
        <f>P9/'Output-Calculation-sheet'!P8*'Output-Calculation-sheet'!P17</f>
        <v>2166.5867347563508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717.4218936566964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50.790102265557195</v>
      </c>
    </row>
    <row r="32" spans="1:27" x14ac:dyDescent="0.25">
      <c r="A32" s="2">
        <v>2033</v>
      </c>
      <c r="B32" s="2">
        <f>B10/'Output-Calculation-sheet'!B9*'Output-Calculation-sheet'!B18</f>
        <v>18126.507980467286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2837.5644156622434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733.67388018798204</v>
      </c>
      <c r="O32" s="2">
        <f>O10/'Output-Calculation-sheet'!O9*'Output-Calculation-sheet'!O18</f>
        <v>0</v>
      </c>
      <c r="P32" s="2">
        <f>P10/'Output-Calculation-sheet'!P9*'Output-Calculation-sheet'!P18</f>
        <v>2920.7188698594878</v>
      </c>
      <c r="Q32" s="2">
        <f>Q10/'Output-Calculation-sheet'!Q9*'Output-Calculation-sheet'!Q18</f>
        <v>2704.1336970913944</v>
      </c>
      <c r="R32" s="2">
        <f>R10/'Output-Calculation-sheet'!R9*'Output-Calculation-sheet'!R18</f>
        <v>2097.80919439743</v>
      </c>
      <c r="S32" s="2">
        <f>S10/'Output-Calculation-sheet'!S9*'Output-Calculation-sheet'!S18</f>
        <v>667.42637073269384</v>
      </c>
      <c r="T32" s="2">
        <f>T10/'Output-Calculation-sheet'!T9*'Output-Calculation-sheet'!T18</f>
        <v>612.35979346091995</v>
      </c>
      <c r="U32" s="2">
        <f>U10/'Output-Calculation-sheet'!U9*'Output-Calculation-sheet'!U18</f>
        <v>676.95546091893846</v>
      </c>
      <c r="V32" s="2">
        <f>V10/'Output-Calculation-sheet'!V9*'Output-Calculation-sheet'!V18</f>
        <v>499.67867969584393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289.31720328326156</v>
      </c>
      <c r="AA32" s="2">
        <f t="shared" si="1"/>
        <v>57.625645936069837</v>
      </c>
    </row>
    <row r="33" spans="1:27" x14ac:dyDescent="0.25">
      <c r="A33" s="2">
        <v>2034</v>
      </c>
      <c r="B33" s="2">
        <f>B11/'Output-Calculation-sheet'!B10*'Output-Calculation-sheet'!B19</f>
        <v>13447.964826863476</v>
      </c>
      <c r="C33" s="2">
        <f>C11/'Output-Calculation-sheet'!C10*'Output-Calculation-sheet'!C19</f>
        <v>0</v>
      </c>
      <c r="D33" s="2">
        <f>D11/'Output-Calculation-sheet'!D10*'Output-Calculation-sheet'!D19</f>
        <v>8913.5706005146913</v>
      </c>
      <c r="E33" s="2">
        <f>E11/'Output-Calculation-sheet'!E10*'Output-Calculation-sheet'!E19</f>
        <v>11050.576972231302</v>
      </c>
      <c r="F33" s="2">
        <f>F11/'Output-Calculation-sheet'!F10*'Output-Calculation-sheet'!F19</f>
        <v>5059.8823962742317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3311.062328111092</v>
      </c>
      <c r="J33" s="2">
        <f>J11/'Output-Calculation-sheet'!J10*'Output-Calculation-sheet'!J19</f>
        <v>2799.6233294050785</v>
      </c>
      <c r="K33" s="2">
        <f>K11/'Output-Calculation-sheet'!K10*'Output-Calculation-sheet'!K19</f>
        <v>3882.9832593397127</v>
      </c>
      <c r="L33" s="2">
        <f>L11/'Output-Calculation-sheet'!L10*'Output-Calculation-sheet'!L19</f>
        <v>3158.5289486179067</v>
      </c>
      <c r="M33" s="2">
        <f>M11/'Output-Calculation-sheet'!M10*'Output-Calculation-sheet'!M19</f>
        <v>0</v>
      </c>
      <c r="N33" s="2">
        <f>N11/'Output-Calculation-sheet'!N10*'Output-Calculation-sheet'!N19</f>
        <v>599.54048472572504</v>
      </c>
      <c r="O33" s="2">
        <f>O11/'Output-Calculation-sheet'!O10*'Output-Calculation-sheet'!O19</f>
        <v>0</v>
      </c>
      <c r="P33" s="2">
        <f>P11/'Output-Calculation-sheet'!P10*'Output-Calculation-sheet'!P19</f>
        <v>2977.565406979234</v>
      </c>
      <c r="Q33" s="2">
        <f>Q11/'Output-Calculation-sheet'!Q10*'Output-Calculation-sheet'!Q19</f>
        <v>1892.5392754467152</v>
      </c>
      <c r="R33" s="2">
        <f>R11/'Output-Calculation-sheet'!R10*'Output-Calculation-sheet'!R19</f>
        <v>2805.1605635276856</v>
      </c>
      <c r="S33" s="2">
        <f>S11/'Output-Calculation-sheet'!S10*'Output-Calculation-sheet'!S19</f>
        <v>381.1273198936214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946.65759801146999</v>
      </c>
      <c r="V33" s="2">
        <f>V11/'Output-Calculation-sheet'!V10*'Output-Calculation-sheet'!V19</f>
        <v>645.56493775401418</v>
      </c>
      <c r="W33" s="2">
        <f>W11/'Output-Calculation-sheet'!W10*'Output-Calculation-sheet'!W19</f>
        <v>401.95960936698833</v>
      </c>
      <c r="X33" s="2">
        <f>X11/'Output-Calculation-sheet'!X10*'Output-Calculation-sheet'!X19</f>
        <v>0</v>
      </c>
      <c r="Y33" s="2">
        <f>Y11/'Output-Calculation-sheet'!Y10*'Output-Calculation-sheet'!Y19</f>
        <v>329.09845534587612</v>
      </c>
      <c r="AA33" s="2">
        <f t="shared" si="1"/>
        <v>66.460766806184211</v>
      </c>
    </row>
    <row r="34" spans="1:27" x14ac:dyDescent="0.25">
      <c r="A34" s="2">
        <v>2035</v>
      </c>
      <c r="B34" s="2">
        <f>B12/'Output-Calculation-sheet'!B11*'Output-Calculation-sheet'!B20</f>
        <v>209.41390661636194</v>
      </c>
      <c r="C34" s="2">
        <f>C12/'Output-Calculation-sheet'!C11*'Output-Calculation-sheet'!C20</f>
        <v>0</v>
      </c>
      <c r="D34" s="2">
        <f>D12/'Output-Calculation-sheet'!D11*'Output-Calculation-sheet'!D20</f>
        <v>10328.9876464672</v>
      </c>
      <c r="E34" s="2">
        <f>E12/'Output-Calculation-sheet'!E11*'Output-Calculation-sheet'!E20</f>
        <v>4825.6849447035538</v>
      </c>
      <c r="F34" s="2">
        <f>F12/'Output-Calculation-sheet'!F11*'Output-Calculation-sheet'!F20</f>
        <v>6556.09722947304</v>
      </c>
      <c r="G34" s="2">
        <f>G12/'Output-Calculation-sheet'!G11*'Output-Calculation-sheet'!G20</f>
        <v>3520.9017912053041</v>
      </c>
      <c r="H34" s="2">
        <f>H12/'Output-Calculation-sheet'!H11*'Output-Calculation-sheet'!H20</f>
        <v>0</v>
      </c>
      <c r="I34" s="2">
        <f>I12/'Output-Calculation-sheet'!I11*'Output-Calculation-sheet'!I20</f>
        <v>3911.7966410313952</v>
      </c>
      <c r="J34" s="2">
        <f>J12/'Output-Calculation-sheet'!J11*'Output-Calculation-sheet'!J20</f>
        <v>3387.4026396863424</v>
      </c>
      <c r="K34" s="2">
        <f>K12/'Output-Calculation-sheet'!K11*'Output-Calculation-sheet'!K20</f>
        <v>4772.6160184040391</v>
      </c>
      <c r="L34" s="2">
        <f>L12/'Output-Calculation-sheet'!L11*'Output-Calculation-sheet'!L20</f>
        <v>2642.9567252948655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1050.8635653447213</v>
      </c>
      <c r="Q34" s="2">
        <f>Q12/'Output-Calculation-sheet'!Q11*'Output-Calculation-sheet'!Q20</f>
        <v>994.22640062058156</v>
      </c>
      <c r="R34" s="2">
        <f>R12/'Output-Calculation-sheet'!R11*'Output-Calculation-sheet'!R20</f>
        <v>3523.4469095831109</v>
      </c>
      <c r="S34" s="2">
        <f>S12/'Output-Calculation-sheet'!S11*'Output-Calculation-sheet'!S20</f>
        <v>2.8195484055272964</v>
      </c>
      <c r="T34" s="2">
        <f>T12/'Output-Calculation-sheet'!T11*'Output-Calculation-sheet'!T20</f>
        <v>1050.8826976185883</v>
      </c>
      <c r="U34" s="2">
        <f>U12/'Output-Calculation-sheet'!U11*'Output-Calculation-sheet'!U20</f>
        <v>956.45597920373075</v>
      </c>
      <c r="V34" s="2">
        <f>V12/'Output-Calculation-sheet'!V11*'Output-Calculation-sheet'!V20</f>
        <v>923.11774653214263</v>
      </c>
      <c r="W34" s="2">
        <f>W12/'Output-Calculation-sheet'!W11*'Output-Calculation-sheet'!W20</f>
        <v>561.48132961013152</v>
      </c>
      <c r="X34" s="2">
        <f>X12/'Output-Calculation-sheet'!X11*'Output-Calculation-sheet'!X20</f>
        <v>0</v>
      </c>
      <c r="Y34" s="2">
        <f>Y12/'Output-Calculation-sheet'!Y11*'Output-Calculation-sheet'!Y20</f>
        <v>120.77730389764228</v>
      </c>
      <c r="AA34" s="2">
        <f t="shared" si="1"/>
        <v>49.339929023698282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0.17621317371492251</v>
      </c>
      <c r="E45" s="2">
        <f>E12/'Output-Calculation-sheet'!E11*'Output-Calculation-sheet'!E38*0.0114</f>
        <v>9.3361756845210031E-2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1.5435641398209394E-2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0.9987209132274868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0.14134341406761275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185.9523719614071</v>
      </c>
      <c r="R54" s="2">
        <f>R10/'Output-Calculation-sheet'!R9*'Output-Calculation-sheet'!R45</f>
        <v>1391.0894272363325</v>
      </c>
      <c r="S54" s="2">
        <f>S10/'Output-Calculation-sheet'!S9*'Output-Calculation-sheet'!S45</f>
        <v>0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17.350729638394402</v>
      </c>
      <c r="AA54" s="2">
        <f t="shared" si="3"/>
        <v>4.5795784637252188</v>
      </c>
    </row>
    <row r="55" spans="1:27" x14ac:dyDescent="0.25">
      <c r="A55" s="2">
        <v>2034</v>
      </c>
      <c r="B55" s="2">
        <f>B11/'Output-Calculation-sheet'!B10*'Output-Calculation-sheet'!B46</f>
        <v>1646.4665148167076</v>
      </c>
      <c r="C55" s="2">
        <f>C11/'Output-Calculation-sheet'!C10*'Output-Calculation-sheet'!C46</f>
        <v>0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597.12206787075513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442.57440446393224</v>
      </c>
      <c r="N55" s="2">
        <f>N11/'Output-Calculation-sheet'!N10*'Output-Calculation-sheet'!N46</f>
        <v>151.14650220075168</v>
      </c>
      <c r="O55" s="2">
        <f>O11/'Output-Calculation-sheet'!O10*'Output-Calculation-sheet'!O46</f>
        <v>0</v>
      </c>
      <c r="P55" s="2">
        <f>P11/'Output-Calculation-sheet'!P10*'Output-Calculation-sheet'!P46</f>
        <v>3223.2797301374608</v>
      </c>
      <c r="Q55" s="2">
        <f>Q11/'Output-Calculation-sheet'!Q10*'Output-Calculation-sheet'!Q46</f>
        <v>704.59505142853209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0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83.129242933988778</v>
      </c>
      <c r="X55" s="2">
        <f>X11/'Output-Calculation-sheet'!X10*'Output-Calculation-sheet'!X46</f>
        <v>42.240947239367465</v>
      </c>
      <c r="Y55" s="2">
        <f>Y11/'Output-Calculation-sheet'!Y10*'Output-Calculation-sheet'!Y46</f>
        <v>293.79418718572481</v>
      </c>
      <c r="AA55" s="2">
        <f t="shared" si="3"/>
        <v>43.810017804587595</v>
      </c>
    </row>
    <row r="56" spans="1:27" x14ac:dyDescent="0.25">
      <c r="A56" s="2">
        <v>2035</v>
      </c>
      <c r="B56" s="2">
        <f>B12/'Output-Calculation-sheet'!B11*'Output-Calculation-sheet'!B47</f>
        <v>514.71114688010312</v>
      </c>
      <c r="C56" s="2">
        <f>C12/'Output-Calculation-sheet'!C11*'Output-Calculation-sheet'!C47</f>
        <v>418.78941172493614</v>
      </c>
      <c r="D56" s="2">
        <f>D12/'Output-Calculation-sheet'!D11*'Output-Calculation-sheet'!D47</f>
        <v>17023.635261815904</v>
      </c>
      <c r="E56" s="2">
        <f>E12/'Output-Calculation-sheet'!E11*'Output-Calculation-sheet'!E47</f>
        <v>11834.012161520042</v>
      </c>
      <c r="F56" s="2">
        <f>F12/'Output-Calculation-sheet'!F11*'Output-Calculation-sheet'!F47</f>
        <v>3533.3887464718068</v>
      </c>
      <c r="G56" s="2">
        <f>G12/'Output-Calculation-sheet'!G11*'Output-Calculation-sheet'!G47</f>
        <v>7901.4561336366187</v>
      </c>
      <c r="H56" s="2">
        <f>H12/'Output-Calculation-sheet'!H11*'Output-Calculation-sheet'!H47</f>
        <v>157.56445181378339</v>
      </c>
      <c r="I56" s="2">
        <f>I12/'Output-Calculation-sheet'!I11*'Output-Calculation-sheet'!I47</f>
        <v>4643.1560617325431</v>
      </c>
      <c r="J56" s="2">
        <f>J12/'Output-Calculation-sheet'!J11*'Output-Calculation-sheet'!J47</f>
        <v>4919.3009133833139</v>
      </c>
      <c r="K56" s="2">
        <f>K12/'Output-Calculation-sheet'!K11*'Output-Calculation-sheet'!K47</f>
        <v>6798.6588316379766</v>
      </c>
      <c r="L56" s="2">
        <f>L12/'Output-Calculation-sheet'!L11*'Output-Calculation-sheet'!L47</f>
        <v>4551.1054503030609</v>
      </c>
      <c r="M56" s="2">
        <f>M12/'Output-Calculation-sheet'!M11*'Output-Calculation-sheet'!M47</f>
        <v>104.72355159477486</v>
      </c>
      <c r="N56" s="2">
        <f>N12/'Output-Calculation-sheet'!N11*'Output-Calculation-sheet'!N47</f>
        <v>115.03524035083883</v>
      </c>
      <c r="O56" s="2">
        <f>O12/'Output-Calculation-sheet'!O11*'Output-Calculation-sheet'!O47</f>
        <v>76.83919570723387</v>
      </c>
      <c r="P56" s="2">
        <f>P12/'Output-Calculation-sheet'!P11*'Output-Calculation-sheet'!P47</f>
        <v>1482.2197024921873</v>
      </c>
      <c r="Q56" s="2">
        <f>Q12/'Output-Calculation-sheet'!Q11*'Output-Calculation-sheet'!Q47</f>
        <v>1094.8812064124143</v>
      </c>
      <c r="R56" s="2">
        <f>R12/'Output-Calculation-sheet'!R11*'Output-Calculation-sheet'!R47</f>
        <v>6183.2707075140115</v>
      </c>
      <c r="S56" s="2">
        <f>S12/'Output-Calculation-sheet'!S11*'Output-Calculation-sheet'!S47</f>
        <v>51.365480553673045</v>
      </c>
      <c r="T56" s="2">
        <f>T12/'Output-Calculation-sheet'!T11*'Output-Calculation-sheet'!T47</f>
        <v>2245.149817566833</v>
      </c>
      <c r="U56" s="2">
        <f>U12/'Output-Calculation-sheet'!U11*'Output-Calculation-sheet'!U47</f>
        <v>2092.2741114546548</v>
      </c>
      <c r="V56" s="2">
        <f>V12/'Output-Calculation-sheet'!V11*'Output-Calculation-sheet'!V47</f>
        <v>1287.8419463176424</v>
      </c>
      <c r="W56" s="2">
        <f>W12/'Output-Calculation-sheet'!W11*'Output-Calculation-sheet'!W47</f>
        <v>761.68765152146682</v>
      </c>
      <c r="X56" s="2">
        <f>X12/'Output-Calculation-sheet'!X11*'Output-Calculation-sheet'!X47</f>
        <v>11.758706509519211</v>
      </c>
      <c r="Y56" s="2">
        <f>Y12/'Output-Calculation-sheet'!Y11*'Output-Calculation-sheet'!Y47</f>
        <v>252.1204502332003</v>
      </c>
      <c r="AA56" s="2">
        <f t="shared" si="3"/>
        <v>78.054946339148529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7.2238935038888537</v>
      </c>
      <c r="C63" s="2">
        <f>C8*'Output-Calculation-sheet'!C52/10^9</f>
        <v>3.8593754379938288</v>
      </c>
      <c r="D63" s="2">
        <f>D8*'Output-Calculation-sheet'!D52/10^9</f>
        <v>2.477227892101554</v>
      </c>
      <c r="E63" s="2">
        <f>E8*'Output-Calculation-sheet'!E52/10^9</f>
        <v>2.4630290120777079</v>
      </c>
      <c r="F63" s="2">
        <f>F8*'Output-Calculation-sheet'!F52/10^9</f>
        <v>1.0430925829973448</v>
      </c>
      <c r="G63" s="2">
        <f>G8*'Output-Calculation-sheet'!G52/10^9</f>
        <v>0.74993644427615436</v>
      </c>
      <c r="H63" s="2">
        <f>H8*'Output-Calculation-sheet'!H52/10^9</f>
        <v>1.2196995821189289</v>
      </c>
      <c r="I63" s="2">
        <f>I8*'Output-Calculation-sheet'!I52/10^9</f>
        <v>0.69761500027531032</v>
      </c>
      <c r="J63" s="2">
        <f>J8*'Output-Calculation-sheet'!J52/10^9</f>
        <v>0.95996552607106311</v>
      </c>
      <c r="K63" s="2">
        <f>K8*'Output-Calculation-sheet'!K52/10^9</f>
        <v>0.84341509595898412</v>
      </c>
      <c r="L63" s="2">
        <f>L8*'Output-Calculation-sheet'!L52/10^9</f>
        <v>1.1344338843065531</v>
      </c>
      <c r="M63" s="2">
        <f>M8*'Output-Calculation-sheet'!M52/10^9</f>
        <v>0.99921810304969749</v>
      </c>
      <c r="N63" s="2">
        <f>N8*'Output-Calculation-sheet'!N52/10^9</f>
        <v>0.88166512943729258</v>
      </c>
      <c r="O63" s="2">
        <f>O8*'Output-Calculation-sheet'!O52/10^9</f>
        <v>0.78959489798696636</v>
      </c>
      <c r="P63" s="2">
        <f>P8*'Output-Calculation-sheet'!P52/10^9</f>
        <v>0.58277708018994745</v>
      </c>
      <c r="Q63" s="2">
        <f>Q8*'Output-Calculation-sheet'!Q52/10^9</f>
        <v>0.65953287433777397</v>
      </c>
      <c r="R63" s="2">
        <f>R8*'Output-Calculation-sheet'!R52/10^9</f>
        <v>0.5921296037098982</v>
      </c>
      <c r="S63" s="2">
        <f>S8*'Output-Calculation-sheet'!S52/10^9</f>
        <v>0.43878901654271119</v>
      </c>
      <c r="T63" s="2">
        <f>T8*'Output-Calculation-sheet'!T52/10^9</f>
        <v>0.22511921678347335</v>
      </c>
      <c r="U63" s="2">
        <f>U8*'Output-Calculation-sheet'!U52/10^9</f>
        <v>0.15460946578524593</v>
      </c>
      <c r="V63" s="2">
        <f>V8*'Output-Calculation-sheet'!V52/10^9</f>
        <v>0.27439526468731246</v>
      </c>
      <c r="W63" s="2">
        <f>W8*'Output-Calculation-sheet'!W52/10^9</f>
        <v>9.9318230268659879E-2</v>
      </c>
      <c r="X63" s="2">
        <f>X8*'Output-Calculation-sheet'!X52/10^9</f>
        <v>0.1023356635335841</v>
      </c>
      <c r="Y63" s="2">
        <f>Y8*'Output-Calculation-sheet'!Y52/10^9</f>
        <v>6.480238245961327E-2</v>
      </c>
      <c r="AA63" s="2">
        <f t="shared" si="4"/>
        <v>28.53597089083846</v>
      </c>
    </row>
    <row r="64" spans="1:27" x14ac:dyDescent="0.25">
      <c r="A64" s="2">
        <v>2032</v>
      </c>
      <c r="B64" s="2">
        <f>B9*'Output-Calculation-sheet'!B53/10^9</f>
        <v>7.5594234925941972</v>
      </c>
      <c r="C64" s="2">
        <f>C9*'Output-Calculation-sheet'!C53/10^9</f>
        <v>4.0074838641930661</v>
      </c>
      <c r="D64" s="2">
        <f>D9*'Output-Calculation-sheet'!D53/10^9</f>
        <v>2.2388548787508595</v>
      </c>
      <c r="E64" s="2">
        <f>E9*'Output-Calculation-sheet'!E53/10^9</f>
        <v>2.2926859007549161</v>
      </c>
      <c r="F64" s="2">
        <f>F9*'Output-Calculation-sheet'!F53/10^9</f>
        <v>0.96704053661744971</v>
      </c>
      <c r="G64" s="2">
        <f>G9*'Output-Calculation-sheet'!G53/10^9</f>
        <v>0.68830987112958542</v>
      </c>
      <c r="H64" s="2">
        <f>H9*'Output-Calculation-sheet'!H53/10^9</f>
        <v>1.2577190802295126</v>
      </c>
      <c r="I64" s="2">
        <f>I9*'Output-Calculation-sheet'!I53/10^9</f>
        <v>0.64345723464998417</v>
      </c>
      <c r="J64" s="2">
        <f>J9*'Output-Calculation-sheet'!J53/10^9</f>
        <v>0.8518066377974427</v>
      </c>
      <c r="K64" s="2">
        <f>K9*'Output-Calculation-sheet'!K53/10^9</f>
        <v>0.79036066859221576</v>
      </c>
      <c r="L64" s="2">
        <f>L9*'Output-Calculation-sheet'!L53/10^9</f>
        <v>1.0167966378121669</v>
      </c>
      <c r="M64" s="2">
        <f>M9*'Output-Calculation-sheet'!M53/10^9</f>
        <v>0.99785298907408682</v>
      </c>
      <c r="N64" s="2">
        <f>N9*'Output-Calculation-sheet'!N53/10^9</f>
        <v>0.89839010375227091</v>
      </c>
      <c r="O64" s="2">
        <f>O9*'Output-Calculation-sheet'!O53/10^9</f>
        <v>0.81154549345099736</v>
      </c>
      <c r="P64" s="2">
        <f>P9*'Output-Calculation-sheet'!P53/10^9</f>
        <v>0.60259998055824415</v>
      </c>
      <c r="Q64" s="2">
        <f>Q9*'Output-Calculation-sheet'!Q53/10^9</f>
        <v>0.66595960999309556</v>
      </c>
      <c r="R64" s="2">
        <f>R9*'Output-Calculation-sheet'!R53/10^9</f>
        <v>0.57088465332155203</v>
      </c>
      <c r="S64" s="2">
        <f>S9*'Output-Calculation-sheet'!S53/10^9</f>
        <v>0.45937490584743829</v>
      </c>
      <c r="T64" s="2">
        <f>T9*'Output-Calculation-sheet'!T53/10^9</f>
        <v>0.20521735786174886</v>
      </c>
      <c r="U64" s="2">
        <f>U9*'Output-Calculation-sheet'!U53/10^9</f>
        <v>0.15446282657034602</v>
      </c>
      <c r="V64" s="2">
        <f>V9*'Output-Calculation-sheet'!V53/10^9</f>
        <v>0.24357912655837513</v>
      </c>
      <c r="W64" s="2">
        <f>W9*'Output-Calculation-sheet'!W53/10^9</f>
        <v>9.0509456589758577E-2</v>
      </c>
      <c r="X64" s="2">
        <f>X9*'Output-Calculation-sheet'!X53/10^9</f>
        <v>0.10376779708234976</v>
      </c>
      <c r="Y64" s="2">
        <f>Y9*'Output-Calculation-sheet'!Y53/10^9</f>
        <v>6.3413912037321371E-2</v>
      </c>
      <c r="AA64" s="2">
        <f t="shared" si="4"/>
        <v>28.181497015818973</v>
      </c>
    </row>
    <row r="65" spans="1:27" x14ac:dyDescent="0.25">
      <c r="A65" s="2">
        <v>2033</v>
      </c>
      <c r="B65" s="2">
        <f>B10*'Output-Calculation-sheet'!B54/10^9</f>
        <v>7.8700697734882423</v>
      </c>
      <c r="C65" s="2">
        <f>C10*'Output-Calculation-sheet'!C54/10^9</f>
        <v>4.0681801076483977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1.2775458587689754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0.7442848258216852</v>
      </c>
      <c r="L65" s="2">
        <f>L10*'Output-Calculation-sheet'!L54/10^9</f>
        <v>0.87914605660413192</v>
      </c>
      <c r="M65" s="2">
        <f>M10*'Output-Calculation-sheet'!M54/10^9</f>
        <v>0.97421007801771098</v>
      </c>
      <c r="N65" s="2">
        <f>N10*'Output-Calculation-sheet'!N54/10^9</f>
        <v>0.8939571255911245</v>
      </c>
      <c r="O65" s="2">
        <f>O10*'Output-Calculation-sheet'!O54/10^9</f>
        <v>0.8152812827673479</v>
      </c>
      <c r="P65" s="2">
        <f>P10*'Output-Calculation-sheet'!P54/10^9</f>
        <v>0.62974088054348265</v>
      </c>
      <c r="Q65" s="2">
        <f>Q10*'Output-Calculation-sheet'!Q54/10^9</f>
        <v>0.68599736178894555</v>
      </c>
      <c r="R65" s="2">
        <f>R10*'Output-Calculation-sheet'!R54/10^9</f>
        <v>0.55446752993546866</v>
      </c>
      <c r="S65" s="2">
        <f>S10*'Output-Calculation-sheet'!S54/10^9</f>
        <v>0.47156109143538727</v>
      </c>
      <c r="T65" s="2">
        <f>T10*'Output-Calculation-sheet'!T54/10^9</f>
        <v>0.1853662293785131</v>
      </c>
      <c r="U65" s="2">
        <f>U10*'Output-Calculation-sheet'!U54/10^9</f>
        <v>0.16006006850765758</v>
      </c>
      <c r="V65" s="2">
        <f>V10*'Output-Calculation-sheet'!V54/10^9</f>
        <v>0.20514348739182167</v>
      </c>
      <c r="W65" s="2">
        <f>W10*'Output-Calculation-sheet'!W54/10^9</f>
        <v>7.8102843509243139E-2</v>
      </c>
      <c r="X65" s="2">
        <f>X10*'Output-Calculation-sheet'!X54/10^9</f>
        <v>0.1021466146142033</v>
      </c>
      <c r="Y65" s="2">
        <f>Y10*'Output-Calculation-sheet'!Y54/10^9</f>
        <v>6.4288150930550722E-2</v>
      </c>
      <c r="AA65" s="2">
        <f t="shared" si="4"/>
        <v>27.473634262585151</v>
      </c>
    </row>
    <row r="66" spans="1:27" x14ac:dyDescent="0.25">
      <c r="A66" s="2">
        <v>2034</v>
      </c>
      <c r="B66" s="2">
        <f>B11*'Output-Calculation-sheet'!B55/10^9</f>
        <v>8.1475904061549773</v>
      </c>
      <c r="C66" s="2">
        <f>C11*'Output-Calculation-sheet'!C55/10^9</f>
        <v>4.09856022152122</v>
      </c>
      <c r="D66" s="2">
        <f>D11*'Output-Calculation-sheet'!D55/10^9</f>
        <v>1.8387825820747201</v>
      </c>
      <c r="E66" s="2">
        <f>E11*'Output-Calculation-sheet'!E55/10^9</f>
        <v>2.2266352966344396</v>
      </c>
      <c r="F66" s="2">
        <f>F11*'Output-Calculation-sheet'!F55/10^9</f>
        <v>0.85573383049147622</v>
      </c>
      <c r="G66" s="2">
        <f>G11*'Output-Calculation-sheet'!G55/10^9</f>
        <v>0.6116598992404394</v>
      </c>
      <c r="H66" s="2">
        <f>H11*'Output-Calculation-sheet'!H55/10^9</f>
        <v>1.2763771969260098</v>
      </c>
      <c r="I66" s="2">
        <f>I11*'Output-Calculation-sheet'!I55/10^9</f>
        <v>0.59812928392926801</v>
      </c>
      <c r="J66" s="2">
        <f>J11*'Output-Calculation-sheet'!J55/10^9</f>
        <v>0.61507774896529488</v>
      </c>
      <c r="K66" s="2">
        <f>K11*'Output-Calculation-sheet'!K55/10^9</f>
        <v>0.73566229362540791</v>
      </c>
      <c r="L66" s="2">
        <f>L11*'Output-Calculation-sheet'!L55/10^9</f>
        <v>0.77909204502764906</v>
      </c>
      <c r="M66" s="2">
        <f>M11*'Output-Calculation-sheet'!M55/10^9</f>
        <v>0.93039078560401967</v>
      </c>
      <c r="N66" s="2">
        <f>N11*'Output-Calculation-sheet'!N55/10^9</f>
        <v>0.87895035594499116</v>
      </c>
      <c r="O66" s="2">
        <f>O11*'Output-Calculation-sheet'!O55/10^9</f>
        <v>0.80784001772832181</v>
      </c>
      <c r="P66" s="2">
        <f>P11*'Output-Calculation-sheet'!P55/10^9</f>
        <v>0.67458900611345851</v>
      </c>
      <c r="Q66" s="2">
        <f>Q11*'Output-Calculation-sheet'!Q55/10^9</f>
        <v>0.71356200363516942</v>
      </c>
      <c r="R66" s="2">
        <f>R11*'Output-Calculation-sheet'!R55/10^9</f>
        <v>0.55109346468755094</v>
      </c>
      <c r="S66" s="2">
        <f>S11*'Output-Calculation-sheet'!S55/10^9</f>
        <v>0.48072729038553158</v>
      </c>
      <c r="T66" s="2">
        <f>T11*'Output-Calculation-sheet'!T55/10^9</f>
        <v>0.17274036498092105</v>
      </c>
      <c r="U66" s="2">
        <f>U11*'Output-Calculation-sheet'!U55/10^9</f>
        <v>0.17636552647086884</v>
      </c>
      <c r="V66" s="2">
        <f>V11*'Output-Calculation-sheet'!V55/10^9</f>
        <v>0.16386860579383852</v>
      </c>
      <c r="W66" s="2">
        <f>W11*'Output-Calculation-sheet'!W55/10^9</f>
        <v>7.4199599843785227E-2</v>
      </c>
      <c r="X66" s="2">
        <f>X11*'Output-Calculation-sheet'!X55/10^9</f>
        <v>9.9404682552454299E-2</v>
      </c>
      <c r="Y66" s="2">
        <f>Y11*'Output-Calculation-sheet'!Y55/10^9</f>
        <v>7.254275075475107E-2</v>
      </c>
      <c r="AA66" s="2">
        <f t="shared" si="4"/>
        <v>27.57957525908655</v>
      </c>
    </row>
    <row r="67" spans="1:27" x14ac:dyDescent="0.25">
      <c r="A67" s="2">
        <v>2035</v>
      </c>
      <c r="B67" s="2">
        <f>B12*'Output-Calculation-sheet'!B56/10^9</f>
        <v>8.6725778071769692</v>
      </c>
      <c r="C67" s="2">
        <f>C12*'Output-Calculation-sheet'!C56/10^9</f>
        <v>4.057268288723499</v>
      </c>
      <c r="D67" s="2">
        <f>D12*'Output-Calculation-sheet'!D56/10^9</f>
        <v>2.2130192858593607</v>
      </c>
      <c r="E67" s="2">
        <f>E12*'Output-Calculation-sheet'!E56/10^9</f>
        <v>2.7065686723264148</v>
      </c>
      <c r="F67" s="2">
        <f>F12*'Output-Calculation-sheet'!F56/10^9</f>
        <v>1.0953981087309421</v>
      </c>
      <c r="G67" s="2">
        <f>G12*'Output-Calculation-sheet'!G56/10^9</f>
        <v>0.8040294101163894</v>
      </c>
      <c r="H67" s="2">
        <f>H12*'Output-Calculation-sheet'!H56/10^9</f>
        <v>1.2822496694620318</v>
      </c>
      <c r="I67" s="2">
        <f>I12*'Output-Calculation-sheet'!I56/10^9</f>
        <v>0.75948695566604274</v>
      </c>
      <c r="J67" s="2">
        <f>J12*'Output-Calculation-sheet'!J56/10^9</f>
        <v>0.70548067317749019</v>
      </c>
      <c r="K67" s="2">
        <f>K12*'Output-Calculation-sheet'!K56/10^9</f>
        <v>0.86685417171372636</v>
      </c>
      <c r="L67" s="2">
        <f>L12*'Output-Calculation-sheet'!L56/10^9</f>
        <v>0.8276307119334646</v>
      </c>
      <c r="M67" s="2">
        <f>M12*'Output-Calculation-sheet'!M56/10^9</f>
        <v>0.8925257296684076</v>
      </c>
      <c r="N67" s="2">
        <f>N12*'Output-Calculation-sheet'!N56/10^9</f>
        <v>0.86973687547506584</v>
      </c>
      <c r="O67" s="2">
        <f>O12*'Output-Calculation-sheet'!O56/10^9</f>
        <v>0.78862126268275168</v>
      </c>
      <c r="P67" s="2">
        <f>P12*'Output-Calculation-sheet'!P56/10^9</f>
        <v>0.76688001728353195</v>
      </c>
      <c r="Q67" s="2">
        <f>Q12*'Output-Calculation-sheet'!Q56/10^9</f>
        <v>0.77650348661085655</v>
      </c>
      <c r="R67" s="2">
        <f>R12*'Output-Calculation-sheet'!R56/10^9</f>
        <v>0.63920512486374292</v>
      </c>
      <c r="S67" s="2">
        <f>S12*'Output-Calculation-sheet'!S56/10^9</f>
        <v>0.49723880707196594</v>
      </c>
      <c r="T67" s="2">
        <f>T12*'Output-Calculation-sheet'!T56/10^9</f>
        <v>0.19588973281332017</v>
      </c>
      <c r="U67" s="2">
        <f>U12*'Output-Calculation-sheet'!U56/10^9</f>
        <v>0.21036677259176717</v>
      </c>
      <c r="V67" s="2">
        <f>V12*'Output-Calculation-sheet'!V56/10^9</f>
        <v>0.15038042275034516</v>
      </c>
      <c r="W67" s="2">
        <f>W12*'Output-Calculation-sheet'!W56/10^9</f>
        <v>9.9826747168435911E-2</v>
      </c>
      <c r="X67" s="2">
        <f>X12*'Output-Calculation-sheet'!X56/10^9</f>
        <v>9.5044550015303639E-2</v>
      </c>
      <c r="Y67" s="2">
        <f>Y12*'Output-Calculation-sheet'!Y56/10^9</f>
        <v>8.8777362601595619E-2</v>
      </c>
      <c r="AA67" s="2">
        <f t="shared" si="4"/>
        <v>30.061560646483425</v>
      </c>
    </row>
    <row r="68" spans="1:27" x14ac:dyDescent="0.25">
      <c r="B68" s="2">
        <f>SUM(B60:B67)</f>
        <v>39.473554983303245</v>
      </c>
      <c r="C68" s="2">
        <f t="shared" ref="C68:Y68" si="5">SUM(C60:C67)</f>
        <v>20.090867920080012</v>
      </c>
      <c r="D68" s="2">
        <f t="shared" si="5"/>
        <v>10.677733674672812</v>
      </c>
      <c r="E68" s="2">
        <f t="shared" si="5"/>
        <v>11.839376344454028</v>
      </c>
      <c r="F68" s="2">
        <f t="shared" si="5"/>
        <v>4.8343130814897659</v>
      </c>
      <c r="G68" s="2">
        <f t="shared" si="5"/>
        <v>3.4533625645369996</v>
      </c>
      <c r="H68" s="2">
        <f t="shared" si="5"/>
        <v>6.3135913875054586</v>
      </c>
      <c r="I68" s="2">
        <f t="shared" si="5"/>
        <v>3.2823668704606743</v>
      </c>
      <c r="J68" s="2">
        <f t="shared" si="5"/>
        <v>3.8299556249396276</v>
      </c>
      <c r="K68" s="2">
        <f t="shared" si="5"/>
        <v>3.9805770557120197</v>
      </c>
      <c r="L68" s="2">
        <f t="shared" si="5"/>
        <v>4.6370993356839652</v>
      </c>
      <c r="M68" s="2">
        <f t="shared" si="5"/>
        <v>4.7941976854139225</v>
      </c>
      <c r="N68" s="2">
        <f t="shared" si="5"/>
        <v>4.4226995902007449</v>
      </c>
      <c r="O68" s="2">
        <f t="shared" si="5"/>
        <v>4.0128829546163853</v>
      </c>
      <c r="P68" s="2">
        <f t="shared" si="5"/>
        <v>3.2565869646886649</v>
      </c>
      <c r="Q68" s="2">
        <f t="shared" si="5"/>
        <v>3.5015553363658412</v>
      </c>
      <c r="R68" s="2">
        <f t="shared" si="5"/>
        <v>2.9077803765182129</v>
      </c>
      <c r="S68" s="2">
        <f t="shared" si="5"/>
        <v>2.3476911112830341</v>
      </c>
      <c r="T68" s="2">
        <f t="shared" si="5"/>
        <v>0.9843329018179765</v>
      </c>
      <c r="U68" s="2">
        <f t="shared" si="5"/>
        <v>0.85586465992588556</v>
      </c>
      <c r="V68" s="2">
        <f t="shared" si="5"/>
        <v>1.0373669071816929</v>
      </c>
      <c r="W68" s="2">
        <f t="shared" si="5"/>
        <v>0.44195687737988271</v>
      </c>
      <c r="X68" s="2">
        <f t="shared" si="5"/>
        <v>0.50269930779789507</v>
      </c>
      <c r="Y68" s="2">
        <f t="shared" si="5"/>
        <v>0.35382455878383207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49.629323270627992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4.9629323270627995E-2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495.6086222809372</v>
      </c>
      <c r="Q76" s="2">
        <f>Q10/'Output-Calculation-sheet'!Q9*'Output-Calculation-sheet'!Q63</f>
        <v>58.778114374139534</v>
      </c>
      <c r="R76" s="2">
        <f>R10/'Output-Calculation-sheet'!R9*'Output-Calculation-sheet'!R63</f>
        <v>378.20799387650271</v>
      </c>
      <c r="S76" s="2">
        <f>S10/'Output-Calculation-sheet'!S9*'Output-Calculation-sheet'!S63</f>
        <v>0</v>
      </c>
      <c r="T76" s="2">
        <f>T10/'Output-Calculation-sheet'!T9*'Output-Calculation-sheet'!T63</f>
        <v>24.785451016125993</v>
      </c>
      <c r="U76" s="2">
        <f>U10/'Output-Calculation-sheet'!U9*'Output-Calculation-sheet'!U63</f>
        <v>133.99601598687119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6.3555253726799821</v>
      </c>
      <c r="AA76" s="2">
        <f t="shared" si="6"/>
        <v>1.2017760427558664</v>
      </c>
    </row>
    <row r="77" spans="1:27" x14ac:dyDescent="0.25">
      <c r="A77" s="2">
        <v>2034</v>
      </c>
      <c r="B77" s="2">
        <f>B11/'Output-Calculation-sheet'!B10*'Output-Calculation-sheet'!B64</f>
        <v>501.33153816046598</v>
      </c>
      <c r="C77" s="2">
        <f>C11/'Output-Calculation-sheet'!C10*'Output-Calculation-sheet'!C64</f>
        <v>0</v>
      </c>
      <c r="D77" s="2">
        <f>D11/'Output-Calculation-sheet'!D10*'Output-Calculation-sheet'!D64</f>
        <v>1783.2109552216907</v>
      </c>
      <c r="E77" s="2">
        <f>E11/'Output-Calculation-sheet'!E10*'Output-Calculation-sheet'!E64</f>
        <v>2211.131396662016</v>
      </c>
      <c r="F77" s="2">
        <f>F11/'Output-Calculation-sheet'!F10*'Output-Calculation-sheet'!F64</f>
        <v>143.86723469563449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146.20277922357781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388.9754855686694</v>
      </c>
      <c r="K77" s="2">
        <f>K11/'Output-Calculation-sheet'!K10*'Output-Calculation-sheet'!K64</f>
        <v>849.96509510281851</v>
      </c>
      <c r="L77" s="2">
        <f>L11/'Output-Calculation-sheet'!L10*'Output-Calculation-sheet'!L64</f>
        <v>350.43213167282266</v>
      </c>
      <c r="M77" s="2">
        <f>M11/'Output-Calculation-sheet'!M10*'Output-Calculation-sheet'!M64</f>
        <v>105.29749014004473</v>
      </c>
      <c r="N77" s="2">
        <f>N11/'Output-Calculation-sheet'!N10*'Output-Calculation-sheet'!N64</f>
        <v>34.824846381109069</v>
      </c>
      <c r="O77" s="2">
        <f>O11/'Output-Calculation-sheet'!O10*'Output-Calculation-sheet'!O64</f>
        <v>0</v>
      </c>
      <c r="P77" s="2">
        <f>P11/'Output-Calculation-sheet'!P10*'Output-Calculation-sheet'!P64</f>
        <v>722.2299712258864</v>
      </c>
      <c r="Q77" s="2">
        <f>Q11/'Output-Calculation-sheet'!Q10*'Output-Calculation-sheet'!Q64</f>
        <v>173.24647821918276</v>
      </c>
      <c r="R77" s="2">
        <f>R11/'Output-Calculation-sheet'!R10*'Output-Calculation-sheet'!R64</f>
        <v>891.43029934299454</v>
      </c>
      <c r="S77" s="2">
        <f>S11/'Output-Calculation-sheet'!S10*'Output-Calculation-sheet'!S64</f>
        <v>0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327.72389087520548</v>
      </c>
      <c r="V77" s="2">
        <f>V11/'Output-Calculation-sheet'!V10*'Output-Calculation-sheet'!V64</f>
        <v>128.0079952775983</v>
      </c>
      <c r="W77" s="2">
        <f>W11/'Output-Calculation-sheet'!W10*'Output-Calculation-sheet'!W64</f>
        <v>28.032214448859364</v>
      </c>
      <c r="X77" s="2">
        <f>X11/'Output-Calculation-sheet'!X10*'Output-Calculation-sheet'!X64</f>
        <v>10.497004172358544</v>
      </c>
      <c r="Y77" s="2">
        <f>Y11/'Output-Calculation-sheet'!Y10*'Output-Calculation-sheet'!Y64</f>
        <v>59.166594936365087</v>
      </c>
      <c r="AA77" s="2">
        <f t="shared" si="6"/>
        <v>10.592391278019477</v>
      </c>
    </row>
    <row r="78" spans="1:27" x14ac:dyDescent="0.25">
      <c r="A78" s="2">
        <v>2035</v>
      </c>
      <c r="B78" s="2">
        <f>B12/'Output-Calculation-sheet'!B11*'Output-Calculation-sheet'!B65</f>
        <v>97.868648071059596</v>
      </c>
      <c r="C78" s="2">
        <f>C12/'Output-Calculation-sheet'!C11*'Output-Calculation-sheet'!C65</f>
        <v>78.389234747457849</v>
      </c>
      <c r="D78" s="2">
        <f>D12/'Output-Calculation-sheet'!D11*'Output-Calculation-sheet'!D65</f>
        <v>3741.4590919820416</v>
      </c>
      <c r="E78" s="2">
        <f>E12/'Output-Calculation-sheet'!E11*'Output-Calculation-sheet'!E65</f>
        <v>1814.3669946836519</v>
      </c>
      <c r="F78" s="2">
        <f>F12/'Output-Calculation-sheet'!F11*'Output-Calculation-sheet'!F65</f>
        <v>935.6861512641226</v>
      </c>
      <c r="G78" s="2">
        <f>G12/'Output-Calculation-sheet'!G11*'Output-Calculation-sheet'!G65</f>
        <v>1736.5829531975721</v>
      </c>
      <c r="H78" s="2">
        <f>H12/'Output-Calculation-sheet'!H11*'Output-Calculation-sheet'!H65</f>
        <v>32.913065377738256</v>
      </c>
      <c r="I78" s="2">
        <f>I12/'Output-Calculation-sheet'!I11*'Output-Calculation-sheet'!I65</f>
        <v>1154.1044001362413</v>
      </c>
      <c r="J78" s="2">
        <f>J12/'Output-Calculation-sheet'!J11*'Output-Calculation-sheet'!J65</f>
        <v>1200.3242301258028</v>
      </c>
      <c r="K78" s="2">
        <f>K12/'Output-Calculation-sheet'!K11*'Output-Calculation-sheet'!K65</f>
        <v>1494.2099242554887</v>
      </c>
      <c r="L78" s="2">
        <f>L12/'Output-Calculation-sheet'!L11*'Output-Calculation-sheet'!L65</f>
        <v>812.261241087489</v>
      </c>
      <c r="M78" s="2">
        <f>M12/'Output-Calculation-sheet'!M11*'Output-Calculation-sheet'!M65</f>
        <v>23.015772556964581</v>
      </c>
      <c r="N78" s="2">
        <f>N12/'Output-Calculation-sheet'!N11*'Output-Calculation-sheet'!N65</f>
        <v>23.924908198440772</v>
      </c>
      <c r="O78" s="2">
        <f>O12/'Output-Calculation-sheet'!O11*'Output-Calculation-sheet'!O65</f>
        <v>13.660427013305149</v>
      </c>
      <c r="P78" s="2">
        <f>P12/'Output-Calculation-sheet'!P11*'Output-Calculation-sheet'!P65</f>
        <v>281.37563907008291</v>
      </c>
      <c r="Q78" s="2">
        <f>Q12/'Output-Calculation-sheet'!Q11*'Output-Calculation-sheet'!Q65</f>
        <v>209.6739947535836</v>
      </c>
      <c r="R78" s="2">
        <f>R12/'Output-Calculation-sheet'!R11*'Output-Calculation-sheet'!R65</f>
        <v>1293.0789854782959</v>
      </c>
      <c r="S78" s="2">
        <f>S12/'Output-Calculation-sheet'!S11*'Output-Calculation-sheet'!S65</f>
        <v>9.8031713764800585</v>
      </c>
      <c r="T78" s="2">
        <f>T12/'Output-Calculation-sheet'!T11*'Output-Calculation-sheet'!T65</f>
        <v>469.25110308039103</v>
      </c>
      <c r="U78" s="2">
        <f>U12/'Output-Calculation-sheet'!U11*'Output-Calculation-sheet'!U65</f>
        <v>386.00951027298424</v>
      </c>
      <c r="V78" s="2">
        <f>V12/'Output-Calculation-sheet'!V11*'Output-Calculation-sheet'!V65</f>
        <v>233.98422896732316</v>
      </c>
      <c r="W78" s="2">
        <f>W12/'Output-Calculation-sheet'!W11*'Output-Calculation-sheet'!W65</f>
        <v>167.40380245941782</v>
      </c>
      <c r="X78" s="2">
        <f>X12/'Output-Calculation-sheet'!X11*'Output-Calculation-sheet'!X65</f>
        <v>2.349849096258632</v>
      </c>
      <c r="Y78" s="2">
        <f>Y12/'Output-Calculation-sheet'!Y11*'Output-Calculation-sheet'!Y65</f>
        <v>41.181586505809726</v>
      </c>
      <c r="AA78" s="2">
        <f t="shared" si="6"/>
        <v>16.252878913758003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82.438911679495902</v>
      </c>
      <c r="E89" s="2">
        <f>E12/'Output-Calculation-sheet'!E11*'Output-Calculation-sheet'!E74</f>
        <v>61.42220845079607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42.510758145881219</v>
      </c>
      <c r="H89" s="2">
        <f>H12/'Output-Calculation-sheet'!H11*'Output-Calculation-sheet'!H74</f>
        <v>5.3715154027426149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19.743013699197245</v>
      </c>
      <c r="K89" s="2">
        <f>K12/'Output-Calculation-sheet'!K11*'Output-Calculation-sheet'!K74</f>
        <v>27.77630380625946</v>
      </c>
      <c r="L89" s="2">
        <f>L12/'Output-Calculation-sheet'!L11*'Output-Calculation-sheet'!L74</f>
        <v>10.39361792818284</v>
      </c>
      <c r="M89" s="2">
        <f>M12/'Output-Calculation-sheet'!M11*'Output-Calculation-sheet'!M74</f>
        <v>4.9281671338717583</v>
      </c>
      <c r="N89" s="2">
        <f>N12/'Output-Calculation-sheet'!N11*'Output-Calculation-sheet'!N74</f>
        <v>2.42179453370187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4.4746255169575466</v>
      </c>
      <c r="Q89" s="2">
        <f>Q12/'Output-Calculation-sheet'!Q11*'Output-Calculation-sheet'!Q74</f>
        <v>6.3655884093745012</v>
      </c>
      <c r="R89" s="2">
        <f>R12/'Output-Calculation-sheet'!R11*'Output-Calculation-sheet'!R74</f>
        <v>17.885928539686606</v>
      </c>
      <c r="S89" s="2">
        <f>S12/'Output-Calculation-sheet'!S11*'Output-Calculation-sheet'!S74</f>
        <v>2.082384346770529</v>
      </c>
      <c r="T89" s="2">
        <f>T12/'Output-Calculation-sheet'!T11*'Output-Calculation-sheet'!T74</f>
        <v>4.6709080809296113</v>
      </c>
      <c r="U89" s="2">
        <f>U12/'Output-Calculation-sheet'!U11*'Output-Calculation-sheet'!U74</f>
        <v>9.478025419953136</v>
      </c>
      <c r="V89" s="2">
        <f>V12/'Output-Calculation-sheet'!V11*'Output-Calculation-sheet'!V74</f>
        <v>1.3050688552063663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2.3477331113283006</v>
      </c>
      <c r="AA89" s="2">
        <f t="shared" si="7"/>
        <v>0.42678177661742556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1707.3139221507772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525.56417751115225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361.63930178274546</v>
      </c>
      <c r="N107" s="2">
        <f>N8/'Output-Calculation-sheet'!N7*'Output-Calculation-sheet'!N88</f>
        <v>142.1731139286486</v>
      </c>
      <c r="O107" s="2">
        <f>O8/'Output-Calculation-sheet'!O7*'Output-Calculation-sheet'!O88</f>
        <v>398.02039744560562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39.672583554579496</v>
      </c>
      <c r="Y107" s="2">
        <f>Y8/'Output-Calculation-sheet'!Y7*'Output-Calculation-sheet'!Y88</f>
        <v>0</v>
      </c>
      <c r="AA107" s="2">
        <f t="shared" si="9"/>
        <v>3.1743834963735087</v>
      </c>
    </row>
    <row r="108" spans="1:27" x14ac:dyDescent="0.25">
      <c r="A108" s="2">
        <v>2032</v>
      </c>
      <c r="B108" s="2">
        <f>B9/'Output-Calculation-sheet'!B8*'Output-Calculation-sheet'!B89</f>
        <v>789.59962756944094</v>
      </c>
      <c r="C108" s="2">
        <f>C9/'Output-Calculation-sheet'!C8*'Output-Calculation-sheet'!C89</f>
        <v>2998.0980707682738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807.54412556515376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555.66894819794481</v>
      </c>
      <c r="N108" s="2">
        <f>N9/'Output-Calculation-sheet'!N8*'Output-Calculation-sheet'!N89</f>
        <v>390.09461464440579</v>
      </c>
      <c r="O108" s="2">
        <f>O9/'Output-Calculation-sheet'!O8*'Output-Calculation-sheet'!O89</f>
        <v>582.447165606211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178.89255987449886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60.958039315405166</v>
      </c>
      <c r="Y108" s="2">
        <f>Y9/'Output-Calculation-sheet'!Y8*'Output-Calculation-sheet'!Y89</f>
        <v>0</v>
      </c>
      <c r="AA108" s="2">
        <f t="shared" si="9"/>
        <v>6.3633031515413343</v>
      </c>
    </row>
    <row r="109" spans="1:27" x14ac:dyDescent="0.25">
      <c r="A109" s="2">
        <v>2033</v>
      </c>
      <c r="B109" s="2">
        <f>B10/'Output-Calculation-sheet'!B9*'Output-Calculation-sheet'!B90</f>
        <v>4240.8686353780204</v>
      </c>
      <c r="C109" s="2">
        <f>C10/'Output-Calculation-sheet'!C9*'Output-Calculation-sheet'!C90</f>
        <v>4025.6288219279681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1239.2134061066454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852.69942305897678</v>
      </c>
      <c r="N109" s="2">
        <f>N10/'Output-Calculation-sheet'!N9*'Output-Calculation-sheet'!N90</f>
        <v>670.45219711372113</v>
      </c>
      <c r="O109" s="2">
        <f>O10/'Output-Calculation-sheet'!O9*'Output-Calculation-sheet'!O90</f>
        <v>782.06784493669784</v>
      </c>
      <c r="P109" s="2">
        <f>P10/'Output-Calculation-sheet'!P9*'Output-Calculation-sheet'!P90</f>
        <v>0</v>
      </c>
      <c r="Q109" s="2">
        <f>Q10/'Output-Calculation-sheet'!Q9*'Output-Calculation-sheet'!Q90</f>
        <v>146.85469375413689</v>
      </c>
      <c r="R109" s="2">
        <f>R10/'Output-Calculation-sheet'!R9*'Output-Calculation-sheet'!R90</f>
        <v>0</v>
      </c>
      <c r="S109" s="2">
        <f>S10/'Output-Calculation-sheet'!S9*'Output-Calculation-sheet'!S90</f>
        <v>336.28555146783464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93.542900181163404</v>
      </c>
      <c r="Y109" s="2">
        <f>Y10/'Output-Calculation-sheet'!Y9*'Output-Calculation-sheet'!Y90</f>
        <v>0</v>
      </c>
      <c r="AA109" s="2">
        <f t="shared" si="9"/>
        <v>12.387613473925164</v>
      </c>
    </row>
    <row r="110" spans="1:27" x14ac:dyDescent="0.25">
      <c r="A110" s="2">
        <v>2034</v>
      </c>
      <c r="B110" s="2">
        <f>B11/'Output-Calculation-sheet'!B10*'Output-Calculation-sheet'!B91</f>
        <v>8092.2077643119028</v>
      </c>
      <c r="C110" s="2">
        <f>C11/'Output-Calculation-sheet'!C10*'Output-Calculation-sheet'!C91</f>
        <v>5547.7487033975922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1576.4022591787937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1084.7181690309637</v>
      </c>
      <c r="N110" s="2">
        <f>N11/'Output-Calculation-sheet'!N10*'Output-Calculation-sheet'!N91</f>
        <v>977.26020888577614</v>
      </c>
      <c r="O110" s="2">
        <f>O11/'Output-Calculation-sheet'!O10*'Output-Calculation-sheet'!O91</f>
        <v>1077.7734522077974</v>
      </c>
      <c r="P110" s="2">
        <f>P11/'Output-Calculation-sheet'!P10*'Output-Calculation-sheet'!P91</f>
        <v>246.22275716327826</v>
      </c>
      <c r="Q110" s="2">
        <f>Q11/'Output-Calculation-sheet'!Q10*'Output-Calculation-sheet'!Q91</f>
        <v>544.87336114774575</v>
      </c>
      <c r="R110" s="2">
        <f>R11/'Output-Calculation-sheet'!R10*'Output-Calculation-sheet'!R91</f>
        <v>0</v>
      </c>
      <c r="S110" s="2">
        <f>S11/'Output-Calculation-sheet'!S10*'Output-Calculation-sheet'!S91</f>
        <v>560.1992884163077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118.99583917431566</v>
      </c>
      <c r="Y110" s="2">
        <f>Y11/'Output-Calculation-sheet'!Y10*'Output-Calculation-sheet'!Y91</f>
        <v>19.138876830203731</v>
      </c>
      <c r="AA110" s="2">
        <f t="shared" si="9"/>
        <v>19.84554067974468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2837.7060304267784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400.15429023503935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1033.6384944171932</v>
      </c>
      <c r="Q111" s="2">
        <f>Q12/'Output-Calculation-sheet'!Q11*'Output-Calculation-sheet'!Q92</f>
        <v>980.30061504367325</v>
      </c>
      <c r="R111" s="2">
        <f>R12/'Output-Calculation-sheet'!R11*'Output-Calculation-sheet'!R92</f>
        <v>0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110.47388584972616</v>
      </c>
      <c r="AA111" s="2">
        <f t="shared" si="9"/>
        <v>33.387499312857599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8026051705.9594927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2469451337.0996537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1715246754.4498057</v>
      </c>
      <c r="N118" s="2">
        <f>N8/'Output-Calculation-sheet'!N7*'Output-Calculation-sheet'!N97</f>
        <v>1345979642.4216328</v>
      </c>
      <c r="O118" s="2">
        <f>O8/'Output-Calculation-sheet'!O7*'Output-Calculation-sheet'!O97</f>
        <v>895630322.82176781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184871044.94852176</v>
      </c>
      <c r="Y118" s="2">
        <f>Y8/'Output-Calculation-sheet'!Y7*'Output-Calculation-sheet'!Y97</f>
        <v>0</v>
      </c>
      <c r="AA118" s="2">
        <f t="shared" si="10"/>
        <v>16493.289639178216</v>
      </c>
    </row>
    <row r="119" spans="1:27" x14ac:dyDescent="0.25">
      <c r="A119" s="2">
        <v>2032</v>
      </c>
      <c r="B119" s="2">
        <f>B9/'Output-Calculation-sheet'!B8*'Output-Calculation-sheet'!B98</f>
        <v>5923617424.1884174</v>
      </c>
      <c r="C119" s="2">
        <f>C9/'Output-Calculation-sheet'!C8*'Output-Calculation-sheet'!C98</f>
        <v>4708210776.8133364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2814578937.0975451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1964586638.4791431</v>
      </c>
      <c r="N119" s="2">
        <f>N9/'Output-Calculation-sheet'!N8*'Output-Calculation-sheet'!N98</f>
        <v>1328621728.1682339</v>
      </c>
      <c r="O119" s="2">
        <f>O9/'Output-Calculation-sheet'!O8*'Output-Calculation-sheet'!O98</f>
        <v>919897386.3112992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551364758.78919291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210217813.44076228</v>
      </c>
      <c r="Y119" s="2">
        <f>Y9/'Output-Calculation-sheet'!Y8*'Output-Calculation-sheet'!Y98</f>
        <v>0</v>
      </c>
      <c r="AA119" s="2">
        <f t="shared" si="10"/>
        <v>18421.095463287929</v>
      </c>
    </row>
    <row r="120" spans="1:27" x14ac:dyDescent="0.25">
      <c r="A120" s="2">
        <v>2033</v>
      </c>
      <c r="B120" s="2">
        <f>B10/'Output-Calculation-sheet'!B9*'Output-Calculation-sheet'!B99</f>
        <v>6101054613.9678926</v>
      </c>
      <c r="C120" s="2">
        <f>C10/'Output-Calculation-sheet'!C9*'Output-Calculation-sheet'!C99</f>
        <v>5015445731.3831758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1644445846.1118777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1163952430.9050734</v>
      </c>
      <c r="N120" s="2">
        <f>N10/'Output-Calculation-sheet'!N9*'Output-Calculation-sheet'!N99</f>
        <v>1160337250.7119219</v>
      </c>
      <c r="O120" s="2">
        <f>O10/'Output-Calculation-sheet'!O9*'Output-Calculation-sheet'!O99</f>
        <v>981916243.22479045</v>
      </c>
      <c r="P120" s="2">
        <f>P10/'Output-Calculation-sheet'!P9*'Output-Calculation-sheet'!P99</f>
        <v>0</v>
      </c>
      <c r="Q120" s="2">
        <f>Q10/'Output-Calculation-sheet'!Q9*'Output-Calculation-sheet'!Q99</f>
        <v>7373088.0624260427</v>
      </c>
      <c r="R120" s="2">
        <f>R10/'Output-Calculation-sheet'!R9*'Output-Calculation-sheet'!R99</f>
        <v>0</v>
      </c>
      <c r="S120" s="2">
        <f>S10/'Output-Calculation-sheet'!S9*'Output-Calculation-sheet'!S99</f>
        <v>485941668.51387131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116225814.33537884</v>
      </c>
      <c r="Y120" s="2">
        <f>Y10/'Output-Calculation-sheet'!Y9*'Output-Calculation-sheet'!Y99</f>
        <v>0</v>
      </c>
      <c r="AA120" s="2">
        <f t="shared" si="10"/>
        <v>16676.692687216408</v>
      </c>
    </row>
    <row r="121" spans="1:27" x14ac:dyDescent="0.25">
      <c r="A121" s="2">
        <v>2034</v>
      </c>
      <c r="B121" s="2">
        <f>B11/'Output-Calculation-sheet'!B10*'Output-Calculation-sheet'!B100</f>
        <v>6010100222.1556721</v>
      </c>
      <c r="C121" s="2">
        <f>C11/'Output-Calculation-sheet'!C10*'Output-Calculation-sheet'!C100</f>
        <v>728303018.41966891</v>
      </c>
      <c r="D121" s="2">
        <f>D11/'Output-Calculation-sheet'!D10*'Output-Calculation-sheet'!D100</f>
        <v>0</v>
      </c>
      <c r="E121" s="2">
        <f>E11/'Output-Calculation-sheet'!E10*'Output-Calculation-sheet'!E100</f>
        <v>841335281.83649504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1917689936.1649003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698618657.39517033</v>
      </c>
      <c r="M121" s="2">
        <f>M11/'Output-Calculation-sheet'!M10*'Output-Calculation-sheet'!M100</f>
        <v>1364812591.9982514</v>
      </c>
      <c r="N121" s="2">
        <f>N11/'Output-Calculation-sheet'!N10*'Output-Calculation-sheet'!N100</f>
        <v>909890059.21056581</v>
      </c>
      <c r="O121" s="2">
        <f>O11/'Output-Calculation-sheet'!O10*'Output-Calculation-sheet'!O100</f>
        <v>142859032.59465685</v>
      </c>
      <c r="P121" s="2">
        <f>P11/'Output-Calculation-sheet'!P10*'Output-Calculation-sheet'!P100</f>
        <v>0</v>
      </c>
      <c r="Q121" s="2">
        <f>Q11/'Output-Calculation-sheet'!Q10*'Output-Calculation-sheet'!Q100</f>
        <v>306774822.19069409</v>
      </c>
      <c r="R121" s="2">
        <f>R11/'Output-Calculation-sheet'!R10*'Output-Calculation-sheet'!R100</f>
        <v>0</v>
      </c>
      <c r="S121" s="2">
        <f>S11/'Output-Calculation-sheet'!S10*'Output-Calculation-sheet'!S100</f>
        <v>340201157.28670871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134102386.71417017</v>
      </c>
      <c r="Y121" s="2">
        <f>Y11/'Output-Calculation-sheet'!Y10*'Output-Calculation-sheet'!Y100</f>
        <v>19467431.691736262</v>
      </c>
      <c r="AA121" s="2">
        <f t="shared" si="10"/>
        <v>13414.154597658689</v>
      </c>
    </row>
    <row r="122" spans="1:27" x14ac:dyDescent="0.25">
      <c r="A122" s="2">
        <v>2035</v>
      </c>
      <c r="B122" s="2">
        <f>B12/'Output-Calculation-sheet'!B11*'Output-Calculation-sheet'!B101</f>
        <v>1712940314.2760229</v>
      </c>
      <c r="C122" s="2">
        <f>C12/'Output-Calculation-sheet'!C11*'Output-Calculation-sheet'!C101</f>
        <v>355485727.73535943</v>
      </c>
      <c r="D122" s="2">
        <f>D12/'Output-Calculation-sheet'!D11*'Output-Calculation-sheet'!D101</f>
        <v>0</v>
      </c>
      <c r="E122" s="2">
        <f>E12/'Output-Calculation-sheet'!E11*'Output-Calculation-sheet'!E101</f>
        <v>2937771816.5836978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616162055.58576977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1561880146.9218199</v>
      </c>
      <c r="M122" s="2">
        <f>M12/'Output-Calculation-sheet'!M11*'Output-Calculation-sheet'!M101</f>
        <v>549121762.11673081</v>
      </c>
      <c r="N122" s="2">
        <f>N12/'Output-Calculation-sheet'!N11*'Output-Calculation-sheet'!N101</f>
        <v>457201266.1086213</v>
      </c>
      <c r="O122" s="2">
        <f>O12/'Output-Calculation-sheet'!O11*'Output-Calculation-sheet'!O101</f>
        <v>60745339.165170945</v>
      </c>
      <c r="P122" s="2">
        <f>P12/'Output-Calculation-sheet'!P11*'Output-Calculation-sheet'!P101</f>
        <v>74767479.807329789</v>
      </c>
      <c r="Q122" s="2">
        <f>Q12/'Output-Calculation-sheet'!Q11*'Output-Calculation-sheet'!Q101</f>
        <v>695375074.25668788</v>
      </c>
      <c r="R122" s="2">
        <f>R12/'Output-Calculation-sheet'!R11*'Output-Calculation-sheet'!R101</f>
        <v>0</v>
      </c>
      <c r="S122" s="2">
        <f>S12/'Output-Calculation-sheet'!S11*'Output-Calculation-sheet'!S101</f>
        <v>205287001.92956346</v>
      </c>
      <c r="T122" s="2">
        <f>T12/'Output-Calculation-sheet'!T11*'Output-Calculation-sheet'!T101</f>
        <v>0</v>
      </c>
      <c r="U122" s="2">
        <f>U12/'Output-Calculation-sheet'!U11*'Output-Calculation-sheet'!U101</f>
        <v>86679588.973642126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17975831.987703409</v>
      </c>
      <c r="Y122" s="2">
        <f>Y12/'Output-Calculation-sheet'!Y11*'Output-Calculation-sheet'!Y101</f>
        <v>88272012.921019167</v>
      </c>
      <c r="AA122" s="2">
        <f t="shared" si="10"/>
        <v>9419.6654183691389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2233538696.6170311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146814.59045247047</v>
      </c>
    </row>
    <row r="130" spans="1:27" x14ac:dyDescent="0.25">
      <c r="A130" s="2">
        <v>2032</v>
      </c>
      <c r="B130" s="2">
        <f>B9/'Output-Calculation-sheet'!B8*'Output-Calculation-sheet'!B107</f>
        <v>53605344461.414749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1948285503.6817243</v>
      </c>
      <c r="O130" s="2">
        <f>O9/'Output-Calculation-sheet'!O8*'Output-Calculation-sheet'!O107</f>
        <v>0</v>
      </c>
      <c r="P130" s="2">
        <f>P9/'Output-Calculation-sheet'!P8*'Output-Calculation-sheet'!P107</f>
        <v>5950679418.629468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1732060997.5048816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188781.90006332251</v>
      </c>
    </row>
    <row r="131" spans="1:27" x14ac:dyDescent="0.25">
      <c r="A131" s="2">
        <v>2033</v>
      </c>
      <c r="B131" s="2">
        <f>B10/'Output-Calculation-sheet'!B9*'Output-Calculation-sheet'!B108</f>
        <v>45512010822.988121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1667683448.1385243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6470031598.0347357</v>
      </c>
      <c r="R131" s="2">
        <f>R10/'Output-Calculation-sheet'!R9*'Output-Calculation-sheet'!R108</f>
        <v>7259855519.0370264</v>
      </c>
      <c r="S131" s="2">
        <f>S10/'Output-Calculation-sheet'!S9*'Output-Calculation-sheet'!S108</f>
        <v>1617564073.9740546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217221.45116844832</v>
      </c>
    </row>
    <row r="132" spans="1:27" x14ac:dyDescent="0.25">
      <c r="A132" s="2">
        <v>2034</v>
      </c>
      <c r="B132" s="2">
        <f>B11/'Output-Calculation-sheet'!B10*'Output-Calculation-sheet'!B109</f>
        <v>35352648756.524803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34044747702.945438</v>
      </c>
      <c r="F132" s="2">
        <f>F11/'Output-Calculation-sheet'!F10*'Output-Calculation-sheet'!F109</f>
        <v>22453860012.653198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13989983630.122097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10416739611.413776</v>
      </c>
      <c r="M132" s="2">
        <f>M11/'Output-Calculation-sheet'!M10*'Output-Calculation-sheet'!M109</f>
        <v>0</v>
      </c>
      <c r="N132" s="2">
        <f>N11/'Output-Calculation-sheet'!N10*'Output-Calculation-sheet'!N109</f>
        <v>1369558070.8725941</v>
      </c>
      <c r="O132" s="2">
        <f>O11/'Output-Calculation-sheet'!O10*'Output-Calculation-sheet'!O109</f>
        <v>0</v>
      </c>
      <c r="P132" s="2">
        <f>P11/'Output-Calculation-sheet'!P10*'Output-Calculation-sheet'!P109</f>
        <v>7783142924.0071106</v>
      </c>
      <c r="Q132" s="2">
        <f>Q11/'Output-Calculation-sheet'!Q10*'Output-Calculation-sheet'!Q109</f>
        <v>5013290837.004303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939941652.80822456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979739983.71285295</v>
      </c>
      <c r="AA132" s="2">
        <f t="shared" si="11"/>
        <v>239597.18569315193</v>
      </c>
    </row>
    <row r="133" spans="1:27" x14ac:dyDescent="0.25">
      <c r="A133" s="2">
        <v>2035</v>
      </c>
      <c r="B133" s="2">
        <f>B12/'Output-Calculation-sheet'!B11*'Output-Calculation-sheet'!B110</f>
        <v>573202431.41046572</v>
      </c>
      <c r="C133" s="2">
        <f>C12/'Output-Calculation-sheet'!C11*'Output-Calculation-sheet'!C110</f>
        <v>0</v>
      </c>
      <c r="D133" s="2">
        <f>D12/'Output-Calculation-sheet'!D11*'Output-Calculation-sheet'!D110</f>
        <v>49164717202.570549</v>
      </c>
      <c r="E133" s="2">
        <f>E12/'Output-Calculation-sheet'!E11*'Output-Calculation-sheet'!E110</f>
        <v>21059558258.993366</v>
      </c>
      <c r="F133" s="2">
        <f>F12/'Output-Calculation-sheet'!F11*'Output-Calculation-sheet'!F110</f>
        <v>25847305258.811695</v>
      </c>
      <c r="G133" s="2">
        <f>G12/'Output-Calculation-sheet'!G11*'Output-Calculation-sheet'!G110</f>
        <v>17917449129.676678</v>
      </c>
      <c r="H133" s="2">
        <f>H12/'Output-Calculation-sheet'!H11*'Output-Calculation-sheet'!H110</f>
        <v>0</v>
      </c>
      <c r="I133" s="2">
        <f>I12/'Output-Calculation-sheet'!I11*'Output-Calculation-sheet'!I110</f>
        <v>16270676143.302332</v>
      </c>
      <c r="J133" s="2">
        <f>J12/'Output-Calculation-sheet'!J11*'Output-Calculation-sheet'!J110</f>
        <v>15753727189.128317</v>
      </c>
      <c r="K133" s="2">
        <f>K12/'Output-Calculation-sheet'!K11*'Output-Calculation-sheet'!K110</f>
        <v>15833752906.640516</v>
      </c>
      <c r="L133" s="2">
        <f>L12/'Output-Calculation-sheet'!L11*'Output-Calculation-sheet'!L110</f>
        <v>9217087661.9596043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3493891638.6837215</v>
      </c>
      <c r="Q133" s="2">
        <f>Q12/'Output-Calculation-sheet'!Q11*'Output-Calculation-sheet'!Q110</f>
        <v>2939436698.8654623</v>
      </c>
      <c r="R133" s="2">
        <f>R12/'Output-Calculation-sheet'!R11*'Output-Calculation-sheet'!R110</f>
        <v>10336252852.362246</v>
      </c>
      <c r="S133" s="2">
        <f>S12/'Output-Calculation-sheet'!S11*'Output-Calculation-sheet'!S110</f>
        <v>6953594.9886723328</v>
      </c>
      <c r="T133" s="2">
        <f>T12/'Output-Calculation-sheet'!T11*'Output-Calculation-sheet'!T110</f>
        <v>3854123900.7227535</v>
      </c>
      <c r="U133" s="2">
        <f>U12/'Output-Calculation-sheet'!U11*'Output-Calculation-sheet'!U110</f>
        <v>3122639732.8831801</v>
      </c>
      <c r="V133" s="2">
        <f>V12/'Output-Calculation-sheet'!V11*'Output-Calculation-sheet'!V110</f>
        <v>2596082640.8697023</v>
      </c>
      <c r="W133" s="2">
        <f>W12/'Output-Calculation-sheet'!W11*'Output-Calculation-sheet'!W110</f>
        <v>2264540331.7875018</v>
      </c>
      <c r="X133" s="2">
        <f>X12/'Output-Calculation-sheet'!X11*'Output-Calculation-sheet'!X110</f>
        <v>0</v>
      </c>
      <c r="Y133" s="2">
        <f>Y12/'Output-Calculation-sheet'!Y11*'Output-Calculation-sheet'!Y110</f>
        <v>519438298.6144979</v>
      </c>
      <c r="AA133" s="2">
        <f t="shared" si="11"/>
        <v>200770.83587227121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14527396691.550869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4567047589.7364101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3139320329.5613804</v>
      </c>
      <c r="N140" s="2">
        <f>N8/'Output-Calculation-sheet'!N7*'Output-Calculation-sheet'!N115</f>
        <v>1185217855.4478326</v>
      </c>
      <c r="O140" s="2">
        <f>O8/'Output-Calculation-sheet'!O7*'Output-Calculation-sheet'!O115</f>
        <v>3486504470.2573957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340892496.27316803</v>
      </c>
      <c r="Y140" s="2">
        <f>Y8/'Output-Calculation-sheet'!Y7*'Output-Calculation-sheet'!Y115</f>
        <v>0</v>
      </c>
      <c r="AA140" s="2">
        <f t="shared" si="12"/>
        <v>27246.379432827052</v>
      </c>
    </row>
    <row r="141" spans="1:27" x14ac:dyDescent="0.25">
      <c r="A141" s="2">
        <v>2032</v>
      </c>
      <c r="B141" s="2">
        <f>B9/'Output-Calculation-sheet'!B8*'Output-Calculation-sheet'!B116</f>
        <v>6128327793.0871964</v>
      </c>
      <c r="C141" s="2">
        <f>C9/'Output-Calculation-sheet'!C8*'Output-Calculation-sheet'!C116</f>
        <v>26232866547.947807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6838794550.5488348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4695394364.867095</v>
      </c>
      <c r="N141" s="2">
        <f>N9/'Output-Calculation-sheet'!N8*'Output-Calculation-sheet'!N116</f>
        <v>3259834259.7544823</v>
      </c>
      <c r="O141" s="2">
        <f>O9/'Output-Calculation-sheet'!O8*'Output-Calculation-sheet'!O116</f>
        <v>5091953574.3254519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1460112361.3956656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511077177.78683168</v>
      </c>
      <c r="Y141" s="2">
        <f>Y9/'Output-Calculation-sheet'!Y8*'Output-Calculation-sheet'!Y116</f>
        <v>0</v>
      </c>
      <c r="AA141" s="2">
        <f t="shared" si="12"/>
        <v>54218.360629713374</v>
      </c>
    </row>
    <row r="142" spans="1:27" x14ac:dyDescent="0.25">
      <c r="A142" s="2">
        <v>2033</v>
      </c>
      <c r="B142" s="2">
        <f>B10/'Output-Calculation-sheet'!B9*'Output-Calculation-sheet'!B117</f>
        <v>33020394566.942055</v>
      </c>
      <c r="C142" s="2">
        <f>C10/'Output-Calculation-sheet'!C9*'Output-Calculation-sheet'!C117</f>
        <v>34868172252.346748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10798930493.981117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7420885827.8198404</v>
      </c>
      <c r="N142" s="2">
        <f>N10/'Output-Calculation-sheet'!N9*'Output-Calculation-sheet'!N117</f>
        <v>5597959122.5402212</v>
      </c>
      <c r="O142" s="2">
        <f>O10/'Output-Calculation-sheet'!O9*'Output-Calculation-sheet'!O117</f>
        <v>6767469713.9357786</v>
      </c>
      <c r="P142" s="2">
        <f>P10/'Output-Calculation-sheet'!P9*'Output-Calculation-sheet'!P117</f>
        <v>0</v>
      </c>
      <c r="Q142" s="2">
        <f>Q10/'Output-Calculation-sheet'!Q9*'Output-Calculation-sheet'!Q117</f>
        <v>1069150804.2273988</v>
      </c>
      <c r="R142" s="2">
        <f>R10/'Output-Calculation-sheet'!R9*'Output-Calculation-sheet'!R117</f>
        <v>0</v>
      </c>
      <c r="S142" s="2">
        <f>S10/'Output-Calculation-sheet'!S9*'Output-Calculation-sheet'!S117</f>
        <v>2721983848.2899456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813536771.62985253</v>
      </c>
      <c r="Y142" s="2">
        <f>Y10/'Output-Calculation-sheet'!Y9*'Output-Calculation-sheet'!Y117</f>
        <v>0</v>
      </c>
      <c r="AA142" s="2">
        <f t="shared" si="12"/>
        <v>103078.48340171296</v>
      </c>
    </row>
    <row r="143" spans="1:27" x14ac:dyDescent="0.25">
      <c r="A143" s="2">
        <v>2034</v>
      </c>
      <c r="B143" s="2">
        <f>B11/'Output-Calculation-sheet'!B10*'Output-Calculation-sheet'!B118</f>
        <v>63308342346.554626</v>
      </c>
      <c r="C143" s="2">
        <f>C11/'Output-Calculation-sheet'!C10*'Output-Calculation-sheet'!C118</f>
        <v>48598278641.762909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13471684621.736515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9252502761.4698124</v>
      </c>
      <c r="N143" s="2">
        <f>N11/'Output-Calculation-sheet'!N10*'Output-Calculation-sheet'!N118</f>
        <v>8141460189.4397631</v>
      </c>
      <c r="O143" s="2">
        <f>O11/'Output-Calculation-sheet'!O10*'Output-Calculation-sheet'!O118</f>
        <v>9441295441.3403053</v>
      </c>
      <c r="P143" s="2">
        <f>P11/'Output-Calculation-sheet'!P10*'Output-Calculation-sheet'!P118</f>
        <v>1702905367.8245373</v>
      </c>
      <c r="Q143" s="2">
        <f>Q11/'Output-Calculation-sheet'!Q10*'Output-Calculation-sheet'!Q118</f>
        <v>4013143939.3692365</v>
      </c>
      <c r="R143" s="2">
        <f>R11/'Output-Calculation-sheet'!R10*'Output-Calculation-sheet'!R118</f>
        <v>0</v>
      </c>
      <c r="S143" s="2">
        <f>S11/'Output-Calculation-sheet'!S10*'Output-Calculation-sheet'!S118</f>
        <v>4687844208.7452412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1015784027.4036599</v>
      </c>
      <c r="Y143" s="2">
        <f>Y11/'Output-Calculation-sheet'!Y10*'Output-Calculation-sheet'!Y118</f>
        <v>119034890.69324119</v>
      </c>
      <c r="AA143" s="2">
        <f t="shared" si="12"/>
        <v>163752.2764363398</v>
      </c>
    </row>
    <row r="144" spans="1:27" x14ac:dyDescent="0.25">
      <c r="A144" s="2">
        <v>2035</v>
      </c>
      <c r="B144" s="2">
        <f>B12/'Output-Calculation-sheet'!B11*'Output-Calculation-sheet'!B119</f>
        <v>122817432661.97659</v>
      </c>
      <c r="C144" s="2">
        <f>C12/'Output-Calculation-sheet'!C11*'Output-Calculation-sheet'!C119</f>
        <v>58754991161.087082</v>
      </c>
      <c r="D144" s="2">
        <f>D12/'Output-Calculation-sheet'!D11*'Output-Calculation-sheet'!D119</f>
        <v>0</v>
      </c>
      <c r="E144" s="2">
        <f>E12/'Output-Calculation-sheet'!E11*'Output-Calculation-sheet'!E119</f>
        <v>17501357438.997063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17764330172.459469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2255771071.8297167</v>
      </c>
      <c r="M144" s="2">
        <f>M12/'Output-Calculation-sheet'!M11*'Output-Calculation-sheet'!M119</f>
        <v>12124413539.389265</v>
      </c>
      <c r="N144" s="2">
        <f>N12/'Output-Calculation-sheet'!N11*'Output-Calculation-sheet'!N119</f>
        <v>11978419779.683817</v>
      </c>
      <c r="O144" s="2">
        <f>O12/'Output-Calculation-sheet'!O11*'Output-Calculation-sheet'!O119</f>
        <v>11419773466.718767</v>
      </c>
      <c r="P144" s="2">
        <f>P12/'Output-Calculation-sheet'!P11*'Output-Calculation-sheet'!P119</f>
        <v>7751426224.0605564</v>
      </c>
      <c r="Q144" s="2">
        <f>Q12/'Output-Calculation-sheet'!Q11*'Output-Calculation-sheet'!Q119</f>
        <v>7340938718.4984846</v>
      </c>
      <c r="R144" s="2">
        <f>R12/'Output-Calculation-sheet'!R11*'Output-Calculation-sheet'!R119</f>
        <v>0</v>
      </c>
      <c r="S144" s="2">
        <f>S12/'Output-Calculation-sheet'!S11*'Output-Calculation-sheet'!S119</f>
        <v>6906163132.1497087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1359387567.0280726</v>
      </c>
      <c r="Y144" s="2">
        <f>Y12/'Output-Calculation-sheet'!Y11*'Output-Calculation-sheet'!Y119</f>
        <v>725889340.06996715</v>
      </c>
      <c r="AA144" s="2">
        <f t="shared" si="12"/>
        <v>278700.29427394847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4382134793.0791636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190554.25927100546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3607110425.0970721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156852.84097096301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634498891.69132495</v>
      </c>
      <c r="C155" s="2">
        <f>C12/'Output-Calculation-sheet'!C11*'Output-Calculation-sheet'!C128</f>
        <v>68359809.988606349</v>
      </c>
      <c r="D155" s="2">
        <f>D12/'Output-Calculation-sheet'!D11*'Output-Calculation-sheet'!D128</f>
        <v>4558702300.8639822</v>
      </c>
      <c r="E155" s="2">
        <f>E12/'Output-Calculation-sheet'!E11*'Output-Calculation-sheet'!E128</f>
        <v>739936556.46976364</v>
      </c>
      <c r="F155" s="2">
        <f>F12/'Output-Calculation-sheet'!F11*'Output-Calculation-sheet'!F128</f>
        <v>1665206537.7046802</v>
      </c>
      <c r="G155" s="2">
        <f>G12/'Output-Calculation-sheet'!G11*'Output-Calculation-sheet'!G128</f>
        <v>1523837679.2271264</v>
      </c>
      <c r="H155" s="2">
        <f>H12/'Output-Calculation-sheet'!H11*'Output-Calculation-sheet'!H128</f>
        <v>117824745.41575088</v>
      </c>
      <c r="I155" s="2">
        <f>I12/'Output-Calculation-sheet'!I11*'Output-Calculation-sheet'!I128</f>
        <v>1398262425.9337943</v>
      </c>
      <c r="J155" s="2">
        <f>J12/'Output-Calculation-sheet'!J11*'Output-Calculation-sheet'!J128</f>
        <v>1267853892.2829938</v>
      </c>
      <c r="K155" s="2">
        <f>K12/'Output-Calculation-sheet'!K11*'Output-Calculation-sheet'!K128</f>
        <v>1097940593.1236672</v>
      </c>
      <c r="L155" s="2">
        <f>L12/'Output-Calculation-sheet'!L11*'Output-Calculation-sheet'!L128</f>
        <v>413607269.6003828</v>
      </c>
      <c r="M155" s="2">
        <f>M12/'Output-Calculation-sheet'!M11*'Output-Calculation-sheet'!M128</f>
        <v>97182186.876914099</v>
      </c>
      <c r="N155" s="2">
        <f>N12/'Output-Calculation-sheet'!N11*'Output-Calculation-sheet'!N128</f>
        <v>85883930.023052052</v>
      </c>
      <c r="O155" s="2">
        <f>O12/'Output-Calculation-sheet'!O11*'Output-Calculation-sheet'!O128</f>
        <v>17686687.869546987</v>
      </c>
      <c r="P155" s="2">
        <f>P12/'Output-Calculation-sheet'!P11*'Output-Calculation-sheet'!P128</f>
        <v>112674873.94868043</v>
      </c>
      <c r="Q155" s="2">
        <f>Q12/'Output-Calculation-sheet'!Q11*'Output-Calculation-sheet'!Q128</f>
        <v>285628195.65424013</v>
      </c>
      <c r="R155" s="2">
        <f>R12/'Output-Calculation-sheet'!R11*'Output-Calculation-sheet'!R128</f>
        <v>634767395.4197036</v>
      </c>
      <c r="S155" s="2">
        <f>S12/'Output-Calculation-sheet'!S11*'Output-Calculation-sheet'!S128</f>
        <v>54825660.620921984</v>
      </c>
      <c r="T155" s="2">
        <f>T12/'Output-Calculation-sheet'!T11*'Output-Calculation-sheet'!T128</f>
        <v>162543319.55060962</v>
      </c>
      <c r="U155" s="2">
        <f>U12/'Output-Calculation-sheet'!U11*'Output-Calculation-sheet'!U128</f>
        <v>333167182.90048134</v>
      </c>
      <c r="V155" s="2">
        <f>V12/'Output-Calculation-sheet'!V11*'Output-Calculation-sheet'!V128</f>
        <v>73176881.199555621</v>
      </c>
      <c r="W155" s="2">
        <f>W12/'Output-Calculation-sheet'!W11*'Output-Calculation-sheet'!W128</f>
        <v>89045580.844277546</v>
      </c>
      <c r="X155" s="2">
        <f>X12/'Output-Calculation-sheet'!X11*'Output-Calculation-sheet'!X128</f>
        <v>3042015.218125524</v>
      </c>
      <c r="Y155" s="2">
        <f>Y12/'Output-Calculation-sheet'!Y11*'Output-Calculation-sheet'!Y128</f>
        <v>17921733.736406095</v>
      </c>
      <c r="AA155" s="2">
        <f t="shared" si="13"/>
        <v>15453.576346164591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5015.7430159368232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1519.3288723974354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1055.3861564652025</v>
      </c>
      <c r="N19" s="2">
        <f>N8/'Output-Calculation-sheet'!N7*'Output-Calculation-sheet'!N25</f>
        <v>877.95656632530677</v>
      </c>
      <c r="O19" s="2">
        <f>O8/'Output-Calculation-sheet'!O7*'Output-Calculation-sheet'!O25</f>
        <v>551.01264472460014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114.22214003849984</v>
      </c>
      <c r="Y19" s="2">
        <f>Y8/'Output-Calculation-sheet'!Y7*'Output-Calculation-sheet'!Y25</f>
        <v>0</v>
      </c>
      <c r="AA19" s="2">
        <f t="shared" si="0"/>
        <v>10.605732025226619</v>
      </c>
    </row>
    <row r="20" spans="1:27" x14ac:dyDescent="0.25">
      <c r="A20" s="2">
        <v>2032</v>
      </c>
      <c r="B20" s="2">
        <f>B9/'Output-Calculation-sheet'!B8*'Output-Calculation-sheet'!B26</f>
        <v>5292.5863631096654</v>
      </c>
      <c r="C20" s="2">
        <f>C9/'Output-Calculation-sheet'!C8*'Output-Calculation-sheet'!C26</f>
        <v>2902.3251502276817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1742.2801184186087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1217.5173709757123</v>
      </c>
      <c r="N20" s="2">
        <f>N9/'Output-Calculation-sheet'!N8*'Output-Calculation-sheet'!N26</f>
        <v>843.7727152521345</v>
      </c>
      <c r="O20" s="2">
        <f>O9/'Output-Calculation-sheet'!O8*'Output-Calculation-sheet'!O26</f>
        <v>567.06054815536163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400.24629701587594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132.48367171872763</v>
      </c>
      <c r="Y20" s="2">
        <f>Y9/'Output-Calculation-sheet'!Y8*'Output-Calculation-sheet'!Y26</f>
        <v>0</v>
      </c>
      <c r="AA20" s="2">
        <f t="shared" si="0"/>
        <v>13.098272234873768</v>
      </c>
    </row>
    <row r="21" spans="1:27" x14ac:dyDescent="0.25">
      <c r="A21" s="2">
        <v>2033</v>
      </c>
      <c r="B21" s="2">
        <f>B10/'Output-Calculation-sheet'!B9*'Output-Calculation-sheet'!B27</f>
        <v>5038.1587228611425</v>
      </c>
      <c r="C21" s="2">
        <f>C10/'Output-Calculation-sheet'!C9*'Output-Calculation-sheet'!C27</f>
        <v>3096.6655669963534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1015.3247735440949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718.65525045931565</v>
      </c>
      <c r="N21" s="2">
        <f>N10/'Output-Calculation-sheet'!N9*'Output-Calculation-sheet'!N27</f>
        <v>727.78022591822162</v>
      </c>
      <c r="O21" s="2">
        <f>O10/'Output-Calculation-sheet'!O9*'Output-Calculation-sheet'!O27</f>
        <v>606.26072774997726</v>
      </c>
      <c r="P21" s="2">
        <f>P10/'Output-Calculation-sheet'!P9*'Output-Calculation-sheet'!P27</f>
        <v>0</v>
      </c>
      <c r="Q21" s="2">
        <f>Q10/'Output-Calculation-sheet'!Q9*'Output-Calculation-sheet'!Q27</f>
        <v>8.8147411136843754</v>
      </c>
      <c r="R21" s="2">
        <f>R10/'Output-Calculation-sheet'!R9*'Output-Calculation-sheet'!R27</f>
        <v>0</v>
      </c>
      <c r="S21" s="2">
        <f>S10/'Output-Calculation-sheet'!S9*'Output-Calculation-sheet'!S27</f>
        <v>346.5419979739861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71.760815341551663</v>
      </c>
      <c r="Y21" s="2">
        <f>Y10/'Output-Calculation-sheet'!Y9*'Output-Calculation-sheet'!Y27</f>
        <v>0</v>
      </c>
      <c r="AA21" s="2">
        <f t="shared" si="0"/>
        <v>11.629962821958326</v>
      </c>
    </row>
    <row r="22" spans="1:27" x14ac:dyDescent="0.25">
      <c r="A22" s="2">
        <v>2034</v>
      </c>
      <c r="B22" s="2">
        <f>B11/'Output-Calculation-sheet'!B10*'Output-Calculation-sheet'!B28</f>
        <v>4434.703033881593</v>
      </c>
      <c r="C22" s="2">
        <f>C11/'Output-Calculation-sheet'!C10*'Output-Calculation-sheet'!C28</f>
        <v>450.74005947818443</v>
      </c>
      <c r="D22" s="2">
        <f>D11/'Output-Calculation-sheet'!D10*'Output-Calculation-sheet'!D28</f>
        <v>0</v>
      </c>
      <c r="E22" s="2">
        <f>E11/'Output-Calculation-sheet'!E10*'Output-Calculation-sheet'!E28</f>
        <v>1496.7005562456227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1186.8338905895898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907.70087122426958</v>
      </c>
      <c r="M22" s="2">
        <f>M11/'Output-Calculation-sheet'!M10*'Output-Calculation-sheet'!M28</f>
        <v>844.6651560986146</v>
      </c>
      <c r="N22" s="2">
        <f>N11/'Output-Calculation-sheet'!N10*'Output-Calculation-sheet'!N28</f>
        <v>564.66347582015089</v>
      </c>
      <c r="O22" s="2">
        <f>O11/'Output-Calculation-sheet'!O10*'Output-Calculation-sheet'!O28</f>
        <v>88.413711673587414</v>
      </c>
      <c r="P22" s="2">
        <f>P11/'Output-Calculation-sheet'!P10*'Output-Calculation-sheet'!P28</f>
        <v>0</v>
      </c>
      <c r="Q22" s="2">
        <f>Q11/'Output-Calculation-sheet'!Q10*'Output-Calculation-sheet'!Q28</f>
        <v>288.39939377843729</v>
      </c>
      <c r="R22" s="2">
        <f>R11/'Output-Calculation-sheet'!R10*'Output-Calculation-sheet'!R28</f>
        <v>0</v>
      </c>
      <c r="S22" s="2">
        <f>S11/'Output-Calculation-sheet'!S10*'Output-Calculation-sheet'!S28</f>
        <v>211.42791936923567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82.994232615372198</v>
      </c>
      <c r="Y22" s="2">
        <f>Y11/'Output-Calculation-sheet'!Y10*'Output-Calculation-sheet'!Y28</f>
        <v>33.830793371162152</v>
      </c>
      <c r="AA22" s="2">
        <f t="shared" si="0"/>
        <v>10.59107309414582</v>
      </c>
    </row>
    <row r="23" spans="1:27" x14ac:dyDescent="0.25">
      <c r="A23" s="2">
        <v>2035</v>
      </c>
      <c r="B23" s="2">
        <f>B12/'Output-Calculation-sheet'!B11*'Output-Calculation-sheet'!B29</f>
        <v>1064.6848602573477</v>
      </c>
      <c r="C23" s="2">
        <f>C12/'Output-Calculation-sheet'!C11*'Output-Calculation-sheet'!C29</f>
        <v>220.9516090602788</v>
      </c>
      <c r="D23" s="2">
        <f>D12/'Output-Calculation-sheet'!D11*'Output-Calculation-sheet'!D29</f>
        <v>0</v>
      </c>
      <c r="E23" s="2">
        <f>E12/'Output-Calculation-sheet'!E11*'Output-Calculation-sheet'!E29</f>
        <v>2723.1866606204062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382.97916980367216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1570.0968650764505</v>
      </c>
      <c r="M23" s="2">
        <f>M12/'Output-Calculation-sheet'!M11*'Output-Calculation-sheet'!M29</f>
        <v>341.30949163318274</v>
      </c>
      <c r="N23" s="2">
        <f>N12/'Output-Calculation-sheet'!N11*'Output-Calculation-sheet'!N29</f>
        <v>284.17508495672672</v>
      </c>
      <c r="O23" s="2">
        <f>O12/'Output-Calculation-sheet'!O11*'Output-Calculation-sheet'!O29</f>
        <v>37.756450043715773</v>
      </c>
      <c r="P23" s="2">
        <f>P12/'Output-Calculation-sheet'!P11*'Output-Calculation-sheet'!P29</f>
        <v>59.13899478889136</v>
      </c>
      <c r="Q23" s="2">
        <f>Q12/'Output-Calculation-sheet'!Q11*'Output-Calculation-sheet'!Q29</f>
        <v>484.42019440167593</v>
      </c>
      <c r="R23" s="2">
        <f>R12/'Output-Calculation-sheet'!R11*'Output-Calculation-sheet'!R29</f>
        <v>0</v>
      </c>
      <c r="S23" s="2">
        <f>S12/'Output-Calculation-sheet'!S11*'Output-Calculation-sheet'!S29</f>
        <v>127.59696784109514</v>
      </c>
      <c r="T23" s="2">
        <f>T12/'Output-Calculation-sheet'!T11*'Output-Calculation-sheet'!T29</f>
        <v>0</v>
      </c>
      <c r="U23" s="2">
        <f>U12/'Output-Calculation-sheet'!U11*'Output-Calculation-sheet'!U29</f>
        <v>171.79282224726538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11.172928592626334</v>
      </c>
      <c r="Y23" s="2">
        <f>Y12/'Output-Calculation-sheet'!Y11*'Output-Calculation-sheet'!Y29</f>
        <v>71.071550366859583</v>
      </c>
      <c r="AA23" s="2">
        <f t="shared" si="0"/>
        <v>7.5503336496901952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1000.8519141499282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39.240855337117381</v>
      </c>
    </row>
    <row r="31" spans="1:27" x14ac:dyDescent="0.25">
      <c r="A31" s="2">
        <v>2032</v>
      </c>
      <c r="B31" s="2">
        <f>B9/'Output-Calculation-sheet'!B8*'Output-Calculation-sheet'!B17</f>
        <v>22252.224662330056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870.08543634003149</v>
      </c>
      <c r="O31" s="2">
        <f>O9/'Output-Calculation-sheet'!O8*'Output-Calculation-sheet'!O17</f>
        <v>0</v>
      </c>
      <c r="P31" s="2">
        <f>P9/'Output-Calculation-sheet'!P8*'Output-Calculation-sheet'!P17</f>
        <v>2174.80038294211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720.14167908726654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50.982650306508305</v>
      </c>
    </row>
    <row r="32" spans="1:27" x14ac:dyDescent="0.25">
      <c r="A32" s="2">
        <v>2033</v>
      </c>
      <c r="B32" s="2">
        <f>B10/'Output-Calculation-sheet'!B9*'Output-Calculation-sheet'!B18</f>
        <v>18224.352110349464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2852.8811562906249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737.63414007375968</v>
      </c>
      <c r="O32" s="2">
        <f>O10/'Output-Calculation-sheet'!O9*'Output-Calculation-sheet'!O18</f>
        <v>0</v>
      </c>
      <c r="P32" s="2">
        <f>P10/'Output-Calculation-sheet'!P9*'Output-Calculation-sheet'!P18</f>
        <v>2936.4844655693623</v>
      </c>
      <c r="Q32" s="2">
        <f>Q10/'Output-Calculation-sheet'!Q9*'Output-Calculation-sheet'!Q18</f>
        <v>2718.7301990189635</v>
      </c>
      <c r="R32" s="2">
        <f>R10/'Output-Calculation-sheet'!R9*'Output-Calculation-sheet'!R18</f>
        <v>2109.132848986932</v>
      </c>
      <c r="S32" s="2">
        <f>S10/'Output-Calculation-sheet'!S9*'Output-Calculation-sheet'!S18</f>
        <v>671.02903665020722</v>
      </c>
      <c r="T32" s="2">
        <f>T10/'Output-Calculation-sheet'!T9*'Output-Calculation-sheet'!T18</f>
        <v>615.66521837952985</v>
      </c>
      <c r="U32" s="2">
        <f>U10/'Output-Calculation-sheet'!U9*'Output-Calculation-sheet'!U18</f>
        <v>680.60956341424423</v>
      </c>
      <c r="V32" s="2">
        <f>V10/'Output-Calculation-sheet'!V9*'Output-Calculation-sheet'!V18</f>
        <v>502.37586912075693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290.87889349108877</v>
      </c>
      <c r="AA32" s="2">
        <f t="shared" si="1"/>
        <v>57.936700397943532</v>
      </c>
    </row>
    <row r="33" spans="1:27" x14ac:dyDescent="0.25">
      <c r="A33" s="2">
        <v>2034</v>
      </c>
      <c r="B33" s="2">
        <f>B11/'Output-Calculation-sheet'!B10*'Output-Calculation-sheet'!B19</f>
        <v>13552.552639759106</v>
      </c>
      <c r="C33" s="2">
        <f>C11/'Output-Calculation-sheet'!C10*'Output-Calculation-sheet'!C19</f>
        <v>0</v>
      </c>
      <c r="D33" s="2">
        <f>D11/'Output-Calculation-sheet'!D10*'Output-Calculation-sheet'!D19</f>
        <v>8982.8934211943197</v>
      </c>
      <c r="E33" s="2">
        <f>E11/'Output-Calculation-sheet'!E10*'Output-Calculation-sheet'!E19</f>
        <v>11136.519766671971</v>
      </c>
      <c r="F33" s="2">
        <f>F11/'Output-Calculation-sheet'!F10*'Output-Calculation-sheet'!F19</f>
        <v>5099.2342268410621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3336.8131961209856</v>
      </c>
      <c r="J33" s="2">
        <f>J11/'Output-Calculation-sheet'!J10*'Output-Calculation-sheet'!J19</f>
        <v>2821.3966225928443</v>
      </c>
      <c r="K33" s="2">
        <f>K11/'Output-Calculation-sheet'!K10*'Output-Calculation-sheet'!K19</f>
        <v>3913.1820836103889</v>
      </c>
      <c r="L33" s="2">
        <f>L11/'Output-Calculation-sheet'!L10*'Output-Calculation-sheet'!L19</f>
        <v>3183.0935306164852</v>
      </c>
      <c r="M33" s="2">
        <f>M11/'Output-Calculation-sheet'!M10*'Output-Calculation-sheet'!M19</f>
        <v>0</v>
      </c>
      <c r="N33" s="2">
        <f>N11/'Output-Calculation-sheet'!N10*'Output-Calculation-sheet'!N19</f>
        <v>604.20324439584192</v>
      </c>
      <c r="O33" s="2">
        <f>O11/'Output-Calculation-sheet'!O10*'Output-Calculation-sheet'!O19</f>
        <v>0</v>
      </c>
      <c r="P33" s="2">
        <f>P11/'Output-Calculation-sheet'!P10*'Output-Calculation-sheet'!P19</f>
        <v>3000.7225952734475</v>
      </c>
      <c r="Q33" s="2">
        <f>Q11/'Output-Calculation-sheet'!Q10*'Output-Calculation-sheet'!Q19</f>
        <v>1907.257974237677</v>
      </c>
      <c r="R33" s="2">
        <f>R11/'Output-Calculation-sheet'!R10*'Output-Calculation-sheet'!R19</f>
        <v>2826.9769210165427</v>
      </c>
      <c r="S33" s="2">
        <f>S11/'Output-Calculation-sheet'!S10*'Output-Calculation-sheet'!S19</f>
        <v>384.09143181208958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954.0199646603827</v>
      </c>
      <c r="V33" s="2">
        <f>V11/'Output-Calculation-sheet'!V10*'Output-Calculation-sheet'!V19</f>
        <v>650.58563982983469</v>
      </c>
      <c r="W33" s="2">
        <f>W11/'Output-Calculation-sheet'!W10*'Output-Calculation-sheet'!W19</f>
        <v>405.08573863318753</v>
      </c>
      <c r="X33" s="2">
        <f>X11/'Output-Calculation-sheet'!X10*'Output-Calculation-sheet'!X19</f>
        <v>0</v>
      </c>
      <c r="Y33" s="2">
        <f>Y11/'Output-Calculation-sheet'!Y10*'Output-Calculation-sheet'!Y19</f>
        <v>331.65792721504698</v>
      </c>
      <c r="AA33" s="2">
        <f t="shared" si="1"/>
        <v>66.977646968581737</v>
      </c>
    </row>
    <row r="34" spans="1:27" x14ac:dyDescent="0.25">
      <c r="A34" s="2">
        <v>2035</v>
      </c>
      <c r="B34" s="2">
        <f>B12/'Output-Calculation-sheet'!B11*'Output-Calculation-sheet'!B20</f>
        <v>211.95212894296816</v>
      </c>
      <c r="C34" s="2">
        <f>C12/'Output-Calculation-sheet'!C11*'Output-Calculation-sheet'!C20</f>
        <v>0</v>
      </c>
      <c r="D34" s="2">
        <f>D12/'Output-Calculation-sheet'!D11*'Output-Calculation-sheet'!D20</f>
        <v>10454.181180550549</v>
      </c>
      <c r="E34" s="2">
        <f>E12/'Output-Calculation-sheet'!E11*'Output-Calculation-sheet'!E20</f>
        <v>4884.1751446416747</v>
      </c>
      <c r="F34" s="2">
        <f>F12/'Output-Calculation-sheet'!F11*'Output-Calculation-sheet'!F20</f>
        <v>6635.5610656247381</v>
      </c>
      <c r="G34" s="2">
        <f>G12/'Output-Calculation-sheet'!G11*'Output-Calculation-sheet'!G20</f>
        <v>3563.5772356427024</v>
      </c>
      <c r="H34" s="2">
        <f>H12/'Output-Calculation-sheet'!H11*'Output-Calculation-sheet'!H20</f>
        <v>0</v>
      </c>
      <c r="I34" s="2">
        <f>I12/'Output-Calculation-sheet'!I11*'Output-Calculation-sheet'!I20</f>
        <v>3959.2099658283892</v>
      </c>
      <c r="J34" s="2">
        <f>J12/'Output-Calculation-sheet'!J11*'Output-Calculation-sheet'!J20</f>
        <v>3428.4599942249206</v>
      </c>
      <c r="K34" s="2">
        <f>K12/'Output-Calculation-sheet'!K11*'Output-Calculation-sheet'!K20</f>
        <v>4830.4629910810909</v>
      </c>
      <c r="L34" s="2">
        <f>L12/'Output-Calculation-sheet'!L11*'Output-Calculation-sheet'!L20</f>
        <v>2674.9909482210774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1063.6006629275548</v>
      </c>
      <c r="Q34" s="2">
        <f>Q12/'Output-Calculation-sheet'!Q11*'Output-Calculation-sheet'!Q20</f>
        <v>1006.2770217494807</v>
      </c>
      <c r="R34" s="2">
        <f>R12/'Output-Calculation-sheet'!R11*'Output-Calculation-sheet'!R20</f>
        <v>3566.1532023838995</v>
      </c>
      <c r="S34" s="2">
        <f>S12/'Output-Calculation-sheet'!S11*'Output-Calculation-sheet'!S20</f>
        <v>2.8537230256826178</v>
      </c>
      <c r="T34" s="2">
        <f>T12/'Output-Calculation-sheet'!T11*'Output-Calculation-sheet'!T20</f>
        <v>1063.6200270960721</v>
      </c>
      <c r="U34" s="2">
        <f>U12/'Output-Calculation-sheet'!U11*'Output-Calculation-sheet'!U20</f>
        <v>968.04880013934485</v>
      </c>
      <c r="V34" s="2">
        <f>V12/'Output-Calculation-sheet'!V11*'Output-Calculation-sheet'!V20</f>
        <v>934.30648806413058</v>
      </c>
      <c r="W34" s="2">
        <f>W12/'Output-Calculation-sheet'!W11*'Output-Calculation-sheet'!W20</f>
        <v>568.28682056255343</v>
      </c>
      <c r="X34" s="2">
        <f>X12/'Output-Calculation-sheet'!X11*'Output-Calculation-sheet'!X20</f>
        <v>0</v>
      </c>
      <c r="Y34" s="2">
        <f>Y12/'Output-Calculation-sheet'!Y11*'Output-Calculation-sheet'!Y20</f>
        <v>122.2411973622817</v>
      </c>
      <c r="AA34" s="2">
        <f t="shared" si="1"/>
        <v>49.937958598069123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0.17834898321770173</v>
      </c>
      <c r="E45" s="2">
        <f>E12/'Output-Calculation-sheet'!E11*'Output-Calculation-sheet'!E38*0.0114</f>
        <v>9.449335741321728E-2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1.5622730642927971E-2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1.010826010548681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0.14187925464020629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186.95611454953809</v>
      </c>
      <c r="R54" s="2">
        <f>R10/'Output-Calculation-sheet'!R9*'Output-Calculation-sheet'!R45</f>
        <v>1398.5983161377644</v>
      </c>
      <c r="S54" s="2">
        <f>S10/'Output-Calculation-sheet'!S9*'Output-Calculation-sheet'!S45</f>
        <v>0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17.444386234916966</v>
      </c>
      <c r="AA54" s="2">
        <f t="shared" si="3"/>
        <v>4.6042983309215506</v>
      </c>
    </row>
    <row r="55" spans="1:27" x14ac:dyDescent="0.25">
      <c r="A55" s="2">
        <v>2034</v>
      </c>
      <c r="B55" s="2">
        <f>B11/'Output-Calculation-sheet'!B10*'Output-Calculation-sheet'!B46</f>
        <v>1659.271451028809</v>
      </c>
      <c r="C55" s="2">
        <f>C11/'Output-Calculation-sheet'!C10*'Output-Calculation-sheet'!C46</f>
        <v>0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601.76601897520516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446.01640402315212</v>
      </c>
      <c r="N55" s="2">
        <f>N11/'Output-Calculation-sheet'!N10*'Output-Calculation-sheet'!N46</f>
        <v>152.32200215896268</v>
      </c>
      <c r="O55" s="2">
        <f>O11/'Output-Calculation-sheet'!O10*'Output-Calculation-sheet'!O46</f>
        <v>0</v>
      </c>
      <c r="P55" s="2">
        <f>P11/'Output-Calculation-sheet'!P10*'Output-Calculation-sheet'!P46</f>
        <v>3248.3478933626111</v>
      </c>
      <c r="Q55" s="2">
        <f>Q11/'Output-Calculation-sheet'!Q10*'Output-Calculation-sheet'!Q46</f>
        <v>710.07484382498353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0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83.775757541817597</v>
      </c>
      <c r="X55" s="2">
        <f>X11/'Output-Calculation-sheet'!X10*'Output-Calculation-sheet'!X46</f>
        <v>42.569464479208854</v>
      </c>
      <c r="Y55" s="2">
        <f>Y11/'Output-Calculation-sheet'!Y10*'Output-Calculation-sheet'!Y46</f>
        <v>296.07908991076948</v>
      </c>
      <c r="AA55" s="2">
        <f t="shared" si="3"/>
        <v>44.150738055130446</v>
      </c>
    </row>
    <row r="56" spans="1:27" x14ac:dyDescent="0.25">
      <c r="A56" s="2">
        <v>2035</v>
      </c>
      <c r="B56" s="2">
        <f>B12/'Output-Calculation-sheet'!B11*'Output-Calculation-sheet'!B47</f>
        <v>520.94975512667736</v>
      </c>
      <c r="C56" s="2">
        <f>C12/'Output-Calculation-sheet'!C11*'Output-Calculation-sheet'!C47</f>
        <v>423.8653909288094</v>
      </c>
      <c r="D56" s="2">
        <f>D12/'Output-Calculation-sheet'!D11*'Output-Calculation-sheet'!D47</f>
        <v>17229.971945944053</v>
      </c>
      <c r="E56" s="2">
        <f>E12/'Output-Calculation-sheet'!E11*'Output-Calculation-sheet'!E47</f>
        <v>11977.447496675348</v>
      </c>
      <c r="F56" s="2">
        <f>F12/'Output-Calculation-sheet'!F11*'Output-Calculation-sheet'!F47</f>
        <v>3576.2155403069642</v>
      </c>
      <c r="G56" s="2">
        <f>G12/'Output-Calculation-sheet'!G11*'Output-Calculation-sheet'!G47</f>
        <v>7997.2265277577562</v>
      </c>
      <c r="H56" s="2">
        <f>H12/'Output-Calculation-sheet'!H11*'Output-Calculation-sheet'!H47</f>
        <v>159.47422760630451</v>
      </c>
      <c r="I56" s="2">
        <f>I12/'Output-Calculation-sheet'!I11*'Output-Calculation-sheet'!I47</f>
        <v>4699.433901978352</v>
      </c>
      <c r="J56" s="2">
        <f>J12/'Output-Calculation-sheet'!J11*'Output-Calculation-sheet'!J47</f>
        <v>4978.9257950895608</v>
      </c>
      <c r="K56" s="2">
        <f>K12/'Output-Calculation-sheet'!K11*'Output-Calculation-sheet'!K47</f>
        <v>6881.0626600955347</v>
      </c>
      <c r="L56" s="2">
        <f>L12/'Output-Calculation-sheet'!L11*'Output-Calculation-sheet'!L47</f>
        <v>4606.2675818508033</v>
      </c>
      <c r="M56" s="2">
        <f>M12/'Output-Calculation-sheet'!M11*'Output-Calculation-sheet'!M47</f>
        <v>105.99286393928075</v>
      </c>
      <c r="N56" s="2">
        <f>N12/'Output-Calculation-sheet'!N11*'Output-Calculation-sheet'!N47</f>
        <v>116.42953655648631</v>
      </c>
      <c r="O56" s="2">
        <f>O12/'Output-Calculation-sheet'!O11*'Output-Calculation-sheet'!O47</f>
        <v>77.770532910449603</v>
      </c>
      <c r="P56" s="2">
        <f>P12/'Output-Calculation-sheet'!P11*'Output-Calculation-sheet'!P47</f>
        <v>1500.1850955388559</v>
      </c>
      <c r="Q56" s="2">
        <f>Q12/'Output-Calculation-sheet'!Q11*'Output-Calculation-sheet'!Q47</f>
        <v>1108.1518242429129</v>
      </c>
      <c r="R56" s="2">
        <f>R12/'Output-Calculation-sheet'!R11*'Output-Calculation-sheet'!R47</f>
        <v>6258.2156622920802</v>
      </c>
      <c r="S56" s="2">
        <f>S12/'Output-Calculation-sheet'!S11*'Output-Calculation-sheet'!S47</f>
        <v>51.988061029176194</v>
      </c>
      <c r="T56" s="2">
        <f>T12/'Output-Calculation-sheet'!T11*'Output-Calculation-sheet'!T47</f>
        <v>2272.3623818401493</v>
      </c>
      <c r="U56" s="2">
        <f>U12/'Output-Calculation-sheet'!U11*'Output-Calculation-sheet'!U47</f>
        <v>2117.6337303495129</v>
      </c>
      <c r="V56" s="2">
        <f>V12/'Output-Calculation-sheet'!V11*'Output-Calculation-sheet'!V47</f>
        <v>1303.4513642120892</v>
      </c>
      <c r="W56" s="2">
        <f>W12/'Output-Calculation-sheet'!W11*'Output-Calculation-sheet'!W47</f>
        <v>770.91976334360015</v>
      </c>
      <c r="X56" s="2">
        <f>X12/'Output-Calculation-sheet'!X11*'Output-Calculation-sheet'!X47</f>
        <v>11.901229094942101</v>
      </c>
      <c r="Y56" s="2">
        <f>Y12/'Output-Calculation-sheet'!Y11*'Output-Calculation-sheet'!Y47</f>
        <v>255.17630151889483</v>
      </c>
      <c r="AA56" s="2">
        <f t="shared" si="3"/>
        <v>79.001019170228588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7.2369728018613779</v>
      </c>
      <c r="C63" s="2">
        <f>C8*'Output-Calculation-sheet'!C52/10^9</f>
        <v>3.8663630716451531</v>
      </c>
      <c r="D63" s="2">
        <f>D8*'Output-Calculation-sheet'!D52/10^9</f>
        <v>2.4817130636685492</v>
      </c>
      <c r="E63" s="2">
        <f>E8*'Output-Calculation-sheet'!E52/10^9</f>
        <v>2.4674884757099709</v>
      </c>
      <c r="F63" s="2">
        <f>F8*'Output-Calculation-sheet'!F52/10^9</f>
        <v>1.0449811654769465</v>
      </c>
      <c r="G63" s="2">
        <f>G8*'Output-Calculation-sheet'!G52/10^9</f>
        <v>0.75129424976011716</v>
      </c>
      <c r="H63" s="2">
        <f>H8*'Output-Calculation-sheet'!H52/10^9</f>
        <v>1.2219079222976579</v>
      </c>
      <c r="I63" s="2">
        <f>I8*'Output-Calculation-sheet'!I52/10^9</f>
        <v>0.69887807460687268</v>
      </c>
      <c r="J63" s="2">
        <f>J8*'Output-Calculation-sheet'!J52/10^9</f>
        <v>0.96170360196491111</v>
      </c>
      <c r="K63" s="2">
        <f>K8*'Output-Calculation-sheet'!K52/10^9</f>
        <v>0.84494215021976937</v>
      </c>
      <c r="L63" s="2">
        <f>L8*'Output-Calculation-sheet'!L52/10^9</f>
        <v>1.1364878457603016</v>
      </c>
      <c r="M63" s="2">
        <f>M8*'Output-Calculation-sheet'!M52/10^9</f>
        <v>1.0010272481183908</v>
      </c>
      <c r="N63" s="2">
        <f>N8*'Output-Calculation-sheet'!N52/10^9</f>
        <v>0.88326143770702081</v>
      </c>
      <c r="O63" s="2">
        <f>O8*'Output-Calculation-sheet'!O52/10^9</f>
        <v>0.79102450751025144</v>
      </c>
      <c r="P63" s="2">
        <f>P8*'Output-Calculation-sheet'!P52/10^9</f>
        <v>0.58383223349186952</v>
      </c>
      <c r="Q63" s="2">
        <f>Q8*'Output-Calculation-sheet'!Q52/10^9</f>
        <v>0.66072699866719464</v>
      </c>
      <c r="R63" s="2">
        <f>R8*'Output-Calculation-sheet'!R52/10^9</f>
        <v>0.59320169032373127</v>
      </c>
      <c r="S63" s="2">
        <f>S8*'Output-Calculation-sheet'!S52/10^9</f>
        <v>0.4395834707094764</v>
      </c>
      <c r="T63" s="2">
        <f>T8*'Output-Calculation-sheet'!T52/10^9</f>
        <v>0.22552680879933945</v>
      </c>
      <c r="U63" s="2">
        <f>U8*'Output-Calculation-sheet'!U52/10^9</f>
        <v>0.15488939561412415</v>
      </c>
      <c r="V63" s="2">
        <f>V8*'Output-Calculation-sheet'!V52/10^9</f>
        <v>0.27489207398096599</v>
      </c>
      <c r="W63" s="2">
        <f>W8*'Output-Calculation-sheet'!W52/10^9</f>
        <v>9.9498051957211633E-2</v>
      </c>
      <c r="X63" s="2">
        <f>X8*'Output-Calculation-sheet'!X52/10^9</f>
        <v>0.10252094846834278</v>
      </c>
      <c r="Y63" s="2">
        <f>Y8*'Output-Calculation-sheet'!Y52/10^9</f>
        <v>6.4919711109192965E-2</v>
      </c>
      <c r="AA63" s="2">
        <f t="shared" si="4"/>
        <v>28.587636999428735</v>
      </c>
    </row>
    <row r="64" spans="1:27" x14ac:dyDescent="0.25">
      <c r="A64" s="2">
        <v>2032</v>
      </c>
      <c r="B64" s="2">
        <f>B9*'Output-Calculation-sheet'!B53/10^9</f>
        <v>7.5880816783290568</v>
      </c>
      <c r="C64" s="2">
        <f>C9*'Output-Calculation-sheet'!C53/10^9</f>
        <v>4.0226764535515018</v>
      </c>
      <c r="D64" s="2">
        <f>D9*'Output-Calculation-sheet'!D53/10^9</f>
        <v>2.2473424994022886</v>
      </c>
      <c r="E64" s="2">
        <f>E9*'Output-Calculation-sheet'!E53/10^9</f>
        <v>2.3013775977394673</v>
      </c>
      <c r="F64" s="2">
        <f>F9*'Output-Calculation-sheet'!F53/10^9</f>
        <v>0.97070663990411854</v>
      </c>
      <c r="G64" s="2">
        <f>G9*'Output-Calculation-sheet'!G53/10^9</f>
        <v>0.69091929129890028</v>
      </c>
      <c r="H64" s="2">
        <f>H9*'Output-Calculation-sheet'!H53/10^9</f>
        <v>1.2624871616895343</v>
      </c>
      <c r="I64" s="2">
        <f>I9*'Output-Calculation-sheet'!I53/10^9</f>
        <v>0.64589661603417348</v>
      </c>
      <c r="J64" s="2">
        <f>J9*'Output-Calculation-sheet'!J53/10^9</f>
        <v>0.85503588310432355</v>
      </c>
      <c r="K64" s="2">
        <f>K9*'Output-Calculation-sheet'!K53/10^9</f>
        <v>0.79335696888683904</v>
      </c>
      <c r="L64" s="2">
        <f>L9*'Output-Calculation-sheet'!L53/10^9</f>
        <v>1.0206513691854717</v>
      </c>
      <c r="M64" s="2">
        <f>M9*'Output-Calculation-sheet'!M53/10^9</f>
        <v>1.0016359040443863</v>
      </c>
      <c r="N64" s="2">
        <f>N9*'Output-Calculation-sheet'!N53/10^9</f>
        <v>0.90179594951298481</v>
      </c>
      <c r="O64" s="2">
        <f>O9*'Output-Calculation-sheet'!O53/10^9</f>
        <v>0.81462210656923195</v>
      </c>
      <c r="P64" s="2">
        <f>P9*'Output-Calculation-sheet'!P53/10^9</f>
        <v>0.60488446986931121</v>
      </c>
      <c r="Q64" s="2">
        <f>Q9*'Output-Calculation-sheet'!Q53/10^9</f>
        <v>0.66848429910646412</v>
      </c>
      <c r="R64" s="2">
        <f>R9*'Output-Calculation-sheet'!R53/10^9</f>
        <v>0.5730489081015756</v>
      </c>
      <c r="S64" s="2">
        <f>S9*'Output-Calculation-sheet'!S53/10^9</f>
        <v>0.46111642110804069</v>
      </c>
      <c r="T64" s="2">
        <f>T9*'Output-Calculation-sheet'!T53/10^9</f>
        <v>0.20599534803036162</v>
      </c>
      <c r="U64" s="2">
        <f>U9*'Output-Calculation-sheet'!U53/10^9</f>
        <v>0.155048403549506</v>
      </c>
      <c r="V64" s="2">
        <f>V9*'Output-Calculation-sheet'!V53/10^9</f>
        <v>0.24450254827920917</v>
      </c>
      <c r="W64" s="2">
        <f>W9*'Output-Calculation-sheet'!W53/10^9</f>
        <v>9.0852582863905226E-2</v>
      </c>
      <c r="X64" s="2">
        <f>X9*'Output-Calculation-sheet'!X53/10^9</f>
        <v>0.10416118644663083</v>
      </c>
      <c r="Y64" s="2">
        <f>Y9*'Output-Calculation-sheet'!Y53/10^9</f>
        <v>6.3654317627922299E-2</v>
      </c>
      <c r="AA64" s="2">
        <f t="shared" si="4"/>
        <v>28.28833460423521</v>
      </c>
    </row>
    <row r="65" spans="1:27" x14ac:dyDescent="0.25">
      <c r="A65" s="2">
        <v>2033</v>
      </c>
      <c r="B65" s="2">
        <f>B10*'Output-Calculation-sheet'!B54/10^9</f>
        <v>7.9125512117183074</v>
      </c>
      <c r="C65" s="2">
        <f>C10*'Output-Calculation-sheet'!C54/10^9</f>
        <v>4.0901395243913123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1.2844418567775566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0.74830236197622224</v>
      </c>
      <c r="L65" s="2">
        <f>L10*'Output-Calculation-sheet'!L54/10^9</f>
        <v>0.88389155314656986</v>
      </c>
      <c r="M65" s="2">
        <f>M10*'Output-Calculation-sheet'!M54/10^9</f>
        <v>0.97946871567195781</v>
      </c>
      <c r="N65" s="2">
        <f>N10*'Output-Calculation-sheet'!N54/10^9</f>
        <v>0.89878257002861295</v>
      </c>
      <c r="O65" s="2">
        <f>O10*'Output-Calculation-sheet'!O54/10^9</f>
        <v>0.81968204698556124</v>
      </c>
      <c r="P65" s="2">
        <f>P10*'Output-Calculation-sheet'!P54/10^9</f>
        <v>0.63314012592347613</v>
      </c>
      <c r="Q65" s="2">
        <f>Q10*'Output-Calculation-sheet'!Q54/10^9</f>
        <v>0.68970027108830079</v>
      </c>
      <c r="R65" s="2">
        <f>R10*'Output-Calculation-sheet'!R54/10^9</f>
        <v>0.55746046123105619</v>
      </c>
      <c r="S65" s="2">
        <f>S10*'Output-Calculation-sheet'!S54/10^9</f>
        <v>0.47410650640044882</v>
      </c>
      <c r="T65" s="2">
        <f>T10*'Output-Calculation-sheet'!T54/10^9</f>
        <v>0.18636680805823594</v>
      </c>
      <c r="U65" s="2">
        <f>U10*'Output-Calculation-sheet'!U54/10^9</f>
        <v>0.16092404838447061</v>
      </c>
      <c r="V65" s="2">
        <f>V10*'Output-Calculation-sheet'!V54/10^9</f>
        <v>0.20625082069873762</v>
      </c>
      <c r="W65" s="2">
        <f>W10*'Output-Calculation-sheet'!W54/10^9</f>
        <v>7.8524430765471456E-2</v>
      </c>
      <c r="X65" s="2">
        <f>X10*'Output-Calculation-sheet'!X54/10^9</f>
        <v>0.1026979864856143</v>
      </c>
      <c r="Y65" s="2">
        <f>Y10*'Output-Calculation-sheet'!Y54/10^9</f>
        <v>6.4635168579858154E-2</v>
      </c>
      <c r="AA65" s="2">
        <f t="shared" si="4"/>
        <v>27.621932756813631</v>
      </c>
    </row>
    <row r="66" spans="1:27" x14ac:dyDescent="0.25">
      <c r="A66" s="2">
        <v>2034</v>
      </c>
      <c r="B66" s="2">
        <f>B11*'Output-Calculation-sheet'!B55/10^9</f>
        <v>8.2109560285313066</v>
      </c>
      <c r="C66" s="2">
        <f>C11*'Output-Calculation-sheet'!C55/10^9</f>
        <v>4.130435635764842</v>
      </c>
      <c r="D66" s="2">
        <f>D11*'Output-Calculation-sheet'!D55/10^9</f>
        <v>1.8530832031073989</v>
      </c>
      <c r="E66" s="2">
        <f>E11*'Output-Calculation-sheet'!E55/10^9</f>
        <v>2.2439523344754377</v>
      </c>
      <c r="F66" s="2">
        <f>F11*'Output-Calculation-sheet'!F55/10^9</f>
        <v>0.86238906278157867</v>
      </c>
      <c r="G66" s="2">
        <f>G11*'Output-Calculation-sheet'!G55/10^9</f>
        <v>0.61641691429224321</v>
      </c>
      <c r="H66" s="2">
        <f>H11*'Output-Calculation-sheet'!H55/10^9</f>
        <v>1.2863038662157509</v>
      </c>
      <c r="I66" s="2">
        <f>I11*'Output-Calculation-sheet'!I55/10^9</f>
        <v>0.60278106837698076</v>
      </c>
      <c r="J66" s="2">
        <f>J11*'Output-Calculation-sheet'!J55/10^9</f>
        <v>0.6198613453944396</v>
      </c>
      <c r="K66" s="2">
        <f>K11*'Output-Calculation-sheet'!K55/10^9</f>
        <v>0.74138370287287758</v>
      </c>
      <c r="L66" s="2">
        <f>L11*'Output-Calculation-sheet'!L55/10^9</f>
        <v>0.78515121710929048</v>
      </c>
      <c r="M66" s="2">
        <f>M11*'Output-Calculation-sheet'!M55/10^9</f>
        <v>0.93762664163557252</v>
      </c>
      <c r="N66" s="2">
        <f>N11*'Output-Calculation-sheet'!N55/10^9</f>
        <v>0.88578614831622704</v>
      </c>
      <c r="O66" s="2">
        <f>O11*'Output-Calculation-sheet'!O55/10^9</f>
        <v>0.81412276918637116</v>
      </c>
      <c r="P66" s="2">
        <f>P11*'Output-Calculation-sheet'!P55/10^9</f>
        <v>0.67983543482302089</v>
      </c>
      <c r="Q66" s="2">
        <f>Q11*'Output-Calculation-sheet'!Q55/10^9</f>
        <v>0.71911153401292194</v>
      </c>
      <c r="R66" s="2">
        <f>R11*'Output-Calculation-sheet'!R55/10^9</f>
        <v>0.55537944110961956</v>
      </c>
      <c r="S66" s="2">
        <f>S11*'Output-Calculation-sheet'!S55/10^9</f>
        <v>0.48446601342265844</v>
      </c>
      <c r="T66" s="2">
        <f>T11*'Output-Calculation-sheet'!T55/10^9</f>
        <v>0.17408380521182185</v>
      </c>
      <c r="U66" s="2">
        <f>U11*'Output-Calculation-sheet'!U55/10^9</f>
        <v>0.17773716038880769</v>
      </c>
      <c r="V66" s="2">
        <f>V11*'Output-Calculation-sheet'!V55/10^9</f>
        <v>0.16514304838071961</v>
      </c>
      <c r="W66" s="2">
        <f>W11*'Output-Calculation-sheet'!W55/10^9</f>
        <v>7.4776666631608049E-2</v>
      </c>
      <c r="X66" s="2">
        <f>X11*'Output-Calculation-sheet'!X55/10^9</f>
        <v>0.10017777487338139</v>
      </c>
      <c r="Y66" s="2">
        <f>Y11*'Output-Calculation-sheet'!Y55/10^9</f>
        <v>7.3106931858773316E-2</v>
      </c>
      <c r="AA66" s="2">
        <f t="shared" si="4"/>
        <v>27.794067748773653</v>
      </c>
    </row>
    <row r="67" spans="1:27" x14ac:dyDescent="0.25">
      <c r="A67" s="2">
        <v>2035</v>
      </c>
      <c r="B67" s="2">
        <f>B12*'Output-Calculation-sheet'!B56/10^9</f>
        <v>8.7776946591333829</v>
      </c>
      <c r="C67" s="2">
        <f>C12*'Output-Calculation-sheet'!C56/10^9</f>
        <v>4.106444817263867</v>
      </c>
      <c r="D67" s="2">
        <f>D12*'Output-Calculation-sheet'!D56/10^9</f>
        <v>2.2398424087901061</v>
      </c>
      <c r="E67" s="2">
        <f>E12*'Output-Calculation-sheet'!E56/10^9</f>
        <v>2.7393739102573287</v>
      </c>
      <c r="F67" s="2">
        <f>F12*'Output-Calculation-sheet'!F56/10^9</f>
        <v>1.1086749917280039</v>
      </c>
      <c r="G67" s="2">
        <f>G12*'Output-Calculation-sheet'!G56/10^9</f>
        <v>0.81377472948404794</v>
      </c>
      <c r="H67" s="2">
        <f>H12*'Output-Calculation-sheet'!H56/10^9</f>
        <v>1.2977913056021488</v>
      </c>
      <c r="I67" s="2">
        <f>I12*'Output-Calculation-sheet'!I56/10^9</f>
        <v>0.76869239373262355</v>
      </c>
      <c r="J67" s="2">
        <f>J12*'Output-Calculation-sheet'!J56/10^9</f>
        <v>0.71403152266299608</v>
      </c>
      <c r="K67" s="2">
        <f>K12*'Output-Calculation-sheet'!K56/10^9</f>
        <v>0.87736096492582338</v>
      </c>
      <c r="L67" s="2">
        <f>L12*'Output-Calculation-sheet'!L56/10^9</f>
        <v>0.8376620932545864</v>
      </c>
      <c r="M67" s="2">
        <f>M12*'Output-Calculation-sheet'!M56/10^9</f>
        <v>0.90334367758179523</v>
      </c>
      <c r="N67" s="2">
        <f>N12*'Output-Calculation-sheet'!N56/10^9</f>
        <v>0.88027860878816311</v>
      </c>
      <c r="O67" s="2">
        <f>O12*'Output-Calculation-sheet'!O56/10^9</f>
        <v>0.79817982604905557</v>
      </c>
      <c r="P67" s="2">
        <f>P12*'Output-Calculation-sheet'!P56/10^9</f>
        <v>0.77617506369734601</v>
      </c>
      <c r="Q67" s="2">
        <f>Q12*'Output-Calculation-sheet'!Q56/10^9</f>
        <v>0.78591517525297661</v>
      </c>
      <c r="R67" s="2">
        <f>R12*'Output-Calculation-sheet'!R56/10^9</f>
        <v>0.64695267489719177</v>
      </c>
      <c r="S67" s="2">
        <f>S12*'Output-Calculation-sheet'!S56/10^9</f>
        <v>0.50326564006580909</v>
      </c>
      <c r="T67" s="2">
        <f>T12*'Output-Calculation-sheet'!T56/10^9</f>
        <v>0.19826403403052906</v>
      </c>
      <c r="U67" s="2">
        <f>U12*'Output-Calculation-sheet'!U56/10^9</f>
        <v>0.21291654422630671</v>
      </c>
      <c r="V67" s="2">
        <f>V12*'Output-Calculation-sheet'!V56/10^9</f>
        <v>0.15220312379573783</v>
      </c>
      <c r="W67" s="2">
        <f>W12*'Output-Calculation-sheet'!W56/10^9</f>
        <v>0.10103670730217042</v>
      </c>
      <c r="X67" s="2">
        <f>X12*'Output-Calculation-sheet'!X56/10^9</f>
        <v>9.6196547047253528E-2</v>
      </c>
      <c r="Y67" s="2">
        <f>Y12*'Output-Calculation-sheet'!Y56/10^9</f>
        <v>8.9853397557886239E-2</v>
      </c>
      <c r="AA67" s="2">
        <f t="shared" si="4"/>
        <v>30.425924817127136</v>
      </c>
    </row>
    <row r="68" spans="1:27" x14ac:dyDescent="0.25">
      <c r="B68" s="2">
        <f>SUM(B60:B67)</f>
        <v>39.726256379573428</v>
      </c>
      <c r="C68" s="2">
        <f t="shared" ref="C68:Y68" si="5">SUM(C60:C67)</f>
        <v>20.216059502616677</v>
      </c>
      <c r="D68" s="2">
        <f t="shared" si="5"/>
        <v>10.742139285129973</v>
      </c>
      <c r="E68" s="2">
        <f t="shared" si="5"/>
        <v>11.914257622767373</v>
      </c>
      <c r="F68" s="2">
        <f t="shared" si="5"/>
        <v>4.8645124628269407</v>
      </c>
      <c r="G68" s="2">
        <f t="shared" si="5"/>
        <v>3.4750677399534875</v>
      </c>
      <c r="H68" s="2">
        <f t="shared" si="5"/>
        <v>6.352932112582649</v>
      </c>
      <c r="I68" s="2">
        <f t="shared" si="5"/>
        <v>3.3030771557929444</v>
      </c>
      <c r="J68" s="2">
        <f t="shared" si="5"/>
        <v>3.8520230657849677</v>
      </c>
      <c r="K68" s="2">
        <f t="shared" si="5"/>
        <v>4.0053461488815314</v>
      </c>
      <c r="L68" s="2">
        <f t="shared" si="5"/>
        <v>4.6638440784562194</v>
      </c>
      <c r="M68" s="2">
        <f t="shared" si="5"/>
        <v>4.8231021870521031</v>
      </c>
      <c r="N68" s="2">
        <f t="shared" si="5"/>
        <v>4.4499047143530088</v>
      </c>
      <c r="O68" s="2">
        <f t="shared" si="5"/>
        <v>4.0376312563004717</v>
      </c>
      <c r="P68" s="2">
        <f t="shared" si="5"/>
        <v>3.2778673278050237</v>
      </c>
      <c r="Q68" s="2">
        <f t="shared" si="5"/>
        <v>3.5239382781278579</v>
      </c>
      <c r="R68" s="2">
        <f t="shared" si="5"/>
        <v>2.9260431756631742</v>
      </c>
      <c r="S68" s="2">
        <f t="shared" si="5"/>
        <v>2.3625380517064336</v>
      </c>
      <c r="T68" s="2">
        <f t="shared" si="5"/>
        <v>0.99023680413028792</v>
      </c>
      <c r="U68" s="2">
        <f t="shared" si="5"/>
        <v>0.86151555216321518</v>
      </c>
      <c r="V68" s="2">
        <f t="shared" si="5"/>
        <v>1.0429916151353702</v>
      </c>
      <c r="W68" s="2">
        <f t="shared" si="5"/>
        <v>0.44468843952036674</v>
      </c>
      <c r="X68" s="2">
        <f t="shared" si="5"/>
        <v>0.50575444332122288</v>
      </c>
      <c r="Y68" s="2">
        <f t="shared" si="5"/>
        <v>0.356169526733633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49.817470735256542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4.9817470735256539E-2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498.28384215568849</v>
      </c>
      <c r="Q76" s="2">
        <f>Q10/'Output-Calculation-sheet'!Q9*'Output-Calculation-sheet'!Q63</f>
        <v>59.095389685150913</v>
      </c>
      <c r="R76" s="2">
        <f>R10/'Output-Calculation-sheet'!R9*'Output-Calculation-sheet'!R63</f>
        <v>380.24950303619352</v>
      </c>
      <c r="S76" s="2">
        <f>S10/'Output-Calculation-sheet'!S9*'Output-Calculation-sheet'!S63</f>
        <v>0</v>
      </c>
      <c r="T76" s="2">
        <f>T10/'Output-Calculation-sheet'!T9*'Output-Calculation-sheet'!T63</f>
        <v>24.919239106530583</v>
      </c>
      <c r="U76" s="2">
        <f>U10/'Output-Calculation-sheet'!U9*'Output-Calculation-sheet'!U63</f>
        <v>134.71930607705528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6.3898315308602616</v>
      </c>
      <c r="AA76" s="2">
        <f t="shared" si="6"/>
        <v>1.2082630468353839</v>
      </c>
    </row>
    <row r="77" spans="1:27" x14ac:dyDescent="0.25">
      <c r="A77" s="2">
        <v>2034</v>
      </c>
      <c r="B77" s="2">
        <f>B11/'Output-Calculation-sheet'!B10*'Output-Calculation-sheet'!B64</f>
        <v>505.23050501432522</v>
      </c>
      <c r="C77" s="2">
        <f>C11/'Output-Calculation-sheet'!C10*'Output-Calculation-sheet'!C64</f>
        <v>0</v>
      </c>
      <c r="D77" s="2">
        <f>D11/'Output-Calculation-sheet'!D10*'Output-Calculation-sheet'!D64</f>
        <v>1797.0793833548166</v>
      </c>
      <c r="E77" s="2">
        <f>E11/'Output-Calculation-sheet'!E10*'Output-Calculation-sheet'!E64</f>
        <v>2228.3278572253112</v>
      </c>
      <c r="F77" s="2">
        <f>F11/'Output-Calculation-sheet'!F10*'Output-Calculation-sheet'!F64</f>
        <v>144.98612217176037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147.33983074885481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392.00063441679674</v>
      </c>
      <c r="K77" s="2">
        <f>K11/'Output-Calculation-sheet'!K10*'Output-Calculation-sheet'!K64</f>
        <v>856.57546265500389</v>
      </c>
      <c r="L77" s="2">
        <f>L11/'Output-Calculation-sheet'!L10*'Output-Calculation-sheet'!L64</f>
        <v>353.15752028677866</v>
      </c>
      <c r="M77" s="2">
        <f>M11/'Output-Calculation-sheet'!M10*'Output-Calculation-sheet'!M64</f>
        <v>106.1164121359699</v>
      </c>
      <c r="N77" s="2">
        <f>N11/'Output-Calculation-sheet'!N10*'Output-Calculation-sheet'!N64</f>
        <v>35.095686955450155</v>
      </c>
      <c r="O77" s="2">
        <f>O11/'Output-Calculation-sheet'!O10*'Output-Calculation-sheet'!O64</f>
        <v>0</v>
      </c>
      <c r="P77" s="2">
        <f>P11/'Output-Calculation-sheet'!P10*'Output-Calculation-sheet'!P64</f>
        <v>727.84691431509623</v>
      </c>
      <c r="Q77" s="2">
        <f>Q11/'Output-Calculation-sheet'!Q10*'Output-Calculation-sheet'!Q64</f>
        <v>174.59385460528242</v>
      </c>
      <c r="R77" s="2">
        <f>R11/'Output-Calculation-sheet'!R10*'Output-Calculation-sheet'!R64</f>
        <v>898.36315100921399</v>
      </c>
      <c r="S77" s="2">
        <f>S11/'Output-Calculation-sheet'!S10*'Output-Calculation-sheet'!S64</f>
        <v>0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330.27267245082464</v>
      </c>
      <c r="V77" s="2">
        <f>V11/'Output-Calculation-sheet'!V10*'Output-Calculation-sheet'!V64</f>
        <v>129.0035419221355</v>
      </c>
      <c r="W77" s="2">
        <f>W11/'Output-Calculation-sheet'!W10*'Output-Calculation-sheet'!W64</f>
        <v>28.250227214179134</v>
      </c>
      <c r="X77" s="2">
        <f>X11/'Output-Calculation-sheet'!X10*'Output-Calculation-sheet'!X64</f>
        <v>10.578641708036081</v>
      </c>
      <c r="Y77" s="2">
        <f>Y11/'Output-Calculation-sheet'!Y10*'Output-Calculation-sheet'!Y64</f>
        <v>59.626746702118886</v>
      </c>
      <c r="AA77" s="2">
        <f t="shared" si="6"/>
        <v>10.674770660429061</v>
      </c>
    </row>
    <row r="78" spans="1:27" x14ac:dyDescent="0.25">
      <c r="A78" s="2">
        <v>2035</v>
      </c>
      <c r="B78" s="2">
        <f>B12/'Output-Calculation-sheet'!B11*'Output-Calculation-sheet'!B65</f>
        <v>99.054874867658214</v>
      </c>
      <c r="C78" s="2">
        <f>C12/'Output-Calculation-sheet'!C11*'Output-Calculation-sheet'!C65</f>
        <v>79.33935935482728</v>
      </c>
      <c r="D78" s="2">
        <f>D12/'Output-Calculation-sheet'!D11*'Output-Calculation-sheet'!D65</f>
        <v>3786.807823376228</v>
      </c>
      <c r="E78" s="2">
        <f>E12/'Output-Calculation-sheet'!E11*'Output-Calculation-sheet'!E65</f>
        <v>1836.358212406361</v>
      </c>
      <c r="F78" s="2">
        <f>F12/'Output-Calculation-sheet'!F11*'Output-Calculation-sheet'!F65</f>
        <v>947.02722941031129</v>
      </c>
      <c r="G78" s="2">
        <f>G12/'Output-Calculation-sheet'!G11*'Output-Calculation-sheet'!G65</f>
        <v>1757.6313816187314</v>
      </c>
      <c r="H78" s="2">
        <f>H12/'Output-Calculation-sheet'!H11*'Output-Calculation-sheet'!H65</f>
        <v>33.311991498398747</v>
      </c>
      <c r="I78" s="2">
        <f>I12/'Output-Calculation-sheet'!I11*'Output-Calculation-sheet'!I65</f>
        <v>1168.0928386453738</v>
      </c>
      <c r="J78" s="2">
        <f>J12/'Output-Calculation-sheet'!J11*'Output-Calculation-sheet'!J65</f>
        <v>1214.8728807350153</v>
      </c>
      <c r="K78" s="2">
        <f>K12/'Output-Calculation-sheet'!K11*'Output-Calculation-sheet'!K65</f>
        <v>1512.3206459915086</v>
      </c>
      <c r="L78" s="2">
        <f>L12/'Output-Calculation-sheet'!L11*'Output-Calculation-sheet'!L65</f>
        <v>822.10633519072871</v>
      </c>
      <c r="M78" s="2">
        <f>M12/'Output-Calculation-sheet'!M11*'Output-Calculation-sheet'!M65</f>
        <v>23.294737544114163</v>
      </c>
      <c r="N78" s="2">
        <f>N12/'Output-Calculation-sheet'!N11*'Output-Calculation-sheet'!N65</f>
        <v>24.214892455611121</v>
      </c>
      <c r="O78" s="2">
        <f>O12/'Output-Calculation-sheet'!O11*'Output-Calculation-sheet'!O65</f>
        <v>13.825999593447431</v>
      </c>
      <c r="P78" s="2">
        <f>P12/'Output-Calculation-sheet'!P11*'Output-Calculation-sheet'!P65</f>
        <v>284.78608081576488</v>
      </c>
      <c r="Q78" s="2">
        <f>Q12/'Output-Calculation-sheet'!Q11*'Output-Calculation-sheet'!Q65</f>
        <v>212.21536950462732</v>
      </c>
      <c r="R78" s="2">
        <f>R12/'Output-Calculation-sheet'!R11*'Output-Calculation-sheet'!R65</f>
        <v>1308.7518794328457</v>
      </c>
      <c r="S78" s="2">
        <f>S12/'Output-Calculation-sheet'!S11*'Output-Calculation-sheet'!S65</f>
        <v>9.921991701554802</v>
      </c>
      <c r="T78" s="2">
        <f>T12/'Output-Calculation-sheet'!T11*'Output-Calculation-sheet'!T65</f>
        <v>474.93870829185022</v>
      </c>
      <c r="U78" s="2">
        <f>U12/'Output-Calculation-sheet'!U11*'Output-Calculation-sheet'!U65</f>
        <v>390.68817738295854</v>
      </c>
      <c r="V78" s="2">
        <f>V12/'Output-Calculation-sheet'!V11*'Output-Calculation-sheet'!V65</f>
        <v>236.82025835827767</v>
      </c>
      <c r="W78" s="2">
        <f>W12/'Output-Calculation-sheet'!W11*'Output-Calculation-sheet'!W65</f>
        <v>169.43283709148591</v>
      </c>
      <c r="X78" s="2">
        <f>X12/'Output-Calculation-sheet'!X11*'Output-Calculation-sheet'!X65</f>
        <v>2.3783306786742915</v>
      </c>
      <c r="Y78" s="2">
        <f>Y12/'Output-Calculation-sheet'!Y11*'Output-Calculation-sheet'!Y65</f>
        <v>41.680732068790903</v>
      </c>
      <c r="AA78" s="2">
        <f t="shared" si="6"/>
        <v>16.44987356801515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83.438120803603155</v>
      </c>
      <c r="E89" s="2">
        <f>E12/'Output-Calculation-sheet'!E11*'Output-Calculation-sheet'!E74</f>
        <v>62.166682508695573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43.02601406746863</v>
      </c>
      <c r="H89" s="2">
        <f>H12/'Output-Calculation-sheet'!H11*'Output-Calculation-sheet'!H74</f>
        <v>5.4366213956694711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19.982310883302588</v>
      </c>
      <c r="K89" s="2">
        <f>K12/'Output-Calculation-sheet'!K11*'Output-Calculation-sheet'!K74</f>
        <v>28.112969291426122</v>
      </c>
      <c r="L89" s="2">
        <f>L12/'Output-Calculation-sheet'!L11*'Output-Calculation-sheet'!L74</f>
        <v>10.519594820098895</v>
      </c>
      <c r="M89" s="2">
        <f>M12/'Output-Calculation-sheet'!M11*'Output-Calculation-sheet'!M74</f>
        <v>4.9878994794955647</v>
      </c>
      <c r="N89" s="2">
        <f>N12/'Output-Calculation-sheet'!N11*'Output-Calculation-sheet'!N74</f>
        <v>2.4511481380312907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4.5288606657776782</v>
      </c>
      <c r="Q89" s="2">
        <f>Q12/'Output-Calculation-sheet'!Q11*'Output-Calculation-sheet'!Q74</f>
        <v>6.442743164202982</v>
      </c>
      <c r="R89" s="2">
        <f>R12/'Output-Calculation-sheet'!R11*'Output-Calculation-sheet'!R74</f>
        <v>18.102716736254102</v>
      </c>
      <c r="S89" s="2">
        <f>S12/'Output-Calculation-sheet'!S11*'Output-Calculation-sheet'!S74</f>
        <v>2.1076240957774135</v>
      </c>
      <c r="T89" s="2">
        <f>T12/'Output-Calculation-sheet'!T11*'Output-Calculation-sheet'!T74</f>
        <v>4.7275222923165385</v>
      </c>
      <c r="U89" s="2">
        <f>U12/'Output-Calculation-sheet'!U11*'Output-Calculation-sheet'!U74</f>
        <v>9.5929047807452452</v>
      </c>
      <c r="V89" s="2">
        <f>V12/'Output-Calculation-sheet'!V11*'Output-Calculation-sheet'!V74</f>
        <v>1.32088707358339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2.3761890467356994</v>
      </c>
      <c r="AA89" s="2">
        <f t="shared" si="7"/>
        <v>0.43195462808417906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1710.4051177101285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526.51574337762747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362.29407170481664</v>
      </c>
      <c r="N107" s="2">
        <f>N8/'Output-Calculation-sheet'!N7*'Output-Calculation-sheet'!N88</f>
        <v>142.43052698709877</v>
      </c>
      <c r="O107" s="2">
        <f>O8/'Output-Calculation-sheet'!O7*'Output-Calculation-sheet'!O88</f>
        <v>398.7410375511846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39.744413176842173</v>
      </c>
      <c r="Y107" s="2">
        <f>Y8/'Output-Calculation-sheet'!Y7*'Output-Calculation-sheet'!Y88</f>
        <v>0</v>
      </c>
      <c r="AA107" s="2">
        <f t="shared" si="9"/>
        <v>3.1801309105076978</v>
      </c>
    </row>
    <row r="108" spans="1:27" x14ac:dyDescent="0.25">
      <c r="A108" s="2">
        <v>2032</v>
      </c>
      <c r="B108" s="2">
        <f>B9/'Output-Calculation-sheet'!B8*'Output-Calculation-sheet'!B89</f>
        <v>792.59304271614212</v>
      </c>
      <c r="C108" s="2">
        <f>C9/'Output-Calculation-sheet'!C8*'Output-Calculation-sheet'!C89</f>
        <v>3009.4640236676682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810.60556928003655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557.77551941202626</v>
      </c>
      <c r="N108" s="2">
        <f>N9/'Output-Calculation-sheet'!N8*'Output-Calculation-sheet'!N89</f>
        <v>391.57348455182665</v>
      </c>
      <c r="O108" s="2">
        <f>O9/'Output-Calculation-sheet'!O8*'Output-Calculation-sheet'!O89</f>
        <v>584.65525449937024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179.57075130172743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61.189134558904243</v>
      </c>
      <c r="Y108" s="2">
        <f>Y9/'Output-Calculation-sheet'!Y8*'Output-Calculation-sheet'!Y89</f>
        <v>0</v>
      </c>
      <c r="AA108" s="2">
        <f t="shared" si="9"/>
        <v>6.3874267799877016</v>
      </c>
    </row>
    <row r="109" spans="1:27" x14ac:dyDescent="0.25">
      <c r="A109" s="2">
        <v>2033</v>
      </c>
      <c r="B109" s="2">
        <f>B10/'Output-Calculation-sheet'!B9*'Output-Calculation-sheet'!B90</f>
        <v>4263.7601984976418</v>
      </c>
      <c r="C109" s="2">
        <f>C10/'Output-Calculation-sheet'!C9*'Output-Calculation-sheet'!C90</f>
        <v>4047.3585533100199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1245.9024913727924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857.3021647006733</v>
      </c>
      <c r="N109" s="2">
        <f>N10/'Output-Calculation-sheet'!N9*'Output-Calculation-sheet'!N90</f>
        <v>674.07119598128429</v>
      </c>
      <c r="O109" s="2">
        <f>O10/'Output-Calculation-sheet'!O9*'Output-Calculation-sheet'!O90</f>
        <v>786.28932807504532</v>
      </c>
      <c r="P109" s="2">
        <f>P10/'Output-Calculation-sheet'!P9*'Output-Calculation-sheet'!P90</f>
        <v>0</v>
      </c>
      <c r="Q109" s="2">
        <f>Q10/'Output-Calculation-sheet'!Q9*'Output-Calculation-sheet'!Q90</f>
        <v>147.64739302886596</v>
      </c>
      <c r="R109" s="2">
        <f>R10/'Output-Calculation-sheet'!R9*'Output-Calculation-sheet'!R90</f>
        <v>0</v>
      </c>
      <c r="S109" s="2">
        <f>S10/'Output-Calculation-sheet'!S9*'Output-Calculation-sheet'!S90</f>
        <v>338.10076966710267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94.047830512187119</v>
      </c>
      <c r="Y109" s="2">
        <f>Y10/'Output-Calculation-sheet'!Y9*'Output-Calculation-sheet'!Y90</f>
        <v>0</v>
      </c>
      <c r="AA109" s="2">
        <f t="shared" si="9"/>
        <v>12.454479925145613</v>
      </c>
    </row>
    <row r="110" spans="1:27" x14ac:dyDescent="0.25">
      <c r="A110" s="2">
        <v>2034</v>
      </c>
      <c r="B110" s="2">
        <f>B11/'Output-Calculation-sheet'!B10*'Output-Calculation-sheet'!B91</f>
        <v>8155.1426635671251</v>
      </c>
      <c r="C110" s="2">
        <f>C11/'Output-Calculation-sheet'!C10*'Output-Calculation-sheet'!C91</f>
        <v>5590.8947787222296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1588.6622900945415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1093.1542634413595</v>
      </c>
      <c r="N110" s="2">
        <f>N11/'Output-Calculation-sheet'!N10*'Output-Calculation-sheet'!N91</f>
        <v>984.86057884459069</v>
      </c>
      <c r="O110" s="2">
        <f>O11/'Output-Calculation-sheet'!O10*'Output-Calculation-sheet'!O91</f>
        <v>1086.1555360111558</v>
      </c>
      <c r="P110" s="2">
        <f>P11/'Output-Calculation-sheet'!P10*'Output-Calculation-sheet'!P91</f>
        <v>248.13768629853277</v>
      </c>
      <c r="Q110" s="2">
        <f>Q11/'Output-Calculation-sheet'!Q10*'Output-Calculation-sheet'!Q91</f>
        <v>549.11096244141481</v>
      </c>
      <c r="R110" s="2">
        <f>R11/'Output-Calculation-sheet'!R10*'Output-Calculation-sheet'!R91</f>
        <v>0</v>
      </c>
      <c r="S110" s="2">
        <f>S11/'Output-Calculation-sheet'!S10*'Output-Calculation-sheet'!S91</f>
        <v>564.55608285438586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119.92129627679567</v>
      </c>
      <c r="Y110" s="2">
        <f>Y11/'Output-Calculation-sheet'!Y10*'Output-Calculation-sheet'!Y91</f>
        <v>19.287724131243021</v>
      </c>
      <c r="AA110" s="2">
        <f t="shared" si="9"/>
        <v>19.999883862683372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2872.1007319017353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405.00440057380746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1046.1668137946438</v>
      </c>
      <c r="Q111" s="2">
        <f>Q12/'Output-Calculation-sheet'!Q11*'Output-Calculation-sheet'!Q92</f>
        <v>992.18244728725927</v>
      </c>
      <c r="R111" s="2">
        <f>R12/'Output-Calculation-sheet'!R11*'Output-Calculation-sheet'!R92</f>
        <v>0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111.81289569917429</v>
      </c>
      <c r="AA111" s="2">
        <f t="shared" si="9"/>
        <v>33.792175857766772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8040583360.0804472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2473922428.7414651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1718352312.8838794</v>
      </c>
      <c r="N118" s="2">
        <f>N8/'Output-Calculation-sheet'!N7*'Output-Calculation-sheet'!N97</f>
        <v>1348416620.3198681</v>
      </c>
      <c r="O118" s="2">
        <f>O8/'Output-Calculation-sheet'!O7*'Output-Calculation-sheet'!O97</f>
        <v>897251915.92237318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185205765.20458198</v>
      </c>
      <c r="Y118" s="2">
        <f>Y8/'Output-Calculation-sheet'!Y7*'Output-Calculation-sheet'!Y97</f>
        <v>0</v>
      </c>
      <c r="AA118" s="2">
        <f t="shared" si="10"/>
        <v>16523.151741882499</v>
      </c>
    </row>
    <row r="119" spans="1:27" x14ac:dyDescent="0.25">
      <c r="A119" s="2">
        <v>2032</v>
      </c>
      <c r="B119" s="2">
        <f>B9/'Output-Calculation-sheet'!B8*'Output-Calculation-sheet'!B98</f>
        <v>5946074180.1210546</v>
      </c>
      <c r="C119" s="2">
        <f>C9/'Output-Calculation-sheet'!C8*'Output-Calculation-sheet'!C98</f>
        <v>4726059860.0209341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2825249158.9767375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1972034493.3099928</v>
      </c>
      <c r="N119" s="2">
        <f>N9/'Output-Calculation-sheet'!N8*'Output-Calculation-sheet'!N98</f>
        <v>1333658605.4240875</v>
      </c>
      <c r="O119" s="2">
        <f>O9/'Output-Calculation-sheet'!O8*'Output-Calculation-sheet'!O98</f>
        <v>923384767.35030937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553455012.58705413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211014760.60852754</v>
      </c>
      <c r="Y119" s="2">
        <f>Y9/'Output-Calculation-sheet'!Y8*'Output-Calculation-sheet'!Y98</f>
        <v>0</v>
      </c>
      <c r="AA119" s="2">
        <f t="shared" si="10"/>
        <v>18490.930838398701</v>
      </c>
    </row>
    <row r="120" spans="1:27" x14ac:dyDescent="0.25">
      <c r="A120" s="2">
        <v>2033</v>
      </c>
      <c r="B120" s="2">
        <f>B10/'Output-Calculation-sheet'!B9*'Output-Calculation-sheet'!B99</f>
        <v>6133987177.74193</v>
      </c>
      <c r="C120" s="2">
        <f>C10/'Output-Calculation-sheet'!C9*'Output-Calculation-sheet'!C99</f>
        <v>5042518343.719059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1653322314.382797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1170235268.8873739</v>
      </c>
      <c r="N120" s="2">
        <f>N10/'Output-Calculation-sheet'!N9*'Output-Calculation-sheet'!N99</f>
        <v>1166600574.5020375</v>
      </c>
      <c r="O120" s="2">
        <f>O10/'Output-Calculation-sheet'!O9*'Output-Calculation-sheet'!O99</f>
        <v>987216477.5853765</v>
      </c>
      <c r="P120" s="2">
        <f>P10/'Output-Calculation-sheet'!P9*'Output-Calculation-sheet'!P99</f>
        <v>0</v>
      </c>
      <c r="Q120" s="2">
        <f>Q10/'Output-Calculation-sheet'!Q9*'Output-Calculation-sheet'!Q99</f>
        <v>7412886.8690572008</v>
      </c>
      <c r="R120" s="2">
        <f>R10/'Output-Calculation-sheet'!R9*'Output-Calculation-sheet'!R99</f>
        <v>0</v>
      </c>
      <c r="S120" s="2">
        <f>S10/'Output-Calculation-sheet'!S9*'Output-Calculation-sheet'!S99</f>
        <v>488564707.64421409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116853183.58298829</v>
      </c>
      <c r="Y120" s="2">
        <f>Y10/'Output-Calculation-sheet'!Y9*'Output-Calculation-sheet'!Y99</f>
        <v>0</v>
      </c>
      <c r="AA120" s="2">
        <f t="shared" si="10"/>
        <v>16766.710934914834</v>
      </c>
    </row>
    <row r="121" spans="1:27" x14ac:dyDescent="0.25">
      <c r="A121" s="2">
        <v>2034</v>
      </c>
      <c r="B121" s="2">
        <f>B11/'Output-Calculation-sheet'!B10*'Output-Calculation-sheet'!B100</f>
        <v>6056842108.0552511</v>
      </c>
      <c r="C121" s="2">
        <f>C11/'Output-Calculation-sheet'!C10*'Output-Calculation-sheet'!C100</f>
        <v>733967192.94737446</v>
      </c>
      <c r="D121" s="2">
        <f>D11/'Output-Calculation-sheet'!D10*'Output-Calculation-sheet'!D100</f>
        <v>0</v>
      </c>
      <c r="E121" s="2">
        <f>E11/'Output-Calculation-sheet'!E10*'Output-Calculation-sheet'!E100</f>
        <v>847878533.41188836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1932604237.2370443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704051970.04624796</v>
      </c>
      <c r="M121" s="2">
        <f>M11/'Output-Calculation-sheet'!M10*'Output-Calculation-sheet'!M100</f>
        <v>1375427043.0209351</v>
      </c>
      <c r="N121" s="2">
        <f>N11/'Output-Calculation-sheet'!N10*'Output-Calculation-sheet'!N100</f>
        <v>916966476.53419006</v>
      </c>
      <c r="O121" s="2">
        <f>O11/'Output-Calculation-sheet'!O10*'Output-Calculation-sheet'!O100</f>
        <v>143970079.05884853</v>
      </c>
      <c r="P121" s="2">
        <f>P11/'Output-Calculation-sheet'!P10*'Output-Calculation-sheet'!P100</f>
        <v>0</v>
      </c>
      <c r="Q121" s="2">
        <f>Q11/'Output-Calculation-sheet'!Q10*'Output-Calculation-sheet'!Q100</f>
        <v>309160678.20068884</v>
      </c>
      <c r="R121" s="2">
        <f>R11/'Output-Calculation-sheet'!R10*'Output-Calculation-sheet'!R100</f>
        <v>0</v>
      </c>
      <c r="S121" s="2">
        <f>S11/'Output-Calculation-sheet'!S10*'Output-Calculation-sheet'!S100</f>
        <v>342846977.3377921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135145330.79612541</v>
      </c>
      <c r="Y121" s="2">
        <f>Y11/'Output-Calculation-sheet'!Y10*'Output-Calculation-sheet'!Y100</f>
        <v>19618834.236994755</v>
      </c>
      <c r="AA121" s="2">
        <f t="shared" si="10"/>
        <v>13518.479460883382</v>
      </c>
    </row>
    <row r="122" spans="1:27" x14ac:dyDescent="0.25">
      <c r="A122" s="2">
        <v>2035</v>
      </c>
      <c r="B122" s="2">
        <f>B12/'Output-Calculation-sheet'!B11*'Output-Calculation-sheet'!B101</f>
        <v>1733702179.7131846</v>
      </c>
      <c r="C122" s="2">
        <f>C12/'Output-Calculation-sheet'!C11*'Output-Calculation-sheet'!C101</f>
        <v>359794428.26774925</v>
      </c>
      <c r="D122" s="2">
        <f>D12/'Output-Calculation-sheet'!D11*'Output-Calculation-sheet'!D101</f>
        <v>0</v>
      </c>
      <c r="E122" s="2">
        <f>E12/'Output-Calculation-sheet'!E11*'Output-Calculation-sheet'!E101</f>
        <v>2973379375.488502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623630309.77941537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1580811072.4007213</v>
      </c>
      <c r="M122" s="2">
        <f>M12/'Output-Calculation-sheet'!M11*'Output-Calculation-sheet'!M101</f>
        <v>555777447.68771517</v>
      </c>
      <c r="N122" s="2">
        <f>N12/'Output-Calculation-sheet'!N11*'Output-Calculation-sheet'!N101</f>
        <v>462742820.05859596</v>
      </c>
      <c r="O122" s="2">
        <f>O12/'Output-Calculation-sheet'!O11*'Output-Calculation-sheet'!O101</f>
        <v>61481609.160786688</v>
      </c>
      <c r="P122" s="2">
        <f>P12/'Output-Calculation-sheet'!P11*'Output-Calculation-sheet'!P101</f>
        <v>75673706.569522366</v>
      </c>
      <c r="Q122" s="2">
        <f>Q12/'Output-Calculation-sheet'!Q11*'Output-Calculation-sheet'!Q101</f>
        <v>703803437.81363726</v>
      </c>
      <c r="R122" s="2">
        <f>R12/'Output-Calculation-sheet'!R11*'Output-Calculation-sheet'!R101</f>
        <v>0</v>
      </c>
      <c r="S122" s="2">
        <f>S12/'Output-Calculation-sheet'!S11*'Output-Calculation-sheet'!S101</f>
        <v>207775203.6926595</v>
      </c>
      <c r="T122" s="2">
        <f>T12/'Output-Calculation-sheet'!T11*'Output-Calculation-sheet'!T101</f>
        <v>0</v>
      </c>
      <c r="U122" s="2">
        <f>U12/'Output-Calculation-sheet'!U11*'Output-Calculation-sheet'!U101</f>
        <v>87730197.653594792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18193709.868058782</v>
      </c>
      <c r="Y122" s="2">
        <f>Y12/'Output-Calculation-sheet'!Y11*'Output-Calculation-sheet'!Y101</f>
        <v>89341922.735657513</v>
      </c>
      <c r="AA122" s="2">
        <f t="shared" si="10"/>
        <v>9533.8374208897985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2237582654.09377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147080.4071860931</v>
      </c>
    </row>
    <row r="130" spans="1:27" x14ac:dyDescent="0.25">
      <c r="A130" s="2">
        <v>2032</v>
      </c>
      <c r="B130" s="2">
        <f>B9/'Output-Calculation-sheet'!B8*'Output-Calculation-sheet'!B107</f>
        <v>53808565238.695099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1955671560.0236855</v>
      </c>
      <c r="O130" s="2">
        <f>O9/'Output-Calculation-sheet'!O8*'Output-Calculation-sheet'!O107</f>
        <v>0</v>
      </c>
      <c r="P130" s="2">
        <f>P9/'Output-Calculation-sheet'!P8*'Output-Calculation-sheet'!P107</f>
        <v>5973238768.0553551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1738627334.9801173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189497.58251724177</v>
      </c>
    </row>
    <row r="131" spans="1:27" x14ac:dyDescent="0.25">
      <c r="A131" s="2">
        <v>2033</v>
      </c>
      <c r="B131" s="2">
        <f>B10/'Output-Calculation-sheet'!B9*'Output-Calculation-sheet'!B108</f>
        <v>45757677727.113403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1676685349.4466996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6504955843.3831549</v>
      </c>
      <c r="R131" s="2">
        <f>R10/'Output-Calculation-sheet'!R9*'Output-Calculation-sheet'!R108</f>
        <v>7299043113.6413479</v>
      </c>
      <c r="S131" s="2">
        <f>S10/'Output-Calculation-sheet'!S9*'Output-Calculation-sheet'!S108</f>
        <v>1626295438.5323699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218393.97948467027</v>
      </c>
    </row>
    <row r="132" spans="1:27" x14ac:dyDescent="0.25">
      <c r="A132" s="2">
        <v>2034</v>
      </c>
      <c r="B132" s="2">
        <f>B11/'Output-Calculation-sheet'!B10*'Output-Calculation-sheet'!B109</f>
        <v>35627594167.307434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34309521276.395142</v>
      </c>
      <c r="F132" s="2">
        <f>F11/'Output-Calculation-sheet'!F10*'Output-Calculation-sheet'!F109</f>
        <v>22628488675.058453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14098786843.779921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10497752911.752335</v>
      </c>
      <c r="M132" s="2">
        <f>M11/'Output-Calculation-sheet'!M10*'Output-Calculation-sheet'!M109</f>
        <v>0</v>
      </c>
      <c r="N132" s="2">
        <f>N11/'Output-Calculation-sheet'!N10*'Output-Calculation-sheet'!N109</f>
        <v>1380209428.5397401</v>
      </c>
      <c r="O132" s="2">
        <f>O11/'Output-Calculation-sheet'!O10*'Output-Calculation-sheet'!O109</f>
        <v>0</v>
      </c>
      <c r="P132" s="2">
        <f>P11/'Output-Calculation-sheet'!P10*'Output-Calculation-sheet'!P109</f>
        <v>7843674157.2722301</v>
      </c>
      <c r="Q132" s="2">
        <f>Q11/'Output-Calculation-sheet'!Q10*'Output-Calculation-sheet'!Q109</f>
        <v>5052280314.6540794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947251788.05786026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987359639.43192792</v>
      </c>
      <c r="AA132" s="2">
        <f t="shared" si="11"/>
        <v>241460.58628574843</v>
      </c>
    </row>
    <row r="133" spans="1:27" x14ac:dyDescent="0.25">
      <c r="A133" s="2">
        <v>2035</v>
      </c>
      <c r="B133" s="2">
        <f>B12/'Output-Calculation-sheet'!B11*'Output-Calculation-sheet'!B110</f>
        <v>580149989.15664899</v>
      </c>
      <c r="C133" s="2">
        <f>C12/'Output-Calculation-sheet'!C11*'Output-Calculation-sheet'!C110</f>
        <v>0</v>
      </c>
      <c r="D133" s="2">
        <f>D12/'Output-Calculation-sheet'!D11*'Output-Calculation-sheet'!D110</f>
        <v>49760623104.433388</v>
      </c>
      <c r="E133" s="2">
        <f>E12/'Output-Calculation-sheet'!E11*'Output-Calculation-sheet'!E110</f>
        <v>21314812753.907913</v>
      </c>
      <c r="F133" s="2">
        <f>F12/'Output-Calculation-sheet'!F11*'Output-Calculation-sheet'!F110</f>
        <v>26160590122.986019</v>
      </c>
      <c r="G133" s="2">
        <f>G12/'Output-Calculation-sheet'!G11*'Output-Calculation-sheet'!G110</f>
        <v>18134619374.726788</v>
      </c>
      <c r="H133" s="2">
        <f>H12/'Output-Calculation-sheet'!H11*'Output-Calculation-sheet'!H110</f>
        <v>0</v>
      </c>
      <c r="I133" s="2">
        <f>I12/'Output-Calculation-sheet'!I11*'Output-Calculation-sheet'!I110</f>
        <v>16467886510.67094</v>
      </c>
      <c r="J133" s="2">
        <f>J12/'Output-Calculation-sheet'!J11*'Output-Calculation-sheet'!J110</f>
        <v>15944671824.681877</v>
      </c>
      <c r="K133" s="2">
        <f>K12/'Output-Calculation-sheet'!K11*'Output-Calculation-sheet'!K110</f>
        <v>16025667501.95546</v>
      </c>
      <c r="L133" s="2">
        <f>L12/'Output-Calculation-sheet'!L11*'Output-Calculation-sheet'!L110</f>
        <v>9328804300.4001026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3536239703.8496904</v>
      </c>
      <c r="Q133" s="2">
        <f>Q12/'Output-Calculation-sheet'!Q11*'Output-Calculation-sheet'!Q110</f>
        <v>2975064437.1434836</v>
      </c>
      <c r="R133" s="2">
        <f>R12/'Output-Calculation-sheet'!R11*'Output-Calculation-sheet'!R110</f>
        <v>10461534445.104677</v>
      </c>
      <c r="S133" s="2">
        <f>S12/'Output-Calculation-sheet'!S11*'Output-Calculation-sheet'!S110</f>
        <v>7037876.7364110751</v>
      </c>
      <c r="T133" s="2">
        <f>T12/'Output-Calculation-sheet'!T11*'Output-Calculation-sheet'!T110</f>
        <v>3900838197.2677417</v>
      </c>
      <c r="U133" s="2">
        <f>U12/'Output-Calculation-sheet'!U11*'Output-Calculation-sheet'!U110</f>
        <v>3160488001.9691091</v>
      </c>
      <c r="V133" s="2">
        <f>V12/'Output-Calculation-sheet'!V11*'Output-Calculation-sheet'!V110</f>
        <v>2627548721.7391162</v>
      </c>
      <c r="W133" s="2">
        <f>W12/'Output-Calculation-sheet'!W11*'Output-Calculation-sheet'!W110</f>
        <v>2291987920.7395248</v>
      </c>
      <c r="X133" s="2">
        <f>X12/'Output-Calculation-sheet'!X11*'Output-Calculation-sheet'!X110</f>
        <v>0</v>
      </c>
      <c r="Y133" s="2">
        <f>Y12/'Output-Calculation-sheet'!Y11*'Output-Calculation-sheet'!Y110</f>
        <v>525734202.77932024</v>
      </c>
      <c r="AA133" s="2">
        <f t="shared" si="11"/>
        <v>203204.29899024827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14553699425.663927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4575316506.802907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3145004259.7022982</v>
      </c>
      <c r="N140" s="2">
        <f>N8/'Output-Calculation-sheet'!N7*'Output-Calculation-sheet'!N115</f>
        <v>1187363764.3659823</v>
      </c>
      <c r="O140" s="2">
        <f>O8/'Output-Calculation-sheet'!O7*'Output-Calculation-sheet'!O115</f>
        <v>3492816998.3732224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341509702.8436904</v>
      </c>
      <c r="Y140" s="2">
        <f>Y8/'Output-Calculation-sheet'!Y7*'Output-Calculation-sheet'!Y115</f>
        <v>0</v>
      </c>
      <c r="AA140" s="2">
        <f t="shared" si="12"/>
        <v>27295.710657752024</v>
      </c>
    </row>
    <row r="141" spans="1:27" x14ac:dyDescent="0.25">
      <c r="A141" s="2">
        <v>2032</v>
      </c>
      <c r="B141" s="2">
        <f>B9/'Output-Calculation-sheet'!B8*'Output-Calculation-sheet'!B116</f>
        <v>6151560617.1657057</v>
      </c>
      <c r="C141" s="2">
        <f>C9/'Output-Calculation-sheet'!C8*'Output-Calculation-sheet'!C116</f>
        <v>26332316772.244061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6864720792.7581997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4713194860.3597193</v>
      </c>
      <c r="N141" s="2">
        <f>N9/'Output-Calculation-sheet'!N8*'Output-Calculation-sheet'!N116</f>
        <v>3272192468.7862191</v>
      </c>
      <c r="O141" s="2">
        <f>O9/'Output-Calculation-sheet'!O8*'Output-Calculation-sheet'!O116</f>
        <v>5111257447.3561478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1465647726.795902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513014699.17324573</v>
      </c>
      <c r="Y141" s="2">
        <f>Y9/'Output-Calculation-sheet'!Y8*'Output-Calculation-sheet'!Y116</f>
        <v>0</v>
      </c>
      <c r="AA141" s="2">
        <f t="shared" si="12"/>
        <v>54423.905384639198</v>
      </c>
    </row>
    <row r="142" spans="1:27" x14ac:dyDescent="0.25">
      <c r="A142" s="2">
        <v>2033</v>
      </c>
      <c r="B142" s="2">
        <f>B10/'Output-Calculation-sheet'!B9*'Output-Calculation-sheet'!B117</f>
        <v>33198633628.665924</v>
      </c>
      <c r="C142" s="2">
        <f>C10/'Output-Calculation-sheet'!C9*'Output-Calculation-sheet'!C117</f>
        <v>35056385336.647881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10857221476.390984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7460942639.5102358</v>
      </c>
      <c r="N142" s="2">
        <f>N10/'Output-Calculation-sheet'!N9*'Output-Calculation-sheet'!N117</f>
        <v>5628176053.4599075</v>
      </c>
      <c r="O142" s="2">
        <f>O10/'Output-Calculation-sheet'!O9*'Output-Calculation-sheet'!O117</f>
        <v>6803999484.9417324</v>
      </c>
      <c r="P142" s="2">
        <f>P10/'Output-Calculation-sheet'!P9*'Output-Calculation-sheet'!P117</f>
        <v>0</v>
      </c>
      <c r="Q142" s="2">
        <f>Q10/'Output-Calculation-sheet'!Q9*'Output-Calculation-sheet'!Q117</f>
        <v>1074921917.4647188</v>
      </c>
      <c r="R142" s="2">
        <f>R10/'Output-Calculation-sheet'!R9*'Output-Calculation-sheet'!R117</f>
        <v>0</v>
      </c>
      <c r="S142" s="2">
        <f>S10/'Output-Calculation-sheet'!S9*'Output-Calculation-sheet'!S117</f>
        <v>2736676702.615571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817928119.24258924</v>
      </c>
      <c r="Y142" s="2">
        <f>Y10/'Output-Calculation-sheet'!Y9*'Output-Calculation-sheet'!Y117</f>
        <v>0</v>
      </c>
      <c r="AA142" s="2">
        <f t="shared" si="12"/>
        <v>103634.88535893953</v>
      </c>
    </row>
    <row r="143" spans="1:27" x14ac:dyDescent="0.25">
      <c r="A143" s="2">
        <v>2034</v>
      </c>
      <c r="B143" s="2">
        <f>B11/'Output-Calculation-sheet'!B10*'Output-Calculation-sheet'!B118</f>
        <v>63800705402.92189</v>
      </c>
      <c r="C143" s="2">
        <f>C11/'Output-Calculation-sheet'!C10*'Output-Calculation-sheet'!C118</f>
        <v>48976238261.606728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13576456908.751465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9324461532.9338665</v>
      </c>
      <c r="N143" s="2">
        <f>N11/'Output-Calculation-sheet'!N10*'Output-Calculation-sheet'!N118</f>
        <v>8204778135.757514</v>
      </c>
      <c r="O143" s="2">
        <f>O11/'Output-Calculation-sheet'!O10*'Output-Calculation-sheet'!O118</f>
        <v>9514722495.4577255</v>
      </c>
      <c r="P143" s="2">
        <f>P11/'Output-Calculation-sheet'!P10*'Output-Calculation-sheet'!P118</f>
        <v>1716149241.5468435</v>
      </c>
      <c r="Q143" s="2">
        <f>Q11/'Output-Calculation-sheet'!Q10*'Output-Calculation-sheet'!Q118</f>
        <v>4044355052.1924605</v>
      </c>
      <c r="R143" s="2">
        <f>R11/'Output-Calculation-sheet'!R10*'Output-Calculation-sheet'!R118</f>
        <v>0</v>
      </c>
      <c r="S143" s="2">
        <f>S11/'Output-Calculation-sheet'!S10*'Output-Calculation-sheet'!S118</f>
        <v>4724302615.5971622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1023684005.6656677</v>
      </c>
      <c r="Y143" s="2">
        <f>Y11/'Output-Calculation-sheet'!Y10*'Output-Calculation-sheet'!Y118</f>
        <v>119960651.5080678</v>
      </c>
      <c r="AA143" s="2">
        <f t="shared" si="12"/>
        <v>165025.81430393943</v>
      </c>
    </row>
    <row r="144" spans="1:27" x14ac:dyDescent="0.25">
      <c r="A144" s="2">
        <v>2035</v>
      </c>
      <c r="B144" s="2">
        <f>B12/'Output-Calculation-sheet'!B11*'Output-Calculation-sheet'!B119</f>
        <v>124306053712.58415</v>
      </c>
      <c r="C144" s="2">
        <f>C12/'Output-Calculation-sheet'!C11*'Output-Calculation-sheet'!C119</f>
        <v>59467136943.448273</v>
      </c>
      <c r="D144" s="2">
        <f>D12/'Output-Calculation-sheet'!D11*'Output-Calculation-sheet'!D119</f>
        <v>0</v>
      </c>
      <c r="E144" s="2">
        <f>E12/'Output-Calculation-sheet'!E11*'Output-Calculation-sheet'!E119</f>
        <v>17713484402.842678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17979644523.78162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2283112372.0840487</v>
      </c>
      <c r="M144" s="2">
        <f>M12/'Output-Calculation-sheet'!M11*'Output-Calculation-sheet'!M119</f>
        <v>12271368713.665545</v>
      </c>
      <c r="N144" s="2">
        <f>N12/'Output-Calculation-sheet'!N11*'Output-Calculation-sheet'!N119</f>
        <v>12123605421.905531</v>
      </c>
      <c r="O144" s="2">
        <f>O12/'Output-Calculation-sheet'!O11*'Output-Calculation-sheet'!O119</f>
        <v>11558187980.092569</v>
      </c>
      <c r="P144" s="2">
        <f>P12/'Output-Calculation-sheet'!P11*'Output-Calculation-sheet'!P119</f>
        <v>7845378165.5664988</v>
      </c>
      <c r="Q144" s="2">
        <f>Q12/'Output-Calculation-sheet'!Q11*'Output-Calculation-sheet'!Q119</f>
        <v>7429915304.8895464</v>
      </c>
      <c r="R144" s="2">
        <f>R12/'Output-Calculation-sheet'!R11*'Output-Calculation-sheet'!R119</f>
        <v>0</v>
      </c>
      <c r="S144" s="2">
        <f>S12/'Output-Calculation-sheet'!S11*'Output-Calculation-sheet'!S119</f>
        <v>6989869977.2988224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1375864160.8173409</v>
      </c>
      <c r="Y144" s="2">
        <f>Y12/'Output-Calculation-sheet'!Y11*'Output-Calculation-sheet'!Y119</f>
        <v>734687554.85608625</v>
      </c>
      <c r="AA144" s="2">
        <f t="shared" si="12"/>
        <v>282078.30923383264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4390068914.2955952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190899.26933179848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3620785176.9653664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157447.4786247458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642189399.35206103</v>
      </c>
      <c r="C155" s="2">
        <f>C12/'Output-Calculation-sheet'!C11*'Output-Calculation-sheet'!C128</f>
        <v>69188371.944014147</v>
      </c>
      <c r="D155" s="2">
        <f>D12/'Output-Calculation-sheet'!D11*'Output-Calculation-sheet'!D128</f>
        <v>4613956510.8033524</v>
      </c>
      <c r="E155" s="2">
        <f>E12/'Output-Calculation-sheet'!E11*'Output-Calculation-sheet'!E128</f>
        <v>748905031.95570326</v>
      </c>
      <c r="F155" s="2">
        <f>F12/'Output-Calculation-sheet'!F11*'Output-Calculation-sheet'!F128</f>
        <v>1685389841.0998826</v>
      </c>
      <c r="G155" s="2">
        <f>G12/'Output-Calculation-sheet'!G11*'Output-Calculation-sheet'!G128</f>
        <v>1542307507.1484582</v>
      </c>
      <c r="H155" s="2">
        <f>H12/'Output-Calculation-sheet'!H11*'Output-Calculation-sheet'!H128</f>
        <v>119252852.09822075</v>
      </c>
      <c r="I155" s="2">
        <f>I12/'Output-Calculation-sheet'!I11*'Output-Calculation-sheet'!I128</f>
        <v>1415210206.362061</v>
      </c>
      <c r="J155" s="2">
        <f>J12/'Output-Calculation-sheet'!J11*'Output-Calculation-sheet'!J128</f>
        <v>1283221042.957293</v>
      </c>
      <c r="K155" s="2">
        <f>K12/'Output-Calculation-sheet'!K11*'Output-Calculation-sheet'!K128</f>
        <v>1111248292.5586386</v>
      </c>
      <c r="L155" s="2">
        <f>L12/'Output-Calculation-sheet'!L11*'Output-Calculation-sheet'!L128</f>
        <v>418620438.12920249</v>
      </c>
      <c r="M155" s="2">
        <f>M12/'Output-Calculation-sheet'!M11*'Output-Calculation-sheet'!M128</f>
        <v>98360093.351536572</v>
      </c>
      <c r="N155" s="2">
        <f>N12/'Output-Calculation-sheet'!N11*'Output-Calculation-sheet'!N128</f>
        <v>86924894.838633999</v>
      </c>
      <c r="O155" s="2">
        <f>O12/'Output-Calculation-sheet'!O11*'Output-Calculation-sheet'!O128</f>
        <v>17901061.149524238</v>
      </c>
      <c r="P155" s="2">
        <f>P12/'Output-Calculation-sheet'!P11*'Output-Calculation-sheet'!P128</f>
        <v>114040561.09584785</v>
      </c>
      <c r="Q155" s="2">
        <f>Q12/'Output-Calculation-sheet'!Q11*'Output-Calculation-sheet'!Q128</f>
        <v>289090180.9398973</v>
      </c>
      <c r="R155" s="2">
        <f>R12/'Output-Calculation-sheet'!R11*'Output-Calculation-sheet'!R128</f>
        <v>642461157.50689662</v>
      </c>
      <c r="S155" s="2">
        <f>S12/'Output-Calculation-sheet'!S11*'Output-Calculation-sheet'!S128</f>
        <v>55490180.557097428</v>
      </c>
      <c r="T155" s="2">
        <f>T12/'Output-Calculation-sheet'!T11*'Output-Calculation-sheet'!T128</f>
        <v>164513442.21051425</v>
      </c>
      <c r="U155" s="2">
        <f>U12/'Output-Calculation-sheet'!U11*'Output-Calculation-sheet'!U128</f>
        <v>337205369.26448286</v>
      </c>
      <c r="V155" s="2">
        <f>V12/'Output-Calculation-sheet'!V11*'Output-Calculation-sheet'!V128</f>
        <v>74063828.951274857</v>
      </c>
      <c r="W155" s="2">
        <f>W12/'Output-Calculation-sheet'!W11*'Output-Calculation-sheet'!W128</f>
        <v>90124866.76676701</v>
      </c>
      <c r="X155" s="2">
        <f>X12/'Output-Calculation-sheet'!X11*'Output-Calculation-sheet'!X128</f>
        <v>3078886.2696678042</v>
      </c>
      <c r="Y155" s="2">
        <f>Y12/'Output-Calculation-sheet'!Y11*'Output-Calculation-sheet'!Y128</f>
        <v>18138955.913463194</v>
      </c>
      <c r="AA155" s="2">
        <f t="shared" si="13"/>
        <v>15640.882973224489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4881.608264343773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1478.6978432080109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1027.1622304222606</v>
      </c>
      <c r="N19" s="2">
        <f>N8/'Output-Calculation-sheet'!N7*'Output-Calculation-sheet'!N25</f>
        <v>854.47759510222943</v>
      </c>
      <c r="O19" s="2">
        <f>O8/'Output-Calculation-sheet'!O7*'Output-Calculation-sheet'!O25</f>
        <v>536.27705241256865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111.16752612949178</v>
      </c>
      <c r="Y19" s="2">
        <f>Y8/'Output-Calculation-sheet'!Y7*'Output-Calculation-sheet'!Y25</f>
        <v>0</v>
      </c>
      <c r="AA19" s="2">
        <f t="shared" si="0"/>
        <v>10.322105606140521</v>
      </c>
    </row>
    <row r="20" spans="1:27" x14ac:dyDescent="0.25">
      <c r="A20" s="2">
        <v>2032</v>
      </c>
      <c r="B20" s="2">
        <f>B9/'Output-Calculation-sheet'!B8*'Output-Calculation-sheet'!B26</f>
        <v>4796.0779082769204</v>
      </c>
      <c r="C20" s="2">
        <f>C9/'Output-Calculation-sheet'!C8*'Output-Calculation-sheet'!C26</f>
        <v>2630.052035176408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1578.8332230573078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1103.2995524798803</v>
      </c>
      <c r="N20" s="2">
        <f>N9/'Output-Calculation-sheet'!N8*'Output-Calculation-sheet'!N26</f>
        <v>764.61665461607947</v>
      </c>
      <c r="O20" s="2">
        <f>O9/'Output-Calculation-sheet'!O8*'Output-Calculation-sheet'!O26</f>
        <v>513.86342726874045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362.69836546599396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120.05510492308157</v>
      </c>
      <c r="Y20" s="2">
        <f>Y9/'Output-Calculation-sheet'!Y8*'Output-Calculation-sheet'!Y26</f>
        <v>0</v>
      </c>
      <c r="AA20" s="2">
        <f t="shared" si="0"/>
        <v>11.869496271264413</v>
      </c>
    </row>
    <row r="21" spans="1:27" x14ac:dyDescent="0.25">
      <c r="A21" s="2">
        <v>2033</v>
      </c>
      <c r="B21" s="2">
        <f>B10/'Output-Calculation-sheet'!B9*'Output-Calculation-sheet'!B27</f>
        <v>4052.9865366598092</v>
      </c>
      <c r="C21" s="2">
        <f>C10/'Output-Calculation-sheet'!C9*'Output-Calculation-sheet'!C27</f>
        <v>2491.1370486650203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816.78602518787761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578.12788656197449</v>
      </c>
      <c r="N21" s="2">
        <f>N10/'Output-Calculation-sheet'!N9*'Output-Calculation-sheet'!N27</f>
        <v>585.46854506772615</v>
      </c>
      <c r="O21" s="2">
        <f>O10/'Output-Calculation-sheet'!O9*'Output-Calculation-sheet'!O27</f>
        <v>487.71122595375959</v>
      </c>
      <c r="P21" s="2">
        <f>P10/'Output-Calculation-sheet'!P9*'Output-Calculation-sheet'!P27</f>
        <v>0</v>
      </c>
      <c r="Q21" s="2">
        <f>Q10/'Output-Calculation-sheet'!Q9*'Output-Calculation-sheet'!Q27</f>
        <v>7.0910880389286053</v>
      </c>
      <c r="R21" s="2">
        <f>R10/'Output-Calculation-sheet'!R9*'Output-Calculation-sheet'!R27</f>
        <v>0</v>
      </c>
      <c r="S21" s="2">
        <f>S10/'Output-Calculation-sheet'!S9*'Output-Calculation-sheet'!S27</f>
        <v>278.77844455407143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57.728554108329078</v>
      </c>
      <c r="Y21" s="2">
        <f>Y10/'Output-Calculation-sheet'!Y9*'Output-Calculation-sheet'!Y27</f>
        <v>0</v>
      </c>
      <c r="AA21" s="2">
        <f t="shared" si="0"/>
        <v>9.3558153547974943</v>
      </c>
    </row>
    <row r="22" spans="1:27" x14ac:dyDescent="0.25">
      <c r="A22" s="2">
        <v>2034</v>
      </c>
      <c r="B22" s="2">
        <f>B11/'Output-Calculation-sheet'!B10*'Output-Calculation-sheet'!B28</f>
        <v>2988.6931818324942</v>
      </c>
      <c r="C22" s="2">
        <f>C11/'Output-Calculation-sheet'!C10*'Output-Calculation-sheet'!C28</f>
        <v>303.76864747178263</v>
      </c>
      <c r="D22" s="2">
        <f>D11/'Output-Calculation-sheet'!D10*'Output-Calculation-sheet'!D28</f>
        <v>0</v>
      </c>
      <c r="E22" s="2">
        <f>E11/'Output-Calculation-sheet'!E10*'Output-Calculation-sheet'!E28</f>
        <v>1008.6760519296655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799.84664805574607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611.72966582993581</v>
      </c>
      <c r="M22" s="2">
        <f>M11/'Output-Calculation-sheet'!M10*'Output-Calculation-sheet'!M28</f>
        <v>569.2478106597863</v>
      </c>
      <c r="N22" s="2">
        <f>N11/'Output-Calculation-sheet'!N10*'Output-Calculation-sheet'!N28</f>
        <v>380.54540908828346</v>
      </c>
      <c r="O22" s="2">
        <f>O11/'Output-Calculation-sheet'!O10*'Output-Calculation-sheet'!O28</f>
        <v>59.584927162094608</v>
      </c>
      <c r="P22" s="2">
        <f>P11/'Output-Calculation-sheet'!P10*'Output-Calculation-sheet'!P28</f>
        <v>0</v>
      </c>
      <c r="Q22" s="2">
        <f>Q11/'Output-Calculation-sheet'!Q10*'Output-Calculation-sheet'!Q28</f>
        <v>194.36189869872894</v>
      </c>
      <c r="R22" s="2">
        <f>R11/'Output-Calculation-sheet'!R10*'Output-Calculation-sheet'!R28</f>
        <v>0</v>
      </c>
      <c r="S22" s="2">
        <f>S11/'Output-Calculation-sheet'!S10*'Output-Calculation-sheet'!S28</f>
        <v>142.48827401522388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55.932560817240443</v>
      </c>
      <c r="Y22" s="2">
        <f>Y11/'Output-Calculation-sheet'!Y10*'Output-Calculation-sheet'!Y28</f>
        <v>22.799691594202898</v>
      </c>
      <c r="AA22" s="2">
        <f t="shared" si="0"/>
        <v>7.1376747671551843</v>
      </c>
    </row>
    <row r="23" spans="1:27" x14ac:dyDescent="0.25">
      <c r="A23" s="2">
        <v>2035</v>
      </c>
      <c r="B23" s="2">
        <f>B12/'Output-Calculation-sheet'!B11*'Output-Calculation-sheet'!B29</f>
        <v>560.80916847216633</v>
      </c>
      <c r="C23" s="2">
        <f>C12/'Output-Calculation-sheet'!C11*'Output-Calculation-sheet'!C29</f>
        <v>116.3834414999863</v>
      </c>
      <c r="D23" s="2">
        <f>D12/'Output-Calculation-sheet'!D11*'Output-Calculation-sheet'!D29</f>
        <v>0</v>
      </c>
      <c r="E23" s="2">
        <f>E12/'Output-Calculation-sheet'!E11*'Output-Calculation-sheet'!E29</f>
        <v>1434.4038351103113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201.72939221455951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827.02849471480738</v>
      </c>
      <c r="M23" s="2">
        <f>M12/'Output-Calculation-sheet'!M11*'Output-Calculation-sheet'!M29</f>
        <v>179.78042079812892</v>
      </c>
      <c r="N23" s="2">
        <f>N12/'Output-Calculation-sheet'!N11*'Output-Calculation-sheet'!N29</f>
        <v>149.68560091722156</v>
      </c>
      <c r="O23" s="2">
        <f>O12/'Output-Calculation-sheet'!O11*'Output-Calculation-sheet'!O29</f>
        <v>19.887728419805907</v>
      </c>
      <c r="P23" s="2">
        <f>P12/'Output-Calculation-sheet'!P11*'Output-Calculation-sheet'!P29</f>
        <v>31.15071109757433</v>
      </c>
      <c r="Q23" s="2">
        <f>Q12/'Output-Calculation-sheet'!Q11*'Output-Calculation-sheet'!Q29</f>
        <v>255.16215788760596</v>
      </c>
      <c r="R23" s="2">
        <f>R12/'Output-Calculation-sheet'!R11*'Output-Calculation-sheet'!R29</f>
        <v>0</v>
      </c>
      <c r="S23" s="2">
        <f>S12/'Output-Calculation-sheet'!S11*'Output-Calculation-sheet'!S29</f>
        <v>67.210075117662484</v>
      </c>
      <c r="T23" s="2">
        <f>T12/'Output-Calculation-sheet'!T11*'Output-Calculation-sheet'!T29</f>
        <v>0</v>
      </c>
      <c r="U23" s="2">
        <f>U12/'Output-Calculation-sheet'!U11*'Output-Calculation-sheet'!U29</f>
        <v>90.489677641032927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5.8851976085347211</v>
      </c>
      <c r="Y23" s="2">
        <f>Y12/'Output-Calculation-sheet'!Y11*'Output-Calculation-sheet'!Y29</f>
        <v>37.436032530444855</v>
      </c>
      <c r="AA23" s="2">
        <f t="shared" si="0"/>
        <v>3.9770419340298431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974.08638360751979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38.191447030866669</v>
      </c>
    </row>
    <row r="31" spans="1:27" x14ac:dyDescent="0.25">
      <c r="A31" s="2">
        <v>2032</v>
      </c>
      <c r="B31" s="2">
        <f>B9/'Output-Calculation-sheet'!B8*'Output-Calculation-sheet'!B17</f>
        <v>20164.697520459653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788.46092500832822</v>
      </c>
      <c r="O31" s="2">
        <f>O9/'Output-Calculation-sheet'!O8*'Output-Calculation-sheet'!O17</f>
        <v>0</v>
      </c>
      <c r="P31" s="2">
        <f>P9/'Output-Calculation-sheet'!P8*'Output-Calculation-sheet'!P17</f>
        <v>1970.7778684998877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652.58370122666634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46.199862612498954</v>
      </c>
    </row>
    <row r="32" spans="1:27" x14ac:dyDescent="0.25">
      <c r="A32" s="2">
        <v>2033</v>
      </c>
      <c r="B32" s="2">
        <f>B10/'Output-Calculation-sheet'!B9*'Output-Calculation-sheet'!B18</f>
        <v>14660.723848860351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2295.0227559662871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593.39560405945178</v>
      </c>
      <c r="O32" s="2">
        <f>O10/'Output-Calculation-sheet'!O9*'Output-Calculation-sheet'!O18</f>
        <v>0</v>
      </c>
      <c r="P32" s="2">
        <f>P10/'Output-Calculation-sheet'!P9*'Output-Calculation-sheet'!P18</f>
        <v>2362.2780977619709</v>
      </c>
      <c r="Q32" s="2">
        <f>Q10/'Output-Calculation-sheet'!Q9*'Output-Calculation-sheet'!Q18</f>
        <v>2187.1039599119031</v>
      </c>
      <c r="R32" s="2">
        <f>R10/'Output-Calculation-sheet'!R9*'Output-Calculation-sheet'!R18</f>
        <v>1696.708561836745</v>
      </c>
      <c r="S32" s="2">
        <f>S10/'Output-Calculation-sheet'!S9*'Output-Calculation-sheet'!S18</f>
        <v>539.81460308312876</v>
      </c>
      <c r="T32" s="2">
        <f>T10/'Output-Calculation-sheet'!T9*'Output-Calculation-sheet'!T18</f>
        <v>495.27674264396688</v>
      </c>
      <c r="U32" s="2">
        <f>U10/'Output-Calculation-sheet'!U9*'Output-Calculation-sheet'!U18</f>
        <v>547.52173343068159</v>
      </c>
      <c r="V32" s="2">
        <f>V10/'Output-Calculation-sheet'!V9*'Output-Calculation-sheet'!V18</f>
        <v>404.14023175770359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233.99982096006264</v>
      </c>
      <c r="AA32" s="2">
        <f t="shared" si="1"/>
        <v>46.607635766982533</v>
      </c>
    </row>
    <row r="33" spans="1:27" x14ac:dyDescent="0.25">
      <c r="A33" s="2">
        <v>2034</v>
      </c>
      <c r="B33" s="2">
        <f>B11/'Output-Calculation-sheet'!B10*'Output-Calculation-sheet'!B19</f>
        <v>9133.5138703574994</v>
      </c>
      <c r="C33" s="2">
        <f>C11/'Output-Calculation-sheet'!C10*'Output-Calculation-sheet'!C19</f>
        <v>0</v>
      </c>
      <c r="D33" s="2">
        <f>D11/'Output-Calculation-sheet'!D10*'Output-Calculation-sheet'!D19</f>
        <v>6053.8692480503651</v>
      </c>
      <c r="E33" s="2">
        <f>E11/'Output-Calculation-sheet'!E10*'Output-Calculation-sheet'!E19</f>
        <v>7505.2693363467279</v>
      </c>
      <c r="F33" s="2">
        <f>F11/'Output-Calculation-sheet'!F10*'Output-Calculation-sheet'!F19</f>
        <v>3436.5427515419246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2248.7888753999832</v>
      </c>
      <c r="J33" s="2">
        <f>J11/'Output-Calculation-sheet'!J10*'Output-Calculation-sheet'!J19</f>
        <v>1901.4325840456274</v>
      </c>
      <c r="K33" s="2">
        <f>K11/'Output-Calculation-sheet'!K10*'Output-Calculation-sheet'!K19</f>
        <v>2637.2229489104743</v>
      </c>
      <c r="L33" s="2">
        <f>L11/'Output-Calculation-sheet'!L10*'Output-Calculation-sheet'!L19</f>
        <v>2145.1921040498282</v>
      </c>
      <c r="M33" s="2">
        <f>M11/'Output-Calculation-sheet'!M10*'Output-Calculation-sheet'!M19</f>
        <v>0</v>
      </c>
      <c r="N33" s="2">
        <f>N11/'Output-Calculation-sheet'!N10*'Output-Calculation-sheet'!N19</f>
        <v>407.19256806387983</v>
      </c>
      <c r="O33" s="2">
        <f>O11/'Output-Calculation-sheet'!O10*'Output-Calculation-sheet'!O19</f>
        <v>0</v>
      </c>
      <c r="P33" s="2">
        <f>P11/'Output-Calculation-sheet'!P10*'Output-Calculation-sheet'!P19</f>
        <v>2022.2862934780928</v>
      </c>
      <c r="Q33" s="2">
        <f>Q11/'Output-Calculation-sheet'!Q10*'Output-Calculation-sheet'!Q19</f>
        <v>1285.3642870897127</v>
      </c>
      <c r="R33" s="2">
        <f>R11/'Output-Calculation-sheet'!R10*'Output-Calculation-sheet'!R19</f>
        <v>1905.1933318846775</v>
      </c>
      <c r="S33" s="2">
        <f>S11/'Output-Calculation-sheet'!S10*'Output-Calculation-sheet'!S19</f>
        <v>258.85193093804855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642.94563625310195</v>
      </c>
      <c r="V33" s="2">
        <f>V11/'Output-Calculation-sheet'!V10*'Output-Calculation-sheet'!V19</f>
        <v>438.45119979897925</v>
      </c>
      <c r="W33" s="2">
        <f>W11/'Output-Calculation-sheet'!W10*'Output-Calculation-sheet'!W19</f>
        <v>273.000689304535</v>
      </c>
      <c r="X33" s="2">
        <f>X11/'Output-Calculation-sheet'!X10*'Output-Calculation-sheet'!X19</f>
        <v>0</v>
      </c>
      <c r="Y33" s="2">
        <f>Y11/'Output-Calculation-sheet'!Y10*'Output-Calculation-sheet'!Y19</f>
        <v>223.51525642083706</v>
      </c>
      <c r="AA33" s="2">
        <f t="shared" si="1"/>
        <v>45.138453533601087</v>
      </c>
    </row>
    <row r="34" spans="1:27" x14ac:dyDescent="0.25">
      <c r="A34" s="2">
        <v>2035</v>
      </c>
      <c r="B34" s="2">
        <f>B12/'Output-Calculation-sheet'!B11*'Output-Calculation-sheet'!B20</f>
        <v>111.64308015019604</v>
      </c>
      <c r="C34" s="2">
        <f>C12/'Output-Calculation-sheet'!C11*'Output-Calculation-sheet'!C20</f>
        <v>0</v>
      </c>
      <c r="D34" s="2">
        <f>D12/'Output-Calculation-sheet'!D11*'Output-Calculation-sheet'!D20</f>
        <v>5506.6065779359451</v>
      </c>
      <c r="E34" s="2">
        <f>E12/'Output-Calculation-sheet'!E11*'Output-Calculation-sheet'!E20</f>
        <v>2572.6769523865005</v>
      </c>
      <c r="F34" s="2">
        <f>F12/'Output-Calculation-sheet'!F11*'Output-Calculation-sheet'!F20</f>
        <v>3495.1971446835546</v>
      </c>
      <c r="G34" s="2">
        <f>G12/'Output-Calculation-sheet'!G11*'Output-Calculation-sheet'!G20</f>
        <v>1877.0688500483288</v>
      </c>
      <c r="H34" s="2">
        <f>H12/'Output-Calculation-sheet'!H11*'Output-Calculation-sheet'!H20</f>
        <v>0</v>
      </c>
      <c r="I34" s="2">
        <f>I12/'Output-Calculation-sheet'!I11*'Output-Calculation-sheet'!I20</f>
        <v>2085.463343778782</v>
      </c>
      <c r="J34" s="2">
        <f>J12/'Output-Calculation-sheet'!J11*'Output-Calculation-sheet'!J20</f>
        <v>1805.8975667566287</v>
      </c>
      <c r="K34" s="2">
        <f>K12/'Output-Calculation-sheet'!K11*'Output-Calculation-sheet'!K20</f>
        <v>2544.3847606783561</v>
      </c>
      <c r="L34" s="2">
        <f>L12/'Output-Calculation-sheet'!L11*'Output-Calculation-sheet'!L20</f>
        <v>1409.0173584132931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560.23808135927732</v>
      </c>
      <c r="Q34" s="2">
        <f>Q12/'Output-Calculation-sheet'!Q11*'Output-Calculation-sheet'!Q20</f>
        <v>530.04358461861557</v>
      </c>
      <c r="R34" s="2">
        <f>R12/'Output-Calculation-sheet'!R11*'Output-Calculation-sheet'!R20</f>
        <v>1878.4257076688964</v>
      </c>
      <c r="S34" s="2">
        <f>S12/'Output-Calculation-sheet'!S11*'Output-Calculation-sheet'!S20</f>
        <v>1.5031622002177325</v>
      </c>
      <c r="T34" s="2">
        <f>T12/'Output-Calculation-sheet'!T11*'Output-Calculation-sheet'!T20</f>
        <v>560.24828118802463</v>
      </c>
      <c r="U34" s="2">
        <f>U12/'Output-Calculation-sheet'!U11*'Output-Calculation-sheet'!U20</f>
        <v>509.90735654435895</v>
      </c>
      <c r="V34" s="2">
        <f>V12/'Output-Calculation-sheet'!V11*'Output-Calculation-sheet'!V20</f>
        <v>492.13402409305002</v>
      </c>
      <c r="W34" s="2">
        <f>W12/'Output-Calculation-sheet'!W11*'Output-Calculation-sheet'!W20</f>
        <v>299.33783337197343</v>
      </c>
      <c r="X34" s="2">
        <f>X12/'Output-Calculation-sheet'!X11*'Output-Calculation-sheet'!X20</f>
        <v>0</v>
      </c>
      <c r="Y34" s="2">
        <f>Y12/'Output-Calculation-sheet'!Y11*'Output-Calculation-sheet'!Y20</f>
        <v>64.388991338913954</v>
      </c>
      <c r="AA34" s="2">
        <f t="shared" si="1"/>
        <v>26.304182657214916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9.3943051798444491E-2</v>
      </c>
      <c r="E45" s="2">
        <f>E12/'Output-Calculation-sheet'!E11*'Output-Calculation-sheet'!E38*0.0114</f>
        <v>4.977317061148083E-2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8.2290740745645016E-3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0.53243970643935046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0.1285692688107373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150.39832146955382</v>
      </c>
      <c r="R54" s="2">
        <f>R10/'Output-Calculation-sheet'!R9*'Output-Calculation-sheet'!R45</f>
        <v>1125.1134506302985</v>
      </c>
      <c r="S54" s="2">
        <f>S10/'Output-Calculation-sheet'!S9*'Output-Calculation-sheet'!S45</f>
        <v>0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14.033274146285919</v>
      </c>
      <c r="AA54" s="2">
        <f t="shared" si="3"/>
        <v>3.7039641211209604</v>
      </c>
    </row>
    <row r="55" spans="1:27" x14ac:dyDescent="0.25">
      <c r="A55" s="2">
        <v>2034</v>
      </c>
      <c r="B55" s="2">
        <f>B11/'Output-Calculation-sheet'!B10*'Output-Calculation-sheet'!B46</f>
        <v>1118.2379597035986</v>
      </c>
      <c r="C55" s="2">
        <f>C11/'Output-Calculation-sheet'!C10*'Output-Calculation-sheet'!C46</f>
        <v>0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405.55004117051305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300.58521968779769</v>
      </c>
      <c r="N55" s="2">
        <f>N11/'Output-Calculation-sheet'!N10*'Output-Calculation-sheet'!N46</f>
        <v>102.65483975306952</v>
      </c>
      <c r="O55" s="2">
        <f>O11/'Output-Calculation-sheet'!O10*'Output-Calculation-sheet'!O46</f>
        <v>0</v>
      </c>
      <c r="P55" s="2">
        <f>P11/'Output-Calculation-sheet'!P10*'Output-Calculation-sheet'!P46</f>
        <v>2189.1691792979691</v>
      </c>
      <c r="Q55" s="2">
        <f>Q11/'Output-Calculation-sheet'!Q10*'Output-Calculation-sheet'!Q46</f>
        <v>478.54294371386408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0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56.459256336930096</v>
      </c>
      <c r="X55" s="2">
        <f>X11/'Output-Calculation-sheet'!X10*'Output-Calculation-sheet'!X46</f>
        <v>28.688971340638595</v>
      </c>
      <c r="Y55" s="2">
        <f>Y11/'Output-Calculation-sheet'!Y10*'Output-Calculation-sheet'!Y46</f>
        <v>199.53750015251038</v>
      </c>
      <c r="AA55" s="2">
        <f t="shared" si="3"/>
        <v>29.754643950250117</v>
      </c>
    </row>
    <row r="56" spans="1:27" x14ac:dyDescent="0.25">
      <c r="A56" s="2">
        <v>2035</v>
      </c>
      <c r="B56" s="2">
        <f>B12/'Output-Calculation-sheet'!B11*'Output-Calculation-sheet'!B47</f>
        <v>274.40363800961103</v>
      </c>
      <c r="C56" s="2">
        <f>C12/'Output-Calculation-sheet'!C11*'Output-Calculation-sheet'!C47</f>
        <v>223.26568762653241</v>
      </c>
      <c r="D56" s="2">
        <f>D12/'Output-Calculation-sheet'!D11*'Output-Calculation-sheet'!D47</f>
        <v>9075.6679281304278</v>
      </c>
      <c r="E56" s="2">
        <f>E12/'Output-Calculation-sheet'!E11*'Output-Calculation-sheet'!E47</f>
        <v>6308.96767838507</v>
      </c>
      <c r="F56" s="2">
        <f>F12/'Output-Calculation-sheet'!F11*'Output-Calculation-sheet'!F47</f>
        <v>1883.7259158095055</v>
      </c>
      <c r="G56" s="2">
        <f>G12/'Output-Calculation-sheet'!G11*'Output-Calculation-sheet'!G47</f>
        <v>4212.4370567562282</v>
      </c>
      <c r="H56" s="2">
        <f>H12/'Output-Calculation-sheet'!H11*'Output-Calculation-sheet'!H47</f>
        <v>84.001015056244114</v>
      </c>
      <c r="I56" s="2">
        <f>I12/'Output-Calculation-sheet'!I11*'Output-Calculation-sheet'!I47</f>
        <v>2475.3668594680289</v>
      </c>
      <c r="J56" s="2">
        <f>J12/'Output-Calculation-sheet'!J11*'Output-Calculation-sheet'!J47</f>
        <v>2622.5856488218305</v>
      </c>
      <c r="K56" s="2">
        <f>K12/'Output-Calculation-sheet'!K11*'Output-Calculation-sheet'!K47</f>
        <v>3624.5119778262751</v>
      </c>
      <c r="L56" s="2">
        <f>L12/'Output-Calculation-sheet'!L11*'Output-Calculation-sheet'!L47</f>
        <v>2426.2926888184024</v>
      </c>
      <c r="M56" s="2">
        <f>M12/'Output-Calculation-sheet'!M11*'Output-Calculation-sheet'!M47</f>
        <v>55.830388980457265</v>
      </c>
      <c r="N56" s="2">
        <f>N12/'Output-Calculation-sheet'!N11*'Output-Calculation-sheet'!N47</f>
        <v>61.327773145999487</v>
      </c>
      <c r="O56" s="2">
        <f>O12/'Output-Calculation-sheet'!O11*'Output-Calculation-sheet'!O47</f>
        <v>40.964636129609595</v>
      </c>
      <c r="P56" s="2">
        <f>P12/'Output-Calculation-sheet'!P11*'Output-Calculation-sheet'!P47</f>
        <v>790.20336194141623</v>
      </c>
      <c r="Q56" s="2">
        <f>Q12/'Output-Calculation-sheet'!Q11*'Output-Calculation-sheet'!Q47</f>
        <v>583.70483726458474</v>
      </c>
      <c r="R56" s="2">
        <f>R12/'Output-Calculation-sheet'!R11*'Output-Calculation-sheet'!R47</f>
        <v>3296.4352670903768</v>
      </c>
      <c r="S56" s="2">
        <f>S12/'Output-Calculation-sheet'!S11*'Output-Calculation-sheet'!S47</f>
        <v>27.384047960638156</v>
      </c>
      <c r="T56" s="2">
        <f>T12/'Output-Calculation-sheet'!T11*'Output-Calculation-sheet'!T47</f>
        <v>1196.9378972094862</v>
      </c>
      <c r="U56" s="2">
        <f>U12/'Output-Calculation-sheet'!U11*'Output-Calculation-sheet'!U47</f>
        <v>1115.4365538351574</v>
      </c>
      <c r="V56" s="2">
        <f>V12/'Output-Calculation-sheet'!V11*'Output-Calculation-sheet'!V47</f>
        <v>686.57637860183695</v>
      </c>
      <c r="W56" s="2">
        <f>W12/'Output-Calculation-sheet'!W11*'Output-Calculation-sheet'!W47</f>
        <v>406.07215109171545</v>
      </c>
      <c r="X56" s="2">
        <f>X12/'Output-Calculation-sheet'!X11*'Output-Calculation-sheet'!X47</f>
        <v>6.268820607553268</v>
      </c>
      <c r="Y56" s="2">
        <f>Y12/'Output-Calculation-sheet'!Y11*'Output-Calculation-sheet'!Y47</f>
        <v>134.41086166475952</v>
      </c>
      <c r="AA56" s="2">
        <f t="shared" si="3"/>
        <v>41.612779070231738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7.043436261815569</v>
      </c>
      <c r="C63" s="2">
        <f>C8*'Output-Calculation-sheet'!C52/10^9</f>
        <v>3.7629658982780478</v>
      </c>
      <c r="D63" s="2">
        <f>D8*'Output-Calculation-sheet'!D52/10^9</f>
        <v>2.4153452365564503</v>
      </c>
      <c r="E63" s="2">
        <f>E8*'Output-Calculation-sheet'!E52/10^9</f>
        <v>2.4015010531692944</v>
      </c>
      <c r="F63" s="2">
        <f>F8*'Output-Calculation-sheet'!F52/10^9</f>
        <v>1.0170354974861222</v>
      </c>
      <c r="G63" s="2">
        <f>G8*'Output-Calculation-sheet'!G52/10^9</f>
        <v>0.73120257695218749</v>
      </c>
      <c r="H63" s="2">
        <f>H8*'Output-Calculation-sheet'!H52/10^9</f>
        <v>1.1892307466317182</v>
      </c>
      <c r="I63" s="2">
        <f>I8*'Output-Calculation-sheet'!I52/10^9</f>
        <v>0.68018815436307944</v>
      </c>
      <c r="J63" s="2">
        <f>J8*'Output-Calculation-sheet'!J52/10^9</f>
        <v>0.93598500487055603</v>
      </c>
      <c r="K63" s="2">
        <f>K8*'Output-Calculation-sheet'!K52/10^9</f>
        <v>0.82234607520752956</v>
      </c>
      <c r="L63" s="2">
        <f>L8*'Output-Calculation-sheet'!L52/10^9</f>
        <v>1.1060950376767906</v>
      </c>
      <c r="M63" s="2">
        <f>M8*'Output-Calculation-sheet'!M52/10^9</f>
        <v>0.97425702866384478</v>
      </c>
      <c r="N63" s="2">
        <f>N8*'Output-Calculation-sheet'!N52/10^9</f>
        <v>0.8596405996453198</v>
      </c>
      <c r="O63" s="2">
        <f>O8*'Output-Calculation-sheet'!O52/10^9</f>
        <v>0.76987033843066099</v>
      </c>
      <c r="P63" s="2">
        <f>P8*'Output-Calculation-sheet'!P52/10^9</f>
        <v>0.56821895518741461</v>
      </c>
      <c r="Q63" s="2">
        <f>Q8*'Output-Calculation-sheet'!Q52/10^9</f>
        <v>0.64305734303383233</v>
      </c>
      <c r="R63" s="2">
        <f>R8*'Output-Calculation-sheet'!R52/10^9</f>
        <v>0.57733784699616597</v>
      </c>
      <c r="S63" s="2">
        <f>S8*'Output-Calculation-sheet'!S52/10^9</f>
        <v>0.42782780071987003</v>
      </c>
      <c r="T63" s="2">
        <f>T8*'Output-Calculation-sheet'!T52/10^9</f>
        <v>0.21949560218054848</v>
      </c>
      <c r="U63" s="2">
        <f>U8*'Output-Calculation-sheet'!U52/10^9</f>
        <v>0.1507472275367156</v>
      </c>
      <c r="V63" s="2">
        <f>V8*'Output-Calculation-sheet'!V52/10^9</f>
        <v>0.26754070451463208</v>
      </c>
      <c r="W63" s="2">
        <f>W8*'Output-Calculation-sheet'!W52/10^9</f>
        <v>9.6837200625541034E-2</v>
      </c>
      <c r="X63" s="2">
        <f>X8*'Output-Calculation-sheet'!X52/10^9</f>
        <v>9.9779256576993644E-2</v>
      </c>
      <c r="Y63" s="2">
        <f>Y8*'Output-Calculation-sheet'!Y52/10^9</f>
        <v>6.3183579633665651E-2</v>
      </c>
      <c r="AA63" s="2">
        <f t="shared" si="4"/>
        <v>27.823125026752557</v>
      </c>
    </row>
    <row r="64" spans="1:27" x14ac:dyDescent="0.25">
      <c r="A64" s="2">
        <v>2032</v>
      </c>
      <c r="B64" s="2">
        <f>B9*'Output-Calculation-sheet'!B53/10^9</f>
        <v>6.8762280682467853</v>
      </c>
      <c r="C64" s="2">
        <f>C9*'Output-Calculation-sheet'!C53/10^9</f>
        <v>3.6453008694388962</v>
      </c>
      <c r="D64" s="2">
        <f>D9*'Output-Calculation-sheet'!D53/10^9</f>
        <v>2.036514659230289</v>
      </c>
      <c r="E64" s="2">
        <f>E9*'Output-Calculation-sheet'!E53/10^9</f>
        <v>2.0854806134210198</v>
      </c>
      <c r="F64" s="2">
        <f>F9*'Output-Calculation-sheet'!F53/10^9</f>
        <v>0.87964264570384243</v>
      </c>
      <c r="G64" s="2">
        <f>G9*'Output-Calculation-sheet'!G53/10^9</f>
        <v>0.62610272597498662</v>
      </c>
      <c r="H64" s="2">
        <f>H9*'Output-Calculation-sheet'!H53/10^9</f>
        <v>1.1440506342734094</v>
      </c>
      <c r="I64" s="2">
        <f>I9*'Output-Calculation-sheet'!I53/10^9</f>
        <v>0.58530372083946891</v>
      </c>
      <c r="J64" s="2">
        <f>J9*'Output-Calculation-sheet'!J53/10^9</f>
        <v>0.77482320143591443</v>
      </c>
      <c r="K64" s="2">
        <f>K9*'Output-Calculation-sheet'!K53/10^9</f>
        <v>0.7189305135155275</v>
      </c>
      <c r="L64" s="2">
        <f>L9*'Output-Calculation-sheet'!L53/10^9</f>
        <v>0.92490195680565079</v>
      </c>
      <c r="M64" s="2">
        <f>M9*'Output-Calculation-sheet'!M53/10^9</f>
        <v>0.90767037171250098</v>
      </c>
      <c r="N64" s="2">
        <f>N9*'Output-Calculation-sheet'!N53/10^9</f>
        <v>0.81719660946479622</v>
      </c>
      <c r="O64" s="2">
        <f>O9*'Output-Calculation-sheet'!O53/10^9</f>
        <v>0.73820072472377063</v>
      </c>
      <c r="P64" s="2">
        <f>P9*'Output-Calculation-sheet'!P53/10^9</f>
        <v>0.54813900878803434</v>
      </c>
      <c r="Q64" s="2">
        <f>Q9*'Output-Calculation-sheet'!Q53/10^9</f>
        <v>0.60577240672379784</v>
      </c>
      <c r="R64" s="2">
        <f>R9*'Output-Calculation-sheet'!R53/10^9</f>
        <v>0.51929000680366044</v>
      </c>
      <c r="S64" s="2">
        <f>S9*'Output-Calculation-sheet'!S53/10^9</f>
        <v>0.41785813753270384</v>
      </c>
      <c r="T64" s="2">
        <f>T9*'Output-Calculation-sheet'!T53/10^9</f>
        <v>0.18667049909332992</v>
      </c>
      <c r="U64" s="2">
        <f>U9*'Output-Calculation-sheet'!U53/10^9</f>
        <v>0.1405029926692539</v>
      </c>
      <c r="V64" s="2">
        <f>V9*'Output-Calculation-sheet'!V53/10^9</f>
        <v>0.22156525937733257</v>
      </c>
      <c r="W64" s="2">
        <f>W9*'Output-Calculation-sheet'!W53/10^9</f>
        <v>8.2329514473422197E-2</v>
      </c>
      <c r="X64" s="2">
        <f>X9*'Output-Calculation-sheet'!X53/10^9</f>
        <v>9.4389610474505226E-2</v>
      </c>
      <c r="Y64" s="2">
        <f>Y9*'Output-Calculation-sheet'!Y53/10^9</f>
        <v>5.7682774658087223E-2</v>
      </c>
      <c r="AA64" s="2">
        <f t="shared" si="4"/>
        <v>25.634547525380992</v>
      </c>
    </row>
    <row r="65" spans="1:27" x14ac:dyDescent="0.25">
      <c r="A65" s="2">
        <v>2033</v>
      </c>
      <c r="B65" s="2">
        <f>B10*'Output-Calculation-sheet'!B54/10^9</f>
        <v>6.3653142538378562</v>
      </c>
      <c r="C65" s="2">
        <f>C10*'Output-Calculation-sheet'!C54/10^9</f>
        <v>3.2903450123945275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1.0332793861812684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0.60197773934323751</v>
      </c>
      <c r="L65" s="2">
        <f>L10*'Output-Calculation-sheet'!L54/10^9</f>
        <v>0.71105353400536586</v>
      </c>
      <c r="M65" s="2">
        <f>M10*'Output-Calculation-sheet'!M54/10^9</f>
        <v>0.78794133652135256</v>
      </c>
      <c r="N65" s="2">
        <f>N10*'Output-Calculation-sheet'!N54/10^9</f>
        <v>0.72303273002915058</v>
      </c>
      <c r="O65" s="2">
        <f>O10*'Output-Calculation-sheet'!O54/10^9</f>
        <v>0.65939969014862565</v>
      </c>
      <c r="P65" s="2">
        <f>P10*'Output-Calculation-sheet'!P54/10^9</f>
        <v>0.50933456989812054</v>
      </c>
      <c r="Q65" s="2">
        <f>Q10*'Output-Calculation-sheet'!Q54/10^9</f>
        <v>0.5548348249465318</v>
      </c>
      <c r="R65" s="2">
        <f>R10*'Output-Calculation-sheet'!R54/10^9</f>
        <v>0.44845346650900053</v>
      </c>
      <c r="S65" s="2">
        <f>S10*'Output-Calculation-sheet'!S54/10^9</f>
        <v>0.38139871986657065</v>
      </c>
      <c r="T65" s="2">
        <f>T10*'Output-Calculation-sheet'!T54/10^9</f>
        <v>0.14992424921288275</v>
      </c>
      <c r="U65" s="2">
        <f>U10*'Output-Calculation-sheet'!U54/10^9</f>
        <v>0.12945662044499012</v>
      </c>
      <c r="V65" s="2">
        <f>V10*'Output-Calculation-sheet'!V54/10^9</f>
        <v>0.16592010007026908</v>
      </c>
      <c r="W65" s="2">
        <f>W10*'Output-Calculation-sheet'!W54/10^9</f>
        <v>6.3169597902345151E-2</v>
      </c>
      <c r="X65" s="2">
        <f>X10*'Output-Calculation-sheet'!X54/10^9</f>
        <v>8.2616205535479645E-2</v>
      </c>
      <c r="Y65" s="2">
        <f>Y10*'Output-Calculation-sheet'!Y54/10^9</f>
        <v>5.1996271348143115E-2</v>
      </c>
      <c r="AA65" s="2">
        <f t="shared" si="4"/>
        <v>22.22068174865116</v>
      </c>
    </row>
    <row r="66" spans="1:27" x14ac:dyDescent="0.25">
      <c r="A66" s="2">
        <v>2034</v>
      </c>
      <c r="B66" s="2">
        <f>B11*'Output-Calculation-sheet'!B55/10^9</f>
        <v>5.5336350847643141</v>
      </c>
      <c r="C66" s="2">
        <f>C11*'Output-Calculation-sheet'!C55/10^9</f>
        <v>2.7836373097125739</v>
      </c>
      <c r="D66" s="2">
        <f>D11*'Output-Calculation-sheet'!D55/10^9</f>
        <v>1.248854115412517</v>
      </c>
      <c r="E66" s="2">
        <f>E11*'Output-Calculation-sheet'!E55/10^9</f>
        <v>1.5122737624516469</v>
      </c>
      <c r="F66" s="2">
        <f>F11*'Output-Calculation-sheet'!F55/10^9</f>
        <v>0.58119253810920135</v>
      </c>
      <c r="G66" s="2">
        <f>G11*'Output-Calculation-sheet'!G55/10^9</f>
        <v>0.41542376453084534</v>
      </c>
      <c r="H66" s="2">
        <f>H11*'Output-Calculation-sheet'!H55/10^9</f>
        <v>0.86688275750426214</v>
      </c>
      <c r="I66" s="2">
        <f>I11*'Output-Calculation-sheet'!I55/10^9</f>
        <v>0.40623411656476877</v>
      </c>
      <c r="J66" s="2">
        <f>J11*'Output-Calculation-sheet'!J55/10^9</f>
        <v>0.41774508067575428</v>
      </c>
      <c r="K66" s="2">
        <f>K11*'Output-Calculation-sheet'!K55/10^9</f>
        <v>0.49964302028099639</v>
      </c>
      <c r="L66" s="2">
        <f>L11*'Output-Calculation-sheet'!L55/10^9</f>
        <v>0.52913939701349444</v>
      </c>
      <c r="M66" s="2">
        <f>M11*'Output-Calculation-sheet'!M55/10^9</f>
        <v>0.63189763317882541</v>
      </c>
      <c r="N66" s="2">
        <f>N11*'Output-Calculation-sheet'!N55/10^9</f>
        <v>0.59696060859281852</v>
      </c>
      <c r="O66" s="2">
        <f>O11*'Output-Calculation-sheet'!O55/10^9</f>
        <v>0.54866428503831632</v>
      </c>
      <c r="P66" s="2">
        <f>P11*'Output-Calculation-sheet'!P55/10^9</f>
        <v>0.45816360493597408</v>
      </c>
      <c r="Q66" s="2">
        <f>Q11*'Output-Calculation-sheet'!Q55/10^9</f>
        <v>0.48463306838392223</v>
      </c>
      <c r="R66" s="2">
        <f>R11*'Output-Calculation-sheet'!R55/10^9</f>
        <v>0.37428859075630727</v>
      </c>
      <c r="S66" s="2">
        <f>S11*'Output-Calculation-sheet'!S55/10^9</f>
        <v>0.32649768430571502</v>
      </c>
      <c r="T66" s="2">
        <f>T11*'Output-Calculation-sheet'!T55/10^9</f>
        <v>0.11732083923748921</v>
      </c>
      <c r="U66" s="2">
        <f>U11*'Output-Calculation-sheet'!U55/10^9</f>
        <v>0.11978295623266329</v>
      </c>
      <c r="V66" s="2">
        <f>V11*'Output-Calculation-sheet'!V55/10^9</f>
        <v>0.11129536723240001</v>
      </c>
      <c r="W66" s="2">
        <f>W11*'Output-Calculation-sheet'!W55/10^9</f>
        <v>5.0394471064827445E-2</v>
      </c>
      <c r="X66" s="2">
        <f>X11*'Output-Calculation-sheet'!X55/10^9</f>
        <v>6.7513118792346061E-2</v>
      </c>
      <c r="Y66" s="2">
        <f>Y11*'Output-Calculation-sheet'!Y55/10^9</f>
        <v>4.9269181526178908E-2</v>
      </c>
      <c r="AA66" s="2">
        <f t="shared" si="4"/>
        <v>18.731342356298157</v>
      </c>
    </row>
    <row r="67" spans="1:27" x14ac:dyDescent="0.25">
      <c r="A67" s="2">
        <v>2035</v>
      </c>
      <c r="B67" s="2">
        <f>B12*'Output-Calculation-sheet'!B56/10^9</f>
        <v>4.6235386889049126</v>
      </c>
      <c r="C67" s="2">
        <f>C12*'Output-Calculation-sheet'!C56/10^9</f>
        <v>2.163017423568828</v>
      </c>
      <c r="D67" s="2">
        <f>D12*'Output-Calculation-sheet'!D56/10^9</f>
        <v>1.1798084162469</v>
      </c>
      <c r="E67" s="2">
        <f>E12*'Output-Calculation-sheet'!E56/10^9</f>
        <v>1.4429302623636675</v>
      </c>
      <c r="F67" s="2">
        <f>F12*'Output-Calculation-sheet'!F56/10^9</f>
        <v>0.58398040906356252</v>
      </c>
      <c r="G67" s="2">
        <f>G12*'Output-Calculation-sheet'!G56/10^9</f>
        <v>0.42864545782617791</v>
      </c>
      <c r="H67" s="2">
        <f>H12*'Output-Calculation-sheet'!H56/10^9</f>
        <v>0.68359501493167329</v>
      </c>
      <c r="I67" s="2">
        <f>I12*'Output-Calculation-sheet'!I56/10^9</f>
        <v>0.40489891256260752</v>
      </c>
      <c r="J67" s="2">
        <f>J12*'Output-Calculation-sheet'!J56/10^9</f>
        <v>0.37610699600890285</v>
      </c>
      <c r="K67" s="2">
        <f>K12*'Output-Calculation-sheet'!K56/10^9</f>
        <v>0.46213869620636688</v>
      </c>
      <c r="L67" s="2">
        <f>L12*'Output-Calculation-sheet'!L56/10^9</f>
        <v>0.44122782197279475</v>
      </c>
      <c r="M67" s="2">
        <f>M12*'Output-Calculation-sheet'!M56/10^9</f>
        <v>0.47582475864903628</v>
      </c>
      <c r="N67" s="2">
        <f>N12*'Output-Calculation-sheet'!N56/10^9</f>
        <v>0.46367552789188654</v>
      </c>
      <c r="O67" s="2">
        <f>O12*'Output-Calculation-sheet'!O56/10^9</f>
        <v>0.42043104137841525</v>
      </c>
      <c r="P67" s="2">
        <f>P12*'Output-Calculation-sheet'!P56/10^9</f>
        <v>0.40884031351373329</v>
      </c>
      <c r="Q67" s="2">
        <f>Q12*'Output-Calculation-sheet'!Q56/10^9</f>
        <v>0.4139707930257826</v>
      </c>
      <c r="R67" s="2">
        <f>R12*'Output-Calculation-sheet'!R56/10^9</f>
        <v>0.34077406864059334</v>
      </c>
      <c r="S67" s="2">
        <f>S12*'Output-Calculation-sheet'!S56/10^9</f>
        <v>0.26508875598897785</v>
      </c>
      <c r="T67" s="2">
        <f>T12*'Output-Calculation-sheet'!T56/10^9</f>
        <v>0.10443305076745685</v>
      </c>
      <c r="U67" s="2">
        <f>U12*'Output-Calculation-sheet'!U56/10^9</f>
        <v>0.11215107359811662</v>
      </c>
      <c r="V67" s="2">
        <f>V12*'Output-Calculation-sheet'!V56/10^9</f>
        <v>8.0171053877972964E-2</v>
      </c>
      <c r="W67" s="2">
        <f>W12*'Output-Calculation-sheet'!W56/10^9</f>
        <v>5.3219796695145878E-2</v>
      </c>
      <c r="X67" s="2">
        <f>X12*'Output-Calculation-sheet'!X56/10^9</f>
        <v>5.0670304024445327E-2</v>
      </c>
      <c r="Y67" s="2">
        <f>Y12*'Output-Calculation-sheet'!Y56/10^9</f>
        <v>4.7329130947402709E-2</v>
      </c>
      <c r="AA67" s="2">
        <f t="shared" si="4"/>
        <v>16.026467768655362</v>
      </c>
    </row>
    <row r="68" spans="1:27" x14ac:dyDescent="0.25">
      <c r="B68" s="2">
        <f>SUM(B60:B67)</f>
        <v>30.442152357569434</v>
      </c>
      <c r="C68" s="2">
        <f t="shared" ref="C68:Y68" si="5">SUM(C60:C67)</f>
        <v>15.645266513392873</v>
      </c>
      <c r="D68" s="2">
        <f t="shared" si="5"/>
        <v>8.4252087695873694</v>
      </c>
      <c r="E68" s="2">
        <f t="shared" si="5"/>
        <v>9.1814761847957662</v>
      </c>
      <c r="F68" s="2">
        <f t="shared" si="5"/>
        <v>3.7679725330970451</v>
      </c>
      <c r="G68" s="2">
        <f t="shared" si="5"/>
        <v>2.6861911728740235</v>
      </c>
      <c r="H68" s="2">
        <f t="shared" si="5"/>
        <v>4.9170385395223315</v>
      </c>
      <c r="I68" s="2">
        <f t="shared" si="5"/>
        <v>2.5487041260224932</v>
      </c>
      <c r="J68" s="2">
        <f t="shared" si="5"/>
        <v>3.0688995758985049</v>
      </c>
      <c r="K68" s="2">
        <f t="shared" si="5"/>
        <v>3.1050360445536578</v>
      </c>
      <c r="L68" s="2">
        <f t="shared" si="5"/>
        <v>3.7124177474740963</v>
      </c>
      <c r="M68" s="2">
        <f t="shared" si="5"/>
        <v>3.7775911287255601</v>
      </c>
      <c r="N68" s="2">
        <f t="shared" si="5"/>
        <v>3.4605060756239716</v>
      </c>
      <c r="O68" s="2">
        <f t="shared" si="5"/>
        <v>3.1365660797197883</v>
      </c>
      <c r="P68" s="2">
        <f t="shared" si="5"/>
        <v>2.4926964523232771</v>
      </c>
      <c r="Q68" s="2">
        <f t="shared" si="5"/>
        <v>2.7022684361138669</v>
      </c>
      <c r="R68" s="2">
        <f t="shared" si="5"/>
        <v>2.2601439797057274</v>
      </c>
      <c r="S68" s="2">
        <f t="shared" si="5"/>
        <v>1.8186710984138375</v>
      </c>
      <c r="T68" s="2">
        <f t="shared" si="5"/>
        <v>0.7778442404917072</v>
      </c>
      <c r="U68" s="2">
        <f t="shared" si="5"/>
        <v>0.65264087048173947</v>
      </c>
      <c r="V68" s="2">
        <f t="shared" si="5"/>
        <v>0.84649248507260666</v>
      </c>
      <c r="W68" s="2">
        <f t="shared" si="5"/>
        <v>0.34595058076128171</v>
      </c>
      <c r="X68" s="2">
        <f t="shared" si="5"/>
        <v>0.39496849540376994</v>
      </c>
      <c r="Y68" s="2">
        <f t="shared" si="5"/>
        <v>0.2694609381134776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45.143990942684049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4.5143990942684051E-2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400.84836837876412</v>
      </c>
      <c r="Q76" s="2">
        <f>Q10/'Output-Calculation-sheet'!Q9*'Output-Calculation-sheet'!Q63</f>
        <v>47.539752506360813</v>
      </c>
      <c r="R76" s="2">
        <f>R10/'Output-Calculation-sheet'!R9*'Output-Calculation-sheet'!R63</f>
        <v>305.89471296014807</v>
      </c>
      <c r="S76" s="2">
        <f>S10/'Output-Calculation-sheet'!S9*'Output-Calculation-sheet'!S63</f>
        <v>0</v>
      </c>
      <c r="T76" s="2">
        <f>T10/'Output-Calculation-sheet'!T9*'Output-Calculation-sheet'!T63</f>
        <v>20.046478516901352</v>
      </c>
      <c r="U76" s="2">
        <f>U10/'Output-Calculation-sheet'!U9*'Output-Calculation-sheet'!U63</f>
        <v>108.37600873526623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5.1403503920165692</v>
      </c>
      <c r="AA76" s="2">
        <f t="shared" si="6"/>
        <v>0.97199674145763126</v>
      </c>
    </row>
    <row r="77" spans="1:27" x14ac:dyDescent="0.25">
      <c r="A77" s="2">
        <v>2034</v>
      </c>
      <c r="B77" s="2">
        <f>B11/'Output-Calculation-sheet'!B10*'Output-Calculation-sheet'!B64</f>
        <v>340.49156258123827</v>
      </c>
      <c r="C77" s="2">
        <f>C11/'Output-Calculation-sheet'!C10*'Output-Calculation-sheet'!C64</f>
        <v>0</v>
      </c>
      <c r="D77" s="2">
        <f>D11/'Output-Calculation-sheet'!D10*'Output-Calculation-sheet'!D64</f>
        <v>1211.1112873195577</v>
      </c>
      <c r="E77" s="2">
        <f>E11/'Output-Calculation-sheet'!E10*'Output-Calculation-sheet'!E64</f>
        <v>1501.7439099969545</v>
      </c>
      <c r="F77" s="2">
        <f>F11/'Output-Calculation-sheet'!F10*'Output-Calculation-sheet'!F64</f>
        <v>97.710947381249795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99.297189508995103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264.18220440119183</v>
      </c>
      <c r="K77" s="2">
        <f>K11/'Output-Calculation-sheet'!K10*'Output-Calculation-sheet'!K64</f>
        <v>577.27456052931677</v>
      </c>
      <c r="L77" s="2">
        <f>L11/'Output-Calculation-sheet'!L10*'Output-Calculation-sheet'!L64</f>
        <v>238.00454391872313</v>
      </c>
      <c r="M77" s="2">
        <f>M11/'Output-Calculation-sheet'!M10*'Output-Calculation-sheet'!M64</f>
        <v>71.515363037444843</v>
      </c>
      <c r="N77" s="2">
        <f>N11/'Output-Calculation-sheet'!N10*'Output-Calculation-sheet'!N64</f>
        <v>23.652145253945783</v>
      </c>
      <c r="O77" s="2">
        <f>O11/'Output-Calculation-sheet'!O10*'Output-Calculation-sheet'!O64</f>
        <v>0</v>
      </c>
      <c r="P77" s="2">
        <f>P11/'Output-Calculation-sheet'!P10*'Output-Calculation-sheet'!P64</f>
        <v>490.52013034734108</v>
      </c>
      <c r="Q77" s="2">
        <f>Q11/'Output-Calculation-sheet'!Q10*'Output-Calculation-sheet'!Q64</f>
        <v>117.6645784085198</v>
      </c>
      <c r="R77" s="2">
        <f>R11/'Output-Calculation-sheet'!R10*'Output-Calculation-sheet'!R64</f>
        <v>605.43666705924488</v>
      </c>
      <c r="S77" s="2">
        <f>S11/'Output-Calculation-sheet'!S10*'Output-Calculation-sheet'!S64</f>
        <v>0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222.58168737747579</v>
      </c>
      <c r="V77" s="2">
        <f>V11/'Output-Calculation-sheet'!V10*'Output-Calculation-sheet'!V64</f>
        <v>86.939757460481843</v>
      </c>
      <c r="W77" s="2">
        <f>W11/'Output-Calculation-sheet'!W10*'Output-Calculation-sheet'!W64</f>
        <v>19.03876332082945</v>
      </c>
      <c r="X77" s="2">
        <f>X11/'Output-Calculation-sheet'!X10*'Output-Calculation-sheet'!X64</f>
        <v>7.1292968445247293</v>
      </c>
      <c r="Y77" s="2">
        <f>Y11/'Output-Calculation-sheet'!Y10*'Output-Calculation-sheet'!Y64</f>
        <v>40.184438498353344</v>
      </c>
      <c r="AA77" s="2">
        <f t="shared" si="6"/>
        <v>7.1940813278145006</v>
      </c>
    </row>
    <row r="78" spans="1:27" x14ac:dyDescent="0.25">
      <c r="A78" s="2">
        <v>2035</v>
      </c>
      <c r="B78" s="2">
        <f>B12/'Output-Calculation-sheet'!B11*'Output-Calculation-sheet'!B65</f>
        <v>52.175891741541754</v>
      </c>
      <c r="C78" s="2">
        <f>C12/'Output-Calculation-sheet'!C11*'Output-Calculation-sheet'!C65</f>
        <v>41.790995446427466</v>
      </c>
      <c r="D78" s="2">
        <f>D12/'Output-Calculation-sheet'!D11*'Output-Calculation-sheet'!D65</f>
        <v>1994.652714492622</v>
      </c>
      <c r="E78" s="2">
        <f>E12/'Output-Calculation-sheet'!E11*'Output-Calculation-sheet'!E65</f>
        <v>967.27826285396623</v>
      </c>
      <c r="F78" s="2">
        <f>F12/'Output-Calculation-sheet'!F11*'Output-Calculation-sheet'!F65</f>
        <v>498.83451232482281</v>
      </c>
      <c r="G78" s="2">
        <f>G12/'Output-Calculation-sheet'!G11*'Output-Calculation-sheet'!G65</f>
        <v>925.80990901658038</v>
      </c>
      <c r="H78" s="2">
        <f>H12/'Output-Calculation-sheet'!H11*'Output-Calculation-sheet'!H65</f>
        <v>17.546666576862265</v>
      </c>
      <c r="I78" s="2">
        <f>I12/'Output-Calculation-sheet'!I11*'Output-Calculation-sheet'!I65</f>
        <v>615.27800196263172</v>
      </c>
      <c r="J78" s="2">
        <f>J12/'Output-Calculation-sheet'!J11*'Output-Calculation-sheet'!J65</f>
        <v>639.91879238304148</v>
      </c>
      <c r="K78" s="2">
        <f>K12/'Output-Calculation-sheet'!K11*'Output-Calculation-sheet'!K65</f>
        <v>796.59560833501985</v>
      </c>
      <c r="L78" s="2">
        <f>L12/'Output-Calculation-sheet'!L11*'Output-Calculation-sheet'!L65</f>
        <v>433.03402484991875</v>
      </c>
      <c r="M78" s="2">
        <f>M12/'Output-Calculation-sheet'!M11*'Output-Calculation-sheet'!M65</f>
        <v>12.270205841693203</v>
      </c>
      <c r="N78" s="2">
        <f>N12/'Output-Calculation-sheet'!N11*'Output-Calculation-sheet'!N65</f>
        <v>12.754885703354294</v>
      </c>
      <c r="O78" s="2">
        <f>O12/'Output-Calculation-sheet'!O11*'Output-Calculation-sheet'!O65</f>
        <v>7.2826689142772123</v>
      </c>
      <c r="P78" s="2">
        <f>P12/'Output-Calculation-sheet'!P11*'Output-Calculation-sheet'!P65</f>
        <v>150.00743519179201</v>
      </c>
      <c r="Q78" s="2">
        <f>Q12/'Output-Calculation-sheet'!Q11*'Output-Calculation-sheet'!Q65</f>
        <v>111.78173875801784</v>
      </c>
      <c r="R78" s="2">
        <f>R12/'Output-Calculation-sheet'!R11*'Output-Calculation-sheet'!R65</f>
        <v>689.3683573782688</v>
      </c>
      <c r="S78" s="2">
        <f>S12/'Output-Calculation-sheet'!S11*'Output-Calculation-sheet'!S65</f>
        <v>5.2262825587580091</v>
      </c>
      <c r="T78" s="2">
        <f>T12/'Output-Calculation-sheet'!T11*'Output-Calculation-sheet'!T65</f>
        <v>250.16790602997503</v>
      </c>
      <c r="U78" s="2">
        <f>U12/'Output-Calculation-sheet'!U11*'Output-Calculation-sheet'!U65</f>
        <v>205.79001361687779</v>
      </c>
      <c r="V78" s="2">
        <f>V12/'Output-Calculation-sheet'!V11*'Output-Calculation-sheet'!V65</f>
        <v>124.74205008904441</v>
      </c>
      <c r="W78" s="2">
        <f>W12/'Output-Calculation-sheet'!W11*'Output-Calculation-sheet'!W65</f>
        <v>89.246585565412119</v>
      </c>
      <c r="X78" s="2">
        <f>X12/'Output-Calculation-sheet'!X11*'Output-Calculation-sheet'!X65</f>
        <v>1.2527553457807024</v>
      </c>
      <c r="Y78" s="2">
        <f>Y12/'Output-Calculation-sheet'!Y11*'Output-Calculation-sheet'!Y65</f>
        <v>21.954793916351704</v>
      </c>
      <c r="AA78" s="2">
        <f t="shared" si="6"/>
        <v>8.6647610588930366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43.949965753658248</v>
      </c>
      <c r="E89" s="2">
        <f>E12/'Output-Calculation-sheet'!E11*'Output-Calculation-sheet'!E74</f>
        <v>32.745506981237391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22.663404048045201</v>
      </c>
      <c r="H89" s="2">
        <f>H12/'Output-Calculation-sheet'!H11*'Output-Calculation-sheet'!H74</f>
        <v>2.8636709678265038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10.525427353131093</v>
      </c>
      <c r="K89" s="2">
        <f>K12/'Output-Calculation-sheet'!K11*'Output-Calculation-sheet'!K74</f>
        <v>14.808147950744216</v>
      </c>
      <c r="L89" s="2">
        <f>L12/'Output-Calculation-sheet'!L11*'Output-Calculation-sheet'!L74</f>
        <v>5.541062378117962</v>
      </c>
      <c r="M89" s="2">
        <f>M12/'Output-Calculation-sheet'!M11*'Output-Calculation-sheet'!M74</f>
        <v>2.6273124226097537</v>
      </c>
      <c r="N89" s="2">
        <f>N12/'Output-Calculation-sheet'!N11*'Output-Calculation-sheet'!N74</f>
        <v>1.2911110135999893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2.3855195832193696</v>
      </c>
      <c r="Q89" s="2">
        <f>Q12/'Output-Calculation-sheet'!Q11*'Output-Calculation-sheet'!Q74</f>
        <v>3.3936327747940975</v>
      </c>
      <c r="R89" s="2">
        <f>R12/'Output-Calculation-sheet'!R11*'Output-Calculation-sheet'!R74</f>
        <v>9.5353751132442408</v>
      </c>
      <c r="S89" s="2">
        <f>S12/'Output-Calculation-sheet'!S11*'Output-Calculation-sheet'!S74</f>
        <v>1.1101641065123578</v>
      </c>
      <c r="T89" s="2">
        <f>T12/'Output-Calculation-sheet'!T11*'Output-Calculation-sheet'!T74</f>
        <v>2.4901620607686952</v>
      </c>
      <c r="U89" s="2">
        <f>U12/'Output-Calculation-sheet'!U11*'Output-Calculation-sheet'!U74</f>
        <v>5.0529402212238157</v>
      </c>
      <c r="V89" s="2">
        <f>V12/'Output-Calculation-sheet'!V11*'Output-Calculation-sheet'!V74</f>
        <v>0.69576041609428152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1.2516272684768088</v>
      </c>
      <c r="AA89" s="2">
        <f t="shared" si="7"/>
        <v>0.22752659010764831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1664.6641846402795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512.43526552551441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352.60533263717451</v>
      </c>
      <c r="N107" s="2">
        <f>N8/'Output-Calculation-sheet'!N7*'Output-Calculation-sheet'!N88</f>
        <v>138.62154329395929</v>
      </c>
      <c r="O107" s="2">
        <f>O8/'Output-Calculation-sheet'!O7*'Output-Calculation-sheet'!O88</f>
        <v>388.07760645993011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38.681538350171749</v>
      </c>
      <c r="Y107" s="2">
        <f>Y8/'Output-Calculation-sheet'!Y7*'Output-Calculation-sheet'!Y88</f>
        <v>0</v>
      </c>
      <c r="AA107" s="2">
        <f t="shared" si="9"/>
        <v>3.095085470907029</v>
      </c>
    </row>
    <row r="108" spans="1:27" x14ac:dyDescent="0.25">
      <c r="A108" s="2">
        <v>2032</v>
      </c>
      <c r="B108" s="2">
        <f>B9/'Output-Calculation-sheet'!B8*'Output-Calculation-sheet'!B89</f>
        <v>718.23825283625501</v>
      </c>
      <c r="C108" s="2">
        <f>C9/'Output-Calculation-sheet'!C8*'Output-Calculation-sheet'!C89</f>
        <v>2727.1399896791072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734.56098709100354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505.44944624350461</v>
      </c>
      <c r="N108" s="2">
        <f>N9/'Output-Calculation-sheet'!N8*'Output-Calculation-sheet'!N89</f>
        <v>354.83916744678282</v>
      </c>
      <c r="O108" s="2">
        <f>O9/'Output-Calculation-sheet'!O8*'Output-Calculation-sheet'!O89</f>
        <v>529.80753788114407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162.72484834520188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55.448855502873108</v>
      </c>
      <c r="Y108" s="2">
        <f>Y9/'Output-Calculation-sheet'!Y8*'Output-Calculation-sheet'!Y89</f>
        <v>0</v>
      </c>
      <c r="AA108" s="2">
        <f t="shared" si="9"/>
        <v>5.7882090850258736</v>
      </c>
    </row>
    <row r="109" spans="1:27" x14ac:dyDescent="0.25">
      <c r="A109" s="2">
        <v>2033</v>
      </c>
      <c r="B109" s="2">
        <f>B10/'Output-Calculation-sheet'!B9*'Output-Calculation-sheet'!B90</f>
        <v>3430.0155335803188</v>
      </c>
      <c r="C109" s="2">
        <f>C10/'Output-Calculation-sheet'!C9*'Output-Calculation-sheet'!C90</f>
        <v>3255.9295226579829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1002.2760895983022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689.6634906746076</v>
      </c>
      <c r="N109" s="2">
        <f>N10/'Output-Calculation-sheet'!N9*'Output-Calculation-sheet'!N90</f>
        <v>542.26189216024386</v>
      </c>
      <c r="O109" s="2">
        <f>O10/'Output-Calculation-sheet'!O9*'Output-Calculation-sheet'!O90</f>
        <v>632.53665394600125</v>
      </c>
      <c r="P109" s="2">
        <f>P10/'Output-Calculation-sheet'!P9*'Output-Calculation-sheet'!P90</f>
        <v>0</v>
      </c>
      <c r="Q109" s="2">
        <f>Q10/'Output-Calculation-sheet'!Q9*'Output-Calculation-sheet'!Q90</f>
        <v>118.77611028877584</v>
      </c>
      <c r="R109" s="2">
        <f>R10/'Output-Calculation-sheet'!R9*'Output-Calculation-sheet'!R90</f>
        <v>0</v>
      </c>
      <c r="S109" s="2">
        <f>S10/'Output-Calculation-sheet'!S9*'Output-Calculation-sheet'!S90</f>
        <v>271.98783183966265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75.657519311239767</v>
      </c>
      <c r="Y109" s="2">
        <f>Y10/'Output-Calculation-sheet'!Y9*'Output-Calculation-sheet'!Y90</f>
        <v>0</v>
      </c>
      <c r="AA109" s="2">
        <f t="shared" si="9"/>
        <v>10.019104644057135</v>
      </c>
    </row>
    <row r="110" spans="1:27" x14ac:dyDescent="0.25">
      <c r="A110" s="2">
        <v>2034</v>
      </c>
      <c r="B110" s="2">
        <f>B11/'Output-Calculation-sheet'!B10*'Output-Calculation-sheet'!B91</f>
        <v>5496.0206104581121</v>
      </c>
      <c r="C110" s="2">
        <f>C11/'Output-Calculation-sheet'!C10*'Output-Calculation-sheet'!C91</f>
        <v>3767.8890734842748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1070.6521086901546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736.71284613136629</v>
      </c>
      <c r="N110" s="2">
        <f>N11/'Output-Calculation-sheet'!N10*'Output-Calculation-sheet'!N91</f>
        <v>663.73014710572431</v>
      </c>
      <c r="O110" s="2">
        <f>O11/'Output-Calculation-sheet'!O10*'Output-Calculation-sheet'!O91</f>
        <v>731.99617202887396</v>
      </c>
      <c r="P110" s="2">
        <f>P11/'Output-Calculation-sheet'!P10*'Output-Calculation-sheet'!P91</f>
        <v>167.22820119637265</v>
      </c>
      <c r="Q110" s="2">
        <f>Q11/'Output-Calculation-sheet'!Q10*'Output-Calculation-sheet'!Q91</f>
        <v>370.06405546882746</v>
      </c>
      <c r="R110" s="2">
        <f>R11/'Output-Calculation-sheet'!R10*'Output-Calculation-sheet'!R91</f>
        <v>0</v>
      </c>
      <c r="S110" s="2">
        <f>S11/'Output-Calculation-sheet'!S10*'Output-Calculation-sheet'!S91</f>
        <v>380.47303341349613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80.818931459603846</v>
      </c>
      <c r="Y110" s="2">
        <f>Y11/'Output-Calculation-sheet'!Y10*'Output-Calculation-sheet'!Y91</f>
        <v>12.99863579673714</v>
      </c>
      <c r="AA110" s="2">
        <f t="shared" si="9"/>
        <v>13.478583815233542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1512.8424225331673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213.33090155754152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551.05502372367437</v>
      </c>
      <c r="Q111" s="2">
        <f>Q12/'Output-Calculation-sheet'!Q11*'Output-Calculation-sheet'!Q92</f>
        <v>522.61944731829101</v>
      </c>
      <c r="R111" s="2">
        <f>R12/'Output-Calculation-sheet'!R11*'Output-Calculation-sheet'!R92</f>
        <v>0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58.896016466658729</v>
      </c>
      <c r="AA111" s="2">
        <f t="shared" si="9"/>
        <v>17.799597562680393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7825556065.3724146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2407762944.6161137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1672398849.9760571</v>
      </c>
      <c r="N118" s="2">
        <f>N8/'Output-Calculation-sheet'!N7*'Output-Calculation-sheet'!N97</f>
        <v>1312356254.4207666</v>
      </c>
      <c r="O118" s="2">
        <f>O8/'Output-Calculation-sheet'!O7*'Output-Calculation-sheet'!O97</f>
        <v>873256934.02712214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180252854.09442669</v>
      </c>
      <c r="Y118" s="2">
        <f>Y8/'Output-Calculation-sheet'!Y7*'Output-Calculation-sheet'!Y97</f>
        <v>0</v>
      </c>
      <c r="AA118" s="2">
        <f t="shared" si="10"/>
        <v>16081.277258403261</v>
      </c>
    </row>
    <row r="119" spans="1:27" x14ac:dyDescent="0.25">
      <c r="A119" s="2">
        <v>2032</v>
      </c>
      <c r="B119" s="2">
        <f>B9/'Output-Calculation-sheet'!B8*'Output-Calculation-sheet'!B98</f>
        <v>5388260683.8556538</v>
      </c>
      <c r="C119" s="2">
        <f>C9/'Output-Calculation-sheet'!C8*'Output-Calculation-sheet'!C98</f>
        <v>4282698426.2044163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2560206701.8108888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1787033865.6442919</v>
      </c>
      <c r="N119" s="2">
        <f>N9/'Output-Calculation-sheet'!N8*'Output-Calculation-sheet'!N98</f>
        <v>1208545337.9167349</v>
      </c>
      <c r="O119" s="2">
        <f>O9/'Output-Calculation-sheet'!O8*'Output-Calculation-sheet'!O98</f>
        <v>836760135.72430372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501534255.08474672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191219030.21347675</v>
      </c>
      <c r="Y119" s="2">
        <f>Y9/'Output-Calculation-sheet'!Y8*'Output-Calculation-sheet'!Y98</f>
        <v>0</v>
      </c>
      <c r="AA119" s="2">
        <f t="shared" si="10"/>
        <v>16756.258436454515</v>
      </c>
    </row>
    <row r="120" spans="1:27" x14ac:dyDescent="0.25">
      <c r="A120" s="2">
        <v>2033</v>
      </c>
      <c r="B120" s="2">
        <f>B10/'Output-Calculation-sheet'!B9*'Output-Calculation-sheet'!B99</f>
        <v>4934534383.4887238</v>
      </c>
      <c r="C120" s="2">
        <f>C10/'Output-Calculation-sheet'!C9*'Output-Calculation-sheet'!C99</f>
        <v>4056493668.0572181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1330028180.8405023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941404995.44077551</v>
      </c>
      <c r="N120" s="2">
        <f>N10/'Output-Calculation-sheet'!N9*'Output-Calculation-sheet'!N99</f>
        <v>938481036.8640449</v>
      </c>
      <c r="O120" s="2">
        <f>O10/'Output-Calculation-sheet'!O9*'Output-Calculation-sheet'!O99</f>
        <v>794174084.7239536</v>
      </c>
      <c r="P120" s="2">
        <f>P10/'Output-Calculation-sheet'!P9*'Output-Calculation-sheet'!P99</f>
        <v>0</v>
      </c>
      <c r="Q120" s="2">
        <f>Q10/'Output-Calculation-sheet'!Q9*'Output-Calculation-sheet'!Q99</f>
        <v>5963355.3309350898</v>
      </c>
      <c r="R120" s="2">
        <f>R10/'Output-Calculation-sheet'!R9*'Output-Calculation-sheet'!R99</f>
        <v>0</v>
      </c>
      <c r="S120" s="2">
        <f>S10/'Output-Calculation-sheet'!S9*'Output-Calculation-sheet'!S99</f>
        <v>393029733.93514305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94003465.527725831</v>
      </c>
      <c r="Y120" s="2">
        <f>Y10/'Output-Calculation-sheet'!Y9*'Output-Calculation-sheet'!Y99</f>
        <v>0</v>
      </c>
      <c r="AA120" s="2">
        <f t="shared" si="10"/>
        <v>13488.112904209018</v>
      </c>
    </row>
    <row r="121" spans="1:27" x14ac:dyDescent="0.25">
      <c r="A121" s="2">
        <v>2034</v>
      </c>
      <c r="B121" s="2">
        <f>B11/'Output-Calculation-sheet'!B10*'Output-Calculation-sheet'!B100</f>
        <v>4081906403.5357471</v>
      </c>
      <c r="C121" s="2">
        <f>C11/'Output-Calculation-sheet'!C10*'Output-Calculation-sheet'!C100</f>
        <v>494644788.72456604</v>
      </c>
      <c r="D121" s="2">
        <f>D11/'Output-Calculation-sheet'!D10*'Output-Calculation-sheet'!D100</f>
        <v>0</v>
      </c>
      <c r="E121" s="2">
        <f>E11/'Output-Calculation-sheet'!E10*'Output-Calculation-sheet'!E100</f>
        <v>571413412.00748932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1302445972.7927663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474483929.69195127</v>
      </c>
      <c r="M121" s="2">
        <f>M11/'Output-Calculation-sheet'!M10*'Output-Calculation-sheet'!M100</f>
        <v>926945816.70481563</v>
      </c>
      <c r="N121" s="2">
        <f>N11/'Output-Calculation-sheet'!N10*'Output-Calculation-sheet'!N100</f>
        <v>617974063.97874987</v>
      </c>
      <c r="O121" s="2">
        <f>O11/'Output-Calculation-sheet'!O10*'Output-Calculation-sheet'!O100</f>
        <v>97026202.292163312</v>
      </c>
      <c r="P121" s="2">
        <f>P11/'Output-Calculation-sheet'!P10*'Output-Calculation-sheet'!P100</f>
        <v>0</v>
      </c>
      <c r="Q121" s="2">
        <f>Q11/'Output-Calculation-sheet'!Q10*'Output-Calculation-sheet'!Q100</f>
        <v>208353615.55661249</v>
      </c>
      <c r="R121" s="2">
        <f>R11/'Output-Calculation-sheet'!R10*'Output-Calculation-sheet'!R100</f>
        <v>0</v>
      </c>
      <c r="S121" s="2">
        <f>S11/'Output-Calculation-sheet'!S10*'Output-Calculation-sheet'!S100</f>
        <v>231055927.70311698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91078912.301675767</v>
      </c>
      <c r="Y121" s="2">
        <f>Y11/'Output-Calculation-sheet'!Y10*'Output-Calculation-sheet'!Y100</f>
        <v>13221781.85813866</v>
      </c>
      <c r="AA121" s="2">
        <f t="shared" si="10"/>
        <v>9110.550827147792</v>
      </c>
    </row>
    <row r="122" spans="1:27" x14ac:dyDescent="0.25">
      <c r="A122" s="2">
        <v>2035</v>
      </c>
      <c r="B122" s="2">
        <f>B12/'Output-Calculation-sheet'!B11*'Output-Calculation-sheet'!B101</f>
        <v>913205507.16605663</v>
      </c>
      <c r="C122" s="2">
        <f>C12/'Output-Calculation-sheet'!C11*'Output-Calculation-sheet'!C101</f>
        <v>189517125.3670153</v>
      </c>
      <c r="D122" s="2">
        <f>D12/'Output-Calculation-sheet'!D11*'Output-Calculation-sheet'!D101</f>
        <v>0</v>
      </c>
      <c r="E122" s="2">
        <f>E12/'Output-Calculation-sheet'!E11*'Output-Calculation-sheet'!E101</f>
        <v>1566189656.0799603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328489310.32690507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832672066.74692047</v>
      </c>
      <c r="M122" s="2">
        <f>M12/'Output-Calculation-sheet'!M11*'Output-Calculation-sheet'!M101</f>
        <v>292748680.78615522</v>
      </c>
      <c r="N122" s="2">
        <f>N12/'Output-Calculation-sheet'!N11*'Output-Calculation-sheet'!N101</f>
        <v>243743877.48013961</v>
      </c>
      <c r="O122" s="2">
        <f>O12/'Output-Calculation-sheet'!O11*'Output-Calculation-sheet'!O101</f>
        <v>32384653.334374823</v>
      </c>
      <c r="P122" s="2">
        <f>P12/'Output-Calculation-sheet'!P11*'Output-Calculation-sheet'!P101</f>
        <v>39860159.602722839</v>
      </c>
      <c r="Q122" s="2">
        <f>Q12/'Output-Calculation-sheet'!Q11*'Output-Calculation-sheet'!Q101</f>
        <v>370719482.78922099</v>
      </c>
      <c r="R122" s="2">
        <f>R12/'Output-Calculation-sheet'!R11*'Output-Calculation-sheet'!R101</f>
        <v>0</v>
      </c>
      <c r="S122" s="2">
        <f>S12/'Output-Calculation-sheet'!S11*'Output-Calculation-sheet'!S101</f>
        <v>109442938.05760559</v>
      </c>
      <c r="T122" s="2">
        <f>T12/'Output-Calculation-sheet'!T11*'Output-Calculation-sheet'!T101</f>
        <v>0</v>
      </c>
      <c r="U122" s="2">
        <f>U12/'Output-Calculation-sheet'!U11*'Output-Calculation-sheet'!U101</f>
        <v>46210762.482448623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9583304.5846671015</v>
      </c>
      <c r="Y122" s="2">
        <f>Y12/'Output-Calculation-sheet'!Y11*'Output-Calculation-sheet'!Y101</f>
        <v>47059718.109429963</v>
      </c>
      <c r="AA122" s="2">
        <f t="shared" si="10"/>
        <v>5021.8272429136232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2177743545.0082088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143147.07291848279</v>
      </c>
    </row>
    <row r="130" spans="1:27" x14ac:dyDescent="0.25">
      <c r="A130" s="2">
        <v>2032</v>
      </c>
      <c r="B130" s="2">
        <f>B9/'Output-Calculation-sheet'!B8*'Output-Calculation-sheet'!B107</f>
        <v>48760672629.960381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1772205972.9156866</v>
      </c>
      <c r="O130" s="2">
        <f>O9/'Output-Calculation-sheet'!O8*'Output-Calculation-sheet'!O107</f>
        <v>0</v>
      </c>
      <c r="P130" s="2">
        <f>P9/'Output-Calculation-sheet'!P8*'Output-Calculation-sheet'!P107</f>
        <v>5412876905.7065125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1575523114.7754323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171720.42302751067</v>
      </c>
    </row>
    <row r="131" spans="1:27" x14ac:dyDescent="0.25">
      <c r="A131" s="2">
        <v>2033</v>
      </c>
      <c r="B131" s="2">
        <f>B10/'Output-Calculation-sheet'!B9*'Output-Calculation-sheet'!B108</f>
        <v>36810124884.570938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1348822758.7365582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5232963053.5788727</v>
      </c>
      <c r="R131" s="2">
        <f>R10/'Output-Calculation-sheet'!R9*'Output-Calculation-sheet'!R108</f>
        <v>5871772823.6413908</v>
      </c>
      <c r="S131" s="2">
        <f>S10/'Output-Calculation-sheet'!S9*'Output-Calculation-sheet'!S108</f>
        <v>1308286197.3153081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175688.75996750183</v>
      </c>
    </row>
    <row r="132" spans="1:27" x14ac:dyDescent="0.25">
      <c r="A132" s="2">
        <v>2034</v>
      </c>
      <c r="B132" s="2">
        <f>B11/'Output-Calculation-sheet'!B10*'Output-Calculation-sheet'!B109</f>
        <v>24010615132.379547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23122322177.444118</v>
      </c>
      <c r="F132" s="2">
        <f>F11/'Output-Calculation-sheet'!F10*'Output-Calculation-sheet'!F109</f>
        <v>15250087616.154617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9501639183.0938969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7074783206.95016</v>
      </c>
      <c r="M132" s="2">
        <f>M11/'Output-Calculation-sheet'!M10*'Output-Calculation-sheet'!M109</f>
        <v>0</v>
      </c>
      <c r="N132" s="2">
        <f>N11/'Output-Calculation-sheet'!N10*'Output-Calculation-sheet'!N109</f>
        <v>930168824.62298894</v>
      </c>
      <c r="O132" s="2">
        <f>O11/'Output-Calculation-sheet'!O10*'Output-Calculation-sheet'!O109</f>
        <v>0</v>
      </c>
      <c r="P132" s="2">
        <f>P11/'Output-Calculation-sheet'!P10*'Output-Calculation-sheet'!P109</f>
        <v>5286111673.1500092</v>
      </c>
      <c r="Q132" s="2">
        <f>Q11/'Output-Calculation-sheet'!Q10*'Output-Calculation-sheet'!Q109</f>
        <v>3404898955.7473803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638384337.98558497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665414346.7649343</v>
      </c>
      <c r="AA132" s="2">
        <f t="shared" si="11"/>
        <v>162728.28245769776</v>
      </c>
    </row>
    <row r="133" spans="1:27" x14ac:dyDescent="0.25">
      <c r="A133" s="2">
        <v>2035</v>
      </c>
      <c r="B133" s="2">
        <f>B12/'Output-Calculation-sheet'!B11*'Output-Calculation-sheet'!B110</f>
        <v>305586606.09622514</v>
      </c>
      <c r="C133" s="2">
        <f>C12/'Output-Calculation-sheet'!C11*'Output-Calculation-sheet'!C110</f>
        <v>0</v>
      </c>
      <c r="D133" s="2">
        <f>D12/'Output-Calculation-sheet'!D11*'Output-Calculation-sheet'!D110</f>
        <v>26210773448.125179</v>
      </c>
      <c r="E133" s="2">
        <f>E12/'Output-Calculation-sheet'!E11*'Output-Calculation-sheet'!E110</f>
        <v>11227305715.392347</v>
      </c>
      <c r="F133" s="2">
        <f>F12/'Output-Calculation-sheet'!F11*'Output-Calculation-sheet'!F110</f>
        <v>13779757129.322536</v>
      </c>
      <c r="G133" s="2">
        <f>G12/'Output-Calculation-sheet'!G11*'Output-Calculation-sheet'!G110</f>
        <v>9552179421.0932388</v>
      </c>
      <c r="H133" s="2">
        <f>H12/'Output-Calculation-sheet'!H11*'Output-Calculation-sheet'!H110</f>
        <v>0</v>
      </c>
      <c r="I133" s="2">
        <f>I12/'Output-Calculation-sheet'!I11*'Output-Calculation-sheet'!I110</f>
        <v>8674249146.6546059</v>
      </c>
      <c r="J133" s="2">
        <f>J12/'Output-Calculation-sheet'!J11*'Output-Calculation-sheet'!J110</f>
        <v>8398652485.2058544</v>
      </c>
      <c r="K133" s="2">
        <f>K12/'Output-Calculation-sheet'!K11*'Output-Calculation-sheet'!K110</f>
        <v>8441315924.9871454</v>
      </c>
      <c r="L133" s="2">
        <f>L12/'Output-Calculation-sheet'!L11*'Output-Calculation-sheet'!L110</f>
        <v>4913828662.2037516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1862669153.9079936</v>
      </c>
      <c r="Q133" s="2">
        <f>Q12/'Output-Calculation-sheet'!Q11*'Output-Calculation-sheet'!Q110</f>
        <v>1567077240.8112078</v>
      </c>
      <c r="R133" s="2">
        <f>R12/'Output-Calculation-sheet'!R11*'Output-Calculation-sheet'!R110</f>
        <v>5510479816.2378044</v>
      </c>
      <c r="S133" s="2">
        <f>S12/'Output-Calculation-sheet'!S11*'Output-Calculation-sheet'!S110</f>
        <v>3707111.7921243687</v>
      </c>
      <c r="T133" s="2">
        <f>T12/'Output-Calculation-sheet'!T11*'Output-Calculation-sheet'!T110</f>
        <v>2054716759.3098013</v>
      </c>
      <c r="U133" s="2">
        <f>U12/'Output-Calculation-sheet'!U11*'Output-Calculation-sheet'!U110</f>
        <v>1664746738.2246196</v>
      </c>
      <c r="V133" s="2">
        <f>V12/'Output-Calculation-sheet'!V11*'Output-Calculation-sheet'!V110</f>
        <v>1384027770.811394</v>
      </c>
      <c r="W133" s="2">
        <f>W12/'Output-Calculation-sheet'!W11*'Output-Calculation-sheet'!W110</f>
        <v>1207275399.4712508</v>
      </c>
      <c r="X133" s="2">
        <f>X12/'Output-Calculation-sheet'!X11*'Output-Calculation-sheet'!X110</f>
        <v>0</v>
      </c>
      <c r="Y133" s="2">
        <f>Y12/'Output-Calculation-sheet'!Y11*'Output-Calculation-sheet'!Y110</f>
        <v>276923784.77776241</v>
      </c>
      <c r="AA133" s="2">
        <f t="shared" si="11"/>
        <v>107035.27231442486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14164493509.208752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4452959970.363615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3060898203.2727981</v>
      </c>
      <c r="N140" s="2">
        <f>N8/'Output-Calculation-sheet'!N7*'Output-Calculation-sheet'!N115</f>
        <v>1155610394.411068</v>
      </c>
      <c r="O140" s="2">
        <f>O8/'Output-Calculation-sheet'!O7*'Output-Calculation-sheet'!O115</f>
        <v>3399409473.516355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332376794.91519302</v>
      </c>
      <c r="Y140" s="2">
        <f>Y8/'Output-Calculation-sheet'!Y7*'Output-Calculation-sheet'!Y115</f>
        <v>0</v>
      </c>
      <c r="AA140" s="2">
        <f t="shared" si="12"/>
        <v>26565.748345687774</v>
      </c>
    </row>
    <row r="141" spans="1:27" x14ac:dyDescent="0.25">
      <c r="A141" s="2">
        <v>2032</v>
      </c>
      <c r="B141" s="2">
        <f>B9/'Output-Calculation-sheet'!B8*'Output-Calculation-sheet'!B116</f>
        <v>5574470013.95364</v>
      </c>
      <c r="C141" s="2">
        <f>C9/'Output-Calculation-sheet'!C8*'Output-Calculation-sheet'!C116</f>
        <v>23862027764.986088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6220727160.9437571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4271040318.7250166</v>
      </c>
      <c r="N141" s="2">
        <f>N9/'Output-Calculation-sheet'!N8*'Output-Calculation-sheet'!N116</f>
        <v>2965221336.8805299</v>
      </c>
      <c r="O141" s="2">
        <f>O9/'Output-Calculation-sheet'!O8*'Output-Calculation-sheet'!O116</f>
        <v>4631759832.5174007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1328152287.2820923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464887730.97327203</v>
      </c>
      <c r="Y141" s="2">
        <f>Y9/'Output-Calculation-sheet'!Y8*'Output-Calculation-sheet'!Y116</f>
        <v>0</v>
      </c>
      <c r="AA141" s="2">
        <f t="shared" si="12"/>
        <v>49318.286446261794</v>
      </c>
    </row>
    <row r="142" spans="1:27" x14ac:dyDescent="0.25">
      <c r="A142" s="2">
        <v>2033</v>
      </c>
      <c r="B142" s="2">
        <f>B10/'Output-Calculation-sheet'!B9*'Output-Calculation-sheet'!B117</f>
        <v>26706902766.269405</v>
      </c>
      <c r="C142" s="2">
        <f>C10/'Output-Calculation-sheet'!C9*'Output-Calculation-sheet'!C117</f>
        <v>28201385785.778503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8734177482.2760391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6002014174.6454277</v>
      </c>
      <c r="N142" s="2">
        <f>N10/'Output-Calculation-sheet'!N9*'Output-Calculation-sheet'!N117</f>
        <v>4527630633.6117077</v>
      </c>
      <c r="O142" s="2">
        <f>O10/'Output-Calculation-sheet'!O9*'Output-Calculation-sheet'!O117</f>
        <v>5473531070.5432796</v>
      </c>
      <c r="P142" s="2">
        <f>P10/'Output-Calculation-sheet'!P9*'Output-Calculation-sheet'!P117</f>
        <v>0</v>
      </c>
      <c r="Q142" s="2">
        <f>Q10/'Output-Calculation-sheet'!Q9*'Output-Calculation-sheet'!Q117</f>
        <v>864729417.84790325</v>
      </c>
      <c r="R142" s="2">
        <f>R10/'Output-Calculation-sheet'!R9*'Output-Calculation-sheet'!R117</f>
        <v>0</v>
      </c>
      <c r="S142" s="2">
        <f>S10/'Output-Calculation-sheet'!S9*'Output-Calculation-sheet'!S117</f>
        <v>2201541166.3316045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657988729.13696015</v>
      </c>
      <c r="Y142" s="2">
        <f>Y10/'Output-Calculation-sheet'!Y9*'Output-Calculation-sheet'!Y117</f>
        <v>0</v>
      </c>
      <c r="AA142" s="2">
        <f t="shared" si="12"/>
        <v>83369.901226440823</v>
      </c>
    </row>
    <row r="143" spans="1:27" x14ac:dyDescent="0.25">
      <c r="A143" s="2">
        <v>2034</v>
      </c>
      <c r="B143" s="2">
        <f>B11/'Output-Calculation-sheet'!B10*'Output-Calculation-sheet'!B118</f>
        <v>42997407442.391426</v>
      </c>
      <c r="C143" s="2">
        <f>C11/'Output-Calculation-sheet'!C10*'Output-Calculation-sheet'!C118</f>
        <v>33006708283.722248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9149623748.5631714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6284063305.8909998</v>
      </c>
      <c r="N143" s="2">
        <f>N11/'Output-Calculation-sheet'!N10*'Output-Calculation-sheet'!N118</f>
        <v>5529471598.3098526</v>
      </c>
      <c r="O143" s="2">
        <f>O11/'Output-Calculation-sheet'!O10*'Output-Calculation-sheet'!O118</f>
        <v>6412286466.9729357</v>
      </c>
      <c r="P143" s="2">
        <f>P11/'Output-Calculation-sheet'!P10*'Output-Calculation-sheet'!P118</f>
        <v>1156569785.6274998</v>
      </c>
      <c r="Q143" s="2">
        <f>Q11/'Output-Calculation-sheet'!Q10*'Output-Calculation-sheet'!Q118</f>
        <v>2725624754.8142228</v>
      </c>
      <c r="R143" s="2">
        <f>R11/'Output-Calculation-sheet'!R10*'Output-Calculation-sheet'!R118</f>
        <v>0</v>
      </c>
      <c r="S143" s="2">
        <f>S11/'Output-Calculation-sheet'!S10*'Output-Calculation-sheet'!S118</f>
        <v>3183863926.9133191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689894539.65896511</v>
      </c>
      <c r="Y143" s="2">
        <f>Y11/'Output-Calculation-sheet'!Y10*'Output-Calculation-sheet'!Y118</f>
        <v>80845454.2527816</v>
      </c>
      <c r="AA143" s="2">
        <f t="shared" si="12"/>
        <v>111216.35930711743</v>
      </c>
    </row>
    <row r="144" spans="1:27" x14ac:dyDescent="0.25">
      <c r="A144" s="2">
        <v>2035</v>
      </c>
      <c r="B144" s="2">
        <f>B12/'Output-Calculation-sheet'!B11*'Output-Calculation-sheet'!B119</f>
        <v>65476628081.064766</v>
      </c>
      <c r="C144" s="2">
        <f>C12/'Output-Calculation-sheet'!C11*'Output-Calculation-sheet'!C119</f>
        <v>31323555791.536869</v>
      </c>
      <c r="D144" s="2">
        <f>D12/'Output-Calculation-sheet'!D11*'Output-Calculation-sheet'!D119</f>
        <v>0</v>
      </c>
      <c r="E144" s="2">
        <f>E12/'Output-Calculation-sheet'!E11*'Output-Calculation-sheet'!E119</f>
        <v>9330351946.8678684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9470548395.2968826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1202600317.4380484</v>
      </c>
      <c r="M144" s="2">
        <f>M12/'Output-Calculation-sheet'!M11*'Output-Calculation-sheet'!M119</f>
        <v>6463786930.0242434</v>
      </c>
      <c r="N144" s="2">
        <f>N12/'Output-Calculation-sheet'!N11*'Output-Calculation-sheet'!N119</f>
        <v>6385954501.0343046</v>
      </c>
      <c r="O144" s="2">
        <f>O12/'Output-Calculation-sheet'!O11*'Output-Calculation-sheet'!O119</f>
        <v>6088128076.3154049</v>
      </c>
      <c r="P144" s="2">
        <f>P12/'Output-Calculation-sheet'!P11*'Output-Calculation-sheet'!P119</f>
        <v>4132452869.0278926</v>
      </c>
      <c r="Q144" s="2">
        <f>Q12/'Output-Calculation-sheet'!Q11*'Output-Calculation-sheet'!Q119</f>
        <v>3913613107.0245233</v>
      </c>
      <c r="R144" s="2">
        <f>R12/'Output-Calculation-sheet'!R11*'Output-Calculation-sheet'!R119</f>
        <v>0</v>
      </c>
      <c r="S144" s="2">
        <f>S12/'Output-Calculation-sheet'!S11*'Output-Calculation-sheet'!S119</f>
        <v>3681824844.1609325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724718895.4787271</v>
      </c>
      <c r="Y144" s="2">
        <f>Y12/'Output-Calculation-sheet'!Y11*'Output-Calculation-sheet'!Y119</f>
        <v>386987297.4676286</v>
      </c>
      <c r="AA144" s="2">
        <f t="shared" si="12"/>
        <v>148581.15105273807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4272666407.5434771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185794.09827543539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3281111843.3326755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142677.00555808563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338265074.00999165</v>
      </c>
      <c r="C155" s="2">
        <f>C12/'Output-Calculation-sheet'!C11*'Output-Calculation-sheet'!C128</f>
        <v>36444092.319004826</v>
      </c>
      <c r="D155" s="2">
        <f>D12/'Output-Calculation-sheet'!D11*'Output-Calculation-sheet'!D128</f>
        <v>2430342734.0602202</v>
      </c>
      <c r="E155" s="2">
        <f>E12/'Output-Calculation-sheet'!E11*'Output-Calculation-sheet'!E128</f>
        <v>394476172.16439193</v>
      </c>
      <c r="F155" s="2">
        <f>F12/'Output-Calculation-sheet'!F11*'Output-Calculation-sheet'!F128</f>
        <v>887757599.09857202</v>
      </c>
      <c r="G155" s="2">
        <f>G12/'Output-Calculation-sheet'!G11*'Output-Calculation-sheet'!G128</f>
        <v>812390804.92159891</v>
      </c>
      <c r="H155" s="2">
        <f>H12/'Output-Calculation-sheet'!H11*'Output-Calculation-sheet'!H128</f>
        <v>62814918.591941036</v>
      </c>
      <c r="I155" s="2">
        <f>I12/'Output-Calculation-sheet'!I11*'Output-Calculation-sheet'!I128</f>
        <v>745443923.05098832</v>
      </c>
      <c r="J155" s="2">
        <f>J12/'Output-Calculation-sheet'!J11*'Output-Calculation-sheet'!J128</f>
        <v>675920314.94926953</v>
      </c>
      <c r="K155" s="2">
        <f>K12/'Output-Calculation-sheet'!K11*'Output-Calculation-sheet'!K128</f>
        <v>585335862.44974875</v>
      </c>
      <c r="L155" s="2">
        <f>L12/'Output-Calculation-sheet'!L11*'Output-Calculation-sheet'!L128</f>
        <v>220502975.64665851</v>
      </c>
      <c r="M155" s="2">
        <f>M12/'Output-Calculation-sheet'!M11*'Output-Calculation-sheet'!M128</f>
        <v>51809924.440915525</v>
      </c>
      <c r="N155" s="2">
        <f>N12/'Output-Calculation-sheet'!N11*'Output-Calculation-sheet'!N128</f>
        <v>45786579.497525468</v>
      </c>
      <c r="O155" s="2">
        <f>O12/'Output-Calculation-sheet'!O11*'Output-Calculation-sheet'!O128</f>
        <v>9429155.6053567994</v>
      </c>
      <c r="P155" s="2">
        <f>P12/'Output-Calculation-sheet'!P11*'Output-Calculation-sheet'!P128</f>
        <v>60069410.797109462</v>
      </c>
      <c r="Q155" s="2">
        <f>Q12/'Output-Calculation-sheet'!Q11*'Output-Calculation-sheet'!Q128</f>
        <v>152274565.02686101</v>
      </c>
      <c r="R155" s="2">
        <f>R12/'Output-Calculation-sheet'!R11*'Output-Calculation-sheet'!R128</f>
        <v>338408219.15136439</v>
      </c>
      <c r="S155" s="2">
        <f>S12/'Output-Calculation-sheet'!S11*'Output-Calculation-sheet'!S128</f>
        <v>29228744.747130372</v>
      </c>
      <c r="T155" s="2">
        <f>T12/'Output-Calculation-sheet'!T11*'Output-Calculation-sheet'!T128</f>
        <v>86655357.066194892</v>
      </c>
      <c r="U155" s="2">
        <f>U12/'Output-Calculation-sheet'!U11*'Output-Calculation-sheet'!U128</f>
        <v>177618626.69471481</v>
      </c>
      <c r="V155" s="2">
        <f>V12/'Output-Calculation-sheet'!V11*'Output-Calculation-sheet'!V128</f>
        <v>39012177.103738964</v>
      </c>
      <c r="W155" s="2">
        <f>W12/'Output-Calculation-sheet'!W11*'Output-Calculation-sheet'!W128</f>
        <v>47472123.890179619</v>
      </c>
      <c r="X155" s="2">
        <f>X12/'Output-Calculation-sheet'!X11*'Output-Calculation-sheet'!X128</f>
        <v>1621764.0666886293</v>
      </c>
      <c r="Y155" s="2">
        <f>Y12/'Output-Calculation-sheet'!Y11*'Output-Calculation-sheet'!Y128</f>
        <v>9554463.6375535168</v>
      </c>
      <c r="AA155" s="2">
        <f t="shared" si="13"/>
        <v>8238.6355829877193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4976.8986789644032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1507.5624556364858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1047.2127362226774</v>
      </c>
      <c r="N19" s="2">
        <f>N8/'Output-Calculation-sheet'!N7*'Output-Calculation-sheet'!N25</f>
        <v>871.15724654334622</v>
      </c>
      <c r="O19" s="2">
        <f>O8/'Output-Calculation-sheet'!O7*'Output-Calculation-sheet'!O25</f>
        <v>546.74533661496616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113.33754860642907</v>
      </c>
      <c r="Y19" s="2">
        <f>Y8/'Output-Calculation-sheet'!Y7*'Output-Calculation-sheet'!Y25</f>
        <v>0</v>
      </c>
      <c r="AA19" s="2">
        <f t="shared" si="0"/>
        <v>10.523596112896554</v>
      </c>
    </row>
    <row r="20" spans="1:27" x14ac:dyDescent="0.25">
      <c r="A20" s="2">
        <v>2032</v>
      </c>
      <c r="B20" s="2">
        <f>B9/'Output-Calculation-sheet'!B8*'Output-Calculation-sheet'!B26</f>
        <v>5155.3390532795138</v>
      </c>
      <c r="C20" s="2">
        <f>C9/'Output-Calculation-sheet'!C8*'Output-Calculation-sheet'!C26</f>
        <v>2827.0620762233307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1697.0993234692348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1185.9447196529829</v>
      </c>
      <c r="N20" s="2">
        <f>N9/'Output-Calculation-sheet'!N8*'Output-Calculation-sheet'!N26</f>
        <v>821.89200753546424</v>
      </c>
      <c r="O20" s="2">
        <f>O9/'Output-Calculation-sheet'!O8*'Output-Calculation-sheet'!O26</f>
        <v>552.35553827822355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389.86711304680546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129.04810613843679</v>
      </c>
      <c r="Y20" s="2">
        <f>Y9/'Output-Calculation-sheet'!Y8*'Output-Calculation-sheet'!Y26</f>
        <v>0</v>
      </c>
      <c r="AA20" s="2">
        <f t="shared" si="0"/>
        <v>12.75860793762399</v>
      </c>
    </row>
    <row r="21" spans="1:27" x14ac:dyDescent="0.25">
      <c r="A21" s="2">
        <v>2033</v>
      </c>
      <c r="B21" s="2">
        <f>B10/'Output-Calculation-sheet'!B9*'Output-Calculation-sheet'!B27</f>
        <v>4767.998343148558</v>
      </c>
      <c r="C21" s="2">
        <f>C10/'Output-Calculation-sheet'!C9*'Output-Calculation-sheet'!C27</f>
        <v>2930.6135643814937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960.88017553895463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680.11891486005277</v>
      </c>
      <c r="N21" s="2">
        <f>N10/'Output-Calculation-sheet'!N9*'Output-Calculation-sheet'!N27</f>
        <v>688.75458321879535</v>
      </c>
      <c r="O21" s="2">
        <f>O10/'Output-Calculation-sheet'!O9*'Output-Calculation-sheet'!O27</f>
        <v>573.75130567270935</v>
      </c>
      <c r="P21" s="2">
        <f>P10/'Output-Calculation-sheet'!P9*'Output-Calculation-sheet'!P27</f>
        <v>0</v>
      </c>
      <c r="Q21" s="2">
        <f>Q10/'Output-Calculation-sheet'!Q9*'Output-Calculation-sheet'!Q27</f>
        <v>8.3420696602156159</v>
      </c>
      <c r="R21" s="2">
        <f>R10/'Output-Calculation-sheet'!R9*'Output-Calculation-sheet'!R27</f>
        <v>0</v>
      </c>
      <c r="S21" s="2">
        <f>S10/'Output-Calculation-sheet'!S9*'Output-Calculation-sheet'!S27</f>
        <v>327.95943182056362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67.912796613362715</v>
      </c>
      <c r="Y21" s="2">
        <f>Y10/'Output-Calculation-sheet'!Y9*'Output-Calculation-sheet'!Y27</f>
        <v>0</v>
      </c>
      <c r="AA21" s="2">
        <f t="shared" si="0"/>
        <v>11.006331184914705</v>
      </c>
    </row>
    <row r="22" spans="1:27" x14ac:dyDescent="0.25">
      <c r="A22" s="2">
        <v>2034</v>
      </c>
      <c r="B22" s="2">
        <f>B11/'Output-Calculation-sheet'!B10*'Output-Calculation-sheet'!B28</f>
        <v>4027.7068811418121</v>
      </c>
      <c r="C22" s="2">
        <f>C11/'Output-Calculation-sheet'!C10*'Output-Calculation-sheet'!C28</f>
        <v>409.37326023779605</v>
      </c>
      <c r="D22" s="2">
        <f>D11/'Output-Calculation-sheet'!D10*'Output-Calculation-sheet'!D28</f>
        <v>0</v>
      </c>
      <c r="E22" s="2">
        <f>E11/'Output-Calculation-sheet'!E10*'Output-Calculation-sheet'!E28</f>
        <v>1359.3404300902796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1077.9118672386014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824.39636140606183</v>
      </c>
      <c r="M22" s="2">
        <f>M11/'Output-Calculation-sheet'!M10*'Output-Calculation-sheet'!M28</f>
        <v>767.14576725588893</v>
      </c>
      <c r="N22" s="2">
        <f>N11/'Output-Calculation-sheet'!N10*'Output-Calculation-sheet'!N28</f>
        <v>512.84132211658698</v>
      </c>
      <c r="O22" s="2">
        <f>O11/'Output-Calculation-sheet'!O10*'Output-Calculation-sheet'!O28</f>
        <v>80.299517729669958</v>
      </c>
      <c r="P22" s="2">
        <f>P11/'Output-Calculation-sheet'!P10*'Output-Calculation-sheet'!P28</f>
        <v>0</v>
      </c>
      <c r="Q22" s="2">
        <f>Q11/'Output-Calculation-sheet'!Q10*'Output-Calculation-sheet'!Q28</f>
        <v>261.93145605554287</v>
      </c>
      <c r="R22" s="2">
        <f>R11/'Output-Calculation-sheet'!R10*'Output-Calculation-sheet'!R28</f>
        <v>0</v>
      </c>
      <c r="S22" s="2">
        <f>S11/'Output-Calculation-sheet'!S10*'Output-Calculation-sheet'!S28</f>
        <v>192.02406095805867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75.377412928467137</v>
      </c>
      <c r="Y22" s="2">
        <f>Y11/'Output-Calculation-sheet'!Y10*'Output-Calculation-sheet'!Y28</f>
        <v>30.725962531080896</v>
      </c>
      <c r="AA22" s="2">
        <f t="shared" si="0"/>
        <v>9.6190742996898457</v>
      </c>
    </row>
    <row r="23" spans="1:27" x14ac:dyDescent="0.25">
      <c r="A23" s="2">
        <v>2035</v>
      </c>
      <c r="B23" s="2">
        <f>B12/'Output-Calculation-sheet'!B11*'Output-Calculation-sheet'!B29</f>
        <v>915.56554317521454</v>
      </c>
      <c r="C23" s="2">
        <f>C12/'Output-Calculation-sheet'!C11*'Output-Calculation-sheet'!C29</f>
        <v>190.00521893005447</v>
      </c>
      <c r="D23" s="2">
        <f>D12/'Output-Calculation-sheet'!D11*'Output-Calculation-sheet'!D29</f>
        <v>0</v>
      </c>
      <c r="E23" s="2">
        <f>E12/'Output-Calculation-sheet'!E11*'Output-Calculation-sheet'!E29</f>
        <v>2341.7782737098087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329.33926715304017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1350.189753580185</v>
      </c>
      <c r="M23" s="2">
        <f>M12/'Output-Calculation-sheet'!M11*'Output-Calculation-sheet'!M29</f>
        <v>293.50582671238345</v>
      </c>
      <c r="N23" s="2">
        <f>N12/'Output-Calculation-sheet'!N11*'Output-Calculation-sheet'!N29</f>
        <v>244.37364118465931</v>
      </c>
      <c r="O23" s="2">
        <f>O12/'Output-Calculation-sheet'!O11*'Output-Calculation-sheet'!O29</f>
        <v>32.468297411768255</v>
      </c>
      <c r="P23" s="2">
        <f>P12/'Output-Calculation-sheet'!P11*'Output-Calculation-sheet'!P29</f>
        <v>50.85601186593356</v>
      </c>
      <c r="Q23" s="2">
        <f>Q12/'Output-Calculation-sheet'!Q11*'Output-Calculation-sheet'!Q29</f>
        <v>416.57250419171879</v>
      </c>
      <c r="R23" s="2">
        <f>R12/'Output-Calculation-sheet'!R11*'Output-Calculation-sheet'!R29</f>
        <v>0</v>
      </c>
      <c r="S23" s="2">
        <f>S12/'Output-Calculation-sheet'!S11*'Output-Calculation-sheet'!S29</f>
        <v>109.72578978976463</v>
      </c>
      <c r="T23" s="2">
        <f>T12/'Output-Calculation-sheet'!T11*'Output-Calculation-sheet'!T29</f>
        <v>0</v>
      </c>
      <c r="U23" s="2">
        <f>U12/'Output-Calculation-sheet'!U11*'Output-Calculation-sheet'!U29</f>
        <v>147.73159127706788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9.6080528780067436</v>
      </c>
      <c r="Y23" s="2">
        <f>Y12/'Output-Calculation-sheet'!Y11*'Output-Calculation-sheet'!Y29</f>
        <v>61.117298690816362</v>
      </c>
      <c r="AA23" s="2">
        <f t="shared" si="0"/>
        <v>6.4928370705504213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993.10083342485837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38.936955196508542</v>
      </c>
    </row>
    <row r="31" spans="1:27" x14ac:dyDescent="0.25">
      <c r="A31" s="2">
        <v>2032</v>
      </c>
      <c r="B31" s="2">
        <f>B9/'Output-Calculation-sheet'!B8*'Output-Calculation-sheet'!B17</f>
        <v>21675.18013946155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847.52238733767217</v>
      </c>
      <c r="O31" s="2">
        <f>O9/'Output-Calculation-sheet'!O8*'Output-Calculation-sheet'!O17</f>
        <v>0</v>
      </c>
      <c r="P31" s="2">
        <f>P9/'Output-Calculation-sheet'!P8*'Output-Calculation-sheet'!P17</f>
        <v>2118.403475740578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701.46697047217208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49.660568601549883</v>
      </c>
    </row>
    <row r="32" spans="1:27" x14ac:dyDescent="0.25">
      <c r="A32" s="2">
        <v>2033</v>
      </c>
      <c r="B32" s="2">
        <f>B10/'Output-Calculation-sheet'!B9*'Output-Calculation-sheet'!B18</f>
        <v>17247.110590782606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2699.9015661556296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698.08010251098074</v>
      </c>
      <c r="O32" s="2">
        <f>O10/'Output-Calculation-sheet'!O9*'Output-Calculation-sheet'!O18</f>
        <v>0</v>
      </c>
      <c r="P32" s="2">
        <f>P10/'Output-Calculation-sheet'!P9*'Output-Calculation-sheet'!P18</f>
        <v>2779.021828547121</v>
      </c>
      <c r="Q32" s="2">
        <f>Q10/'Output-Calculation-sheet'!Q9*'Output-Calculation-sheet'!Q18</f>
        <v>2572.944164218155</v>
      </c>
      <c r="R32" s="2">
        <f>R10/'Output-Calculation-sheet'!R9*'Output-Calculation-sheet'!R18</f>
        <v>1996.035155426574</v>
      </c>
      <c r="S32" s="2">
        <f>S10/'Output-Calculation-sheet'!S9*'Output-Calculation-sheet'!S18</f>
        <v>635.0465538997156</v>
      </c>
      <c r="T32" s="2">
        <f>T10/'Output-Calculation-sheet'!T9*'Output-Calculation-sheet'!T18</f>
        <v>582.651500804791</v>
      </c>
      <c r="U32" s="2">
        <f>U10/'Output-Calculation-sheet'!U9*'Output-Calculation-sheet'!U18</f>
        <v>644.11334560878629</v>
      </c>
      <c r="V32" s="2">
        <f>V10/'Output-Calculation-sheet'!V9*'Output-Calculation-sheet'!V18</f>
        <v>475.43704820901178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275.28114109012796</v>
      </c>
      <c r="AA32" s="2">
        <f t="shared" si="1"/>
        <v>54.829969975223968</v>
      </c>
    </row>
    <row r="33" spans="1:27" x14ac:dyDescent="0.25">
      <c r="A33" s="2">
        <v>2034</v>
      </c>
      <c r="B33" s="2">
        <f>B11/'Output-Calculation-sheet'!B10*'Output-Calculation-sheet'!B19</f>
        <v>12308.763204019273</v>
      </c>
      <c r="C33" s="2">
        <f>C11/'Output-Calculation-sheet'!C10*'Output-Calculation-sheet'!C19</f>
        <v>0</v>
      </c>
      <c r="D33" s="2">
        <f>D11/'Output-Calculation-sheet'!D10*'Output-Calculation-sheet'!D19</f>
        <v>8158.485781051264</v>
      </c>
      <c r="E33" s="2">
        <f>E11/'Output-Calculation-sheet'!E10*'Output-Calculation-sheet'!E19</f>
        <v>10114.46244618916</v>
      </c>
      <c r="F33" s="2">
        <f>F11/'Output-Calculation-sheet'!F10*'Output-Calculation-sheet'!F19</f>
        <v>4631.2505317915202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3030.5762005754495</v>
      </c>
      <c r="J33" s="2">
        <f>J11/'Output-Calculation-sheet'!J10*'Output-Calculation-sheet'!J19</f>
        <v>2562.4621320587121</v>
      </c>
      <c r="K33" s="2">
        <f>K11/'Output-Calculation-sheet'!K10*'Output-Calculation-sheet'!K19</f>
        <v>3554.0486668220142</v>
      </c>
      <c r="L33" s="2">
        <f>L11/'Output-Calculation-sheet'!L10*'Output-Calculation-sheet'!L19</f>
        <v>2890.9642018037125</v>
      </c>
      <c r="M33" s="2">
        <f>M11/'Output-Calculation-sheet'!M10*'Output-Calculation-sheet'!M19</f>
        <v>0</v>
      </c>
      <c r="N33" s="2">
        <f>N11/'Output-Calculation-sheet'!N10*'Output-Calculation-sheet'!N19</f>
        <v>548.75231700268046</v>
      </c>
      <c r="O33" s="2">
        <f>O11/'Output-Calculation-sheet'!O10*'Output-Calculation-sheet'!O19</f>
        <v>0</v>
      </c>
      <c r="P33" s="2">
        <f>P11/'Output-Calculation-sheet'!P10*'Output-Calculation-sheet'!P19</f>
        <v>2725.3304117642256</v>
      </c>
      <c r="Q33" s="2">
        <f>Q11/'Output-Calculation-sheet'!Q10*'Output-Calculation-sheet'!Q19</f>
        <v>1732.2188223787145</v>
      </c>
      <c r="R33" s="2">
        <f>R11/'Output-Calculation-sheet'!R10*'Output-Calculation-sheet'!R19</f>
        <v>2567.5302969816485</v>
      </c>
      <c r="S33" s="2">
        <f>S11/'Output-Calculation-sheet'!S10*'Output-Calculation-sheet'!S19</f>
        <v>348.84132963985735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866.46450665401801</v>
      </c>
      <c r="V33" s="2">
        <f>V11/'Output-Calculation-sheet'!V10*'Output-Calculation-sheet'!V19</f>
        <v>590.87795468936417</v>
      </c>
      <c r="W33" s="2">
        <f>W11/'Output-Calculation-sheet'!W10*'Output-Calculation-sheet'!W19</f>
        <v>367.90887788426056</v>
      </c>
      <c r="X33" s="2">
        <f>X11/'Output-Calculation-sheet'!X10*'Output-Calculation-sheet'!X19</f>
        <v>0</v>
      </c>
      <c r="Y33" s="2">
        <f>Y11/'Output-Calculation-sheet'!Y10*'Output-Calculation-sheet'!Y19</f>
        <v>301.21992508257352</v>
      </c>
      <c r="AA33" s="2">
        <f t="shared" si="1"/>
        <v>60.830754058840213</v>
      </c>
    </row>
    <row r="34" spans="1:27" x14ac:dyDescent="0.25">
      <c r="A34" s="2">
        <v>2035</v>
      </c>
      <c r="B34" s="2">
        <f>B12/'Output-Calculation-sheet'!B11*'Output-Calculation-sheet'!B20</f>
        <v>182.26620224120211</v>
      </c>
      <c r="C34" s="2">
        <f>C12/'Output-Calculation-sheet'!C11*'Output-Calculation-sheet'!C20</f>
        <v>0</v>
      </c>
      <c r="D34" s="2">
        <f>D12/'Output-Calculation-sheet'!D11*'Output-Calculation-sheet'!D20</f>
        <v>8989.9729284300338</v>
      </c>
      <c r="E34" s="2">
        <f>E12/'Output-Calculation-sheet'!E11*'Output-Calculation-sheet'!E20</f>
        <v>4200.0996127491208</v>
      </c>
      <c r="F34" s="2">
        <f>F12/'Output-Calculation-sheet'!F11*'Output-Calculation-sheet'!F20</f>
        <v>5706.1871527435305</v>
      </c>
      <c r="G34" s="2">
        <f>G12/'Output-Calculation-sheet'!G11*'Output-Calculation-sheet'!G20</f>
        <v>3064.4640956098574</v>
      </c>
      <c r="H34" s="2">
        <f>H12/'Output-Calculation-sheet'!H11*'Output-Calculation-sheet'!H20</f>
        <v>0</v>
      </c>
      <c r="I34" s="2">
        <f>I12/'Output-Calculation-sheet'!I11*'Output-Calculation-sheet'!I20</f>
        <v>3404.6846707599507</v>
      </c>
      <c r="J34" s="2">
        <f>J12/'Output-Calculation-sheet'!J11*'Output-Calculation-sheet'!J20</f>
        <v>2948.2713186212691</v>
      </c>
      <c r="K34" s="2">
        <f>K12/'Output-Calculation-sheet'!K11*'Output-Calculation-sheet'!K20</f>
        <v>4153.9103609944559</v>
      </c>
      <c r="L34" s="2">
        <f>L12/'Output-Calculation-sheet'!L11*'Output-Calculation-sheet'!L20</f>
        <v>2300.3328326701549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914.63319807084144</v>
      </c>
      <c r="Q34" s="2">
        <f>Q12/'Output-Calculation-sheet'!Q11*'Output-Calculation-sheet'!Q20</f>
        <v>865.33828214680148</v>
      </c>
      <c r="R34" s="2">
        <f>R12/'Output-Calculation-sheet'!R11*'Output-Calculation-sheet'!R20</f>
        <v>3066.6792735246031</v>
      </c>
      <c r="S34" s="2">
        <f>S12/'Output-Calculation-sheet'!S11*'Output-Calculation-sheet'!S20</f>
        <v>2.4540317699729326</v>
      </c>
      <c r="T34" s="2">
        <f>T12/'Output-Calculation-sheet'!T11*'Output-Calculation-sheet'!T20</f>
        <v>914.64985010199985</v>
      </c>
      <c r="U34" s="2">
        <f>U12/'Output-Calculation-sheet'!U11*'Output-Calculation-sheet'!U20</f>
        <v>832.46428929726801</v>
      </c>
      <c r="V34" s="2">
        <f>V12/'Output-Calculation-sheet'!V11*'Output-Calculation-sheet'!V20</f>
        <v>803.4479113658075</v>
      </c>
      <c r="W34" s="2">
        <f>W12/'Output-Calculation-sheet'!W11*'Output-Calculation-sheet'!W20</f>
        <v>488.69280570206087</v>
      </c>
      <c r="X34" s="2">
        <f>X12/'Output-Calculation-sheet'!X11*'Output-Calculation-sheet'!X20</f>
        <v>0</v>
      </c>
      <c r="Y34" s="2">
        <f>Y12/'Output-Calculation-sheet'!Y11*'Output-Calculation-sheet'!Y20</f>
        <v>105.12014628848353</v>
      </c>
      <c r="AA34" s="2">
        <f t="shared" si="1"/>
        <v>42.943668963087433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0.15336949907881009</v>
      </c>
      <c r="E45" s="2">
        <f>E12/'Output-Calculation-sheet'!E11*'Output-Calculation-sheet'!E38*0.0114</f>
        <v>8.1258657219536526E-2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1.3434617510682974E-2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0.86925014147373048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0.13820004287413992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176.93099670894549</v>
      </c>
      <c r="R54" s="2">
        <f>R10/'Output-Calculation-sheet'!R9*'Output-Calculation-sheet'!R45</f>
        <v>1323.6015022345725</v>
      </c>
      <c r="S54" s="2">
        <f>S10/'Output-Calculation-sheet'!S9*'Output-Calculation-sheet'!S45</f>
        <v>0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16.508968700790177</v>
      </c>
      <c r="AA54" s="2">
        <f t="shared" si="3"/>
        <v>4.3574027776418438</v>
      </c>
    </row>
    <row r="55" spans="1:27" x14ac:dyDescent="0.25">
      <c r="A55" s="2">
        <v>2034</v>
      </c>
      <c r="B55" s="2">
        <f>B11/'Output-Calculation-sheet'!B10*'Output-Calculation-sheet'!B46</f>
        <v>1506.9913340152941</v>
      </c>
      <c r="C55" s="2">
        <f>C11/'Output-Calculation-sheet'!C10*'Output-Calculation-sheet'!C46</f>
        <v>0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546.53876864947745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405.08311962747337</v>
      </c>
      <c r="N55" s="2">
        <f>N11/'Output-Calculation-sheet'!N10*'Output-Calculation-sheet'!N46</f>
        <v>138.34260638371592</v>
      </c>
      <c r="O55" s="2">
        <f>O11/'Output-Calculation-sheet'!O10*'Output-Calculation-sheet'!O46</f>
        <v>0</v>
      </c>
      <c r="P55" s="2">
        <f>P11/'Output-Calculation-sheet'!P10*'Output-Calculation-sheet'!P46</f>
        <v>2950.2298265477107</v>
      </c>
      <c r="Q55" s="2">
        <f>Q11/'Output-Calculation-sheet'!Q10*'Output-Calculation-sheet'!Q46</f>
        <v>644.90751979311585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0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76.087213178896263</v>
      </c>
      <c r="X55" s="2">
        <f>X11/'Output-Calculation-sheet'!X10*'Output-Calculation-sheet'!X46</f>
        <v>38.662639572363616</v>
      </c>
      <c r="Y55" s="2">
        <f>Y11/'Output-Calculation-sheet'!Y10*'Output-Calculation-sheet'!Y46</f>
        <v>268.90634585559309</v>
      </c>
      <c r="AA55" s="2">
        <f t="shared" si="3"/>
        <v>40.098791308804131</v>
      </c>
    </row>
    <row r="56" spans="1:27" x14ac:dyDescent="0.25">
      <c r="A56" s="2">
        <v>2035</v>
      </c>
      <c r="B56" s="2">
        <f>B12/'Output-Calculation-sheet'!B11*'Output-Calculation-sheet'!B47</f>
        <v>447.98574989059506</v>
      </c>
      <c r="C56" s="2">
        <f>C12/'Output-Calculation-sheet'!C11*'Output-Calculation-sheet'!C47</f>
        <v>364.49898121506772</v>
      </c>
      <c r="D56" s="2">
        <f>D12/'Output-Calculation-sheet'!D11*'Output-Calculation-sheet'!D47</f>
        <v>14816.749267730658</v>
      </c>
      <c r="E56" s="2">
        <f>E12/'Output-Calculation-sheet'!E11*'Output-Calculation-sheet'!E47</f>
        <v>10299.891200195638</v>
      </c>
      <c r="F56" s="2">
        <f>F12/'Output-Calculation-sheet'!F11*'Output-Calculation-sheet'!F47</f>
        <v>3075.3322845986177</v>
      </c>
      <c r="G56" s="2">
        <f>G12/'Output-Calculation-sheet'!G11*'Output-Calculation-sheet'!G47</f>
        <v>6877.1383186682569</v>
      </c>
      <c r="H56" s="2">
        <f>H12/'Output-Calculation-sheet'!H11*'Output-Calculation-sheet'!H47</f>
        <v>137.13833385920577</v>
      </c>
      <c r="I56" s="2">
        <f>I12/'Output-Calculation-sheet'!I11*'Output-Calculation-sheet'!I47</f>
        <v>4041.233151414237</v>
      </c>
      <c r="J56" s="2">
        <f>J12/'Output-Calculation-sheet'!J11*'Output-Calculation-sheet'!J47</f>
        <v>4281.5795266482955</v>
      </c>
      <c r="K56" s="2">
        <f>K12/'Output-Calculation-sheet'!K11*'Output-Calculation-sheet'!K47</f>
        <v>5917.3038963757326</v>
      </c>
      <c r="L56" s="2">
        <f>L12/'Output-Calculation-sheet'!L11*'Output-Calculation-sheet'!L47</f>
        <v>3961.1156671921012</v>
      </c>
      <c r="M56" s="2">
        <f>M12/'Output-Calculation-sheet'!M11*'Output-Calculation-sheet'!M47</f>
        <v>91.147547661950952</v>
      </c>
      <c r="N56" s="2">
        <f>N12/'Output-Calculation-sheet'!N11*'Output-Calculation-sheet'!N47</f>
        <v>100.12246426910926</v>
      </c>
      <c r="O56" s="2">
        <f>O12/'Output-Calculation-sheet'!O11*'Output-Calculation-sheet'!O47</f>
        <v>66.878024535796243</v>
      </c>
      <c r="P56" s="2">
        <f>P12/'Output-Calculation-sheet'!P11*'Output-Calculation-sheet'!P47</f>
        <v>1290.0697972998291</v>
      </c>
      <c r="Q56" s="2">
        <f>Q12/'Output-Calculation-sheet'!Q11*'Output-Calculation-sheet'!Q47</f>
        <v>952.94454232995258</v>
      </c>
      <c r="R56" s="2">
        <f>R12/'Output-Calculation-sheet'!R11*'Output-Calculation-sheet'!R47</f>
        <v>5381.6925890813536</v>
      </c>
      <c r="S56" s="2">
        <f>S12/'Output-Calculation-sheet'!S11*'Output-Calculation-sheet'!S47</f>
        <v>44.706634903495079</v>
      </c>
      <c r="T56" s="2">
        <f>T12/'Output-Calculation-sheet'!T11*'Output-Calculation-sheet'!T47</f>
        <v>1954.0962552219617</v>
      </c>
      <c r="U56" s="2">
        <f>U12/'Output-Calculation-sheet'!U11*'Output-Calculation-sheet'!U47</f>
        <v>1821.0388340686723</v>
      </c>
      <c r="V56" s="2">
        <f>V12/'Output-Calculation-sheet'!V11*'Output-Calculation-sheet'!V47</f>
        <v>1120.8905102575209</v>
      </c>
      <c r="W56" s="2">
        <f>W12/'Output-Calculation-sheet'!W11*'Output-Calculation-sheet'!W47</f>
        <v>662.94506310494887</v>
      </c>
      <c r="X56" s="2">
        <f>X12/'Output-Calculation-sheet'!X11*'Output-Calculation-sheet'!X47</f>
        <v>10.234347915992293</v>
      </c>
      <c r="Y56" s="2">
        <f>Y12/'Output-Calculation-sheet'!Y11*'Output-Calculation-sheet'!Y47</f>
        <v>219.43641524978366</v>
      </c>
      <c r="AA56" s="2">
        <f t="shared" si="3"/>
        <v>67.936169403688794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7.1809261883721005</v>
      </c>
      <c r="C63" s="2">
        <f>C8*'Output-Calculation-sheet'!C52/10^9</f>
        <v>3.8364200882156774</v>
      </c>
      <c r="D63" s="2">
        <f>D8*'Output-Calculation-sheet'!D52/10^9</f>
        <v>2.4624934788118886</v>
      </c>
      <c r="E63" s="2">
        <f>E8*'Output-Calculation-sheet'!E52/10^9</f>
        <v>2.4483790529342229</v>
      </c>
      <c r="F63" s="2">
        <f>F8*'Output-Calculation-sheet'!F52/10^9</f>
        <v>1.036888326511185</v>
      </c>
      <c r="G63" s="2">
        <f>G8*'Output-Calculation-sheet'!G52/10^9</f>
        <v>0.74547586414697919</v>
      </c>
      <c r="H63" s="2">
        <f>H8*'Output-Calculation-sheet'!H52/10^9</f>
        <v>1.2124448770554692</v>
      </c>
      <c r="I63" s="2">
        <f>I8*'Output-Calculation-sheet'!I52/10^9</f>
        <v>0.69346562517586952</v>
      </c>
      <c r="J63" s="2">
        <f>J8*'Output-Calculation-sheet'!J52/10^9</f>
        <v>0.9542557046815735</v>
      </c>
      <c r="K63" s="2">
        <f>K8*'Output-Calculation-sheet'!K52/10^9</f>
        <v>0.83839851002507582</v>
      </c>
      <c r="L63" s="2">
        <f>L8*'Output-Calculation-sheet'!L52/10^9</f>
        <v>1.1276863348564325</v>
      </c>
      <c r="M63" s="2">
        <f>M8*'Output-Calculation-sheet'!M52/10^9</f>
        <v>0.99327480952236691</v>
      </c>
      <c r="N63" s="2">
        <f>N8*'Output-Calculation-sheet'!N52/10^9</f>
        <v>0.87642103443834818</v>
      </c>
      <c r="O63" s="2">
        <f>O8*'Output-Calculation-sheet'!O52/10^9</f>
        <v>0.78489843158779271</v>
      </c>
      <c r="P63" s="2">
        <f>P8*'Output-Calculation-sheet'!P52/10^9</f>
        <v>0.57931075463199555</v>
      </c>
      <c r="Q63" s="2">
        <f>Q8*'Output-Calculation-sheet'!Q52/10^9</f>
        <v>0.65561000959868454</v>
      </c>
      <c r="R63" s="2">
        <f>R8*'Output-Calculation-sheet'!R52/10^9</f>
        <v>0.58860764986385716</v>
      </c>
      <c r="S63" s="2">
        <f>S8*'Output-Calculation-sheet'!S52/10^9</f>
        <v>0.43617912395377334</v>
      </c>
      <c r="T63" s="2">
        <f>T8*'Output-Calculation-sheet'!T52/10^9</f>
        <v>0.22378022024217434</v>
      </c>
      <c r="U63" s="2">
        <f>U8*'Output-Calculation-sheet'!U52/10^9</f>
        <v>0.15368985730891738</v>
      </c>
      <c r="V63" s="2">
        <f>V8*'Output-Calculation-sheet'!V52/10^9</f>
        <v>0.27276317696235153</v>
      </c>
      <c r="W63" s="2">
        <f>W8*'Output-Calculation-sheet'!W52/10^9</f>
        <v>9.872749097630712E-2</v>
      </c>
      <c r="X63" s="2">
        <f>X8*'Output-Calculation-sheet'!X52/10^9</f>
        <v>0.10172697671652393</v>
      </c>
      <c r="Y63" s="2">
        <f>Y8*'Output-Calculation-sheet'!Y52/10^9</f>
        <v>6.4416941504277958E-2</v>
      </c>
      <c r="AA63" s="2">
        <f t="shared" si="4"/>
        <v>28.366240528093837</v>
      </c>
    </row>
    <row r="64" spans="1:27" x14ac:dyDescent="0.25">
      <c r="A64" s="2">
        <v>2032</v>
      </c>
      <c r="B64" s="2">
        <f>B9*'Output-Calculation-sheet'!B53/10^9</f>
        <v>7.3913076012197649</v>
      </c>
      <c r="C64" s="2">
        <f>C9*'Output-Calculation-sheet'!C53/10^9</f>
        <v>3.918360437961224</v>
      </c>
      <c r="D64" s="2">
        <f>D9*'Output-Calculation-sheet'!D53/10^9</f>
        <v>2.1890644305813751</v>
      </c>
      <c r="E64" s="2">
        <f>E9*'Output-Calculation-sheet'!E53/10^9</f>
        <v>2.2416982911541825</v>
      </c>
      <c r="F64" s="2">
        <f>F9*'Output-Calculation-sheet'!F53/10^9</f>
        <v>0.94553428260642325</v>
      </c>
      <c r="G64" s="2">
        <f>G9*'Output-Calculation-sheet'!G53/10^9</f>
        <v>0.67300237742452496</v>
      </c>
      <c r="H64" s="2">
        <f>H9*'Output-Calculation-sheet'!H53/10^9</f>
        <v>1.2297483540916581</v>
      </c>
      <c r="I64" s="2">
        <f>I9*'Output-Calculation-sheet'!I53/10^9</f>
        <v>0.62914722983672211</v>
      </c>
      <c r="J64" s="2">
        <f>J9*'Output-Calculation-sheet'!J53/10^9</f>
        <v>0.83286309900347677</v>
      </c>
      <c r="K64" s="2">
        <f>K9*'Output-Calculation-sheet'!K53/10^9</f>
        <v>0.77278364192638005</v>
      </c>
      <c r="L64" s="2">
        <f>L9*'Output-Calculation-sheet'!L53/10^9</f>
        <v>0.99418384554304928</v>
      </c>
      <c r="M64" s="2">
        <f>M9*'Output-Calculation-sheet'!M53/10^9</f>
        <v>0.97566148930123009</v>
      </c>
      <c r="N64" s="2">
        <f>N9*'Output-Calculation-sheet'!N53/10^9</f>
        <v>0.87841058372111436</v>
      </c>
      <c r="O64" s="2">
        <f>O9*'Output-Calculation-sheet'!O53/10^9</f>
        <v>0.79349733221805696</v>
      </c>
      <c r="P64" s="2">
        <f>P9*'Output-Calculation-sheet'!P53/10^9</f>
        <v>0.58919861033827792</v>
      </c>
      <c r="Q64" s="2">
        <f>Q9*'Output-Calculation-sheet'!Q53/10^9</f>
        <v>0.65114916928117583</v>
      </c>
      <c r="R64" s="2">
        <f>R9*'Output-Calculation-sheet'!R53/10^9</f>
        <v>0.55818860811927429</v>
      </c>
      <c r="S64" s="2">
        <f>S9*'Output-Calculation-sheet'!S53/10^9</f>
        <v>0.44915875353803969</v>
      </c>
      <c r="T64" s="2">
        <f>T9*'Output-Calculation-sheet'!T53/10^9</f>
        <v>0.2006534782119008</v>
      </c>
      <c r="U64" s="2">
        <f>U9*'Output-Calculation-sheet'!U53/10^9</f>
        <v>0.15102768951280079</v>
      </c>
      <c r="V64" s="2">
        <f>V9*'Output-Calculation-sheet'!V53/10^9</f>
        <v>0.23816211003301643</v>
      </c>
      <c r="W64" s="2">
        <f>W9*'Output-Calculation-sheet'!W53/10^9</f>
        <v>8.8496594367221418E-2</v>
      </c>
      <c r="X64" s="2">
        <f>X9*'Output-Calculation-sheet'!X53/10^9</f>
        <v>0.10146007934176399</v>
      </c>
      <c r="Y64" s="2">
        <f>Y9*'Output-Calculation-sheet'!Y53/10^9</f>
        <v>6.2003634341126899E-2</v>
      </c>
      <c r="AA64" s="2">
        <f t="shared" si="4"/>
        <v>27.554761723673778</v>
      </c>
    </row>
    <row r="65" spans="1:27" x14ac:dyDescent="0.25">
      <c r="A65" s="2">
        <v>2033</v>
      </c>
      <c r="B65" s="2">
        <f>B10*'Output-Calculation-sheet'!B54/10^9</f>
        <v>7.4882577431236692</v>
      </c>
      <c r="C65" s="2">
        <f>C10*'Output-Calculation-sheet'!C54/10^9</f>
        <v>3.8708146265922441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1.2155664364436976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0.70817626405596601</v>
      </c>
      <c r="L65" s="2">
        <f>L10*'Output-Calculation-sheet'!L54/10^9</f>
        <v>0.83649477770571723</v>
      </c>
      <c r="M65" s="2">
        <f>M10*'Output-Calculation-sheet'!M54/10^9</f>
        <v>0.92694682132555273</v>
      </c>
      <c r="N65" s="2">
        <f>N10*'Output-Calculation-sheet'!N54/10^9</f>
        <v>0.85058729597021887</v>
      </c>
      <c r="O65" s="2">
        <f>O10*'Output-Calculation-sheet'!O54/10^9</f>
        <v>0.77572836762798647</v>
      </c>
      <c r="P65" s="2">
        <f>P10*'Output-Calculation-sheet'!P54/10^9</f>
        <v>0.59918935417533603</v>
      </c>
      <c r="Q65" s="2">
        <f>Q10*'Output-Calculation-sheet'!Q54/10^9</f>
        <v>0.65271658371862806</v>
      </c>
      <c r="R65" s="2">
        <f>R10*'Output-Calculation-sheet'!R54/10^9</f>
        <v>0.52756784804331469</v>
      </c>
      <c r="S65" s="2">
        <f>S10*'Output-Calculation-sheet'!S54/10^9</f>
        <v>0.44868356900624662</v>
      </c>
      <c r="T65" s="2">
        <f>T10*'Output-Calculation-sheet'!T54/10^9</f>
        <v>0.17637329050541012</v>
      </c>
      <c r="U65" s="2">
        <f>U10*'Output-Calculation-sheet'!U54/10^9</f>
        <v>0.15229484386593067</v>
      </c>
      <c r="V65" s="2">
        <f>V10*'Output-Calculation-sheet'!V54/10^9</f>
        <v>0.19519106591507743</v>
      </c>
      <c r="W65" s="2">
        <f>W10*'Output-Calculation-sheet'!W54/10^9</f>
        <v>7.4313727768749116E-2</v>
      </c>
      <c r="X65" s="2">
        <f>X10*'Output-Calculation-sheet'!X54/10^9</f>
        <v>9.7191028775295257E-2</v>
      </c>
      <c r="Y65" s="2">
        <f>Y10*'Output-Calculation-sheet'!Y54/10^9</f>
        <v>6.1169247268747708E-2</v>
      </c>
      <c r="AA65" s="2">
        <f t="shared" si="4"/>
        <v>26.14076627269414</v>
      </c>
    </row>
    <row r="66" spans="1:27" x14ac:dyDescent="0.25">
      <c r="A66" s="2">
        <v>2034</v>
      </c>
      <c r="B66" s="2">
        <f>B11*'Output-Calculation-sheet'!B55/10^9</f>
        <v>7.457393165720462</v>
      </c>
      <c r="C66" s="2">
        <f>C11*'Output-Calculation-sheet'!C55/10^9</f>
        <v>3.751363711432588</v>
      </c>
      <c r="D66" s="2">
        <f>D11*'Output-Calculation-sheet'!D55/10^9</f>
        <v>1.6830159565275782</v>
      </c>
      <c r="E66" s="2">
        <f>E11*'Output-Calculation-sheet'!E55/10^9</f>
        <v>2.0380129603876127</v>
      </c>
      <c r="F66" s="2">
        <f>F11*'Output-Calculation-sheet'!F55/10^9</f>
        <v>0.78324305728011112</v>
      </c>
      <c r="G66" s="2">
        <f>G11*'Output-Calculation-sheet'!G55/10^9</f>
        <v>0.55984507381410398</v>
      </c>
      <c r="H66" s="2">
        <f>H11*'Output-Calculation-sheet'!H55/10^9</f>
        <v>1.1682529571008986</v>
      </c>
      <c r="I66" s="2">
        <f>I11*'Output-Calculation-sheet'!I55/10^9</f>
        <v>0.54746066159901563</v>
      </c>
      <c r="J66" s="2">
        <f>J11*'Output-Calculation-sheet'!J55/10^9</f>
        <v>0.56297339125631873</v>
      </c>
      <c r="K66" s="2">
        <f>K11*'Output-Calculation-sheet'!K55/10^9</f>
        <v>0.67334299925238572</v>
      </c>
      <c r="L66" s="2">
        <f>L11*'Output-Calculation-sheet'!L55/10^9</f>
        <v>0.71309373721920177</v>
      </c>
      <c r="M66" s="2">
        <f>M11*'Output-Calculation-sheet'!M55/10^9</f>
        <v>0.85157568558813135</v>
      </c>
      <c r="N66" s="2">
        <f>N11*'Output-Calculation-sheet'!N55/10^9</f>
        <v>0.8044928685271302</v>
      </c>
      <c r="O66" s="2">
        <f>O11*'Output-Calculation-sheet'!O55/10^9</f>
        <v>0.73940641673047924</v>
      </c>
      <c r="P66" s="2">
        <f>P11*'Output-Calculation-sheet'!P55/10^9</f>
        <v>0.6174433412926984</v>
      </c>
      <c r="Q66" s="2">
        <f>Q11*'Output-Calculation-sheet'!Q55/10^9</f>
        <v>0.65311486512709382</v>
      </c>
      <c r="R66" s="2">
        <f>R11*'Output-Calculation-sheet'!R55/10^9</f>
        <v>0.50440933237506935</v>
      </c>
      <c r="S66" s="2">
        <f>S11*'Output-Calculation-sheet'!S55/10^9</f>
        <v>0.44000400501087589</v>
      </c>
      <c r="T66" s="2">
        <f>T11*'Output-Calculation-sheet'!T55/10^9</f>
        <v>0.15810721367137359</v>
      </c>
      <c r="U66" s="2">
        <f>U11*'Output-Calculation-sheet'!U55/10^9</f>
        <v>0.16142528112102678</v>
      </c>
      <c r="V66" s="2">
        <f>V11*'Output-Calculation-sheet'!V55/10^9</f>
        <v>0.14998699738267957</v>
      </c>
      <c r="W66" s="2">
        <f>W11*'Output-Calculation-sheet'!W55/10^9</f>
        <v>6.7914016438065855E-2</v>
      </c>
      <c r="X66" s="2">
        <f>X11*'Output-Calculation-sheet'!X55/10^9</f>
        <v>9.0983930629021395E-2</v>
      </c>
      <c r="Y66" s="2">
        <f>Y11*'Output-Calculation-sheet'!Y55/10^9</f>
        <v>6.6397522056627703E-2</v>
      </c>
      <c r="AA66" s="2">
        <f t="shared" si="4"/>
        <v>25.243259147540552</v>
      </c>
    </row>
    <row r="67" spans="1:27" x14ac:dyDescent="0.25">
      <c r="A67" s="2">
        <v>2035</v>
      </c>
      <c r="B67" s="2">
        <f>B12*'Output-Calculation-sheet'!B56/10^9</f>
        <v>7.5482944093645683</v>
      </c>
      <c r="C67" s="2">
        <f>C12*'Output-Calculation-sheet'!C56/10^9</f>
        <v>3.5312978703655702</v>
      </c>
      <c r="D67" s="2">
        <f>D12*'Output-Calculation-sheet'!D56/10^9</f>
        <v>1.9261310160220644</v>
      </c>
      <c r="E67" s="2">
        <f>E12*'Output-Calculation-sheet'!E56/10^9</f>
        <v>2.3556983439198422</v>
      </c>
      <c r="F67" s="2">
        <f>F12*'Output-Calculation-sheet'!F56/10^9</f>
        <v>0.9533944351954744</v>
      </c>
      <c r="G67" s="2">
        <f>G12*'Output-Calculation-sheet'!G56/10^9</f>
        <v>0.69979778057728192</v>
      </c>
      <c r="H67" s="2">
        <f>H12*'Output-Calculation-sheet'!H56/10^9</f>
        <v>1.1160231970937355</v>
      </c>
      <c r="I67" s="2">
        <f>I12*'Output-Calculation-sheet'!I56/10^9</f>
        <v>0.66102965795188551</v>
      </c>
      <c r="J67" s="2">
        <f>J12*'Output-Calculation-sheet'!J56/10^9</f>
        <v>0.61402456566645802</v>
      </c>
      <c r="K67" s="2">
        <f>K12*'Output-Calculation-sheet'!K56/10^9</f>
        <v>0.75447815442672739</v>
      </c>
      <c r="L67" s="2">
        <f>L12*'Output-Calculation-sheet'!L56/10^9</f>
        <v>0.72033949014973775</v>
      </c>
      <c r="M67" s="2">
        <f>M12*'Output-Calculation-sheet'!M56/10^9</f>
        <v>0.77682173919441189</v>
      </c>
      <c r="N67" s="2">
        <f>N12*'Output-Calculation-sheet'!N56/10^9</f>
        <v>0.75698715430765839</v>
      </c>
      <c r="O67" s="2">
        <f>O12*'Output-Calculation-sheet'!O56/10^9</f>
        <v>0.68638709280740751</v>
      </c>
      <c r="P67" s="2">
        <f>P12*'Output-Calculation-sheet'!P56/10^9</f>
        <v>0.66746430828493875</v>
      </c>
      <c r="Q67" s="2">
        <f>Q12*'Output-Calculation-sheet'!Q56/10^9</f>
        <v>0.6758402238820318</v>
      </c>
      <c r="R67" s="2">
        <f>R12*'Output-Calculation-sheet'!R56/10^9</f>
        <v>0.55634075331711996</v>
      </c>
      <c r="S67" s="2">
        <f>S12*'Output-Calculation-sheet'!S56/10^9</f>
        <v>0.43277846460303759</v>
      </c>
      <c r="T67" s="2">
        <f>T12*'Output-Calculation-sheet'!T56/10^9</f>
        <v>0.17049525618819636</v>
      </c>
      <c r="U67" s="2">
        <f>U12*'Output-Calculation-sheet'!U56/10^9</f>
        <v>0.18309554192254496</v>
      </c>
      <c r="V67" s="2">
        <f>V12*'Output-Calculation-sheet'!V56/10^9</f>
        <v>0.13088561781307381</v>
      </c>
      <c r="W67" s="2">
        <f>W12*'Output-Calculation-sheet'!W56/10^9</f>
        <v>8.6885548254520134E-2</v>
      </c>
      <c r="X67" s="2">
        <f>X12*'Output-Calculation-sheet'!X56/10^9</f>
        <v>8.2723298824414704E-2</v>
      </c>
      <c r="Y67" s="2">
        <f>Y12*'Output-Calculation-sheet'!Y56/10^9</f>
        <v>7.7268568204623217E-2</v>
      </c>
      <c r="AA67" s="2">
        <f t="shared" si="4"/>
        <v>26.164482488337324</v>
      </c>
    </row>
    <row r="68" spans="1:27" x14ac:dyDescent="0.25">
      <c r="B68" s="2">
        <f>SUM(B60:B67)</f>
        <v>37.066179107800565</v>
      </c>
      <c r="C68" s="2">
        <f t="shared" ref="C68:Y68" si="5">SUM(C60:C67)</f>
        <v>18.908256734567303</v>
      </c>
      <c r="D68" s="2">
        <f t="shared" si="5"/>
        <v>10.077898660751579</v>
      </c>
      <c r="E68" s="2">
        <f t="shared" si="5"/>
        <v>11.129917870816787</v>
      </c>
      <c r="F68" s="2">
        <f t="shared" si="5"/>
        <v>4.5497526880515649</v>
      </c>
      <c r="G68" s="2">
        <f t="shared" si="5"/>
        <v>3.2484671732395727</v>
      </c>
      <c r="H68" s="2">
        <f t="shared" si="5"/>
        <v>5.942035821785459</v>
      </c>
      <c r="I68" s="2">
        <f t="shared" si="5"/>
        <v>3.0864647397958418</v>
      </c>
      <c r="J68" s="2">
        <f t="shared" si="5"/>
        <v>3.6278969112171708</v>
      </c>
      <c r="K68" s="2">
        <f t="shared" si="5"/>
        <v>3.7471795696865344</v>
      </c>
      <c r="L68" s="2">
        <f t="shared" si="5"/>
        <v>4.3917981854741388</v>
      </c>
      <c r="M68" s="2">
        <f t="shared" si="5"/>
        <v>4.5242805449316936</v>
      </c>
      <c r="N68" s="2">
        <f t="shared" si="5"/>
        <v>4.1668989369644702</v>
      </c>
      <c r="O68" s="2">
        <f t="shared" si="5"/>
        <v>3.7799176409717226</v>
      </c>
      <c r="P68" s="2">
        <f t="shared" si="5"/>
        <v>3.0526063687232465</v>
      </c>
      <c r="Q68" s="2">
        <f t="shared" si="5"/>
        <v>3.2884308516076137</v>
      </c>
      <c r="R68" s="2">
        <f t="shared" si="5"/>
        <v>2.7351141917186355</v>
      </c>
      <c r="S68" s="2">
        <f t="shared" si="5"/>
        <v>2.2068039161119732</v>
      </c>
      <c r="T68" s="2">
        <f t="shared" si="5"/>
        <v>0.92940945881905523</v>
      </c>
      <c r="U68" s="2">
        <f t="shared" si="5"/>
        <v>0.80153321373122055</v>
      </c>
      <c r="V68" s="2">
        <f t="shared" si="5"/>
        <v>0.98698896810619885</v>
      </c>
      <c r="W68" s="2">
        <f t="shared" si="5"/>
        <v>0.41633737780486357</v>
      </c>
      <c r="X68" s="2">
        <f t="shared" si="5"/>
        <v>0.47408531428701928</v>
      </c>
      <c r="Y68" s="2">
        <f t="shared" si="5"/>
        <v>0.3312559133754035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48.525604458191388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4.8525604458191388E-2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471.56444735167213</v>
      </c>
      <c r="Q76" s="2">
        <f>Q10/'Output-Calculation-sheet'!Q9*'Output-Calculation-sheet'!Q63</f>
        <v>55.926527052030671</v>
      </c>
      <c r="R76" s="2">
        <f>R10/'Output-Calculation-sheet'!R9*'Output-Calculation-sheet'!R63</f>
        <v>359.85944472785968</v>
      </c>
      <c r="S76" s="2">
        <f>S10/'Output-Calculation-sheet'!S9*'Output-Calculation-sheet'!S63</f>
        <v>0</v>
      </c>
      <c r="T76" s="2">
        <f>T10/'Output-Calculation-sheet'!T9*'Output-Calculation-sheet'!T63</f>
        <v>23.582998731922896</v>
      </c>
      <c r="U76" s="2">
        <f>U10/'Output-Calculation-sheet'!U9*'Output-Calculation-sheet'!U63</f>
        <v>127.49527426574225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6.0471906162651159</v>
      </c>
      <c r="AA76" s="2">
        <f t="shared" si="6"/>
        <v>1.1434725506478489</v>
      </c>
    </row>
    <row r="77" spans="1:27" x14ac:dyDescent="0.25">
      <c r="A77" s="2">
        <v>2034</v>
      </c>
      <c r="B77" s="2">
        <f>B11/'Output-Calculation-sheet'!B10*'Output-Calculation-sheet'!B64</f>
        <v>458.86282938495475</v>
      </c>
      <c r="C77" s="2">
        <f>C11/'Output-Calculation-sheet'!C10*'Output-Calculation-sheet'!C64</f>
        <v>0</v>
      </c>
      <c r="D77" s="2">
        <f>D11/'Output-Calculation-sheet'!D10*'Output-Calculation-sheet'!D64</f>
        <v>1632.1519035201172</v>
      </c>
      <c r="E77" s="2">
        <f>E11/'Output-Calculation-sheet'!E10*'Output-Calculation-sheet'!E64</f>
        <v>2023.8224240532111</v>
      </c>
      <c r="F77" s="2">
        <f>F11/'Output-Calculation-sheet'!F10*'Output-Calculation-sheet'!F64</f>
        <v>131.67997890269976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133.81767519481605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356.02466288944379</v>
      </c>
      <c r="K77" s="2">
        <f>K11/'Output-Calculation-sheet'!K10*'Output-Calculation-sheet'!K64</f>
        <v>777.96300198551398</v>
      </c>
      <c r="L77" s="2">
        <f>L11/'Output-Calculation-sheet'!L10*'Output-Calculation-sheet'!L64</f>
        <v>320.74638678591083</v>
      </c>
      <c r="M77" s="2">
        <f>M11/'Output-Calculation-sheet'!M10*'Output-Calculation-sheet'!M64</f>
        <v>96.37754774033381</v>
      </c>
      <c r="N77" s="2">
        <f>N11/'Output-Calculation-sheet'!N10*'Output-Calculation-sheet'!N64</f>
        <v>31.874770141066392</v>
      </c>
      <c r="O77" s="2">
        <f>O11/'Output-Calculation-sheet'!O10*'Output-Calculation-sheet'!O64</f>
        <v>0</v>
      </c>
      <c r="P77" s="2">
        <f>P11/'Output-Calculation-sheet'!P10*'Output-Calculation-sheet'!P64</f>
        <v>661.04855337716424</v>
      </c>
      <c r="Q77" s="2">
        <f>Q11/'Output-Calculation-sheet'!Q10*'Output-Calculation-sheet'!Q64</f>
        <v>158.57045313432482</v>
      </c>
      <c r="R77" s="2">
        <f>R11/'Output-Calculation-sheet'!R10*'Output-Calculation-sheet'!R64</f>
        <v>815.91561316271486</v>
      </c>
      <c r="S77" s="2">
        <f>S11/'Output-Calculation-sheet'!S10*'Output-Calculation-sheet'!S64</f>
        <v>0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299.96180247473131</v>
      </c>
      <c r="V77" s="2">
        <f>V11/'Output-Calculation-sheet'!V10*'Output-Calculation-sheet'!V64</f>
        <v>117.16420457508461</v>
      </c>
      <c r="W77" s="2">
        <f>W11/'Output-Calculation-sheet'!W10*'Output-Calculation-sheet'!W64</f>
        <v>25.657554446160241</v>
      </c>
      <c r="X77" s="2">
        <f>X11/'Output-Calculation-sheet'!X10*'Output-Calculation-sheet'!X64</f>
        <v>9.6077838076334938</v>
      </c>
      <c r="Y77" s="2">
        <f>Y11/'Output-Calculation-sheet'!Y10*'Output-Calculation-sheet'!Y64</f>
        <v>54.1544847890341</v>
      </c>
      <c r="AA77" s="2">
        <f t="shared" si="6"/>
        <v>9.6950904976355208</v>
      </c>
    </row>
    <row r="78" spans="1:27" x14ac:dyDescent="0.25">
      <c r="A78" s="2">
        <v>2035</v>
      </c>
      <c r="B78" s="2">
        <f>B12/'Output-Calculation-sheet'!B11*'Output-Calculation-sheet'!B65</f>
        <v>85.181290443483149</v>
      </c>
      <c r="C78" s="2">
        <f>C12/'Output-Calculation-sheet'!C11*'Output-Calculation-sheet'!C65</f>
        <v>68.227121803270393</v>
      </c>
      <c r="D78" s="2">
        <f>D12/'Output-Calculation-sheet'!D11*'Output-Calculation-sheet'!D65</f>
        <v>3256.429100411528</v>
      </c>
      <c r="E78" s="2">
        <f>E12/'Output-Calculation-sheet'!E11*'Output-Calculation-sheet'!E65</f>
        <v>1579.1586477520709</v>
      </c>
      <c r="F78" s="2">
        <f>F12/'Output-Calculation-sheet'!F11*'Output-Calculation-sheet'!F65</f>
        <v>814.38699098922996</v>
      </c>
      <c r="G78" s="2">
        <f>G12/'Output-Calculation-sheet'!G11*'Output-Calculation-sheet'!G65</f>
        <v>1511.4582640205724</v>
      </c>
      <c r="H78" s="2">
        <f>H12/'Output-Calculation-sheet'!H11*'Output-Calculation-sheet'!H65</f>
        <v>28.646327874999098</v>
      </c>
      <c r="I78" s="2">
        <f>I12/'Output-Calculation-sheet'!I11*'Output-Calculation-sheet'!I65</f>
        <v>1004.4902432771767</v>
      </c>
      <c r="J78" s="2">
        <f>J12/'Output-Calculation-sheet'!J11*'Output-Calculation-sheet'!J65</f>
        <v>1044.7182921997558</v>
      </c>
      <c r="K78" s="2">
        <f>K12/'Output-Calculation-sheet'!K11*'Output-Calculation-sheet'!K65</f>
        <v>1300.5056476219875</v>
      </c>
      <c r="L78" s="2">
        <f>L12/'Output-Calculation-sheet'!L11*'Output-Calculation-sheet'!L65</f>
        <v>706.96246506665761</v>
      </c>
      <c r="M78" s="2">
        <f>M12/'Output-Calculation-sheet'!M11*'Output-Calculation-sheet'!M65</f>
        <v>20.032086327916542</v>
      </c>
      <c r="N78" s="2">
        <f>N12/'Output-Calculation-sheet'!N11*'Output-Calculation-sheet'!N65</f>
        <v>20.823364726621691</v>
      </c>
      <c r="O78" s="2">
        <f>O12/'Output-Calculation-sheet'!O11*'Output-Calculation-sheet'!O65</f>
        <v>11.889535861959425</v>
      </c>
      <c r="P78" s="2">
        <f>P12/'Output-Calculation-sheet'!P11*'Output-Calculation-sheet'!P65</f>
        <v>244.89906121873662</v>
      </c>
      <c r="Q78" s="2">
        <f>Q12/'Output-Calculation-sheet'!Q11*'Output-Calculation-sheet'!Q65</f>
        <v>182.49257343968333</v>
      </c>
      <c r="R78" s="2">
        <f>R12/'Output-Calculation-sheet'!R11*'Output-Calculation-sheet'!R65</f>
        <v>1125.4486375291231</v>
      </c>
      <c r="S78" s="2">
        <f>S12/'Output-Calculation-sheet'!S11*'Output-Calculation-sheet'!S65</f>
        <v>8.5323216857035256</v>
      </c>
      <c r="T78" s="2">
        <f>T12/'Output-Calculation-sheet'!T11*'Output-Calculation-sheet'!T65</f>
        <v>408.41899106845278</v>
      </c>
      <c r="U78" s="2">
        <f>U12/'Output-Calculation-sheet'!U11*'Output-Calculation-sheet'!U65</f>
        <v>335.96855434884492</v>
      </c>
      <c r="V78" s="2">
        <f>V12/'Output-Calculation-sheet'!V11*'Output-Calculation-sheet'!V65</f>
        <v>203.65131183163618</v>
      </c>
      <c r="W78" s="2">
        <f>W12/'Output-Calculation-sheet'!W11*'Output-Calculation-sheet'!W65</f>
        <v>145.70214465704697</v>
      </c>
      <c r="X78" s="2">
        <f>X12/'Output-Calculation-sheet'!X11*'Output-Calculation-sheet'!X65</f>
        <v>2.0452226766372643</v>
      </c>
      <c r="Y78" s="2">
        <f>Y12/'Output-Calculation-sheet'!Y11*'Output-Calculation-sheet'!Y65</f>
        <v>35.842946134576408</v>
      </c>
      <c r="AA78" s="2">
        <f t="shared" si="6"/>
        <v>14.14591114296767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71.751812434531033</v>
      </c>
      <c r="E89" s="2">
        <f>E12/'Output-Calculation-sheet'!E11*'Output-Calculation-sheet'!E74</f>
        <v>53.459642907589817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36.999808498098226</v>
      </c>
      <c r="H89" s="2">
        <f>H12/'Output-Calculation-sheet'!H11*'Output-Calculation-sheet'!H74</f>
        <v>4.6751704724729244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17.183596762468074</v>
      </c>
      <c r="K89" s="2">
        <f>K12/'Output-Calculation-sheet'!K11*'Output-Calculation-sheet'!K74</f>
        <v>24.175478548038321</v>
      </c>
      <c r="L89" s="2">
        <f>L12/'Output-Calculation-sheet'!L11*'Output-Calculation-sheet'!L74</f>
        <v>9.0462247609297197</v>
      </c>
      <c r="M89" s="2">
        <f>M12/'Output-Calculation-sheet'!M11*'Output-Calculation-sheet'!M74</f>
        <v>4.2892963605623979</v>
      </c>
      <c r="N89" s="2">
        <f>N12/'Output-Calculation-sheet'!N11*'Output-Calculation-sheet'!N74</f>
        <v>2.1078413530338791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3.8945503314711822</v>
      </c>
      <c r="Q89" s="2">
        <f>Q12/'Output-Calculation-sheet'!Q11*'Output-Calculation-sheet'!Q74</f>
        <v>5.5403752461043752</v>
      </c>
      <c r="R89" s="2">
        <f>R12/'Output-Calculation-sheet'!R11*'Output-Calculation-sheet'!R74</f>
        <v>15.567257787031309</v>
      </c>
      <c r="S89" s="2">
        <f>S12/'Output-Calculation-sheet'!S11*'Output-Calculation-sheet'!S74</f>
        <v>1.8124311447362869</v>
      </c>
      <c r="T89" s="2">
        <f>T12/'Output-Calculation-sheet'!T11*'Output-Calculation-sheet'!T74</f>
        <v>4.0653874935269663</v>
      </c>
      <c r="U89" s="2">
        <f>U12/'Output-Calculation-sheet'!U11*'Output-Calculation-sheet'!U74</f>
        <v>8.2493265416474397</v>
      </c>
      <c r="V89" s="2">
        <f>V12/'Output-Calculation-sheet'!V11*'Output-Calculation-sheet'!V74</f>
        <v>1.1358841814526963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2.0433810007739814</v>
      </c>
      <c r="AA89" s="2">
        <f t="shared" si="7"/>
        <v>0.37145524319125373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1697.1589141983893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522.43815110624075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359.48829139276774</v>
      </c>
      <c r="N107" s="2">
        <f>N8/'Output-Calculation-sheet'!N7*'Output-Calculation-sheet'!N88</f>
        <v>141.32747617929877</v>
      </c>
      <c r="O107" s="2">
        <f>O8/'Output-Calculation-sheet'!O7*'Output-Calculation-sheet'!O88</f>
        <v>395.65299432844427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39.436613241058573</v>
      </c>
      <c r="Y107" s="2">
        <f>Y8/'Output-Calculation-sheet'!Y7*'Output-Calculation-sheet'!Y88</f>
        <v>0</v>
      </c>
      <c r="AA107" s="2">
        <f t="shared" si="9"/>
        <v>3.1555024404461993</v>
      </c>
    </row>
    <row r="108" spans="1:27" x14ac:dyDescent="0.25">
      <c r="A108" s="2">
        <v>2032</v>
      </c>
      <c r="B108" s="2">
        <f>B9/'Output-Calculation-sheet'!B8*'Output-Calculation-sheet'!B89</f>
        <v>772.03952588340576</v>
      </c>
      <c r="C108" s="2">
        <f>C9/'Output-Calculation-sheet'!C8*'Output-Calculation-sheet'!C89</f>
        <v>2931.4226252016961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789.58495174368784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543.31128883054612</v>
      </c>
      <c r="N108" s="2">
        <f>N9/'Output-Calculation-sheet'!N8*'Output-Calculation-sheet'!N89</f>
        <v>381.4192038904564</v>
      </c>
      <c r="O108" s="2">
        <f>O9/'Output-Calculation-sheet'!O8*'Output-Calculation-sheet'!O89</f>
        <v>569.49397882942458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174.91412392723132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59.602378380945446</v>
      </c>
      <c r="Y108" s="2">
        <f>Y9/'Output-Calculation-sheet'!Y8*'Output-Calculation-sheet'!Y89</f>
        <v>0</v>
      </c>
      <c r="AA108" s="2">
        <f t="shared" si="9"/>
        <v>6.2217880766873943</v>
      </c>
    </row>
    <row r="109" spans="1:27" x14ac:dyDescent="0.25">
      <c r="A109" s="2">
        <v>2033</v>
      </c>
      <c r="B109" s="2">
        <f>B10/'Output-Calculation-sheet'!B9*'Output-Calculation-sheet'!B90</f>
        <v>4035.1252670488425</v>
      </c>
      <c r="C109" s="2">
        <f>C10/'Output-Calculation-sheet'!C9*'Output-Calculation-sheet'!C90</f>
        <v>3830.3276926835706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1179.0936612684923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811.33118778543553</v>
      </c>
      <c r="N109" s="2">
        <f>N10/'Output-Calculation-sheet'!N9*'Output-Calculation-sheet'!N90</f>
        <v>637.92558400735243</v>
      </c>
      <c r="O109" s="2">
        <f>O10/'Output-Calculation-sheet'!O9*'Output-Calculation-sheet'!O90</f>
        <v>744.12626114489649</v>
      </c>
      <c r="P109" s="2">
        <f>P10/'Output-Calculation-sheet'!P9*'Output-Calculation-sheet'!P90</f>
        <v>0</v>
      </c>
      <c r="Q109" s="2">
        <f>Q10/'Output-Calculation-sheet'!Q9*'Output-Calculation-sheet'!Q90</f>
        <v>139.73012047783388</v>
      </c>
      <c r="R109" s="2">
        <f>R10/'Output-Calculation-sheet'!R9*'Output-Calculation-sheet'!R90</f>
        <v>0</v>
      </c>
      <c r="S109" s="2">
        <f>S10/'Output-Calculation-sheet'!S9*'Output-Calculation-sheet'!S90</f>
        <v>319.97084614962574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89.004718732674107</v>
      </c>
      <c r="Y109" s="2">
        <f>Y10/'Output-Calculation-sheet'!Y9*'Output-Calculation-sheet'!Y90</f>
        <v>0</v>
      </c>
      <c r="AA109" s="2">
        <f t="shared" si="9"/>
        <v>11.786635339298726</v>
      </c>
    </row>
    <row r="110" spans="1:27" x14ac:dyDescent="0.25">
      <c r="A110" s="2">
        <v>2034</v>
      </c>
      <c r="B110" s="2">
        <f>B11/'Output-Calculation-sheet'!B10*'Output-Calculation-sheet'!B91</f>
        <v>7406.702088458147</v>
      </c>
      <c r="C110" s="2">
        <f>C11/'Output-Calculation-sheet'!C10*'Output-Calculation-sheet'!C91</f>
        <v>5077.7887944143677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1442.8623492346205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992.82971494903279</v>
      </c>
      <c r="N110" s="2">
        <f>N11/'Output-Calculation-sheet'!N10*'Output-Calculation-sheet'!N91</f>
        <v>894.47471455730818</v>
      </c>
      <c r="O110" s="2">
        <f>O11/'Output-Calculation-sheet'!O10*'Output-Calculation-sheet'!O91</f>
        <v>986.4732977516461</v>
      </c>
      <c r="P110" s="2">
        <f>P11/'Output-Calculation-sheet'!P10*'Output-Calculation-sheet'!P91</f>
        <v>225.36477841683899</v>
      </c>
      <c r="Q110" s="2">
        <f>Q11/'Output-Calculation-sheet'!Q10*'Output-Calculation-sheet'!Q91</f>
        <v>498.7161451484784</v>
      </c>
      <c r="R110" s="2">
        <f>R11/'Output-Calculation-sheet'!R10*'Output-Calculation-sheet'!R91</f>
        <v>0</v>
      </c>
      <c r="S110" s="2">
        <f>S11/'Output-Calculation-sheet'!S10*'Output-Calculation-sheet'!S91</f>
        <v>512.74378517129571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108.91548464897555</v>
      </c>
      <c r="Y110" s="2">
        <f>Y11/'Output-Calculation-sheet'!Y10*'Output-Calculation-sheet'!Y91</f>
        <v>17.517587674179921</v>
      </c>
      <c r="AA110" s="2">
        <f t="shared" si="9"/>
        <v>18.164388740424897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2469.8355023306494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348.27965329579422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899.6411265698431</v>
      </c>
      <c r="Q111" s="2">
        <f>Q12/'Output-Calculation-sheet'!Q11*'Output-Calculation-sheet'!Q92</f>
        <v>853.21778790007386</v>
      </c>
      <c r="R111" s="2">
        <f>R12/'Output-Calculation-sheet'!R11*'Output-Calculation-sheet'!R92</f>
        <v>0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96.152428203086785</v>
      </c>
      <c r="AA111" s="2">
        <f t="shared" si="9"/>
        <v>29.059257813443768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7978313198.2118244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2454763178.3252602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1705044562.4535012</v>
      </c>
      <c r="N118" s="2">
        <f>N8/'Output-Calculation-sheet'!N7*'Output-Calculation-sheet'!N97</f>
        <v>1337973830.6050656</v>
      </c>
      <c r="O118" s="2">
        <f>O8/'Output-Calculation-sheet'!O7*'Output-Calculation-sheet'!O97</f>
        <v>890303163.63173604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183771442.28772134</v>
      </c>
      <c r="Y118" s="2">
        <f>Y8/'Output-Calculation-sheet'!Y7*'Output-Calculation-sheet'!Y97</f>
        <v>0</v>
      </c>
      <c r="AA118" s="2">
        <f t="shared" si="10"/>
        <v>16395.188472618349</v>
      </c>
    </row>
    <row r="119" spans="1:27" x14ac:dyDescent="0.25">
      <c r="A119" s="2">
        <v>2032</v>
      </c>
      <c r="B119" s="2">
        <f>B9/'Output-Calculation-sheet'!B8*'Output-Calculation-sheet'!B98</f>
        <v>5791880629.1267071</v>
      </c>
      <c r="C119" s="2">
        <f>C9/'Output-Calculation-sheet'!C8*'Output-Calculation-sheet'!C98</f>
        <v>4603503711.2152624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2751984818.9988017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1920895709.6359863</v>
      </c>
      <c r="N119" s="2">
        <f>N9/'Output-Calculation-sheet'!N8*'Output-Calculation-sheet'!N98</f>
        <v>1299074180.4816592</v>
      </c>
      <c r="O119" s="2">
        <f>O9/'Output-Calculation-sheet'!O8*'Output-Calculation-sheet'!O98</f>
        <v>899439560.49637556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539102821.35611963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205542727.4207767</v>
      </c>
      <c r="Y119" s="2">
        <f>Y9/'Output-Calculation-sheet'!Y8*'Output-Calculation-sheet'!Y98</f>
        <v>0</v>
      </c>
      <c r="AA119" s="2">
        <f t="shared" si="10"/>
        <v>18011.42415873169</v>
      </c>
    </row>
    <row r="120" spans="1:27" x14ac:dyDescent="0.25">
      <c r="A120" s="2">
        <v>2033</v>
      </c>
      <c r="B120" s="2">
        <f>B10/'Output-Calculation-sheet'!B9*'Output-Calculation-sheet'!B99</f>
        <v>5805065363.9905386</v>
      </c>
      <c r="C120" s="2">
        <f>C10/'Output-Calculation-sheet'!C9*'Output-Calculation-sheet'!C99</f>
        <v>4772124188.7542124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1564666476.2461042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1107483930.1569955</v>
      </c>
      <c r="N120" s="2">
        <f>N10/'Output-Calculation-sheet'!N9*'Output-Calculation-sheet'!N99</f>
        <v>1104044138.4075818</v>
      </c>
      <c r="O120" s="2">
        <f>O10/'Output-Calculation-sheet'!O9*'Output-Calculation-sheet'!O99</f>
        <v>934279126.24057329</v>
      </c>
      <c r="P120" s="2">
        <f>P10/'Output-Calculation-sheet'!P9*'Output-Calculation-sheet'!P99</f>
        <v>0</v>
      </c>
      <c r="Q120" s="2">
        <f>Q10/'Output-Calculation-sheet'!Q9*'Output-Calculation-sheet'!Q99</f>
        <v>7015386.8216244727</v>
      </c>
      <c r="R120" s="2">
        <f>R10/'Output-Calculation-sheet'!R9*'Output-Calculation-sheet'!R99</f>
        <v>0</v>
      </c>
      <c r="S120" s="2">
        <f>S10/'Output-Calculation-sheet'!S9*'Output-Calculation-sheet'!S99</f>
        <v>462366480.43624473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110587184.00180073</v>
      </c>
      <c r="Y120" s="2">
        <f>Y10/'Output-Calculation-sheet'!Y9*'Output-Calculation-sheet'!Y99</f>
        <v>0</v>
      </c>
      <c r="AA120" s="2">
        <f t="shared" si="10"/>
        <v>15867.632275055677</v>
      </c>
    </row>
    <row r="121" spans="1:27" x14ac:dyDescent="0.25">
      <c r="A121" s="2">
        <v>2034</v>
      </c>
      <c r="B121" s="2">
        <f>B11/'Output-Calculation-sheet'!B10*'Output-Calculation-sheet'!B100</f>
        <v>5500973672.9205685</v>
      </c>
      <c r="C121" s="2">
        <f>C11/'Output-Calculation-sheet'!C10*'Output-Calculation-sheet'!C100</f>
        <v>666607141.66896141</v>
      </c>
      <c r="D121" s="2">
        <f>D11/'Output-Calculation-sheet'!D10*'Output-Calculation-sheet'!D100</f>
        <v>0</v>
      </c>
      <c r="E121" s="2">
        <f>E11/'Output-Calculation-sheet'!E10*'Output-Calculation-sheet'!E100</f>
        <v>770064235.93744326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1755238924.7652378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639437396.99627328</v>
      </c>
      <c r="M121" s="2">
        <f>M11/'Output-Calculation-sheet'!M10*'Output-Calculation-sheet'!M100</f>
        <v>1249196828.5946493</v>
      </c>
      <c r="N121" s="2">
        <f>N11/'Output-Calculation-sheet'!N10*'Output-Calculation-sheet'!N100</f>
        <v>832811613.11053658</v>
      </c>
      <c r="O121" s="2">
        <f>O11/'Output-Calculation-sheet'!O10*'Output-Calculation-sheet'!O100</f>
        <v>130757183.44015218</v>
      </c>
      <c r="P121" s="2">
        <f>P11/'Output-Calculation-sheet'!P10*'Output-Calculation-sheet'!P100</f>
        <v>0</v>
      </c>
      <c r="Q121" s="2">
        <f>Q11/'Output-Calculation-sheet'!Q10*'Output-Calculation-sheet'!Q100</f>
        <v>280787367.59910661</v>
      </c>
      <c r="R121" s="2">
        <f>R11/'Output-Calculation-sheet'!R10*'Output-Calculation-sheet'!R100</f>
        <v>0</v>
      </c>
      <c r="S121" s="2">
        <f>S11/'Output-Calculation-sheet'!S10*'Output-Calculation-sheet'!S100</f>
        <v>311382096.89622384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122742328.99994323</v>
      </c>
      <c r="Y121" s="2">
        <f>Y11/'Output-Calculation-sheet'!Y10*'Output-Calculation-sheet'!Y100</f>
        <v>17818310.05427232</v>
      </c>
      <c r="AA121" s="2">
        <f t="shared" si="10"/>
        <v>12277.817100983366</v>
      </c>
    </row>
    <row r="122" spans="1:27" x14ac:dyDescent="0.25">
      <c r="A122" s="2">
        <v>2035</v>
      </c>
      <c r="B122" s="2">
        <f>B12/'Output-Calculation-sheet'!B11*'Output-Calculation-sheet'!B101</f>
        <v>1490880576.1448328</v>
      </c>
      <c r="C122" s="2">
        <f>C12/'Output-Calculation-sheet'!C11*'Output-Calculation-sheet'!C101</f>
        <v>309401770.83832461</v>
      </c>
      <c r="D122" s="2">
        <f>D12/'Output-Calculation-sheet'!D11*'Output-Calculation-sheet'!D101</f>
        <v>0</v>
      </c>
      <c r="E122" s="2">
        <f>E12/'Output-Calculation-sheet'!E11*'Output-Calculation-sheet'!E101</f>
        <v>2556929101.3747401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536284908.92197537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1359403333.4991918</v>
      </c>
      <c r="M122" s="2">
        <f>M12/'Output-Calculation-sheet'!M11*'Output-Calculation-sheet'!M101</f>
        <v>477935490.37011927</v>
      </c>
      <c r="N122" s="2">
        <f>N12/'Output-Calculation-sheet'!N11*'Output-Calculation-sheet'!N101</f>
        <v>397931253.85005683</v>
      </c>
      <c r="O122" s="2">
        <f>O12/'Output-Calculation-sheet'!O11*'Output-Calculation-sheet'!O101</f>
        <v>52870520.646809809</v>
      </c>
      <c r="P122" s="2">
        <f>P12/'Output-Calculation-sheet'!P11*'Output-Calculation-sheet'!P101</f>
        <v>65074878.816873252</v>
      </c>
      <c r="Q122" s="2">
        <f>Q12/'Output-Calculation-sheet'!Q11*'Output-Calculation-sheet'!Q101</f>
        <v>605229022.11145556</v>
      </c>
      <c r="R122" s="2">
        <f>R12/'Output-Calculation-sheet'!R11*'Output-Calculation-sheet'!R101</f>
        <v>0</v>
      </c>
      <c r="S122" s="2">
        <f>S12/'Output-Calculation-sheet'!S11*'Output-Calculation-sheet'!S101</f>
        <v>178674295.39782247</v>
      </c>
      <c r="T122" s="2">
        <f>T12/'Output-Calculation-sheet'!T11*'Output-Calculation-sheet'!T101</f>
        <v>0</v>
      </c>
      <c r="U122" s="2">
        <f>U12/'Output-Calculation-sheet'!U11*'Output-Calculation-sheet'!U101</f>
        <v>75442742.792611361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15645506.458779894</v>
      </c>
      <c r="Y122" s="2">
        <f>Y12/'Output-Calculation-sheet'!Y11*'Output-Calculation-sheet'!Y101</f>
        <v>76828730.332484126</v>
      </c>
      <c r="AA122" s="2">
        <f t="shared" si="10"/>
        <v>8198.5321315560777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2220253733.0658994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145941.34545971989</v>
      </c>
    </row>
    <row r="130" spans="1:27" x14ac:dyDescent="0.25">
      <c r="A130" s="2">
        <v>2032</v>
      </c>
      <c r="B130" s="2">
        <f>B9/'Output-Calculation-sheet'!B8*'Output-Calculation-sheet'!B107</f>
        <v>52413201928.932869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1904957099.8128028</v>
      </c>
      <c r="O130" s="2">
        <f>O9/'Output-Calculation-sheet'!O8*'Output-Calculation-sheet'!O107</f>
        <v>0</v>
      </c>
      <c r="P130" s="2">
        <f>P9/'Output-Calculation-sheet'!P8*'Output-Calculation-sheet'!P107</f>
        <v>5818340785.1706524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1693541263.9834442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184583.53263019791</v>
      </c>
    </row>
    <row r="131" spans="1:27" x14ac:dyDescent="0.25">
      <c r="A131" s="2">
        <v>2033</v>
      </c>
      <c r="B131" s="2">
        <f>B10/'Output-Calculation-sheet'!B9*'Output-Calculation-sheet'!B108</f>
        <v>43304021089.931725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1586776719.0159767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6156141636.1832724</v>
      </c>
      <c r="R131" s="2">
        <f>R10/'Output-Calculation-sheet'!R9*'Output-Calculation-sheet'!R108</f>
        <v>6907647691.7043362</v>
      </c>
      <c r="S131" s="2">
        <f>S10/'Output-Calculation-sheet'!S9*'Output-Calculation-sheet'!S108</f>
        <v>1539088858.2384405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206683.07403883809</v>
      </c>
    </row>
    <row r="132" spans="1:27" x14ac:dyDescent="0.25">
      <c r="A132" s="2">
        <v>2034</v>
      </c>
      <c r="B132" s="2">
        <f>B11/'Output-Calculation-sheet'!B10*'Output-Calculation-sheet'!B109</f>
        <v>32357861414.813156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31160755044.439751</v>
      </c>
      <c r="F132" s="2">
        <f>F11/'Output-Calculation-sheet'!F10*'Output-Calculation-sheet'!F109</f>
        <v>20551752586.373062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12804866606.082697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9534318604.0087624</v>
      </c>
      <c r="M132" s="2">
        <f>M11/'Output-Calculation-sheet'!M10*'Output-Calculation-sheet'!M109</f>
        <v>0</v>
      </c>
      <c r="N132" s="2">
        <f>N11/'Output-Calculation-sheet'!N10*'Output-Calculation-sheet'!N109</f>
        <v>1253540309.3001668</v>
      </c>
      <c r="O132" s="2">
        <f>O11/'Output-Calculation-sheet'!O10*'Output-Calculation-sheet'!O109</f>
        <v>0</v>
      </c>
      <c r="P132" s="2">
        <f>P11/'Output-Calculation-sheet'!P10*'Output-Calculation-sheet'!P109</f>
        <v>7123818694.3552341</v>
      </c>
      <c r="Q132" s="2">
        <f>Q11/'Output-Calculation-sheet'!Q10*'Output-Calculation-sheet'!Q109</f>
        <v>4588605828.4670439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860317481.41546392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896744423.13691473</v>
      </c>
      <c r="AA132" s="2">
        <f t="shared" si="11"/>
        <v>219300.47118767499</v>
      </c>
    </row>
    <row r="133" spans="1:27" x14ac:dyDescent="0.25">
      <c r="A133" s="2">
        <v>2035</v>
      </c>
      <c r="B133" s="2">
        <f>B12/'Output-Calculation-sheet'!B11*'Output-Calculation-sheet'!B110</f>
        <v>498894423.85506713</v>
      </c>
      <c r="C133" s="2">
        <f>C12/'Output-Calculation-sheet'!C11*'Output-Calculation-sheet'!C110</f>
        <v>0</v>
      </c>
      <c r="D133" s="2">
        <f>D12/'Output-Calculation-sheet'!D11*'Output-Calculation-sheet'!D110</f>
        <v>42791171004.662811</v>
      </c>
      <c r="E133" s="2">
        <f>E12/'Output-Calculation-sheet'!E11*'Output-Calculation-sheet'!E110</f>
        <v>18329468977.320335</v>
      </c>
      <c r="F133" s="2">
        <f>F12/'Output-Calculation-sheet'!F11*'Output-Calculation-sheet'!F110</f>
        <v>22496548790.922424</v>
      </c>
      <c r="G133" s="2">
        <f>G12/'Output-Calculation-sheet'!G11*'Output-Calculation-sheet'!G110</f>
        <v>15594692155.277048</v>
      </c>
      <c r="H133" s="2">
        <f>H12/'Output-Calculation-sheet'!H11*'Output-Calculation-sheet'!H110</f>
        <v>0</v>
      </c>
      <c r="I133" s="2">
        <f>I12/'Output-Calculation-sheet'!I11*'Output-Calculation-sheet'!I110</f>
        <v>14161401200.394476</v>
      </c>
      <c r="J133" s="2">
        <f>J12/'Output-Calculation-sheet'!J11*'Output-Calculation-sheet'!J110</f>
        <v>13711467744.9126</v>
      </c>
      <c r="K133" s="2">
        <f>K12/'Output-Calculation-sheet'!K11*'Output-Calculation-sheet'!K110</f>
        <v>13781119201.438345</v>
      </c>
      <c r="L133" s="2">
        <f>L12/'Output-Calculation-sheet'!L11*'Output-Calculation-sheet'!L110</f>
        <v>8022215864.3324728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3040955447.1079059</v>
      </c>
      <c r="Q133" s="2">
        <f>Q12/'Output-Calculation-sheet'!Q11*'Output-Calculation-sheet'!Q110</f>
        <v>2558378153.9977431</v>
      </c>
      <c r="R133" s="2">
        <f>R12/'Output-Calculation-sheet'!R11*'Output-Calculation-sheet'!R110</f>
        <v>8996296297.820282</v>
      </c>
      <c r="S133" s="2">
        <f>S12/'Output-Calculation-sheet'!S11*'Output-Calculation-sheet'!S110</f>
        <v>6052154.658623497</v>
      </c>
      <c r="T133" s="2">
        <f>T12/'Output-Calculation-sheet'!T11*'Output-Calculation-sheet'!T110</f>
        <v>3354488427.7370062</v>
      </c>
      <c r="U133" s="2">
        <f>U12/'Output-Calculation-sheet'!U11*'Output-Calculation-sheet'!U110</f>
        <v>2717831371.7377071</v>
      </c>
      <c r="V133" s="2">
        <f>V12/'Output-Calculation-sheet'!V11*'Output-Calculation-sheet'!V110</f>
        <v>2259535344.6248198</v>
      </c>
      <c r="W133" s="2">
        <f>W12/'Output-Calculation-sheet'!W11*'Output-Calculation-sheet'!W110</f>
        <v>1970973049.335639</v>
      </c>
      <c r="X133" s="2">
        <f>X12/'Output-Calculation-sheet'!X11*'Output-Calculation-sheet'!X110</f>
        <v>0</v>
      </c>
      <c r="Y133" s="2">
        <f>Y12/'Output-Calculation-sheet'!Y11*'Output-Calculation-sheet'!Y110</f>
        <v>452100089.80224413</v>
      </c>
      <c r="AA133" s="2">
        <f t="shared" si="11"/>
        <v>174743.58969993753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14440988546.559963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4539883045.4830112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3120647827.3939819</v>
      </c>
      <c r="N140" s="2">
        <f>N8/'Output-Calculation-sheet'!N7*'Output-Calculation-sheet'!N115</f>
        <v>1178168245.7707658</v>
      </c>
      <c r="O140" s="2">
        <f>O8/'Output-Calculation-sheet'!O7*'Output-Calculation-sheet'!O115</f>
        <v>3465766936.1916637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338864886.72482985</v>
      </c>
      <c r="Y140" s="2">
        <f>Y8/'Output-Calculation-sheet'!Y7*'Output-Calculation-sheet'!Y115</f>
        <v>0</v>
      </c>
      <c r="AA140" s="2">
        <f t="shared" si="12"/>
        <v>27084.319488124223</v>
      </c>
    </row>
    <row r="141" spans="1:27" x14ac:dyDescent="0.25">
      <c r="A141" s="2">
        <v>2032</v>
      </c>
      <c r="B141" s="2">
        <f>B9/'Output-Calculation-sheet'!B8*'Output-Calculation-sheet'!B116</f>
        <v>5992038393.4287567</v>
      </c>
      <c r="C141" s="2">
        <f>C9/'Output-Calculation-sheet'!C8*'Output-Calculation-sheet'!C116</f>
        <v>25649467331.415577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6686704904.7023659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4590972326.6286697</v>
      </c>
      <c r="N141" s="2">
        <f>N9/'Output-Calculation-sheet'!N8*'Output-Calculation-sheet'!N116</f>
        <v>3187337998.2540612</v>
      </c>
      <c r="O141" s="2">
        <f>O9/'Output-Calculation-sheet'!O8*'Output-Calculation-sheet'!O116</f>
        <v>4978712357.6078558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1427640560.9490654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499711205.84612262</v>
      </c>
      <c r="Y141" s="2">
        <f>Y9/'Output-Calculation-sheet'!Y8*'Output-Calculation-sheet'!Y116</f>
        <v>0</v>
      </c>
      <c r="AA141" s="2">
        <f t="shared" si="12"/>
        <v>53012.585078832475</v>
      </c>
    </row>
    <row r="142" spans="1:27" x14ac:dyDescent="0.25">
      <c r="A142" s="2">
        <v>2033</v>
      </c>
      <c r="B142" s="2">
        <f>B10/'Output-Calculation-sheet'!B9*'Output-Calculation-sheet'!B117</f>
        <v>31418428605.278744</v>
      </c>
      <c r="C142" s="2">
        <f>C10/'Output-Calculation-sheet'!C9*'Output-Calculation-sheet'!C117</f>
        <v>33176562390.434505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10275026424.977505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7060865705.1814957</v>
      </c>
      <c r="N142" s="2">
        <f>N10/'Output-Calculation-sheet'!N9*'Output-Calculation-sheet'!N117</f>
        <v>5326377268.7585573</v>
      </c>
      <c r="O142" s="2">
        <f>O10/'Output-Calculation-sheet'!O9*'Output-Calculation-sheet'!O117</f>
        <v>6439149708.3606167</v>
      </c>
      <c r="P142" s="2">
        <f>P10/'Output-Calculation-sheet'!P9*'Output-Calculation-sheet'!P117</f>
        <v>0</v>
      </c>
      <c r="Q142" s="2">
        <f>Q10/'Output-Calculation-sheet'!Q9*'Output-Calculation-sheet'!Q117</f>
        <v>1017281551.3393083</v>
      </c>
      <c r="R142" s="2">
        <f>R10/'Output-Calculation-sheet'!R9*'Output-Calculation-sheet'!R117</f>
        <v>0</v>
      </c>
      <c r="S142" s="2">
        <f>S10/'Output-Calculation-sheet'!S9*'Output-Calculation-sheet'!S117</f>
        <v>2589928325.3216257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774068490.47196388</v>
      </c>
      <c r="Y142" s="2">
        <f>Y10/'Output-Calculation-sheet'!Y9*'Output-Calculation-sheet'!Y117</f>
        <v>0</v>
      </c>
      <c r="AA142" s="2">
        <f t="shared" si="12"/>
        <v>98077.688470124325</v>
      </c>
    </row>
    <row r="143" spans="1:27" x14ac:dyDescent="0.25">
      <c r="A143" s="2">
        <v>2034</v>
      </c>
      <c r="B143" s="2">
        <f>B11/'Output-Calculation-sheet'!B10*'Output-Calculation-sheet'!B118</f>
        <v>57945377223.631081</v>
      </c>
      <c r="C143" s="2">
        <f>C11/'Output-Calculation-sheet'!C10*'Output-Calculation-sheet'!C118</f>
        <v>44481429839.069862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12330473651.815573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8468706380.6091633</v>
      </c>
      <c r="N143" s="2">
        <f>N11/'Output-Calculation-sheet'!N10*'Output-Calculation-sheet'!N118</f>
        <v>7451782250.8416405</v>
      </c>
      <c r="O143" s="2">
        <f>O11/'Output-Calculation-sheet'!O10*'Output-Calculation-sheet'!O118</f>
        <v>8641506088.3044205</v>
      </c>
      <c r="P143" s="2">
        <f>P11/'Output-Calculation-sheet'!P10*'Output-Calculation-sheet'!P118</f>
        <v>1558649148.8685956</v>
      </c>
      <c r="Q143" s="2">
        <f>Q11/'Output-Calculation-sheet'!Q10*'Output-Calculation-sheet'!Q118</f>
        <v>3673183198.2982693</v>
      </c>
      <c r="R143" s="2">
        <f>R11/'Output-Calculation-sheet'!R10*'Output-Calculation-sheet'!R118</f>
        <v>0</v>
      </c>
      <c r="S143" s="2">
        <f>S11/'Output-Calculation-sheet'!S10*'Output-Calculation-sheet'!S118</f>
        <v>4290728377.5396543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929735110.16036856</v>
      </c>
      <c r="Y143" s="2">
        <f>Y11/'Output-Calculation-sheet'!Y10*'Output-Calculation-sheet'!Y118</f>
        <v>108951228.04252245</v>
      </c>
      <c r="AA143" s="2">
        <f t="shared" si="12"/>
        <v>149880.52249718111</v>
      </c>
    </row>
    <row r="144" spans="1:27" x14ac:dyDescent="0.25">
      <c r="A144" s="2">
        <v>2035</v>
      </c>
      <c r="B144" s="2">
        <f>B12/'Output-Calculation-sheet'!B11*'Output-Calculation-sheet'!B119</f>
        <v>106895799720.323</v>
      </c>
      <c r="C144" s="2">
        <f>C12/'Output-Calculation-sheet'!C11*'Output-Calculation-sheet'!C119</f>
        <v>51138194567.303963</v>
      </c>
      <c r="D144" s="2">
        <f>D12/'Output-Calculation-sheet'!D11*'Output-Calculation-sheet'!D119</f>
        <v>0</v>
      </c>
      <c r="E144" s="2">
        <f>E12/'Output-Calculation-sheet'!E11*'Output-Calculation-sheet'!E119</f>
        <v>15232541171.755074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15461423017.262058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1963340606.3198111</v>
      </c>
      <c r="M144" s="2">
        <f>M12/'Output-Calculation-sheet'!M11*'Output-Calculation-sheet'!M119</f>
        <v>10552645934.229616</v>
      </c>
      <c r="N144" s="2">
        <f>N12/'Output-Calculation-sheet'!N11*'Output-Calculation-sheet'!N119</f>
        <v>10425578307.430721</v>
      </c>
      <c r="O144" s="2">
        <f>O12/'Output-Calculation-sheet'!O11*'Output-Calculation-sheet'!O119</f>
        <v>9939352996.48839</v>
      </c>
      <c r="P144" s="2">
        <f>P12/'Output-Calculation-sheet'!P11*'Output-Calculation-sheet'!P119</f>
        <v>6746557774.6974325</v>
      </c>
      <c r="Q144" s="2">
        <f>Q12/'Output-Calculation-sheet'!Q11*'Output-Calculation-sheet'!Q119</f>
        <v>6389284468.8547287</v>
      </c>
      <c r="R144" s="2">
        <f>R12/'Output-Calculation-sheet'!R11*'Output-Calculation-sheet'!R119</f>
        <v>0</v>
      </c>
      <c r="S144" s="2">
        <f>S12/'Output-Calculation-sheet'!S11*'Output-Calculation-sheet'!S119</f>
        <v>6010871706.1524086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1183161200.7984746</v>
      </c>
      <c r="Y144" s="2">
        <f>Y12/'Output-Calculation-sheet'!Y11*'Output-Calculation-sheet'!Y119</f>
        <v>631787522.61330521</v>
      </c>
      <c r="AA144" s="2">
        <f t="shared" si="12"/>
        <v>242570.53899422896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4356070099.8233995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189420.85316849974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3526891002.9420247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153364.55179120234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552244620.156443</v>
      </c>
      <c r="C155" s="2">
        <f>C12/'Output-Calculation-sheet'!C11*'Output-Calculation-sheet'!C128</f>
        <v>59497877.45175454</v>
      </c>
      <c r="D155" s="2">
        <f>D12/'Output-Calculation-sheet'!D11*'Output-Calculation-sheet'!D128</f>
        <v>3967727687.9652476</v>
      </c>
      <c r="E155" s="2">
        <f>E12/'Output-Calculation-sheet'!E11*'Output-Calculation-sheet'!E128</f>
        <v>644013705.80533981</v>
      </c>
      <c r="F155" s="2">
        <f>F12/'Output-Calculation-sheet'!F11*'Output-Calculation-sheet'!F128</f>
        <v>1449334843.5100501</v>
      </c>
      <c r="G155" s="2">
        <f>G12/'Output-Calculation-sheet'!G11*'Output-Calculation-sheet'!G128</f>
        <v>1326292561.5231073</v>
      </c>
      <c r="H155" s="2">
        <f>H12/'Output-Calculation-sheet'!H11*'Output-Calculation-sheet'!H128</f>
        <v>102550347.41464241</v>
      </c>
      <c r="I155" s="2">
        <f>I12/'Output-Calculation-sheet'!I11*'Output-Calculation-sheet'!I128</f>
        <v>1216996455.6289425</v>
      </c>
      <c r="J155" s="2">
        <f>J12/'Output-Calculation-sheet'!J11*'Output-Calculation-sheet'!J128</f>
        <v>1103493639.3526604</v>
      </c>
      <c r="K155" s="2">
        <f>K12/'Output-Calculation-sheet'!K11*'Output-Calculation-sheet'!K128</f>
        <v>955607320.58597744</v>
      </c>
      <c r="L155" s="2">
        <f>L12/'Output-Calculation-sheet'!L11*'Output-Calculation-sheet'!L128</f>
        <v>359988634.31510359</v>
      </c>
      <c r="M155" s="2">
        <f>M12/'Output-Calculation-sheet'!M11*'Output-Calculation-sheet'!M128</f>
        <v>84583819.736477643</v>
      </c>
      <c r="N155" s="2">
        <f>N12/'Output-Calculation-sheet'!N11*'Output-Calculation-sheet'!N128</f>
        <v>74750230.353745744</v>
      </c>
      <c r="O155" s="2">
        <f>O12/'Output-Calculation-sheet'!O11*'Output-Calculation-sheet'!O128</f>
        <v>15393845.997599065</v>
      </c>
      <c r="P155" s="2">
        <f>P12/'Output-Calculation-sheet'!P11*'Output-Calculation-sheet'!P128</f>
        <v>98068087.714226112</v>
      </c>
      <c r="Q155" s="2">
        <f>Q12/'Output-Calculation-sheet'!Q11*'Output-Calculation-sheet'!Q128</f>
        <v>248600330.87620074</v>
      </c>
      <c r="R155" s="2">
        <f>R12/'Output-Calculation-sheet'!R11*'Output-Calculation-sheet'!R128</f>
        <v>552478315.97755599</v>
      </c>
      <c r="S155" s="2">
        <f>S12/'Output-Calculation-sheet'!S11*'Output-Calculation-sheet'!S128</f>
        <v>47718249.032271832</v>
      </c>
      <c r="T155" s="2">
        <f>T12/'Output-Calculation-sheet'!T11*'Output-Calculation-sheet'!T128</f>
        <v>141471758.16953602</v>
      </c>
      <c r="U155" s="2">
        <f>U12/'Output-Calculation-sheet'!U11*'Output-Calculation-sheet'!U128</f>
        <v>289976526.00940555</v>
      </c>
      <c r="V155" s="2">
        <f>V12/'Output-Calculation-sheet'!V11*'Output-Calculation-sheet'!V128</f>
        <v>63690479.985804945</v>
      </c>
      <c r="W155" s="2">
        <f>W12/'Output-Calculation-sheet'!W11*'Output-Calculation-sheet'!W128</f>
        <v>77502015.54943113</v>
      </c>
      <c r="X155" s="2">
        <f>X12/'Output-Calculation-sheet'!X11*'Output-Calculation-sheet'!X128</f>
        <v>2647658.7439984302</v>
      </c>
      <c r="Y155" s="2">
        <f>Y12/'Output-Calculation-sheet'!Y11*'Output-Calculation-sheet'!Y128</f>
        <v>15598421.320208289</v>
      </c>
      <c r="AA155" s="2">
        <f t="shared" si="13"/>
        <v>13450.227433175731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4998.1804751032869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1514.0089675944444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1051.6907393736219</v>
      </c>
      <c r="N19" s="2">
        <f>N8/'Output-Calculation-sheet'!N7*'Output-Calculation-sheet'!N25</f>
        <v>874.88241599560138</v>
      </c>
      <c r="O19" s="2">
        <f>O8/'Output-Calculation-sheet'!O7*'Output-Calculation-sheet'!O25</f>
        <v>549.08328310419347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113.82219311296036</v>
      </c>
      <c r="Y19" s="2">
        <f>Y8/'Output-Calculation-sheet'!Y7*'Output-Calculation-sheet'!Y25</f>
        <v>0</v>
      </c>
      <c r="AA19" s="2">
        <f t="shared" si="0"/>
        <v>10.568596230754938</v>
      </c>
    </row>
    <row r="20" spans="1:27" x14ac:dyDescent="0.25">
      <c r="A20" s="2">
        <v>2032</v>
      </c>
      <c r="B20" s="2">
        <f>B9/'Output-Calculation-sheet'!B8*'Output-Calculation-sheet'!B26</f>
        <v>5224.9629209260947</v>
      </c>
      <c r="C20" s="2">
        <f>C9/'Output-Calculation-sheet'!C8*'Output-Calculation-sheet'!C26</f>
        <v>2865.2421054686283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1720.0189835457445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1201.9611362928842</v>
      </c>
      <c r="N20" s="2">
        <f>N9/'Output-Calculation-sheet'!N8*'Output-Calculation-sheet'!N26</f>
        <v>832.99182071186999</v>
      </c>
      <c r="O20" s="2">
        <f>O9/'Output-Calculation-sheet'!O8*'Output-Calculation-sheet'!O26</f>
        <v>559.81520843638202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395.13234507092574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130.79092618750977</v>
      </c>
      <c r="Y20" s="2">
        <f>Y9/'Output-Calculation-sheet'!Y8*'Output-Calculation-sheet'!Y26</f>
        <v>0</v>
      </c>
      <c r="AA20" s="2">
        <f t="shared" si="0"/>
        <v>12.930915446640041</v>
      </c>
    </row>
    <row r="21" spans="1:27" x14ac:dyDescent="0.25">
      <c r="A21" s="2">
        <v>2033</v>
      </c>
      <c r="B21" s="2">
        <f>B10/'Output-Calculation-sheet'!B9*'Output-Calculation-sheet'!B27</f>
        <v>4899.4413895893631</v>
      </c>
      <c r="C21" s="2">
        <f>C10/'Output-Calculation-sheet'!C9*'Output-Calculation-sheet'!C27</f>
        <v>3011.4040234210988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987.36949211325793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698.86827165034606</v>
      </c>
      <c r="N21" s="2">
        <f>N10/'Output-Calculation-sheet'!N9*'Output-Calculation-sheet'!N27</f>
        <v>707.74200606436659</v>
      </c>
      <c r="O21" s="2">
        <f>O10/'Output-Calculation-sheet'!O9*'Output-Calculation-sheet'!O27</f>
        <v>589.56834546371101</v>
      </c>
      <c r="P21" s="2">
        <f>P10/'Output-Calculation-sheet'!P9*'Output-Calculation-sheet'!P27</f>
        <v>0</v>
      </c>
      <c r="Q21" s="2">
        <f>Q10/'Output-Calculation-sheet'!Q9*'Output-Calculation-sheet'!Q27</f>
        <v>8.5720418562705465</v>
      </c>
      <c r="R21" s="2">
        <f>R10/'Output-Calculation-sheet'!R9*'Output-Calculation-sheet'!R27</f>
        <v>0</v>
      </c>
      <c r="S21" s="2">
        <f>S10/'Output-Calculation-sheet'!S9*'Output-Calculation-sheet'!S27</f>
        <v>337.00053958215403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69.785000468467345</v>
      </c>
      <c r="Y21" s="2">
        <f>Y10/'Output-Calculation-sheet'!Y9*'Output-Calculation-sheet'!Y27</f>
        <v>0</v>
      </c>
      <c r="AA21" s="2">
        <f t="shared" si="0"/>
        <v>11.309751110209035</v>
      </c>
    </row>
    <row r="22" spans="1:27" x14ac:dyDescent="0.25">
      <c r="A22" s="2">
        <v>2034</v>
      </c>
      <c r="B22" s="2">
        <f>B11/'Output-Calculation-sheet'!B10*'Output-Calculation-sheet'!B28</f>
        <v>4221.9036971773839</v>
      </c>
      <c r="C22" s="2">
        <f>C11/'Output-Calculation-sheet'!C10*'Output-Calculation-sheet'!C28</f>
        <v>429.1112863788008</v>
      </c>
      <c r="D22" s="2">
        <f>D11/'Output-Calculation-sheet'!D10*'Output-Calculation-sheet'!D28</f>
        <v>0</v>
      </c>
      <c r="E22" s="2">
        <f>E11/'Output-Calculation-sheet'!E10*'Output-Calculation-sheet'!E28</f>
        <v>1424.8813423815739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1129.8836364765241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864.14482207134813</v>
      </c>
      <c r="M22" s="2">
        <f>M11/'Output-Calculation-sheet'!M10*'Output-Calculation-sheet'!M28</f>
        <v>804.13387732263391</v>
      </c>
      <c r="N22" s="2">
        <f>N11/'Output-Calculation-sheet'!N10*'Output-Calculation-sheet'!N28</f>
        <v>537.56808472009629</v>
      </c>
      <c r="O22" s="2">
        <f>O11/'Output-Calculation-sheet'!O10*'Output-Calculation-sheet'!O28</f>
        <v>84.171177493518812</v>
      </c>
      <c r="P22" s="2">
        <f>P11/'Output-Calculation-sheet'!P10*'Output-Calculation-sheet'!P28</f>
        <v>0</v>
      </c>
      <c r="Q22" s="2">
        <f>Q11/'Output-Calculation-sheet'!Q10*'Output-Calculation-sheet'!Q28</f>
        <v>274.56054160884105</v>
      </c>
      <c r="R22" s="2">
        <f>R11/'Output-Calculation-sheet'!R10*'Output-Calculation-sheet'!R28</f>
        <v>0</v>
      </c>
      <c r="S22" s="2">
        <f>S11/'Output-Calculation-sheet'!S10*'Output-Calculation-sheet'!S28</f>
        <v>201.28254533657042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79.011752274322703</v>
      </c>
      <c r="Y22" s="2">
        <f>Y11/'Output-Calculation-sheet'!Y10*'Output-Calculation-sheet'!Y28</f>
        <v>32.207421899711179</v>
      </c>
      <c r="AA22" s="2">
        <f t="shared" si="0"/>
        <v>10.082860185141326</v>
      </c>
    </row>
    <row r="23" spans="1:27" x14ac:dyDescent="0.25">
      <c r="A23" s="2">
        <v>2035</v>
      </c>
      <c r="B23" s="2">
        <f>B12/'Output-Calculation-sheet'!B11*'Output-Calculation-sheet'!B29</f>
        <v>986.05405024947788</v>
      </c>
      <c r="C23" s="2">
        <f>C12/'Output-Calculation-sheet'!C11*'Output-Calculation-sheet'!C29</f>
        <v>204.63353726131245</v>
      </c>
      <c r="D23" s="2">
        <f>D12/'Output-Calculation-sheet'!D11*'Output-Calculation-sheet'!D29</f>
        <v>0</v>
      </c>
      <c r="E23" s="2">
        <f>E12/'Output-Calculation-sheet'!E11*'Output-Calculation-sheet'!E29</f>
        <v>2522.0695217184298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354.69477931226862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1454.1395589286608</v>
      </c>
      <c r="M23" s="2">
        <f>M12/'Output-Calculation-sheet'!M11*'Output-Calculation-sheet'!M29</f>
        <v>316.10255689382296</v>
      </c>
      <c r="N23" s="2">
        <f>N12/'Output-Calculation-sheet'!N11*'Output-Calculation-sheet'!N29</f>
        <v>263.18773184568363</v>
      </c>
      <c r="O23" s="2">
        <f>O12/'Output-Calculation-sheet'!O11*'Output-Calculation-sheet'!O29</f>
        <v>34.968000277236108</v>
      </c>
      <c r="P23" s="2">
        <f>P12/'Output-Calculation-sheet'!P11*'Output-Calculation-sheet'!P29</f>
        <v>54.771367111554319</v>
      </c>
      <c r="Q23" s="2">
        <f>Q12/'Output-Calculation-sheet'!Q11*'Output-Calculation-sheet'!Q29</f>
        <v>448.64401903578732</v>
      </c>
      <c r="R23" s="2">
        <f>R12/'Output-Calculation-sheet'!R11*'Output-Calculation-sheet'!R29</f>
        <v>0</v>
      </c>
      <c r="S23" s="2">
        <f>S12/'Output-Calculation-sheet'!S11*'Output-Calculation-sheet'!S29</f>
        <v>118.17347239149488</v>
      </c>
      <c r="T23" s="2">
        <f>T12/'Output-Calculation-sheet'!T11*'Output-Calculation-sheet'!T29</f>
        <v>0</v>
      </c>
      <c r="U23" s="2">
        <f>U12/'Output-Calculation-sheet'!U11*'Output-Calculation-sheet'!U29</f>
        <v>159.10530383587806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10.347767591289333</v>
      </c>
      <c r="Y23" s="2">
        <f>Y12/'Output-Calculation-sheet'!Y11*'Output-Calculation-sheet'!Y29</f>
        <v>65.822660500509372</v>
      </c>
      <c r="AA23" s="2">
        <f t="shared" si="0"/>
        <v>6.9927143269534042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997.34744780172605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39.103454134142815</v>
      </c>
    </row>
    <row r="31" spans="1:27" x14ac:dyDescent="0.25">
      <c r="A31" s="2">
        <v>2032</v>
      </c>
      <c r="B31" s="2">
        <f>B9/'Output-Calculation-sheet'!B8*'Output-Calculation-sheet'!B17</f>
        <v>21967.907709394254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858.96834383319572</v>
      </c>
      <c r="O31" s="2">
        <f>O9/'Output-Calculation-sheet'!O8*'Output-Calculation-sheet'!O17</f>
        <v>0</v>
      </c>
      <c r="P31" s="2">
        <f>P9/'Output-Calculation-sheet'!P8*'Output-Calculation-sheet'!P17</f>
        <v>2147.0129312376307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710.9404198429819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50.331244345634808</v>
      </c>
    </row>
    <row r="32" spans="1:27" x14ac:dyDescent="0.25">
      <c r="A32" s="2">
        <v>2033</v>
      </c>
      <c r="B32" s="2">
        <f>B10/'Output-Calculation-sheet'!B9*'Output-Calculation-sheet'!B18</f>
        <v>17722.574841228823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2774.3318115972515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717.3246090585983</v>
      </c>
      <c r="O32" s="2">
        <f>O10/'Output-Calculation-sheet'!O9*'Output-Calculation-sheet'!O18</f>
        <v>0</v>
      </c>
      <c r="P32" s="2">
        <f>P10/'Output-Calculation-sheet'!P9*'Output-Calculation-sheet'!P18</f>
        <v>2855.6332425998612</v>
      </c>
      <c r="Q32" s="2">
        <f>Q10/'Output-Calculation-sheet'!Q9*'Output-Calculation-sheet'!Q18</f>
        <v>2643.8744781417954</v>
      </c>
      <c r="R32" s="2">
        <f>R10/'Output-Calculation-sheet'!R9*'Output-Calculation-sheet'!R18</f>
        <v>2051.0613787492448</v>
      </c>
      <c r="S32" s="2">
        <f>S10/'Output-Calculation-sheet'!S9*'Output-Calculation-sheet'!S18</f>
        <v>652.5533665428577</v>
      </c>
      <c r="T32" s="2">
        <f>T10/'Output-Calculation-sheet'!T9*'Output-Calculation-sheet'!T18</f>
        <v>598.71389906236152</v>
      </c>
      <c r="U32" s="2">
        <f>U10/'Output-Calculation-sheet'!U9*'Output-Calculation-sheet'!U18</f>
        <v>661.87010941338292</v>
      </c>
      <c r="V32" s="2">
        <f>V10/'Output-Calculation-sheet'!V9*'Output-Calculation-sheet'!V18</f>
        <v>488.54378388924044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282.87002623824941</v>
      </c>
      <c r="AA32" s="2">
        <f t="shared" si="1"/>
        <v>56.341509571322518</v>
      </c>
    </row>
    <row r="33" spans="1:27" x14ac:dyDescent="0.25">
      <c r="A33" s="2">
        <v>2034</v>
      </c>
      <c r="B33" s="2">
        <f>B11/'Output-Calculation-sheet'!B10*'Output-Calculation-sheet'!B19</f>
        <v>12902.233060216631</v>
      </c>
      <c r="C33" s="2">
        <f>C11/'Output-Calculation-sheet'!C10*'Output-Calculation-sheet'!C19</f>
        <v>0</v>
      </c>
      <c r="D33" s="2">
        <f>D11/'Output-Calculation-sheet'!D10*'Output-Calculation-sheet'!D19</f>
        <v>8551.8490542749823</v>
      </c>
      <c r="E33" s="2">
        <f>E11/'Output-Calculation-sheet'!E10*'Output-Calculation-sheet'!E19</f>
        <v>10602.13358535718</v>
      </c>
      <c r="F33" s="2">
        <f>F11/'Output-Calculation-sheet'!F10*'Output-Calculation-sheet'!F19</f>
        <v>4854.5473441161548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3176.6961309160833</v>
      </c>
      <c r="J33" s="2">
        <f>J11/'Output-Calculation-sheet'!J10*'Output-Calculation-sheet'!J19</f>
        <v>2686.011834641949</v>
      </c>
      <c r="K33" s="2">
        <f>K11/'Output-Calculation-sheet'!K10*'Output-Calculation-sheet'!K19</f>
        <v>3725.4079428318528</v>
      </c>
      <c r="L33" s="2">
        <f>L11/'Output-Calculation-sheet'!L10*'Output-Calculation-sheet'!L19</f>
        <v>3030.3527074300073</v>
      </c>
      <c r="M33" s="2">
        <f>M11/'Output-Calculation-sheet'!M10*'Output-Calculation-sheet'!M19</f>
        <v>0</v>
      </c>
      <c r="N33" s="2">
        <f>N11/'Output-Calculation-sheet'!N10*'Output-Calculation-sheet'!N19</f>
        <v>575.21053650544968</v>
      </c>
      <c r="O33" s="2">
        <f>O11/'Output-Calculation-sheet'!O10*'Output-Calculation-sheet'!O19</f>
        <v>0</v>
      </c>
      <c r="P33" s="2">
        <f>P11/'Output-Calculation-sheet'!P10*'Output-Calculation-sheet'!P19</f>
        <v>2856.7328460097615</v>
      </c>
      <c r="Q33" s="2">
        <f>Q11/'Output-Calculation-sheet'!Q10*'Output-Calculation-sheet'!Q19</f>
        <v>1815.738152337371</v>
      </c>
      <c r="R33" s="2">
        <f>R11/'Output-Calculation-sheet'!R10*'Output-Calculation-sheet'!R19</f>
        <v>2691.3243623053277</v>
      </c>
      <c r="S33" s="2">
        <f>S11/'Output-Calculation-sheet'!S10*'Output-Calculation-sheet'!S19</f>
        <v>365.66079478883842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908.24129264305748</v>
      </c>
      <c r="V33" s="2">
        <f>V11/'Output-Calculation-sheet'!V10*'Output-Calculation-sheet'!V19</f>
        <v>619.36727152707715</v>
      </c>
      <c r="W33" s="2">
        <f>W11/'Output-Calculation-sheet'!W10*'Output-Calculation-sheet'!W19</f>
        <v>385.64768926869021</v>
      </c>
      <c r="X33" s="2">
        <f>X11/'Output-Calculation-sheet'!X10*'Output-Calculation-sheet'!X19</f>
        <v>0</v>
      </c>
      <c r="Y33" s="2">
        <f>Y11/'Output-Calculation-sheet'!Y10*'Output-Calculation-sheet'!Y19</f>
        <v>315.7433132296589</v>
      </c>
      <c r="AA33" s="2">
        <f t="shared" si="1"/>
        <v>63.763722892937885</v>
      </c>
    </row>
    <row r="34" spans="1:27" x14ac:dyDescent="0.25">
      <c r="A34" s="2">
        <v>2035</v>
      </c>
      <c r="B34" s="2">
        <f>B12/'Output-Calculation-sheet'!B11*'Output-Calculation-sheet'!B20</f>
        <v>196.29870115058867</v>
      </c>
      <c r="C34" s="2">
        <f>C12/'Output-Calculation-sheet'!C11*'Output-Calculation-sheet'!C20</f>
        <v>0</v>
      </c>
      <c r="D34" s="2">
        <f>D12/'Output-Calculation-sheet'!D11*'Output-Calculation-sheet'!D20</f>
        <v>9682.1022632293971</v>
      </c>
      <c r="E34" s="2">
        <f>E12/'Output-Calculation-sheet'!E11*'Output-Calculation-sheet'!E20</f>
        <v>4523.4612262051442</v>
      </c>
      <c r="F34" s="2">
        <f>F12/'Output-Calculation-sheet'!F11*'Output-Calculation-sheet'!F20</f>
        <v>6145.5009915849514</v>
      </c>
      <c r="G34" s="2">
        <f>G12/'Output-Calculation-sheet'!G11*'Output-Calculation-sheet'!G20</f>
        <v>3300.3942272016316</v>
      </c>
      <c r="H34" s="2">
        <f>H12/'Output-Calculation-sheet'!H11*'Output-Calculation-sheet'!H20</f>
        <v>0</v>
      </c>
      <c r="I34" s="2">
        <f>I12/'Output-Calculation-sheet'!I11*'Output-Calculation-sheet'!I20</f>
        <v>3666.8080559063615</v>
      </c>
      <c r="J34" s="2">
        <f>J12/'Output-Calculation-sheet'!J11*'Output-Calculation-sheet'!J20</f>
        <v>3175.2558805115723</v>
      </c>
      <c r="K34" s="2">
        <f>K12/'Output-Calculation-sheet'!K11*'Output-Calculation-sheet'!K20</f>
        <v>4473.7159085594758</v>
      </c>
      <c r="L34" s="2">
        <f>L12/'Output-Calculation-sheet'!L11*'Output-Calculation-sheet'!L20</f>
        <v>2477.4332361939696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985.04992479581699</v>
      </c>
      <c r="Q34" s="2">
        <f>Q12/'Output-Calculation-sheet'!Q11*'Output-Calculation-sheet'!Q20</f>
        <v>931.95984089528599</v>
      </c>
      <c r="R34" s="2">
        <f>R12/'Output-Calculation-sheet'!R11*'Output-Calculation-sheet'!R20</f>
        <v>3302.7799495249974</v>
      </c>
      <c r="S34" s="2">
        <f>S12/'Output-Calculation-sheet'!S11*'Output-Calculation-sheet'!S20</f>
        <v>2.6429653062638461</v>
      </c>
      <c r="T34" s="2">
        <f>T12/'Output-Calculation-sheet'!T11*'Output-Calculation-sheet'!T20</f>
        <v>985.06785885077466</v>
      </c>
      <c r="U34" s="2">
        <f>U12/'Output-Calculation-sheet'!U11*'Output-Calculation-sheet'!U20</f>
        <v>896.55491108028184</v>
      </c>
      <c r="V34" s="2">
        <f>V12/'Output-Calculation-sheet'!V11*'Output-Calculation-sheet'!V20</f>
        <v>865.30459023087576</v>
      </c>
      <c r="W34" s="2">
        <f>W12/'Output-Calculation-sheet'!W11*'Output-Calculation-sheet'!W20</f>
        <v>526.31679291810133</v>
      </c>
      <c r="X34" s="2">
        <f>X12/'Output-Calculation-sheet'!X11*'Output-Calculation-sheet'!X20</f>
        <v>0</v>
      </c>
      <c r="Y34" s="2">
        <f>Y12/'Output-Calculation-sheet'!Y11*'Output-Calculation-sheet'!Y20</f>
        <v>113.21324484438382</v>
      </c>
      <c r="AA34" s="2">
        <f t="shared" si="1"/>
        <v>46.249860568989867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0.16517726871516047</v>
      </c>
      <c r="E45" s="2">
        <f>E12/'Output-Calculation-sheet'!E11*'Output-Calculation-sheet'!E38*0.0114</f>
        <v>8.7514682773316352E-2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1.4468935740001236E-2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0.93617287049439857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0.14006646162844086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181.80858842427193</v>
      </c>
      <c r="R54" s="2">
        <f>R10/'Output-Calculation-sheet'!R9*'Output-Calculation-sheet'!R45</f>
        <v>1360.0902342361974</v>
      </c>
      <c r="S54" s="2">
        <f>S10/'Output-Calculation-sheet'!S9*'Output-Calculation-sheet'!S45</f>
        <v>0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16.964084030841825</v>
      </c>
      <c r="AA54" s="2">
        <f t="shared" si="3"/>
        <v>4.4775266230047288</v>
      </c>
    </row>
    <row r="55" spans="1:27" x14ac:dyDescent="0.25">
      <c r="A55" s="2">
        <v>2034</v>
      </c>
      <c r="B55" s="2">
        <f>B11/'Output-Calculation-sheet'!B10*'Output-Calculation-sheet'!B46</f>
        <v>1579.6512686866088</v>
      </c>
      <c r="C55" s="2">
        <f>C11/'Output-Calculation-sheet'!C10*'Output-Calculation-sheet'!C46</f>
        <v>0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572.89026140796807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424.6142956496746</v>
      </c>
      <c r="N55" s="2">
        <f>N11/'Output-Calculation-sheet'!N10*'Output-Calculation-sheet'!N46</f>
        <v>145.01282705135398</v>
      </c>
      <c r="O55" s="2">
        <f>O11/'Output-Calculation-sheet'!O10*'Output-Calculation-sheet'!O46</f>
        <v>0</v>
      </c>
      <c r="P55" s="2">
        <f>P11/'Output-Calculation-sheet'!P10*'Output-Calculation-sheet'!P46</f>
        <v>3092.4758379372797</v>
      </c>
      <c r="Q55" s="2">
        <f>Q11/'Output-Calculation-sheet'!Q10*'Output-Calculation-sheet'!Q46</f>
        <v>676.00188457114973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0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79.755775707501314</v>
      </c>
      <c r="X55" s="2">
        <f>X11/'Output-Calculation-sheet'!X10*'Output-Calculation-sheet'!X46</f>
        <v>40.526767654682111</v>
      </c>
      <c r="Y55" s="2">
        <f>Y11/'Output-Calculation-sheet'!Y10*'Output-Calculation-sheet'!Y46</f>
        <v>281.87172732896198</v>
      </c>
      <c r="AA55" s="2">
        <f t="shared" si="3"/>
        <v>42.032163778261769</v>
      </c>
    </row>
    <row r="56" spans="1:27" x14ac:dyDescent="0.25">
      <c r="A56" s="2">
        <v>2035</v>
      </c>
      <c r="B56" s="2">
        <f>B12/'Output-Calculation-sheet'!B11*'Output-Calculation-sheet'!B47</f>
        <v>482.47574018754233</v>
      </c>
      <c r="C56" s="2">
        <f>C12/'Output-Calculation-sheet'!C11*'Output-Calculation-sheet'!C47</f>
        <v>392.56140580876314</v>
      </c>
      <c r="D56" s="2">
        <f>D12/'Output-Calculation-sheet'!D11*'Output-Calculation-sheet'!D47</f>
        <v>15957.476486400299</v>
      </c>
      <c r="E56" s="2">
        <f>E12/'Output-Calculation-sheet'!E11*'Output-Calculation-sheet'!E47</f>
        <v>11092.869877845802</v>
      </c>
      <c r="F56" s="2">
        <f>F12/'Output-Calculation-sheet'!F11*'Output-Calculation-sheet'!F47</f>
        <v>3312.0991475660194</v>
      </c>
      <c r="G56" s="2">
        <f>G12/'Output-Calculation-sheet'!G11*'Output-Calculation-sheet'!G47</f>
        <v>7406.6025570721786</v>
      </c>
      <c r="H56" s="2">
        <f>H12/'Output-Calculation-sheet'!H11*'Output-Calculation-sheet'!H47</f>
        <v>147.69648175854996</v>
      </c>
      <c r="I56" s="2">
        <f>I12/'Output-Calculation-sheet'!I11*'Output-Calculation-sheet'!I47</f>
        <v>4352.363789417831</v>
      </c>
      <c r="J56" s="2">
        <f>J12/'Output-Calculation-sheet'!J11*'Output-Calculation-sheet'!J47</f>
        <v>4611.2141999962123</v>
      </c>
      <c r="K56" s="2">
        <f>K12/'Output-Calculation-sheet'!K11*'Output-Calculation-sheet'!K47</f>
        <v>6372.8714094493716</v>
      </c>
      <c r="L56" s="2">
        <f>L12/'Output-Calculation-sheet'!L11*'Output-Calculation-sheet'!L47</f>
        <v>4266.0781374490371</v>
      </c>
      <c r="M56" s="2">
        <f>M12/'Output-Calculation-sheet'!M11*'Output-Calculation-sheet'!M47</f>
        <v>98.164909341912804</v>
      </c>
      <c r="N56" s="2">
        <f>N12/'Output-Calculation-sheet'!N11*'Output-Calculation-sheet'!N47</f>
        <v>107.83079611223458</v>
      </c>
      <c r="O56" s="2">
        <f>O12/'Output-Calculation-sheet'!O11*'Output-Calculation-sheet'!O47</f>
        <v>72.026899065581901</v>
      </c>
      <c r="P56" s="2">
        <f>P12/'Output-Calculation-sheet'!P11*'Output-Calculation-sheet'!P47</f>
        <v>1389.3910252677326</v>
      </c>
      <c r="Q56" s="2">
        <f>Q12/'Output-Calculation-sheet'!Q11*'Output-Calculation-sheet'!Q47</f>
        <v>1026.310822454969</v>
      </c>
      <c r="R56" s="2">
        <f>R12/'Output-Calculation-sheet'!R11*'Output-Calculation-sheet'!R47</f>
        <v>5796.0239048071307</v>
      </c>
      <c r="S56" s="2">
        <f>S12/'Output-Calculation-sheet'!S11*'Output-Calculation-sheet'!S47</f>
        <v>48.148555554782028</v>
      </c>
      <c r="T56" s="2">
        <f>T12/'Output-Calculation-sheet'!T11*'Output-Calculation-sheet'!T47</f>
        <v>2104.5402389834226</v>
      </c>
      <c r="U56" s="2">
        <f>U12/'Output-Calculation-sheet'!U11*'Output-Calculation-sheet'!U47</f>
        <v>1961.2388554593781</v>
      </c>
      <c r="V56" s="2">
        <f>V12/'Output-Calculation-sheet'!V11*'Output-Calculation-sheet'!V47</f>
        <v>1207.1867882801221</v>
      </c>
      <c r="W56" s="2">
        <f>W12/'Output-Calculation-sheet'!W11*'Output-Calculation-sheet'!W47</f>
        <v>713.98456335575554</v>
      </c>
      <c r="X56" s="2">
        <f>X12/'Output-Calculation-sheet'!X11*'Output-Calculation-sheet'!X47</f>
        <v>11.022280479482003</v>
      </c>
      <c r="Y56" s="2">
        <f>Y12/'Output-Calculation-sheet'!Y11*'Output-Calculation-sheet'!Y47</f>
        <v>236.33061296614017</v>
      </c>
      <c r="AA56" s="2">
        <f t="shared" si="3"/>
        <v>73.166509485080226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7.2116326618382454</v>
      </c>
      <c r="C63" s="2">
        <f>C8*'Output-Calculation-sheet'!C52/10^9</f>
        <v>3.8528250655895611</v>
      </c>
      <c r="D63" s="2">
        <f>D8*'Output-Calculation-sheet'!D52/10^9</f>
        <v>2.4730233866098734</v>
      </c>
      <c r="E63" s="2">
        <f>E8*'Output-Calculation-sheet'!E52/10^9</f>
        <v>2.4588486058096901</v>
      </c>
      <c r="F63" s="2">
        <f>F8*'Output-Calculation-sheet'!F52/10^9</f>
        <v>1.0413221812884319</v>
      </c>
      <c r="G63" s="2">
        <f>G8*'Output-Calculation-sheet'!G52/10^9</f>
        <v>0.74866360542736543</v>
      </c>
      <c r="H63" s="2">
        <f>H8*'Output-Calculation-sheet'!H52/10^9</f>
        <v>1.2176294320097805</v>
      </c>
      <c r="I63" s="2">
        <f>I8*'Output-Calculation-sheet'!I52/10^9</f>
        <v>0.69643096464052334</v>
      </c>
      <c r="J63" s="2">
        <f>J8*'Output-Calculation-sheet'!J52/10^9</f>
        <v>0.95833621278137393</v>
      </c>
      <c r="K63" s="2">
        <f>K8*'Output-Calculation-sheet'!K52/10^9</f>
        <v>0.84198359931952182</v>
      </c>
      <c r="L63" s="2">
        <f>L8*'Output-Calculation-sheet'!L52/10^9</f>
        <v>1.1325084524511622</v>
      </c>
      <c r="M63" s="2">
        <f>M8*'Output-Calculation-sheet'!M52/10^9</f>
        <v>0.99752216784121106</v>
      </c>
      <c r="N63" s="2">
        <f>N8*'Output-Calculation-sheet'!N52/10^9</f>
        <v>0.88016871245831307</v>
      </c>
      <c r="O63" s="2">
        <f>O8*'Output-Calculation-sheet'!O52/10^9</f>
        <v>0.78825474834010734</v>
      </c>
      <c r="P63" s="2">
        <f>P8*'Output-Calculation-sheet'!P52/10^9</f>
        <v>0.58178795462669319</v>
      </c>
      <c r="Q63" s="2">
        <f>Q8*'Output-Calculation-sheet'!Q52/10^9</f>
        <v>0.65841347405936645</v>
      </c>
      <c r="R63" s="2">
        <f>R8*'Output-Calculation-sheet'!R52/10^9</f>
        <v>0.59112460446113191</v>
      </c>
      <c r="S63" s="2">
        <f>S8*'Output-Calculation-sheet'!S52/10^9</f>
        <v>0.43804427649048377</v>
      </c>
      <c r="T63" s="2">
        <f>T8*'Output-Calculation-sheet'!T52/10^9</f>
        <v>0.22473713042546534</v>
      </c>
      <c r="U63" s="2">
        <f>U8*'Output-Calculation-sheet'!U52/10^9</f>
        <v>0.15434705296887466</v>
      </c>
      <c r="V63" s="2">
        <f>V8*'Output-Calculation-sheet'!V52/10^9</f>
        <v>0.27392954395126412</v>
      </c>
      <c r="W63" s="2">
        <f>W8*'Output-Calculation-sheet'!W52/10^9</f>
        <v>9.914966118144751E-2</v>
      </c>
      <c r="X63" s="2">
        <f>X8*'Output-Calculation-sheet'!X52/10^9</f>
        <v>0.10216197307067044</v>
      </c>
      <c r="Y63" s="2">
        <f>Y8*'Output-Calculation-sheet'!Y52/10^9</f>
        <v>6.4692395819387655E-2</v>
      </c>
      <c r="AA63" s="2">
        <f t="shared" si="4"/>
        <v>28.487537863459945</v>
      </c>
    </row>
    <row r="64" spans="1:27" x14ac:dyDescent="0.25">
      <c r="A64" s="2">
        <v>2032</v>
      </c>
      <c r="B64" s="2">
        <f>B9*'Output-Calculation-sheet'!B53/10^9</f>
        <v>7.4911286637811356</v>
      </c>
      <c r="C64" s="2">
        <f>C9*'Output-Calculation-sheet'!C53/10^9</f>
        <v>3.9712786661717741</v>
      </c>
      <c r="D64" s="2">
        <f>D9*'Output-Calculation-sheet'!D53/10^9</f>
        <v>2.2186281761681328</v>
      </c>
      <c r="E64" s="2">
        <f>E9*'Output-Calculation-sheet'!E53/10^9</f>
        <v>2.2719728673777575</v>
      </c>
      <c r="F64" s="2">
        <f>F9*'Output-Calculation-sheet'!F53/10^9</f>
        <v>0.95830390902034746</v>
      </c>
      <c r="G64" s="2">
        <f>G9*'Output-Calculation-sheet'!G53/10^9</f>
        <v>0.68209140686902503</v>
      </c>
      <c r="H64" s="2">
        <f>H9*'Output-Calculation-sheet'!H53/10^9</f>
        <v>1.2463563474280832</v>
      </c>
      <c r="I64" s="2">
        <f>I9*'Output-Calculation-sheet'!I53/10^9</f>
        <v>0.63764398688949031</v>
      </c>
      <c r="J64" s="2">
        <f>J9*'Output-Calculation-sheet'!J53/10^9</f>
        <v>0.84411107892748383</v>
      </c>
      <c r="K64" s="2">
        <f>K9*'Output-Calculation-sheet'!K53/10^9</f>
        <v>0.78322023696869791</v>
      </c>
      <c r="L64" s="2">
        <f>L9*'Output-Calculation-sheet'!L53/10^9</f>
        <v>1.0076104938707524</v>
      </c>
      <c r="M64" s="2">
        <f>M9*'Output-Calculation-sheet'!M53/10^9</f>
        <v>0.98883798956570079</v>
      </c>
      <c r="N64" s="2">
        <f>N9*'Output-Calculation-sheet'!N53/10^9</f>
        <v>0.89027369138256851</v>
      </c>
      <c r="O64" s="2">
        <f>O9*'Output-Calculation-sheet'!O53/10^9</f>
        <v>0.80421366972084829</v>
      </c>
      <c r="P64" s="2">
        <f>P9*'Output-Calculation-sheet'!P53/10^9</f>
        <v>0.59715585342933031</v>
      </c>
      <c r="Q64" s="2">
        <f>Q9*'Output-Calculation-sheet'!Q53/10^9</f>
        <v>0.65994306685254378</v>
      </c>
      <c r="R64" s="2">
        <f>R9*'Output-Calculation-sheet'!R53/10^9</f>
        <v>0.56572705503263532</v>
      </c>
      <c r="S64" s="2">
        <f>S9*'Output-Calculation-sheet'!S53/10^9</f>
        <v>0.45522473082594317</v>
      </c>
      <c r="T64" s="2">
        <f>T9*'Output-Calculation-sheet'!T53/10^9</f>
        <v>0.20336334289111416</v>
      </c>
      <c r="U64" s="2">
        <f>U9*'Output-Calculation-sheet'!U53/10^9</f>
        <v>0.15306734815735085</v>
      </c>
      <c r="V64" s="2">
        <f>V9*'Output-Calculation-sheet'!V53/10^9</f>
        <v>0.24137853616057064</v>
      </c>
      <c r="W64" s="2">
        <f>W9*'Output-Calculation-sheet'!W53/10^9</f>
        <v>8.9691758275883618E-2</v>
      </c>
      <c r="X64" s="2">
        <f>X9*'Output-Calculation-sheet'!X53/10^9</f>
        <v>0.10283031766411231</v>
      </c>
      <c r="Y64" s="2">
        <f>Y9*'Output-Calculation-sheet'!Y53/10^9</f>
        <v>6.2841005615132117E-2</v>
      </c>
      <c r="AA64" s="2">
        <f t="shared" si="4"/>
        <v>27.926894199046419</v>
      </c>
    </row>
    <row r="65" spans="1:27" x14ac:dyDescent="0.25">
      <c r="A65" s="2">
        <v>2033</v>
      </c>
      <c r="B65" s="2">
        <f>B10*'Output-Calculation-sheet'!B54/10^9</f>
        <v>7.6946922549360535</v>
      </c>
      <c r="C65" s="2">
        <f>C10*'Output-Calculation-sheet'!C54/10^9</f>
        <v>3.9775243253189698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1.2490768833982244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0.7276990991883111</v>
      </c>
      <c r="L65" s="2">
        <f>L10*'Output-Calculation-sheet'!L54/10^9</f>
        <v>0.8595550671606117</v>
      </c>
      <c r="M65" s="2">
        <f>M10*'Output-Calculation-sheet'!M54/10^9</f>
        <v>0.9525006712463967</v>
      </c>
      <c r="N65" s="2">
        <f>N10*'Output-Calculation-sheet'!N54/10^9</f>
        <v>0.87403608462318261</v>
      </c>
      <c r="O65" s="2">
        <f>O10*'Output-Calculation-sheet'!O54/10^9</f>
        <v>0.79711346311529818</v>
      </c>
      <c r="P65" s="2">
        <f>P10*'Output-Calculation-sheet'!P54/10^9</f>
        <v>0.61570766404867705</v>
      </c>
      <c r="Q65" s="2">
        <f>Q10*'Output-Calculation-sheet'!Q54/10^9</f>
        <v>0.67071051954909966</v>
      </c>
      <c r="R65" s="2">
        <f>R10*'Output-Calculation-sheet'!R54/10^9</f>
        <v>0.54211171323795748</v>
      </c>
      <c r="S65" s="2">
        <f>S10*'Output-Calculation-sheet'!S54/10^9</f>
        <v>0.46105277112286674</v>
      </c>
      <c r="T65" s="2">
        <f>T10*'Output-Calculation-sheet'!T54/10^9</f>
        <v>0.18123550750851239</v>
      </c>
      <c r="U65" s="2">
        <f>U10*'Output-Calculation-sheet'!U54/10^9</f>
        <v>0.15649327196809848</v>
      </c>
      <c r="V65" s="2">
        <f>V10*'Output-Calculation-sheet'!V54/10^9</f>
        <v>0.20057204688349012</v>
      </c>
      <c r="W65" s="2">
        <f>W10*'Output-Calculation-sheet'!W54/10^9</f>
        <v>7.636239097441766E-2</v>
      </c>
      <c r="X65" s="2">
        <f>X10*'Output-Calculation-sheet'!X54/10^9</f>
        <v>9.9870367984231462E-2</v>
      </c>
      <c r="Y65" s="2">
        <f>Y10*'Output-Calculation-sheet'!Y54/10^9</f>
        <v>6.2855546556382466E-2</v>
      </c>
      <c r="AA65" s="2">
        <f t="shared" si="4"/>
        <v>26.861408711699465</v>
      </c>
    </row>
    <row r="66" spans="1:27" x14ac:dyDescent="0.25">
      <c r="A66" s="2">
        <v>2034</v>
      </c>
      <c r="B66" s="2">
        <f>B11*'Output-Calculation-sheet'!B55/10^9</f>
        <v>7.8169530968289029</v>
      </c>
      <c r="C66" s="2">
        <f>C11*'Output-Calculation-sheet'!C55/10^9</f>
        <v>3.9322365778178083</v>
      </c>
      <c r="D66" s="2">
        <f>D11*'Output-Calculation-sheet'!D55/10^9</f>
        <v>1.764162958963382</v>
      </c>
      <c r="E66" s="2">
        <f>E11*'Output-Calculation-sheet'!E55/10^9</f>
        <v>2.1362762252243797</v>
      </c>
      <c r="F66" s="2">
        <f>F11*'Output-Calculation-sheet'!F55/10^9</f>
        <v>0.82100730189729765</v>
      </c>
      <c r="G66" s="2">
        <f>G11*'Output-Calculation-sheet'!G55/10^9</f>
        <v>0.58683813314444866</v>
      </c>
      <c r="H66" s="2">
        <f>H11*'Output-Calculation-sheet'!H55/10^9</f>
        <v>1.2245805428185617</v>
      </c>
      <c r="I66" s="2">
        <f>I11*'Output-Calculation-sheet'!I55/10^9</f>
        <v>0.57385660363865021</v>
      </c>
      <c r="J66" s="2">
        <f>J11*'Output-Calculation-sheet'!J55/10^9</f>
        <v>0.5901172831335082</v>
      </c>
      <c r="K66" s="2">
        <f>K11*'Output-Calculation-sheet'!K55/10^9</f>
        <v>0.70580838722957306</v>
      </c>
      <c r="L66" s="2">
        <f>L11*'Output-Calculation-sheet'!L55/10^9</f>
        <v>0.74747571619370412</v>
      </c>
      <c r="M66" s="2">
        <f>M11*'Output-Calculation-sheet'!M55/10^9</f>
        <v>0.89263460363622005</v>
      </c>
      <c r="N66" s="2">
        <f>N11*'Output-Calculation-sheet'!N55/10^9</f>
        <v>0.84328167769365114</v>
      </c>
      <c r="O66" s="2">
        <f>O11*'Output-Calculation-sheet'!O55/10^9</f>
        <v>0.77505706761513948</v>
      </c>
      <c r="P66" s="2">
        <f>P11*'Output-Calculation-sheet'!P55/10^9</f>
        <v>0.64721351437128527</v>
      </c>
      <c r="Q66" s="2">
        <f>Q11*'Output-Calculation-sheet'!Q55/10^9</f>
        <v>0.68460494895296242</v>
      </c>
      <c r="R66" s="2">
        <f>R11*'Output-Calculation-sheet'!R55/10^9</f>
        <v>0.52872954464883282</v>
      </c>
      <c r="S66" s="2">
        <f>S11*'Output-Calculation-sheet'!S55/10^9</f>
        <v>0.4612188995743523</v>
      </c>
      <c r="T66" s="2">
        <f>T11*'Output-Calculation-sheet'!T55/10^9</f>
        <v>0.16573038943696763</v>
      </c>
      <c r="U66" s="2">
        <f>U11*'Output-Calculation-sheet'!U55/10^9</f>
        <v>0.16920843827382925</v>
      </c>
      <c r="V66" s="2">
        <f>V11*'Output-Calculation-sheet'!V55/10^9</f>
        <v>0.15721865504744856</v>
      </c>
      <c r="W66" s="2">
        <f>W11*'Output-Calculation-sheet'!W55/10^9</f>
        <v>7.1188506401129184E-2</v>
      </c>
      <c r="X66" s="2">
        <f>X11*'Output-Calculation-sheet'!X55/10^9</f>
        <v>9.5370741824564093E-2</v>
      </c>
      <c r="Y66" s="2">
        <f>Y11*'Output-Calculation-sheet'!Y55/10^9</f>
        <v>6.9598893893396865E-2</v>
      </c>
      <c r="AA66" s="2">
        <f t="shared" si="4"/>
        <v>26.460368708259995</v>
      </c>
    </row>
    <row r="67" spans="1:27" x14ac:dyDescent="0.25">
      <c r="A67" s="2">
        <v>2035</v>
      </c>
      <c r="B67" s="2">
        <f>B12*'Output-Calculation-sheet'!B56/10^9</f>
        <v>8.129430307104764</v>
      </c>
      <c r="C67" s="2">
        <f>C12*'Output-Calculation-sheet'!C56/10^9</f>
        <v>3.8031690834884953</v>
      </c>
      <c r="D67" s="2">
        <f>D12*'Output-Calculation-sheet'!D56/10^9</f>
        <v>2.0744219830215149</v>
      </c>
      <c r="E67" s="2">
        <f>E12*'Output-Calculation-sheet'!E56/10^9</f>
        <v>2.5370612846923382</v>
      </c>
      <c r="F67" s="2">
        <f>F12*'Output-Calculation-sheet'!F56/10^9</f>
        <v>1.0267953521377788</v>
      </c>
      <c r="G67" s="2">
        <f>G12*'Output-Calculation-sheet'!G56/10^9</f>
        <v>0.7536745359603052</v>
      </c>
      <c r="H67" s="2">
        <f>H12*'Output-Calculation-sheet'!H56/10^9</f>
        <v>1.2019447453758656</v>
      </c>
      <c r="I67" s="2">
        <f>I12*'Output-Calculation-sheet'!I56/10^9</f>
        <v>0.71192169300952468</v>
      </c>
      <c r="J67" s="2">
        <f>J12*'Output-Calculation-sheet'!J56/10^9</f>
        <v>0.66129772405842768</v>
      </c>
      <c r="K67" s="2">
        <f>K12*'Output-Calculation-sheet'!K56/10^9</f>
        <v>0.81256469899157469</v>
      </c>
      <c r="L67" s="2">
        <f>L12*'Output-Calculation-sheet'!L56/10^9</f>
        <v>0.7757977319171151</v>
      </c>
      <c r="M67" s="2">
        <f>M12*'Output-Calculation-sheet'!M56/10^9</f>
        <v>0.83662849477495471</v>
      </c>
      <c r="N67" s="2">
        <f>N12*'Output-Calculation-sheet'!N56/10^9</f>
        <v>0.81526686435058082</v>
      </c>
      <c r="O67" s="2">
        <f>O12*'Output-Calculation-sheet'!O56/10^9</f>
        <v>0.7392313722887498</v>
      </c>
      <c r="P67" s="2">
        <f>P12*'Output-Calculation-sheet'!P56/10^9</f>
        <v>0.71885174085824788</v>
      </c>
      <c r="Q67" s="2">
        <f>Q12*'Output-Calculation-sheet'!Q56/10^9</f>
        <v>0.72787251010915077</v>
      </c>
      <c r="R67" s="2">
        <f>R12*'Output-Calculation-sheet'!R56/10^9</f>
        <v>0.59917289069736002</v>
      </c>
      <c r="S67" s="2">
        <f>S12*'Output-Calculation-sheet'!S56/10^9</f>
        <v>0.46609766069026093</v>
      </c>
      <c r="T67" s="2">
        <f>T12*'Output-Calculation-sheet'!T56/10^9</f>
        <v>0.18362152132730519</v>
      </c>
      <c r="U67" s="2">
        <f>U12*'Output-Calculation-sheet'!U56/10^9</f>
        <v>0.19719189089316533</v>
      </c>
      <c r="V67" s="2">
        <f>V12*'Output-Calculation-sheet'!V56/10^9</f>
        <v>0.14096237514181773</v>
      </c>
      <c r="W67" s="2">
        <f>W12*'Output-Calculation-sheet'!W56/10^9</f>
        <v>9.3574782715605528E-2</v>
      </c>
      <c r="X67" s="2">
        <f>X12*'Output-Calculation-sheet'!X56/10^9</f>
        <v>8.9092085721056619E-2</v>
      </c>
      <c r="Y67" s="2">
        <f>Y12*'Output-Calculation-sheet'!Y56/10^9</f>
        <v>8.3217400658082502E-2</v>
      </c>
      <c r="AA67" s="2">
        <f t="shared" si="4"/>
        <v>28.178860729984041</v>
      </c>
    </row>
    <row r="68" spans="1:27" x14ac:dyDescent="0.25">
      <c r="B68" s="2">
        <f>SUM(B60:B67)</f>
        <v>38.343836984489101</v>
      </c>
      <c r="C68" s="2">
        <f t="shared" ref="C68:Y68" si="5">SUM(C60:C67)</f>
        <v>19.537033718386606</v>
      </c>
      <c r="D68" s="2">
        <f t="shared" si="5"/>
        <v>10.397526250279096</v>
      </c>
      <c r="E68" s="2">
        <f t="shared" si="5"/>
        <v>11.506695410194748</v>
      </c>
      <c r="F68" s="2">
        <f t="shared" si="5"/>
        <v>4.7010216668262066</v>
      </c>
      <c r="G68" s="2">
        <f t="shared" si="5"/>
        <v>3.3573369239407795</v>
      </c>
      <c r="H68" s="2">
        <f t="shared" si="5"/>
        <v>6.1395879510305154</v>
      </c>
      <c r="I68" s="2">
        <f t="shared" si="5"/>
        <v>3.1905248892026505</v>
      </c>
      <c r="J68" s="2">
        <f t="shared" si="5"/>
        <v>3.7359413831262538</v>
      </c>
      <c r="K68" s="2">
        <f t="shared" si="5"/>
        <v>3.8712760216976783</v>
      </c>
      <c r="L68" s="2">
        <f t="shared" si="5"/>
        <v>4.5229474615933452</v>
      </c>
      <c r="M68" s="2">
        <f t="shared" si="5"/>
        <v>4.6681239270644834</v>
      </c>
      <c r="N68" s="2">
        <f t="shared" si="5"/>
        <v>4.3030270305082965</v>
      </c>
      <c r="O68" s="2">
        <f t="shared" si="5"/>
        <v>3.9038703210801433</v>
      </c>
      <c r="P68" s="2">
        <f t="shared" si="5"/>
        <v>3.160716727334234</v>
      </c>
      <c r="Q68" s="2">
        <f t="shared" si="5"/>
        <v>3.4015445195231235</v>
      </c>
      <c r="R68" s="2">
        <f t="shared" si="5"/>
        <v>2.8268658080779177</v>
      </c>
      <c r="S68" s="2">
        <f t="shared" si="5"/>
        <v>2.2816383387039068</v>
      </c>
      <c r="T68" s="2">
        <f t="shared" si="5"/>
        <v>0.95868789158936463</v>
      </c>
      <c r="U68" s="2">
        <f t="shared" si="5"/>
        <v>0.83030800226131862</v>
      </c>
      <c r="V68" s="2">
        <f t="shared" si="5"/>
        <v>1.0140611571845912</v>
      </c>
      <c r="W68" s="2">
        <f t="shared" si="5"/>
        <v>0.4299670995484835</v>
      </c>
      <c r="X68" s="2">
        <f t="shared" si="5"/>
        <v>0.4893254862646349</v>
      </c>
      <c r="Y68" s="2">
        <f t="shared" si="5"/>
        <v>0.34320524254238161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49.180952288343939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4.9180952288343939E-2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484.56442409078892</v>
      </c>
      <c r="Q76" s="2">
        <f>Q10/'Output-Calculation-sheet'!Q9*'Output-Calculation-sheet'!Q63</f>
        <v>57.468296273309093</v>
      </c>
      <c r="R76" s="2">
        <f>R10/'Output-Calculation-sheet'!R9*'Output-Calculation-sheet'!R63</f>
        <v>369.77996447248091</v>
      </c>
      <c r="S76" s="2">
        <f>S10/'Output-Calculation-sheet'!S9*'Output-Calculation-sheet'!S63</f>
        <v>0</v>
      </c>
      <c r="T76" s="2">
        <f>T10/'Output-Calculation-sheet'!T9*'Output-Calculation-sheet'!T63</f>
        <v>24.233129242556966</v>
      </c>
      <c r="U76" s="2">
        <f>U10/'Output-Calculation-sheet'!U9*'Output-Calculation-sheet'!U63</f>
        <v>131.01003372038346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6.213898131621602</v>
      </c>
      <c r="AA76" s="2">
        <f t="shared" si="6"/>
        <v>1.1749955304732445</v>
      </c>
    </row>
    <row r="77" spans="1:27" x14ac:dyDescent="0.25">
      <c r="A77" s="2">
        <v>2034</v>
      </c>
      <c r="B77" s="2">
        <f>B11/'Output-Calculation-sheet'!B10*'Output-Calculation-sheet'!B64</f>
        <v>480.98700651434166</v>
      </c>
      <c r="C77" s="2">
        <f>C11/'Output-Calculation-sheet'!C10*'Output-Calculation-sheet'!C64</f>
        <v>0</v>
      </c>
      <c r="D77" s="2">
        <f>D11/'Output-Calculation-sheet'!D10*'Output-Calculation-sheet'!D64</f>
        <v>1710.8464839112676</v>
      </c>
      <c r="E77" s="2">
        <f>E11/'Output-Calculation-sheet'!E10*'Output-Calculation-sheet'!E64</f>
        <v>2121.4014889083751</v>
      </c>
      <c r="F77" s="2">
        <f>F11/'Output-Calculation-sheet'!F10*'Output-Calculation-sheet'!F64</f>
        <v>138.02895944998482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140.26972526176351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373.19047410748061</v>
      </c>
      <c r="K77" s="2">
        <f>K11/'Output-Calculation-sheet'!K10*'Output-Calculation-sheet'!K64</f>
        <v>815.4726675191273</v>
      </c>
      <c r="L77" s="2">
        <f>L11/'Output-Calculation-sheet'!L10*'Output-Calculation-sheet'!L64</f>
        <v>336.21124778668957</v>
      </c>
      <c r="M77" s="2">
        <f>M11/'Output-Calculation-sheet'!M10*'Output-Calculation-sheet'!M64</f>
        <v>101.02441342862922</v>
      </c>
      <c r="N77" s="2">
        <f>N11/'Output-Calculation-sheet'!N10*'Output-Calculation-sheet'!N64</f>
        <v>33.411619533519215</v>
      </c>
      <c r="O77" s="2">
        <f>O11/'Output-Calculation-sheet'!O10*'Output-Calculation-sheet'!O64</f>
        <v>0</v>
      </c>
      <c r="P77" s="2">
        <f>P11/'Output-Calculation-sheet'!P10*'Output-Calculation-sheet'!P64</f>
        <v>692.92116181146366</v>
      </c>
      <c r="Q77" s="2">
        <f>Q11/'Output-Calculation-sheet'!Q10*'Output-Calculation-sheet'!Q64</f>
        <v>166.21596409744484</v>
      </c>
      <c r="R77" s="2">
        <f>R11/'Output-Calculation-sheet'!R10*'Output-Calculation-sheet'!R64</f>
        <v>855.25517259584626</v>
      </c>
      <c r="S77" s="2">
        <f>S11/'Output-Calculation-sheet'!S10*'Output-Calculation-sheet'!S64</f>
        <v>0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314.42452995016527</v>
      </c>
      <c r="V77" s="2">
        <f>V11/'Output-Calculation-sheet'!V10*'Output-Calculation-sheet'!V64</f>
        <v>122.81330371592668</v>
      </c>
      <c r="W77" s="2">
        <f>W11/'Output-Calculation-sheet'!W10*'Output-Calculation-sheet'!W64</f>
        <v>26.894639350236268</v>
      </c>
      <c r="X77" s="2">
        <f>X11/'Output-Calculation-sheet'!X10*'Output-Calculation-sheet'!X64</f>
        <v>10.071025319406964</v>
      </c>
      <c r="Y77" s="2">
        <f>Y11/'Output-Calculation-sheet'!Y10*'Output-Calculation-sheet'!Y64</f>
        <v>56.765555760786611</v>
      </c>
      <c r="AA77" s="2">
        <f t="shared" si="6"/>
        <v>10.162541521599758</v>
      </c>
    </row>
    <row r="78" spans="1:27" x14ac:dyDescent="0.25">
      <c r="A78" s="2">
        <v>2035</v>
      </c>
      <c r="B78" s="2">
        <f>B12/'Output-Calculation-sheet'!B11*'Output-Calculation-sheet'!B65</f>
        <v>91.739315741374114</v>
      </c>
      <c r="C78" s="2">
        <f>C12/'Output-Calculation-sheet'!C11*'Output-Calculation-sheet'!C65</f>
        <v>73.479862028954173</v>
      </c>
      <c r="D78" s="2">
        <f>D12/'Output-Calculation-sheet'!D11*'Output-Calculation-sheet'!D65</f>
        <v>3507.138432356393</v>
      </c>
      <c r="E78" s="2">
        <f>E12/'Output-Calculation-sheet'!E11*'Output-Calculation-sheet'!E65</f>
        <v>1700.736547164297</v>
      </c>
      <c r="F78" s="2">
        <f>F12/'Output-Calculation-sheet'!F11*'Output-Calculation-sheet'!F65</f>
        <v>877.08585903143501</v>
      </c>
      <c r="G78" s="2">
        <f>G12/'Output-Calculation-sheet'!G11*'Output-Calculation-sheet'!G65</f>
        <v>1627.8239762626283</v>
      </c>
      <c r="H78" s="2">
        <f>H12/'Output-Calculation-sheet'!H11*'Output-Calculation-sheet'!H65</f>
        <v>30.851780996428019</v>
      </c>
      <c r="I78" s="2">
        <f>I12/'Output-Calculation-sheet'!I11*'Output-Calculation-sheet'!I65</f>
        <v>1081.8249771442004</v>
      </c>
      <c r="J78" s="2">
        <f>J12/'Output-Calculation-sheet'!J11*'Output-Calculation-sheet'!J65</f>
        <v>1125.1501447080389</v>
      </c>
      <c r="K78" s="2">
        <f>K12/'Output-Calculation-sheet'!K11*'Output-Calculation-sheet'!K65</f>
        <v>1400.6303216290551</v>
      </c>
      <c r="L78" s="2">
        <f>L12/'Output-Calculation-sheet'!L11*'Output-Calculation-sheet'!L65</f>
        <v>761.39082259010513</v>
      </c>
      <c r="M78" s="2">
        <f>M12/'Output-Calculation-sheet'!M11*'Output-Calculation-sheet'!M65</f>
        <v>21.574337310779683</v>
      </c>
      <c r="N78" s="2">
        <f>N12/'Output-Calculation-sheet'!N11*'Output-Calculation-sheet'!N65</f>
        <v>22.426535469321376</v>
      </c>
      <c r="O78" s="2">
        <f>O12/'Output-Calculation-sheet'!O11*'Output-Calculation-sheet'!O65</f>
        <v>12.804899747114995</v>
      </c>
      <c r="P78" s="2">
        <f>P12/'Output-Calculation-sheet'!P11*'Output-Calculation-sheet'!P65</f>
        <v>263.75360346082476</v>
      </c>
      <c r="Q78" s="2">
        <f>Q12/'Output-Calculation-sheet'!Q11*'Output-Calculation-sheet'!Q65</f>
        <v>196.54250044905078</v>
      </c>
      <c r="R78" s="2">
        <f>R12/'Output-Calculation-sheet'!R11*'Output-Calculation-sheet'!R65</f>
        <v>1212.0958413689141</v>
      </c>
      <c r="S78" s="2">
        <f>S12/'Output-Calculation-sheet'!S11*'Output-Calculation-sheet'!S65</f>
        <v>9.1892168932457636</v>
      </c>
      <c r="T78" s="2">
        <f>T12/'Output-Calculation-sheet'!T11*'Output-Calculation-sheet'!T65</f>
        <v>439.8627748104135</v>
      </c>
      <c r="U78" s="2">
        <f>U12/'Output-Calculation-sheet'!U11*'Output-Calculation-sheet'!U65</f>
        <v>361.8344489278598</v>
      </c>
      <c r="V78" s="2">
        <f>V12/'Output-Calculation-sheet'!V11*'Output-Calculation-sheet'!V65</f>
        <v>219.33022967835137</v>
      </c>
      <c r="W78" s="2">
        <f>W12/'Output-Calculation-sheet'!W11*'Output-Calculation-sheet'!W65</f>
        <v>156.91961208027018</v>
      </c>
      <c r="X78" s="2">
        <f>X12/'Output-Calculation-sheet'!X11*'Output-Calculation-sheet'!X65</f>
        <v>2.2026823955893571</v>
      </c>
      <c r="Y78" s="2">
        <f>Y12/'Output-Calculation-sheet'!Y11*'Output-Calculation-sheet'!Y65</f>
        <v>38.602459946561389</v>
      </c>
      <c r="AA78" s="2">
        <f t="shared" si="6"/>
        <v>15.234991182191207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77.275915188379173</v>
      </c>
      <c r="E89" s="2">
        <f>E12/'Output-Calculation-sheet'!E11*'Output-Calculation-sheet'!E74</f>
        <v>57.575449192971284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39.848388026353241</v>
      </c>
      <c r="H89" s="2">
        <f>H12/'Output-Calculation-sheet'!H11*'Output-Calculation-sheet'!H74</f>
        <v>5.0351073326778399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18.506545284265734</v>
      </c>
      <c r="K89" s="2">
        <f>K12/'Output-Calculation-sheet'!K11*'Output-Calculation-sheet'!K74</f>
        <v>26.0367252969573</v>
      </c>
      <c r="L89" s="2">
        <f>L12/'Output-Calculation-sheet'!L11*'Output-Calculation-sheet'!L74</f>
        <v>9.742684869994946</v>
      </c>
      <c r="M89" s="2">
        <f>M12/'Output-Calculation-sheet'!M11*'Output-Calculation-sheet'!M74</f>
        <v>4.619525145501779</v>
      </c>
      <c r="N89" s="2">
        <f>N12/'Output-Calculation-sheet'!N11*'Output-Calculation-sheet'!N74</f>
        <v>2.2701220234154649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4.1943880008082495</v>
      </c>
      <c r="Q89" s="2">
        <f>Q12/'Output-Calculation-sheet'!Q11*'Output-Calculation-sheet'!Q74</f>
        <v>5.9669233863660978</v>
      </c>
      <c r="R89" s="2">
        <f>R12/'Output-Calculation-sheet'!R11*'Output-Calculation-sheet'!R74</f>
        <v>16.765765931890627</v>
      </c>
      <c r="S89" s="2">
        <f>S12/'Output-Calculation-sheet'!S11*'Output-Calculation-sheet'!S74</f>
        <v>1.951968468437109</v>
      </c>
      <c r="T89" s="2">
        <f>T12/'Output-Calculation-sheet'!T11*'Output-Calculation-sheet'!T74</f>
        <v>4.3783777510057336</v>
      </c>
      <c r="U89" s="2">
        <f>U12/'Output-Calculation-sheet'!U11*'Output-Calculation-sheet'!U74</f>
        <v>8.8844342263165483</v>
      </c>
      <c r="V89" s="2">
        <f>V12/'Output-Calculation-sheet'!V11*'Output-Calculation-sheet'!V74</f>
        <v>1.2233348077423205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2.2006989308797325</v>
      </c>
      <c r="AA89" s="2">
        <f t="shared" si="7"/>
        <v>0.40005322367734136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1704.4161626089144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524.67215725027029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361.02550503227235</v>
      </c>
      <c r="N107" s="2">
        <f>N8/'Output-Calculation-sheet'!N7*'Output-Calculation-sheet'!N88</f>
        <v>141.93180886334224</v>
      </c>
      <c r="O107" s="2">
        <f>O8/'Output-Calculation-sheet'!O7*'Output-Calculation-sheet'!O88</f>
        <v>397.34485243329704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39.605248774458438</v>
      </c>
      <c r="Y107" s="2">
        <f>Y8/'Output-Calculation-sheet'!Y7*'Output-Calculation-sheet'!Y88</f>
        <v>0</v>
      </c>
      <c r="AA107" s="2">
        <f t="shared" si="9"/>
        <v>3.1689957349625542</v>
      </c>
    </row>
    <row r="108" spans="1:27" x14ac:dyDescent="0.25">
      <c r="A108" s="2">
        <v>2032</v>
      </c>
      <c r="B108" s="2">
        <f>B9/'Output-Calculation-sheet'!B8*'Output-Calculation-sheet'!B89</f>
        <v>782.46607149224246</v>
      </c>
      <c r="C108" s="2">
        <f>C9/'Output-Calculation-sheet'!C8*'Output-Calculation-sheet'!C89</f>
        <v>2971.012064182125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800.24845177885277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550.64881462147673</v>
      </c>
      <c r="N108" s="2">
        <f>N9/'Output-Calculation-sheet'!N8*'Output-Calculation-sheet'!N89</f>
        <v>386.57034524024596</v>
      </c>
      <c r="O108" s="2">
        <f>O9/'Output-Calculation-sheet'!O8*'Output-Calculation-sheet'!O89</f>
        <v>577.18510699728404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177.27637356551264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60.407320221031895</v>
      </c>
      <c r="Y108" s="2">
        <f>Y9/'Output-Calculation-sheet'!Y8*'Output-Calculation-sheet'!Y89</f>
        <v>0</v>
      </c>
      <c r="AA108" s="2">
        <f t="shared" si="9"/>
        <v>6.3058145480987715</v>
      </c>
    </row>
    <row r="109" spans="1:27" x14ac:dyDescent="0.25">
      <c r="A109" s="2">
        <v>2033</v>
      </c>
      <c r="B109" s="2">
        <f>B10/'Output-Calculation-sheet'!B9*'Output-Calculation-sheet'!B90</f>
        <v>4146.3646425056986</v>
      </c>
      <c r="C109" s="2">
        <f>C10/'Output-Calculation-sheet'!C9*'Output-Calculation-sheet'!C90</f>
        <v>3935.9212572275628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1211.5986354153224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833.69777336703442</v>
      </c>
      <c r="N109" s="2">
        <f>N10/'Output-Calculation-sheet'!N9*'Output-Calculation-sheet'!N90</f>
        <v>655.5117650690438</v>
      </c>
      <c r="O109" s="2">
        <f>O10/'Output-Calculation-sheet'!O9*'Output-Calculation-sheet'!O90</f>
        <v>764.64015726275932</v>
      </c>
      <c r="P109" s="2">
        <f>P10/'Output-Calculation-sheet'!P9*'Output-Calculation-sheet'!P90</f>
        <v>0</v>
      </c>
      <c r="Q109" s="2">
        <f>Q10/'Output-Calculation-sheet'!Q9*'Output-Calculation-sheet'!Q90</f>
        <v>143.58216726839939</v>
      </c>
      <c r="R109" s="2">
        <f>R10/'Output-Calculation-sheet'!R9*'Output-Calculation-sheet'!R90</f>
        <v>0</v>
      </c>
      <c r="S109" s="2">
        <f>S10/'Output-Calculation-sheet'!S9*'Output-Calculation-sheet'!S90</f>
        <v>328.79172647786345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91.458379689717191</v>
      </c>
      <c r="Y109" s="2">
        <f>Y10/'Output-Calculation-sheet'!Y9*'Output-Calculation-sheet'!Y90</f>
        <v>0</v>
      </c>
      <c r="AA109" s="2">
        <f t="shared" si="9"/>
        <v>12.111566504283401</v>
      </c>
    </row>
    <row r="110" spans="1:27" x14ac:dyDescent="0.25">
      <c r="A110" s="2">
        <v>2034</v>
      </c>
      <c r="B110" s="2">
        <f>B11/'Output-Calculation-sheet'!B10*'Output-Calculation-sheet'!B91</f>
        <v>7763.8179375873751</v>
      </c>
      <c r="C110" s="2">
        <f>C11/'Output-Calculation-sheet'!C10*'Output-Calculation-sheet'!C91</f>
        <v>5322.6155520399952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1512.4302901170356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1040.6992285949584</v>
      </c>
      <c r="N110" s="2">
        <f>N11/'Output-Calculation-sheet'!N10*'Output-Calculation-sheet'!N91</f>
        <v>937.60201917936502</v>
      </c>
      <c r="O110" s="2">
        <f>O11/'Output-Calculation-sheet'!O10*'Output-Calculation-sheet'!O91</f>
        <v>1034.0363352766542</v>
      </c>
      <c r="P110" s="2">
        <f>P11/'Output-Calculation-sheet'!P10*'Output-Calculation-sheet'!P91</f>
        <v>236.23079317576443</v>
      </c>
      <c r="Q110" s="2">
        <f>Q11/'Output-Calculation-sheet'!Q10*'Output-Calculation-sheet'!Q91</f>
        <v>522.76185908730235</v>
      </c>
      <c r="R110" s="2">
        <f>R11/'Output-Calculation-sheet'!R10*'Output-Calculation-sheet'!R91</f>
        <v>0</v>
      </c>
      <c r="S110" s="2">
        <f>S11/'Output-Calculation-sheet'!S10*'Output-Calculation-sheet'!S91</f>
        <v>537.46584500849656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114.16686985648253</v>
      </c>
      <c r="Y110" s="2">
        <f>Y11/'Output-Calculation-sheet'!Y10*'Output-Calculation-sheet'!Y91</f>
        <v>18.362202203324934</v>
      </c>
      <c r="AA110" s="2">
        <f t="shared" si="9"/>
        <v>19.040188932126753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2659.9857527152735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375.09336749480542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968.90362818670565</v>
      </c>
      <c r="Q111" s="2">
        <f>Q12/'Output-Calculation-sheet'!Q11*'Output-Calculation-sheet'!Q92</f>
        <v>918.9062015003791</v>
      </c>
      <c r="R111" s="2">
        <f>R12/'Output-Calculation-sheet'!R11*'Output-Calculation-sheet'!R92</f>
        <v>0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103.55511080306296</v>
      </c>
      <c r="AA111" s="2">
        <f t="shared" si="9"/>
        <v>31.296502012097246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8012429391.039732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2465260030.4615445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1712335530.8108075</v>
      </c>
      <c r="N118" s="2">
        <f>N8/'Output-Calculation-sheet'!N7*'Output-Calculation-sheet'!N97</f>
        <v>1343695161.9278131</v>
      </c>
      <c r="O118" s="2">
        <f>O8/'Output-Calculation-sheet'!O7*'Output-Calculation-sheet'!O97</f>
        <v>894110203.24664652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184557270.29491916</v>
      </c>
      <c r="Y118" s="2">
        <f>Y8/'Output-Calculation-sheet'!Y7*'Output-Calculation-sheet'!Y97</f>
        <v>0</v>
      </c>
      <c r="AA118" s="2">
        <f t="shared" si="10"/>
        <v>16465.29620059111</v>
      </c>
    </row>
    <row r="119" spans="1:27" x14ac:dyDescent="0.25">
      <c r="A119" s="2">
        <v>2032</v>
      </c>
      <c r="B119" s="2">
        <f>B9/'Output-Calculation-sheet'!B8*'Output-Calculation-sheet'!B98</f>
        <v>5870101115.9229317</v>
      </c>
      <c r="C119" s="2">
        <f>C9/'Output-Calculation-sheet'!C8*'Output-Calculation-sheet'!C98</f>
        <v>4665674934.0558424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2789150915.122292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1946837783.9143989</v>
      </c>
      <c r="N119" s="2">
        <f>N9/'Output-Calculation-sheet'!N8*'Output-Calculation-sheet'!N98</f>
        <v>1316618432.7355254</v>
      </c>
      <c r="O119" s="2">
        <f>O9/'Output-Calculation-sheet'!O8*'Output-Calculation-sheet'!O98</f>
        <v>911586668.62426114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546383510.96626651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208318622.37196475</v>
      </c>
      <c r="Y119" s="2">
        <f>Y9/'Output-Calculation-sheet'!Y8*'Output-Calculation-sheet'!Y98</f>
        <v>0</v>
      </c>
      <c r="AA119" s="2">
        <f t="shared" si="10"/>
        <v>18254.671983713481</v>
      </c>
    </row>
    <row r="120" spans="1:27" x14ac:dyDescent="0.25">
      <c r="A120" s="2">
        <v>2033</v>
      </c>
      <c r="B120" s="2">
        <f>B10/'Output-Calculation-sheet'!B9*'Output-Calculation-sheet'!B99</f>
        <v>5965098027.8708382</v>
      </c>
      <c r="C120" s="2">
        <f>C10/'Output-Calculation-sheet'!C9*'Output-Calculation-sheet'!C99</f>
        <v>4903680975.5272322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1607800830.2244608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1138014784.2360981</v>
      </c>
      <c r="N120" s="2">
        <f>N10/'Output-Calculation-sheet'!N9*'Output-Calculation-sheet'!N99</f>
        <v>1134480165.1243141</v>
      </c>
      <c r="O120" s="2">
        <f>O10/'Output-Calculation-sheet'!O9*'Output-Calculation-sheet'!O99</f>
        <v>960035111.4026866</v>
      </c>
      <c r="P120" s="2">
        <f>P10/'Output-Calculation-sheet'!P9*'Output-Calculation-sheet'!P99</f>
        <v>0</v>
      </c>
      <c r="Q120" s="2">
        <f>Q10/'Output-Calculation-sheet'!Q9*'Output-Calculation-sheet'!Q99</f>
        <v>7208785.3401285848</v>
      </c>
      <c r="R120" s="2">
        <f>R10/'Output-Calculation-sheet'!R9*'Output-Calculation-sheet'!R99</f>
        <v>0</v>
      </c>
      <c r="S120" s="2">
        <f>S10/'Output-Calculation-sheet'!S9*'Output-Calculation-sheet'!S99</f>
        <v>475112889.80695784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113635825.23788552</v>
      </c>
      <c r="Y120" s="2">
        <f>Y10/'Output-Calculation-sheet'!Y9*'Output-Calculation-sheet'!Y99</f>
        <v>0</v>
      </c>
      <c r="AA120" s="2">
        <f t="shared" si="10"/>
        <v>16305.067394770602</v>
      </c>
    </row>
    <row r="121" spans="1:27" x14ac:dyDescent="0.25">
      <c r="A121" s="2">
        <v>2034</v>
      </c>
      <c r="B121" s="2">
        <f>B11/'Output-Calculation-sheet'!B10*'Output-Calculation-sheet'!B100</f>
        <v>5766204387.046874</v>
      </c>
      <c r="C121" s="2">
        <f>C11/'Output-Calculation-sheet'!C10*'Output-Calculation-sheet'!C100</f>
        <v>698747758.71952188</v>
      </c>
      <c r="D121" s="2">
        <f>D11/'Output-Calculation-sheet'!D10*'Output-Calculation-sheet'!D100</f>
        <v>0</v>
      </c>
      <c r="E121" s="2">
        <f>E11/'Output-Calculation-sheet'!E10*'Output-Calculation-sheet'!E100</f>
        <v>807193060.64464819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1839868174.2687373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670268018.54228508</v>
      </c>
      <c r="M121" s="2">
        <f>M11/'Output-Calculation-sheet'!M10*'Output-Calculation-sheet'!M100</f>
        <v>1309427141.7414796</v>
      </c>
      <c r="N121" s="2">
        <f>N11/'Output-Calculation-sheet'!N10*'Output-Calculation-sheet'!N100</f>
        <v>872965817.07725298</v>
      </c>
      <c r="O121" s="2">
        <f>O11/'Output-Calculation-sheet'!O10*'Output-Calculation-sheet'!O100</f>
        <v>137061671.19142029</v>
      </c>
      <c r="P121" s="2">
        <f>P11/'Output-Calculation-sheet'!P10*'Output-Calculation-sheet'!P100</f>
        <v>0</v>
      </c>
      <c r="Q121" s="2">
        <f>Q11/'Output-Calculation-sheet'!Q10*'Output-Calculation-sheet'!Q100</f>
        <v>294325595.27552032</v>
      </c>
      <c r="R121" s="2">
        <f>R11/'Output-Calculation-sheet'!R10*'Output-Calculation-sheet'!R100</f>
        <v>0</v>
      </c>
      <c r="S121" s="2">
        <f>S11/'Output-Calculation-sheet'!S10*'Output-Calculation-sheet'!S100</f>
        <v>326395456.50063092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128660378.69620669</v>
      </c>
      <c r="Y121" s="2">
        <f>Y11/'Output-Calculation-sheet'!Y10*'Output-Calculation-sheet'!Y100</f>
        <v>18677423.982317988</v>
      </c>
      <c r="AA121" s="2">
        <f t="shared" si="10"/>
        <v>12869.794883686898</v>
      </c>
    </row>
    <row r="122" spans="1:27" x14ac:dyDescent="0.25">
      <c r="A122" s="2">
        <v>2035</v>
      </c>
      <c r="B122" s="2">
        <f>B12/'Output-Calculation-sheet'!B11*'Output-Calculation-sheet'!B101</f>
        <v>1605662032.0677056</v>
      </c>
      <c r="C122" s="2">
        <f>C12/'Output-Calculation-sheet'!C11*'Output-Calculation-sheet'!C101</f>
        <v>333222314.40846777</v>
      </c>
      <c r="D122" s="2">
        <f>D12/'Output-Calculation-sheet'!D11*'Output-Calculation-sheet'!D101</f>
        <v>0</v>
      </c>
      <c r="E122" s="2">
        <f>E12/'Output-Calculation-sheet'!E11*'Output-Calculation-sheet'!E101</f>
        <v>2753784603.8498387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577572966.2086978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1464062483.4687505</v>
      </c>
      <c r="M122" s="2">
        <f>M12/'Output-Calculation-sheet'!M11*'Output-Calculation-sheet'!M101</f>
        <v>514731282.26630753</v>
      </c>
      <c r="N122" s="2">
        <f>N12/'Output-Calculation-sheet'!N11*'Output-Calculation-sheet'!N101</f>
        <v>428567596.83081543</v>
      </c>
      <c r="O122" s="2">
        <f>O12/'Output-Calculation-sheet'!O11*'Output-Calculation-sheet'!O101</f>
        <v>56940970.978206165</v>
      </c>
      <c r="P122" s="2">
        <f>P12/'Output-Calculation-sheet'!P11*'Output-Calculation-sheet'!P101</f>
        <v>70084930.898925215</v>
      </c>
      <c r="Q122" s="2">
        <f>Q12/'Output-Calculation-sheet'!Q11*'Output-Calculation-sheet'!Q101</f>
        <v>651825020.0983398</v>
      </c>
      <c r="R122" s="2">
        <f>R12/'Output-Calculation-sheet'!R11*'Output-Calculation-sheet'!R101</f>
        <v>0</v>
      </c>
      <c r="S122" s="2">
        <f>S12/'Output-Calculation-sheet'!S11*'Output-Calculation-sheet'!S101</f>
        <v>192430256.86777937</v>
      </c>
      <c r="T122" s="2">
        <f>T12/'Output-Calculation-sheet'!T11*'Output-Calculation-sheet'!T101</f>
        <v>0</v>
      </c>
      <c r="U122" s="2">
        <f>U12/'Output-Calculation-sheet'!U11*'Output-Calculation-sheet'!U101</f>
        <v>81251006.71066615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16850038.893318102</v>
      </c>
      <c r="Y122" s="2">
        <f>Y12/'Output-Calculation-sheet'!Y11*'Output-Calculation-sheet'!Y101</f>
        <v>82743700.092886746</v>
      </c>
      <c r="AA122" s="2">
        <f t="shared" si="10"/>
        <v>8829.7292036407052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2229747795.6079841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146565.40758407768</v>
      </c>
    </row>
    <row r="130" spans="1:27" x14ac:dyDescent="0.25">
      <c r="A130" s="2">
        <v>2032</v>
      </c>
      <c r="B130" s="2">
        <f>B9/'Output-Calculation-sheet'!B8*'Output-Calculation-sheet'!B107</f>
        <v>53121052527.374527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1930683920.0314279</v>
      </c>
      <c r="O130" s="2">
        <f>O9/'Output-Calculation-sheet'!O8*'Output-Calculation-sheet'!O107</f>
        <v>0</v>
      </c>
      <c r="P130" s="2">
        <f>P9/'Output-Calculation-sheet'!P8*'Output-Calculation-sheet'!P107</f>
        <v>5896918621.5773048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1716412871.7669511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187076.36953437937</v>
      </c>
    </row>
    <row r="131" spans="1:27" x14ac:dyDescent="0.25">
      <c r="A131" s="2">
        <v>2033</v>
      </c>
      <c r="B131" s="2">
        <f>B10/'Output-Calculation-sheet'!B9*'Output-Calculation-sheet'!B108</f>
        <v>44497816063.324852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1630520602.918225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6325852687.3927956</v>
      </c>
      <c r="R131" s="2">
        <f>R10/'Output-Calculation-sheet'!R9*'Output-Calculation-sheet'!R108</f>
        <v>7098076083.4511852</v>
      </c>
      <c r="S131" s="2">
        <f>S10/'Output-Calculation-sheet'!S9*'Output-Calculation-sheet'!S108</f>
        <v>1581518094.5154757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212380.86395909966</v>
      </c>
    </row>
    <row r="132" spans="1:27" x14ac:dyDescent="0.25">
      <c r="A132" s="2">
        <v>2034</v>
      </c>
      <c r="B132" s="2">
        <f>B11/'Output-Calculation-sheet'!B10*'Output-Calculation-sheet'!B109</f>
        <v>33918003164.427174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32663178034.361778</v>
      </c>
      <c r="F132" s="2">
        <f>F11/'Output-Calculation-sheet'!F10*'Output-Calculation-sheet'!F109</f>
        <v>21542660076.416889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13422256202.208557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9994017974.0489025</v>
      </c>
      <c r="M132" s="2">
        <f>M11/'Output-Calculation-sheet'!M10*'Output-Calculation-sheet'!M109</f>
        <v>0</v>
      </c>
      <c r="N132" s="2">
        <f>N11/'Output-Calculation-sheet'!N10*'Output-Calculation-sheet'!N109</f>
        <v>1313980044.3707907</v>
      </c>
      <c r="O132" s="2">
        <f>O11/'Output-Calculation-sheet'!O10*'Output-Calculation-sheet'!O109</f>
        <v>0</v>
      </c>
      <c r="P132" s="2">
        <f>P11/'Output-Calculation-sheet'!P10*'Output-Calculation-sheet'!P109</f>
        <v>7467295255.4068394</v>
      </c>
      <c r="Q132" s="2">
        <f>Q11/'Output-Calculation-sheet'!Q10*'Output-Calculation-sheet'!Q109</f>
        <v>4809846516.5873156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901797887.16516531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939981162.28151608</v>
      </c>
      <c r="AA132" s="2">
        <f t="shared" si="11"/>
        <v>229874.09397515902</v>
      </c>
    </row>
    <row r="133" spans="1:27" x14ac:dyDescent="0.25">
      <c r="A133" s="2">
        <v>2035</v>
      </c>
      <c r="B133" s="2">
        <f>B12/'Output-Calculation-sheet'!B11*'Output-Calculation-sheet'!B110</f>
        <v>537303823.80174971</v>
      </c>
      <c r="C133" s="2">
        <f>C12/'Output-Calculation-sheet'!C11*'Output-Calculation-sheet'!C110</f>
        <v>0</v>
      </c>
      <c r="D133" s="2">
        <f>D12/'Output-Calculation-sheet'!D11*'Output-Calculation-sheet'!D110</f>
        <v>46085621940.002296</v>
      </c>
      <c r="E133" s="2">
        <f>E12/'Output-Calculation-sheet'!E11*'Output-Calculation-sheet'!E110</f>
        <v>19740637094.454338</v>
      </c>
      <c r="F133" s="2">
        <f>F12/'Output-Calculation-sheet'!F11*'Output-Calculation-sheet'!F110</f>
        <v>24228536359.060932</v>
      </c>
      <c r="G133" s="2">
        <f>G12/'Output-Calculation-sheet'!G11*'Output-Calculation-sheet'!G110</f>
        <v>16795312445.656242</v>
      </c>
      <c r="H133" s="2">
        <f>H12/'Output-Calculation-sheet'!H11*'Output-Calculation-sheet'!H110</f>
        <v>0</v>
      </c>
      <c r="I133" s="2">
        <f>I12/'Output-Calculation-sheet'!I11*'Output-Calculation-sheet'!I110</f>
        <v>15251673804.181686</v>
      </c>
      <c r="J133" s="2">
        <f>J12/'Output-Calculation-sheet'!J11*'Output-Calculation-sheet'!J110</f>
        <v>14767100406.430145</v>
      </c>
      <c r="K133" s="2">
        <f>K12/'Output-Calculation-sheet'!K11*'Output-Calculation-sheet'!K110</f>
        <v>14842114261.336481</v>
      </c>
      <c r="L133" s="2">
        <f>L12/'Output-Calculation-sheet'!L11*'Output-Calculation-sheet'!L110</f>
        <v>8639838517.2593021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3275075670.5521002</v>
      </c>
      <c r="Q133" s="2">
        <f>Q12/'Output-Calculation-sheet'!Q11*'Output-Calculation-sheet'!Q110</f>
        <v>2755345217.6350422</v>
      </c>
      <c r="R133" s="2">
        <f>R12/'Output-Calculation-sheet'!R11*'Output-Calculation-sheet'!R110</f>
        <v>9688912462.7229843</v>
      </c>
      <c r="S133" s="2">
        <f>S12/'Output-Calculation-sheet'!S11*'Output-Calculation-sheet'!S110</f>
        <v>6518104.2016670555</v>
      </c>
      <c r="T133" s="2">
        <f>T12/'Output-Calculation-sheet'!T11*'Output-Calculation-sheet'!T110</f>
        <v>3612747252.6039276</v>
      </c>
      <c r="U133" s="2">
        <f>U12/'Output-Calculation-sheet'!U11*'Output-Calculation-sheet'!U110</f>
        <v>2927074584.6364765</v>
      </c>
      <c r="V133" s="2">
        <f>V12/'Output-Calculation-sheet'!V11*'Output-Calculation-sheet'!V110</f>
        <v>2433494788.9391794</v>
      </c>
      <c r="W133" s="2">
        <f>W12/'Output-Calculation-sheet'!W11*'Output-Calculation-sheet'!W110</f>
        <v>2122716361.1792243</v>
      </c>
      <c r="X133" s="2">
        <f>X12/'Output-Calculation-sheet'!X11*'Output-Calculation-sheet'!X110</f>
        <v>0</v>
      </c>
      <c r="Y133" s="2">
        <f>Y12/'Output-Calculation-sheet'!Y11*'Output-Calculation-sheet'!Y110</f>
        <v>486906839.15607166</v>
      </c>
      <c r="AA133" s="2">
        <f t="shared" si="11"/>
        <v>188196.92993380982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14502739888.935251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4559296112.0733986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3133992079.5413189</v>
      </c>
      <c r="N140" s="2">
        <f>N8/'Output-Calculation-sheet'!N7*'Output-Calculation-sheet'!N115</f>
        <v>1183206229.8731501</v>
      </c>
      <c r="O140" s="2">
        <f>O8/'Output-Calculation-sheet'!O7*'Output-Calculation-sheet'!O115</f>
        <v>3480586957.6867089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340313912.29338026</v>
      </c>
      <c r="Y140" s="2">
        <f>Y8/'Output-Calculation-sheet'!Y7*'Output-Calculation-sheet'!Y115</f>
        <v>0</v>
      </c>
      <c r="AA140" s="2">
        <f t="shared" si="12"/>
        <v>27200.135180403213</v>
      </c>
    </row>
    <row r="141" spans="1:27" x14ac:dyDescent="0.25">
      <c r="A141" s="2">
        <v>2032</v>
      </c>
      <c r="B141" s="2">
        <f>B9/'Output-Calculation-sheet'!B8*'Output-Calculation-sheet'!B116</f>
        <v>6072962050.1903667</v>
      </c>
      <c r="C141" s="2">
        <f>C9/'Output-Calculation-sheet'!C8*'Output-Calculation-sheet'!C116</f>
        <v>25995868431.368782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6777010169.2960835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4652974310.656271</v>
      </c>
      <c r="N141" s="2">
        <f>N9/'Output-Calculation-sheet'!N8*'Output-Calculation-sheet'!N116</f>
        <v>3230383624.6700749</v>
      </c>
      <c r="O141" s="2">
        <f>O9/'Output-Calculation-sheet'!O8*'Output-Calculation-sheet'!O116</f>
        <v>5045950846.9979897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1446921127.4520924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506459903.94294536</v>
      </c>
      <c r="Y141" s="2">
        <f>Y9/'Output-Calculation-sheet'!Y8*'Output-Calculation-sheet'!Y116</f>
        <v>0</v>
      </c>
      <c r="AA141" s="2">
        <f t="shared" si="12"/>
        <v>53728.530464574607</v>
      </c>
    </row>
    <row r="142" spans="1:27" x14ac:dyDescent="0.25">
      <c r="A142" s="2">
        <v>2033</v>
      </c>
      <c r="B142" s="2">
        <f>B10/'Output-Calculation-sheet'!B9*'Output-Calculation-sheet'!B117</f>
        <v>32284564386.595669</v>
      </c>
      <c r="C142" s="2">
        <f>C10/'Output-Calculation-sheet'!C9*'Output-Calculation-sheet'!C117</f>
        <v>34091165986.574276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10558285914.255548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7255517974.7511997</v>
      </c>
      <c r="N142" s="2">
        <f>N10/'Output-Calculation-sheet'!N9*'Output-Calculation-sheet'!N117</f>
        <v>5473213572.8660698</v>
      </c>
      <c r="O142" s="2">
        <f>O10/'Output-Calculation-sheet'!O9*'Output-Calculation-sheet'!O117</f>
        <v>6616662658.920166</v>
      </c>
      <c r="P142" s="2">
        <f>P10/'Output-Calculation-sheet'!P9*'Output-Calculation-sheet'!P117</f>
        <v>0</v>
      </c>
      <c r="Q142" s="2">
        <f>Q10/'Output-Calculation-sheet'!Q9*'Output-Calculation-sheet'!Q117</f>
        <v>1045325727.6524584</v>
      </c>
      <c r="R142" s="2">
        <f>R10/'Output-Calculation-sheet'!R9*'Output-Calculation-sheet'!R117</f>
        <v>0</v>
      </c>
      <c r="S142" s="2">
        <f>S10/'Output-Calculation-sheet'!S9*'Output-Calculation-sheet'!S117</f>
        <v>2661326854.566669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795407826.85987937</v>
      </c>
      <c r="Y142" s="2">
        <f>Y10/'Output-Calculation-sheet'!Y9*'Output-Calculation-sheet'!Y117</f>
        <v>0</v>
      </c>
      <c r="AA142" s="2">
        <f t="shared" si="12"/>
        <v>100781.47090304195</v>
      </c>
    </row>
    <row r="143" spans="1:27" x14ac:dyDescent="0.25">
      <c r="A143" s="2">
        <v>2034</v>
      </c>
      <c r="B143" s="2">
        <f>B11/'Output-Calculation-sheet'!B10*'Output-Calculation-sheet'!B118</f>
        <v>60739226948.271233</v>
      </c>
      <c r="C143" s="2">
        <f>C11/'Output-Calculation-sheet'!C10*'Output-Calculation-sheet'!C118</f>
        <v>46626112235.870361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12924990282.259714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8877027011.5752888</v>
      </c>
      <c r="N143" s="2">
        <f>N11/'Output-Calculation-sheet'!N10*'Output-Calculation-sheet'!N118</f>
        <v>7811071650.3953638</v>
      </c>
      <c r="O143" s="2">
        <f>O11/'Output-Calculation-sheet'!O10*'Output-Calculation-sheet'!O118</f>
        <v>9058158297.023489</v>
      </c>
      <c r="P143" s="2">
        <f>P11/'Output-Calculation-sheet'!P10*'Output-Calculation-sheet'!P118</f>
        <v>1633799776.994997</v>
      </c>
      <c r="Q143" s="2">
        <f>Q11/'Output-Calculation-sheet'!Q10*'Output-Calculation-sheet'!Q118</f>
        <v>3850286573.2148333</v>
      </c>
      <c r="R143" s="2">
        <f>R11/'Output-Calculation-sheet'!R10*'Output-Calculation-sheet'!R118</f>
        <v>0</v>
      </c>
      <c r="S143" s="2">
        <f>S11/'Output-Calculation-sheet'!S10*'Output-Calculation-sheet'!S118</f>
        <v>4497606835.6749849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974562502.88722968</v>
      </c>
      <c r="Y143" s="2">
        <f>Y11/'Output-Calculation-sheet'!Y10*'Output-Calculation-sheet'!Y118</f>
        <v>114204336.62599149</v>
      </c>
      <c r="AA143" s="2">
        <f t="shared" si="12"/>
        <v>157107.04645079351</v>
      </c>
    </row>
    <row r="144" spans="1:27" x14ac:dyDescent="0.25">
      <c r="A144" s="2">
        <v>2035</v>
      </c>
      <c r="B144" s="2">
        <f>B12/'Output-Calculation-sheet'!B11*'Output-Calculation-sheet'!B119</f>
        <v>115125604119.32172</v>
      </c>
      <c r="C144" s="2">
        <f>C12/'Output-Calculation-sheet'!C11*'Output-Calculation-sheet'!C119</f>
        <v>55075274786.619995</v>
      </c>
      <c r="D144" s="2">
        <f>D12/'Output-Calculation-sheet'!D11*'Output-Calculation-sheet'!D119</f>
        <v>0</v>
      </c>
      <c r="E144" s="2">
        <f>E12/'Output-Calculation-sheet'!E11*'Output-Calculation-sheet'!E119</f>
        <v>16405279807.615671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16651783045.393749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2114496303.7457006</v>
      </c>
      <c r="M144" s="2">
        <f>M12/'Output-Calculation-sheet'!M11*'Output-Calculation-sheet'!M119</f>
        <v>11365083954.786264</v>
      </c>
      <c r="N144" s="2">
        <f>N12/'Output-Calculation-sheet'!N11*'Output-Calculation-sheet'!N119</f>
        <v>11228233514.100056</v>
      </c>
      <c r="O144" s="2">
        <f>O12/'Output-Calculation-sheet'!O11*'Output-Calculation-sheet'!O119</f>
        <v>10704574185.980549</v>
      </c>
      <c r="P144" s="2">
        <f>P12/'Output-Calculation-sheet'!P11*'Output-Calculation-sheet'!P119</f>
        <v>7265968743.1131363</v>
      </c>
      <c r="Q144" s="2">
        <f>Q12/'Output-Calculation-sheet'!Q11*'Output-Calculation-sheet'!Q119</f>
        <v>6881189310.4463463</v>
      </c>
      <c r="R144" s="2">
        <f>R12/'Output-Calculation-sheet'!R11*'Output-Calculation-sheet'!R119</f>
        <v>0</v>
      </c>
      <c r="S144" s="2">
        <f>S12/'Output-Calculation-sheet'!S11*'Output-Calculation-sheet'!S119</f>
        <v>6473642914.5491505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1274251639.1555641</v>
      </c>
      <c r="Y144" s="2">
        <f>Y12/'Output-Calculation-sheet'!Y11*'Output-Calculation-sheet'!Y119</f>
        <v>680428233.90822208</v>
      </c>
      <c r="AA144" s="2">
        <f t="shared" si="12"/>
        <v>261245.81055873615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4374697160.9333553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190230.83871203192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3574522359.4551411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155435.77022033648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594761400.19997919</v>
      </c>
      <c r="C155" s="2">
        <f>C12/'Output-Calculation-sheet'!C11*'Output-Calculation-sheet'!C128</f>
        <v>64078561.584009036</v>
      </c>
      <c r="D155" s="2">
        <f>D12/'Output-Calculation-sheet'!D11*'Output-Calculation-sheet'!D128</f>
        <v>4273199211.316762</v>
      </c>
      <c r="E155" s="2">
        <f>E12/'Output-Calculation-sheet'!E11*'Output-Calculation-sheet'!E128</f>
        <v>693595699.13827896</v>
      </c>
      <c r="F155" s="2">
        <f>F12/'Output-Calculation-sheet'!F11*'Output-Calculation-sheet'!F128</f>
        <v>1560917733.5950518</v>
      </c>
      <c r="G155" s="2">
        <f>G12/'Output-Calculation-sheet'!G11*'Output-Calculation-sheet'!G128</f>
        <v>1428402545.1308825</v>
      </c>
      <c r="H155" s="2">
        <f>H12/'Output-Calculation-sheet'!H11*'Output-Calculation-sheet'!H128</f>
        <v>110445599.63671279</v>
      </c>
      <c r="I155" s="2">
        <f>I12/'Output-Calculation-sheet'!I11*'Output-Calculation-sheet'!I128</f>
        <v>1310691837.5831952</v>
      </c>
      <c r="J155" s="2">
        <f>J12/'Output-Calculation-sheet'!J11*'Output-Calculation-sheet'!J128</f>
        <v>1188450549.0831842</v>
      </c>
      <c r="K155" s="2">
        <f>K12/'Output-Calculation-sheet'!K11*'Output-Calculation-sheet'!K128</f>
        <v>1029178605.4376748</v>
      </c>
      <c r="L155" s="2">
        <f>L12/'Output-Calculation-sheet'!L11*'Output-Calculation-sheet'!L128</f>
        <v>387703811.65628338</v>
      </c>
      <c r="M155" s="2">
        <f>M12/'Output-Calculation-sheet'!M11*'Output-Calculation-sheet'!M128</f>
        <v>91095846.341570109</v>
      </c>
      <c r="N155" s="2">
        <f>N12/'Output-Calculation-sheet'!N11*'Output-Calculation-sheet'!N128</f>
        <v>80505178.407840997</v>
      </c>
      <c r="O155" s="2">
        <f>O12/'Output-Calculation-sheet'!O11*'Output-Calculation-sheet'!O128</f>
        <v>16579003.336241096</v>
      </c>
      <c r="P155" s="2">
        <f>P12/'Output-Calculation-sheet'!P11*'Output-Calculation-sheet'!P128</f>
        <v>105618255.09015241</v>
      </c>
      <c r="Q155" s="2">
        <f>Q12/'Output-Calculation-sheet'!Q11*'Output-Calculation-sheet'!Q128</f>
        <v>267739830.29517105</v>
      </c>
      <c r="R155" s="2">
        <f>R12/'Output-Calculation-sheet'!R11*'Output-Calculation-sheet'!R128</f>
        <v>595013088.03669679</v>
      </c>
      <c r="S155" s="2">
        <f>S12/'Output-Calculation-sheet'!S11*'Output-Calculation-sheet'!S128</f>
        <v>51392030.947237425</v>
      </c>
      <c r="T155" s="2">
        <f>T12/'Output-Calculation-sheet'!T11*'Output-Calculation-sheet'!T128</f>
        <v>152363532.22206113</v>
      </c>
      <c r="U155" s="2">
        <f>U12/'Output-Calculation-sheet'!U11*'Output-Calculation-sheet'!U128</f>
        <v>312301538.73771077</v>
      </c>
      <c r="V155" s="2">
        <f>V12/'Output-Calculation-sheet'!V11*'Output-Calculation-sheet'!V128</f>
        <v>68593948.538665831</v>
      </c>
      <c r="W155" s="2">
        <f>W12/'Output-Calculation-sheet'!W11*'Output-Calculation-sheet'!W128</f>
        <v>83468820.888544127</v>
      </c>
      <c r="X155" s="2">
        <f>X12/'Output-Calculation-sheet'!X11*'Output-Calculation-sheet'!X128</f>
        <v>2851499.4340481348</v>
      </c>
      <c r="Y155" s="2">
        <f>Y12/'Output-Calculation-sheet'!Y11*'Output-Calculation-sheet'!Y128</f>
        <v>16799328.715394557</v>
      </c>
      <c r="AA155" s="2">
        <f t="shared" si="13"/>
        <v>14485.74745535335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4840.2442010070508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1466.1681710323285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1018.4586226652406</v>
      </c>
      <c r="N19" s="2">
        <f>N8/'Output-Calculation-sheet'!N7*'Output-Calculation-sheet'!N25</f>
        <v>847.23722196090546</v>
      </c>
      <c r="O19" s="2">
        <f>O8/'Output-Calculation-sheet'!O7*'Output-Calculation-sheet'!O25</f>
        <v>531.73293564595906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110.22555366000988</v>
      </c>
      <c r="Y19" s="2">
        <f>Y8/'Output-Calculation-sheet'!Y7*'Output-Calculation-sheet'!Y25</f>
        <v>0</v>
      </c>
      <c r="AA19" s="2">
        <f t="shared" si="0"/>
        <v>10.234641760837869</v>
      </c>
    </row>
    <row r="20" spans="1:27" x14ac:dyDescent="0.25">
      <c r="A20" s="2">
        <v>2032</v>
      </c>
      <c r="B20" s="2">
        <f>B9/'Output-Calculation-sheet'!B8*'Output-Calculation-sheet'!B26</f>
        <v>4635.7682184034638</v>
      </c>
      <c r="C20" s="2">
        <f>C9/'Output-Calculation-sheet'!C8*'Output-Calculation-sheet'!C26</f>
        <v>2542.1421149929674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1526.0604639006162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1066.4215841736655</v>
      </c>
      <c r="N20" s="2">
        <f>N9/'Output-Calculation-sheet'!N8*'Output-Calculation-sheet'!N26</f>
        <v>739.05921766076085</v>
      </c>
      <c r="O20" s="2">
        <f>O9/'Output-Calculation-sheet'!O8*'Output-Calculation-sheet'!O26</f>
        <v>496.68745802090996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350.57511317580077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116.04224337120179</v>
      </c>
      <c r="Y20" s="2">
        <f>Y9/'Output-Calculation-sheet'!Y8*'Output-Calculation-sheet'!Y26</f>
        <v>0</v>
      </c>
      <c r="AA20" s="2">
        <f t="shared" si="0"/>
        <v>11.472756413699386</v>
      </c>
    </row>
    <row r="21" spans="1:27" x14ac:dyDescent="0.25">
      <c r="A21" s="2">
        <v>2033</v>
      </c>
      <c r="B21" s="2">
        <f>B10/'Output-Calculation-sheet'!B9*'Output-Calculation-sheet'!B27</f>
        <v>3758.4210108407856</v>
      </c>
      <c r="C21" s="2">
        <f>C10/'Output-Calculation-sheet'!C9*'Output-Calculation-sheet'!C27</f>
        <v>2310.0846104222792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757.42313246300296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536.11034138746845</v>
      </c>
      <c r="N21" s="2">
        <f>N10/'Output-Calculation-sheet'!N9*'Output-Calculation-sheet'!N27</f>
        <v>542.91749085906804</v>
      </c>
      <c r="O21" s="2">
        <f>O10/'Output-Calculation-sheet'!O9*'Output-Calculation-sheet'!O27</f>
        <v>452.26504017903284</v>
      </c>
      <c r="P21" s="2">
        <f>P10/'Output-Calculation-sheet'!P9*'Output-Calculation-sheet'!P27</f>
        <v>0</v>
      </c>
      <c r="Q21" s="2">
        <f>Q10/'Output-Calculation-sheet'!Q9*'Output-Calculation-sheet'!Q27</f>
        <v>6.5757174454359797</v>
      </c>
      <c r="R21" s="2">
        <f>R10/'Output-Calculation-sheet'!R9*'Output-Calculation-sheet'!R27</f>
        <v>0</v>
      </c>
      <c r="S21" s="2">
        <f>S10/'Output-Calculation-sheet'!S9*'Output-Calculation-sheet'!S27</f>
        <v>258.51720796611181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53.532921642767988</v>
      </c>
      <c r="Y21" s="2">
        <f>Y10/'Output-Calculation-sheet'!Y9*'Output-Calculation-sheet'!Y27</f>
        <v>0</v>
      </c>
      <c r="AA21" s="2">
        <f t="shared" si="0"/>
        <v>8.6758474732059518</v>
      </c>
    </row>
    <row r="22" spans="1:27" x14ac:dyDescent="0.25">
      <c r="A22" s="2">
        <v>2034</v>
      </c>
      <c r="B22" s="2">
        <f>B11/'Output-Calculation-sheet'!B10*'Output-Calculation-sheet'!B28</f>
        <v>2617.7815294910743</v>
      </c>
      <c r="C22" s="2">
        <f>C11/'Output-Calculation-sheet'!C10*'Output-Calculation-sheet'!C28</f>
        <v>266.0694511647888</v>
      </c>
      <c r="D22" s="2">
        <f>D11/'Output-Calculation-sheet'!D10*'Output-Calculation-sheet'!D28</f>
        <v>0</v>
      </c>
      <c r="E22" s="2">
        <f>E11/'Output-Calculation-sheet'!E10*'Output-Calculation-sheet'!E28</f>
        <v>883.4943493137223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700.58171057286904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535.81097918839646</v>
      </c>
      <c r="M22" s="2">
        <f>M11/'Output-Calculation-sheet'!M10*'Output-Calculation-sheet'!M28</f>
        <v>498.60133301964993</v>
      </c>
      <c r="N22" s="2">
        <f>N11/'Output-Calculation-sheet'!N10*'Output-Calculation-sheet'!N28</f>
        <v>333.31783573485797</v>
      </c>
      <c r="O22" s="2">
        <f>O11/'Output-Calculation-sheet'!O10*'Output-Calculation-sheet'!O28</f>
        <v>52.190142069171571</v>
      </c>
      <c r="P22" s="2">
        <f>P11/'Output-Calculation-sheet'!P10*'Output-Calculation-sheet'!P28</f>
        <v>0</v>
      </c>
      <c r="Q22" s="2">
        <f>Q11/'Output-Calculation-sheet'!Q10*'Output-Calculation-sheet'!Q28</f>
        <v>170.24062273879281</v>
      </c>
      <c r="R22" s="2">
        <f>R11/'Output-Calculation-sheet'!R10*'Output-Calculation-sheet'!R28</f>
        <v>0</v>
      </c>
      <c r="S22" s="2">
        <f>S11/'Output-Calculation-sheet'!S10*'Output-Calculation-sheet'!S28</f>
        <v>124.80477225079758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48.991052509020818</v>
      </c>
      <c r="Y22" s="2">
        <f>Y11/'Output-Calculation-sheet'!Y10*'Output-Calculation-sheet'!Y28</f>
        <v>19.970136746121959</v>
      </c>
      <c r="AA22" s="2">
        <f t="shared" si="0"/>
        <v>6.2518539147992644</v>
      </c>
    </row>
    <row r="23" spans="1:27" x14ac:dyDescent="0.25">
      <c r="A23" s="2">
        <v>2035</v>
      </c>
      <c r="B23" s="2">
        <f>B12/'Output-Calculation-sheet'!B11*'Output-Calculation-sheet'!B29</f>
        <v>453.89813071640395</v>
      </c>
      <c r="C23" s="2">
        <f>C12/'Output-Calculation-sheet'!C11*'Output-Calculation-sheet'!C29</f>
        <v>94.196438847642654</v>
      </c>
      <c r="D23" s="2">
        <f>D12/'Output-Calculation-sheet'!D11*'Output-Calculation-sheet'!D29</f>
        <v>0</v>
      </c>
      <c r="E23" s="2">
        <f>E12/'Output-Calculation-sheet'!E11*'Output-Calculation-sheet'!E29</f>
        <v>1160.9532369500209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163.27228437829888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669.36617463464916</v>
      </c>
      <c r="M23" s="2">
        <f>M12/'Output-Calculation-sheet'!M11*'Output-Calculation-sheet'!M29</f>
        <v>145.50760138603053</v>
      </c>
      <c r="N23" s="2">
        <f>N12/'Output-Calculation-sheet'!N11*'Output-Calculation-sheet'!N29</f>
        <v>121.14997091895896</v>
      </c>
      <c r="O23" s="2">
        <f>O12/'Output-Calculation-sheet'!O11*'Output-Calculation-sheet'!O29</f>
        <v>16.096389398443694</v>
      </c>
      <c r="P23" s="2">
        <f>P12/'Output-Calculation-sheet'!P11*'Output-Calculation-sheet'!P29</f>
        <v>25.212229636323212</v>
      </c>
      <c r="Q23" s="2">
        <f>Q12/'Output-Calculation-sheet'!Q11*'Output-Calculation-sheet'!Q29</f>
        <v>206.51878215592413</v>
      </c>
      <c r="R23" s="2">
        <f>R12/'Output-Calculation-sheet'!R11*'Output-Calculation-sheet'!R29</f>
        <v>0</v>
      </c>
      <c r="S23" s="2">
        <f>S12/'Output-Calculation-sheet'!S11*'Output-Calculation-sheet'!S29</f>
        <v>54.397340800126678</v>
      </c>
      <c r="T23" s="2">
        <f>T12/'Output-Calculation-sheet'!T11*'Output-Calculation-sheet'!T29</f>
        <v>0</v>
      </c>
      <c r="U23" s="2">
        <f>U12/'Output-Calculation-sheet'!U11*'Output-Calculation-sheet'!U29</f>
        <v>73.238987233913818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4.7632605591809964</v>
      </c>
      <c r="Y23" s="2">
        <f>Y12/'Output-Calculation-sheet'!Y11*'Output-Calculation-sheet'!Y29</f>
        <v>30.299335571313421</v>
      </c>
      <c r="AA23" s="2">
        <f t="shared" si="0"/>
        <v>3.2188701631872312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965.8325113824003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37.867833715672027</v>
      </c>
    </row>
    <row r="31" spans="1:27" x14ac:dyDescent="0.25">
      <c r="A31" s="2">
        <v>2032</v>
      </c>
      <c r="B31" s="2">
        <f>B9/'Output-Calculation-sheet'!B8*'Output-Calculation-sheet'!B17</f>
        <v>19490.689202054684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762.10648940850388</v>
      </c>
      <c r="O31" s="2">
        <f>O9/'Output-Calculation-sheet'!O8*'Output-Calculation-sheet'!O17</f>
        <v>0</v>
      </c>
      <c r="P31" s="2">
        <f>P9/'Output-Calculation-sheet'!P8*'Output-Calculation-sheet'!P17</f>
        <v>1904.9042953530759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630.77098409386554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44.655624635291687</v>
      </c>
    </row>
    <row r="32" spans="1:27" x14ac:dyDescent="0.25">
      <c r="A32" s="2">
        <v>2033</v>
      </c>
      <c r="B32" s="2">
        <f>B10/'Output-Calculation-sheet'!B9*'Output-Calculation-sheet'!B18</f>
        <v>13595.202463490516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2128.2236366593247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550.2684220302408</v>
      </c>
      <c r="O32" s="2">
        <f>O10/'Output-Calculation-sheet'!O9*'Output-Calculation-sheet'!O18</f>
        <v>0</v>
      </c>
      <c r="P32" s="2">
        <f>P10/'Output-Calculation-sheet'!P9*'Output-Calculation-sheet'!P18</f>
        <v>2190.5909520722435</v>
      </c>
      <c r="Q32" s="2">
        <f>Q10/'Output-Calculation-sheet'!Q9*'Output-Calculation-sheet'!Q18</f>
        <v>2028.1482313041149</v>
      </c>
      <c r="R32" s="2">
        <f>R10/'Output-Calculation-sheet'!R9*'Output-Calculation-sheet'!R18</f>
        <v>1573.3941009673601</v>
      </c>
      <c r="S32" s="2">
        <f>S10/'Output-Calculation-sheet'!S9*'Output-Calculation-sheet'!S18</f>
        <v>500.58161502267137</v>
      </c>
      <c r="T32" s="2">
        <f>T10/'Output-Calculation-sheet'!T9*'Output-Calculation-sheet'!T18</f>
        <v>459.28070544935866</v>
      </c>
      <c r="U32" s="2">
        <f>U10/'Output-Calculation-sheet'!U9*'Output-Calculation-sheet'!U18</f>
        <v>507.72860166314609</v>
      </c>
      <c r="V32" s="2">
        <f>V10/'Output-Calculation-sheet'!V9*'Output-Calculation-sheet'!V18</f>
        <v>374.76787169789463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216.99303357520643</v>
      </c>
      <c r="AA32" s="2">
        <f t="shared" si="1"/>
        <v>43.220256457255751</v>
      </c>
    </row>
    <row r="33" spans="1:27" x14ac:dyDescent="0.25">
      <c r="A33" s="2">
        <v>2034</v>
      </c>
      <c r="B33" s="2">
        <f>B11/'Output-Calculation-sheet'!B10*'Output-Calculation-sheet'!B19</f>
        <v>7999.9994828885183</v>
      </c>
      <c r="C33" s="2">
        <f>C11/'Output-Calculation-sheet'!C10*'Output-Calculation-sheet'!C19</f>
        <v>0</v>
      </c>
      <c r="D33" s="2">
        <f>D11/'Output-Calculation-sheet'!D10*'Output-Calculation-sheet'!D19</f>
        <v>5302.5540379435552</v>
      </c>
      <c r="E33" s="2">
        <f>E11/'Output-Calculation-sheet'!E10*'Output-Calculation-sheet'!E19</f>
        <v>6573.8281741244828</v>
      </c>
      <c r="F33" s="2">
        <f>F11/'Output-Calculation-sheet'!F10*'Output-Calculation-sheet'!F19</f>
        <v>3010.0507455827178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1969.703018540569</v>
      </c>
      <c r="J33" s="2">
        <f>J11/'Output-Calculation-sheet'!J10*'Output-Calculation-sheet'!J19</f>
        <v>1665.4553663602201</v>
      </c>
      <c r="K33" s="2">
        <f>K11/'Output-Calculation-sheet'!K10*'Output-Calculation-sheet'!K19</f>
        <v>2309.9304963030327</v>
      </c>
      <c r="L33" s="2">
        <f>L11/'Output-Calculation-sheet'!L10*'Output-Calculation-sheet'!L19</f>
        <v>1878.9631205129413</v>
      </c>
      <c r="M33" s="2">
        <f>M11/'Output-Calculation-sheet'!M10*'Output-Calculation-sheet'!M19</f>
        <v>0</v>
      </c>
      <c r="N33" s="2">
        <f>N11/'Output-Calculation-sheet'!N10*'Output-Calculation-sheet'!N19</f>
        <v>356.65795007103679</v>
      </c>
      <c r="O33" s="2">
        <f>O11/'Output-Calculation-sheet'!O10*'Output-Calculation-sheet'!O19</f>
        <v>0</v>
      </c>
      <c r="P33" s="2">
        <f>P11/'Output-Calculation-sheet'!P10*'Output-Calculation-sheet'!P19</f>
        <v>1771.3105308334129</v>
      </c>
      <c r="Q33" s="2">
        <f>Q11/'Output-Calculation-sheet'!Q10*'Output-Calculation-sheet'!Q19</f>
        <v>1125.8442016948054</v>
      </c>
      <c r="R33" s="2">
        <f>R11/'Output-Calculation-sheet'!R10*'Output-Calculation-sheet'!R19</f>
        <v>1668.7493867333992</v>
      </c>
      <c r="S33" s="2">
        <f>S11/'Output-Calculation-sheet'!S10*'Output-Calculation-sheet'!S19</f>
        <v>226.72712200830415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563.15289280322941</v>
      </c>
      <c r="V33" s="2">
        <f>V11/'Output-Calculation-sheet'!V10*'Output-Calculation-sheet'!V19</f>
        <v>384.0372305173268</v>
      </c>
      <c r="W33" s="2">
        <f>W11/'Output-Calculation-sheet'!W10*'Output-Calculation-sheet'!W19</f>
        <v>239.11994926209096</v>
      </c>
      <c r="X33" s="2">
        <f>X11/'Output-Calculation-sheet'!X10*'Output-Calculation-sheet'!X19</f>
        <v>0</v>
      </c>
      <c r="Y33" s="2">
        <f>Y11/'Output-Calculation-sheet'!Y10*'Output-Calculation-sheet'!Y19</f>
        <v>195.77590412247343</v>
      </c>
      <c r="AA33" s="2">
        <f t="shared" si="1"/>
        <v>39.536547494514487</v>
      </c>
    </row>
    <row r="34" spans="1:27" x14ac:dyDescent="0.25">
      <c r="A34" s="2">
        <v>2035</v>
      </c>
      <c r="B34" s="2">
        <f>B12/'Output-Calculation-sheet'!B11*'Output-Calculation-sheet'!B20</f>
        <v>90.359766274239675</v>
      </c>
      <c r="C34" s="2">
        <f>C12/'Output-Calculation-sheet'!C11*'Output-Calculation-sheet'!C20</f>
        <v>0</v>
      </c>
      <c r="D34" s="2">
        <f>D12/'Output-Calculation-sheet'!D11*'Output-Calculation-sheet'!D20</f>
        <v>4456.8430275936726</v>
      </c>
      <c r="E34" s="2">
        <f>E12/'Output-Calculation-sheet'!E11*'Output-Calculation-sheet'!E20</f>
        <v>2082.2292595656154</v>
      </c>
      <c r="F34" s="2">
        <f>F12/'Output-Calculation-sheet'!F11*'Output-Calculation-sheet'!F20</f>
        <v>2828.8828707619755</v>
      </c>
      <c r="G34" s="2">
        <f>G12/'Output-Calculation-sheet'!G11*'Output-Calculation-sheet'!G20</f>
        <v>1519.2298738340119</v>
      </c>
      <c r="H34" s="2">
        <f>H12/'Output-Calculation-sheet'!H11*'Output-Calculation-sheet'!H20</f>
        <v>0</v>
      </c>
      <c r="I34" s="2">
        <f>I12/'Output-Calculation-sheet'!I11*'Output-Calculation-sheet'!I20</f>
        <v>1687.8966440537977</v>
      </c>
      <c r="J34" s="2">
        <f>J12/'Output-Calculation-sheet'!J11*'Output-Calculation-sheet'!J20</f>
        <v>1461.626478128484</v>
      </c>
      <c r="K34" s="2">
        <f>K12/'Output-Calculation-sheet'!K11*'Output-Calculation-sheet'!K20</f>
        <v>2059.3306094504928</v>
      </c>
      <c r="L34" s="2">
        <f>L12/'Output-Calculation-sheet'!L11*'Output-Calculation-sheet'!L20</f>
        <v>1140.4063647409873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453.43591399886577</v>
      </c>
      <c r="Q34" s="2">
        <f>Q12/'Output-Calculation-sheet'!Q11*'Output-Calculation-sheet'!Q20</f>
        <v>428.99760878027126</v>
      </c>
      <c r="R34" s="2">
        <f>R12/'Output-Calculation-sheet'!R11*'Output-Calculation-sheet'!R20</f>
        <v>1520.3280640424598</v>
      </c>
      <c r="S34" s="2">
        <f>S12/'Output-Calculation-sheet'!S11*'Output-Calculation-sheet'!S20</f>
        <v>1.2166037062146358</v>
      </c>
      <c r="T34" s="2">
        <f>T12/'Output-Calculation-sheet'!T11*'Output-Calculation-sheet'!T20</f>
        <v>453.44416936176333</v>
      </c>
      <c r="U34" s="2">
        <f>U12/'Output-Calculation-sheet'!U11*'Output-Calculation-sheet'!U20</f>
        <v>412.70009298272447</v>
      </c>
      <c r="V34" s="2">
        <f>V12/'Output-Calculation-sheet'!V11*'Output-Calculation-sheet'!V20</f>
        <v>398.31501722116309</v>
      </c>
      <c r="W34" s="2">
        <f>W12/'Output-Calculation-sheet'!W11*'Output-Calculation-sheet'!W20</f>
        <v>242.27293464261626</v>
      </c>
      <c r="X34" s="2">
        <f>X12/'Output-Calculation-sheet'!X11*'Output-Calculation-sheet'!X20</f>
        <v>0</v>
      </c>
      <c r="Y34" s="2">
        <f>Y12/'Output-Calculation-sheet'!Y11*'Output-Calculation-sheet'!Y20</f>
        <v>52.114060273068255</v>
      </c>
      <c r="AA34" s="2">
        <f t="shared" si="1"/>
        <v>21.289629359412427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7.6034020130725785E-2</v>
      </c>
      <c r="E45" s="2">
        <f>E12/'Output-Calculation-sheet'!E11*'Output-Calculation-sheet'!E38*0.0114</f>
        <v>4.0284557333340153E-2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6.6603071953111794E-3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0.43093694086780371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0.1242718199359522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139.46757688275133</v>
      </c>
      <c r="R54" s="2">
        <f>R10/'Output-Calculation-sheet'!R9*'Output-Calculation-sheet'!R45</f>
        <v>1043.3417417451999</v>
      </c>
      <c r="S54" s="2">
        <f>S10/'Output-Calculation-sheet'!S9*'Output-Calculation-sheet'!S45</f>
        <v>0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13.013354948313468</v>
      </c>
      <c r="AA54" s="2">
        <f t="shared" si="3"/>
        <v>3.4347650677601846</v>
      </c>
    </row>
    <row r="55" spans="1:27" x14ac:dyDescent="0.25">
      <c r="A55" s="2">
        <v>2034</v>
      </c>
      <c r="B55" s="2">
        <f>B11/'Output-Calculation-sheet'!B10*'Output-Calculation-sheet'!B46</f>
        <v>979.4590807387633</v>
      </c>
      <c r="C55" s="2">
        <f>C11/'Output-Calculation-sheet'!C10*'Output-Calculation-sheet'!C46</f>
        <v>0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355.21926891457503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263.28110256345303</v>
      </c>
      <c r="N55" s="2">
        <f>N11/'Output-Calculation-sheet'!N10*'Output-Calculation-sheet'!N46</f>
        <v>89.914864815157458</v>
      </c>
      <c r="O55" s="2">
        <f>O11/'Output-Calculation-sheet'!O10*'Output-Calculation-sheet'!O46</f>
        <v>0</v>
      </c>
      <c r="P55" s="2">
        <f>P11/'Output-Calculation-sheet'!P10*'Output-Calculation-sheet'!P46</f>
        <v>1917.4824225294287</v>
      </c>
      <c r="Q55" s="2">
        <f>Q11/'Output-Calculation-sheet'!Q10*'Output-Calculation-sheet'!Q46</f>
        <v>419.15339009618384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0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49.452382501503983</v>
      </c>
      <c r="X55" s="2">
        <f>X11/'Output-Calculation-sheet'!X10*'Output-Calculation-sheet'!X46</f>
        <v>25.128527656216157</v>
      </c>
      <c r="Y55" s="2">
        <f>Y11/'Output-Calculation-sheet'!Y10*'Output-Calculation-sheet'!Y46</f>
        <v>174.77390637328384</v>
      </c>
      <c r="AA55" s="2">
        <f t="shared" si="3"/>
        <v>26.061945007613577</v>
      </c>
    </row>
    <row r="56" spans="1:27" x14ac:dyDescent="0.25">
      <c r="A56" s="2">
        <v>2035</v>
      </c>
      <c r="B56" s="2">
        <f>B12/'Output-Calculation-sheet'!B11*'Output-Calculation-sheet'!B47</f>
        <v>222.09212216280818</v>
      </c>
      <c r="C56" s="2">
        <f>C12/'Output-Calculation-sheet'!C11*'Output-Calculation-sheet'!C47</f>
        <v>180.70296272594777</v>
      </c>
      <c r="D56" s="2">
        <f>D12/'Output-Calculation-sheet'!D11*'Output-Calculation-sheet'!D47</f>
        <v>7345.5088453777189</v>
      </c>
      <c r="E56" s="2">
        <f>E12/'Output-Calculation-sheet'!E11*'Output-Calculation-sheet'!E47</f>
        <v>5106.2443286558346</v>
      </c>
      <c r="F56" s="2">
        <f>F12/'Output-Calculation-sheet'!F11*'Output-Calculation-sheet'!F47</f>
        <v>1524.6178558338183</v>
      </c>
      <c r="G56" s="2">
        <f>G12/'Output-Calculation-sheet'!G11*'Output-Calculation-sheet'!G47</f>
        <v>3409.390240589581</v>
      </c>
      <c r="H56" s="2">
        <f>H12/'Output-Calculation-sheet'!H11*'Output-Calculation-sheet'!H47</f>
        <v>67.987304516049548</v>
      </c>
      <c r="I56" s="2">
        <f>I12/'Output-Calculation-sheet'!I11*'Output-Calculation-sheet'!I47</f>
        <v>2003.4700812949311</v>
      </c>
      <c r="J56" s="2">
        <f>J12/'Output-Calculation-sheet'!J11*'Output-Calculation-sheet'!J47</f>
        <v>2122.6235064717503</v>
      </c>
      <c r="K56" s="2">
        <f>K12/'Output-Calculation-sheet'!K11*'Output-Calculation-sheet'!K47</f>
        <v>2933.5454981531984</v>
      </c>
      <c r="L56" s="2">
        <f>L12/'Output-Calculation-sheet'!L11*'Output-Calculation-sheet'!L47</f>
        <v>1963.7512685925515</v>
      </c>
      <c r="M56" s="2">
        <f>M12/'Output-Calculation-sheet'!M11*'Output-Calculation-sheet'!M47</f>
        <v>45.18704511275655</v>
      </c>
      <c r="N56" s="2">
        <f>N12/'Output-Calculation-sheet'!N11*'Output-Calculation-sheet'!N47</f>
        <v>49.636423861979722</v>
      </c>
      <c r="O56" s="2">
        <f>O12/'Output-Calculation-sheet'!O11*'Output-Calculation-sheet'!O47</f>
        <v>33.155256386701339</v>
      </c>
      <c r="P56" s="2">
        <f>P12/'Output-Calculation-sheet'!P11*'Output-Calculation-sheet'!P47</f>
        <v>639.5612786577118</v>
      </c>
      <c r="Q56" s="2">
        <f>Q12/'Output-Calculation-sheet'!Q11*'Output-Calculation-sheet'!Q47</f>
        <v>472.42903543519225</v>
      </c>
      <c r="R56" s="2">
        <f>R12/'Output-Calculation-sheet'!R11*'Output-Calculation-sheet'!R47</f>
        <v>2668.012382601074</v>
      </c>
      <c r="S56" s="2">
        <f>S12/'Output-Calculation-sheet'!S11*'Output-Calculation-sheet'!S47</f>
        <v>22.163632264865349</v>
      </c>
      <c r="T56" s="2">
        <f>T12/'Output-Calculation-sheet'!T11*'Output-Calculation-sheet'!T47</f>
        <v>968.75711858832267</v>
      </c>
      <c r="U56" s="2">
        <f>U12/'Output-Calculation-sheet'!U11*'Output-Calculation-sheet'!U47</f>
        <v>902.79295557496482</v>
      </c>
      <c r="V56" s="2">
        <f>V12/'Output-Calculation-sheet'!V11*'Output-Calculation-sheet'!V47</f>
        <v>555.68944368440498</v>
      </c>
      <c r="W56" s="2">
        <f>W12/'Output-Calculation-sheet'!W11*'Output-Calculation-sheet'!W47</f>
        <v>328.65973075771245</v>
      </c>
      <c r="X56" s="2">
        <f>X12/'Output-Calculation-sheet'!X11*'Output-Calculation-sheet'!X47</f>
        <v>5.0737507792833476</v>
      </c>
      <c r="Y56" s="2">
        <f>Y12/'Output-Calculation-sheet'!Y11*'Output-Calculation-sheet'!Y47</f>
        <v>108.78716377591365</v>
      </c>
      <c r="AA56" s="2">
        <f t="shared" si="3"/>
        <v>33.679839231855077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6.9837540571270136</v>
      </c>
      <c r="C63" s="2">
        <f>C8*'Output-Calculation-sheet'!C52/10^9</f>
        <v>3.7310805950497636</v>
      </c>
      <c r="D63" s="2">
        <f>D8*'Output-Calculation-sheet'!D52/10^9</f>
        <v>2.3948789295660422</v>
      </c>
      <c r="E63" s="2">
        <f>E8*'Output-Calculation-sheet'!E52/10^9</f>
        <v>2.3811520541740103</v>
      </c>
      <c r="F63" s="2">
        <f>F8*'Output-Calculation-sheet'!F52/10^9</f>
        <v>1.0084176980938624</v>
      </c>
      <c r="G63" s="2">
        <f>G8*'Output-Calculation-sheet'!G52/10^9</f>
        <v>0.72500676850808432</v>
      </c>
      <c r="H63" s="2">
        <f>H8*'Output-Calculation-sheet'!H52/10^9</f>
        <v>1.1791538594130211</v>
      </c>
      <c r="I63" s="2">
        <f>I8*'Output-Calculation-sheet'!I52/10^9</f>
        <v>0.67442461407586107</v>
      </c>
      <c r="J63" s="2">
        <f>J8*'Output-Calculation-sheet'!J52/10^9</f>
        <v>0.92805398277145001</v>
      </c>
      <c r="K63" s="2">
        <f>K8*'Output-Calculation-sheet'!K52/10^9</f>
        <v>0.81537796689206998</v>
      </c>
      <c r="L63" s="2">
        <f>L8*'Output-Calculation-sheet'!L52/10^9</f>
        <v>1.0967225967275478</v>
      </c>
      <c r="M63" s="2">
        <f>M8*'Output-Calculation-sheet'!M52/10^9</f>
        <v>0.96600171048638017</v>
      </c>
      <c r="N63" s="2">
        <f>N8*'Output-Calculation-sheet'!N52/10^9</f>
        <v>0.85235647804337322</v>
      </c>
      <c r="O63" s="2">
        <f>O8*'Output-Calculation-sheet'!O52/10^9</f>
        <v>0.76334688064472755</v>
      </c>
      <c r="P63" s="2">
        <f>P8*'Output-Calculation-sheet'!P52/10^9</f>
        <v>0.56340418030611672</v>
      </c>
      <c r="Q63" s="2">
        <f>Q8*'Output-Calculation-sheet'!Q52/10^9</f>
        <v>0.63760842881826862</v>
      </c>
      <c r="R63" s="2">
        <f>R8*'Output-Calculation-sheet'!R52/10^9</f>
        <v>0.57244580364146491</v>
      </c>
      <c r="S63" s="2">
        <f>S8*'Output-Calculation-sheet'!S52/10^9</f>
        <v>0.4242026232603332</v>
      </c>
      <c r="T63" s="2">
        <f>T8*'Output-Calculation-sheet'!T52/10^9</f>
        <v>0.21763571717972927</v>
      </c>
      <c r="U63" s="2">
        <f>U8*'Output-Calculation-sheet'!U52/10^9</f>
        <v>0.14946987844805368</v>
      </c>
      <c r="V63" s="2">
        <f>V8*'Output-Calculation-sheet'!V52/10^9</f>
        <v>0.26527371174351461</v>
      </c>
      <c r="W63" s="2">
        <f>W8*'Output-Calculation-sheet'!W52/10^9</f>
        <v>9.601665545208185E-2</v>
      </c>
      <c r="X63" s="2">
        <f>X8*'Output-Calculation-sheet'!X52/10^9</f>
        <v>9.8933782039659635E-2</v>
      </c>
      <c r="Y63" s="2">
        <f>Y8*'Output-Calculation-sheet'!Y52/10^9</f>
        <v>6.2648196733546935E-2</v>
      </c>
      <c r="AA63" s="2">
        <f t="shared" si="4"/>
        <v>27.587367169195968</v>
      </c>
    </row>
    <row r="64" spans="1:27" x14ac:dyDescent="0.25">
      <c r="A64" s="2">
        <v>2032</v>
      </c>
      <c r="B64" s="2">
        <f>B9*'Output-Calculation-sheet'!B53/10^9</f>
        <v>6.6463890184645775</v>
      </c>
      <c r="C64" s="2">
        <f>C9*'Output-Calculation-sheet'!C53/10^9</f>
        <v>3.523456090631885</v>
      </c>
      <c r="D64" s="2">
        <f>D9*'Output-Calculation-sheet'!D53/10^9</f>
        <v>1.968443823082999</v>
      </c>
      <c r="E64" s="2">
        <f>E9*'Output-Calculation-sheet'!E53/10^9</f>
        <v>2.0157730822323239</v>
      </c>
      <c r="F64" s="2">
        <f>F9*'Output-Calculation-sheet'!F53/10^9</f>
        <v>0.85024044615055949</v>
      </c>
      <c r="G64" s="2">
        <f>G9*'Output-Calculation-sheet'!G53/10^9</f>
        <v>0.60517513977861559</v>
      </c>
      <c r="H64" s="2">
        <f>H9*'Output-Calculation-sheet'!H53/10^9</f>
        <v>1.1058105543815897</v>
      </c>
      <c r="I64" s="2">
        <f>I9*'Output-Calculation-sheet'!I53/10^9</f>
        <v>0.56573984807426081</v>
      </c>
      <c r="J64" s="2">
        <f>J9*'Output-Calculation-sheet'!J53/10^9</f>
        <v>0.7489246089809023</v>
      </c>
      <c r="K64" s="2">
        <f>K9*'Output-Calculation-sheet'!K53/10^9</f>
        <v>0.69490014331171124</v>
      </c>
      <c r="L64" s="2">
        <f>L9*'Output-Calculation-sheet'!L53/10^9</f>
        <v>0.89398695736350553</v>
      </c>
      <c r="M64" s="2">
        <f>M9*'Output-Calculation-sheet'!M53/10^9</f>
        <v>0.8773313408253165</v>
      </c>
      <c r="N64" s="2">
        <f>N9*'Output-Calculation-sheet'!N53/10^9</f>
        <v>0.78988167890396055</v>
      </c>
      <c r="O64" s="2">
        <f>O9*'Output-Calculation-sheet'!O53/10^9</f>
        <v>0.713526244553088</v>
      </c>
      <c r="P64" s="2">
        <f>P9*'Output-Calculation-sheet'!P53/10^9</f>
        <v>0.52981737261221096</v>
      </c>
      <c r="Q64" s="2">
        <f>Q9*'Output-Calculation-sheet'!Q53/10^9</f>
        <v>0.58552436477931691</v>
      </c>
      <c r="R64" s="2">
        <f>R9*'Output-Calculation-sheet'!R53/10^9</f>
        <v>0.50193265324578462</v>
      </c>
      <c r="S64" s="2">
        <f>S9*'Output-Calculation-sheet'!S53/10^9</f>
        <v>0.40389116082380505</v>
      </c>
      <c r="T64" s="2">
        <f>T9*'Output-Calculation-sheet'!T53/10^9</f>
        <v>0.18043100707704487</v>
      </c>
      <c r="U64" s="2">
        <f>U9*'Output-Calculation-sheet'!U53/10^9</f>
        <v>0.13580665711927681</v>
      </c>
      <c r="V64" s="2">
        <f>V9*'Output-Calculation-sheet'!V53/10^9</f>
        <v>0.2141594042813979</v>
      </c>
      <c r="W64" s="2">
        <f>W9*'Output-Calculation-sheet'!W53/10^9</f>
        <v>7.9577636963282197E-2</v>
      </c>
      <c r="X64" s="2">
        <f>X9*'Output-Calculation-sheet'!X53/10^9</f>
        <v>9.1234622279603175E-2</v>
      </c>
      <c r="Y64" s="2">
        <f>Y9*'Output-Calculation-sheet'!Y53/10^9</f>
        <v>5.5754718464396114E-2</v>
      </c>
      <c r="AA64" s="2">
        <f t="shared" si="4"/>
        <v>24.777708574381411</v>
      </c>
    </row>
    <row r="65" spans="1:27" x14ac:dyDescent="0.25">
      <c r="A65" s="2">
        <v>2033</v>
      </c>
      <c r="B65" s="2">
        <f>B10*'Output-Calculation-sheet'!B54/10^9</f>
        <v>5.9026919077665259</v>
      </c>
      <c r="C65" s="2">
        <f>C10*'Output-Calculation-sheet'!C54/10^9</f>
        <v>3.0512072309251712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0.95818205167117587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0.55822681944328545</v>
      </c>
      <c r="L65" s="2">
        <f>L10*'Output-Calculation-sheet'!L54/10^9</f>
        <v>0.65937513432768491</v>
      </c>
      <c r="M65" s="2">
        <f>M10*'Output-Calculation-sheet'!M54/10^9</f>
        <v>0.73067483637199926</v>
      </c>
      <c r="N65" s="2">
        <f>N10*'Output-Calculation-sheet'!N54/10^9</f>
        <v>0.67048369874593194</v>
      </c>
      <c r="O65" s="2">
        <f>O10*'Output-Calculation-sheet'!O54/10^9</f>
        <v>0.61147542129240406</v>
      </c>
      <c r="P65" s="2">
        <f>P10*'Output-Calculation-sheet'!P54/10^9</f>
        <v>0.47231682901919519</v>
      </c>
      <c r="Q65" s="2">
        <f>Q10*'Output-Calculation-sheet'!Q54/10^9</f>
        <v>0.51451018767601853</v>
      </c>
      <c r="R65" s="2">
        <f>R10*'Output-Calculation-sheet'!R54/10^9</f>
        <v>0.41586048107153739</v>
      </c>
      <c r="S65" s="2">
        <f>S10*'Output-Calculation-sheet'!S54/10^9</f>
        <v>0.35367918183011143</v>
      </c>
      <c r="T65" s="2">
        <f>T10*'Output-Calculation-sheet'!T54/10^9</f>
        <v>0.13902795955019595</v>
      </c>
      <c r="U65" s="2">
        <f>U10*'Output-Calculation-sheet'!U54/10^9</f>
        <v>0.12004789008597956</v>
      </c>
      <c r="V65" s="2">
        <f>V10*'Output-Calculation-sheet'!V54/10^9</f>
        <v>0.15386125381478097</v>
      </c>
      <c r="W65" s="2">
        <f>W10*'Output-Calculation-sheet'!W54/10^9</f>
        <v>5.8578517805342012E-2</v>
      </c>
      <c r="X65" s="2">
        <f>X10*'Output-Calculation-sheet'!X54/10^9</f>
        <v>7.6611772556339539E-2</v>
      </c>
      <c r="Y65" s="2">
        <f>Y10*'Output-Calculation-sheet'!Y54/10^9</f>
        <v>4.8217253364304213E-2</v>
      </c>
      <c r="AA65" s="2">
        <f t="shared" si="4"/>
        <v>20.605712948694833</v>
      </c>
    </row>
    <row r="66" spans="1:27" x14ac:dyDescent="0.25">
      <c r="A66" s="2">
        <v>2034</v>
      </c>
      <c r="B66" s="2">
        <f>B11*'Output-Calculation-sheet'!B55/10^9</f>
        <v>4.8468835154761223</v>
      </c>
      <c r="C66" s="2">
        <f>C11*'Output-Calculation-sheet'!C55/10^9</f>
        <v>2.4381741084910766</v>
      </c>
      <c r="D66" s="2">
        <f>D11*'Output-Calculation-sheet'!D55/10^9</f>
        <v>1.0938651234688801</v>
      </c>
      <c r="E66" s="2">
        <f>E11*'Output-Calculation-sheet'!E55/10^9</f>
        <v>1.3245930853472834</v>
      </c>
      <c r="F66" s="2">
        <f>F11*'Output-Calculation-sheet'!F55/10^9</f>
        <v>0.50906366052852847</v>
      </c>
      <c r="G66" s="2">
        <f>G11*'Output-Calculation-sheet'!G55/10^9</f>
        <v>0.36386761421716463</v>
      </c>
      <c r="H66" s="2">
        <f>H11*'Output-Calculation-sheet'!H55/10^9</f>
        <v>0.75929830623748984</v>
      </c>
      <c r="I66" s="2">
        <f>I11*'Output-Calculation-sheet'!I55/10^9</f>
        <v>0.35581844715834648</v>
      </c>
      <c r="J66" s="2">
        <f>J11*'Output-Calculation-sheet'!J55/10^9</f>
        <v>0.36590084351122226</v>
      </c>
      <c r="K66" s="2">
        <f>K11*'Output-Calculation-sheet'!K55/10^9</f>
        <v>0.43763484247277712</v>
      </c>
      <c r="L66" s="2">
        <f>L11*'Output-Calculation-sheet'!L55/10^9</f>
        <v>0.4634705725057609</v>
      </c>
      <c r="M66" s="2">
        <f>M11*'Output-Calculation-sheet'!M55/10^9</f>
        <v>0.55347600172541422</v>
      </c>
      <c r="N66" s="2">
        <f>N11*'Output-Calculation-sheet'!N55/10^9</f>
        <v>0.52287483523145262</v>
      </c>
      <c r="O66" s="2">
        <f>O11*'Output-Calculation-sheet'!O55/10^9</f>
        <v>0.48057232505348202</v>
      </c>
      <c r="P66" s="2">
        <f>P11*'Output-Calculation-sheet'!P55/10^9</f>
        <v>0.40130322837322918</v>
      </c>
      <c r="Q66" s="2">
        <f>Q11*'Output-Calculation-sheet'!Q55/10^9</f>
        <v>0.42448770007838177</v>
      </c>
      <c r="R66" s="2">
        <f>R11*'Output-Calculation-sheet'!R55/10^9</f>
        <v>0.32783751960124063</v>
      </c>
      <c r="S66" s="2">
        <f>S11*'Output-Calculation-sheet'!S55/10^9</f>
        <v>0.2859777017569452</v>
      </c>
      <c r="T66" s="2">
        <f>T11*'Output-Calculation-sheet'!T55/10^9</f>
        <v>0.10276074099783722</v>
      </c>
      <c r="U66" s="2">
        <f>U11*'Output-Calculation-sheet'!U55/10^9</f>
        <v>0.10491729705805512</v>
      </c>
      <c r="V66" s="2">
        <f>V11*'Output-Calculation-sheet'!V55/10^9</f>
        <v>9.748305996410972E-2</v>
      </c>
      <c r="W66" s="2">
        <f>W11*'Output-Calculation-sheet'!W55/10^9</f>
        <v>4.4140267172253146E-2</v>
      </c>
      <c r="X66" s="2">
        <f>X11*'Output-Calculation-sheet'!X55/10^9</f>
        <v>5.9134405782187663E-2</v>
      </c>
      <c r="Y66" s="2">
        <f>Y11*'Output-Calculation-sheet'!Y55/10^9</f>
        <v>4.3154631648503111E-2</v>
      </c>
      <c r="AA66" s="2">
        <f t="shared" si="4"/>
        <v>16.40668983385774</v>
      </c>
    </row>
    <row r="67" spans="1:27" x14ac:dyDescent="0.25">
      <c r="A67" s="2">
        <v>2035</v>
      </c>
      <c r="B67" s="2">
        <f>B12*'Output-Calculation-sheet'!B56/10^9</f>
        <v>3.7421206466831687</v>
      </c>
      <c r="C67" s="2">
        <f>C12*'Output-Calculation-sheet'!C56/10^9</f>
        <v>1.7506660383952528</v>
      </c>
      <c r="D67" s="2">
        <f>D12*'Output-Calculation-sheet'!D56/10^9</f>
        <v>0.95489315232999317</v>
      </c>
      <c r="E67" s="2">
        <f>E12*'Output-Calculation-sheet'!E56/10^9</f>
        <v>1.1678542107742031</v>
      </c>
      <c r="F67" s="2">
        <f>F12*'Output-Calculation-sheet'!F56/10^9</f>
        <v>0.47265207302349527</v>
      </c>
      <c r="G67" s="2">
        <f>G12*'Output-Calculation-sheet'!G56/10^9</f>
        <v>0.34692972758885199</v>
      </c>
      <c r="H67" s="2">
        <f>H12*'Output-Calculation-sheet'!H56/10^9</f>
        <v>0.55327643856082664</v>
      </c>
      <c r="I67" s="2">
        <f>I12*'Output-Calculation-sheet'!I56/10^9</f>
        <v>0.32771015502824047</v>
      </c>
      <c r="J67" s="2">
        <f>J12*'Output-Calculation-sheet'!J56/10^9</f>
        <v>0.30440704616667796</v>
      </c>
      <c r="K67" s="2">
        <f>K12*'Output-Calculation-sheet'!K56/10^9</f>
        <v>0.37403791188231411</v>
      </c>
      <c r="L67" s="2">
        <f>L12*'Output-Calculation-sheet'!L56/10^9</f>
        <v>0.35711342622862552</v>
      </c>
      <c r="M67" s="2">
        <f>M12*'Output-Calculation-sheet'!M56/10^9</f>
        <v>0.38511490296739109</v>
      </c>
      <c r="N67" s="2">
        <f>N12*'Output-Calculation-sheet'!N56/10^9</f>
        <v>0.37528176642054062</v>
      </c>
      <c r="O67" s="2">
        <f>O12*'Output-Calculation-sheet'!O56/10^9</f>
        <v>0.34028128373276595</v>
      </c>
      <c r="P67" s="2">
        <f>P12*'Output-Calculation-sheet'!P56/10^9</f>
        <v>0.33090017870241406</v>
      </c>
      <c r="Q67" s="2">
        <f>Q12*'Output-Calculation-sheet'!Q56/10^9</f>
        <v>0.33505259844002677</v>
      </c>
      <c r="R67" s="2">
        <f>R12*'Output-Calculation-sheet'!R56/10^9</f>
        <v>0.27580988587255179</v>
      </c>
      <c r="S67" s="2">
        <f>S12*'Output-Calculation-sheet'!S56/10^9</f>
        <v>0.21455300230760363</v>
      </c>
      <c r="T67" s="2">
        <f>T12*'Output-Calculation-sheet'!T56/10^9</f>
        <v>8.4524236038256914E-2</v>
      </c>
      <c r="U67" s="2">
        <f>U12*'Output-Calculation-sheet'!U56/10^9</f>
        <v>9.0770917320602731E-2</v>
      </c>
      <c r="V67" s="2">
        <f>V12*'Output-Calculation-sheet'!V56/10^9</f>
        <v>6.488747605876935E-2</v>
      </c>
      <c r="W67" s="2">
        <f>W12*'Output-Calculation-sheet'!W56/10^9</f>
        <v>4.3074128589666014E-2</v>
      </c>
      <c r="X67" s="2">
        <f>X12*'Output-Calculation-sheet'!X56/10^9</f>
        <v>4.1010663827385503E-2</v>
      </c>
      <c r="Y67" s="2">
        <f>Y12*'Output-Calculation-sheet'!Y56/10^9</f>
        <v>3.830644232151887E-2</v>
      </c>
      <c r="AA67" s="2">
        <f t="shared" si="4"/>
        <v>12.971228309261146</v>
      </c>
    </row>
    <row r="68" spans="1:27" x14ac:dyDescent="0.25">
      <c r="B68" s="2">
        <f>SUM(B60:B67)</f>
        <v>28.121839145517406</v>
      </c>
      <c r="C68" s="2">
        <f t="shared" ref="C68:Y68" si="5">SUM(C60:C67)</f>
        <v>14.494584063493146</v>
      </c>
      <c r="D68" s="2">
        <f t="shared" si="5"/>
        <v>7.8445016770116505</v>
      </c>
      <c r="E68" s="2">
        <f t="shared" si="5"/>
        <v>8.5022536684226893</v>
      </c>
      <c r="F68" s="2">
        <f t="shared" si="5"/>
        <v>3.4951753785102939</v>
      </c>
      <c r="G68" s="2">
        <f t="shared" si="5"/>
        <v>2.4905600859098227</v>
      </c>
      <c r="H68" s="2">
        <f t="shared" si="5"/>
        <v>4.5557212102641031</v>
      </c>
      <c r="I68" s="2">
        <f t="shared" si="5"/>
        <v>2.3614622129736911</v>
      </c>
      <c r="J68" s="2">
        <f t="shared" si="5"/>
        <v>2.8705176331805684</v>
      </c>
      <c r="K68" s="2">
        <f t="shared" si="5"/>
        <v>2.8801776840021578</v>
      </c>
      <c r="L68" s="2">
        <f t="shared" si="5"/>
        <v>3.4706686871531245</v>
      </c>
      <c r="M68" s="2">
        <f t="shared" si="5"/>
        <v>3.5125987923765014</v>
      </c>
      <c r="N68" s="2">
        <f t="shared" si="5"/>
        <v>3.2108784573452587</v>
      </c>
      <c r="O68" s="2">
        <f t="shared" si="5"/>
        <v>2.9092021552764673</v>
      </c>
      <c r="P68" s="2">
        <f t="shared" si="5"/>
        <v>2.2977417890131662</v>
      </c>
      <c r="Q68" s="2">
        <f t="shared" si="5"/>
        <v>2.4971832797920124</v>
      </c>
      <c r="R68" s="2">
        <f t="shared" si="5"/>
        <v>2.0938863434325796</v>
      </c>
      <c r="S68" s="2">
        <f t="shared" si="5"/>
        <v>1.6823036699787985</v>
      </c>
      <c r="T68" s="2">
        <f t="shared" si="5"/>
        <v>0.72437966084306427</v>
      </c>
      <c r="U68" s="2">
        <f t="shared" si="5"/>
        <v>0.60101264003196786</v>
      </c>
      <c r="V68" s="2">
        <f t="shared" si="5"/>
        <v>0.79566490586257255</v>
      </c>
      <c r="W68" s="2">
        <f t="shared" si="5"/>
        <v>0.32138720598262527</v>
      </c>
      <c r="X68" s="2">
        <f t="shared" si="5"/>
        <v>0.36692524648517549</v>
      </c>
      <c r="Y68" s="2">
        <f t="shared" si="5"/>
        <v>0.24808124253226924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43.635045649034339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4.3635045649034337E-2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371.71525645323118</v>
      </c>
      <c r="Q76" s="2">
        <f>Q10/'Output-Calculation-sheet'!Q9*'Output-Calculation-sheet'!Q63</f>
        <v>44.084628225123218</v>
      </c>
      <c r="R76" s="2">
        <f>R10/'Output-Calculation-sheet'!R9*'Output-Calculation-sheet'!R63</f>
        <v>283.66270302047917</v>
      </c>
      <c r="S76" s="2">
        <f>S10/'Output-Calculation-sheet'!S9*'Output-Calculation-sheet'!S63</f>
        <v>0</v>
      </c>
      <c r="T76" s="2">
        <f>T10/'Output-Calculation-sheet'!T9*'Output-Calculation-sheet'!T63</f>
        <v>18.589527838250127</v>
      </c>
      <c r="U76" s="2">
        <f>U10/'Output-Calculation-sheet'!U9*'Output-Calculation-sheet'!U63</f>
        <v>100.49938844291755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4.7667567463376335</v>
      </c>
      <c r="AA76" s="2">
        <f t="shared" si="6"/>
        <v>0.90135334586475868</v>
      </c>
    </row>
    <row r="77" spans="1:27" x14ac:dyDescent="0.25">
      <c r="A77" s="2">
        <v>2034</v>
      </c>
      <c r="B77" s="2">
        <f>B11/'Output-Calculation-sheet'!B10*'Output-Calculation-sheet'!B64</f>
        <v>298.23487030749874</v>
      </c>
      <c r="C77" s="2">
        <f>C11/'Output-Calculation-sheet'!C10*'Output-Calculation-sheet'!C64</f>
        <v>0</v>
      </c>
      <c r="D77" s="2">
        <f>D11/'Output-Calculation-sheet'!D10*'Output-Calculation-sheet'!D64</f>
        <v>1060.806367604243</v>
      </c>
      <c r="E77" s="2">
        <f>E11/'Output-Calculation-sheet'!E10*'Output-Calculation-sheet'!E64</f>
        <v>1315.370039826345</v>
      </c>
      <c r="F77" s="2">
        <f>F11/'Output-Calculation-sheet'!F10*'Output-Calculation-sheet'!F64</f>
        <v>85.584534015926266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86.973915625438337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231.3958820883862</v>
      </c>
      <c r="K77" s="2">
        <f>K11/'Output-Calculation-sheet'!K10*'Output-Calculation-sheet'!K64</f>
        <v>505.6319234054514</v>
      </c>
      <c r="L77" s="2">
        <f>L11/'Output-Calculation-sheet'!L10*'Output-Calculation-sheet'!L64</f>
        <v>208.46699915290935</v>
      </c>
      <c r="M77" s="2">
        <f>M11/'Output-Calculation-sheet'!M10*'Output-Calculation-sheet'!M64</f>
        <v>62.639951659234697</v>
      </c>
      <c r="N77" s="2">
        <f>N11/'Output-Calculation-sheet'!N10*'Output-Calculation-sheet'!N64</f>
        <v>20.716796677220593</v>
      </c>
      <c r="O77" s="2">
        <f>O11/'Output-Calculation-sheet'!O10*'Output-Calculation-sheet'!O64</f>
        <v>0</v>
      </c>
      <c r="P77" s="2">
        <f>P11/'Output-Calculation-sheet'!P10*'Output-Calculation-sheet'!P64</f>
        <v>429.6441484433351</v>
      </c>
      <c r="Q77" s="2">
        <f>Q11/'Output-Calculation-sheet'!Q10*'Output-Calculation-sheet'!Q64</f>
        <v>103.06182043227243</v>
      </c>
      <c r="R77" s="2">
        <f>R11/'Output-Calculation-sheet'!R10*'Output-Calculation-sheet'!R64</f>
        <v>530.29897278801923</v>
      </c>
      <c r="S77" s="2">
        <f>S11/'Output-Calculation-sheet'!S10*'Output-Calculation-sheet'!S64</f>
        <v>0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194.95819562931948</v>
      </c>
      <c r="V77" s="2">
        <f>V11/'Output-Calculation-sheet'!V10*'Output-Calculation-sheet'!V64</f>
        <v>76.150102205853926</v>
      </c>
      <c r="W77" s="2">
        <f>W11/'Output-Calculation-sheet'!W10*'Output-Calculation-sheet'!W64</f>
        <v>16.675958331413895</v>
      </c>
      <c r="X77" s="2">
        <f>X11/'Output-Calculation-sheet'!X10*'Output-Calculation-sheet'!X64</f>
        <v>6.244515733934521</v>
      </c>
      <c r="Y77" s="2">
        <f>Y11/'Output-Calculation-sheet'!Y10*'Output-Calculation-sheet'!Y64</f>
        <v>35.197350304610552</v>
      </c>
      <c r="AA77" s="2">
        <f t="shared" si="6"/>
        <v>6.3012601414181972</v>
      </c>
    </row>
    <row r="78" spans="1:27" x14ac:dyDescent="0.25">
      <c r="A78" s="2">
        <v>2035</v>
      </c>
      <c r="B78" s="2">
        <f>B12/'Output-Calculation-sheet'!B11*'Output-Calculation-sheet'!B65</f>
        <v>42.229230656956808</v>
      </c>
      <c r="C78" s="2">
        <f>C12/'Output-Calculation-sheet'!C11*'Output-Calculation-sheet'!C65</f>
        <v>33.824080953577749</v>
      </c>
      <c r="D78" s="2">
        <f>D12/'Output-Calculation-sheet'!D11*'Output-Calculation-sheet'!D65</f>
        <v>1614.3978904680423</v>
      </c>
      <c r="E78" s="2">
        <f>E12/'Output-Calculation-sheet'!E11*'Output-Calculation-sheet'!E65</f>
        <v>782.87913264352426</v>
      </c>
      <c r="F78" s="2">
        <f>F12/'Output-Calculation-sheet'!F11*'Output-Calculation-sheet'!F65</f>
        <v>403.73814375736902</v>
      </c>
      <c r="G78" s="2">
        <f>G12/'Output-Calculation-sheet'!G11*'Output-Calculation-sheet'!G65</f>
        <v>749.31618583587056</v>
      </c>
      <c r="H78" s="2">
        <f>H12/'Output-Calculation-sheet'!H11*'Output-Calculation-sheet'!H65</f>
        <v>14.201620813795715</v>
      </c>
      <c r="I78" s="2">
        <f>I12/'Output-Calculation-sheet'!I11*'Output-Calculation-sheet'!I65</f>
        <v>497.98318333952693</v>
      </c>
      <c r="J78" s="2">
        <f>J12/'Output-Calculation-sheet'!J11*'Output-Calculation-sheet'!J65</f>
        <v>517.92652474685224</v>
      </c>
      <c r="K78" s="2">
        <f>K12/'Output-Calculation-sheet'!K11*'Output-Calculation-sheet'!K65</f>
        <v>644.73492568819779</v>
      </c>
      <c r="L78" s="2">
        <f>L12/'Output-Calculation-sheet'!L11*'Output-Calculation-sheet'!L65</f>
        <v>350.48167088897037</v>
      </c>
      <c r="M78" s="2">
        <f>M12/'Output-Calculation-sheet'!M11*'Output-Calculation-sheet'!M65</f>
        <v>9.9310492911930019</v>
      </c>
      <c r="N78" s="2">
        <f>N12/'Output-Calculation-sheet'!N11*'Output-Calculation-sheet'!N65</f>
        <v>10.323331185947319</v>
      </c>
      <c r="O78" s="2">
        <f>O12/'Output-Calculation-sheet'!O11*'Output-Calculation-sheet'!O65</f>
        <v>5.894321977335772</v>
      </c>
      <c r="P78" s="2">
        <f>P12/'Output-Calculation-sheet'!P11*'Output-Calculation-sheet'!P65</f>
        <v>121.41045163832018</v>
      </c>
      <c r="Q78" s="2">
        <f>Q12/'Output-Calculation-sheet'!Q11*'Output-Calculation-sheet'!Q65</f>
        <v>90.471991406131707</v>
      </c>
      <c r="R78" s="2">
        <f>R12/'Output-Calculation-sheet'!R11*'Output-Calculation-sheet'!R65</f>
        <v>557.94916770260306</v>
      </c>
      <c r="S78" s="2">
        <f>S12/'Output-Calculation-sheet'!S11*'Output-Calculation-sheet'!S65</f>
        <v>4.2299591686039637</v>
      </c>
      <c r="T78" s="2">
        <f>T12/'Output-Calculation-sheet'!T11*'Output-Calculation-sheet'!T65</f>
        <v>202.47662002672544</v>
      </c>
      <c r="U78" s="2">
        <f>U12/'Output-Calculation-sheet'!U11*'Output-Calculation-sheet'!U65</f>
        <v>166.55880066169084</v>
      </c>
      <c r="V78" s="2">
        <f>V12/'Output-Calculation-sheet'!V11*'Output-Calculation-sheet'!V65</f>
        <v>100.96158647227861</v>
      </c>
      <c r="W78" s="2">
        <f>W12/'Output-Calculation-sheet'!W11*'Output-Calculation-sheet'!W65</f>
        <v>72.232874635987102</v>
      </c>
      <c r="X78" s="2">
        <f>X12/'Output-Calculation-sheet'!X11*'Output-Calculation-sheet'!X65</f>
        <v>1.0139336902140261</v>
      </c>
      <c r="Y78" s="2">
        <f>Y12/'Output-Calculation-sheet'!Y11*'Output-Calculation-sheet'!Y65</f>
        <v>17.769395507645847</v>
      </c>
      <c r="AA78" s="2">
        <f t="shared" si="6"/>
        <v>7.0129360731573609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35.571471406187499</v>
      </c>
      <c r="E89" s="2">
        <f>E12/'Output-Calculation-sheet'!E11*'Output-Calculation-sheet'!E74</f>
        <v>26.502998245618517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18.342918253464411</v>
      </c>
      <c r="H89" s="2">
        <f>H12/'Output-Calculation-sheet'!H11*'Output-Calculation-sheet'!H74</f>
        <v>2.3177490175925985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8.5188903269769245</v>
      </c>
      <c r="K89" s="2">
        <f>K12/'Output-Calculation-sheet'!K11*'Output-Calculation-sheet'!K74</f>
        <v>11.985165457487232</v>
      </c>
      <c r="L89" s="2">
        <f>L12/'Output-Calculation-sheet'!L11*'Output-Calculation-sheet'!L74</f>
        <v>4.4847302736912393</v>
      </c>
      <c r="M89" s="2">
        <f>M12/'Output-Calculation-sheet'!M11*'Output-Calculation-sheet'!M74</f>
        <v>2.126449181776779</v>
      </c>
      <c r="N89" s="2">
        <f>N12/'Output-Calculation-sheet'!N11*'Output-Calculation-sheet'!N74</f>
        <v>1.0449773444627311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1.9307510299100732</v>
      </c>
      <c r="Q89" s="2">
        <f>Q12/'Output-Calculation-sheet'!Q11*'Output-Calculation-sheet'!Q74</f>
        <v>2.746680438576699</v>
      </c>
      <c r="R89" s="2">
        <f>R12/'Output-Calculation-sheet'!R11*'Output-Calculation-sheet'!R74</f>
        <v>7.7175787824090962</v>
      </c>
      <c r="S89" s="2">
        <f>S12/'Output-Calculation-sheet'!S11*'Output-Calculation-sheet'!S74</f>
        <v>0.89852563235940597</v>
      </c>
      <c r="T89" s="2">
        <f>T12/'Output-Calculation-sheet'!T11*'Output-Calculation-sheet'!T74</f>
        <v>2.0154447682142633</v>
      </c>
      <c r="U89" s="2">
        <f>U12/'Output-Calculation-sheet'!U11*'Output-Calculation-sheet'!U74</f>
        <v>4.0896623129103729</v>
      </c>
      <c r="V89" s="2">
        <f>V12/'Output-Calculation-sheet'!V11*'Output-Calculation-sheet'!V74</f>
        <v>0.56312266283381129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1.013020666304421</v>
      </c>
      <c r="AA89" s="2">
        <f t="shared" si="7"/>
        <v>0.18415157908258167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1650.5587359768172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508.0931709469736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349.61754899656506</v>
      </c>
      <c r="N107" s="2">
        <f>N8/'Output-Calculation-sheet'!N7*'Output-Calculation-sheet'!N88</f>
        <v>137.44694058392056</v>
      </c>
      <c r="O107" s="2">
        <f>O8/'Output-Calculation-sheet'!O7*'Output-Calculation-sheet'!O88</f>
        <v>384.78925028222886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38.353772270708696</v>
      </c>
      <c r="Y107" s="2">
        <f>Y8/'Output-Calculation-sheet'!Y7*'Output-Calculation-sheet'!Y88</f>
        <v>0</v>
      </c>
      <c r="AA107" s="2">
        <f t="shared" si="9"/>
        <v>3.0688594190572136</v>
      </c>
    </row>
    <row r="108" spans="1:27" x14ac:dyDescent="0.25">
      <c r="A108" s="2">
        <v>2032</v>
      </c>
      <c r="B108" s="2">
        <f>B9/'Output-Calculation-sheet'!B8*'Output-Calculation-sheet'!B89</f>
        <v>694.23102155906338</v>
      </c>
      <c r="C108" s="2">
        <f>C9/'Output-Calculation-sheet'!C8*'Output-Calculation-sheet'!C89</f>
        <v>2635.9848887095254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710.0081657470306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488.55471568998911</v>
      </c>
      <c r="N108" s="2">
        <f>N9/'Output-Calculation-sheet'!N8*'Output-Calculation-sheet'!N89</f>
        <v>342.97861013803259</v>
      </c>
      <c r="O108" s="2">
        <f>O9/'Output-Calculation-sheet'!O8*'Output-Calculation-sheet'!O89</f>
        <v>512.09863412381128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157.28574362842789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53.59546842295029</v>
      </c>
      <c r="Y108" s="2">
        <f>Y9/'Output-Calculation-sheet'!Y8*'Output-Calculation-sheet'!Y89</f>
        <v>0</v>
      </c>
      <c r="AA108" s="2">
        <f t="shared" si="9"/>
        <v>5.5947372480188298</v>
      </c>
    </row>
    <row r="109" spans="1:27" x14ac:dyDescent="0.25">
      <c r="A109" s="2">
        <v>2033</v>
      </c>
      <c r="B109" s="2">
        <f>B10/'Output-Calculation-sheet'!B9*'Output-Calculation-sheet'!B90</f>
        <v>3180.7266893964993</v>
      </c>
      <c r="C109" s="2">
        <f>C10/'Output-Calculation-sheet'!C9*'Output-Calculation-sheet'!C90</f>
        <v>3019.2930119771845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929.43203233881968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639.53969013117637</v>
      </c>
      <c r="N109" s="2">
        <f>N10/'Output-Calculation-sheet'!N9*'Output-Calculation-sheet'!N90</f>
        <v>502.85103847222734</v>
      </c>
      <c r="O109" s="2">
        <f>O10/'Output-Calculation-sheet'!O9*'Output-Calculation-sheet'!O90</f>
        <v>586.56475387081252</v>
      </c>
      <c r="P109" s="2">
        <f>P10/'Output-Calculation-sheet'!P9*'Output-Calculation-sheet'!P90</f>
        <v>0</v>
      </c>
      <c r="Q109" s="2">
        <f>Q10/'Output-Calculation-sheet'!Q9*'Output-Calculation-sheet'!Q90</f>
        <v>110.14362482022413</v>
      </c>
      <c r="R109" s="2">
        <f>R10/'Output-Calculation-sheet'!R9*'Output-Calculation-sheet'!R90</f>
        <v>0</v>
      </c>
      <c r="S109" s="2">
        <f>S10/'Output-Calculation-sheet'!S9*'Output-Calculation-sheet'!S90</f>
        <v>252.22012770900591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70.15883414253824</v>
      </c>
      <c r="Y109" s="2">
        <f>Y10/'Output-Calculation-sheet'!Y9*'Output-Calculation-sheet'!Y90</f>
        <v>0</v>
      </c>
      <c r="AA109" s="2">
        <f t="shared" si="9"/>
        <v>9.2909298028584875</v>
      </c>
    </row>
    <row r="110" spans="1:27" x14ac:dyDescent="0.25">
      <c r="A110" s="2">
        <v>2034</v>
      </c>
      <c r="B110" s="2">
        <f>B11/'Output-Calculation-sheet'!B10*'Output-Calculation-sheet'!B91</f>
        <v>4813.9371840564745</v>
      </c>
      <c r="C110" s="2">
        <f>C11/'Output-Calculation-sheet'!C10*'Output-Calculation-sheet'!C91</f>
        <v>3300.2753449889547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937.77886993447805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645.2831267072429</v>
      </c>
      <c r="N110" s="2">
        <f>N11/'Output-Calculation-sheet'!N10*'Output-Calculation-sheet'!N91</f>
        <v>581.35794273617068</v>
      </c>
      <c r="O110" s="2">
        <f>O11/'Output-Calculation-sheet'!O10*'Output-Calculation-sheet'!O91</f>
        <v>641.15181526276649</v>
      </c>
      <c r="P110" s="2">
        <f>P11/'Output-Calculation-sheet'!P10*'Output-Calculation-sheet'!P91</f>
        <v>146.47435172099804</v>
      </c>
      <c r="Q110" s="2">
        <f>Q11/'Output-Calculation-sheet'!Q10*'Output-Calculation-sheet'!Q91</f>
        <v>324.13727010307474</v>
      </c>
      <c r="R110" s="2">
        <f>R11/'Output-Calculation-sheet'!R10*'Output-Calculation-sheet'!R91</f>
        <v>0</v>
      </c>
      <c r="S110" s="2">
        <f>S11/'Output-Calculation-sheet'!S10*'Output-Calculation-sheet'!S91</f>
        <v>333.25444224040541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70.788901080316251</v>
      </c>
      <c r="Y110" s="2">
        <f>Y11/'Output-Calculation-sheet'!Y10*'Output-Calculation-sheet'!Y91</f>
        <v>11.385440601305293</v>
      </c>
      <c r="AA110" s="2">
        <f t="shared" si="9"/>
        <v>11.805824689432187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1224.4385189475756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172.66211553711273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446.00348790922692</v>
      </c>
      <c r="Q111" s="2">
        <f>Q12/'Output-Calculation-sheet'!Q11*'Output-Calculation-sheet'!Q92</f>
        <v>422.98878754081164</v>
      </c>
      <c r="R111" s="2">
        <f>R12/'Output-Calculation-sheet'!R11*'Output-Calculation-sheet'!R92</f>
        <v>0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47.668250242213588</v>
      </c>
      <c r="AA111" s="2">
        <f t="shared" si="9"/>
        <v>14.406333768071894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7759246607.6681814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2387360885.7970204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1658227862.0129395</v>
      </c>
      <c r="N118" s="2">
        <f>N8/'Output-Calculation-sheet'!N7*'Output-Calculation-sheet'!N97</f>
        <v>1301236069.3734105</v>
      </c>
      <c r="O118" s="2">
        <f>O8/'Output-Calculation-sheet'!O7*'Output-Calculation-sheet'!O97</f>
        <v>865857435.0971961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178725490.55568331</v>
      </c>
      <c r="Y118" s="2">
        <f>Y8/'Output-Calculation-sheet'!Y7*'Output-Calculation-sheet'!Y97</f>
        <v>0</v>
      </c>
      <c r="AA118" s="2">
        <f t="shared" si="10"/>
        <v>15945.013360312412</v>
      </c>
    </row>
    <row r="119" spans="1:27" x14ac:dyDescent="0.25">
      <c r="A119" s="2">
        <v>2032</v>
      </c>
      <c r="B119" s="2">
        <f>B9/'Output-Calculation-sheet'!B8*'Output-Calculation-sheet'!B98</f>
        <v>5208157187.6852655</v>
      </c>
      <c r="C119" s="2">
        <f>C9/'Output-Calculation-sheet'!C8*'Output-Calculation-sheet'!C98</f>
        <v>4139548529.6313152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2474631373.3386493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1727301965.8975415</v>
      </c>
      <c r="N119" s="2">
        <f>N9/'Output-Calculation-sheet'!N8*'Output-Calculation-sheet'!N98</f>
        <v>1168149511.988826</v>
      </c>
      <c r="O119" s="2">
        <f>O9/'Output-Calculation-sheet'!O8*'Output-Calculation-sheet'!O98</f>
        <v>808791291.0929563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484770390.4371776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184827502.79926953</v>
      </c>
      <c r="Y119" s="2">
        <f>Y9/'Output-Calculation-sheet'!Y8*'Output-Calculation-sheet'!Y98</f>
        <v>0</v>
      </c>
      <c r="AA119" s="2">
        <f t="shared" si="10"/>
        <v>16196.177752871003</v>
      </c>
    </row>
    <row r="120" spans="1:27" x14ac:dyDescent="0.25">
      <c r="A120" s="2">
        <v>2033</v>
      </c>
      <c r="B120" s="2">
        <f>B10/'Output-Calculation-sheet'!B9*'Output-Calculation-sheet'!B99</f>
        <v>4575899164.2011909</v>
      </c>
      <c r="C120" s="2">
        <f>C10/'Output-Calculation-sheet'!C9*'Output-Calculation-sheet'!C99</f>
        <v>3761673248.7183547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1233363549.2411385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872984966.16547406</v>
      </c>
      <c r="N120" s="2">
        <f>N10/'Output-Calculation-sheet'!N9*'Output-Calculation-sheet'!N99</f>
        <v>870273516.90448797</v>
      </c>
      <c r="O120" s="2">
        <f>O10/'Output-Calculation-sheet'!O9*'Output-Calculation-sheet'!O99</f>
        <v>736454596.94807088</v>
      </c>
      <c r="P120" s="2">
        <f>P10/'Output-Calculation-sheet'!P9*'Output-Calculation-sheet'!P99</f>
        <v>0</v>
      </c>
      <c r="Q120" s="2">
        <f>Q10/'Output-Calculation-sheet'!Q9*'Output-Calculation-sheet'!Q99</f>
        <v>5529946.810375277</v>
      </c>
      <c r="R120" s="2">
        <f>R10/'Output-Calculation-sheet'!R9*'Output-Calculation-sheet'!R99</f>
        <v>0</v>
      </c>
      <c r="S120" s="2">
        <f>S10/'Output-Calculation-sheet'!S9*'Output-Calculation-sheet'!S99</f>
        <v>364464869.68209571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87171422.045339808</v>
      </c>
      <c r="Y120" s="2">
        <f>Y10/'Output-Calculation-sheet'!Y9*'Output-Calculation-sheet'!Y99</f>
        <v>0</v>
      </c>
      <c r="AA120" s="2">
        <f t="shared" si="10"/>
        <v>12507.815280716528</v>
      </c>
    </row>
    <row r="121" spans="1:27" x14ac:dyDescent="0.25">
      <c r="A121" s="2">
        <v>2034</v>
      </c>
      <c r="B121" s="2">
        <f>B11/'Output-Calculation-sheet'!B10*'Output-Calculation-sheet'!B100</f>
        <v>3575321566.3761983</v>
      </c>
      <c r="C121" s="2">
        <f>C11/'Output-Calculation-sheet'!C10*'Output-Calculation-sheet'!C100</f>
        <v>433256916.25135064</v>
      </c>
      <c r="D121" s="2">
        <f>D11/'Output-Calculation-sheet'!D10*'Output-Calculation-sheet'!D100</f>
        <v>0</v>
      </c>
      <c r="E121" s="2">
        <f>E11/'Output-Calculation-sheet'!E10*'Output-Calculation-sheet'!E100</f>
        <v>500498172.49541777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1140805965.4508986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415598119.85328996</v>
      </c>
      <c r="M121" s="2">
        <f>M11/'Output-Calculation-sheet'!M10*'Output-Calculation-sheet'!M100</f>
        <v>811907241.78688347</v>
      </c>
      <c r="N121" s="2">
        <f>N11/'Output-Calculation-sheet'!N10*'Output-Calculation-sheet'!N100</f>
        <v>541280416.54520512</v>
      </c>
      <c r="O121" s="2">
        <f>O11/'Output-Calculation-sheet'!O10*'Output-Calculation-sheet'!O100</f>
        <v>84984769.189775303</v>
      </c>
      <c r="P121" s="2">
        <f>P11/'Output-Calculation-sheet'!P10*'Output-Calculation-sheet'!P100</f>
        <v>0</v>
      </c>
      <c r="Q121" s="2">
        <f>Q11/'Output-Calculation-sheet'!Q10*'Output-Calculation-sheet'!Q100</f>
        <v>182495898.11435971</v>
      </c>
      <c r="R121" s="2">
        <f>R11/'Output-Calculation-sheet'!R10*'Output-Calculation-sheet'!R100</f>
        <v>0</v>
      </c>
      <c r="S121" s="2">
        <f>S11/'Output-Calculation-sheet'!S10*'Output-Calculation-sheet'!S100</f>
        <v>202380740.68539315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79775567.394735366</v>
      </c>
      <c r="Y121" s="2">
        <f>Y11/'Output-Calculation-sheet'!Y10*'Output-Calculation-sheet'!Y100</f>
        <v>11580893.129342116</v>
      </c>
      <c r="AA121" s="2">
        <f t="shared" si="10"/>
        <v>7979.8862672728501</v>
      </c>
    </row>
    <row r="122" spans="1:27" x14ac:dyDescent="0.25">
      <c r="A122" s="2">
        <v>2035</v>
      </c>
      <c r="B122" s="2">
        <f>B12/'Output-Calculation-sheet'!B11*'Output-Calculation-sheet'!B101</f>
        <v>739114650.69631982</v>
      </c>
      <c r="C122" s="2">
        <f>C12/'Output-Calculation-sheet'!C11*'Output-Calculation-sheet'!C101</f>
        <v>153388128.7589969</v>
      </c>
      <c r="D122" s="2">
        <f>D12/'Output-Calculation-sheet'!D11*'Output-Calculation-sheet'!D101</f>
        <v>0</v>
      </c>
      <c r="E122" s="2">
        <f>E12/'Output-Calculation-sheet'!E11*'Output-Calculation-sheet'!E101</f>
        <v>1267615790.1960974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265867058.35053229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673933872.41840363</v>
      </c>
      <c r="M122" s="2">
        <f>M12/'Output-Calculation-sheet'!M11*'Output-Calculation-sheet'!M101</f>
        <v>236939919.04685485</v>
      </c>
      <c r="N122" s="2">
        <f>N12/'Output-Calculation-sheet'!N11*'Output-Calculation-sheet'!N101</f>
        <v>197277249.6983428</v>
      </c>
      <c r="O122" s="2">
        <f>O12/'Output-Calculation-sheet'!O11*'Output-Calculation-sheet'!O101</f>
        <v>26210936.694236726</v>
      </c>
      <c r="P122" s="2">
        <f>P12/'Output-Calculation-sheet'!P11*'Output-Calculation-sheet'!P101</f>
        <v>32261334.070238844</v>
      </c>
      <c r="Q122" s="2">
        <f>Q12/'Output-Calculation-sheet'!Q11*'Output-Calculation-sheet'!Q101</f>
        <v>300046592.88399434</v>
      </c>
      <c r="R122" s="2">
        <f>R12/'Output-Calculation-sheet'!R11*'Output-Calculation-sheet'!R101</f>
        <v>0</v>
      </c>
      <c r="S122" s="2">
        <f>S12/'Output-Calculation-sheet'!S11*'Output-Calculation-sheet'!S101</f>
        <v>88579052.906343192</v>
      </c>
      <c r="T122" s="2">
        <f>T12/'Output-Calculation-sheet'!T11*'Output-Calculation-sheet'!T101</f>
        <v>0</v>
      </c>
      <c r="U122" s="2">
        <f>U12/'Output-Calculation-sheet'!U11*'Output-Calculation-sheet'!U101</f>
        <v>37401276.385880224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7756371.1180342976</v>
      </c>
      <c r="Y122" s="2">
        <f>Y12/'Output-Calculation-sheet'!Y11*'Output-Calculation-sheet'!Y101</f>
        <v>38088389.567709617</v>
      </c>
      <c r="AA122" s="2">
        <f t="shared" si="10"/>
        <v>4064.4806227919848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2159290544.0607905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141934.12335964252</v>
      </c>
    </row>
    <row r="130" spans="1:27" x14ac:dyDescent="0.25">
      <c r="A130" s="2">
        <v>2032</v>
      </c>
      <c r="B130" s="2">
        <f>B9/'Output-Calculation-sheet'!B8*'Output-Calculation-sheet'!B107</f>
        <v>47130839158.356407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1712969697.9127915</v>
      </c>
      <c r="O130" s="2">
        <f>O9/'Output-Calculation-sheet'!O8*'Output-Calculation-sheet'!O107</f>
        <v>0</v>
      </c>
      <c r="P130" s="2">
        <f>P9/'Output-Calculation-sheet'!P8*'Output-Calculation-sheet'!P107</f>
        <v>5231950608.2876377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1522860996.5303905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165980.63975314578</v>
      </c>
    </row>
    <row r="131" spans="1:27" x14ac:dyDescent="0.25">
      <c r="A131" s="2">
        <v>2033</v>
      </c>
      <c r="B131" s="2">
        <f>B10/'Output-Calculation-sheet'!B9*'Output-Calculation-sheet'!B108</f>
        <v>34134815284.104408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1250792162.8857908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4852638446.1501656</v>
      </c>
      <c r="R131" s="2">
        <f>R10/'Output-Calculation-sheet'!R9*'Output-Calculation-sheet'!R108</f>
        <v>5445020394.6261168</v>
      </c>
      <c r="S131" s="2">
        <f>S10/'Output-Calculation-sheet'!S9*'Output-Calculation-sheet'!S108</f>
        <v>1213201743.3828373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162919.940852951</v>
      </c>
    </row>
    <row r="132" spans="1:27" x14ac:dyDescent="0.25">
      <c r="A132" s="2">
        <v>2034</v>
      </c>
      <c r="B132" s="2">
        <f>B11/'Output-Calculation-sheet'!B10*'Output-Calculation-sheet'!B109</f>
        <v>21030778665.183449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20252727273.243229</v>
      </c>
      <c r="F132" s="2">
        <f>F11/'Output-Calculation-sheet'!F10*'Output-Calculation-sheet'!F109</f>
        <v>13357476079.298521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8322438617.8513784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6196767509.2537317</v>
      </c>
      <c r="M132" s="2">
        <f>M11/'Output-Calculation-sheet'!M10*'Output-Calculation-sheet'!M109</f>
        <v>0</v>
      </c>
      <c r="N132" s="2">
        <f>N11/'Output-Calculation-sheet'!N10*'Output-Calculation-sheet'!N109</f>
        <v>814730258.43137729</v>
      </c>
      <c r="O132" s="2">
        <f>O11/'Output-Calculation-sheet'!O10*'Output-Calculation-sheet'!O109</f>
        <v>0</v>
      </c>
      <c r="P132" s="2">
        <f>P11/'Output-Calculation-sheet'!P10*'Output-Calculation-sheet'!P109</f>
        <v>4630078987.3367529</v>
      </c>
      <c r="Q132" s="2">
        <f>Q11/'Output-Calculation-sheet'!Q10*'Output-Calculation-sheet'!Q109</f>
        <v>2982334101.8477612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559157674.28170669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582833124.86147392</v>
      </c>
      <c r="AA132" s="2">
        <f t="shared" si="11"/>
        <v>142532.8952242521</v>
      </c>
    </row>
    <row r="133" spans="1:27" x14ac:dyDescent="0.25">
      <c r="A133" s="2">
        <v>2035</v>
      </c>
      <c r="B133" s="2">
        <f>B12/'Output-Calculation-sheet'!B11*'Output-Calculation-sheet'!B110</f>
        <v>247330459.40908289</v>
      </c>
      <c r="C133" s="2">
        <f>C12/'Output-Calculation-sheet'!C11*'Output-Calculation-sheet'!C110</f>
        <v>0</v>
      </c>
      <c r="D133" s="2">
        <f>D12/'Output-Calculation-sheet'!D11*'Output-Calculation-sheet'!D110</f>
        <v>21214027411.760548</v>
      </c>
      <c r="E133" s="2">
        <f>E12/'Output-Calculation-sheet'!E11*'Output-Calculation-sheet'!E110</f>
        <v>9086964628.4163914</v>
      </c>
      <c r="F133" s="2">
        <f>F12/'Output-Calculation-sheet'!F11*'Output-Calculation-sheet'!F110</f>
        <v>11152824087.675316</v>
      </c>
      <c r="G133" s="2">
        <f>G12/'Output-Calculation-sheet'!G11*'Output-Calculation-sheet'!G110</f>
        <v>7731179565.6156607</v>
      </c>
      <c r="H133" s="2">
        <f>H12/'Output-Calculation-sheet'!H11*'Output-Calculation-sheet'!H110</f>
        <v>0</v>
      </c>
      <c r="I133" s="2">
        <f>I12/'Output-Calculation-sheet'!I11*'Output-Calculation-sheet'!I110</f>
        <v>7020615379.3120403</v>
      </c>
      <c r="J133" s="2">
        <f>J12/'Output-Calculation-sheet'!J11*'Output-Calculation-sheet'!J110</f>
        <v>6797557668.2477493</v>
      </c>
      <c r="K133" s="2">
        <f>K12/'Output-Calculation-sheet'!K11*'Output-Calculation-sheet'!K110</f>
        <v>6832087873.2717066</v>
      </c>
      <c r="L133" s="2">
        <f>L12/'Output-Calculation-sheet'!L11*'Output-Calculation-sheet'!L110</f>
        <v>3977070579.1263595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1507575294.1152306</v>
      </c>
      <c r="Q133" s="2">
        <f>Q12/'Output-Calculation-sheet'!Q11*'Output-Calculation-sheet'!Q110</f>
        <v>1268334168.3414893</v>
      </c>
      <c r="R133" s="2">
        <f>R12/'Output-Calculation-sheet'!R11*'Output-Calculation-sheet'!R110</f>
        <v>4459977882.9488764</v>
      </c>
      <c r="S133" s="2">
        <f>S12/'Output-Calculation-sheet'!S11*'Output-Calculation-sheet'!S110</f>
        <v>3000398.7227707054</v>
      </c>
      <c r="T133" s="2">
        <f>T12/'Output-Calculation-sheet'!T11*'Output-Calculation-sheet'!T110</f>
        <v>1663011499.5145161</v>
      </c>
      <c r="U133" s="2">
        <f>U12/'Output-Calculation-sheet'!U11*'Output-Calculation-sheet'!U110</f>
        <v>1347384235.2737644</v>
      </c>
      <c r="V133" s="2">
        <f>V12/'Output-Calculation-sheet'!V11*'Output-Calculation-sheet'!V110</f>
        <v>1120180719.8379674</v>
      </c>
      <c r="W133" s="2">
        <f>W12/'Output-Calculation-sheet'!W11*'Output-Calculation-sheet'!W110</f>
        <v>977123909.31978416</v>
      </c>
      <c r="X133" s="2">
        <f>X12/'Output-Calculation-sheet'!X11*'Output-Calculation-sheet'!X110</f>
        <v>0</v>
      </c>
      <c r="Y133" s="2">
        <f>Y12/'Output-Calculation-sheet'!Y11*'Output-Calculation-sheet'!Y110</f>
        <v>224131835.44051945</v>
      </c>
      <c r="AA133" s="2">
        <f t="shared" si="11"/>
        <v>86630.377596349776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14044471382.294748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4415228036.8950109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3034961835.5244417</v>
      </c>
      <c r="N140" s="2">
        <f>N8/'Output-Calculation-sheet'!N7*'Output-Calculation-sheet'!N115</f>
        <v>1145818387.5644429</v>
      </c>
      <c r="O140" s="2">
        <f>O8/'Output-Calculation-sheet'!O7*'Output-Calculation-sheet'!O115</f>
        <v>3370604747.4597697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329560416.7766704</v>
      </c>
      <c r="Y140" s="2">
        <f>Y8/'Output-Calculation-sheet'!Y7*'Output-Calculation-sheet'!Y115</f>
        <v>0</v>
      </c>
      <c r="AA140" s="2">
        <f t="shared" si="12"/>
        <v>26340.64480651508</v>
      </c>
    </row>
    <row r="141" spans="1:27" x14ac:dyDescent="0.25">
      <c r="A141" s="2">
        <v>2032</v>
      </c>
      <c r="B141" s="2">
        <f>B9/'Output-Calculation-sheet'!B8*'Output-Calculation-sheet'!B116</f>
        <v>5388142440.416193</v>
      </c>
      <c r="C141" s="2">
        <f>C9/'Output-Calculation-sheet'!C8*'Output-Calculation-sheet'!C116</f>
        <v>23064435577.38731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6012798336.3854094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4128280096.3044796</v>
      </c>
      <c r="N141" s="2">
        <f>N9/'Output-Calculation-sheet'!N8*'Output-Calculation-sheet'!N116</f>
        <v>2866108327.8734984</v>
      </c>
      <c r="O141" s="2">
        <f>O9/'Output-Calculation-sheet'!O8*'Output-Calculation-sheet'!O116</f>
        <v>4476942501.2480764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1283758579.4752464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449348782.39829469</v>
      </c>
      <c r="Y141" s="2">
        <f>Y9/'Output-Calculation-sheet'!Y8*'Output-Calculation-sheet'!Y116</f>
        <v>0</v>
      </c>
      <c r="AA141" s="2">
        <f t="shared" si="12"/>
        <v>47669.814641488505</v>
      </c>
    </row>
    <row r="142" spans="1:27" x14ac:dyDescent="0.25">
      <c r="A142" s="2">
        <v>2033</v>
      </c>
      <c r="B142" s="2">
        <f>B10/'Output-Calculation-sheet'!B9*'Output-Calculation-sheet'!B117</f>
        <v>24765881550.139961</v>
      </c>
      <c r="C142" s="2">
        <f>C10/'Output-Calculation-sheet'!C9*'Output-Calculation-sheet'!C117</f>
        <v>26151747584.991592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8099389392.2115622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5565795982.1259155</v>
      </c>
      <c r="N142" s="2">
        <f>N10/'Output-Calculation-sheet'!N9*'Output-Calculation-sheet'!N117</f>
        <v>4198568623.1064172</v>
      </c>
      <c r="O142" s="2">
        <f>O10/'Output-Calculation-sheet'!O9*'Output-Calculation-sheet'!O117</f>
        <v>5075722308.2151175</v>
      </c>
      <c r="P142" s="2">
        <f>P10/'Output-Calculation-sheet'!P9*'Output-Calculation-sheet'!P117</f>
        <v>0</v>
      </c>
      <c r="Q142" s="2">
        <f>Q10/'Output-Calculation-sheet'!Q9*'Output-Calculation-sheet'!Q117</f>
        <v>801882064.82672417</v>
      </c>
      <c r="R142" s="2">
        <f>R10/'Output-Calculation-sheet'!R9*'Output-Calculation-sheet'!R117</f>
        <v>0</v>
      </c>
      <c r="S142" s="2">
        <f>S10/'Output-Calculation-sheet'!S9*'Output-Calculation-sheet'!S117</f>
        <v>2041536161.2799122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610167006.9999423</v>
      </c>
      <c r="Y142" s="2">
        <f>Y10/'Output-Calculation-sheet'!Y9*'Output-Calculation-sheet'!Y117</f>
        <v>0</v>
      </c>
      <c r="AA142" s="2">
        <f t="shared" si="12"/>
        <v>77310.690673897145</v>
      </c>
    </row>
    <row r="143" spans="1:27" x14ac:dyDescent="0.25">
      <c r="A143" s="2">
        <v>2034</v>
      </c>
      <c r="B143" s="2">
        <f>B11/'Output-Calculation-sheet'!B10*'Output-Calculation-sheet'!B118</f>
        <v>37661215846.077705</v>
      </c>
      <c r="C143" s="2">
        <f>C11/'Output-Calculation-sheet'!C10*'Output-Calculation-sheet'!C118</f>
        <v>28910412022.103241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8014110045.2793016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5504179871.0925894</v>
      </c>
      <c r="N143" s="2">
        <f>N11/'Output-Calculation-sheet'!N10*'Output-Calculation-sheet'!N118</f>
        <v>4843236738.3479023</v>
      </c>
      <c r="O143" s="2">
        <f>O11/'Output-Calculation-sheet'!O10*'Output-Calculation-sheet'!O118</f>
        <v>5616489901.7018347</v>
      </c>
      <c r="P143" s="2">
        <f>P11/'Output-Calculation-sheet'!P10*'Output-Calculation-sheet'!P118</f>
        <v>1013033736.8811949</v>
      </c>
      <c r="Q143" s="2">
        <f>Q11/'Output-Calculation-sheet'!Q10*'Output-Calculation-sheet'!Q118</f>
        <v>2387361199.4863539</v>
      </c>
      <c r="R143" s="2">
        <f>R11/'Output-Calculation-sheet'!R10*'Output-Calculation-sheet'!R118</f>
        <v>0</v>
      </c>
      <c r="S143" s="2">
        <f>S11/'Output-Calculation-sheet'!S10*'Output-Calculation-sheet'!S118</f>
        <v>2788730616.7628331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604275204.35826588</v>
      </c>
      <c r="Y143" s="2">
        <f>Y11/'Output-Calculation-sheet'!Y10*'Output-Calculation-sheet'!Y118</f>
        <v>70812132.263267145</v>
      </c>
      <c r="AA143" s="2">
        <f t="shared" si="12"/>
        <v>97413.857314354478</v>
      </c>
    </row>
    <row r="144" spans="1:27" x14ac:dyDescent="0.25">
      <c r="A144" s="2">
        <v>2035</v>
      </c>
      <c r="B144" s="2">
        <f>B12/'Output-Calculation-sheet'!B11*'Output-Calculation-sheet'!B119</f>
        <v>52994353092.648354</v>
      </c>
      <c r="C144" s="2">
        <f>C12/'Output-Calculation-sheet'!C11*'Output-Calculation-sheet'!C119</f>
        <v>25352123717.77623</v>
      </c>
      <c r="D144" s="2">
        <f>D12/'Output-Calculation-sheet'!D11*'Output-Calculation-sheet'!D119</f>
        <v>0</v>
      </c>
      <c r="E144" s="2">
        <f>E12/'Output-Calculation-sheet'!E11*'Output-Calculation-sheet'!E119</f>
        <v>7551640639.448061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7665110442.4621096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973340071.4028728</v>
      </c>
      <c r="M144" s="2">
        <f>M12/'Output-Calculation-sheet'!M11*'Output-Calculation-sheet'!M119</f>
        <v>5231549285.9720259</v>
      </c>
      <c r="N144" s="2">
        <f>N12/'Output-Calculation-sheet'!N11*'Output-Calculation-sheet'!N119</f>
        <v>5168554606.1170301</v>
      </c>
      <c r="O144" s="2">
        <f>O12/'Output-Calculation-sheet'!O11*'Output-Calculation-sheet'!O119</f>
        <v>4927504949.553565</v>
      </c>
      <c r="P144" s="2">
        <f>P12/'Output-Calculation-sheet'!P11*'Output-Calculation-sheet'!P119</f>
        <v>3344654007.0581865</v>
      </c>
      <c r="Q144" s="2">
        <f>Q12/'Output-Calculation-sheet'!Q11*'Output-Calculation-sheet'!Q119</f>
        <v>3167533224.2964444</v>
      </c>
      <c r="R144" s="2">
        <f>R12/'Output-Calculation-sheet'!R11*'Output-Calculation-sheet'!R119</f>
        <v>0</v>
      </c>
      <c r="S144" s="2">
        <f>S12/'Output-Calculation-sheet'!S11*'Output-Calculation-sheet'!S119</f>
        <v>2979932405.4253669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586560581.46983969</v>
      </c>
      <c r="Y144" s="2">
        <f>Y12/'Output-Calculation-sheet'!Y11*'Output-Calculation-sheet'!Y119</f>
        <v>313213158.42622042</v>
      </c>
      <c r="AA144" s="2">
        <f t="shared" si="12"/>
        <v>120256.07018205633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4236462182.5569658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184219.78128142573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3171440142.3919873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137908.00327110913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273779198.72114486</v>
      </c>
      <c r="C155" s="2">
        <f>C12/'Output-Calculation-sheet'!C11*'Output-Calculation-sheet'!C128</f>
        <v>29496495.972628418</v>
      </c>
      <c r="D155" s="2">
        <f>D12/'Output-Calculation-sheet'!D11*'Output-Calculation-sheet'!D128</f>
        <v>1967029224.9240897</v>
      </c>
      <c r="E155" s="2">
        <f>E12/'Output-Calculation-sheet'!E11*'Output-Calculation-sheet'!E128</f>
        <v>319274375.71211249</v>
      </c>
      <c r="F155" s="2">
        <f>F12/'Output-Calculation-sheet'!F11*'Output-Calculation-sheet'!F128</f>
        <v>718518058.21559715</v>
      </c>
      <c r="G155" s="2">
        <f>G12/'Output-Calculation-sheet'!G11*'Output-Calculation-sheet'!G128</f>
        <v>657518971.68458951</v>
      </c>
      <c r="H155" s="2">
        <f>H12/'Output-Calculation-sheet'!H11*'Output-Calculation-sheet'!H128</f>
        <v>50840064.201625466</v>
      </c>
      <c r="I155" s="2">
        <f>I12/'Output-Calculation-sheet'!I11*'Output-Calculation-sheet'!I128</f>
        <v>603334649.7321744</v>
      </c>
      <c r="J155" s="2">
        <f>J12/'Output-Calculation-sheet'!J11*'Output-Calculation-sheet'!J128</f>
        <v>547064821.18425512</v>
      </c>
      <c r="K155" s="2">
        <f>K12/'Output-Calculation-sheet'!K11*'Output-Calculation-sheet'!K128</f>
        <v>473749126.69674242</v>
      </c>
      <c r="L155" s="2">
        <f>L12/'Output-Calculation-sheet'!L11*'Output-Calculation-sheet'!L128</f>
        <v>178466926.16686496</v>
      </c>
      <c r="M155" s="2">
        <f>M12/'Output-Calculation-sheet'!M11*'Output-Calculation-sheet'!M128</f>
        <v>41933030.303973772</v>
      </c>
      <c r="N155" s="2">
        <f>N12/'Output-Calculation-sheet'!N11*'Output-Calculation-sheet'!N128</f>
        <v>37057958.418267719</v>
      </c>
      <c r="O155" s="2">
        <f>O12/'Output-Calculation-sheet'!O11*'Output-Calculation-sheet'!O128</f>
        <v>7631608.6542689418</v>
      </c>
      <c r="P155" s="2">
        <f>P12/'Output-Calculation-sheet'!P11*'Output-Calculation-sheet'!P128</f>
        <v>48617952.071511067</v>
      </c>
      <c r="Q155" s="2">
        <f>Q12/'Output-Calculation-sheet'!Q11*'Output-Calculation-sheet'!Q128</f>
        <v>123245382.39922887</v>
      </c>
      <c r="R155" s="2">
        <f>R12/'Output-Calculation-sheet'!R11*'Output-Calculation-sheet'!R128</f>
        <v>273895055.08680886</v>
      </c>
      <c r="S155" s="2">
        <f>S12/'Output-Calculation-sheet'!S11*'Output-Calculation-sheet'!S128</f>
        <v>23656661.39170447</v>
      </c>
      <c r="T155" s="2">
        <f>T12/'Output-Calculation-sheet'!T11*'Output-Calculation-sheet'!T128</f>
        <v>70135630.442818835</v>
      </c>
      <c r="U155" s="2">
        <f>U12/'Output-Calculation-sheet'!U11*'Output-Calculation-sheet'!U128</f>
        <v>143757925.45757413</v>
      </c>
      <c r="V155" s="2">
        <f>V12/'Output-Calculation-sheet'!V11*'Output-Calculation-sheet'!V128</f>
        <v>31575008.502100222</v>
      </c>
      <c r="W155" s="2">
        <f>W12/'Output-Calculation-sheet'!W11*'Output-Calculation-sheet'!W128</f>
        <v>38422175.503287092</v>
      </c>
      <c r="X155" s="2">
        <f>X12/'Output-Calculation-sheet'!X11*'Output-Calculation-sheet'!X128</f>
        <v>1312595.6559134549</v>
      </c>
      <c r="Y155" s="2">
        <f>Y12/'Output-Calculation-sheet'!Y11*'Output-Calculation-sheet'!Y128</f>
        <v>7733028.325656971</v>
      </c>
      <c r="AA155" s="2">
        <f t="shared" si="13"/>
        <v>6668.045925424939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4926.7153346950017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1492.3613172169728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1036.653421947849</v>
      </c>
      <c r="N19" s="2">
        <f>N8/'Output-Calculation-sheet'!N7*'Output-Calculation-sheet'!N25</f>
        <v>862.37314486957757</v>
      </c>
      <c r="O19" s="2">
        <f>O8/'Output-Calculation-sheet'!O7*'Output-Calculation-sheet'!O25</f>
        <v>541.23236333081888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112.19473707112374</v>
      </c>
      <c r="Y19" s="2">
        <f>Y8/'Output-Calculation-sheet'!Y7*'Output-Calculation-sheet'!Y25</f>
        <v>0</v>
      </c>
      <c r="AA19" s="2">
        <f t="shared" si="0"/>
        <v>10.417483997550958</v>
      </c>
    </row>
    <row r="20" spans="1:27" x14ac:dyDescent="0.25">
      <c r="A20" s="2">
        <v>2032</v>
      </c>
      <c r="B20" s="2">
        <f>B9/'Output-Calculation-sheet'!B8*'Output-Calculation-sheet'!B26</f>
        <v>4915.974563220635</v>
      </c>
      <c r="C20" s="2">
        <f>C9/'Output-Calculation-sheet'!C8*'Output-Calculation-sheet'!C26</f>
        <v>2695.8004336336899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1618.3023112954061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1130.8808237338246</v>
      </c>
      <c r="N20" s="2">
        <f>N9/'Output-Calculation-sheet'!N8*'Output-Calculation-sheet'!N26</f>
        <v>783.73122718057266</v>
      </c>
      <c r="O20" s="2">
        <f>O9/'Output-Calculation-sheet'!O8*'Output-Calculation-sheet'!O26</f>
        <v>526.70944587096324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371.76542434297306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123.0563500580601</v>
      </c>
      <c r="Y20" s="2">
        <f>Y9/'Output-Calculation-sheet'!Y8*'Output-Calculation-sheet'!Y26</f>
        <v>0</v>
      </c>
      <c r="AA20" s="2">
        <f t="shared" si="0"/>
        <v>12.166220579336127</v>
      </c>
    </row>
    <row r="21" spans="1:27" x14ac:dyDescent="0.25">
      <c r="A21" s="2">
        <v>2033</v>
      </c>
      <c r="B21" s="2">
        <f>B10/'Output-Calculation-sheet'!B9*'Output-Calculation-sheet'!B27</f>
        <v>4232.1959676654797</v>
      </c>
      <c r="C21" s="2">
        <f>C10/'Output-Calculation-sheet'!C9*'Output-Calculation-sheet'!C27</f>
        <v>2601.2867491415304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852.90155567467173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603.69075696930315</v>
      </c>
      <c r="N21" s="2">
        <f>N10/'Output-Calculation-sheet'!N9*'Output-Calculation-sheet'!N27</f>
        <v>611.35599470129307</v>
      </c>
      <c r="O21" s="2">
        <f>O10/'Output-Calculation-sheet'!O9*'Output-Calculation-sheet'!O27</f>
        <v>509.27617577722555</v>
      </c>
      <c r="P21" s="2">
        <f>P10/'Output-Calculation-sheet'!P9*'Output-Calculation-sheet'!P27</f>
        <v>0</v>
      </c>
      <c r="Q21" s="2">
        <f>Q10/'Output-Calculation-sheet'!Q9*'Output-Calculation-sheet'!Q27</f>
        <v>7.4046320986418701</v>
      </c>
      <c r="R21" s="2">
        <f>R10/'Output-Calculation-sheet'!R9*'Output-Calculation-sheet'!R27</f>
        <v>0</v>
      </c>
      <c r="S21" s="2">
        <f>S10/'Output-Calculation-sheet'!S9*'Output-Calculation-sheet'!S27</f>
        <v>291.10508960292339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60.281116580707739</v>
      </c>
      <c r="Y21" s="2">
        <f>Y10/'Output-Calculation-sheet'!Y9*'Output-Calculation-sheet'!Y27</f>
        <v>0</v>
      </c>
      <c r="AA21" s="2">
        <f t="shared" si="0"/>
        <v>9.7694980382117755</v>
      </c>
    </row>
    <row r="22" spans="1:27" x14ac:dyDescent="0.25">
      <c r="A22" s="2">
        <v>2034</v>
      </c>
      <c r="B22" s="2">
        <f>B11/'Output-Calculation-sheet'!B10*'Output-Calculation-sheet'!B28</f>
        <v>3201.6812171341362</v>
      </c>
      <c r="C22" s="2">
        <f>C11/'Output-Calculation-sheet'!C10*'Output-Calculation-sheet'!C28</f>
        <v>325.41659976228243</v>
      </c>
      <c r="D22" s="2">
        <f>D11/'Output-Calculation-sheet'!D10*'Output-Calculation-sheet'!D28</f>
        <v>0</v>
      </c>
      <c r="E22" s="2">
        <f>E11/'Output-Calculation-sheet'!E10*'Output-Calculation-sheet'!E28</f>
        <v>1080.5589510717548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856.84740248164633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655.3243380608809</v>
      </c>
      <c r="M22" s="2">
        <f>M11/'Output-Calculation-sheet'!M10*'Output-Calculation-sheet'!M28</f>
        <v>609.81503031592024</v>
      </c>
      <c r="N22" s="2">
        <f>N11/'Output-Calculation-sheet'!N10*'Output-Calculation-sheet'!N28</f>
        <v>407.66482687176995</v>
      </c>
      <c r="O22" s="2">
        <f>O11/'Output-Calculation-sheet'!O10*'Output-Calculation-sheet'!O28</f>
        <v>63.831223385136354</v>
      </c>
      <c r="P22" s="2">
        <f>P11/'Output-Calculation-sheet'!P10*'Output-Calculation-sheet'!P28</f>
        <v>0</v>
      </c>
      <c r="Q22" s="2">
        <f>Q11/'Output-Calculation-sheet'!Q10*'Output-Calculation-sheet'!Q28</f>
        <v>208.21302239151188</v>
      </c>
      <c r="R22" s="2">
        <f>R11/'Output-Calculation-sheet'!R10*'Output-Calculation-sheet'!R28</f>
        <v>0</v>
      </c>
      <c r="S22" s="2">
        <f>S11/'Output-Calculation-sheet'!S10*'Output-Calculation-sheet'!S28</f>
        <v>152.64264440041566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59.918572600005398</v>
      </c>
      <c r="Y22" s="2">
        <f>Y11/'Output-Calculation-sheet'!Y10*'Output-Calculation-sheet'!Y28</f>
        <v>24.424502581042024</v>
      </c>
      <c r="AA22" s="2">
        <f t="shared" si="0"/>
        <v>7.6463383310565014</v>
      </c>
    </row>
    <row r="23" spans="1:27" x14ac:dyDescent="0.25">
      <c r="A23" s="2">
        <v>2035</v>
      </c>
      <c r="B23" s="2">
        <f>B12/'Output-Calculation-sheet'!B11*'Output-Calculation-sheet'!B29</f>
        <v>624.11516910889247</v>
      </c>
      <c r="C23" s="2">
        <f>C12/'Output-Calculation-sheet'!C11*'Output-Calculation-sheet'!C29</f>
        <v>129.52119073075374</v>
      </c>
      <c r="D23" s="2">
        <f>D12/'Output-Calculation-sheet'!D11*'Output-Calculation-sheet'!D29</f>
        <v>0</v>
      </c>
      <c r="E23" s="2">
        <f>E12/'Output-Calculation-sheet'!E11*'Output-Calculation-sheet'!E29</f>
        <v>1596.3241017603791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224.50127568210863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920.3862166572668</v>
      </c>
      <c r="M23" s="2">
        <f>M12/'Output-Calculation-sheet'!M11*'Output-Calculation-sheet'!M29</f>
        <v>200.07463150891923</v>
      </c>
      <c r="N23" s="2">
        <f>N12/'Output-Calculation-sheet'!N11*'Output-Calculation-sheet'!N29</f>
        <v>166.58260845508011</v>
      </c>
      <c r="O23" s="2">
        <f>O12/'Output-Calculation-sheet'!O11*'Output-Calculation-sheet'!O29</f>
        <v>22.132721224465726</v>
      </c>
      <c r="P23" s="2">
        <f>P12/'Output-Calculation-sheet'!P11*'Output-Calculation-sheet'!P29</f>
        <v>34.667106776250527</v>
      </c>
      <c r="Q23" s="2">
        <f>Q12/'Output-Calculation-sheet'!Q11*'Output-Calculation-sheet'!Q29</f>
        <v>283.96570932330775</v>
      </c>
      <c r="R23" s="2">
        <f>R12/'Output-Calculation-sheet'!R11*'Output-Calculation-sheet'!R29</f>
        <v>0</v>
      </c>
      <c r="S23" s="2">
        <f>S12/'Output-Calculation-sheet'!S11*'Output-Calculation-sheet'!S29</f>
        <v>74.796971512000468</v>
      </c>
      <c r="T23" s="2">
        <f>T12/'Output-Calculation-sheet'!T11*'Output-Calculation-sheet'!T29</f>
        <v>0</v>
      </c>
      <c r="U23" s="2">
        <f>U12/'Output-Calculation-sheet'!U11*'Output-Calculation-sheet'!U29</f>
        <v>100.704452848733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6.5495382514813425</v>
      </c>
      <c r="Y23" s="2">
        <f>Y12/'Output-Calculation-sheet'!Y11*'Output-Calculation-sheet'!Y29</f>
        <v>41.661936157636482</v>
      </c>
      <c r="AA23" s="2">
        <f t="shared" si="0"/>
        <v>4.4259836299972752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983.08714332732188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38.544343903116648</v>
      </c>
    </row>
    <row r="31" spans="1:27" x14ac:dyDescent="0.25">
      <c r="A31" s="2">
        <v>2032</v>
      </c>
      <c r="B31" s="2">
        <f>B9/'Output-Calculation-sheet'!B8*'Output-Calculation-sheet'!B17</f>
        <v>20668.792705502947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808.17157801902727</v>
      </c>
      <c r="O31" s="2">
        <f>O9/'Output-Calculation-sheet'!O8*'Output-Calculation-sheet'!O17</f>
        <v>0</v>
      </c>
      <c r="P31" s="2">
        <f>P9/'Output-Calculation-sheet'!P8*'Output-Calculation-sheet'!P17</f>
        <v>2020.045140339334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668.89757359159137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47.354808193457593</v>
      </c>
    </row>
    <row r="32" spans="1:27" x14ac:dyDescent="0.25">
      <c r="A32" s="2">
        <v>2033</v>
      </c>
      <c r="B32" s="2">
        <f>B10/'Output-Calculation-sheet'!B9*'Output-Calculation-sheet'!B18</f>
        <v>15308.971740956929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2396.5009421190462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619.63356157618239</v>
      </c>
      <c r="O32" s="2">
        <f>O10/'Output-Calculation-sheet'!O9*'Output-Calculation-sheet'!O18</f>
        <v>0</v>
      </c>
      <c r="P32" s="2">
        <f>P10/'Output-Calculation-sheet'!P9*'Output-Calculation-sheet'!P18</f>
        <v>2466.7300888919426</v>
      </c>
      <c r="Q32" s="2">
        <f>Q10/'Output-Calculation-sheet'!Q9*'Output-Calculation-sheet'!Q18</f>
        <v>2283.8103399259562</v>
      </c>
      <c r="R32" s="2">
        <f>R10/'Output-Calculation-sheet'!R9*'Output-Calculation-sheet'!R18</f>
        <v>1771.7313069652805</v>
      </c>
      <c r="S32" s="2">
        <f>S10/'Output-Calculation-sheet'!S9*'Output-Calculation-sheet'!S18</f>
        <v>563.6833889752246</v>
      </c>
      <c r="T32" s="2">
        <f>T10/'Output-Calculation-sheet'!T9*'Output-Calculation-sheet'!T18</f>
        <v>517.17621416619806</v>
      </c>
      <c r="U32" s="2">
        <f>U10/'Output-Calculation-sheet'!U9*'Output-Calculation-sheet'!U18</f>
        <v>571.73130270110323</v>
      </c>
      <c r="V32" s="2">
        <f>V10/'Output-Calculation-sheet'!V9*'Output-Calculation-sheet'!V18</f>
        <v>422.00995333824613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244.3465059022341</v>
      </c>
      <c r="AA32" s="2">
        <f t="shared" si="1"/>
        <v>48.66846863942633</v>
      </c>
    </row>
    <row r="33" spans="1:27" x14ac:dyDescent="0.25">
      <c r="A33" s="2">
        <v>2034</v>
      </c>
      <c r="B33" s="2">
        <f>B11/'Output-Calculation-sheet'!B10*'Output-Calculation-sheet'!B19</f>
        <v>9784.4101170759295</v>
      </c>
      <c r="C33" s="2">
        <f>C11/'Output-Calculation-sheet'!C10*'Output-Calculation-sheet'!C19</f>
        <v>0</v>
      </c>
      <c r="D33" s="2">
        <f>D11/'Output-Calculation-sheet'!D10*'Output-Calculation-sheet'!D19</f>
        <v>6485.29584110221</v>
      </c>
      <c r="E33" s="2">
        <f>E11/'Output-Calculation-sheet'!E10*'Output-Calculation-sheet'!E19</f>
        <v>8040.1293815581985</v>
      </c>
      <c r="F33" s="2">
        <f>F11/'Output-Calculation-sheet'!F10*'Output-Calculation-sheet'!F19</f>
        <v>3681.4466089637253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2409.0479234987106</v>
      </c>
      <c r="J33" s="2">
        <f>J11/'Output-Calculation-sheet'!J10*'Output-Calculation-sheet'!J19</f>
        <v>2036.9374236846329</v>
      </c>
      <c r="K33" s="2">
        <f>K11/'Output-Calculation-sheet'!K10*'Output-Calculation-sheet'!K19</f>
        <v>2825.1635973367693</v>
      </c>
      <c r="L33" s="2">
        <f>L11/'Output-Calculation-sheet'!L10*'Output-Calculation-sheet'!L19</f>
        <v>2298.0683692896155</v>
      </c>
      <c r="M33" s="2">
        <f>M11/'Output-Calculation-sheet'!M10*'Output-Calculation-sheet'!M19</f>
        <v>0</v>
      </c>
      <c r="N33" s="2">
        <f>N11/'Output-Calculation-sheet'!N10*'Output-Calculation-sheet'!N19</f>
        <v>436.21098507254032</v>
      </c>
      <c r="O33" s="2">
        <f>O11/'Output-Calculation-sheet'!O10*'Output-Calculation-sheet'!O19</f>
        <v>0</v>
      </c>
      <c r="P33" s="2">
        <f>P11/'Output-Calculation-sheet'!P10*'Output-Calculation-sheet'!P19</f>
        <v>2166.4037248302279</v>
      </c>
      <c r="Q33" s="2">
        <f>Q11/'Output-Calculation-sheet'!Q10*'Output-Calculation-sheet'!Q19</f>
        <v>1376.9652636698092</v>
      </c>
      <c r="R33" s="2">
        <f>R11/'Output-Calculation-sheet'!R10*'Output-Calculation-sheet'!R19</f>
        <v>2040.9661797281963</v>
      </c>
      <c r="S33" s="2">
        <f>S11/'Output-Calculation-sheet'!S10*'Output-Calculation-sheet'!S19</f>
        <v>277.29891122350131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688.76490224659165</v>
      </c>
      <c r="V33" s="2">
        <f>V11/'Output-Calculation-sheet'!V10*'Output-Calculation-sheet'!V19</f>
        <v>469.69725081167434</v>
      </c>
      <c r="W33" s="2">
        <f>W11/'Output-Calculation-sheet'!W10*'Output-Calculation-sheet'!W19</f>
        <v>292.45597524837848</v>
      </c>
      <c r="X33" s="2">
        <f>X11/'Output-Calculation-sheet'!X10*'Output-Calculation-sheet'!X19</f>
        <v>0</v>
      </c>
      <c r="Y33" s="2">
        <f>Y11/'Output-Calculation-sheet'!Y10*'Output-Calculation-sheet'!Y19</f>
        <v>239.4439825993561</v>
      </c>
      <c r="AA33" s="2">
        <f t="shared" si="1"/>
        <v>48.355227538077983</v>
      </c>
    </row>
    <row r="34" spans="1:27" x14ac:dyDescent="0.25">
      <c r="A34" s="2">
        <v>2035</v>
      </c>
      <c r="B34" s="2">
        <f>B12/'Output-Calculation-sheet'!B11*'Output-Calculation-sheet'!B20</f>
        <v>124.24572165537886</v>
      </c>
      <c r="C34" s="2">
        <f>C12/'Output-Calculation-sheet'!C11*'Output-Calculation-sheet'!C20</f>
        <v>0</v>
      </c>
      <c r="D34" s="2">
        <f>D12/'Output-Calculation-sheet'!D11*'Output-Calculation-sheet'!D20</f>
        <v>6128.2106085524956</v>
      </c>
      <c r="E34" s="2">
        <f>E12/'Output-Calculation-sheet'!E11*'Output-Calculation-sheet'!E20</f>
        <v>2863.0892672022028</v>
      </c>
      <c r="F34" s="2">
        <f>F12/'Output-Calculation-sheet'!F11*'Output-Calculation-sheet'!F20</f>
        <v>3889.7466012654204</v>
      </c>
      <c r="G34" s="2">
        <f>G12/'Output-Calculation-sheet'!G11*'Output-Calculation-sheet'!G20</f>
        <v>2088.9586130849616</v>
      </c>
      <c r="H34" s="2">
        <f>H12/'Output-Calculation-sheet'!H11*'Output-Calculation-sheet'!H20</f>
        <v>0</v>
      </c>
      <c r="I34" s="2">
        <f>I12/'Output-Calculation-sheet'!I11*'Output-Calculation-sheet'!I20</f>
        <v>2320.8773690679941</v>
      </c>
      <c r="J34" s="2">
        <f>J12/'Output-Calculation-sheet'!J11*'Output-Calculation-sheet'!J20</f>
        <v>2009.7532790703472</v>
      </c>
      <c r="K34" s="2">
        <f>K12/'Output-Calculation-sheet'!K11*'Output-Calculation-sheet'!K20</f>
        <v>2831.6033589733925</v>
      </c>
      <c r="L34" s="2">
        <f>L12/'Output-Calculation-sheet'!L11*'Output-Calculation-sheet'!L20</f>
        <v>1568.0719152991571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623.47961578688171</v>
      </c>
      <c r="Q34" s="2">
        <f>Q12/'Output-Calculation-sheet'!Q11*'Output-Calculation-sheet'!Q20</f>
        <v>589.87666401846502</v>
      </c>
      <c r="R34" s="2">
        <f>R12/'Output-Calculation-sheet'!R11*'Output-Calculation-sheet'!R20</f>
        <v>2090.4686372980545</v>
      </c>
      <c r="S34" s="2">
        <f>S12/'Output-Calculation-sheet'!S11*'Output-Calculation-sheet'!S20</f>
        <v>1.6728441393759892</v>
      </c>
      <c r="T34" s="2">
        <f>T12/'Output-Calculation-sheet'!T11*'Output-Calculation-sheet'!T20</f>
        <v>623.49096700615814</v>
      </c>
      <c r="U34" s="2">
        <f>U12/'Output-Calculation-sheet'!U11*'Output-Calculation-sheet'!U20</f>
        <v>567.46739167361818</v>
      </c>
      <c r="V34" s="2">
        <f>V12/'Output-Calculation-sheet'!V11*'Output-Calculation-sheet'!V20</f>
        <v>547.68774645366352</v>
      </c>
      <c r="W34" s="2">
        <f>W12/'Output-Calculation-sheet'!W11*'Output-Calculation-sheet'!W20</f>
        <v>333.12808170487477</v>
      </c>
      <c r="X34" s="2">
        <f>X12/'Output-Calculation-sheet'!X11*'Output-Calculation-sheet'!X20</f>
        <v>0</v>
      </c>
      <c r="Y34" s="2">
        <f>Y12/'Output-Calculation-sheet'!Y11*'Output-Calculation-sheet'!Y20</f>
        <v>71.657434431248575</v>
      </c>
      <c r="AA34" s="2">
        <f t="shared" si="1"/>
        <v>29.273486116683692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0.10454765534508483</v>
      </c>
      <c r="E45" s="2">
        <f>E12/'Output-Calculation-sheet'!E11*'Output-Calculation-sheet'!E38*0.0114</f>
        <v>5.5391731340447725E-2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9.1579992738854941E-3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0.59254326802465063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0.13178335864701038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157.04842932729656</v>
      </c>
      <c r="R54" s="2">
        <f>R10/'Output-Calculation-sheet'!R9*'Output-Calculation-sheet'!R45</f>
        <v>1174.8621827024397</v>
      </c>
      <c r="S54" s="2">
        <f>S10/'Output-Calculation-sheet'!S9*'Output-Calculation-sheet'!S45</f>
        <v>0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14.653778323182371</v>
      </c>
      <c r="AA54" s="2">
        <f t="shared" si="3"/>
        <v>3.8677409549711315</v>
      </c>
    </row>
    <row r="55" spans="1:27" x14ac:dyDescent="0.25">
      <c r="A55" s="2">
        <v>2034</v>
      </c>
      <c r="B55" s="2">
        <f>B11/'Output-Calculation-sheet'!B10*'Output-Calculation-sheet'!B46</f>
        <v>1197.9287447881193</v>
      </c>
      <c r="C55" s="2">
        <f>C11/'Output-Calculation-sheet'!C10*'Output-Calculation-sheet'!C46</f>
        <v>0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434.45140415098655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322.00630625873919</v>
      </c>
      <c r="N55" s="2">
        <f>N11/'Output-Calculation-sheet'!N10*'Output-Calculation-sheet'!N46</f>
        <v>109.97049622999342</v>
      </c>
      <c r="O55" s="2">
        <f>O11/'Output-Calculation-sheet'!O10*'Output-Calculation-sheet'!O46</f>
        <v>0</v>
      </c>
      <c r="P55" s="2">
        <f>P11/'Output-Calculation-sheet'!P10*'Output-Calculation-sheet'!P46</f>
        <v>2345.1794533789284</v>
      </c>
      <c r="Q55" s="2">
        <f>Q11/'Output-Calculation-sheet'!Q10*'Output-Calculation-sheet'!Q46</f>
        <v>512.64611696987095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0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60.482802867196995</v>
      </c>
      <c r="X55" s="2">
        <f>X11/'Output-Calculation-sheet'!X10*'Output-Calculation-sheet'!X46</f>
        <v>30.733479514917345</v>
      </c>
      <c r="Y55" s="2">
        <f>Y11/'Output-Calculation-sheet'!Y10*'Output-Calculation-sheet'!Y46</f>
        <v>213.75746103200962</v>
      </c>
      <c r="AA55" s="2">
        <f t="shared" si="3"/>
        <v>31.875096860768672</v>
      </c>
    </row>
    <row r="56" spans="1:27" x14ac:dyDescent="0.25">
      <c r="A56" s="2">
        <v>2035</v>
      </c>
      <c r="B56" s="2">
        <f>B12/'Output-Calculation-sheet'!B11*'Output-Calculation-sheet'!B47</f>
        <v>305.37923159678792</v>
      </c>
      <c r="C56" s="2">
        <f>C12/'Output-Calculation-sheet'!C11*'Output-Calculation-sheet'!C47</f>
        <v>248.46865961351034</v>
      </c>
      <c r="D56" s="2">
        <f>D12/'Output-Calculation-sheet'!D11*'Output-Calculation-sheet'!D47</f>
        <v>10100.15945205147</v>
      </c>
      <c r="E56" s="2">
        <f>E12/'Output-Calculation-sheet'!E11*'Output-Calculation-sheet'!E47</f>
        <v>7021.1448935918388</v>
      </c>
      <c r="F56" s="2">
        <f>F12/'Output-Calculation-sheet'!F11*'Output-Calculation-sheet'!F47</f>
        <v>2096.3671505285006</v>
      </c>
      <c r="G56" s="2">
        <f>G12/'Output-Calculation-sheet'!G11*'Output-Calculation-sheet'!G47</f>
        <v>4687.9509356103927</v>
      </c>
      <c r="H56" s="2">
        <f>H12/'Output-Calculation-sheet'!H11*'Output-Calculation-sheet'!H47</f>
        <v>93.483328491175342</v>
      </c>
      <c r="I56" s="2">
        <f>I12/'Output-Calculation-sheet'!I11*'Output-Calculation-sheet'!I47</f>
        <v>2754.7944879580068</v>
      </c>
      <c r="J56" s="2">
        <f>J12/'Output-Calculation-sheet'!J11*'Output-Calculation-sheet'!J47</f>
        <v>2918.6318229713961</v>
      </c>
      <c r="K56" s="2">
        <f>K12/'Output-Calculation-sheet'!K11*'Output-Calculation-sheet'!K47</f>
        <v>4033.6589220554515</v>
      </c>
      <c r="L56" s="2">
        <f>L12/'Output-Calculation-sheet'!L11*'Output-Calculation-sheet'!L47</f>
        <v>2700.1806620155553</v>
      </c>
      <c r="M56" s="2">
        <f>M12/'Output-Calculation-sheet'!M11*'Output-Calculation-sheet'!M47</f>
        <v>62.132708626861046</v>
      </c>
      <c r="N56" s="2">
        <f>N12/'Output-Calculation-sheet'!N11*'Output-Calculation-sheet'!N47</f>
        <v>68.25065576649348</v>
      </c>
      <c r="O56" s="2">
        <f>O12/'Output-Calculation-sheet'!O11*'Output-Calculation-sheet'!O47</f>
        <v>45.58886024486322</v>
      </c>
      <c r="P56" s="2">
        <f>P12/'Output-Calculation-sheet'!P11*'Output-Calculation-sheet'!P47</f>
        <v>879.4041406492438</v>
      </c>
      <c r="Q56" s="2">
        <f>Q12/'Output-Calculation-sheet'!Q11*'Output-Calculation-sheet'!Q47</f>
        <v>649.59537700059104</v>
      </c>
      <c r="R56" s="2">
        <f>R12/'Output-Calculation-sheet'!R11*'Output-Calculation-sheet'!R47</f>
        <v>3668.5478231063139</v>
      </c>
      <c r="S56" s="2">
        <f>S12/'Output-Calculation-sheet'!S11*'Output-Calculation-sheet'!S47</f>
        <v>30.475250200350366</v>
      </c>
      <c r="T56" s="2">
        <f>T12/'Output-Calculation-sheet'!T11*'Output-Calculation-sheet'!T47</f>
        <v>1332.0522204815143</v>
      </c>
      <c r="U56" s="2">
        <f>U12/'Output-Calculation-sheet'!U11*'Output-Calculation-sheet'!U47</f>
        <v>1241.3507349097858</v>
      </c>
      <c r="V56" s="2">
        <f>V12/'Output-Calculation-sheet'!V11*'Output-Calculation-sheet'!V47</f>
        <v>764.0793994232348</v>
      </c>
      <c r="W56" s="2">
        <f>W12/'Output-Calculation-sheet'!W11*'Output-Calculation-sheet'!W47</f>
        <v>451.91092353119421</v>
      </c>
      <c r="X56" s="2">
        <f>X12/'Output-Calculation-sheet'!X11*'Output-Calculation-sheet'!X47</f>
        <v>6.9764658881296437</v>
      </c>
      <c r="Y56" s="2">
        <f>Y12/'Output-Calculation-sheet'!Y11*'Output-Calculation-sheet'!Y47</f>
        <v>149.58360592875508</v>
      </c>
      <c r="AA56" s="2">
        <f t="shared" si="3"/>
        <v>46.310167712241423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7.1085190701385388</v>
      </c>
      <c r="C63" s="2">
        <f>C8*'Output-Calculation-sheet'!C52/10^9</f>
        <v>3.7977364817234034</v>
      </c>
      <c r="D63" s="2">
        <f>D8*'Output-Calculation-sheet'!D52/10^9</f>
        <v>2.4376635262692163</v>
      </c>
      <c r="E63" s="2">
        <f>E8*'Output-Calculation-sheet'!E52/10^9</f>
        <v>2.4236914197632466</v>
      </c>
      <c r="F63" s="2">
        <f>F8*'Output-Calculation-sheet'!F52/10^9</f>
        <v>1.0264331159041926</v>
      </c>
      <c r="G63" s="2">
        <f>G8*'Output-Calculation-sheet'!G52/10^9</f>
        <v>0.73795904004663371</v>
      </c>
      <c r="H63" s="2">
        <f>H8*'Output-Calculation-sheet'!H52/10^9</f>
        <v>1.2002194847785248</v>
      </c>
      <c r="I63" s="2">
        <f>I8*'Output-Calculation-sheet'!I52/10^9</f>
        <v>0.68647323363808599</v>
      </c>
      <c r="J63" s="2">
        <f>J8*'Output-Calculation-sheet'!J52/10^9</f>
        <v>0.94463369996777857</v>
      </c>
      <c r="K63" s="2">
        <f>K8*'Output-Calculation-sheet'!K52/10^9</f>
        <v>0.82994472308314504</v>
      </c>
      <c r="L63" s="2">
        <f>L8*'Output-Calculation-sheet'!L52/10^9</f>
        <v>1.1163155846723489</v>
      </c>
      <c r="M63" s="2">
        <f>M8*'Output-Calculation-sheet'!M52/10^9</f>
        <v>0.98325936517927315</v>
      </c>
      <c r="N63" s="2">
        <f>N8*'Output-Calculation-sheet'!N52/10^9</f>
        <v>0.86758385664285498</v>
      </c>
      <c r="O63" s="2">
        <f>O8*'Output-Calculation-sheet'!O52/10^9</f>
        <v>0.7769840996414008</v>
      </c>
      <c r="P63" s="2">
        <f>P8*'Output-Calculation-sheet'!P52/10^9</f>
        <v>0.57346941589597922</v>
      </c>
      <c r="Q63" s="2">
        <f>Q8*'Output-Calculation-sheet'!Q52/10^9</f>
        <v>0.64899932592991383</v>
      </c>
      <c r="R63" s="2">
        <f>R8*'Output-Calculation-sheet'!R52/10^9</f>
        <v>0.58267256815171209</v>
      </c>
      <c r="S63" s="2">
        <f>S8*'Output-Calculation-sheet'!S52/10^9</f>
        <v>0.43178101811468617</v>
      </c>
      <c r="T63" s="2">
        <f>T8*'Output-Calculation-sheet'!T52/10^9</f>
        <v>0.22152378695761485</v>
      </c>
      <c r="U63" s="2">
        <f>U8*'Output-Calculation-sheet'!U52/10^9</f>
        <v>0.15214016310826037</v>
      </c>
      <c r="V63" s="2">
        <f>V8*'Output-Calculation-sheet'!V52/10^9</f>
        <v>0.27001283597763898</v>
      </c>
      <c r="W63" s="2">
        <f>W8*'Output-Calculation-sheet'!W52/10^9</f>
        <v>9.7731996394619297E-2</v>
      </c>
      <c r="X63" s="2">
        <f>X8*'Output-Calculation-sheet'!X52/10^9</f>
        <v>0.10070123755176502</v>
      </c>
      <c r="Y63" s="2">
        <f>Y8*'Output-Calculation-sheet'!Y52/10^9</f>
        <v>6.3767408981955501E-2</v>
      </c>
      <c r="AA63" s="2">
        <f t="shared" si="4"/>
        <v>28.080216458512783</v>
      </c>
    </row>
    <row r="64" spans="1:27" x14ac:dyDescent="0.25">
      <c r="A64" s="2">
        <v>2032</v>
      </c>
      <c r="B64" s="2">
        <f>B9*'Output-Calculation-sheet'!B53/10^9</f>
        <v>7.0481261816177287</v>
      </c>
      <c r="C64" s="2">
        <f>C9*'Output-Calculation-sheet'!C53/10^9</f>
        <v>3.7364293683640017</v>
      </c>
      <c r="D64" s="2">
        <f>D9*'Output-Calculation-sheet'!D53/10^9</f>
        <v>2.0874252782934546</v>
      </c>
      <c r="E64" s="2">
        <f>E9*'Output-Calculation-sheet'!E53/10^9</f>
        <v>2.1376153273020502</v>
      </c>
      <c r="F64" s="2">
        <f>F9*'Output-Calculation-sheet'!F53/10^9</f>
        <v>0.90163274110736358</v>
      </c>
      <c r="G64" s="2">
        <f>G9*'Output-Calculation-sheet'!G53/10^9</f>
        <v>0.64175460318198385</v>
      </c>
      <c r="H64" s="2">
        <f>H9*'Output-Calculation-sheet'!H53/10^9</f>
        <v>1.1726506376008987</v>
      </c>
      <c r="I64" s="2">
        <f>I9*'Output-Calculation-sheet'!I53/10^9</f>
        <v>0.59993566794225806</v>
      </c>
      <c r="J64" s="2">
        <f>J9*'Output-Calculation-sheet'!J53/10^9</f>
        <v>0.79419292640735917</v>
      </c>
      <c r="K64" s="2">
        <f>K9*'Output-Calculation-sheet'!K53/10^9</f>
        <v>0.73690298296993773</v>
      </c>
      <c r="L64" s="2">
        <f>L9*'Output-Calculation-sheet'!L53/10^9</f>
        <v>0.94802348504031919</v>
      </c>
      <c r="M64" s="2">
        <f>M9*'Output-Calculation-sheet'!M53/10^9</f>
        <v>0.93036112933594106</v>
      </c>
      <c r="N64" s="2">
        <f>N9*'Output-Calculation-sheet'!N53/10^9</f>
        <v>0.83762562287533426</v>
      </c>
      <c r="O64" s="2">
        <f>O9*'Output-Calculation-sheet'!O53/10^9</f>
        <v>0.75665492819253888</v>
      </c>
      <c r="P64" s="2">
        <f>P9*'Output-Calculation-sheet'!P53/10^9</f>
        <v>0.56184187910305394</v>
      </c>
      <c r="Q64" s="2">
        <f>Q9*'Output-Calculation-sheet'!Q53/10^9</f>
        <v>0.62091604838525716</v>
      </c>
      <c r="R64" s="2">
        <f>R9*'Output-Calculation-sheet'!R53/10^9</f>
        <v>0.53227168390569612</v>
      </c>
      <c r="S64" s="2">
        <f>S9*'Output-Calculation-sheet'!S53/10^9</f>
        <v>0.42830412983919269</v>
      </c>
      <c r="T64" s="2">
        <f>T9*'Output-Calculation-sheet'!T53/10^9</f>
        <v>0.19133705556843206</v>
      </c>
      <c r="U64" s="2">
        <f>U9*'Output-Calculation-sheet'!U53/10^9</f>
        <v>0.14401541243240093</v>
      </c>
      <c r="V64" s="2">
        <f>V9*'Output-Calculation-sheet'!V53/10^9</f>
        <v>0.22710414635104781</v>
      </c>
      <c r="W64" s="2">
        <f>W9*'Output-Calculation-sheet'!W53/10^9</f>
        <v>8.4387661479639164E-2</v>
      </c>
      <c r="X64" s="2">
        <f>X9*'Output-Calculation-sheet'!X53/10^9</f>
        <v>9.6749246571700989E-2</v>
      </c>
      <c r="Y64" s="2">
        <f>Y9*'Output-Calculation-sheet'!Y53/10^9</f>
        <v>5.9124780368094848E-2</v>
      </c>
      <c r="AA64" s="2">
        <f t="shared" si="4"/>
        <v>26.275382924235686</v>
      </c>
    </row>
    <row r="65" spans="1:27" x14ac:dyDescent="0.25">
      <c r="A65" s="2">
        <v>2033</v>
      </c>
      <c r="B65" s="2">
        <f>B10*'Output-Calculation-sheet'!B54/10^9</f>
        <v>6.646767038169747</v>
      </c>
      <c r="C65" s="2">
        <f>C10*'Output-Calculation-sheet'!C54/10^9</f>
        <v>3.435833000610133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1.0789675248396418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0.62859517001318743</v>
      </c>
      <c r="L65" s="2">
        <f>L10*'Output-Calculation-sheet'!L54/10^9</f>
        <v>0.74249392940048364</v>
      </c>
      <c r="M65" s="2">
        <f>M10*'Output-Calculation-sheet'!M54/10^9</f>
        <v>0.82278145190456642</v>
      </c>
      <c r="N65" s="2">
        <f>N10*'Output-Calculation-sheet'!N54/10^9</f>
        <v>0.75500280517620211</v>
      </c>
      <c r="O65" s="2">
        <f>O10*'Output-Calculation-sheet'!O54/10^9</f>
        <v>0.68855612632426599</v>
      </c>
      <c r="P65" s="2">
        <f>P10*'Output-Calculation-sheet'!P54/10^9</f>
        <v>0.53185563125308521</v>
      </c>
      <c r="Q65" s="2">
        <f>Q10*'Output-Calculation-sheet'!Q54/10^9</f>
        <v>0.57936775452362932</v>
      </c>
      <c r="R65" s="2">
        <f>R10*'Output-Calculation-sheet'!R54/10^9</f>
        <v>0.46828257026709791</v>
      </c>
      <c r="S65" s="2">
        <f>S10*'Output-Calculation-sheet'!S54/10^9</f>
        <v>0.3982628882903595</v>
      </c>
      <c r="T65" s="2">
        <f>T10*'Output-Calculation-sheet'!T54/10^9</f>
        <v>0.15655339519014422</v>
      </c>
      <c r="U65" s="2">
        <f>U10*'Output-Calculation-sheet'!U54/10^9</f>
        <v>0.13518075672820204</v>
      </c>
      <c r="V65" s="2">
        <f>V10*'Output-Calculation-sheet'!V54/10^9</f>
        <v>0.17325652876477496</v>
      </c>
      <c r="W65" s="2">
        <f>W10*'Output-Calculation-sheet'!W54/10^9</f>
        <v>6.596274502843108E-2</v>
      </c>
      <c r="X65" s="2">
        <f>X10*'Output-Calculation-sheet'!X54/10^9</f>
        <v>8.626921623559973E-2</v>
      </c>
      <c r="Y65" s="2">
        <f>Y10*'Output-Calculation-sheet'!Y54/10^9</f>
        <v>5.4295371559415141E-2</v>
      </c>
      <c r="AA65" s="2">
        <f t="shared" si="4"/>
        <v>23.203205548499685</v>
      </c>
    </row>
    <row r="66" spans="1:27" x14ac:dyDescent="0.25">
      <c r="A66" s="2">
        <v>2034</v>
      </c>
      <c r="B66" s="2">
        <f>B11*'Output-Calculation-sheet'!B55/10^9</f>
        <v>5.927987396317933</v>
      </c>
      <c r="C66" s="2">
        <f>C11*'Output-Calculation-sheet'!C55/10^9</f>
        <v>2.9820121195431728</v>
      </c>
      <c r="D66" s="2">
        <f>D11*'Output-Calculation-sheet'!D55/10^9</f>
        <v>1.3378532090755846</v>
      </c>
      <c r="E66" s="2">
        <f>E11*'Output-Calculation-sheet'!E55/10^9</f>
        <v>1.620045352878104</v>
      </c>
      <c r="F66" s="2">
        <f>F11*'Output-Calculation-sheet'!F55/10^9</f>
        <v>0.62261099403379183</v>
      </c>
      <c r="G66" s="2">
        <f>G11*'Output-Calculation-sheet'!G55/10^9</f>
        <v>0.44502877449402445</v>
      </c>
      <c r="H66" s="2">
        <f>H11*'Output-Calculation-sheet'!H55/10^9</f>
        <v>0.92866081370623532</v>
      </c>
      <c r="I66" s="2">
        <f>I11*'Output-Calculation-sheet'!I55/10^9</f>
        <v>0.43518422990714178</v>
      </c>
      <c r="J66" s="2">
        <f>J11*'Output-Calculation-sheet'!J55/10^9</f>
        <v>0.44751551831415398</v>
      </c>
      <c r="K66" s="2">
        <f>K11*'Output-Calculation-sheet'!K55/10^9</f>
        <v>0.53524988213242897</v>
      </c>
      <c r="L66" s="2">
        <f>L11*'Output-Calculation-sheet'!L55/10^9</f>
        <v>0.56684830646451356</v>
      </c>
      <c r="M66" s="2">
        <f>M11*'Output-Calculation-sheet'!M55/10^9</f>
        <v>0.67692956761111633</v>
      </c>
      <c r="N66" s="2">
        <f>N11*'Output-Calculation-sheet'!N55/10^9</f>
        <v>0.63950276981215726</v>
      </c>
      <c r="O66" s="2">
        <f>O11*'Output-Calculation-sheet'!O55/10^9</f>
        <v>0.58776462789747841</v>
      </c>
      <c r="P66" s="2">
        <f>P11*'Output-Calculation-sheet'!P55/10^9</f>
        <v>0.49081445268950563</v>
      </c>
      <c r="Q66" s="2">
        <f>Q11*'Output-Calculation-sheet'!Q55/10^9</f>
        <v>0.51917025196126365</v>
      </c>
      <c r="R66" s="2">
        <f>R11*'Output-Calculation-sheet'!R55/10^9</f>
        <v>0.40096211886069655</v>
      </c>
      <c r="S66" s="2">
        <f>S11*'Output-Calculation-sheet'!S55/10^9</f>
        <v>0.34976541239956094</v>
      </c>
      <c r="T66" s="2">
        <f>T11*'Output-Calculation-sheet'!T55/10^9</f>
        <v>0.12568166235611103</v>
      </c>
      <c r="U66" s="2">
        <f>U11*'Output-Calculation-sheet'!U55/10^9</f>
        <v>0.12831924114330598</v>
      </c>
      <c r="V66" s="2">
        <f>V11*'Output-Calculation-sheet'!V55/10^9</f>
        <v>0.11922678747623693</v>
      </c>
      <c r="W66" s="2">
        <f>W11*'Output-Calculation-sheet'!W55/10^9</f>
        <v>5.3985813075913998E-2</v>
      </c>
      <c r="X66" s="2">
        <f>X11*'Output-Calculation-sheet'!X55/10^9</f>
        <v>7.2324414450286909E-2</v>
      </c>
      <c r="Y66" s="2">
        <f>Y11*'Output-Calculation-sheet'!Y55/10^9</f>
        <v>5.2780330224201706E-2</v>
      </c>
      <c r="AA66" s="2">
        <f t="shared" si="4"/>
        <v>20.066224046824917</v>
      </c>
    </row>
    <row r="67" spans="1:27" x14ac:dyDescent="0.25">
      <c r="A67" s="2">
        <v>2035</v>
      </c>
      <c r="B67" s="2">
        <f>B12*'Output-Calculation-sheet'!B56/10^9</f>
        <v>5.1454590847164692</v>
      </c>
      <c r="C67" s="2">
        <f>C12*'Output-Calculation-sheet'!C56/10^9</f>
        <v>2.4071860108384464</v>
      </c>
      <c r="D67" s="2">
        <f>D12*'Output-Calculation-sheet'!D56/10^9</f>
        <v>1.3129891068437021</v>
      </c>
      <c r="E67" s="2">
        <f>E12*'Output-Calculation-sheet'!E56/10^9</f>
        <v>1.6058130204269914</v>
      </c>
      <c r="F67" s="2">
        <f>F12*'Output-Calculation-sheet'!F56/10^9</f>
        <v>0.64990205625904418</v>
      </c>
      <c r="G67" s="2">
        <f>G12*'Output-Calculation-sheet'!G56/10^9</f>
        <v>0.47703238006570003</v>
      </c>
      <c r="H67" s="2">
        <f>H12*'Output-Calculation-sheet'!H56/10^9</f>
        <v>0.7607614895248489</v>
      </c>
      <c r="I67" s="2">
        <f>I12*'Output-Calculation-sheet'!I56/10^9</f>
        <v>0.45060524594215945</v>
      </c>
      <c r="J67" s="2">
        <f>J12*'Output-Calculation-sheet'!J56/10^9</f>
        <v>0.41856320226830268</v>
      </c>
      <c r="K67" s="2">
        <f>K12*'Output-Calculation-sheet'!K56/10^9</f>
        <v>0.51430644638063694</v>
      </c>
      <c r="L67" s="2">
        <f>L12*'Output-Calculation-sheet'!L56/10^9</f>
        <v>0.49103508324644379</v>
      </c>
      <c r="M67" s="2">
        <f>M12*'Output-Calculation-sheet'!M56/10^9</f>
        <v>0.52953743698500222</v>
      </c>
      <c r="N67" s="2">
        <f>N12*'Output-Calculation-sheet'!N56/10^9</f>
        <v>0.51601676072858726</v>
      </c>
      <c r="O67" s="2">
        <f>O12*'Output-Calculation-sheet'!O56/10^9</f>
        <v>0.46789069302018826</v>
      </c>
      <c r="P67" s="2">
        <f>P12*'Output-Calculation-sheet'!P56/10^9</f>
        <v>0.45499156531678636</v>
      </c>
      <c r="Q67" s="2">
        <f>Q12*'Output-Calculation-sheet'!Q56/10^9</f>
        <v>0.46070119038763835</v>
      </c>
      <c r="R67" s="2">
        <f>R12*'Output-Calculation-sheet'!R56/10^9</f>
        <v>0.37924177676511178</v>
      </c>
      <c r="S67" s="2">
        <f>S12*'Output-Calculation-sheet'!S56/10^9</f>
        <v>0.29501285477136086</v>
      </c>
      <c r="T67" s="2">
        <f>T12*'Output-Calculation-sheet'!T56/10^9</f>
        <v>0.11622180022102076</v>
      </c>
      <c r="U67" s="2">
        <f>U12*'Output-Calculation-sheet'!U56/10^9</f>
        <v>0.12481105909006969</v>
      </c>
      <c r="V67" s="2">
        <f>V12*'Output-Calculation-sheet'!V56/10^9</f>
        <v>8.9221028580905914E-2</v>
      </c>
      <c r="W67" s="2">
        <f>W12*'Output-Calculation-sheet'!W56/10^9</f>
        <v>5.922742401808713E-2</v>
      </c>
      <c r="X67" s="2">
        <f>X12*'Output-Calculation-sheet'!X56/10^9</f>
        <v>5.6390136151251664E-2</v>
      </c>
      <c r="Y67" s="2">
        <f>Y12*'Output-Calculation-sheet'!Y56/10^9</f>
        <v>5.2671800365691079E-2</v>
      </c>
      <c r="AA67" s="2">
        <f t="shared" si="4"/>
        <v>17.835588652914442</v>
      </c>
    </row>
    <row r="68" spans="1:27" x14ac:dyDescent="0.25">
      <c r="B68" s="2">
        <f>SUM(B60:B67)</f>
        <v>31.876858770960418</v>
      </c>
      <c r="C68" s="2">
        <f t="shared" ref="C68:Y68" si="5">SUM(C60:C67)</f>
        <v>16.359196981079158</v>
      </c>
      <c r="D68" s="2">
        <f t="shared" si="5"/>
        <v>8.7889182965769628</v>
      </c>
      <c r="E68" s="2">
        <f t="shared" si="5"/>
        <v>9.6033611886630563</v>
      </c>
      <c r="F68" s="2">
        <f t="shared" si="5"/>
        <v>3.9379226649486445</v>
      </c>
      <c r="G68" s="2">
        <f t="shared" si="5"/>
        <v>2.8080284066833134</v>
      </c>
      <c r="H68" s="2">
        <f t="shared" si="5"/>
        <v>5.1412599504501495</v>
      </c>
      <c r="I68" s="2">
        <f t="shared" si="5"/>
        <v>2.6651513543009928</v>
      </c>
      <c r="J68" s="2">
        <f t="shared" si="5"/>
        <v>3.1940934033800632</v>
      </c>
      <c r="K68" s="2">
        <f t="shared" si="5"/>
        <v>3.2449992045793357</v>
      </c>
      <c r="L68" s="2">
        <f t="shared" si="5"/>
        <v>3.864716388824109</v>
      </c>
      <c r="M68" s="2">
        <f t="shared" si="5"/>
        <v>3.9428689510158992</v>
      </c>
      <c r="N68" s="2">
        <f t="shared" si="5"/>
        <v>3.6157318152351356</v>
      </c>
      <c r="O68" s="2">
        <f t="shared" si="5"/>
        <v>3.2778504750758719</v>
      </c>
      <c r="P68" s="2">
        <f t="shared" si="5"/>
        <v>2.6129729442584106</v>
      </c>
      <c r="Q68" s="2">
        <f t="shared" si="5"/>
        <v>2.8291545711877024</v>
      </c>
      <c r="R68" s="2">
        <f t="shared" si="5"/>
        <v>2.3634307179503145</v>
      </c>
      <c r="S68" s="2">
        <f t="shared" si="5"/>
        <v>1.9031263034151602</v>
      </c>
      <c r="T68" s="2">
        <f t="shared" si="5"/>
        <v>0.81131770029332295</v>
      </c>
      <c r="U68" s="2">
        <f t="shared" si="5"/>
        <v>0.68446663250223905</v>
      </c>
      <c r="V68" s="2">
        <f t="shared" si="5"/>
        <v>0.87882132715060468</v>
      </c>
      <c r="W68" s="2">
        <f t="shared" si="5"/>
        <v>0.36129563999669068</v>
      </c>
      <c r="X68" s="2">
        <f t="shared" si="5"/>
        <v>0.41243425096060432</v>
      </c>
      <c r="Y68" s="2">
        <f t="shared" si="5"/>
        <v>0.2826396914993583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46.272540897115832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4.6272540897115834E-2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418.57253483403008</v>
      </c>
      <c r="Q76" s="2">
        <f>Q10/'Output-Calculation-sheet'!Q9*'Output-Calculation-sheet'!Q63</f>
        <v>49.641800445517461</v>
      </c>
      <c r="R76" s="2">
        <f>R10/'Output-Calculation-sheet'!R9*'Output-Calculation-sheet'!R63</f>
        <v>319.42034818281269</v>
      </c>
      <c r="S76" s="2">
        <f>S10/'Output-Calculation-sheet'!S9*'Output-Calculation-sheet'!S63</f>
        <v>0</v>
      </c>
      <c r="T76" s="2">
        <f>T10/'Output-Calculation-sheet'!T9*'Output-Calculation-sheet'!T63</f>
        <v>20.932866363539013</v>
      </c>
      <c r="U76" s="2">
        <f>U10/'Output-Calculation-sheet'!U9*'Output-Calculation-sheet'!U63</f>
        <v>113.16803128072455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5.3676393949754244</v>
      </c>
      <c r="AA76" s="2">
        <f t="shared" si="6"/>
        <v>1.0149751677120507</v>
      </c>
    </row>
    <row r="77" spans="1:27" x14ac:dyDescent="0.25">
      <c r="A77" s="2">
        <v>2034</v>
      </c>
      <c r="B77" s="2">
        <f>B11/'Output-Calculation-sheet'!B10*'Output-Calculation-sheet'!B64</f>
        <v>364.7565588651654</v>
      </c>
      <c r="C77" s="2">
        <f>C11/'Output-Calculation-sheet'!C10*'Output-Calculation-sheet'!C64</f>
        <v>0</v>
      </c>
      <c r="D77" s="2">
        <f>D11/'Output-Calculation-sheet'!D10*'Output-Calculation-sheet'!D64</f>
        <v>1297.4206532945798</v>
      </c>
      <c r="E77" s="2">
        <f>E11/'Output-Calculation-sheet'!E10*'Output-Calculation-sheet'!E64</f>
        <v>1608.7650946607948</v>
      </c>
      <c r="F77" s="2">
        <f>F11/'Output-Calculation-sheet'!F10*'Output-Calculation-sheet'!F64</f>
        <v>104.67427932736621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106.37356437177984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283.00904451281764</v>
      </c>
      <c r="K77" s="2">
        <f>K11/'Output-Calculation-sheet'!K10*'Output-Calculation-sheet'!K64</f>
        <v>618.41380333421739</v>
      </c>
      <c r="L77" s="2">
        <f>L11/'Output-Calculation-sheet'!L10*'Output-Calculation-sheet'!L64</f>
        <v>254.96584342924385</v>
      </c>
      <c r="M77" s="2">
        <f>M11/'Output-Calculation-sheet'!M10*'Output-Calculation-sheet'!M64</f>
        <v>76.611877045580556</v>
      </c>
      <c r="N77" s="2">
        <f>N11/'Output-Calculation-sheet'!N10*'Output-Calculation-sheet'!N64</f>
        <v>25.337706013052603</v>
      </c>
      <c r="O77" s="2">
        <f>O11/'Output-Calculation-sheet'!O10*'Output-Calculation-sheet'!O64</f>
        <v>0</v>
      </c>
      <c r="P77" s="2">
        <f>P11/'Output-Calculation-sheet'!P10*'Output-Calculation-sheet'!P64</f>
        <v>525.47685306269432</v>
      </c>
      <c r="Q77" s="2">
        <f>Q11/'Output-Calculation-sheet'!Q10*'Output-Calculation-sheet'!Q64</f>
        <v>126.0498979629548</v>
      </c>
      <c r="R77" s="2">
        <f>R11/'Output-Calculation-sheet'!R10*'Output-Calculation-sheet'!R64</f>
        <v>648.5828712264647</v>
      </c>
      <c r="S77" s="2">
        <f>S11/'Output-Calculation-sheet'!S10*'Output-Calculation-sheet'!S64</f>
        <v>0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238.44388312805643</v>
      </c>
      <c r="V77" s="2">
        <f>V11/'Output-Calculation-sheet'!V10*'Output-Calculation-sheet'!V64</f>
        <v>93.135484825093968</v>
      </c>
      <c r="W77" s="2">
        <f>W11/'Output-Calculation-sheet'!W10*'Output-Calculation-sheet'!W64</f>
        <v>20.395553244574685</v>
      </c>
      <c r="X77" s="2">
        <f>X11/'Output-Calculation-sheet'!X10*'Output-Calculation-sheet'!X64</f>
        <v>7.6373633590896279</v>
      </c>
      <c r="Y77" s="2">
        <f>Y11/'Output-Calculation-sheet'!Y10*'Output-Calculation-sheet'!Y64</f>
        <v>43.048166584424777</v>
      </c>
      <c r="AA77" s="2">
        <f t="shared" si="6"/>
        <v>7.7067646829095002</v>
      </c>
    </row>
    <row r="78" spans="1:27" x14ac:dyDescent="0.25">
      <c r="A78" s="2">
        <v>2035</v>
      </c>
      <c r="B78" s="2">
        <f>B12/'Output-Calculation-sheet'!B11*'Output-Calculation-sheet'!B65</f>
        <v>58.065679607903526</v>
      </c>
      <c r="C78" s="2">
        <f>C12/'Output-Calculation-sheet'!C11*'Output-Calculation-sheet'!C65</f>
        <v>46.508501744601098</v>
      </c>
      <c r="D78" s="2">
        <f>D12/'Output-Calculation-sheet'!D11*'Output-Calculation-sheet'!D65</f>
        <v>2219.8157344869805</v>
      </c>
      <c r="E78" s="2">
        <f>E12/'Output-Calculation-sheet'!E11*'Output-Calculation-sheet'!E65</f>
        <v>1076.4678442064755</v>
      </c>
      <c r="F78" s="2">
        <f>F12/'Output-Calculation-sheet'!F11*'Output-Calculation-sheet'!F65</f>
        <v>555.14460804042744</v>
      </c>
      <c r="G78" s="2">
        <f>G12/'Output-Calculation-sheet'!G11*'Output-Calculation-sheet'!G65</f>
        <v>1030.318404926807</v>
      </c>
      <c r="H78" s="2">
        <f>H12/'Output-Calculation-sheet'!H11*'Output-Calculation-sheet'!H65</f>
        <v>19.52739254914529</v>
      </c>
      <c r="I78" s="2">
        <f>I12/'Output-Calculation-sheet'!I11*'Output-Calculation-sheet'!I65</f>
        <v>684.73262534214075</v>
      </c>
      <c r="J78" s="2">
        <f>J12/'Output-Calculation-sheet'!J11*'Output-Calculation-sheet'!J65</f>
        <v>712.1549499844208</v>
      </c>
      <c r="K78" s="2">
        <f>K12/'Output-Calculation-sheet'!K11*'Output-Calculation-sheet'!K65</f>
        <v>886.51796503588571</v>
      </c>
      <c r="L78" s="2">
        <f>L12/'Output-Calculation-sheet'!L11*'Output-Calculation-sheet'!L65</f>
        <v>481.91634310366123</v>
      </c>
      <c r="M78" s="2">
        <f>M12/'Output-Calculation-sheet'!M11*'Output-Calculation-sheet'!M65</f>
        <v>13.65530741009872</v>
      </c>
      <c r="N78" s="2">
        <f>N12/'Output-Calculation-sheet'!N11*'Output-Calculation-sheet'!N65</f>
        <v>14.194699543519768</v>
      </c>
      <c r="O78" s="2">
        <f>O12/'Output-Calculation-sheet'!O11*'Output-Calculation-sheet'!O65</f>
        <v>8.1047607573551694</v>
      </c>
      <c r="P78" s="2">
        <f>P12/'Output-Calculation-sheet'!P11*'Output-Calculation-sheet'!P65</f>
        <v>166.94077245094664</v>
      </c>
      <c r="Q78" s="2">
        <f>Q12/'Output-Calculation-sheet'!Q11*'Output-Calculation-sheet'!Q65</f>
        <v>124.40003250715195</v>
      </c>
      <c r="R78" s="2">
        <f>R12/'Output-Calculation-sheet'!R11*'Output-Calculation-sheet'!R65</f>
        <v>767.18654603238951</v>
      </c>
      <c r="S78" s="2">
        <f>S12/'Output-Calculation-sheet'!S11*'Output-Calculation-sheet'!S65</f>
        <v>5.8162426835074079</v>
      </c>
      <c r="T78" s="2">
        <f>T12/'Output-Calculation-sheet'!T11*'Output-Calculation-sheet'!T65</f>
        <v>278.40768973673534</v>
      </c>
      <c r="U78" s="2">
        <f>U12/'Output-Calculation-sheet'!U11*'Output-Calculation-sheet'!U65</f>
        <v>229.02027350823073</v>
      </c>
      <c r="V78" s="2">
        <f>V12/'Output-Calculation-sheet'!V11*'Output-Calculation-sheet'!V65</f>
        <v>138.82334680514032</v>
      </c>
      <c r="W78" s="2">
        <f>W12/'Output-Calculation-sheet'!W11*'Output-Calculation-sheet'!W65</f>
        <v>99.321036412964631</v>
      </c>
      <c r="X78" s="2">
        <f>X12/'Output-Calculation-sheet'!X11*'Output-Calculation-sheet'!X65</f>
        <v>1.3941705279427814</v>
      </c>
      <c r="Y78" s="2">
        <f>Y12/'Output-Calculation-sheet'!Y11*'Output-Calculation-sheet'!Y65</f>
        <v>24.433123936230356</v>
      </c>
      <c r="AA78" s="2">
        <f t="shared" si="6"/>
        <v>9.642868051340665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48.911183787174188</v>
      </c>
      <c r="E89" s="2">
        <f>E12/'Output-Calculation-sheet'!E11*'Output-Calculation-sheet'!E74</f>
        <v>36.441928513452446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25.221724331938955</v>
      </c>
      <c r="H89" s="2">
        <f>H12/'Output-Calculation-sheet'!H11*'Output-Calculation-sheet'!H74</f>
        <v>3.1869316531082506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11.713572533664465</v>
      </c>
      <c r="K89" s="2">
        <f>K12/'Output-Calculation-sheet'!K11*'Output-Calculation-sheet'!K74</f>
        <v>16.479740849541617</v>
      </c>
      <c r="L89" s="2">
        <f>L12/'Output-Calculation-sheet'!L11*'Output-Calculation-sheet'!L74</f>
        <v>6.166555893840834</v>
      </c>
      <c r="M89" s="2">
        <f>M12/'Output-Calculation-sheet'!M11*'Output-Calculation-sheet'!M74</f>
        <v>2.9238921706758139</v>
      </c>
      <c r="N89" s="2">
        <f>N12/'Output-Calculation-sheet'!N11*'Output-Calculation-sheet'!N74</f>
        <v>1.4368559108735468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2.6548049529033775</v>
      </c>
      <c r="Q89" s="2">
        <f>Q12/'Output-Calculation-sheet'!Q11*'Output-Calculation-sheet'!Q74</f>
        <v>3.7767173081429712</v>
      </c>
      <c r="R89" s="2">
        <f>R12/'Output-Calculation-sheet'!R11*'Output-Calculation-sheet'!R74</f>
        <v>10.611759910295616</v>
      </c>
      <c r="S89" s="2">
        <f>S12/'Output-Calculation-sheet'!S11*'Output-Calculation-sheet'!S74</f>
        <v>1.2354831162304203</v>
      </c>
      <c r="T89" s="2">
        <f>T12/'Output-Calculation-sheet'!T11*'Output-Calculation-sheet'!T74</f>
        <v>2.7712598206966317</v>
      </c>
      <c r="U89" s="2">
        <f>U12/'Output-Calculation-sheet'!U11*'Output-Calculation-sheet'!U74</f>
        <v>5.6233328874735484</v>
      </c>
      <c r="V89" s="2">
        <f>V12/'Output-Calculation-sheet'!V11*'Output-Calculation-sheet'!V74</f>
        <v>0.77430016155577097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1.3929151095279833</v>
      </c>
      <c r="AA89" s="2">
        <f t="shared" si="7"/>
        <v>0.2532105469114711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1680.0460261198996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517.17027340014101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355.8634788636254</v>
      </c>
      <c r="N107" s="2">
        <f>N8/'Output-Calculation-sheet'!N7*'Output-Calculation-sheet'!N88</f>
        <v>139.90243503433678</v>
      </c>
      <c r="O107" s="2">
        <f>O8/'Output-Calculation-sheet'!O7*'Output-Calculation-sheet'!O88</f>
        <v>391.66352383560007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39.038963767610369</v>
      </c>
      <c r="Y107" s="2">
        <f>Y8/'Output-Calculation-sheet'!Y7*'Output-Calculation-sheet'!Y88</f>
        <v>0</v>
      </c>
      <c r="AA107" s="2">
        <f t="shared" si="9"/>
        <v>3.123684701021213</v>
      </c>
    </row>
    <row r="108" spans="1:27" x14ac:dyDescent="0.25">
      <c r="A108" s="2">
        <v>2032</v>
      </c>
      <c r="B108" s="2">
        <f>B9/'Output-Calculation-sheet'!B8*'Output-Calculation-sheet'!B89</f>
        <v>736.19341653763502</v>
      </c>
      <c r="C108" s="2">
        <f>C9/'Output-Calculation-sheet'!C8*'Output-Calculation-sheet'!C89</f>
        <v>2795.3154798565033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752.924201135624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518.08512460543545</v>
      </c>
      <c r="N108" s="2">
        <f>N9/'Output-Calculation-sheet'!N8*'Output-Calculation-sheet'!N89</f>
        <v>363.70975504638392</v>
      </c>
      <c r="O108" s="2">
        <f>O9/'Output-Calculation-sheet'!O8*'Output-Calculation-sheet'!O89</f>
        <v>543.05214165338271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166.7927899770805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56.83501569926581</v>
      </c>
      <c r="Y108" s="2">
        <f>Y9/'Output-Calculation-sheet'!Y8*'Output-Calculation-sheet'!Y89</f>
        <v>0</v>
      </c>
      <c r="AA108" s="2">
        <f t="shared" si="9"/>
        <v>5.9329079245113103</v>
      </c>
    </row>
    <row r="109" spans="1:27" x14ac:dyDescent="0.25">
      <c r="A109" s="2">
        <v>2033</v>
      </c>
      <c r="B109" s="2">
        <f>B10/'Output-Calculation-sheet'!B9*'Output-Calculation-sheet'!B90</f>
        <v>3581.6792824118475</v>
      </c>
      <c r="C109" s="2">
        <f>C10/'Output-Calculation-sheet'!C9*'Output-Calculation-sheet'!C90</f>
        <v>3399.8957736860407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1046.593366772267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720.15809030657169</v>
      </c>
      <c r="N109" s="2">
        <f>N10/'Output-Calculation-sheet'!N9*'Output-Calculation-sheet'!N90</f>
        <v>566.2388889430124</v>
      </c>
      <c r="O109" s="2">
        <f>O10/'Output-Calculation-sheet'!O9*'Output-Calculation-sheet'!O90</f>
        <v>660.50529702403003</v>
      </c>
      <c r="P109" s="2">
        <f>P10/'Output-Calculation-sheet'!P9*'Output-Calculation-sheet'!P90</f>
        <v>0</v>
      </c>
      <c r="Q109" s="2">
        <f>Q10/'Output-Calculation-sheet'!Q9*'Output-Calculation-sheet'!Q90</f>
        <v>124.02799034053163</v>
      </c>
      <c r="R109" s="2">
        <f>R10/'Output-Calculation-sheet'!R9*'Output-Calculation-sheet'!R90</f>
        <v>0</v>
      </c>
      <c r="S109" s="2">
        <f>S10/'Output-Calculation-sheet'!S9*'Output-Calculation-sheet'!S90</f>
        <v>284.01421883689716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79.002840314512056</v>
      </c>
      <c r="Y109" s="2">
        <f>Y10/'Output-Calculation-sheet'!Y9*'Output-Calculation-sheet'!Y90</f>
        <v>0</v>
      </c>
      <c r="AA109" s="2">
        <f t="shared" si="9"/>
        <v>10.462115748635712</v>
      </c>
    </row>
    <row r="110" spans="1:27" x14ac:dyDescent="0.25">
      <c r="A110" s="2">
        <v>2034</v>
      </c>
      <c r="B110" s="2">
        <f>B11/'Output-Calculation-sheet'!B10*'Output-Calculation-sheet'!B91</f>
        <v>5887.6923414054372</v>
      </c>
      <c r="C110" s="2">
        <f>C11/'Output-Calculation-sheet'!C10*'Output-Calculation-sheet'!C91</f>
        <v>4036.406195239771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1146.9517069586045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789.21439518057025</v>
      </c>
      <c r="N110" s="2">
        <f>N11/'Output-Calculation-sheet'!N10*'Output-Calculation-sheet'!N91</f>
        <v>711.03061302904132</v>
      </c>
      <c r="O110" s="2">
        <f>O11/'Output-Calculation-sheet'!O10*'Output-Calculation-sheet'!O91</f>
        <v>784.16158916719633</v>
      </c>
      <c r="P110" s="2">
        <f>P11/'Output-Calculation-sheet'!P10*'Output-Calculation-sheet'!P91</f>
        <v>179.14565268866815</v>
      </c>
      <c r="Q110" s="2">
        <f>Q11/'Output-Calculation-sheet'!Q10*'Output-Calculation-sheet'!Q91</f>
        <v>396.4365237399719</v>
      </c>
      <c r="R110" s="2">
        <f>R11/'Output-Calculation-sheet'!R10*'Output-Calculation-sheet'!R91</f>
        <v>0</v>
      </c>
      <c r="S110" s="2">
        <f>S11/'Output-Calculation-sheet'!S10*'Output-Calculation-sheet'!S91</f>
        <v>407.58729337319846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86.578460584706178</v>
      </c>
      <c r="Y110" s="2">
        <f>Y11/'Output-Calculation-sheet'!Y10*'Output-Calculation-sheet'!Y91</f>
        <v>13.924978425943095</v>
      </c>
      <c r="AA110" s="2">
        <f t="shared" si="9"/>
        <v>14.439129749793109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1683.617097321503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237.4124019128721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613.25994412068019</v>
      </c>
      <c r="Q111" s="2">
        <f>Q12/'Output-Calculation-sheet'!Q11*'Output-Calculation-sheet'!Q92</f>
        <v>581.61446545401759</v>
      </c>
      <c r="R111" s="2">
        <f>R12/'Output-Calculation-sheet'!R11*'Output-Calculation-sheet'!R92</f>
        <v>0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65.544394320566767</v>
      </c>
      <c r="AA111" s="2">
        <f t="shared" si="9"/>
        <v>19.808875224289164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7897865822.4982634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2430011172.3825998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1687852161.3636565</v>
      </c>
      <c r="N118" s="2">
        <f>N8/'Output-Calculation-sheet'!N7*'Output-Calculation-sheet'!N97</f>
        <v>1324482697.7338066</v>
      </c>
      <c r="O118" s="2">
        <f>O8/'Output-Calculation-sheet'!O7*'Output-Calculation-sheet'!O97</f>
        <v>881326008.7715199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181918427.75998175</v>
      </c>
      <c r="Y118" s="2">
        <f>Y8/'Output-Calculation-sheet'!Y7*'Output-Calculation-sheet'!Y97</f>
        <v>0</v>
      </c>
      <c r="AA118" s="2">
        <f t="shared" si="10"/>
        <v>16229.871587434276</v>
      </c>
    </row>
    <row r="119" spans="1:27" x14ac:dyDescent="0.25">
      <c r="A119" s="2">
        <v>2032</v>
      </c>
      <c r="B119" s="2">
        <f>B9/'Output-Calculation-sheet'!B8*'Output-Calculation-sheet'!B98</f>
        <v>5522961254.679184</v>
      </c>
      <c r="C119" s="2">
        <f>C9/'Output-Calculation-sheet'!C8*'Output-Calculation-sheet'!C98</f>
        <v>4389761160.6417503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2624209044.0125999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1831707740.1850128</v>
      </c>
      <c r="N119" s="2">
        <f>N9/'Output-Calculation-sheet'!N8*'Output-Calculation-sheet'!N98</f>
        <v>1238757637.6614854</v>
      </c>
      <c r="O119" s="2">
        <f>O9/'Output-Calculation-sheet'!O8*'Output-Calculation-sheet'!O98</f>
        <v>857678215.70179033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514072057.98835981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195999294.94700223</v>
      </c>
      <c r="Y119" s="2">
        <f>Y9/'Output-Calculation-sheet'!Y8*'Output-Calculation-sheet'!Y98</f>
        <v>0</v>
      </c>
      <c r="AA119" s="2">
        <f t="shared" si="10"/>
        <v>17175.146405817184</v>
      </c>
    </row>
    <row r="120" spans="1:27" x14ac:dyDescent="0.25">
      <c r="A120" s="2">
        <v>2033</v>
      </c>
      <c r="B120" s="2">
        <f>B10/'Output-Calculation-sheet'!B9*'Output-Calculation-sheet'!B99</f>
        <v>5152722894.8849955</v>
      </c>
      <c r="C120" s="2">
        <f>C10/'Output-Calculation-sheet'!C9*'Output-Calculation-sheet'!C99</f>
        <v>4235858172.6158133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1388837552.9797862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983030757.59242487</v>
      </c>
      <c r="N120" s="2">
        <f>N10/'Output-Calculation-sheet'!N9*'Output-Calculation-sheet'!N99</f>
        <v>979977511.40319419</v>
      </c>
      <c r="O120" s="2">
        <f>O10/'Output-Calculation-sheet'!O9*'Output-Calculation-sheet'!O99</f>
        <v>829289791.26664615</v>
      </c>
      <c r="P120" s="2">
        <f>P10/'Output-Calculation-sheet'!P9*'Output-Calculation-sheet'!P99</f>
        <v>0</v>
      </c>
      <c r="Q120" s="2">
        <f>Q10/'Output-Calculation-sheet'!Q9*'Output-Calculation-sheet'!Q99</f>
        <v>6227034.8438264048</v>
      </c>
      <c r="R120" s="2">
        <f>R10/'Output-Calculation-sheet'!R9*'Output-Calculation-sheet'!R99</f>
        <v>0</v>
      </c>
      <c r="S120" s="2">
        <f>S10/'Output-Calculation-sheet'!S9*'Output-Calculation-sheet'!S99</f>
        <v>410408186.67603838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98159982.559649795</v>
      </c>
      <c r="Y120" s="2">
        <f>Y10/'Output-Calculation-sheet'!Y9*'Output-Calculation-sheet'!Y99</f>
        <v>0</v>
      </c>
      <c r="AA120" s="2">
        <f t="shared" si="10"/>
        <v>14084.511884822374</v>
      </c>
    </row>
    <row r="121" spans="1:27" x14ac:dyDescent="0.25">
      <c r="A121" s="2">
        <v>2034</v>
      </c>
      <c r="B121" s="2">
        <f>B11/'Output-Calculation-sheet'!B10*'Output-Calculation-sheet'!B100</f>
        <v>4372801845.884635</v>
      </c>
      <c r="C121" s="2">
        <f>C11/'Output-Calculation-sheet'!C10*'Output-Calculation-sheet'!C100</f>
        <v>529895453.58473217</v>
      </c>
      <c r="D121" s="2">
        <f>D11/'Output-Calculation-sheet'!D10*'Output-Calculation-sheet'!D100</f>
        <v>0</v>
      </c>
      <c r="E121" s="2">
        <f>E11/'Output-Calculation-sheet'!E10*'Output-Calculation-sheet'!E100</f>
        <v>612134962.38552451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1395264268.9356902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508297838.92211425</v>
      </c>
      <c r="M121" s="2">
        <f>M11/'Output-Calculation-sheet'!M10*'Output-Calculation-sheet'!M100</f>
        <v>993004243.02008653</v>
      </c>
      <c r="N121" s="2">
        <f>N11/'Output-Calculation-sheet'!N10*'Output-Calculation-sheet'!N100</f>
        <v>662013740.76936054</v>
      </c>
      <c r="O121" s="2">
        <f>O11/'Output-Calculation-sheet'!O10*'Output-Calculation-sheet'!O100</f>
        <v>103940736.15084352</v>
      </c>
      <c r="P121" s="2">
        <f>P11/'Output-Calculation-sheet'!P10*'Output-Calculation-sheet'!P100</f>
        <v>0</v>
      </c>
      <c r="Q121" s="2">
        <f>Q11/'Output-Calculation-sheet'!Q10*'Output-Calculation-sheet'!Q100</f>
        <v>223201853.406905</v>
      </c>
      <c r="R121" s="2">
        <f>R11/'Output-Calculation-sheet'!R10*'Output-Calculation-sheet'!R100</f>
        <v>0</v>
      </c>
      <c r="S121" s="2">
        <f>S11/'Output-Calculation-sheet'!S10*'Output-Calculation-sheet'!S100</f>
        <v>247522036.83249605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97569614.895861164</v>
      </c>
      <c r="Y121" s="2">
        <f>Y11/'Output-Calculation-sheet'!Y10*'Output-Calculation-sheet'!Y100</f>
        <v>14164026.902986381</v>
      </c>
      <c r="AA121" s="2">
        <f t="shared" si="10"/>
        <v>9759.8106216912347</v>
      </c>
    </row>
    <row r="122" spans="1:27" x14ac:dyDescent="0.25">
      <c r="A122" s="2">
        <v>2035</v>
      </c>
      <c r="B122" s="2">
        <f>B12/'Output-Calculation-sheet'!B11*'Output-Calculation-sheet'!B101</f>
        <v>1016291176.3529817</v>
      </c>
      <c r="C122" s="2">
        <f>C12/'Output-Calculation-sheet'!C11*'Output-Calculation-sheet'!C101</f>
        <v>210910447.61215663</v>
      </c>
      <c r="D122" s="2">
        <f>D12/'Output-Calculation-sheet'!D11*'Output-Calculation-sheet'!D101</f>
        <v>0</v>
      </c>
      <c r="E122" s="2">
        <f>E12/'Output-Calculation-sheet'!E11*'Output-Calculation-sheet'!E101</f>
        <v>1742986343.6860991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365570274.15166986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926666853.83514369</v>
      </c>
      <c r="M122" s="2">
        <f>M12/'Output-Calculation-sheet'!M11*'Output-Calculation-sheet'!M101</f>
        <v>325795123.70137817</v>
      </c>
      <c r="N122" s="2">
        <f>N12/'Output-Calculation-sheet'!N11*'Output-Calculation-sheet'!N101</f>
        <v>271258495.51856005</v>
      </c>
      <c r="O122" s="2">
        <f>O12/'Output-Calculation-sheet'!O11*'Output-Calculation-sheet'!O101</f>
        <v>36040340.509018153</v>
      </c>
      <c r="P122" s="2">
        <f>P12/'Output-Calculation-sheet'!P11*'Output-Calculation-sheet'!P101</f>
        <v>44359706.741127409</v>
      </c>
      <c r="Q122" s="2">
        <f>Q12/'Output-Calculation-sheet'!Q11*'Output-Calculation-sheet'!Q101</f>
        <v>412567528.6716342</v>
      </c>
      <c r="R122" s="2">
        <f>R12/'Output-Calculation-sheet'!R11*'Output-Calculation-sheet'!R101</f>
        <v>0</v>
      </c>
      <c r="S122" s="2">
        <f>S12/'Output-Calculation-sheet'!S11*'Output-Calculation-sheet'!S101</f>
        <v>121797220.21963811</v>
      </c>
      <c r="T122" s="2">
        <f>T12/'Output-Calculation-sheet'!T11*'Output-Calculation-sheet'!T101</f>
        <v>0</v>
      </c>
      <c r="U122" s="2">
        <f>U12/'Output-Calculation-sheet'!U11*'Output-Calculation-sheet'!U101</f>
        <v>51427186.755802289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10665099.819562567</v>
      </c>
      <c r="Y122" s="2">
        <f>Y12/'Output-Calculation-sheet'!Y11*'Output-Calculation-sheet'!Y101</f>
        <v>52371975.31220711</v>
      </c>
      <c r="AA122" s="2">
        <f t="shared" si="10"/>
        <v>5588.7077728869781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2197866345.9320607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144469.78148890808</v>
      </c>
    </row>
    <row r="130" spans="1:27" x14ac:dyDescent="0.25">
      <c r="A130" s="2">
        <v>2032</v>
      </c>
      <c r="B130" s="2">
        <f>B9/'Output-Calculation-sheet'!B8*'Output-Calculation-sheet'!B107</f>
        <v>49979635635.346199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1816509166.5016725</v>
      </c>
      <c r="O130" s="2">
        <f>O9/'Output-Calculation-sheet'!O8*'Output-Calculation-sheet'!O107</f>
        <v>0</v>
      </c>
      <c r="P130" s="2">
        <f>P9/'Output-Calculation-sheet'!P8*'Output-Calculation-sheet'!P107</f>
        <v>5548192854.91082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1614909453.9593892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176013.24409928406</v>
      </c>
    </row>
    <row r="131" spans="1:27" x14ac:dyDescent="0.25">
      <c r="A131" s="2">
        <v>2033</v>
      </c>
      <c r="B131" s="2">
        <f>B10/'Output-Calculation-sheet'!B9*'Output-Calculation-sheet'!B108</f>
        <v>38437744783.167542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1408463163.8882344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5464347076.896759</v>
      </c>
      <c r="R131" s="2">
        <f>R10/'Output-Calculation-sheet'!R9*'Output-Calculation-sheet'!R108</f>
        <v>6131402866.130146</v>
      </c>
      <c r="S131" s="2">
        <f>S10/'Output-Calculation-sheet'!S9*'Output-Calculation-sheet'!S108</f>
        <v>1366134212.079915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183457.1259423407</v>
      </c>
    </row>
    <row r="132" spans="1:27" x14ac:dyDescent="0.25">
      <c r="A132" s="2">
        <v>2034</v>
      </c>
      <c r="B132" s="2">
        <f>B11/'Output-Calculation-sheet'!B10*'Output-Calculation-sheet'!B109</f>
        <v>25721722105.325424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24770125304.952106</v>
      </c>
      <c r="F132" s="2">
        <f>F11/'Output-Calculation-sheet'!F10*'Output-Calculation-sheet'!F109</f>
        <v>16336879067.109489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10178769734.350891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7578964828.7349195</v>
      </c>
      <c r="M132" s="2">
        <f>M11/'Output-Calculation-sheet'!M10*'Output-Calculation-sheet'!M109</f>
        <v>0</v>
      </c>
      <c r="N132" s="2">
        <f>N11/'Output-Calculation-sheet'!N10*'Output-Calculation-sheet'!N109</f>
        <v>996456937.32039714</v>
      </c>
      <c r="O132" s="2">
        <f>O11/'Output-Calculation-sheet'!O10*'Output-Calculation-sheet'!O109</f>
        <v>0</v>
      </c>
      <c r="P132" s="2">
        <f>P11/'Output-Calculation-sheet'!P10*'Output-Calculation-sheet'!P109</f>
        <v>5662824326.8587351</v>
      </c>
      <c r="Q132" s="2">
        <f>Q11/'Output-Calculation-sheet'!Q10*'Output-Calculation-sheet'!Q109</f>
        <v>3647547730.6010752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683878544.86550331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712834836.50958264</v>
      </c>
      <c r="AA132" s="2">
        <f t="shared" si="11"/>
        <v>174325.04902422251</v>
      </c>
    </row>
    <row r="133" spans="1:27" x14ac:dyDescent="0.25">
      <c r="A133" s="2">
        <v>2035</v>
      </c>
      <c r="B133" s="2">
        <f>B12/'Output-Calculation-sheet'!B11*'Output-Calculation-sheet'!B110</f>
        <v>340082236.63808346</v>
      </c>
      <c r="C133" s="2">
        <f>C12/'Output-Calculation-sheet'!C11*'Output-Calculation-sheet'!C110</f>
        <v>0</v>
      </c>
      <c r="D133" s="2">
        <f>D12/'Output-Calculation-sheet'!D11*'Output-Calculation-sheet'!D110</f>
        <v>29169532565.984463</v>
      </c>
      <c r="E133" s="2">
        <f>E12/'Output-Calculation-sheet'!E11*'Output-Calculation-sheet'!E110</f>
        <v>12494681255.460081</v>
      </c>
      <c r="F133" s="2">
        <f>F12/'Output-Calculation-sheet'!F11*'Output-Calculation-sheet'!F110</f>
        <v>15335261858.282976</v>
      </c>
      <c r="G133" s="2">
        <f>G12/'Output-Calculation-sheet'!G11*'Output-Calculation-sheet'!G110</f>
        <v>10630461144.19931</v>
      </c>
      <c r="H133" s="2">
        <f>H12/'Output-Calculation-sheet'!H11*'Output-Calculation-sheet'!H110</f>
        <v>0</v>
      </c>
      <c r="I133" s="2">
        <f>I12/'Output-Calculation-sheet'!I11*'Output-Calculation-sheet'!I110</f>
        <v>9653427185.9460449</v>
      </c>
      <c r="J133" s="2">
        <f>J12/'Output-Calculation-sheet'!J11*'Output-Calculation-sheet'!J110</f>
        <v>9346720258.4638672</v>
      </c>
      <c r="K133" s="2">
        <f>K12/'Output-Calculation-sheet'!K11*'Output-Calculation-sheet'!K110</f>
        <v>9394199688.9560757</v>
      </c>
      <c r="L133" s="2">
        <f>L12/'Output-Calculation-sheet'!L11*'Output-Calculation-sheet'!L110</f>
        <v>5468517953.8672733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2072933431.4421122</v>
      </c>
      <c r="Q133" s="2">
        <f>Q12/'Output-Calculation-sheet'!Q11*'Output-Calculation-sheet'!Q110</f>
        <v>1743974121.9282951</v>
      </c>
      <c r="R133" s="2">
        <f>R12/'Output-Calculation-sheet'!R11*'Output-Calculation-sheet'!R110</f>
        <v>6132521070.8517284</v>
      </c>
      <c r="S133" s="2">
        <f>S12/'Output-Calculation-sheet'!S11*'Output-Calculation-sheet'!S110</f>
        <v>4125582.8775953767</v>
      </c>
      <c r="T133" s="2">
        <f>T12/'Output-Calculation-sheet'!T11*'Output-Calculation-sheet'!T110</f>
        <v>2286660008.0757394</v>
      </c>
      <c r="U133" s="2">
        <f>U12/'Output-Calculation-sheet'!U11*'Output-Calculation-sheet'!U110</f>
        <v>1852668876.4399228</v>
      </c>
      <c r="V133" s="2">
        <f>V12/'Output-Calculation-sheet'!V11*'Output-Calculation-sheet'!V110</f>
        <v>1540261420.091651</v>
      </c>
      <c r="W133" s="2">
        <f>W12/'Output-Calculation-sheet'!W11*'Output-Calculation-sheet'!W110</f>
        <v>1343556654.3156502</v>
      </c>
      <c r="X133" s="2">
        <f>X12/'Output-Calculation-sheet'!X11*'Output-Calculation-sheet'!X110</f>
        <v>0</v>
      </c>
      <c r="Y133" s="2">
        <f>Y12/'Output-Calculation-sheet'!Y11*'Output-Calculation-sheet'!Y110</f>
        <v>308183860.89817584</v>
      </c>
      <c r="AA133" s="2">
        <f t="shared" si="11"/>
        <v>119117.76917471904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14295376359.820953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4494106241.7925463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3089181535.9608083</v>
      </c>
      <c r="N140" s="2">
        <f>N8/'Output-Calculation-sheet'!N7*'Output-Calculation-sheet'!N115</f>
        <v>1166288473.5474155</v>
      </c>
      <c r="O140" s="2">
        <f>O8/'Output-Calculation-sheet'!O7*'Output-Calculation-sheet'!O115</f>
        <v>3430820720.378284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335448025.2678749</v>
      </c>
      <c r="Y140" s="2">
        <f>Y8/'Output-Calculation-sheet'!Y7*'Output-Calculation-sheet'!Y115</f>
        <v>0</v>
      </c>
      <c r="AA140" s="2">
        <f t="shared" si="12"/>
        <v>26811.221356767885</v>
      </c>
    </row>
    <row r="141" spans="1:27" x14ac:dyDescent="0.25">
      <c r="A141" s="2">
        <v>2032</v>
      </c>
      <c r="B141" s="2">
        <f>B9/'Output-Calculation-sheet'!B8*'Output-Calculation-sheet'!B116</f>
        <v>5713825612.5363159</v>
      </c>
      <c r="C141" s="2">
        <f>C9/'Output-Calculation-sheet'!C8*'Output-Calculation-sheet'!C116</f>
        <v>24458552125.914101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6376238475.0171833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4377811613.3407965</v>
      </c>
      <c r="N141" s="2">
        <f>N9/'Output-Calculation-sheet'!N8*'Output-Calculation-sheet'!N116</f>
        <v>3039348598.0007381</v>
      </c>
      <c r="O141" s="2">
        <f>O9/'Output-Calculation-sheet'!O8*'Output-Calculation-sheet'!O116</f>
        <v>4747548716.9021034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1361354628.7674451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476509411.21576285</v>
      </c>
      <c r="Y141" s="2">
        <f>Y9/'Output-Calculation-sheet'!Y8*'Output-Calculation-sheet'!Y116</f>
        <v>0</v>
      </c>
      <c r="AA141" s="2">
        <f t="shared" si="12"/>
        <v>50551.189181694448</v>
      </c>
    </row>
    <row r="142" spans="1:27" x14ac:dyDescent="0.25">
      <c r="A142" s="2">
        <v>2033</v>
      </c>
      <c r="B142" s="2">
        <f>B10/'Output-Calculation-sheet'!B9*'Output-Calculation-sheet'!B117</f>
        <v>27887792168.535053</v>
      </c>
      <c r="C142" s="2">
        <f>C10/'Output-Calculation-sheet'!C9*'Output-Calculation-sheet'!C117</f>
        <v>29448356199.947681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9120373430.0650005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6267403051.5629978</v>
      </c>
      <c r="N142" s="2">
        <f>N10/'Output-Calculation-sheet'!N9*'Output-Calculation-sheet'!N117</f>
        <v>4727827229.9522667</v>
      </c>
      <c r="O142" s="2">
        <f>O10/'Output-Calculation-sheet'!O9*'Output-Calculation-sheet'!O117</f>
        <v>5715552202.3362131</v>
      </c>
      <c r="P142" s="2">
        <f>P10/'Output-Calculation-sheet'!P9*'Output-Calculation-sheet'!P117</f>
        <v>0</v>
      </c>
      <c r="Q142" s="2">
        <f>Q10/'Output-Calculation-sheet'!Q9*'Output-Calculation-sheet'!Q117</f>
        <v>902964843.88366365</v>
      </c>
      <c r="R142" s="2">
        <f>R10/'Output-Calculation-sheet'!R9*'Output-Calculation-sheet'!R117</f>
        <v>0</v>
      </c>
      <c r="S142" s="2">
        <f>S10/'Output-Calculation-sheet'!S9*'Output-Calculation-sheet'!S117</f>
        <v>2298885911.0489159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687082777.36292815</v>
      </c>
      <c r="Y142" s="2">
        <f>Y10/'Output-Calculation-sheet'!Y9*'Output-Calculation-sheet'!Y117</f>
        <v>0</v>
      </c>
      <c r="AA142" s="2">
        <f t="shared" si="12"/>
        <v>87056.23781469473</v>
      </c>
    </row>
    <row r="143" spans="1:27" x14ac:dyDescent="0.25">
      <c r="A143" s="2">
        <v>2034</v>
      </c>
      <c r="B143" s="2">
        <f>B11/'Output-Calculation-sheet'!B10*'Output-Calculation-sheet'!B118</f>
        <v>46061600645.590698</v>
      </c>
      <c r="C143" s="2">
        <f>C11/'Output-Calculation-sheet'!C10*'Output-Calculation-sheet'!C118</f>
        <v>35358918270.300392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9801668059.3682175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6731894587.2580004</v>
      </c>
      <c r="N143" s="2">
        <f>N11/'Output-Calculation-sheet'!N10*'Output-Calculation-sheet'!N118</f>
        <v>5923527200.6511202</v>
      </c>
      <c r="O143" s="2">
        <f>O11/'Output-Calculation-sheet'!O10*'Output-Calculation-sheet'!O118</f>
        <v>6869255521.1046391</v>
      </c>
      <c r="P143" s="2">
        <f>P11/'Output-Calculation-sheet'!P10*'Output-Calculation-sheet'!P118</f>
        <v>1238992273.0970912</v>
      </c>
      <c r="Q143" s="2">
        <f>Q11/'Output-Calculation-sheet'!Q10*'Output-Calculation-sheet'!Q118</f>
        <v>2919865322.9080858</v>
      </c>
      <c r="R143" s="2">
        <f>R11/'Output-Calculation-sheet'!R10*'Output-Calculation-sheet'!R118</f>
        <v>0</v>
      </c>
      <c r="S143" s="2">
        <f>S11/'Output-Calculation-sheet'!S10*'Output-Calculation-sheet'!S118</f>
        <v>3410760728.0246491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739059600.64966822</v>
      </c>
      <c r="Y143" s="2">
        <f>Y11/'Output-Calculation-sheet'!Y10*'Output-Calculation-sheet'!Y118</f>
        <v>86606873.514229804</v>
      </c>
      <c r="AA143" s="2">
        <f t="shared" si="12"/>
        <v>119142.1490824668</v>
      </c>
    </row>
    <row r="144" spans="1:27" x14ac:dyDescent="0.25">
      <c r="A144" s="2">
        <v>2035</v>
      </c>
      <c r="B144" s="2">
        <f>B12/'Output-Calculation-sheet'!B11*'Output-Calculation-sheet'!B119</f>
        <v>72867847219.444977</v>
      </c>
      <c r="C144" s="2">
        <f>C12/'Output-Calculation-sheet'!C11*'Output-Calculation-sheet'!C119</f>
        <v>34859462753.054352</v>
      </c>
      <c r="D144" s="2">
        <f>D12/'Output-Calculation-sheet'!D11*'Output-Calculation-sheet'!D119</f>
        <v>0</v>
      </c>
      <c r="E144" s="2">
        <f>E12/'Output-Calculation-sheet'!E11*'Output-Calculation-sheet'!E119</f>
        <v>10383593048.290077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10539615337.223257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1338353833.502825</v>
      </c>
      <c r="M144" s="2">
        <f>M12/'Output-Calculation-sheet'!M11*'Output-Calculation-sheet'!M119</f>
        <v>7193440656.3043737</v>
      </c>
      <c r="N144" s="2">
        <f>N12/'Output-Calculation-sheet'!N11*'Output-Calculation-sheet'!N119</f>
        <v>7106822244.3523188</v>
      </c>
      <c r="O144" s="2">
        <f>O12/'Output-Calculation-sheet'!O11*'Output-Calculation-sheet'!O119</f>
        <v>6775376184.1266499</v>
      </c>
      <c r="P144" s="2">
        <f>P12/'Output-Calculation-sheet'!P11*'Output-Calculation-sheet'!P119</f>
        <v>4598937867.2504292</v>
      </c>
      <c r="Q144" s="2">
        <f>Q12/'Output-Calculation-sheet'!Q11*'Output-Calculation-sheet'!Q119</f>
        <v>4355394746.4370232</v>
      </c>
      <c r="R144" s="2">
        <f>R12/'Output-Calculation-sheet'!R11*'Output-Calculation-sheet'!R119</f>
        <v>0</v>
      </c>
      <c r="S144" s="2">
        <f>S12/'Output-Calculation-sheet'!S11*'Output-Calculation-sheet'!S119</f>
        <v>4097441455.0015855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806527570.22563601</v>
      </c>
      <c r="Y144" s="2">
        <f>Y12/'Output-Calculation-sheet'!Y11*'Output-Calculation-sheet'!Y119</f>
        <v>430671708.27466506</v>
      </c>
      <c r="AA144" s="2">
        <f t="shared" si="12"/>
        <v>165353.48462348813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4312146729.1498041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187510.87418368825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3363136018.5098319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146243.77324429821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376449558.4915815</v>
      </c>
      <c r="C155" s="2">
        <f>C12/'Output-Calculation-sheet'!C11*'Output-Calculation-sheet'!C128</f>
        <v>40558022.442218095</v>
      </c>
      <c r="D155" s="2">
        <f>D12/'Output-Calculation-sheet'!D11*'Output-Calculation-sheet'!D128</f>
        <v>2704687889.8090701</v>
      </c>
      <c r="E155" s="2">
        <f>E12/'Output-Calculation-sheet'!E11*'Output-Calculation-sheet'!E128</f>
        <v>439005952.00776798</v>
      </c>
      <c r="F155" s="2">
        <f>F12/'Output-Calculation-sheet'!F11*'Output-Calculation-sheet'!F128</f>
        <v>987970623.94426358</v>
      </c>
      <c r="G155" s="2">
        <f>G12/'Output-Calculation-sheet'!G11*'Output-Calculation-sheet'!G128</f>
        <v>904096175.8479476</v>
      </c>
      <c r="H155" s="2">
        <f>H12/'Output-Calculation-sheet'!H11*'Output-Calculation-sheet'!H128</f>
        <v>69905675.127200291</v>
      </c>
      <c r="I155" s="2">
        <f>I12/'Output-Calculation-sheet'!I11*'Output-Calculation-sheet'!I128</f>
        <v>829592107.71044028</v>
      </c>
      <c r="J155" s="2">
        <f>J12/'Output-Calculation-sheet'!J11*'Output-Calculation-sheet'!J128</f>
        <v>752220443.93098462</v>
      </c>
      <c r="K155" s="2">
        <f>K12/'Output-Calculation-sheet'!K11*'Output-Calculation-sheet'!K128</f>
        <v>651410517.72311676</v>
      </c>
      <c r="L155" s="2">
        <f>L12/'Output-Calculation-sheet'!L11*'Output-Calculation-sheet'!L128</f>
        <v>245394083.53406501</v>
      </c>
      <c r="M155" s="2">
        <f>M12/'Output-Calculation-sheet'!M11*'Output-Calculation-sheet'!M128</f>
        <v>57658400.703493103</v>
      </c>
      <c r="N155" s="2">
        <f>N12/'Output-Calculation-sheet'!N11*'Output-Calculation-sheet'!N128</f>
        <v>50955120.587394826</v>
      </c>
      <c r="O155" s="2">
        <f>O12/'Output-Calculation-sheet'!O11*'Output-Calculation-sheet'!O128</f>
        <v>10493549.991744464</v>
      </c>
      <c r="P155" s="2">
        <f>P12/'Output-Calculation-sheet'!P11*'Output-Calculation-sheet'!P128</f>
        <v>66850245.298317015</v>
      </c>
      <c r="Q155" s="2">
        <f>Q12/'Output-Calculation-sheet'!Q11*'Output-Calculation-sheet'!Q128</f>
        <v>169463823.42791387</v>
      </c>
      <c r="R155" s="2">
        <f>R12/'Output-Calculation-sheet'!R11*'Output-Calculation-sheet'!R128</f>
        <v>376608862.33170664</v>
      </c>
      <c r="S155" s="2">
        <f>S12/'Output-Calculation-sheet'!S11*'Output-Calculation-sheet'!S128</f>
        <v>32528182.483880535</v>
      </c>
      <c r="T155" s="2">
        <f>T12/'Output-Calculation-sheet'!T11*'Output-Calculation-sheet'!T128</f>
        <v>96437301.438740477</v>
      </c>
      <c r="U155" s="2">
        <f>U12/'Output-Calculation-sheet'!U11*'Output-Calculation-sheet'!U128</f>
        <v>197668806.91067559</v>
      </c>
      <c r="V155" s="2">
        <f>V12/'Output-Calculation-sheet'!V11*'Output-Calculation-sheet'!V128</f>
        <v>43416001.162638873</v>
      </c>
      <c r="W155" s="2">
        <f>W12/'Output-Calculation-sheet'!W11*'Output-Calculation-sheet'!W128</f>
        <v>52830934.826537587</v>
      </c>
      <c r="X155" s="2">
        <f>X12/'Output-Calculation-sheet'!X11*'Output-Calculation-sheet'!X128</f>
        <v>1804834.1782528018</v>
      </c>
      <c r="Y155" s="2">
        <f>Y12/'Output-Calculation-sheet'!Y11*'Output-Calculation-sheet'!Y128</f>
        <v>10633003.210596465</v>
      </c>
      <c r="AA155" s="2">
        <f t="shared" si="13"/>
        <v>9168.6401171205489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4942.9215300317865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1497.2703686593325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1040.0634439830826</v>
      </c>
      <c r="N19" s="2">
        <f>N8/'Output-Calculation-sheet'!N7*'Output-Calculation-sheet'!N25</f>
        <v>865.2098802377717</v>
      </c>
      <c r="O19" s="2">
        <f>O8/'Output-Calculation-sheet'!O7*'Output-Calculation-sheet'!O25</f>
        <v>543.01272140041533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112.56379631266941</v>
      </c>
      <c r="Y19" s="2">
        <f>Y8/'Output-Calculation-sheet'!Y7*'Output-Calculation-sheet'!Y25</f>
        <v>0</v>
      </c>
      <c r="AA19" s="2">
        <f t="shared" si="0"/>
        <v>10.451751814770521</v>
      </c>
    </row>
    <row r="20" spans="1:27" x14ac:dyDescent="0.25">
      <c r="A20" s="2">
        <v>2032</v>
      </c>
      <c r="B20" s="2">
        <f>B9/'Output-Calculation-sheet'!B8*'Output-Calculation-sheet'!B26</f>
        <v>5023.8439607363644</v>
      </c>
      <c r="C20" s="2">
        <f>C9/'Output-Calculation-sheet'!C8*'Output-Calculation-sheet'!C26</f>
        <v>2754.9533777466054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1653.8121157243738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1155.6953201372273</v>
      </c>
      <c r="N20" s="2">
        <f>N9/'Output-Calculation-sheet'!N8*'Output-Calculation-sheet'!N26</f>
        <v>800.92834937944031</v>
      </c>
      <c r="O20" s="2">
        <f>O9/'Output-Calculation-sheet'!O8*'Output-Calculation-sheet'!O26</f>
        <v>538.2668349219598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379.92293448167146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125.75652968074539</v>
      </c>
      <c r="Y20" s="2">
        <f>Y9/'Output-Calculation-sheet'!Y8*'Output-Calculation-sheet'!Y26</f>
        <v>0</v>
      </c>
      <c r="AA20" s="2">
        <f t="shared" si="0"/>
        <v>12.433179422808388</v>
      </c>
    </row>
    <row r="21" spans="1:27" x14ac:dyDescent="0.25">
      <c r="A21" s="2">
        <v>2033</v>
      </c>
      <c r="B21" s="2">
        <f>B10/'Output-Calculation-sheet'!B9*'Output-Calculation-sheet'!B27</f>
        <v>4510.1222409426173</v>
      </c>
      <c r="C21" s="2">
        <f>C10/'Output-Calculation-sheet'!C9*'Output-Calculation-sheet'!C27</f>
        <v>2772.1119985953969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908.91119054318403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643.33483857095985</v>
      </c>
      <c r="N21" s="2">
        <f>N10/'Output-Calculation-sheet'!N9*'Output-Calculation-sheet'!N27</f>
        <v>651.5034487774077</v>
      </c>
      <c r="O21" s="2">
        <f>O10/'Output-Calculation-sheet'!O9*'Output-Calculation-sheet'!O27</f>
        <v>542.72009725061412</v>
      </c>
      <c r="P21" s="2">
        <f>P10/'Output-Calculation-sheet'!P9*'Output-Calculation-sheet'!P27</f>
        <v>0</v>
      </c>
      <c r="Q21" s="2">
        <f>Q10/'Output-Calculation-sheet'!Q9*'Output-Calculation-sheet'!Q27</f>
        <v>7.8908907265236454</v>
      </c>
      <c r="R21" s="2">
        <f>R10/'Output-Calculation-sheet'!R9*'Output-Calculation-sheet'!R27</f>
        <v>0</v>
      </c>
      <c r="S21" s="2">
        <f>S10/'Output-Calculation-sheet'!S9*'Output-Calculation-sheet'!S27</f>
        <v>310.22182079955928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64.239748508024235</v>
      </c>
      <c r="Y21" s="2">
        <f>Y10/'Output-Calculation-sheet'!Y9*'Output-Calculation-sheet'!Y27</f>
        <v>0</v>
      </c>
      <c r="AA21" s="2">
        <f t="shared" si="0"/>
        <v>10.411056274714287</v>
      </c>
    </row>
    <row r="22" spans="1:27" x14ac:dyDescent="0.25">
      <c r="A22" s="2">
        <v>2034</v>
      </c>
      <c r="B22" s="2">
        <f>B11/'Output-Calculation-sheet'!B10*'Output-Calculation-sheet'!B28</f>
        <v>3659.9141079851483</v>
      </c>
      <c r="C22" s="2">
        <f>C11/'Output-Calculation-sheet'!C10*'Output-Calculation-sheet'!C28</f>
        <v>371.99106459093701</v>
      </c>
      <c r="D22" s="2">
        <f>D11/'Output-Calculation-sheet'!D10*'Output-Calculation-sheet'!D28</f>
        <v>0</v>
      </c>
      <c r="E22" s="2">
        <f>E11/'Output-Calculation-sheet'!E10*'Output-Calculation-sheet'!E28</f>
        <v>1235.2113409582662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979.48161732980634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749.11605107328944</v>
      </c>
      <c r="M22" s="2">
        <f>M11/'Output-Calculation-sheet'!M10*'Output-Calculation-sheet'!M28</f>
        <v>697.09333358066249</v>
      </c>
      <c r="N22" s="2">
        <f>N11/'Output-Calculation-sheet'!N10*'Output-Calculation-sheet'!N28</f>
        <v>466.01087054283244</v>
      </c>
      <c r="O22" s="2">
        <f>O11/'Output-Calculation-sheet'!O10*'Output-Calculation-sheet'!O28</f>
        <v>72.966913053987724</v>
      </c>
      <c r="P22" s="2">
        <f>P11/'Output-Calculation-sheet'!P10*'Output-Calculation-sheet'!P28</f>
        <v>0</v>
      </c>
      <c r="Q22" s="2">
        <f>Q11/'Output-Calculation-sheet'!Q10*'Output-Calculation-sheet'!Q28</f>
        <v>238.01300830288002</v>
      </c>
      <c r="R22" s="2">
        <f>R11/'Output-Calculation-sheet'!R10*'Output-Calculation-sheet'!R28</f>
        <v>0</v>
      </c>
      <c r="S22" s="2">
        <f>S11/'Output-Calculation-sheet'!S10*'Output-Calculation-sheet'!S28</f>
        <v>174.48925418668136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68.49427357586444</v>
      </c>
      <c r="Y22" s="2">
        <f>Y11/'Output-Calculation-sheet'!Y10*'Output-Calculation-sheet'!Y28</f>
        <v>27.920200517930041</v>
      </c>
      <c r="AA22" s="2">
        <f t="shared" si="0"/>
        <v>8.7407020356982859</v>
      </c>
    </row>
    <row r="23" spans="1:27" x14ac:dyDescent="0.25">
      <c r="A23" s="2">
        <v>2035</v>
      </c>
      <c r="B23" s="2">
        <f>B12/'Output-Calculation-sheet'!B11*'Output-Calculation-sheet'!B29</f>
        <v>791.15607456249381</v>
      </c>
      <c r="C23" s="2">
        <f>C12/'Output-Calculation-sheet'!C11*'Output-Calculation-sheet'!C29</f>
        <v>164.18680702395244</v>
      </c>
      <c r="D23" s="2">
        <f>D12/'Output-Calculation-sheet'!D11*'Output-Calculation-sheet'!D29</f>
        <v>0</v>
      </c>
      <c r="E23" s="2">
        <f>E12/'Output-Calculation-sheet'!E11*'Output-Calculation-sheet'!E29</f>
        <v>2023.57124548256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284.5877760935175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1166.7223972326503</v>
      </c>
      <c r="M23" s="2">
        <f>M12/'Output-Calculation-sheet'!M11*'Output-Calculation-sheet'!M29</f>
        <v>253.62347835598956</v>
      </c>
      <c r="N23" s="2">
        <f>N12/'Output-Calculation-sheet'!N11*'Output-Calculation-sheet'!N29</f>
        <v>211.16750420258973</v>
      </c>
      <c r="O23" s="2">
        <f>O12/'Output-Calculation-sheet'!O11*'Output-Calculation-sheet'!O29</f>
        <v>28.056419247645557</v>
      </c>
      <c r="P23" s="2">
        <f>P12/'Output-Calculation-sheet'!P11*'Output-Calculation-sheet'!P29</f>
        <v>43.945562407491899</v>
      </c>
      <c r="Q23" s="2">
        <f>Q12/'Output-Calculation-sheet'!Q11*'Output-Calculation-sheet'!Q29</f>
        <v>359.96753006236355</v>
      </c>
      <c r="R23" s="2">
        <f>R12/'Output-Calculation-sheet'!R11*'Output-Calculation-sheet'!R29</f>
        <v>0</v>
      </c>
      <c r="S23" s="2">
        <f>S12/'Output-Calculation-sheet'!S11*'Output-Calculation-sheet'!S29</f>
        <v>94.815959136337241</v>
      </c>
      <c r="T23" s="2">
        <f>T12/'Output-Calculation-sheet'!T11*'Output-Calculation-sheet'!T29</f>
        <v>0</v>
      </c>
      <c r="U23" s="2">
        <f>U12/'Output-Calculation-sheet'!U11*'Output-Calculation-sheet'!U29</f>
        <v>127.65743175337948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8.3024852298291112</v>
      </c>
      <c r="Y23" s="2">
        <f>Y12/'Output-Calculation-sheet'!Y11*'Output-Calculation-sheet'!Y29</f>
        <v>52.812518427024521</v>
      </c>
      <c r="AA23" s="2">
        <f t="shared" si="0"/>
        <v>5.6105731892178259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986.3209616414523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38.671133685758058</v>
      </c>
    </row>
    <row r="31" spans="1:27" x14ac:dyDescent="0.25">
      <c r="A31" s="2">
        <v>2032</v>
      </c>
      <c r="B31" s="2">
        <f>B9/'Output-Calculation-sheet'!B8*'Output-Calculation-sheet'!B17</f>
        <v>21122.320319986669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825.90498572672186</v>
      </c>
      <c r="O31" s="2">
        <f>O9/'Output-Calculation-sheet'!O8*'Output-Calculation-sheet'!O17</f>
        <v>0</v>
      </c>
      <c r="P31" s="2">
        <f>P9/'Output-Calculation-sheet'!P8*'Output-Calculation-sheet'!P17</f>
        <v>2064.370237924913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683.57494373155953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48.393897099148482</v>
      </c>
    </row>
    <row r="32" spans="1:27" x14ac:dyDescent="0.25">
      <c r="A32" s="2">
        <v>2033</v>
      </c>
      <c r="B32" s="2">
        <f>B10/'Output-Calculation-sheet'!B9*'Output-Calculation-sheet'!B18</f>
        <v>16314.30455072664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2553.878006139003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660.32459948700534</v>
      </c>
      <c r="O32" s="2">
        <f>O10/'Output-Calculation-sheet'!O9*'Output-Calculation-sheet'!O18</f>
        <v>0</v>
      </c>
      <c r="P32" s="2">
        <f>P10/'Output-Calculation-sheet'!P9*'Output-Calculation-sheet'!P18</f>
        <v>2628.7190671963858</v>
      </c>
      <c r="Q32" s="2">
        <f>Q10/'Output-Calculation-sheet'!Q9*'Output-Calculation-sheet'!Q18</f>
        <v>2433.7870663102817</v>
      </c>
      <c r="R32" s="2">
        <f>R10/'Output-Calculation-sheet'!R9*'Output-Calculation-sheet'!R18</f>
        <v>1888.080049593309</v>
      </c>
      <c r="S32" s="2">
        <f>S10/'Output-Calculation-sheet'!S9*'Output-Calculation-sheet'!S18</f>
        <v>600.70020596645838</v>
      </c>
      <c r="T32" s="2">
        <f>T10/'Output-Calculation-sheet'!T9*'Output-Calculation-sheet'!T18</f>
        <v>551.13892736023672</v>
      </c>
      <c r="U32" s="2">
        <f>U10/'Output-Calculation-sheet'!U9*'Output-Calculation-sheet'!U18</f>
        <v>609.2766223152255</v>
      </c>
      <c r="V32" s="2">
        <f>V10/'Output-Calculation-sheet'!V9*'Output-Calculation-sheet'!V18</f>
        <v>449.72314396392841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260.39262340070098</v>
      </c>
      <c r="AA32" s="2">
        <f t="shared" si="1"/>
        <v>51.864503562762394</v>
      </c>
    </row>
    <row r="33" spans="1:27" x14ac:dyDescent="0.25">
      <c r="A33" s="2">
        <v>2034</v>
      </c>
      <c r="B33" s="2">
        <f>B11/'Output-Calculation-sheet'!B10*'Output-Calculation-sheet'!B19</f>
        <v>11184.78018178614</v>
      </c>
      <c r="C33" s="2">
        <f>C11/'Output-Calculation-sheet'!C10*'Output-Calculation-sheet'!C19</f>
        <v>0</v>
      </c>
      <c r="D33" s="2">
        <f>D11/'Output-Calculation-sheet'!D10*'Output-Calculation-sheet'!D19</f>
        <v>7413.488143755123</v>
      </c>
      <c r="E33" s="2">
        <f>E11/'Output-Calculation-sheet'!E10*'Output-Calculation-sheet'!E19</f>
        <v>9190.8534791388447</v>
      </c>
      <c r="F33" s="2">
        <f>F11/'Output-Calculation-sheet'!F10*'Output-Calculation-sheet'!F19</f>
        <v>4208.3447626934476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2753.8370887272094</v>
      </c>
      <c r="J33" s="2">
        <f>J11/'Output-Calculation-sheet'!J10*'Output-Calculation-sheet'!J19</f>
        <v>2328.4691724241634</v>
      </c>
      <c r="K33" s="2">
        <f>K11/'Output-Calculation-sheet'!K10*'Output-Calculation-sheet'!K19</f>
        <v>3229.5083132961768</v>
      </c>
      <c r="L33" s="2">
        <f>L11/'Output-Calculation-sheet'!L10*'Output-Calculation-sheet'!L19</f>
        <v>2626.9738538823167</v>
      </c>
      <c r="M33" s="2">
        <f>M11/'Output-Calculation-sheet'!M10*'Output-Calculation-sheet'!M19</f>
        <v>0</v>
      </c>
      <c r="N33" s="2">
        <f>N11/'Output-Calculation-sheet'!N10*'Output-Calculation-sheet'!N19</f>
        <v>498.64262868560394</v>
      </c>
      <c r="O33" s="2">
        <f>O11/'Output-Calculation-sheet'!O10*'Output-Calculation-sheet'!O19</f>
        <v>0</v>
      </c>
      <c r="P33" s="2">
        <f>P11/'Output-Calculation-sheet'!P10*'Output-Calculation-sheet'!P19</f>
        <v>2476.4650252078936</v>
      </c>
      <c r="Q33" s="2">
        <f>Q11/'Output-Calculation-sheet'!Q10*'Output-Calculation-sheet'!Q19</f>
        <v>1574.0400911061379</v>
      </c>
      <c r="R33" s="2">
        <f>R11/'Output-Calculation-sheet'!R10*'Output-Calculation-sheet'!R19</f>
        <v>2333.0745344453917</v>
      </c>
      <c r="S33" s="2">
        <f>S11/'Output-Calculation-sheet'!S10*'Output-Calculation-sheet'!S19</f>
        <v>316.98664810366557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787.34271523563166</v>
      </c>
      <c r="V33" s="2">
        <f>V11/'Output-Calculation-sheet'!V10*'Output-Calculation-sheet'!V19</f>
        <v>536.92153532581551</v>
      </c>
      <c r="W33" s="2">
        <f>W11/'Output-Calculation-sheet'!W10*'Output-Calculation-sheet'!W19</f>
        <v>334.31303030668113</v>
      </c>
      <c r="X33" s="2">
        <f>X11/'Output-Calculation-sheet'!X10*'Output-Calculation-sheet'!X19</f>
        <v>0</v>
      </c>
      <c r="Y33" s="2">
        <f>Y11/'Output-Calculation-sheet'!Y10*'Output-Calculation-sheet'!Y19</f>
        <v>273.71382425510825</v>
      </c>
      <c r="AA33" s="2">
        <f t="shared" si="1"/>
        <v>55.275952682090242</v>
      </c>
    </row>
    <row r="34" spans="1:27" x14ac:dyDescent="0.25">
      <c r="A34" s="2">
        <v>2035</v>
      </c>
      <c r="B34" s="2">
        <f>B12/'Output-Calculation-sheet'!B11*'Output-Calculation-sheet'!B20</f>
        <v>157.49938840038556</v>
      </c>
      <c r="C34" s="2">
        <f>C12/'Output-Calculation-sheet'!C11*'Output-Calculation-sheet'!C20</f>
        <v>0</v>
      </c>
      <c r="D34" s="2">
        <f>D12/'Output-Calculation-sheet'!D11*'Output-Calculation-sheet'!D20</f>
        <v>7768.3916192536944</v>
      </c>
      <c r="E34" s="2">
        <f>E12/'Output-Calculation-sheet'!E11*'Output-Calculation-sheet'!E20</f>
        <v>3629.3789638150724</v>
      </c>
      <c r="F34" s="2">
        <f>F12/'Output-Calculation-sheet'!F11*'Output-Calculation-sheet'!F20</f>
        <v>4930.8153437350957</v>
      </c>
      <c r="G34" s="2">
        <f>G12/'Output-Calculation-sheet'!G11*'Output-Calculation-sheet'!G20</f>
        <v>2648.056605660639</v>
      </c>
      <c r="H34" s="2">
        <f>H12/'Output-Calculation-sheet'!H11*'Output-Calculation-sheet'!H20</f>
        <v>0</v>
      </c>
      <c r="I34" s="2">
        <f>I12/'Output-Calculation-sheet'!I11*'Output-Calculation-sheet'!I20</f>
        <v>2942.0471088283957</v>
      </c>
      <c r="J34" s="2">
        <f>J12/'Output-Calculation-sheet'!J11*'Output-Calculation-sheet'!J20</f>
        <v>2547.6524106578408</v>
      </c>
      <c r="K34" s="2">
        <f>K12/'Output-Calculation-sheet'!K11*'Output-Calculation-sheet'!K20</f>
        <v>3589.4660298065837</v>
      </c>
      <c r="L34" s="2">
        <f>L12/'Output-Calculation-sheet'!L11*'Output-Calculation-sheet'!L20</f>
        <v>1987.7575206369008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790.35041897790813</v>
      </c>
      <c r="Q34" s="2">
        <f>Q12/'Output-Calculation-sheet'!Q11*'Output-Calculation-sheet'!Q20</f>
        <v>747.75382666503197</v>
      </c>
      <c r="R34" s="2">
        <f>R12/'Output-Calculation-sheet'!R11*'Output-Calculation-sheet'!R20</f>
        <v>2649.9707793389207</v>
      </c>
      <c r="S34" s="2">
        <f>S12/'Output-Calculation-sheet'!S11*'Output-Calculation-sheet'!S20</f>
        <v>2.1205714396482911</v>
      </c>
      <c r="T34" s="2">
        <f>T12/'Output-Calculation-sheet'!T11*'Output-Calculation-sheet'!T20</f>
        <v>790.36480828701121</v>
      </c>
      <c r="U34" s="2">
        <f>U12/'Output-Calculation-sheet'!U11*'Output-Calculation-sheet'!U20</f>
        <v>719.34683894918351</v>
      </c>
      <c r="V34" s="2">
        <f>V12/'Output-Calculation-sheet'!V11*'Output-Calculation-sheet'!V20</f>
        <v>694.2732832290086</v>
      </c>
      <c r="W34" s="2">
        <f>W12/'Output-Calculation-sheet'!W11*'Output-Calculation-sheet'!W20</f>
        <v>422.28793417161506</v>
      </c>
      <c r="X34" s="2">
        <f>X12/'Output-Calculation-sheet'!X11*'Output-Calculation-sheet'!X20</f>
        <v>0</v>
      </c>
      <c r="Y34" s="2">
        <f>Y12/'Output-Calculation-sheet'!Y11*'Output-Calculation-sheet'!Y20</f>
        <v>90.836142660641769</v>
      </c>
      <c r="AA34" s="2">
        <f t="shared" si="1"/>
        <v>37.108369594513583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0.13252924572499597</v>
      </c>
      <c r="E45" s="2">
        <f>E12/'Output-Calculation-sheet'!E11*'Output-Calculation-sheet'!E38*0.0114</f>
        <v>7.0217015864395327E-2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1.1609086135045171E-2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0.7511341321957542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0.13467503176635606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167.3617241322722</v>
      </c>
      <c r="R54" s="2">
        <f>R10/'Output-Calculation-sheet'!R9*'Output-Calculation-sheet'!R45</f>
        <v>1252.0148170670636</v>
      </c>
      <c r="S54" s="2">
        <f>S10/'Output-Calculation-sheet'!S9*'Output-Calculation-sheet'!S45</f>
        <v>0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15.616084896390962</v>
      </c>
      <c r="AA54" s="2">
        <f t="shared" si="3"/>
        <v>4.1217336428875724</v>
      </c>
    </row>
    <row r="55" spans="1:27" x14ac:dyDescent="0.25">
      <c r="A55" s="2">
        <v>2034</v>
      </c>
      <c r="B55" s="2">
        <f>B11/'Output-Calculation-sheet'!B10*'Output-Calculation-sheet'!B46</f>
        <v>1369.3794029049004</v>
      </c>
      <c r="C55" s="2">
        <f>C11/'Output-Calculation-sheet'!C10*'Output-Calculation-sheet'!C46</f>
        <v>0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496.63121199475034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368.09268106693321</v>
      </c>
      <c r="N55" s="2">
        <f>N11/'Output-Calculation-sheet'!N10*'Output-Calculation-sheet'!N46</f>
        <v>125.70975787981403</v>
      </c>
      <c r="O55" s="2">
        <f>O11/'Output-Calculation-sheet'!O10*'Output-Calculation-sheet'!O46</f>
        <v>0</v>
      </c>
      <c r="P55" s="2">
        <f>P11/'Output-Calculation-sheet'!P10*'Output-Calculation-sheet'!P46</f>
        <v>2680.827598089646</v>
      </c>
      <c r="Q55" s="2">
        <f>Q11/'Output-Calculation-sheet'!Q10*'Output-Calculation-sheet'!Q46</f>
        <v>586.01735421407182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0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69.139257937204206</v>
      </c>
      <c r="X55" s="2">
        <f>X11/'Output-Calculation-sheet'!X10*'Output-Calculation-sheet'!X46</f>
        <v>35.132134536742697</v>
      </c>
      <c r="Y55" s="2">
        <f>Y11/'Output-Calculation-sheet'!Y10*'Output-Calculation-sheet'!Y46</f>
        <v>244.3509813317437</v>
      </c>
      <c r="AA55" s="2">
        <f t="shared" si="3"/>
        <v>36.437143107752711</v>
      </c>
    </row>
    <row r="56" spans="1:27" x14ac:dyDescent="0.25">
      <c r="A56" s="2">
        <v>2035</v>
      </c>
      <c r="B56" s="2">
        <f>B12/'Output-Calculation-sheet'!B11*'Output-Calculation-sheet'!B47</f>
        <v>387.11226081555435</v>
      </c>
      <c r="C56" s="2">
        <f>C12/'Output-Calculation-sheet'!C11*'Output-Calculation-sheet'!C47</f>
        <v>314.96989517543904</v>
      </c>
      <c r="D56" s="2">
        <f>D12/'Output-Calculation-sheet'!D11*'Output-Calculation-sheet'!D47</f>
        <v>12803.410171794931</v>
      </c>
      <c r="E56" s="2">
        <f>E12/'Output-Calculation-sheet'!E11*'Output-Calculation-sheet'!E47</f>
        <v>8900.3147301799327</v>
      </c>
      <c r="F56" s="2">
        <f>F12/'Output-Calculation-sheet'!F11*'Output-Calculation-sheet'!F47</f>
        <v>2657.4479963721451</v>
      </c>
      <c r="G56" s="2">
        <f>G12/'Output-Calculation-sheet'!G11*'Output-Calculation-sheet'!G47</f>
        <v>5942.654566872061</v>
      </c>
      <c r="H56" s="2">
        <f>H12/'Output-Calculation-sheet'!H11*'Output-Calculation-sheet'!H47</f>
        <v>118.50361418344292</v>
      </c>
      <c r="I56" s="2">
        <f>I12/'Output-Calculation-sheet'!I11*'Output-Calculation-sheet'!I47</f>
        <v>3492.0996976104398</v>
      </c>
      <c r="J56" s="2">
        <f>J12/'Output-Calculation-sheet'!J11*'Output-Calculation-sheet'!J47</f>
        <v>3699.7871714160274</v>
      </c>
      <c r="K56" s="2">
        <f>K12/'Output-Calculation-sheet'!K11*'Output-Calculation-sheet'!K47</f>
        <v>5113.2449856231206</v>
      </c>
      <c r="L56" s="2">
        <f>L12/'Output-Calculation-sheet'!L11*'Output-Calculation-sheet'!L47</f>
        <v>3422.8687891369891</v>
      </c>
      <c r="M56" s="2">
        <f>M12/'Output-Calculation-sheet'!M11*'Output-Calculation-sheet'!M47</f>
        <v>78.762177707278198</v>
      </c>
      <c r="N56" s="2">
        <f>N12/'Output-Calculation-sheet'!N11*'Output-Calculation-sheet'!N47</f>
        <v>86.517558898033911</v>
      </c>
      <c r="O56" s="2">
        <f>O12/'Output-Calculation-sheet'!O11*'Output-Calculation-sheet'!O47</f>
        <v>57.790461601184319</v>
      </c>
      <c r="P56" s="2">
        <f>P12/'Output-Calculation-sheet'!P11*'Output-Calculation-sheet'!P47</f>
        <v>1114.7716996903637</v>
      </c>
      <c r="Q56" s="2">
        <f>Q12/'Output-Calculation-sheet'!Q11*'Output-Calculation-sheet'!Q47</f>
        <v>823.45591640645227</v>
      </c>
      <c r="R56" s="2">
        <f>R12/'Output-Calculation-sheet'!R11*'Output-Calculation-sheet'!R47</f>
        <v>4650.4139600029139</v>
      </c>
      <c r="S56" s="2">
        <f>S12/'Output-Calculation-sheet'!S11*'Output-Calculation-sheet'!S47</f>
        <v>38.631779058092938</v>
      </c>
      <c r="T56" s="2">
        <f>T12/'Output-Calculation-sheet'!T11*'Output-Calculation-sheet'!T47</f>
        <v>1688.5684854817814</v>
      </c>
      <c r="U56" s="2">
        <f>U12/'Output-Calculation-sheet'!U11*'Output-Calculation-sheet'!U47</f>
        <v>1573.5912587875919</v>
      </c>
      <c r="V56" s="2">
        <f>V12/'Output-Calculation-sheet'!V11*'Output-Calculation-sheet'!V47</f>
        <v>968.58094182338789</v>
      </c>
      <c r="W56" s="2">
        <f>W12/'Output-Calculation-sheet'!W11*'Output-Calculation-sheet'!W47</f>
        <v>572.86233376338669</v>
      </c>
      <c r="X56" s="2">
        <f>X12/'Output-Calculation-sheet'!X11*'Output-Calculation-sheet'!X47</f>
        <v>8.843677640863076</v>
      </c>
      <c r="Y56" s="2">
        <f>Y12/'Output-Calculation-sheet'!Y11*'Output-Calculation-sheet'!Y47</f>
        <v>189.61881451217991</v>
      </c>
      <c r="AA56" s="2">
        <f t="shared" si="3"/>
        <v>58.704822944553605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7.1319022049006886</v>
      </c>
      <c r="C63" s="2">
        <f>C8*'Output-Calculation-sheet'!C52/10^9</f>
        <v>3.8102289549188848</v>
      </c>
      <c r="D63" s="2">
        <f>D8*'Output-Calculation-sheet'!D52/10^9</f>
        <v>2.4456821042848511</v>
      </c>
      <c r="E63" s="2">
        <f>E8*'Output-Calculation-sheet'!E52/10^9</f>
        <v>2.4316640372002967</v>
      </c>
      <c r="F63" s="2">
        <f>F8*'Output-Calculation-sheet'!F52/10^9</f>
        <v>1.0298095187296905</v>
      </c>
      <c r="G63" s="2">
        <f>G8*'Output-Calculation-sheet'!G52/10^9</f>
        <v>0.74038652114531223</v>
      </c>
      <c r="H63" s="2">
        <f>H8*'Output-Calculation-sheet'!H52/10^9</f>
        <v>1.20416754958356</v>
      </c>
      <c r="I63" s="2">
        <f>I8*'Output-Calculation-sheet'!I52/10^9</f>
        <v>0.68873135462986879</v>
      </c>
      <c r="J63" s="2">
        <f>J8*'Output-Calculation-sheet'!J52/10^9</f>
        <v>0.9477410275122744</v>
      </c>
      <c r="K63" s="2">
        <f>K8*'Output-Calculation-sheet'!K52/10^9</f>
        <v>0.83267478670307837</v>
      </c>
      <c r="L63" s="2">
        <f>L8*'Output-Calculation-sheet'!L52/10^9</f>
        <v>1.1199876515959835</v>
      </c>
      <c r="M63" s="2">
        <f>M8*'Output-Calculation-sheet'!M52/10^9</f>
        <v>0.98649375000897943</v>
      </c>
      <c r="N63" s="2">
        <f>N8*'Output-Calculation-sheet'!N52/10^9</f>
        <v>0.87043773239913824</v>
      </c>
      <c r="O63" s="2">
        <f>O8*'Output-Calculation-sheet'!O52/10^9</f>
        <v>0.77953995181408253</v>
      </c>
      <c r="P63" s="2">
        <f>P8*'Output-Calculation-sheet'!P52/10^9</f>
        <v>0.57535581621390153</v>
      </c>
      <c r="Q63" s="2">
        <f>Q8*'Output-Calculation-sheet'!Q52/10^9</f>
        <v>0.65113417828791254</v>
      </c>
      <c r="R63" s="2">
        <f>R8*'Output-Calculation-sheet'!R52/10^9</f>
        <v>0.58458924180045191</v>
      </c>
      <c r="S63" s="2">
        <f>S8*'Output-Calculation-sheet'!S52/10^9</f>
        <v>0.43320134119952219</v>
      </c>
      <c r="T63" s="2">
        <f>T8*'Output-Calculation-sheet'!T52/10^9</f>
        <v>0.2222524788992615</v>
      </c>
      <c r="U63" s="2">
        <f>U8*'Output-Calculation-sheet'!U52/10^9</f>
        <v>0.15264062092536612</v>
      </c>
      <c r="V63" s="2">
        <f>V8*'Output-Calculation-sheet'!V52/10^9</f>
        <v>0.27090103033554658</v>
      </c>
      <c r="W63" s="2">
        <f>W8*'Output-Calculation-sheet'!W52/10^9</f>
        <v>9.8053481139855389E-2</v>
      </c>
      <c r="X63" s="2">
        <f>X8*'Output-Calculation-sheet'!X52/10^9</f>
        <v>0.10103248947430399</v>
      </c>
      <c r="Y63" s="2">
        <f>Y8*'Output-Calculation-sheet'!Y52/10^9</f>
        <v>6.3977168835301315E-2</v>
      </c>
      <c r="AA63" s="2">
        <f t="shared" si="4"/>
        <v>28.172584992538113</v>
      </c>
    </row>
    <row r="64" spans="1:27" x14ac:dyDescent="0.25">
      <c r="A64" s="2">
        <v>2032</v>
      </c>
      <c r="B64" s="2">
        <f>B9*'Output-Calculation-sheet'!B53/10^9</f>
        <v>7.2027805873817519</v>
      </c>
      <c r="C64" s="2">
        <f>C9*'Output-Calculation-sheet'!C53/10^9</f>
        <v>3.818416445319389</v>
      </c>
      <c r="D64" s="2">
        <f>D9*'Output-Calculation-sheet'!D53/10^9</f>
        <v>2.1332288731316464</v>
      </c>
      <c r="E64" s="2">
        <f>E9*'Output-Calculation-sheet'!E53/10^9</f>
        <v>2.1845202236783634</v>
      </c>
      <c r="F64" s="2">
        <f>F9*'Output-Calculation-sheet'!F53/10^9</f>
        <v>0.9214169322810436</v>
      </c>
      <c r="G64" s="2">
        <f>G9*'Output-Calculation-sheet'!G53/10^9</f>
        <v>0.65583638523921906</v>
      </c>
      <c r="H64" s="2">
        <f>H9*'Output-Calculation-sheet'!H53/10^9</f>
        <v>1.1983816734611761</v>
      </c>
      <c r="I64" s="2">
        <f>I9*'Output-Calculation-sheet'!I53/10^9</f>
        <v>0.61309983269064716</v>
      </c>
      <c r="J64" s="2">
        <f>J9*'Output-Calculation-sheet'!J53/10^9</f>
        <v>0.8116196057729842</v>
      </c>
      <c r="K64" s="2">
        <f>K9*'Output-Calculation-sheet'!K53/10^9</f>
        <v>0.75307257046032405</v>
      </c>
      <c r="L64" s="2">
        <f>L9*'Output-Calculation-sheet'!L53/10^9</f>
        <v>0.96882561101695641</v>
      </c>
      <c r="M64" s="2">
        <f>M9*'Output-Calculation-sheet'!M53/10^9</f>
        <v>0.95077569682462482</v>
      </c>
      <c r="N64" s="2">
        <f>N9*'Output-Calculation-sheet'!N53/10^9</f>
        <v>0.85600532971094168</v>
      </c>
      <c r="O64" s="2">
        <f>O9*'Output-Calculation-sheet'!O53/10^9</f>
        <v>0.77325792525482706</v>
      </c>
      <c r="P64" s="2">
        <f>P9*'Output-Calculation-sheet'!P53/10^9</f>
        <v>0.57417016604159465</v>
      </c>
      <c r="Q64" s="2">
        <f>Q9*'Output-Calculation-sheet'!Q53/10^9</f>
        <v>0.63454057780171624</v>
      </c>
      <c r="R64" s="2">
        <f>R9*'Output-Calculation-sheet'!R53/10^9</f>
        <v>0.54395112307268279</v>
      </c>
      <c r="S64" s="2">
        <f>S9*'Output-Calculation-sheet'!S53/10^9</f>
        <v>0.43770224771899391</v>
      </c>
      <c r="T64" s="2">
        <f>T9*'Output-Calculation-sheet'!T53/10^9</f>
        <v>0.19553549326194988</v>
      </c>
      <c r="U64" s="2">
        <f>U9*'Output-Calculation-sheet'!U53/10^9</f>
        <v>0.1471754889487214</v>
      </c>
      <c r="V64" s="2">
        <f>V9*'Output-Calculation-sheet'!V53/10^9</f>
        <v>0.23208740798618574</v>
      </c>
      <c r="W64" s="2">
        <f>W9*'Output-Calculation-sheet'!W53/10^9</f>
        <v>8.6239348481779859E-2</v>
      </c>
      <c r="X64" s="2">
        <f>X9*'Output-Calculation-sheet'!X53/10^9</f>
        <v>9.8872179227998735E-2</v>
      </c>
      <c r="Y64" s="2">
        <f>Y9*'Output-Calculation-sheet'!Y53/10^9</f>
        <v>6.0422133386206868E-2</v>
      </c>
      <c r="AA64" s="2">
        <f t="shared" si="4"/>
        <v>26.851933858151732</v>
      </c>
    </row>
    <row r="65" spans="1:27" x14ac:dyDescent="0.25">
      <c r="A65" s="2">
        <v>2033</v>
      </c>
      <c r="B65" s="2">
        <f>B10*'Output-Calculation-sheet'!B54/10^9</f>
        <v>7.0832570321051715</v>
      </c>
      <c r="C65" s="2">
        <f>C10*'Output-Calculation-sheet'!C54/10^9</f>
        <v>3.6614625009352126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1.1498228031530304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0.66987471243904095</v>
      </c>
      <c r="L65" s="2">
        <f>L10*'Output-Calculation-sheet'!L54/10^9</f>
        <v>0.79125314856372186</v>
      </c>
      <c r="M65" s="2">
        <f>M10*'Output-Calculation-sheet'!M54/10^9</f>
        <v>0.87681311404792561</v>
      </c>
      <c r="N65" s="2">
        <f>N10*'Output-Calculation-sheet'!N54/10^9</f>
        <v>0.80458347619417314</v>
      </c>
      <c r="O65" s="2">
        <f>O10*'Output-Calculation-sheet'!O54/10^9</f>
        <v>0.73377327590654418</v>
      </c>
      <c r="P65" s="2">
        <f>P10*'Output-Calculation-sheet'!P54/10^9</f>
        <v>0.56678233470561123</v>
      </c>
      <c r="Q65" s="2">
        <f>Q10*'Output-Calculation-sheet'!Q54/10^9</f>
        <v>0.61741455625538277</v>
      </c>
      <c r="R65" s="2">
        <f>R10*'Output-Calculation-sheet'!R54/10^9</f>
        <v>0.49903446138681951</v>
      </c>
      <c r="S65" s="2">
        <f>S10*'Output-Calculation-sheet'!S54/10^9</f>
        <v>0.42441662057799373</v>
      </c>
      <c r="T65" s="2">
        <f>T10*'Output-Calculation-sheet'!T54/10^9</f>
        <v>0.16683418134147177</v>
      </c>
      <c r="U65" s="2">
        <f>U10*'Output-Calculation-sheet'!U54/10^9</f>
        <v>0.1440580119931506</v>
      </c>
      <c r="V65" s="2">
        <f>V10*'Output-Calculation-sheet'!V54/10^9</f>
        <v>0.18463420166282091</v>
      </c>
      <c r="W65" s="2">
        <f>W10*'Output-Calculation-sheet'!W54/10^9</f>
        <v>7.0294486762733241E-2</v>
      </c>
      <c r="X65" s="2">
        <f>X10*'Output-Calculation-sheet'!X54/10^9</f>
        <v>9.1934474165545108E-2</v>
      </c>
      <c r="Y65" s="2">
        <f>Y10*'Output-Calculation-sheet'!Y54/10^9</f>
        <v>5.7860922490656538E-2</v>
      </c>
      <c r="AA65" s="2">
        <f t="shared" si="4"/>
        <v>24.726948894849279</v>
      </c>
    </row>
    <row r="66" spans="1:27" x14ac:dyDescent="0.25">
      <c r="A66" s="2">
        <v>2034</v>
      </c>
      <c r="B66" s="2">
        <f>B11*'Output-Calculation-sheet'!B55/10^9</f>
        <v>6.7764162739357419</v>
      </c>
      <c r="C66" s="2">
        <f>C11*'Output-Calculation-sheet'!C55/10^9</f>
        <v>3.4088054013909375</v>
      </c>
      <c r="D66" s="2">
        <f>D11*'Output-Calculation-sheet'!D55/10^9</f>
        <v>1.5293302181694994</v>
      </c>
      <c r="E66" s="2">
        <f>E11*'Output-Calculation-sheet'!E55/10^9</f>
        <v>1.8519104309459253</v>
      </c>
      <c r="F66" s="2">
        <f>F11*'Output-Calculation-sheet'!F55/10^9</f>
        <v>0.71172068869824168</v>
      </c>
      <c r="G66" s="2">
        <f>G11*'Output-Calculation-sheet'!G55/10^9</f>
        <v>0.50872244291952051</v>
      </c>
      <c r="H66" s="2">
        <f>H11*'Output-Calculation-sheet'!H55/10^9</f>
        <v>1.0615731495775658</v>
      </c>
      <c r="I66" s="2">
        <f>I11*'Output-Calculation-sheet'!I55/10^9</f>
        <v>0.49746892166718565</v>
      </c>
      <c r="J66" s="2">
        <f>J11*'Output-Calculation-sheet'!J55/10^9</f>
        <v>0.51156509594241684</v>
      </c>
      <c r="K66" s="2">
        <f>K11*'Output-Calculation-sheet'!K55/10^9</f>
        <v>0.61185622866831246</v>
      </c>
      <c r="L66" s="2">
        <f>L11*'Output-Calculation-sheet'!L55/10^9</f>
        <v>0.64797710115998874</v>
      </c>
      <c r="M66" s="2">
        <f>M11*'Output-Calculation-sheet'!M55/10^9</f>
        <v>0.77381347691755986</v>
      </c>
      <c r="N66" s="2">
        <f>N11*'Output-Calculation-sheet'!N55/10^9</f>
        <v>0.73103005908443519</v>
      </c>
      <c r="O66" s="2">
        <f>O11*'Output-Calculation-sheet'!O55/10^9</f>
        <v>0.67188702057669558</v>
      </c>
      <c r="P66" s="2">
        <f>P11*'Output-Calculation-sheet'!P55/10^9</f>
        <v>0.56106108571585278</v>
      </c>
      <c r="Q66" s="2">
        <f>Q11*'Output-Calculation-sheet'!Q55/10^9</f>
        <v>0.59347524026769061</v>
      </c>
      <c r="R66" s="2">
        <f>R11*'Output-Calculation-sheet'!R55/10^9</f>
        <v>0.45834885363741712</v>
      </c>
      <c r="S66" s="2">
        <f>S11*'Output-Calculation-sheet'!S55/10^9</f>
        <v>0.39982474222472419</v>
      </c>
      <c r="T66" s="2">
        <f>T11*'Output-Calculation-sheet'!T55/10^9</f>
        <v>0.14366954670893006</v>
      </c>
      <c r="U66" s="2">
        <f>U11*'Output-Calculation-sheet'!U55/10^9</f>
        <v>0.14668462258922585</v>
      </c>
      <c r="V66" s="2">
        <f>V11*'Output-Calculation-sheet'!V55/10^9</f>
        <v>0.13629083345299992</v>
      </c>
      <c r="W66" s="2">
        <f>W11*'Output-Calculation-sheet'!W55/10^9</f>
        <v>6.1712402174894265E-2</v>
      </c>
      <c r="X66" s="2">
        <f>X11*'Output-Calculation-sheet'!X55/10^9</f>
        <v>8.2675671575856424E-2</v>
      </c>
      <c r="Y66" s="2">
        <f>Y11*'Output-Calculation-sheet'!Y55/10^9</f>
        <v>6.0334387501757882E-2</v>
      </c>
      <c r="AA66" s="2">
        <f t="shared" si="4"/>
        <v>22.938153895503376</v>
      </c>
    </row>
    <row r="67" spans="1:27" x14ac:dyDescent="0.25">
      <c r="A67" s="2">
        <v>2035</v>
      </c>
      <c r="B67" s="2">
        <f>B12*'Output-Calculation-sheet'!B56/10^9</f>
        <v>6.52261219207114</v>
      </c>
      <c r="C67" s="2">
        <f>C12*'Output-Calculation-sheet'!C56/10^9</f>
        <v>3.0514557718503603</v>
      </c>
      <c r="D67" s="2">
        <f>D12*'Output-Calculation-sheet'!D56/10^9</f>
        <v>1.6644032369809887</v>
      </c>
      <c r="E67" s="2">
        <f>E12*'Output-Calculation-sheet'!E56/10^9</f>
        <v>2.0355998197196494</v>
      </c>
      <c r="F67" s="2">
        <f>F12*'Output-Calculation-sheet'!F56/10^9</f>
        <v>0.82384467663898076</v>
      </c>
      <c r="G67" s="2">
        <f>G12*'Output-Calculation-sheet'!G56/10^9</f>
        <v>0.6047074064724981</v>
      </c>
      <c r="H67" s="2">
        <f>H12*'Output-Calculation-sheet'!H56/10^9</f>
        <v>0.96437501205131282</v>
      </c>
      <c r="I67" s="2">
        <f>I12*'Output-Calculation-sheet'!I56/10^9</f>
        <v>0.57120719893072458</v>
      </c>
      <c r="J67" s="2">
        <f>J12*'Output-Calculation-sheet'!J56/10^9</f>
        <v>0.53058928296152374</v>
      </c>
      <c r="K67" s="2">
        <f>K12*'Output-Calculation-sheet'!K56/10^9</f>
        <v>0.65195766643783837</v>
      </c>
      <c r="L67" s="2">
        <f>L12*'Output-Calculation-sheet'!L56/10^9</f>
        <v>0.6224578541944441</v>
      </c>
      <c r="M67" s="2">
        <f>M12*'Output-Calculation-sheet'!M56/10^9</f>
        <v>0.67126514578568508</v>
      </c>
      <c r="N67" s="2">
        <f>N12*'Output-Calculation-sheet'!N56/10^9</f>
        <v>0.65412573677608099</v>
      </c>
      <c r="O67" s="2">
        <f>O12*'Output-Calculation-sheet'!O56/10^9</f>
        <v>0.59311899844176164</v>
      </c>
      <c r="P67" s="2">
        <f>P12*'Output-Calculation-sheet'!P56/10^9</f>
        <v>0.57676749195029975</v>
      </c>
      <c r="Q67" s="2">
        <f>Q12*'Output-Calculation-sheet'!Q56/10^9</f>
        <v>0.58400526597320745</v>
      </c>
      <c r="R67" s="2">
        <f>R12*'Output-Calculation-sheet'!R56/10^9</f>
        <v>0.48074369966681907</v>
      </c>
      <c r="S67" s="2">
        <f>S12*'Output-Calculation-sheet'!S56/10^9</f>
        <v>0.37397138169167338</v>
      </c>
      <c r="T67" s="2">
        <f>T12*'Output-Calculation-sheet'!T56/10^9</f>
        <v>0.14732790964323808</v>
      </c>
      <c r="U67" s="2">
        <f>U12*'Output-Calculation-sheet'!U56/10^9</f>
        <v>0.15821603521137689</v>
      </c>
      <c r="V67" s="2">
        <f>V12*'Output-Calculation-sheet'!V56/10^9</f>
        <v>0.11310053373848022</v>
      </c>
      <c r="W67" s="2">
        <f>W12*'Output-Calculation-sheet'!W56/10^9</f>
        <v>7.507931005667097E-2</v>
      </c>
      <c r="X67" s="2">
        <f>X12*'Output-Calculation-sheet'!X56/10^9</f>
        <v>7.1482638092529555E-2</v>
      </c>
      <c r="Y67" s="2">
        <f>Y12*'Output-Calculation-sheet'!Y56/10^9</f>
        <v>6.6769110702689607E-2</v>
      </c>
      <c r="AA67" s="2">
        <f t="shared" si="4"/>
        <v>22.609183376039972</v>
      </c>
    </row>
    <row r="68" spans="1:27" x14ac:dyDescent="0.25">
      <c r="B68" s="2">
        <f>SUM(B60:B67)</f>
        <v>34.71696829039449</v>
      </c>
      <c r="C68" s="2">
        <f t="shared" ref="C68:Y68" si="5">SUM(C60:C67)</f>
        <v>17.750369074414785</v>
      </c>
      <c r="D68" s="2">
        <f t="shared" si="5"/>
        <v>9.4915557005804416</v>
      </c>
      <c r="E68" s="2">
        <f t="shared" si="5"/>
        <v>10.439159301951296</v>
      </c>
      <c r="F68" s="2">
        <f t="shared" si="5"/>
        <v>4.2725565838537314</v>
      </c>
      <c r="G68" s="2">
        <f t="shared" si="5"/>
        <v>3.0491517956317735</v>
      </c>
      <c r="H68" s="2">
        <f t="shared" si="5"/>
        <v>5.5783201878266446</v>
      </c>
      <c r="I68" s="2">
        <f t="shared" si="5"/>
        <v>2.895832269643372</v>
      </c>
      <c r="J68" s="2">
        <f t="shared" si="5"/>
        <v>3.4293947648450116</v>
      </c>
      <c r="K68" s="2">
        <f t="shared" si="5"/>
        <v>3.5194359647085944</v>
      </c>
      <c r="L68" s="2">
        <f t="shared" si="5"/>
        <v>4.1505013665310946</v>
      </c>
      <c r="M68" s="2">
        <f t="shared" si="5"/>
        <v>4.2591611835847747</v>
      </c>
      <c r="N68" s="2">
        <f t="shared" si="5"/>
        <v>3.9161823341647692</v>
      </c>
      <c r="O68" s="2">
        <f t="shared" si="5"/>
        <v>3.5515771719939107</v>
      </c>
      <c r="P68" s="2">
        <f t="shared" si="5"/>
        <v>2.8541368946272598</v>
      </c>
      <c r="Q68" s="2">
        <f t="shared" si="5"/>
        <v>3.0805698185859098</v>
      </c>
      <c r="R68" s="2">
        <f t="shared" si="5"/>
        <v>2.5666673795641906</v>
      </c>
      <c r="S68" s="2">
        <f t="shared" si="5"/>
        <v>2.0691163334129077</v>
      </c>
      <c r="T68" s="2">
        <f t="shared" si="5"/>
        <v>0.87561960985485132</v>
      </c>
      <c r="U68" s="2">
        <f t="shared" si="5"/>
        <v>0.74877477966784078</v>
      </c>
      <c r="V68" s="2">
        <f t="shared" si="5"/>
        <v>0.93701400717603356</v>
      </c>
      <c r="W68" s="2">
        <f t="shared" si="5"/>
        <v>0.39137902861593371</v>
      </c>
      <c r="X68" s="2">
        <f t="shared" si="5"/>
        <v>0.4459974525362338</v>
      </c>
      <c r="Y68" s="2">
        <f t="shared" si="5"/>
        <v>0.30936372291661224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47.287882014915219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4.7287882014915218E-2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446.05999184012808</v>
      </c>
      <c r="Q76" s="2">
        <f>Q10/'Output-Calculation-sheet'!Q9*'Output-Calculation-sheet'!Q63</f>
        <v>52.901753600333301</v>
      </c>
      <c r="R76" s="2">
        <f>R10/'Output-Calculation-sheet'!R9*'Output-Calculation-sheet'!R63</f>
        <v>340.39652878919037</v>
      </c>
      <c r="S76" s="2">
        <f>S10/'Output-Calculation-sheet'!S9*'Output-Calculation-sheet'!S63</f>
        <v>0</v>
      </c>
      <c r="T76" s="2">
        <f>T10/'Output-Calculation-sheet'!T9*'Output-Calculation-sheet'!T63</f>
        <v>22.307517627770491</v>
      </c>
      <c r="U76" s="2">
        <f>U10/'Output-Calculation-sheet'!U9*'Output-Calculation-sheet'!U63</f>
        <v>120.59972145487107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5.7201296919131543</v>
      </c>
      <c r="AA76" s="2">
        <f t="shared" si="6"/>
        <v>1.0816280987167202</v>
      </c>
    </row>
    <row r="77" spans="1:27" x14ac:dyDescent="0.25">
      <c r="A77" s="2">
        <v>2034</v>
      </c>
      <c r="B77" s="2">
        <f>B11/'Output-Calculation-sheet'!B10*'Output-Calculation-sheet'!B64</f>
        <v>416.9614603185538</v>
      </c>
      <c r="C77" s="2">
        <f>C11/'Output-Calculation-sheet'!C10*'Output-Calculation-sheet'!C64</f>
        <v>0</v>
      </c>
      <c r="D77" s="2">
        <f>D11/'Output-Calculation-sheet'!D10*'Output-Calculation-sheet'!D64</f>
        <v>1483.1108505032662</v>
      </c>
      <c r="E77" s="2">
        <f>E11/'Output-Calculation-sheet'!E10*'Output-Calculation-sheet'!E64</f>
        <v>1839.0157130176365</v>
      </c>
      <c r="F77" s="2">
        <f>F11/'Output-Calculation-sheet'!F10*'Output-Calculation-sheet'!F64</f>
        <v>119.65553272549798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121.59802383743464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323.51403042774052</v>
      </c>
      <c r="K77" s="2">
        <f>K11/'Output-Calculation-sheet'!K10*'Output-Calculation-sheet'!K64</f>
        <v>706.92278521769879</v>
      </c>
      <c r="L77" s="2">
        <f>L11/'Output-Calculation-sheet'!L10*'Output-Calculation-sheet'!L64</f>
        <v>291.45721392472012</v>
      </c>
      <c r="M77" s="2">
        <f>M11/'Output-Calculation-sheet'!M10*'Output-Calculation-sheet'!M64</f>
        <v>87.576766899150229</v>
      </c>
      <c r="N77" s="2">
        <f>N11/'Output-Calculation-sheet'!N10*'Output-Calculation-sheet'!N64</f>
        <v>28.964103985392573</v>
      </c>
      <c r="O77" s="2">
        <f>O11/'Output-Calculation-sheet'!O10*'Output-Calculation-sheet'!O64</f>
        <v>0</v>
      </c>
      <c r="P77" s="2">
        <f>P11/'Output-Calculation-sheet'!P10*'Output-Calculation-sheet'!P64</f>
        <v>600.68445841877849</v>
      </c>
      <c r="Q77" s="2">
        <f>Q11/'Output-Calculation-sheet'!Q10*'Output-Calculation-sheet'!Q64</f>
        <v>144.09048514756586</v>
      </c>
      <c r="R77" s="2">
        <f>R11/'Output-Calculation-sheet'!R10*'Output-Calculation-sheet'!R64</f>
        <v>741.40972808155868</v>
      </c>
      <c r="S77" s="2">
        <f>S11/'Output-Calculation-sheet'!S10*'Output-Calculation-sheet'!S64</f>
        <v>0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272.57058796262231</v>
      </c>
      <c r="V77" s="2">
        <f>V11/'Output-Calculation-sheet'!V10*'Output-Calculation-sheet'!V64</f>
        <v>106.46527613093011</v>
      </c>
      <c r="W77" s="2">
        <f>W11/'Output-Calculation-sheet'!W10*'Output-Calculation-sheet'!W64</f>
        <v>23.314617539218258</v>
      </c>
      <c r="X77" s="2">
        <f>X11/'Output-Calculation-sheet'!X10*'Output-Calculation-sheet'!X64</f>
        <v>8.7304425425468306</v>
      </c>
      <c r="Y77" s="2">
        <f>Y11/'Output-Calculation-sheet'!Y10*'Output-Calculation-sheet'!Y64</f>
        <v>49.209331448137853</v>
      </c>
      <c r="AA77" s="2">
        <f t="shared" si="6"/>
        <v>8.8097767632062371</v>
      </c>
    </row>
    <row r="78" spans="1:27" x14ac:dyDescent="0.25">
      <c r="A78" s="2">
        <v>2035</v>
      </c>
      <c r="B78" s="2">
        <f>B12/'Output-Calculation-sheet'!B11*'Output-Calculation-sheet'!B65</f>
        <v>73.606631306500404</v>
      </c>
      <c r="C78" s="2">
        <f>C12/'Output-Calculation-sheet'!C11*'Output-Calculation-sheet'!C65</f>
        <v>58.956239962213779</v>
      </c>
      <c r="D78" s="2">
        <f>D12/'Output-Calculation-sheet'!D11*'Output-Calculation-sheet'!D65</f>
        <v>2813.9368976663363</v>
      </c>
      <c r="E78" s="2">
        <f>E12/'Output-Calculation-sheet'!E11*'Output-Calculation-sheet'!E65</f>
        <v>1364.5783922078535</v>
      </c>
      <c r="F78" s="2">
        <f>F12/'Output-Calculation-sheet'!F11*'Output-Calculation-sheet'!F65</f>
        <v>703.72593176816099</v>
      </c>
      <c r="G78" s="2">
        <f>G12/'Output-Calculation-sheet'!G11*'Output-Calculation-sheet'!G65</f>
        <v>1306.0773157544593</v>
      </c>
      <c r="H78" s="2">
        <f>H12/'Output-Calculation-sheet'!H11*'Output-Calculation-sheet'!H65</f>
        <v>24.753789044545996</v>
      </c>
      <c r="I78" s="2">
        <f>I12/'Output-Calculation-sheet'!I11*'Output-Calculation-sheet'!I65</f>
        <v>867.99745111793698</v>
      </c>
      <c r="J78" s="2">
        <f>J12/'Output-Calculation-sheet'!J11*'Output-Calculation-sheet'!J65</f>
        <v>902.75920630863527</v>
      </c>
      <c r="K78" s="2">
        <f>K12/'Output-Calculation-sheet'!K11*'Output-Calculation-sheet'!K65</f>
        <v>1123.7894990572631</v>
      </c>
      <c r="L78" s="2">
        <f>L12/'Output-Calculation-sheet'!L11*'Output-Calculation-sheet'!L65</f>
        <v>610.89853467554838</v>
      </c>
      <c r="M78" s="2">
        <f>M12/'Output-Calculation-sheet'!M11*'Output-Calculation-sheet'!M65</f>
        <v>17.31007343234899</v>
      </c>
      <c r="N78" s="2">
        <f>N12/'Output-Calculation-sheet'!N11*'Output-Calculation-sheet'!N65</f>
        <v>17.993830828498464</v>
      </c>
      <c r="O78" s="2">
        <f>O12/'Output-Calculation-sheet'!O11*'Output-Calculation-sheet'!O65</f>
        <v>10.273954269069371</v>
      </c>
      <c r="P78" s="2">
        <f>P12/'Output-Calculation-sheet'!P11*'Output-Calculation-sheet'!P65</f>
        <v>211.62152877216391</v>
      </c>
      <c r="Q78" s="2">
        <f>Q12/'Output-Calculation-sheet'!Q11*'Output-Calculation-sheet'!Q65</f>
        <v>157.6949996814341</v>
      </c>
      <c r="R78" s="2">
        <f>R12/'Output-Calculation-sheet'!R11*'Output-Calculation-sheet'!R65</f>
        <v>972.51969870042217</v>
      </c>
      <c r="S78" s="2">
        <f>S12/'Output-Calculation-sheet'!S11*'Output-Calculation-sheet'!S65</f>
        <v>7.3729272383438724</v>
      </c>
      <c r="T78" s="2">
        <f>T12/'Output-Calculation-sheet'!T11*'Output-Calculation-sheet'!T65</f>
        <v>352.92193787665769</v>
      </c>
      <c r="U78" s="2">
        <f>U12/'Output-Calculation-sheet'!U11*'Output-Calculation-sheet'!U65</f>
        <v>290.31625820392014</v>
      </c>
      <c r="V78" s="2">
        <f>V12/'Output-Calculation-sheet'!V11*'Output-Calculation-sheet'!V65</f>
        <v>175.97863271421264</v>
      </c>
      <c r="W78" s="2">
        <f>W12/'Output-Calculation-sheet'!W11*'Output-Calculation-sheet'!W65</f>
        <v>125.90375171004635</v>
      </c>
      <c r="X78" s="2">
        <f>X12/'Output-Calculation-sheet'!X11*'Output-Calculation-sheet'!X65</f>
        <v>1.7673124076327063</v>
      </c>
      <c r="Y78" s="2">
        <f>Y12/'Output-Calculation-sheet'!Y11*'Output-Calculation-sheet'!Y65</f>
        <v>30.972511772605618</v>
      </c>
      <c r="AA78" s="2">
        <f t="shared" si="6"/>
        <v>12.223727306476807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62.001986304091673</v>
      </c>
      <c r="E89" s="2">
        <f>E12/'Output-Calculation-sheet'!E11*'Output-Calculation-sheet'!E74</f>
        <v>46.195405173944287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31.972176617089449</v>
      </c>
      <c r="H89" s="2">
        <f>H12/'Output-Calculation-sheet'!H11*'Output-Calculation-sheet'!H74</f>
        <v>4.0398959380719175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14.84864416621817</v>
      </c>
      <c r="K89" s="2">
        <f>K12/'Output-Calculation-sheet'!K11*'Output-Calculation-sheet'!K74</f>
        <v>20.890450554095903</v>
      </c>
      <c r="L89" s="2">
        <f>L12/'Output-Calculation-sheet'!L11*'Output-Calculation-sheet'!L74</f>
        <v>7.8169998039097672</v>
      </c>
      <c r="M89" s="2">
        <f>M12/'Output-Calculation-sheet'!M11*'Output-Calculation-sheet'!M74</f>
        <v>3.706455421518974</v>
      </c>
      <c r="N89" s="2">
        <f>N12/'Output-Calculation-sheet'!N11*'Output-Calculation-sheet'!N74</f>
        <v>1.8214222925901877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3.3653485273671357</v>
      </c>
      <c r="Q89" s="2">
        <f>Q12/'Output-Calculation-sheet'!Q11*'Output-Calculation-sheet'!Q74</f>
        <v>4.7875343977119318</v>
      </c>
      <c r="R89" s="2">
        <f>R12/'Output-Calculation-sheet'!R11*'Output-Calculation-sheet'!R74</f>
        <v>13.451937607631365</v>
      </c>
      <c r="S89" s="2">
        <f>S12/'Output-Calculation-sheet'!S11*'Output-Calculation-sheet'!S74</f>
        <v>1.5661532050578217</v>
      </c>
      <c r="T89" s="2">
        <f>T12/'Output-Calculation-sheet'!T11*'Output-Calculation-sheet'!T74</f>
        <v>3.5129718838039832</v>
      </c>
      <c r="U89" s="2">
        <f>U12/'Output-Calculation-sheet'!U11*'Output-Calculation-sheet'!U74</f>
        <v>7.1283862232733499</v>
      </c>
      <c r="V89" s="2">
        <f>V12/'Output-Calculation-sheet'!V11*'Output-Calculation-sheet'!V74</f>
        <v>0.98153723330298726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1.7657209835588401</v>
      </c>
      <c r="AA89" s="2">
        <f t="shared" si="7"/>
        <v>0.32098092186788246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1685.572457469068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518.87148037146278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357.03407482054587</v>
      </c>
      <c r="N107" s="2">
        <f>N8/'Output-Calculation-sheet'!N7*'Output-Calculation-sheet'!N88</f>
        <v>140.36263742806787</v>
      </c>
      <c r="O107" s="2">
        <f>O8/'Output-Calculation-sheet'!O7*'Output-Calculation-sheet'!O88</f>
        <v>392.95188233459305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39.167380578727538</v>
      </c>
      <c r="Y107" s="2">
        <f>Y8/'Output-Calculation-sheet'!Y7*'Output-Calculation-sheet'!Y88</f>
        <v>0</v>
      </c>
      <c r="AA107" s="2">
        <f t="shared" si="9"/>
        <v>3.1339599130024651</v>
      </c>
    </row>
    <row r="108" spans="1:27" x14ac:dyDescent="0.25">
      <c r="A108" s="2">
        <v>2032</v>
      </c>
      <c r="B108" s="2">
        <f>B9/'Output-Calculation-sheet'!B8*'Output-Calculation-sheet'!B89</f>
        <v>752.34743427627336</v>
      </c>
      <c r="C108" s="2">
        <f>C9/'Output-Calculation-sheet'!C8*'Output-Calculation-sheet'!C89</f>
        <v>2856.652045536568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769.44533624465146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529.45327338943491</v>
      </c>
      <c r="N108" s="2">
        <f>N9/'Output-Calculation-sheet'!N8*'Output-Calculation-sheet'!N89</f>
        <v>371.69050263628668</v>
      </c>
      <c r="O108" s="2">
        <f>O9/'Output-Calculation-sheet'!O8*'Output-Calculation-sheet'!O89</f>
        <v>554.96813238654045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170.45266199908056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58.082125264710818</v>
      </c>
      <c r="Y108" s="2">
        <f>Y9/'Output-Calculation-sheet'!Y8*'Output-Calculation-sheet'!Y89</f>
        <v>0</v>
      </c>
      <c r="AA108" s="2">
        <f t="shared" si="9"/>
        <v>6.0630915117335462</v>
      </c>
    </row>
    <row r="109" spans="1:27" x14ac:dyDescent="0.25">
      <c r="A109" s="2">
        <v>2033</v>
      </c>
      <c r="B109" s="2">
        <f>B10/'Output-Calculation-sheet'!B9*'Output-Calculation-sheet'!B90</f>
        <v>3816.8864379027482</v>
      </c>
      <c r="C109" s="2">
        <f>C10/'Output-Calculation-sheet'!C9*'Output-Calculation-sheet'!C90</f>
        <v>3623.1652936068008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1115.3226496991249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767.45052566128209</v>
      </c>
      <c r="N109" s="2">
        <f>N10/'Output-Calculation-sheet'!N9*'Output-Calculation-sheet'!N90</f>
        <v>603.4235243877946</v>
      </c>
      <c r="O109" s="2">
        <f>O10/'Output-Calculation-sheet'!O9*'Output-Calculation-sheet'!O90</f>
        <v>703.88036214015619</v>
      </c>
      <c r="P109" s="2">
        <f>P10/'Output-Calculation-sheet'!P9*'Output-Calculation-sheet'!P90</f>
        <v>0</v>
      </c>
      <c r="Q109" s="2">
        <f>Q10/'Output-Calculation-sheet'!Q9*'Output-Calculation-sheet'!Q90</f>
        <v>132.17284880189703</v>
      </c>
      <c r="R109" s="2">
        <f>R10/'Output-Calculation-sheet'!R9*'Output-Calculation-sheet'!R90</f>
        <v>0</v>
      </c>
      <c r="S109" s="2">
        <f>S10/'Output-Calculation-sheet'!S9*'Output-Calculation-sheet'!S90</f>
        <v>302.66529596142766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84.190918833246798</v>
      </c>
      <c r="Y109" s="2">
        <f>Y10/'Output-Calculation-sheet'!Y9*'Output-Calculation-sheet'!Y90</f>
        <v>0</v>
      </c>
      <c r="AA109" s="2">
        <f t="shared" si="9"/>
        <v>11.149157856994478</v>
      </c>
    </row>
    <row r="110" spans="1:27" x14ac:dyDescent="0.25">
      <c r="A110" s="2">
        <v>2034</v>
      </c>
      <c r="B110" s="2">
        <f>B11/'Output-Calculation-sheet'!B10*'Output-Calculation-sheet'!B91</f>
        <v>6730.3540866177018</v>
      </c>
      <c r="C110" s="2">
        <f>C11/'Output-Calculation-sheet'!C10*'Output-Calculation-sheet'!C91</f>
        <v>4614.107082384704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1311.106399666141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902.16879921975135</v>
      </c>
      <c r="N110" s="2">
        <f>N11/'Output-Calculation-sheet'!N10*'Output-Calculation-sheet'!N91</f>
        <v>812.79515209314877</v>
      </c>
      <c r="O110" s="2">
        <f>O11/'Output-Calculation-sheet'!O10*'Output-Calculation-sheet'!O91</f>
        <v>896.39282255027751</v>
      </c>
      <c r="P110" s="2">
        <f>P11/'Output-Calculation-sheet'!P10*'Output-Calculation-sheet'!P91</f>
        <v>204.78544152073687</v>
      </c>
      <c r="Q110" s="2">
        <f>Q11/'Output-Calculation-sheet'!Q10*'Output-Calculation-sheet'!Q91</f>
        <v>453.17554364617604</v>
      </c>
      <c r="R110" s="2">
        <f>R11/'Output-Calculation-sheet'!R10*'Output-Calculation-sheet'!R91</f>
        <v>0</v>
      </c>
      <c r="S110" s="2">
        <f>S11/'Output-Calculation-sheet'!S10*'Output-Calculation-sheet'!S91</f>
        <v>465.92224024955266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98.969793633994669</v>
      </c>
      <c r="Y110" s="2">
        <f>Y11/'Output-Calculation-sheet'!Y10*'Output-Calculation-sheet'!Y91</f>
        <v>15.917957328717652</v>
      </c>
      <c r="AA110" s="2">
        <f t="shared" si="9"/>
        <v>16.505695318910906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2134.2277190362261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300.95449245052606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777.39550982180833</v>
      </c>
      <c r="Q111" s="2">
        <f>Q12/'Output-Calculation-sheet'!Q11*'Output-Calculation-sheet'!Q92</f>
        <v>737.28029724763746</v>
      </c>
      <c r="R111" s="2">
        <f>R12/'Output-Calculation-sheet'!R11*'Output-Calculation-sheet'!R92</f>
        <v>0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83.086981837463199</v>
      </c>
      <c r="AA111" s="2">
        <f t="shared" si="9"/>
        <v>25.110608970333324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7923845475.7901354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2438004578.3447571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1693404270.6227493</v>
      </c>
      <c r="N118" s="2">
        <f>N8/'Output-Calculation-sheet'!N7*'Output-Calculation-sheet'!N97</f>
        <v>1328839520.4567485</v>
      </c>
      <c r="O118" s="2">
        <f>O8/'Output-Calculation-sheet'!O7*'Output-Calculation-sheet'!O97</f>
        <v>884225088.68242049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182516839.75973284</v>
      </c>
      <c r="Y118" s="2">
        <f>Y8/'Output-Calculation-sheet'!Y7*'Output-Calculation-sheet'!Y97</f>
        <v>0</v>
      </c>
      <c r="AA118" s="2">
        <f t="shared" si="10"/>
        <v>16283.258976672014</v>
      </c>
    </row>
    <row r="119" spans="1:27" x14ac:dyDescent="0.25">
      <c r="A119" s="2">
        <v>2032</v>
      </c>
      <c r="B119" s="2">
        <f>B9/'Output-Calculation-sheet'!B8*'Output-Calculation-sheet'!B98</f>
        <v>5644149534.924202</v>
      </c>
      <c r="C119" s="2">
        <f>C9/'Output-Calculation-sheet'!C8*'Output-Calculation-sheet'!C98</f>
        <v>4486084053.5995502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2681791084.9472284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1871900220.3977678</v>
      </c>
      <c r="N119" s="2">
        <f>N9/'Output-Calculation-sheet'!N8*'Output-Calculation-sheet'!N98</f>
        <v>1265939234.7841134</v>
      </c>
      <c r="O119" s="2">
        <f>O9/'Output-Calculation-sheet'!O8*'Output-Calculation-sheet'!O98</f>
        <v>876497929.10761094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525352149.54736614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200300034.42145342</v>
      </c>
      <c r="Y119" s="2">
        <f>Y9/'Output-Calculation-sheet'!Y8*'Output-Calculation-sheet'!Y98</f>
        <v>0</v>
      </c>
      <c r="AA119" s="2">
        <f t="shared" si="10"/>
        <v>17552.014241729292</v>
      </c>
    </row>
    <row r="120" spans="1:27" x14ac:dyDescent="0.25">
      <c r="A120" s="2">
        <v>2033</v>
      </c>
      <c r="B120" s="2">
        <f>B10/'Output-Calculation-sheet'!B9*'Output-Calculation-sheet'!B99</f>
        <v>5491099728.6484652</v>
      </c>
      <c r="C120" s="2">
        <f>C10/'Output-Calculation-sheet'!C9*'Output-Calculation-sheet'!C99</f>
        <v>4514024941.1303158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1480041846.9765804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1047585914.5515599</v>
      </c>
      <c r="N120" s="2">
        <f>N10/'Output-Calculation-sheet'!N9*'Output-Calculation-sheet'!N99</f>
        <v>1044332163.153862</v>
      </c>
      <c r="O120" s="2">
        <f>O10/'Output-Calculation-sheet'!O9*'Output-Calculation-sheet'!O99</f>
        <v>883748852.92504311</v>
      </c>
      <c r="P120" s="2">
        <f>P10/'Output-Calculation-sheet'!P9*'Output-Calculation-sheet'!P99</f>
        <v>0</v>
      </c>
      <c r="Q120" s="2">
        <f>Q10/'Output-Calculation-sheet'!Q9*'Output-Calculation-sheet'!Q99</f>
        <v>6635961.2264736146</v>
      </c>
      <c r="R120" s="2">
        <f>R10/'Output-Calculation-sheet'!R9*'Output-Calculation-sheet'!R99</f>
        <v>0</v>
      </c>
      <c r="S120" s="2">
        <f>S10/'Output-Calculation-sheet'!S9*'Output-Calculation-sheet'!S99</f>
        <v>437359494.8661024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104606101.39398174</v>
      </c>
      <c r="Y120" s="2">
        <f>Y10/'Output-Calculation-sheet'!Y9*'Output-Calculation-sheet'!Y99</f>
        <v>0</v>
      </c>
      <c r="AA120" s="2">
        <f t="shared" si="10"/>
        <v>15009.435004872383</v>
      </c>
    </row>
    <row r="121" spans="1:27" x14ac:dyDescent="0.25">
      <c r="A121" s="2">
        <v>2034</v>
      </c>
      <c r="B121" s="2">
        <f>B11/'Output-Calculation-sheet'!B10*'Output-Calculation-sheet'!B100</f>
        <v>4998648547.9969559</v>
      </c>
      <c r="C121" s="2">
        <f>C11/'Output-Calculation-sheet'!C10*'Output-Calculation-sheet'!C100</f>
        <v>605735460.46783078</v>
      </c>
      <c r="D121" s="2">
        <f>D11/'Output-Calculation-sheet'!D10*'Output-Calculation-sheet'!D100</f>
        <v>0</v>
      </c>
      <c r="E121" s="2">
        <f>E11/'Output-Calculation-sheet'!E10*'Output-Calculation-sheet'!E100</f>
        <v>699745300.32415748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1594958097.3012204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581046739.37357497</v>
      </c>
      <c r="M121" s="2">
        <f>M11/'Output-Calculation-sheet'!M10*'Output-Calculation-sheet'!M100</f>
        <v>1135125576.7966316</v>
      </c>
      <c r="N121" s="2">
        <f>N11/'Output-Calculation-sheet'!N10*'Output-Calculation-sheet'!N100</f>
        <v>756762858.38681507</v>
      </c>
      <c r="O121" s="2">
        <f>O11/'Output-Calculation-sheet'!O10*'Output-Calculation-sheet'!O100</f>
        <v>118817002.95363806</v>
      </c>
      <c r="P121" s="2">
        <f>P11/'Output-Calculation-sheet'!P10*'Output-Calculation-sheet'!P100</f>
        <v>0</v>
      </c>
      <c r="Q121" s="2">
        <f>Q11/'Output-Calculation-sheet'!Q10*'Output-Calculation-sheet'!Q100</f>
        <v>255147079.5532797</v>
      </c>
      <c r="R121" s="2">
        <f>R11/'Output-Calculation-sheet'!R10*'Output-Calculation-sheet'!R100</f>
        <v>0</v>
      </c>
      <c r="S121" s="2">
        <f>S11/'Output-Calculation-sheet'!S10*'Output-Calculation-sheet'!S100</f>
        <v>282948030.48860765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111534030.35786355</v>
      </c>
      <c r="Y121" s="2">
        <f>Y11/'Output-Calculation-sheet'!Y10*'Output-Calculation-sheet'!Y100</f>
        <v>16191219.041639281</v>
      </c>
      <c r="AA121" s="2">
        <f t="shared" si="10"/>
        <v>11156.659943042216</v>
      </c>
    </row>
    <row r="122" spans="1:27" x14ac:dyDescent="0.25">
      <c r="A122" s="2">
        <v>2035</v>
      </c>
      <c r="B122" s="2">
        <f>B12/'Output-Calculation-sheet'!B11*'Output-Calculation-sheet'!B101</f>
        <v>1288295778.5562787</v>
      </c>
      <c r="C122" s="2">
        <f>C12/'Output-Calculation-sheet'!C11*'Output-Calculation-sheet'!C101</f>
        <v>267359439.53308862</v>
      </c>
      <c r="D122" s="2">
        <f>D12/'Output-Calculation-sheet'!D11*'Output-Calculation-sheet'!D101</f>
        <v>0</v>
      </c>
      <c r="E122" s="2">
        <f>E12/'Output-Calculation-sheet'!E11*'Output-Calculation-sheet'!E101</f>
        <v>2209486809.3906736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463413096.47628129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1174684011.5329325</v>
      </c>
      <c r="M122" s="2">
        <f>M12/'Output-Calculation-sheet'!M11*'Output-Calculation-sheet'!M101</f>
        <v>412992351.3110649</v>
      </c>
      <c r="N122" s="2">
        <f>N12/'Output-Calculation-sheet'!N11*'Output-Calculation-sheet'!N101</f>
        <v>343859302.14227509</v>
      </c>
      <c r="O122" s="2">
        <f>O12/'Output-Calculation-sheet'!O11*'Output-Calculation-sheet'!O101</f>
        <v>45686334.404789209</v>
      </c>
      <c r="P122" s="2">
        <f>P12/'Output-Calculation-sheet'!P11*'Output-Calculation-sheet'!P101</f>
        <v>56232332.093710855</v>
      </c>
      <c r="Q122" s="2">
        <f>Q12/'Output-Calculation-sheet'!Q11*'Output-Calculation-sheet'!Q101</f>
        <v>522988901.13797206</v>
      </c>
      <c r="R122" s="2">
        <f>R12/'Output-Calculation-sheet'!R11*'Output-Calculation-sheet'!R101</f>
        <v>0</v>
      </c>
      <c r="S122" s="2">
        <f>S12/'Output-Calculation-sheet'!S11*'Output-Calculation-sheet'!S101</f>
        <v>154395559.3631469</v>
      </c>
      <c r="T122" s="2">
        <f>T12/'Output-Calculation-sheet'!T11*'Output-Calculation-sheet'!T101</f>
        <v>0</v>
      </c>
      <c r="U122" s="2">
        <f>U12/'Output-Calculation-sheet'!U11*'Output-Calculation-sheet'!U101</f>
        <v>65191383.278835118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13519553.642815085</v>
      </c>
      <c r="Y122" s="2">
        <f>Y12/'Output-Calculation-sheet'!Y11*'Output-Calculation-sheet'!Y101</f>
        <v>66389039.16443722</v>
      </c>
      <c r="AA122" s="2">
        <f t="shared" si="10"/>
        <v>7084.4938920283003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2205096122.5492487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144945.00795116866</v>
      </c>
    </row>
    <row r="130" spans="1:27" x14ac:dyDescent="0.25">
      <c r="A130" s="2">
        <v>2032</v>
      </c>
      <c r="B130" s="2">
        <f>B9/'Output-Calculation-sheet'!B8*'Output-Calculation-sheet'!B107</f>
        <v>51076320151.245819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1856368150.0770392</v>
      </c>
      <c r="O130" s="2">
        <f>O9/'Output-Calculation-sheet'!O8*'Output-Calculation-sheet'!O107</f>
        <v>0</v>
      </c>
      <c r="P130" s="2">
        <f>P9/'Output-Calculation-sheet'!P8*'Output-Calculation-sheet'!P107</f>
        <v>5669934782.7551765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1650344810.1844485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179875.43710935934</v>
      </c>
    </row>
    <row r="131" spans="1:27" x14ac:dyDescent="0.25">
      <c r="A131" s="2">
        <v>2033</v>
      </c>
      <c r="B131" s="2">
        <f>B10/'Output-Calculation-sheet'!B9*'Output-Calculation-sheet'!B108</f>
        <v>40961932992.404991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1500956262.3123863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5823188120.7845392</v>
      </c>
      <c r="R131" s="2">
        <f>R10/'Output-Calculation-sheet'!R9*'Output-Calculation-sheet'!R108</f>
        <v>6534049142.8062925</v>
      </c>
      <c r="S131" s="2">
        <f>S10/'Output-Calculation-sheet'!S9*'Output-Calculation-sheet'!S108</f>
        <v>1455847588.6013727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195504.66714998812</v>
      </c>
    </row>
    <row r="132" spans="1:27" x14ac:dyDescent="0.25">
      <c r="A132" s="2">
        <v>2034</v>
      </c>
      <c r="B132" s="2">
        <f>B11/'Output-Calculation-sheet'!B10*'Output-Calculation-sheet'!B109</f>
        <v>29403081453.318207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28315289659.381493</v>
      </c>
      <c r="F132" s="2">
        <f>F11/'Output-Calculation-sheet'!F10*'Output-Calculation-sheet'!F109</f>
        <v>18675055423.438267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11635581566.746069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8663685863.5911064</v>
      </c>
      <c r="M132" s="2">
        <f>M11/'Output-Calculation-sheet'!M10*'Output-Calculation-sheet'!M109</f>
        <v>0</v>
      </c>
      <c r="N132" s="2">
        <f>N11/'Output-Calculation-sheet'!N10*'Output-Calculation-sheet'!N109</f>
        <v>1139072429.6290252</v>
      </c>
      <c r="O132" s="2">
        <f>O11/'Output-Calculation-sheet'!O10*'Output-Calculation-sheet'!O109</f>
        <v>0</v>
      </c>
      <c r="P132" s="2">
        <f>P11/'Output-Calculation-sheet'!P10*'Output-Calculation-sheet'!P109</f>
        <v>6473302380.6359434</v>
      </c>
      <c r="Q132" s="2">
        <f>Q11/'Output-Calculation-sheet'!Q10*'Output-Calculation-sheet'!Q109</f>
        <v>4169594189.2446055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781757009.75689876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814857600.70141518</v>
      </c>
      <c r="AA132" s="2">
        <f t="shared" si="11"/>
        <v>199274.90060051935</v>
      </c>
    </row>
    <row r="133" spans="1:27" x14ac:dyDescent="0.25">
      <c r="A133" s="2">
        <v>2035</v>
      </c>
      <c r="B133" s="2">
        <f>B12/'Output-Calculation-sheet'!B11*'Output-Calculation-sheet'!B110</f>
        <v>431103329.4562903</v>
      </c>
      <c r="C133" s="2">
        <f>C12/'Output-Calculation-sheet'!C11*'Output-Calculation-sheet'!C110</f>
        <v>0</v>
      </c>
      <c r="D133" s="2">
        <f>D12/'Output-Calculation-sheet'!D11*'Output-Calculation-sheet'!D110</f>
        <v>36976593462.192574</v>
      </c>
      <c r="E133" s="2">
        <f>E12/'Output-Calculation-sheet'!E11*'Output-Calculation-sheet'!E110</f>
        <v>15838812232.513836</v>
      </c>
      <c r="F133" s="2">
        <f>F12/'Output-Calculation-sheet'!F11*'Output-Calculation-sheet'!F110</f>
        <v>19439658214.861076</v>
      </c>
      <c r="G133" s="2">
        <f>G12/'Output-Calculation-sheet'!G11*'Output-Calculation-sheet'!G110</f>
        <v>13475644121.327946</v>
      </c>
      <c r="H133" s="2">
        <f>H12/'Output-Calculation-sheet'!H11*'Output-Calculation-sheet'!H110</f>
        <v>0</v>
      </c>
      <c r="I133" s="2">
        <f>I12/'Output-Calculation-sheet'!I11*'Output-Calculation-sheet'!I110</f>
        <v>12237112533.913439</v>
      </c>
      <c r="J133" s="2">
        <f>J12/'Output-Calculation-sheet'!J11*'Output-Calculation-sheet'!J110</f>
        <v>11848317226.896015</v>
      </c>
      <c r="K133" s="2">
        <f>K12/'Output-Calculation-sheet'!K11*'Output-Calculation-sheet'!K110</f>
        <v>11908504259.209795</v>
      </c>
      <c r="L133" s="2">
        <f>L12/'Output-Calculation-sheet'!L11*'Output-Calculation-sheet'!L110</f>
        <v>6932135945.7316666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2627742374.5215211</v>
      </c>
      <c r="Q133" s="2">
        <f>Q12/'Output-Calculation-sheet'!Q11*'Output-Calculation-sheet'!Q110</f>
        <v>2210738960.909039</v>
      </c>
      <c r="R133" s="2">
        <f>R12/'Output-Calculation-sheet'!R11*'Output-Calculation-sheet'!R110</f>
        <v>7773855752.4794254</v>
      </c>
      <c r="S133" s="2">
        <f>S12/'Output-Calculation-sheet'!S11*'Output-Calculation-sheet'!S110</f>
        <v>5229771.8694786485</v>
      </c>
      <c r="T133" s="2">
        <f>T12/'Output-Calculation-sheet'!T11*'Output-Calculation-sheet'!T110</f>
        <v>2898671664.1277452</v>
      </c>
      <c r="U133" s="2">
        <f>U12/'Output-Calculation-sheet'!U11*'Output-Calculation-sheet'!U110</f>
        <v>2348525253.5058613</v>
      </c>
      <c r="V133" s="2">
        <f>V12/'Output-Calculation-sheet'!V11*'Output-Calculation-sheet'!V110</f>
        <v>1952503703.2181947</v>
      </c>
      <c r="W133" s="2">
        <f>W12/'Output-Calculation-sheet'!W11*'Output-Calculation-sheet'!W110</f>
        <v>1703152016.1549327</v>
      </c>
      <c r="X133" s="2">
        <f>X12/'Output-Calculation-sheet'!X11*'Output-Calculation-sheet'!X110</f>
        <v>0</v>
      </c>
      <c r="Y133" s="2">
        <f>Y12/'Output-Calculation-sheet'!Y11*'Output-Calculation-sheet'!Y110</f>
        <v>390667533.33337694</v>
      </c>
      <c r="AA133" s="2">
        <f t="shared" si="11"/>
        <v>150998.96835622221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14342400319.185646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4508889390.131938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3099343251.4246612</v>
      </c>
      <c r="N140" s="2">
        <f>N8/'Output-Calculation-sheet'!N7*'Output-Calculation-sheet'!N115</f>
        <v>1170124923.9078095</v>
      </c>
      <c r="O140" s="2">
        <f>O8/'Output-Calculation-sheet'!O7*'Output-Calculation-sheet'!O115</f>
        <v>3442106241.6602602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336551465.56298316</v>
      </c>
      <c r="Y140" s="2">
        <f>Y8/'Output-Calculation-sheet'!Y7*'Output-Calculation-sheet'!Y115</f>
        <v>0</v>
      </c>
      <c r="AA140" s="2">
        <f t="shared" si="12"/>
        <v>26899.415591873298</v>
      </c>
    </row>
    <row r="141" spans="1:27" x14ac:dyDescent="0.25">
      <c r="A141" s="2">
        <v>2032</v>
      </c>
      <c r="B141" s="2">
        <f>B9/'Output-Calculation-sheet'!B8*'Output-Calculation-sheet'!B116</f>
        <v>5839201958.2451601</v>
      </c>
      <c r="C141" s="2">
        <f>C9/'Output-Calculation-sheet'!C8*'Output-Calculation-sheet'!C116</f>
        <v>24995237018.807632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6516149899.2671289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4473872301.8361111</v>
      </c>
      <c r="N141" s="2">
        <f>N9/'Output-Calculation-sheet'!N8*'Output-Calculation-sheet'!N116</f>
        <v>3106039891.4340839</v>
      </c>
      <c r="O141" s="2">
        <f>O9/'Output-Calculation-sheet'!O8*'Output-Calculation-sheet'!O116</f>
        <v>4851722408.8492174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1391226325.970489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486965279.61731631</v>
      </c>
      <c r="Y141" s="2">
        <f>Y9/'Output-Calculation-sheet'!Y8*'Output-Calculation-sheet'!Y116</f>
        <v>0</v>
      </c>
      <c r="AA141" s="2">
        <f t="shared" si="12"/>
        <v>51660.415084027147</v>
      </c>
    </row>
    <row r="142" spans="1:27" x14ac:dyDescent="0.25">
      <c r="A142" s="2">
        <v>2033</v>
      </c>
      <c r="B142" s="2">
        <f>B10/'Output-Calculation-sheet'!B9*'Output-Calculation-sheet'!B117</f>
        <v>29719170064.678101</v>
      </c>
      <c r="C142" s="2">
        <f>C10/'Output-Calculation-sheet'!C9*'Output-Calculation-sheet'!C117</f>
        <v>31382215585.316303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9719303965.8152142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6678980394.992938</v>
      </c>
      <c r="N142" s="2">
        <f>N10/'Output-Calculation-sheet'!N9*'Output-Calculation-sheet'!N117</f>
        <v>5038301369.7978296</v>
      </c>
      <c r="O142" s="2">
        <f>O10/'Output-Calculation-sheet'!O9*'Output-Calculation-sheet'!O117</f>
        <v>6090889765.9680939</v>
      </c>
      <c r="P142" s="2">
        <f>P10/'Output-Calculation-sheet'!P9*'Output-Calculation-sheet'!P117</f>
        <v>0</v>
      </c>
      <c r="Q142" s="2">
        <f>Q10/'Output-Calculation-sheet'!Q9*'Output-Calculation-sheet'!Q117</f>
        <v>962262110.80566037</v>
      </c>
      <c r="R142" s="2">
        <f>R10/'Output-Calculation-sheet'!R9*'Output-Calculation-sheet'!R117</f>
        <v>0</v>
      </c>
      <c r="S142" s="2">
        <f>S10/'Output-Calculation-sheet'!S9*'Output-Calculation-sheet'!S117</f>
        <v>2449852642.9367056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732203172.82767725</v>
      </c>
      <c r="Y142" s="2">
        <f>Y10/'Output-Calculation-sheet'!Y9*'Output-Calculation-sheet'!Y117</f>
        <v>0</v>
      </c>
      <c r="AA142" s="2">
        <f t="shared" si="12"/>
        <v>92773.179073138541</v>
      </c>
    </row>
    <row r="143" spans="1:27" x14ac:dyDescent="0.25">
      <c r="A143" s="2">
        <v>2034</v>
      </c>
      <c r="B143" s="2">
        <f>B11/'Output-Calculation-sheet'!B10*'Output-Calculation-sheet'!B118</f>
        <v>52654055980.64962</v>
      </c>
      <c r="C143" s="2">
        <f>C11/'Output-Calculation-sheet'!C10*'Output-Calculation-sheet'!C118</f>
        <v>40419578041.690002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11204508125.384123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7695380739.8190413</v>
      </c>
      <c r="N143" s="2">
        <f>N11/'Output-Calculation-sheet'!N10*'Output-Calculation-sheet'!N118</f>
        <v>6771317723.5372877</v>
      </c>
      <c r="O143" s="2">
        <f>O11/'Output-Calculation-sheet'!O10*'Output-Calculation-sheet'!O118</f>
        <v>7852401125.540431</v>
      </c>
      <c r="P143" s="2">
        <f>P11/'Output-Calculation-sheet'!P10*'Output-Calculation-sheet'!P118</f>
        <v>1416320049.5181134</v>
      </c>
      <c r="Q143" s="2">
        <f>Q11/'Output-Calculation-sheet'!Q10*'Output-Calculation-sheet'!Q118</f>
        <v>3337763994.5970311</v>
      </c>
      <c r="R143" s="2">
        <f>R11/'Output-Calculation-sheet'!R10*'Output-Calculation-sheet'!R118</f>
        <v>0</v>
      </c>
      <c r="S143" s="2">
        <f>S11/'Output-Calculation-sheet'!S10*'Output-Calculation-sheet'!S118</f>
        <v>3898917618.8605309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844835720.86566913</v>
      </c>
      <c r="Y143" s="2">
        <f>Y11/'Output-Calculation-sheet'!Y10*'Output-Calculation-sheet'!Y118</f>
        <v>99002273.095427677</v>
      </c>
      <c r="AA143" s="2">
        <f t="shared" si="12"/>
        <v>136194.08139355731</v>
      </c>
    </row>
    <row r="144" spans="1:27" x14ac:dyDescent="0.25">
      <c r="A144" s="2">
        <v>2035</v>
      </c>
      <c r="B144" s="2">
        <f>B12/'Output-Calculation-sheet'!B11*'Output-Calculation-sheet'!B119</f>
        <v>92370515605.745773</v>
      </c>
      <c r="C144" s="2">
        <f>C12/'Output-Calculation-sheet'!C11*'Output-Calculation-sheet'!C119</f>
        <v>44189401376.738609</v>
      </c>
      <c r="D144" s="2">
        <f>D12/'Output-Calculation-sheet'!D11*'Output-Calculation-sheet'!D119</f>
        <v>0</v>
      </c>
      <c r="E144" s="2">
        <f>E12/'Output-Calculation-sheet'!E11*'Output-Calculation-sheet'!E119</f>
        <v>13162703171.706207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13360483946.41943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1696556689.6917033</v>
      </c>
      <c r="M144" s="2">
        <f>M12/'Output-Calculation-sheet'!M11*'Output-Calculation-sheet'!M119</f>
        <v>9118724482.1589279</v>
      </c>
      <c r="N144" s="2">
        <f>N12/'Output-Calculation-sheet'!N11*'Output-Calculation-sheet'!N119</f>
        <v>9008923140.7131329</v>
      </c>
      <c r="O144" s="2">
        <f>O12/'Output-Calculation-sheet'!O11*'Output-Calculation-sheet'!O119</f>
        <v>8588767411.5842485</v>
      </c>
      <c r="P144" s="2">
        <f>P12/'Output-Calculation-sheet'!P11*'Output-Calculation-sheet'!P119</f>
        <v>5829817652.7349129</v>
      </c>
      <c r="Q144" s="2">
        <f>Q12/'Output-Calculation-sheet'!Q11*'Output-Calculation-sheet'!Q119</f>
        <v>5521091589.0429487</v>
      </c>
      <c r="R144" s="2">
        <f>R12/'Output-Calculation-sheet'!R11*'Output-Calculation-sheet'!R119</f>
        <v>0</v>
      </c>
      <c r="S144" s="2">
        <f>S12/'Output-Calculation-sheet'!S11*'Output-Calculation-sheet'!S119</f>
        <v>5194098553.8249092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1022390126.1640534</v>
      </c>
      <c r="Y144" s="2">
        <f>Y12/'Output-Calculation-sheet'!Y11*'Output-Calculation-sheet'!Y119</f>
        <v>545938562.31726837</v>
      </c>
      <c r="AA144" s="2">
        <f t="shared" si="12"/>
        <v>209609.41230884218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4326331330.3426809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188127.68226947146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3436932058.6265302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149452.74585134003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477204159.9184711</v>
      </c>
      <c r="C155" s="2">
        <f>C12/'Output-Calculation-sheet'!C11*'Output-Calculation-sheet'!C128</f>
        <v>51413148.430949755</v>
      </c>
      <c r="D155" s="2">
        <f>D12/'Output-Calculation-sheet'!D11*'Output-Calculation-sheet'!D128</f>
        <v>3428582351.0319319</v>
      </c>
      <c r="E155" s="2">
        <f>E12/'Output-Calculation-sheet'!E11*'Output-Calculation-sheet'!E128</f>
        <v>556503419.38642597</v>
      </c>
      <c r="F155" s="2">
        <f>F12/'Output-Calculation-sheet'!F11*'Output-Calculation-sheet'!F128</f>
        <v>1252395390.0028102</v>
      </c>
      <c r="G155" s="2">
        <f>G12/'Output-Calculation-sheet'!G11*'Output-Calculation-sheet'!G128</f>
        <v>1146072418.8647716</v>
      </c>
      <c r="H155" s="2">
        <f>H12/'Output-Calculation-sheet'!H11*'Output-Calculation-sheet'!H128</f>
        <v>88615534.857521117</v>
      </c>
      <c r="I155" s="2">
        <f>I12/'Output-Calculation-sheet'!I11*'Output-Calculation-sheet'!I128</f>
        <v>1051627757.0393472</v>
      </c>
      <c r="J155" s="2">
        <f>J12/'Output-Calculation-sheet'!J11*'Output-Calculation-sheet'!J128</f>
        <v>953548003.76957357</v>
      </c>
      <c r="K155" s="2">
        <f>K12/'Output-Calculation-sheet'!K11*'Output-Calculation-sheet'!K128</f>
        <v>825756869.30728006</v>
      </c>
      <c r="L155" s="2">
        <f>L12/'Output-Calculation-sheet'!L11*'Output-Calculation-sheet'!L128</f>
        <v>311072426.14671665</v>
      </c>
      <c r="M155" s="2">
        <f>M12/'Output-Calculation-sheet'!M11*'Output-Calculation-sheet'!M128</f>
        <v>73090346.500083134</v>
      </c>
      <c r="N155" s="2">
        <f>N12/'Output-Calculation-sheet'!N11*'Output-Calculation-sheet'!N128</f>
        <v>64592971.262565345</v>
      </c>
      <c r="O155" s="2">
        <f>O12/'Output-Calculation-sheet'!O11*'Output-Calculation-sheet'!O128</f>
        <v>13302089.470998487</v>
      </c>
      <c r="P155" s="2">
        <f>P12/'Output-Calculation-sheet'!P11*'Output-Calculation-sheet'!P128</f>
        <v>84742336.465352744</v>
      </c>
      <c r="Q155" s="2">
        <f>Q12/'Output-Calculation-sheet'!Q11*'Output-Calculation-sheet'!Q128</f>
        <v>214819860.11493286</v>
      </c>
      <c r="R155" s="2">
        <f>R12/'Output-Calculation-sheet'!R11*'Output-Calculation-sheet'!R128</f>
        <v>477406100.53304714</v>
      </c>
      <c r="S155" s="2">
        <f>S12/'Output-Calculation-sheet'!S11*'Output-Calculation-sheet'!S128</f>
        <v>41234167.090255901</v>
      </c>
      <c r="T155" s="2">
        <f>T12/'Output-Calculation-sheet'!T11*'Output-Calculation-sheet'!T128</f>
        <v>122248201.3321518</v>
      </c>
      <c r="U155" s="2">
        <f>U12/'Output-Calculation-sheet'!U11*'Output-Calculation-sheet'!U128</f>
        <v>250573748.37113765</v>
      </c>
      <c r="V155" s="2">
        <f>V12/'Output-Calculation-sheet'!V11*'Output-Calculation-sheet'!V128</f>
        <v>55036049.038957126</v>
      </c>
      <c r="W155" s="2">
        <f>W12/'Output-Calculation-sheet'!W11*'Output-Calculation-sheet'!W128</f>
        <v>66970836.604578331</v>
      </c>
      <c r="X155" s="2">
        <f>X12/'Output-Calculation-sheet'!X11*'Output-Calculation-sheet'!X128</f>
        <v>2287887.868102076</v>
      </c>
      <c r="Y155" s="2">
        <f>Y12/'Output-Calculation-sheet'!Y11*'Output-Calculation-sheet'!Y128</f>
        <v>13478866.557460882</v>
      </c>
      <c r="AA155" s="2">
        <f t="shared" si="13"/>
        <v>11622.574939965423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5987.0593884786049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1813.5522814409383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1259.7654178969465</v>
      </c>
      <c r="N19" s="2">
        <f>N8/'Output-Calculation-sheet'!N7*'Output-Calculation-sheet'!N25</f>
        <v>1047.9759601703993</v>
      </c>
      <c r="O19" s="2">
        <f>O8/'Output-Calculation-sheet'!O7*'Output-Calculation-sheet'!O25</f>
        <v>657.71819195818125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136.34166138830588</v>
      </c>
      <c r="Y19" s="2">
        <f>Y8/'Output-Calculation-sheet'!Y7*'Output-Calculation-sheet'!Y25</f>
        <v>0</v>
      </c>
      <c r="AA19" s="2">
        <f t="shared" si="0"/>
        <v>12.659569537667279</v>
      </c>
    </row>
    <row r="20" spans="1:27" x14ac:dyDescent="0.25">
      <c r="A20" s="2">
        <v>2032</v>
      </c>
      <c r="B20" s="2">
        <f>B9/'Output-Calculation-sheet'!B8*'Output-Calculation-sheet'!B26</f>
        <v>6342.9925808130165</v>
      </c>
      <c r="C20" s="2">
        <f>C9/'Output-Calculation-sheet'!C8*'Output-Calculation-sheet'!C26</f>
        <v>3478.3422757762469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2088.0660430704943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1459.1549615399058</v>
      </c>
      <c r="N20" s="2">
        <f>N9/'Output-Calculation-sheet'!N8*'Output-Calculation-sheet'!N26</f>
        <v>1011.2341501012642</v>
      </c>
      <c r="O20" s="2">
        <f>O9/'Output-Calculation-sheet'!O8*'Output-Calculation-sheet'!O26</f>
        <v>679.60361967676636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479.68216639131668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158.77737067232516</v>
      </c>
      <c r="Y20" s="2">
        <f>Y9/'Output-Calculation-sheet'!Y8*'Output-Calculation-sheet'!Y26</f>
        <v>0</v>
      </c>
      <c r="AA20" s="2">
        <f t="shared" si="0"/>
        <v>15.697853168041332</v>
      </c>
    </row>
    <row r="21" spans="1:27" x14ac:dyDescent="0.25">
      <c r="A21" s="2">
        <v>2033</v>
      </c>
      <c r="B21" s="2">
        <f>B10/'Output-Calculation-sheet'!B9*'Output-Calculation-sheet'!B27</f>
        <v>5847.0142047568697</v>
      </c>
      <c r="C21" s="2">
        <f>C10/'Output-Calculation-sheet'!C9*'Output-Calculation-sheet'!C27</f>
        <v>3593.8223771018324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1178.330953809749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834.03236954242675</v>
      </c>
      <c r="N21" s="2">
        <f>N10/'Output-Calculation-sheet'!N9*'Output-Calculation-sheet'!N27</f>
        <v>844.62232195583181</v>
      </c>
      <c r="O21" s="2">
        <f>O10/'Output-Calculation-sheet'!O9*'Output-Calculation-sheet'!O27</f>
        <v>703.59337248654072</v>
      </c>
      <c r="P21" s="2">
        <f>P10/'Output-Calculation-sheet'!P9*'Output-Calculation-sheet'!P27</f>
        <v>0</v>
      </c>
      <c r="Q21" s="2">
        <f>Q10/'Output-Calculation-sheet'!Q9*'Output-Calculation-sheet'!Q27</f>
        <v>10.229911231081205</v>
      </c>
      <c r="R21" s="2">
        <f>R10/'Output-Calculation-sheet'!R9*'Output-Calculation-sheet'!R27</f>
        <v>0</v>
      </c>
      <c r="S21" s="2">
        <f>S10/'Output-Calculation-sheet'!S9*'Output-Calculation-sheet'!S27</f>
        <v>402.17787810147337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83.281716541218159</v>
      </c>
      <c r="Y21" s="2">
        <f>Y10/'Output-Calculation-sheet'!Y9*'Output-Calculation-sheet'!Y27</f>
        <v>0</v>
      </c>
      <c r="AA21" s="2">
        <f t="shared" si="0"/>
        <v>13.497105105527023</v>
      </c>
    </row>
    <row r="22" spans="1:27" x14ac:dyDescent="0.25">
      <c r="A22" s="2">
        <v>2034</v>
      </c>
      <c r="B22" s="2">
        <f>B11/'Output-Calculation-sheet'!B10*'Output-Calculation-sheet'!B28</f>
        <v>4784.4299366607393</v>
      </c>
      <c r="C22" s="2">
        <f>C11/'Output-Calculation-sheet'!C10*'Output-Calculation-sheet'!C28</f>
        <v>486.28605292023428</v>
      </c>
      <c r="D22" s="2">
        <f>D11/'Output-Calculation-sheet'!D10*'Output-Calculation-sheet'!D28</f>
        <v>0</v>
      </c>
      <c r="E22" s="2">
        <f>E11/'Output-Calculation-sheet'!E10*'Output-Calculation-sheet'!E28</f>
        <v>1614.7324618601583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1280.4292762327907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979.28343535942463</v>
      </c>
      <c r="M22" s="2">
        <f>M11/'Output-Calculation-sheet'!M10*'Output-Calculation-sheet'!M28</f>
        <v>911.27663530498523</v>
      </c>
      <c r="N22" s="2">
        <f>N11/'Output-Calculation-sheet'!N10*'Output-Calculation-sheet'!N28</f>
        <v>609.19362970020484</v>
      </c>
      <c r="O22" s="2">
        <f>O11/'Output-Calculation-sheet'!O10*'Output-Calculation-sheet'!O28</f>
        <v>95.386141013404554</v>
      </c>
      <c r="P22" s="2">
        <f>P11/'Output-Calculation-sheet'!P10*'Output-Calculation-sheet'!P28</f>
        <v>0</v>
      </c>
      <c r="Q22" s="2">
        <f>Q11/'Output-Calculation-sheet'!Q10*'Output-Calculation-sheet'!Q28</f>
        <v>311.14297457267037</v>
      </c>
      <c r="R22" s="2">
        <f>R11/'Output-Calculation-sheet'!R10*'Output-Calculation-sheet'!R28</f>
        <v>0</v>
      </c>
      <c r="S22" s="2">
        <f>S11/'Output-Calculation-sheet'!S10*'Output-Calculation-sheet'!S28</f>
        <v>228.10142170684813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89.539274233570694</v>
      </c>
      <c r="Y22" s="2">
        <f>Y11/'Output-Calculation-sheet'!Y10*'Output-Calculation-sheet'!Y28</f>
        <v>36.498737198260287</v>
      </c>
      <c r="AA22" s="2">
        <f t="shared" si="0"/>
        <v>11.426299976763293</v>
      </c>
    </row>
    <row r="23" spans="1:27" x14ac:dyDescent="0.25">
      <c r="A23" s="2">
        <v>2035</v>
      </c>
      <c r="B23" s="2">
        <f>B12/'Output-Calculation-sheet'!B11*'Output-Calculation-sheet'!B29</f>
        <v>1020.5118828495619</v>
      </c>
      <c r="C23" s="2">
        <f>C12/'Output-Calculation-sheet'!C11*'Output-Calculation-sheet'!C29</f>
        <v>211.78449229215408</v>
      </c>
      <c r="D23" s="2">
        <f>D12/'Output-Calculation-sheet'!D11*'Output-Calculation-sheet'!D29</f>
        <v>0</v>
      </c>
      <c r="E23" s="2">
        <f>E12/'Output-Calculation-sheet'!E11*'Output-Calculation-sheet'!E29</f>
        <v>2610.2036857261319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367.08965089823647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1504.9547221400953</v>
      </c>
      <c r="M23" s="2">
        <f>M12/'Output-Calculation-sheet'!M11*'Output-Calculation-sheet'!M29</f>
        <v>327.14881646463454</v>
      </c>
      <c r="N23" s="2">
        <f>N12/'Output-Calculation-sheet'!N11*'Output-Calculation-sheet'!N29</f>
        <v>272.38487352776463</v>
      </c>
      <c r="O23" s="2">
        <f>O12/'Output-Calculation-sheet'!O11*'Output-Calculation-sheet'!O29</f>
        <v>36.189963210817524</v>
      </c>
      <c r="P23" s="2">
        <f>P12/'Output-Calculation-sheet'!P11*'Output-Calculation-sheet'!P29</f>
        <v>56.685362189948016</v>
      </c>
      <c r="Q23" s="2">
        <f>Q12/'Output-Calculation-sheet'!Q11*'Output-Calculation-sheet'!Q29</f>
        <v>464.32196336455166</v>
      </c>
      <c r="R23" s="2">
        <f>R12/'Output-Calculation-sheet'!R11*'Output-Calculation-sheet'!R29</f>
        <v>0</v>
      </c>
      <c r="S23" s="2">
        <f>S12/'Output-Calculation-sheet'!S11*'Output-Calculation-sheet'!S29</f>
        <v>122.30306521493746</v>
      </c>
      <c r="T23" s="2">
        <f>T12/'Output-Calculation-sheet'!T11*'Output-Calculation-sheet'!T29</f>
        <v>0</v>
      </c>
      <c r="U23" s="2">
        <f>U12/'Output-Calculation-sheet'!U11*'Output-Calculation-sheet'!U29</f>
        <v>164.66526672429683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10.709372153792788</v>
      </c>
      <c r="Y23" s="2">
        <f>Y12/'Output-Calculation-sheet'!Y11*'Output-Calculation-sheet'!Y29</f>
        <v>68.122844974418129</v>
      </c>
      <c r="AA23" s="2">
        <f t="shared" si="0"/>
        <v>7.2370759617313416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1194.670426704251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46.839985743196735</v>
      </c>
    </row>
    <row r="31" spans="1:27" x14ac:dyDescent="0.25">
      <c r="A31" s="2">
        <v>2032</v>
      </c>
      <c r="B31" s="2">
        <f>B9/'Output-Calculation-sheet'!B8*'Output-Calculation-sheet'!B17</f>
        <v>26668.567361235018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1042.769090334808</v>
      </c>
      <c r="O31" s="2">
        <f>O9/'Output-Calculation-sheet'!O8*'Output-Calculation-sheet'!O17</f>
        <v>0</v>
      </c>
      <c r="P31" s="2">
        <f>P9/'Output-Calculation-sheet'!P8*'Output-Calculation-sheet'!P17</f>
        <v>2606.4275096015608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863.06637515139437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61.101047854108671</v>
      </c>
    </row>
    <row r="32" spans="1:27" x14ac:dyDescent="0.25">
      <c r="A32" s="2">
        <v>2033</v>
      </c>
      <c r="B32" s="2">
        <f>B10/'Output-Calculation-sheet'!B9*'Output-Calculation-sheet'!B18</f>
        <v>21150.196237007483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3310.8993906094197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856.05824114957375</v>
      </c>
      <c r="O32" s="2">
        <f>O10/'Output-Calculation-sheet'!O9*'Output-Calculation-sheet'!O18</f>
        <v>0</v>
      </c>
      <c r="P32" s="2">
        <f>P10/'Output-Calculation-sheet'!P9*'Output-Calculation-sheet'!P18</f>
        <v>3407.9248643602468</v>
      </c>
      <c r="Q32" s="2">
        <f>Q10/'Output-Calculation-sheet'!Q9*'Output-Calculation-sheet'!Q18</f>
        <v>3155.2110536799137</v>
      </c>
      <c r="R32" s="2">
        <f>R10/'Output-Calculation-sheet'!R9*'Output-Calculation-sheet'!R18</f>
        <v>2447.7453780460828</v>
      </c>
      <c r="S32" s="2">
        <f>S10/'Output-Calculation-sheet'!S9*'Output-Calculation-sheet'!S18</f>
        <v>778.75996468605433</v>
      </c>
      <c r="T32" s="2">
        <f>T10/'Output-Calculation-sheet'!T9*'Output-Calculation-sheet'!T18</f>
        <v>714.50771507165666</v>
      </c>
      <c r="U32" s="2">
        <f>U10/'Output-Calculation-sheet'!U9*'Output-Calculation-sheet'!U18</f>
        <v>789.87860527675139</v>
      </c>
      <c r="V32" s="2">
        <f>V10/'Output-Calculation-sheet'!V9*'Output-Calculation-sheet'!V18</f>
        <v>583.03023077605849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337.57829311508812</v>
      </c>
      <c r="AA32" s="2">
        <f t="shared" si="1"/>
        <v>67.23819729346296</v>
      </c>
    </row>
    <row r="33" spans="1:27" x14ac:dyDescent="0.25">
      <c r="A33" s="2">
        <v>2034</v>
      </c>
      <c r="B33" s="2">
        <f>B11/'Output-Calculation-sheet'!B10*'Output-Calculation-sheet'!B19</f>
        <v>14621.325954058295</v>
      </c>
      <c r="C33" s="2">
        <f>C11/'Output-Calculation-sheet'!C10*'Output-Calculation-sheet'!C19</f>
        <v>0</v>
      </c>
      <c r="D33" s="2">
        <f>D11/'Output-Calculation-sheet'!D10*'Output-Calculation-sheet'!D19</f>
        <v>9691.2969986577064</v>
      </c>
      <c r="E33" s="2">
        <f>E11/'Output-Calculation-sheet'!E10*'Output-Calculation-sheet'!E19</f>
        <v>12014.761339102122</v>
      </c>
      <c r="F33" s="2">
        <f>F11/'Output-Calculation-sheet'!F10*'Output-Calculation-sheet'!F19</f>
        <v>5501.3669917801435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3599.958966044288</v>
      </c>
      <c r="J33" s="2">
        <f>J11/'Output-Calculation-sheet'!J10*'Output-Calculation-sheet'!J19</f>
        <v>3043.8959184402343</v>
      </c>
      <c r="K33" s="2">
        <f>K11/'Output-Calculation-sheet'!K10*'Output-Calculation-sheet'!K19</f>
        <v>4221.7811125997223</v>
      </c>
      <c r="L33" s="2">
        <f>L11/'Output-Calculation-sheet'!L10*'Output-Calculation-sheet'!L19</f>
        <v>3434.1167520619283</v>
      </c>
      <c r="M33" s="2">
        <f>M11/'Output-Calculation-sheet'!M10*'Output-Calculation-sheet'!M19</f>
        <v>0</v>
      </c>
      <c r="N33" s="2">
        <f>N11/'Output-Calculation-sheet'!N10*'Output-Calculation-sheet'!N19</f>
        <v>651.8515598968504</v>
      </c>
      <c r="O33" s="2">
        <f>O11/'Output-Calculation-sheet'!O10*'Output-Calculation-sheet'!O19</f>
        <v>0</v>
      </c>
      <c r="P33" s="2">
        <f>P11/'Output-Calculation-sheet'!P10*'Output-Calculation-sheet'!P19</f>
        <v>3237.3637889061674</v>
      </c>
      <c r="Q33" s="2">
        <f>Q11/'Output-Calculation-sheet'!Q10*'Output-Calculation-sheet'!Q19</f>
        <v>2057.6670138136928</v>
      </c>
      <c r="R33" s="2">
        <f>R11/'Output-Calculation-sheet'!R10*'Output-Calculation-sheet'!R19</f>
        <v>3049.9162870263308</v>
      </c>
      <c r="S33" s="2">
        <f>S11/'Output-Calculation-sheet'!S10*'Output-Calculation-sheet'!S19</f>
        <v>414.38142097379364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1029.255317485826</v>
      </c>
      <c r="V33" s="2">
        <f>V11/'Output-Calculation-sheet'!V10*'Output-Calculation-sheet'!V19</f>
        <v>701.89173610549176</v>
      </c>
      <c r="W33" s="2">
        <f>W11/'Output-Calculation-sheet'!W10*'Output-Calculation-sheet'!W19</f>
        <v>437.03136828410629</v>
      </c>
      <c r="X33" s="2">
        <f>X11/'Output-Calculation-sheet'!X10*'Output-Calculation-sheet'!X19</f>
        <v>0</v>
      </c>
      <c r="Y33" s="2">
        <f>Y11/'Output-Calculation-sheet'!Y10*'Output-Calculation-sheet'!Y19</f>
        <v>357.81293664429086</v>
      </c>
      <c r="AA33" s="2">
        <f t="shared" si="1"/>
        <v>72.259598172708877</v>
      </c>
    </row>
    <row r="34" spans="1:27" x14ac:dyDescent="0.25">
      <c r="A34" s="2">
        <v>2035</v>
      </c>
      <c r="B34" s="2">
        <f>B12/'Output-Calculation-sheet'!B11*'Output-Calculation-sheet'!B20</f>
        <v>203.15839386433953</v>
      </c>
      <c r="C34" s="2">
        <f>C12/'Output-Calculation-sheet'!C11*'Output-Calculation-sheet'!C20</f>
        <v>0</v>
      </c>
      <c r="D34" s="2">
        <f>D12/'Output-Calculation-sheet'!D11*'Output-Calculation-sheet'!D20</f>
        <v>10020.445033505366</v>
      </c>
      <c r="E34" s="2">
        <f>E12/'Output-Calculation-sheet'!E11*'Output-Calculation-sheet'!E20</f>
        <v>4681.5343761162567</v>
      </c>
      <c r="F34" s="2">
        <f>F12/'Output-Calculation-sheet'!F11*'Output-Calculation-sheet'!F20</f>
        <v>6360.2566070181074</v>
      </c>
      <c r="G34" s="2">
        <f>G12/'Output-Calculation-sheet'!G11*'Output-Calculation-sheet'!G20</f>
        <v>3415.7270852396096</v>
      </c>
      <c r="H34" s="2">
        <f>H12/'Output-Calculation-sheet'!H11*'Output-Calculation-sheet'!H20</f>
        <v>0</v>
      </c>
      <c r="I34" s="2">
        <f>I12/'Output-Calculation-sheet'!I11*'Output-Calculation-sheet'!I20</f>
        <v>3794.945309777072</v>
      </c>
      <c r="J34" s="2">
        <f>J12/'Output-Calculation-sheet'!J11*'Output-Calculation-sheet'!J20</f>
        <v>3286.2157569660289</v>
      </c>
      <c r="K34" s="2">
        <f>K12/'Output-Calculation-sheet'!K11*'Output-Calculation-sheet'!K20</f>
        <v>4630.0506995767346</v>
      </c>
      <c r="L34" s="2">
        <f>L12/'Output-Calculation-sheet'!L11*'Output-Calculation-sheet'!L20</f>
        <v>2564.0075773358749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1019.472668054923</v>
      </c>
      <c r="Q34" s="2">
        <f>Q12/'Output-Calculation-sheet'!Q11*'Output-Calculation-sheet'!Q20</f>
        <v>964.52734181417122</v>
      </c>
      <c r="R34" s="2">
        <f>R12/'Output-Calculation-sheet'!R11*'Output-Calculation-sheet'!R20</f>
        <v>3418.196177050103</v>
      </c>
      <c r="S34" s="2">
        <f>S12/'Output-Calculation-sheet'!S11*'Output-Calculation-sheet'!S20</f>
        <v>2.735324194773078</v>
      </c>
      <c r="T34" s="2">
        <f>T12/'Output-Calculation-sheet'!T11*'Output-Calculation-sheet'!T20</f>
        <v>1019.4912288185922</v>
      </c>
      <c r="U34" s="2">
        <f>U12/'Output-Calculation-sheet'!U11*'Output-Calculation-sheet'!U20</f>
        <v>927.88518048586957</v>
      </c>
      <c r="V34" s="2">
        <f>V12/'Output-Calculation-sheet'!V11*'Output-Calculation-sheet'!V20</f>
        <v>895.54281166581211</v>
      </c>
      <c r="W34" s="2">
        <f>W12/'Output-Calculation-sheet'!W11*'Output-Calculation-sheet'!W20</f>
        <v>544.70902602174942</v>
      </c>
      <c r="X34" s="2">
        <f>X12/'Output-Calculation-sheet'!X11*'Output-Calculation-sheet'!X20</f>
        <v>0</v>
      </c>
      <c r="Y34" s="2">
        <f>Y12/'Output-Calculation-sheet'!Y11*'Output-Calculation-sheet'!Y20</f>
        <v>117.16950164184138</v>
      </c>
      <c r="AA34" s="2">
        <f t="shared" si="1"/>
        <v>47.86607009914723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0.17094941748660564</v>
      </c>
      <c r="E45" s="2">
        <f>E12/'Output-Calculation-sheet'!E11*'Output-Calculation-sheet'!E38*0.0114</f>
        <v>9.0572898789253203E-2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1.4974555249909632E-2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0.96888759647526568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0.1700376711520204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216.97114314344518</v>
      </c>
      <c r="R54" s="2">
        <f>R10/'Output-Calculation-sheet'!R9*'Output-Calculation-sheet'!R45</f>
        <v>1623.1374736369005</v>
      </c>
      <c r="S54" s="2">
        <f>S10/'Output-Calculation-sheet'!S9*'Output-Calculation-sheet'!S45</f>
        <v>0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20.2450100760027</v>
      </c>
      <c r="AA54" s="2">
        <f t="shared" si="3"/>
        <v>5.3434993267834452</v>
      </c>
    </row>
    <row r="55" spans="1:27" x14ac:dyDescent="0.25">
      <c r="A55" s="2">
        <v>2034</v>
      </c>
      <c r="B55" s="2">
        <f>B11/'Output-Calculation-sheet'!B10*'Output-Calculation-sheet'!B46</f>
        <v>1790.1239254796742</v>
      </c>
      <c r="C55" s="2">
        <f>C11/'Output-Calculation-sheet'!C10*'Output-Calculation-sheet'!C46</f>
        <v>0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649.22213146031334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481.18988336911411</v>
      </c>
      <c r="N55" s="2">
        <f>N11/'Output-Calculation-sheet'!N10*'Output-Calculation-sheet'!N46</f>
        <v>164.33432894458412</v>
      </c>
      <c r="O55" s="2">
        <f>O11/'Output-Calculation-sheet'!O10*'Output-Calculation-sheet'!O46</f>
        <v>0</v>
      </c>
      <c r="P55" s="2">
        <f>P11/'Output-Calculation-sheet'!P10*'Output-Calculation-sheet'!P46</f>
        <v>3504.5171654007713</v>
      </c>
      <c r="Q55" s="2">
        <f>Q11/'Output-Calculation-sheet'!Q10*'Output-Calculation-sheet'!Q46</f>
        <v>766.07234218620727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0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90.382431312131402</v>
      </c>
      <c r="X55" s="2">
        <f>X11/'Output-Calculation-sheet'!X10*'Output-Calculation-sheet'!X46</f>
        <v>45.926552169531547</v>
      </c>
      <c r="Y55" s="2">
        <f>Y11/'Output-Calculation-sheet'!Y10*'Output-Calculation-sheet'!Y46</f>
        <v>319.42830231598646</v>
      </c>
      <c r="AA55" s="2">
        <f t="shared" si="3"/>
        <v>47.632527198048379</v>
      </c>
    </row>
    <row r="56" spans="1:27" x14ac:dyDescent="0.25">
      <c r="A56" s="2">
        <v>2035</v>
      </c>
      <c r="B56" s="2">
        <f>B12/'Output-Calculation-sheet'!B11*'Output-Calculation-sheet'!B47</f>
        <v>499.33593997555357</v>
      </c>
      <c r="C56" s="2">
        <f>C12/'Output-Calculation-sheet'!C11*'Output-Calculation-sheet'!C47</f>
        <v>406.27953333249218</v>
      </c>
      <c r="D56" s="2">
        <f>D12/'Output-Calculation-sheet'!D11*'Output-Calculation-sheet'!D47</f>
        <v>16515.113315080263</v>
      </c>
      <c r="E56" s="2">
        <f>E12/'Output-Calculation-sheet'!E11*'Output-Calculation-sheet'!E47</f>
        <v>11480.512171093937</v>
      </c>
      <c r="F56" s="2">
        <f>F12/'Output-Calculation-sheet'!F11*'Output-Calculation-sheet'!F47</f>
        <v>3427.8410361093856</v>
      </c>
      <c r="G56" s="2">
        <f>G12/'Output-Calculation-sheet'!G11*'Output-Calculation-sheet'!G47</f>
        <v>7665.4275890086874</v>
      </c>
      <c r="H56" s="2">
        <f>H12/'Output-Calculation-sheet'!H11*'Output-Calculation-sheet'!H47</f>
        <v>152.85776134841603</v>
      </c>
      <c r="I56" s="2">
        <f>I12/'Output-Calculation-sheet'!I11*'Output-Calculation-sheet'!I47</f>
        <v>4504.4579092406548</v>
      </c>
      <c r="J56" s="2">
        <f>J12/'Output-Calculation-sheet'!J11*'Output-Calculation-sheet'!J47</f>
        <v>4772.3538930448813</v>
      </c>
      <c r="K56" s="2">
        <f>K12/'Output-Calculation-sheet'!K11*'Output-Calculation-sheet'!K47</f>
        <v>6595.5725242139297</v>
      </c>
      <c r="L56" s="2">
        <f>L12/'Output-Calculation-sheet'!L11*'Output-Calculation-sheet'!L47</f>
        <v>4415.1569899540327</v>
      </c>
      <c r="M56" s="2">
        <f>M12/'Output-Calculation-sheet'!M11*'Output-Calculation-sheet'!M47</f>
        <v>101.59529940263029</v>
      </c>
      <c r="N56" s="2">
        <f>N12/'Output-Calculation-sheet'!N11*'Output-Calculation-sheet'!N47</f>
        <v>111.59896228997</v>
      </c>
      <c r="O56" s="2">
        <f>O12/'Output-Calculation-sheet'!O11*'Output-Calculation-sheet'!O47</f>
        <v>74.543891749783157</v>
      </c>
      <c r="P56" s="2">
        <f>P12/'Output-Calculation-sheet'!P11*'Output-Calculation-sheet'!P47</f>
        <v>1437.9435395570067</v>
      </c>
      <c r="Q56" s="2">
        <f>Q12/'Output-Calculation-sheet'!Q11*'Output-Calculation-sheet'!Q47</f>
        <v>1062.1754350559313</v>
      </c>
      <c r="R56" s="2">
        <f>R12/'Output-Calculation-sheet'!R11*'Output-Calculation-sheet'!R47</f>
        <v>5998.5669818396709</v>
      </c>
      <c r="S56" s="2">
        <f>S12/'Output-Calculation-sheet'!S11*'Output-Calculation-sheet'!S47</f>
        <v>49.831115315905407</v>
      </c>
      <c r="T56" s="2">
        <f>T12/'Output-Calculation-sheet'!T11*'Output-Calculation-sheet'!T47</f>
        <v>2178.0837686070604</v>
      </c>
      <c r="U56" s="2">
        <f>U12/'Output-Calculation-sheet'!U11*'Output-Calculation-sheet'!U47</f>
        <v>2029.7746929756893</v>
      </c>
      <c r="V56" s="2">
        <f>V12/'Output-Calculation-sheet'!V11*'Output-Calculation-sheet'!V47</f>
        <v>1249.3721433902854</v>
      </c>
      <c r="W56" s="2">
        <f>W12/'Output-Calculation-sheet'!W11*'Output-Calculation-sheet'!W47</f>
        <v>738.93487977799612</v>
      </c>
      <c r="X56" s="2">
        <f>X12/'Output-Calculation-sheet'!X11*'Output-Calculation-sheet'!X47</f>
        <v>11.407456013761358</v>
      </c>
      <c r="Y56" s="2">
        <f>Y12/'Output-Calculation-sheet'!Y11*'Output-Calculation-sheet'!Y47</f>
        <v>244.58922789480667</v>
      </c>
      <c r="AA56" s="2">
        <f t="shared" si="3"/>
        <v>75.723326056272711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8.6384381775300714</v>
      </c>
      <c r="C63" s="2">
        <f>C8*'Output-Calculation-sheet'!C52/10^9</f>
        <v>4.6150979533461136</v>
      </c>
      <c r="D63" s="2">
        <f>D8*'Output-Calculation-sheet'!D52/10^9</f>
        <v>2.9623055746949247</v>
      </c>
      <c r="E63" s="2">
        <f>E8*'Output-Calculation-sheet'!E52/10^9</f>
        <v>2.9453263449748119</v>
      </c>
      <c r="F63" s="2">
        <f>F8*'Output-Calculation-sheet'!F52/10^9</f>
        <v>1.2473454636079526</v>
      </c>
      <c r="G63" s="2">
        <f>G8*'Output-Calculation-sheet'!G52/10^9</f>
        <v>0.89678503807798637</v>
      </c>
      <c r="H63" s="2">
        <f>H8*'Output-Calculation-sheet'!H52/10^9</f>
        <v>1.458534712564852</v>
      </c>
      <c r="I63" s="2">
        <f>I8*'Output-Calculation-sheet'!I52/10^9</f>
        <v>0.83421828524351005</v>
      </c>
      <c r="J63" s="2">
        <f>J8*'Output-Calculation-sheet'!J52/10^9</f>
        <v>1.1479409054218253</v>
      </c>
      <c r="K63" s="2">
        <f>K8*'Output-Calculation-sheet'!K52/10^9</f>
        <v>1.0085681856349491</v>
      </c>
      <c r="L63" s="2">
        <f>L8*'Output-Calculation-sheet'!L52/10^9</f>
        <v>1.3565727361293389</v>
      </c>
      <c r="M63" s="2">
        <f>M8*'Output-Calculation-sheet'!M52/10^9</f>
        <v>1.1948797147157515</v>
      </c>
      <c r="N63" s="2">
        <f>N8*'Output-Calculation-sheet'!N52/10^9</f>
        <v>1.0543081386551518</v>
      </c>
      <c r="O63" s="2">
        <f>O8*'Output-Calculation-sheet'!O52/10^9</f>
        <v>0.94420920074218717</v>
      </c>
      <c r="P63" s="2">
        <f>P8*'Output-Calculation-sheet'!P52/10^9</f>
        <v>0.69689341015232709</v>
      </c>
      <c r="Q63" s="2">
        <f>Q8*'Output-Calculation-sheet'!Q52/10^9</f>
        <v>0.78867911853192629</v>
      </c>
      <c r="R63" s="2">
        <f>R8*'Output-Calculation-sheet'!R52/10^9</f>
        <v>0.70807729543351217</v>
      </c>
      <c r="S63" s="2">
        <f>S8*'Output-Calculation-sheet'!S52/10^9</f>
        <v>0.5247103643406299</v>
      </c>
      <c r="T63" s="2">
        <f>T8*'Output-Calculation-sheet'!T52/10^9</f>
        <v>0.26920087286878491</v>
      </c>
      <c r="U63" s="2">
        <f>U8*'Output-Calculation-sheet'!U52/10^9</f>
        <v>0.18488427482047046</v>
      </c>
      <c r="V63" s="2">
        <f>V8*'Output-Calculation-sheet'!V52/10^9</f>
        <v>0.32812589622650384</v>
      </c>
      <c r="W63" s="2">
        <f>W8*'Output-Calculation-sheet'!W52/10^9</f>
        <v>0.11876620158030425</v>
      </c>
      <c r="X63" s="2">
        <f>X8*'Output-Calculation-sheet'!X52/10^9</f>
        <v>0.12237449269088593</v>
      </c>
      <c r="Y63" s="2">
        <f>Y8*'Output-Calculation-sheet'!Y52/10^9</f>
        <v>7.7491642745380271E-2</v>
      </c>
      <c r="AA63" s="2">
        <f t="shared" si="4"/>
        <v>34.123734000730153</v>
      </c>
    </row>
    <row r="64" spans="1:27" x14ac:dyDescent="0.25">
      <c r="A64" s="2">
        <v>2032</v>
      </c>
      <c r="B64" s="2">
        <f>B9*'Output-Calculation-sheet'!B53/10^9</f>
        <v>9.0940690403708171</v>
      </c>
      <c r="C64" s="2">
        <f>C9*'Output-Calculation-sheet'!C53/10^9</f>
        <v>4.8210468661859576</v>
      </c>
      <c r="D64" s="2">
        <f>D9*'Output-Calculation-sheet'!D53/10^9</f>
        <v>2.693366876280697</v>
      </c>
      <c r="E64" s="2">
        <f>E9*'Output-Calculation-sheet'!E53/10^9</f>
        <v>2.7581261837990816</v>
      </c>
      <c r="F64" s="2">
        <f>F9*'Output-Calculation-sheet'!F53/10^9</f>
        <v>1.163360329455275</v>
      </c>
      <c r="G64" s="2">
        <f>G9*'Output-Calculation-sheet'!G53/10^9</f>
        <v>0.82804429403294055</v>
      </c>
      <c r="H64" s="2">
        <f>H9*'Output-Calculation-sheet'!H53/10^9</f>
        <v>1.513049792779068</v>
      </c>
      <c r="I64" s="2">
        <f>I9*'Output-Calculation-sheet'!I53/10^9</f>
        <v>0.77408608237992882</v>
      </c>
      <c r="J64" s="2">
        <f>J9*'Output-Calculation-sheet'!J53/10^9</f>
        <v>1.0247326903652174</v>
      </c>
      <c r="K64" s="2">
        <f>K9*'Output-Calculation-sheet'!K53/10^9</f>
        <v>0.95081251817850621</v>
      </c>
      <c r="L64" s="2">
        <f>L9*'Output-Calculation-sheet'!L53/10^9</f>
        <v>1.223217462725785</v>
      </c>
      <c r="M64" s="2">
        <f>M9*'Output-Calculation-sheet'!M53/10^9</f>
        <v>1.2004280463543635</v>
      </c>
      <c r="N64" s="2">
        <f>N9*'Output-Calculation-sheet'!N53/10^9</f>
        <v>1.0807731087844259</v>
      </c>
      <c r="O64" s="2">
        <f>O9*'Output-Calculation-sheet'!O53/10^9</f>
        <v>0.97629809390563216</v>
      </c>
      <c r="P64" s="2">
        <f>P9*'Output-Calculation-sheet'!P53/10^9</f>
        <v>0.7249343593848796</v>
      </c>
      <c r="Q64" s="2">
        <f>Q9*'Output-Calculation-sheet'!Q53/10^9</f>
        <v>0.8011566857325616</v>
      </c>
      <c r="R64" s="2">
        <f>R9*'Output-Calculation-sheet'!R53/10^9</f>
        <v>0.68678047426242406</v>
      </c>
      <c r="S64" s="2">
        <f>S9*'Output-Calculation-sheet'!S53/10^9</f>
        <v>0.55263302992392715</v>
      </c>
      <c r="T64" s="2">
        <f>T9*'Output-Calculation-sheet'!T53/10^9</f>
        <v>0.2468787232922674</v>
      </c>
      <c r="U64" s="2">
        <f>U9*'Output-Calculation-sheet'!U53/10^9</f>
        <v>0.18582046770864208</v>
      </c>
      <c r="V64" s="2">
        <f>V9*'Output-Calculation-sheet'!V53/10^9</f>
        <v>0.29302835009643186</v>
      </c>
      <c r="W64" s="2">
        <f>W9*'Output-Calculation-sheet'!W53/10^9</f>
        <v>0.10888386499844628</v>
      </c>
      <c r="X64" s="2">
        <f>X9*'Output-Calculation-sheet'!X53/10^9</f>
        <v>0.12483379344450971</v>
      </c>
      <c r="Y64" s="2">
        <f>Y9*'Output-Calculation-sheet'!Y53/10^9</f>
        <v>7.6287628911434008E-2</v>
      </c>
      <c r="AA64" s="2">
        <f t="shared" si="4"/>
        <v>33.902648763353227</v>
      </c>
    </row>
    <row r="65" spans="1:27" x14ac:dyDescent="0.25">
      <c r="A65" s="2">
        <v>2033</v>
      </c>
      <c r="B65" s="2">
        <f>B10*'Output-Calculation-sheet'!B54/10^9</f>
        <v>9.1828784831355232</v>
      </c>
      <c r="C65" s="2">
        <f>C10*'Output-Calculation-sheet'!C54/10^9</f>
        <v>4.7467944568789324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1.4906536683103331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0.86843920182081147</v>
      </c>
      <c r="L65" s="2">
        <f>L10*'Output-Calculation-sheet'!L54/10^9</f>
        <v>1.0257966751348511</v>
      </c>
      <c r="M65" s="2">
        <f>M10*'Output-Calculation-sheet'!M54/10^9</f>
        <v>1.1367183545969337</v>
      </c>
      <c r="N65" s="2">
        <f>N10*'Output-Calculation-sheet'!N54/10^9</f>
        <v>1.0430783830011596</v>
      </c>
      <c r="O65" s="2">
        <f>O10*'Output-Calculation-sheet'!O54/10^9</f>
        <v>0.9512785991361189</v>
      </c>
      <c r="P65" s="2">
        <f>P10*'Output-Calculation-sheet'!P54/10^9</f>
        <v>0.73478814652623425</v>
      </c>
      <c r="Q65" s="2">
        <f>Q10*'Output-Calculation-sheet'!Q54/10^9</f>
        <v>0.80042878835461129</v>
      </c>
      <c r="R65" s="2">
        <f>R10*'Output-Calculation-sheet'!R54/10^9</f>
        <v>0.64695842562841344</v>
      </c>
      <c r="S65" s="2">
        <f>S10*'Output-Calculation-sheet'!S54/10^9</f>
        <v>0.55022233914790475</v>
      </c>
      <c r="T65" s="2">
        <f>T10*'Output-Calculation-sheet'!T54/10^9</f>
        <v>0.21628722593973257</v>
      </c>
      <c r="U65" s="2">
        <f>U10*'Output-Calculation-sheet'!U54/10^9</f>
        <v>0.18675973675093654</v>
      </c>
      <c r="V65" s="2">
        <f>V10*'Output-Calculation-sheet'!V54/10^9</f>
        <v>0.23936353431982152</v>
      </c>
      <c r="W65" s="2">
        <f>W10*'Output-Calculation-sheet'!W54/10^9</f>
        <v>9.1131202362243119E-2</v>
      </c>
      <c r="X65" s="2">
        <f>X10*'Output-Calculation-sheet'!X54/10^9</f>
        <v>0.11918572216802027</v>
      </c>
      <c r="Y65" s="2">
        <f>Y10*'Output-Calculation-sheet'!Y54/10^9</f>
        <v>7.5012076753045456E-2</v>
      </c>
      <c r="AA65" s="2">
        <f t="shared" si="4"/>
        <v>32.056519469916609</v>
      </c>
    </row>
    <row r="66" spans="1:27" x14ac:dyDescent="0.25">
      <c r="A66" s="2">
        <v>2034</v>
      </c>
      <c r="B66" s="2">
        <f>B11*'Output-Calculation-sheet'!B55/10^9</f>
        <v>8.8584835402439843</v>
      </c>
      <c r="C66" s="2">
        <f>C11*'Output-Calculation-sheet'!C55/10^9</f>
        <v>4.456167584666118</v>
      </c>
      <c r="D66" s="2">
        <f>D11*'Output-Calculation-sheet'!D55/10^9</f>
        <v>1.9992199442292882</v>
      </c>
      <c r="E66" s="2">
        <f>E11*'Output-Calculation-sheet'!E55/10^9</f>
        <v>2.4209135636545733</v>
      </c>
      <c r="F66" s="2">
        <f>F11*'Output-Calculation-sheet'!F55/10^9</f>
        <v>0.93039827413416565</v>
      </c>
      <c r="G66" s="2">
        <f>G11*'Output-Calculation-sheet'!G55/10^9</f>
        <v>0.66502841693606618</v>
      </c>
      <c r="H66" s="2">
        <f>H11*'Output-Calculation-sheet'!H55/10^9</f>
        <v>1.3877435936851072</v>
      </c>
      <c r="I66" s="2">
        <f>I11*'Output-Calculation-sheet'!I55/10^9</f>
        <v>0.65031722908194467</v>
      </c>
      <c r="J66" s="2">
        <f>J11*'Output-Calculation-sheet'!J55/10^9</f>
        <v>0.66874448070723813</v>
      </c>
      <c r="K66" s="2">
        <f>K11*'Output-Calculation-sheet'!K55/10^9</f>
        <v>0.79985026178239793</v>
      </c>
      <c r="L66" s="2">
        <f>L11*'Output-Calculation-sheet'!L55/10^9</f>
        <v>0.84706934359375263</v>
      </c>
      <c r="M66" s="2">
        <f>M11*'Output-Calculation-sheet'!M55/10^9</f>
        <v>1.0115691940087821</v>
      </c>
      <c r="N66" s="2">
        <f>N11*'Output-Calculation-sheet'!N55/10^9</f>
        <v>0.95564048665828227</v>
      </c>
      <c r="O66" s="2">
        <f>O11*'Output-Calculation-sheet'!O55/10^9</f>
        <v>0.87832563291236043</v>
      </c>
      <c r="P66" s="2">
        <f>P11*'Output-Calculation-sheet'!P55/10^9</f>
        <v>0.73344821096692125</v>
      </c>
      <c r="Q66" s="2">
        <f>Q11*'Output-Calculation-sheet'!Q55/10^9</f>
        <v>0.77582167844010685</v>
      </c>
      <c r="R66" s="2">
        <f>R11*'Output-Calculation-sheet'!R55/10^9</f>
        <v>0.59917744298765618</v>
      </c>
      <c r="S66" s="2">
        <f>S11*'Output-Calculation-sheet'!S55/10^9</f>
        <v>0.52267168290753652</v>
      </c>
      <c r="T66" s="2">
        <f>T11*'Output-Calculation-sheet'!T55/10^9</f>
        <v>0.18781229831622939</v>
      </c>
      <c r="U66" s="2">
        <f>U11*'Output-Calculation-sheet'!U55/10^9</f>
        <v>0.19175376220783213</v>
      </c>
      <c r="V66" s="2">
        <f>V11*'Output-Calculation-sheet'!V55/10^9</f>
        <v>0.17816646085827262</v>
      </c>
      <c r="W66" s="2">
        <f>W11*'Output-Calculation-sheet'!W55/10^9</f>
        <v>8.0673659467750972E-2</v>
      </c>
      <c r="X66" s="2">
        <f>X11*'Output-Calculation-sheet'!X55/10^9</f>
        <v>0.10807793474115703</v>
      </c>
      <c r="Y66" s="2">
        <f>Y11*'Output-Calculation-sheet'!Y55/10^9</f>
        <v>7.8872247068228554E-2</v>
      </c>
      <c r="AA66" s="2">
        <f t="shared" si="4"/>
        <v>29.985946924255757</v>
      </c>
    </row>
    <row r="67" spans="1:27" x14ac:dyDescent="0.25">
      <c r="A67" s="2">
        <v>2035</v>
      </c>
      <c r="B67" s="2">
        <f>B12*'Output-Calculation-sheet'!B56/10^9</f>
        <v>8.4135146821807467</v>
      </c>
      <c r="C67" s="2">
        <f>C12*'Output-Calculation-sheet'!C56/10^9</f>
        <v>3.9360714975047495</v>
      </c>
      <c r="D67" s="2">
        <f>D12*'Output-Calculation-sheet'!D56/10^9</f>
        <v>2.1469130248815467</v>
      </c>
      <c r="E67" s="2">
        <f>E12*'Output-Calculation-sheet'!E56/10^9</f>
        <v>2.6257193384997972</v>
      </c>
      <c r="F67" s="2">
        <f>F12*'Output-Calculation-sheet'!F56/10^9</f>
        <v>1.0626768967139164</v>
      </c>
      <c r="G67" s="2">
        <f>G12*'Output-Calculation-sheet'!G56/10^9</f>
        <v>0.78001182547145853</v>
      </c>
      <c r="H67" s="2">
        <f>H12*'Output-Calculation-sheet'!H56/10^9</f>
        <v>1.2439469163727122</v>
      </c>
      <c r="I67" s="2">
        <f>I12*'Output-Calculation-sheet'!I56/10^9</f>
        <v>0.73679992206388911</v>
      </c>
      <c r="J67" s="2">
        <f>J12*'Output-Calculation-sheet'!J56/10^9</f>
        <v>0.6844068895941875</v>
      </c>
      <c r="K67" s="2">
        <f>K12*'Output-Calculation-sheet'!K56/10^9</f>
        <v>0.84095991563056627</v>
      </c>
      <c r="L67" s="2">
        <f>L12*'Output-Calculation-sheet'!L56/10^9</f>
        <v>0.80290812041068815</v>
      </c>
      <c r="M67" s="2">
        <f>M12*'Output-Calculation-sheet'!M56/10^9</f>
        <v>0.86586462499937977</v>
      </c>
      <c r="N67" s="2">
        <f>N12*'Output-Calculation-sheet'!N56/10^9</f>
        <v>0.84375650863435991</v>
      </c>
      <c r="O67" s="2">
        <f>O12*'Output-Calculation-sheet'!O56/10^9</f>
        <v>0.76506394289946977</v>
      </c>
      <c r="P67" s="2">
        <f>P12*'Output-Calculation-sheet'!P56/10^9</f>
        <v>0.74397214165626213</v>
      </c>
      <c r="Q67" s="2">
        <f>Q12*'Output-Calculation-sheet'!Q56/10^9</f>
        <v>0.75330814327875051</v>
      </c>
      <c r="R67" s="2">
        <f>R12*'Output-Calculation-sheet'!R56/10^9</f>
        <v>0.62011109298042388</v>
      </c>
      <c r="S67" s="2">
        <f>S12*'Output-Calculation-sheet'!S56/10^9</f>
        <v>0.48238552560323616</v>
      </c>
      <c r="T67" s="2">
        <f>T12*'Output-Calculation-sheet'!T56/10^9</f>
        <v>0.19003820775749444</v>
      </c>
      <c r="U67" s="2">
        <f>U12*'Output-Calculation-sheet'!U56/10^9</f>
        <v>0.20408279627991519</v>
      </c>
      <c r="V67" s="2">
        <f>V12*'Output-Calculation-sheet'!V56/10^9</f>
        <v>0.14588833018892494</v>
      </c>
      <c r="W67" s="2">
        <f>W12*'Output-Calculation-sheet'!W56/10^9</f>
        <v>9.6844769992254054E-2</v>
      </c>
      <c r="X67" s="2">
        <f>X12*'Output-Calculation-sheet'!X56/10^9</f>
        <v>9.2205424361054902E-2</v>
      </c>
      <c r="Y67" s="2">
        <f>Y12*'Output-Calculation-sheet'!Y56/10^9</f>
        <v>8.6125447393010285E-2</v>
      </c>
      <c r="AA67" s="2">
        <f t="shared" si="4"/>
        <v>29.163575985348793</v>
      </c>
    </row>
    <row r="68" spans="1:27" x14ac:dyDescent="0.25">
      <c r="B68" s="2">
        <f>SUM(B60:B67)</f>
        <v>44.187383923461141</v>
      </c>
      <c r="C68" s="2">
        <f t="shared" ref="C68:Y68" si="5">SUM(C60:C67)</f>
        <v>22.575178358581869</v>
      </c>
      <c r="D68" s="2">
        <f t="shared" si="5"/>
        <v>12.030236948960223</v>
      </c>
      <c r="E68" s="2">
        <f t="shared" si="5"/>
        <v>13.259261350725877</v>
      </c>
      <c r="F68" s="2">
        <f t="shared" si="5"/>
        <v>5.4224623902141849</v>
      </c>
      <c r="G68" s="2">
        <f t="shared" si="5"/>
        <v>3.8692871026843623</v>
      </c>
      <c r="H68" s="2">
        <f t="shared" si="5"/>
        <v>7.0939286837120719</v>
      </c>
      <c r="I68" s="2">
        <f t="shared" si="5"/>
        <v>3.6764634837598167</v>
      </c>
      <c r="J68" s="2">
        <f t="shared" si="5"/>
        <v>4.3398210479087425</v>
      </c>
      <c r="K68" s="2">
        <f t="shared" si="5"/>
        <v>4.4686300830472305</v>
      </c>
      <c r="L68" s="2">
        <f t="shared" si="5"/>
        <v>5.2555643379944161</v>
      </c>
      <c r="M68" s="2">
        <f t="shared" si="5"/>
        <v>5.409459934675211</v>
      </c>
      <c r="N68" s="2">
        <f t="shared" si="5"/>
        <v>4.9775566257333796</v>
      </c>
      <c r="O68" s="2">
        <f t="shared" si="5"/>
        <v>4.5151754695957687</v>
      </c>
      <c r="P68" s="2">
        <f t="shared" si="5"/>
        <v>3.6340362686866245</v>
      </c>
      <c r="Q68" s="2">
        <f t="shared" si="5"/>
        <v>3.9193944143379564</v>
      </c>
      <c r="R68" s="2">
        <f t="shared" si="5"/>
        <v>3.2611047312924297</v>
      </c>
      <c r="S68" s="2">
        <f t="shared" si="5"/>
        <v>2.6326229419232345</v>
      </c>
      <c r="T68" s="2">
        <f t="shared" si="5"/>
        <v>1.1102173281745087</v>
      </c>
      <c r="U68" s="2">
        <f t="shared" si="5"/>
        <v>0.95330103776779651</v>
      </c>
      <c r="V68" s="2">
        <f t="shared" si="5"/>
        <v>1.1845725716899547</v>
      </c>
      <c r="W68" s="2">
        <f t="shared" si="5"/>
        <v>0.49629969840099869</v>
      </c>
      <c r="X68" s="2">
        <f t="shared" si="5"/>
        <v>0.5666773674056278</v>
      </c>
      <c r="Y68" s="2">
        <f t="shared" si="5"/>
        <v>0.3937890428710985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59.704618042914724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5.9704618042914721E-2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578.28124585773207</v>
      </c>
      <c r="Q76" s="2">
        <f>Q10/'Output-Calculation-sheet'!Q9*'Output-Calculation-sheet'!Q63</f>
        <v>68.582909338849603</v>
      </c>
      <c r="R76" s="2">
        <f>R10/'Output-Calculation-sheet'!R9*'Output-Calculation-sheet'!R63</f>
        <v>441.29698326410619</v>
      </c>
      <c r="S76" s="2">
        <f>S10/'Output-Calculation-sheet'!S9*'Output-Calculation-sheet'!S63</f>
        <v>0</v>
      </c>
      <c r="T76" s="2">
        <f>T10/'Output-Calculation-sheet'!T9*'Output-Calculation-sheet'!T63</f>
        <v>28.919919566343712</v>
      </c>
      <c r="U76" s="2">
        <f>U10/'Output-Calculation-sheet'!U9*'Output-Calculation-sheet'!U63</f>
        <v>156.34793177778192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7.4156924745963408</v>
      </c>
      <c r="AA76" s="2">
        <f t="shared" si="6"/>
        <v>1.402244666463641</v>
      </c>
    </row>
    <row r="77" spans="1:27" x14ac:dyDescent="0.25">
      <c r="A77" s="2">
        <v>2034</v>
      </c>
      <c r="B77" s="2">
        <f>B11/'Output-Calculation-sheet'!B10*'Output-Calculation-sheet'!B64</f>
        <v>545.07369143701305</v>
      </c>
      <c r="C77" s="2">
        <f>C11/'Output-Calculation-sheet'!C10*'Output-Calculation-sheet'!C64</f>
        <v>0</v>
      </c>
      <c r="D77" s="2">
        <f>D11/'Output-Calculation-sheet'!D10*'Output-Calculation-sheet'!D64</f>
        <v>1938.7995846822182</v>
      </c>
      <c r="E77" s="2">
        <f>E11/'Output-Calculation-sheet'!E10*'Output-Calculation-sheet'!E64</f>
        <v>2404.0569182086329</v>
      </c>
      <c r="F77" s="2">
        <f>F11/'Output-Calculation-sheet'!F10*'Output-Calculation-sheet'!F64</f>
        <v>156.41993116994874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158.9592565074943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422.91435439187524</v>
      </c>
      <c r="K77" s="2">
        <f>K11/'Output-Calculation-sheet'!K10*'Output-Calculation-sheet'!K64</f>
        <v>924.12620534560176</v>
      </c>
      <c r="L77" s="2">
        <f>L11/'Output-Calculation-sheet'!L10*'Output-Calculation-sheet'!L64</f>
        <v>381.00801778783779</v>
      </c>
      <c r="M77" s="2">
        <f>M11/'Output-Calculation-sheet'!M10*'Output-Calculation-sheet'!M64</f>
        <v>114.48490126969776</v>
      </c>
      <c r="N77" s="2">
        <f>N11/'Output-Calculation-sheet'!N10*'Output-Calculation-sheet'!N64</f>
        <v>37.863382065147952</v>
      </c>
      <c r="O77" s="2">
        <f>O11/'Output-Calculation-sheet'!O10*'Output-Calculation-sheet'!O64</f>
        <v>0</v>
      </c>
      <c r="P77" s="2">
        <f>P11/'Output-Calculation-sheet'!P10*'Output-Calculation-sheet'!P64</f>
        <v>785.2459430879378</v>
      </c>
      <c r="Q77" s="2">
        <f>Q11/'Output-Calculation-sheet'!Q10*'Output-Calculation-sheet'!Q64</f>
        <v>188.36257092041609</v>
      </c>
      <c r="R77" s="2">
        <f>R11/'Output-Calculation-sheet'!R10*'Output-Calculation-sheet'!R64</f>
        <v>969.20932942814886</v>
      </c>
      <c r="S77" s="2">
        <f>S11/'Output-Calculation-sheet'!S10*'Output-Calculation-sheet'!S64</f>
        <v>0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356.31843874596234</v>
      </c>
      <c r="V77" s="2">
        <f>V11/'Output-Calculation-sheet'!V10*'Output-Calculation-sheet'!V64</f>
        <v>139.17694221957981</v>
      </c>
      <c r="W77" s="2">
        <f>W11/'Output-Calculation-sheet'!W10*'Output-Calculation-sheet'!W64</f>
        <v>30.478079765057696</v>
      </c>
      <c r="X77" s="2">
        <f>X11/'Output-Calculation-sheet'!X10*'Output-Calculation-sheet'!X64</f>
        <v>11.412888234104715</v>
      </c>
      <c r="Y77" s="2">
        <f>Y11/'Output-Calculation-sheet'!Y10*'Output-Calculation-sheet'!Y64</f>
        <v>64.328995598518247</v>
      </c>
      <c r="AA77" s="2">
        <f t="shared" si="6"/>
        <v>11.516598050544498</v>
      </c>
    </row>
    <row r="78" spans="1:27" x14ac:dyDescent="0.25">
      <c r="A78" s="2">
        <v>2035</v>
      </c>
      <c r="B78" s="2">
        <f>B12/'Output-Calculation-sheet'!B11*'Output-Calculation-sheet'!B65</f>
        <v>94.945162301065977</v>
      </c>
      <c r="C78" s="2">
        <f>C12/'Output-Calculation-sheet'!C11*'Output-Calculation-sheet'!C65</f>
        <v>76.047628760027735</v>
      </c>
      <c r="D78" s="2">
        <f>D12/'Output-Calculation-sheet'!D11*'Output-Calculation-sheet'!D65</f>
        <v>3629.6960030868017</v>
      </c>
      <c r="E78" s="2">
        <f>E12/'Output-Calculation-sheet'!E11*'Output-Calculation-sheet'!E65</f>
        <v>1760.1690855978688</v>
      </c>
      <c r="F78" s="2">
        <f>F12/'Output-Calculation-sheet'!F11*'Output-Calculation-sheet'!F65</f>
        <v>907.73577898131941</v>
      </c>
      <c r="G78" s="2">
        <f>G12/'Output-Calculation-sheet'!G11*'Output-Calculation-sheet'!G65</f>
        <v>1684.7085720535677</v>
      </c>
      <c r="H78" s="2">
        <f>H12/'Output-Calculation-sheet'!H11*'Output-Calculation-sheet'!H65</f>
        <v>31.929901921665728</v>
      </c>
      <c r="I78" s="2">
        <f>I12/'Output-Calculation-sheet'!I11*'Output-Calculation-sheet'!I65</f>
        <v>1119.6295416663913</v>
      </c>
      <c r="J78" s="2">
        <f>J12/'Output-Calculation-sheet'!J11*'Output-Calculation-sheet'!J65</f>
        <v>1164.4687148477797</v>
      </c>
      <c r="K78" s="2">
        <f>K12/'Output-Calculation-sheet'!K11*'Output-Calculation-sheet'!K65</f>
        <v>1449.5755951108531</v>
      </c>
      <c r="L78" s="2">
        <f>L12/'Output-Calculation-sheet'!L11*'Output-Calculation-sheet'!L65</f>
        <v>787.99775909770528</v>
      </c>
      <c r="M78" s="2">
        <f>M12/'Output-Calculation-sheet'!M11*'Output-Calculation-sheet'!M65</f>
        <v>22.328256331065138</v>
      </c>
      <c r="N78" s="2">
        <f>N12/'Output-Calculation-sheet'!N11*'Output-Calculation-sheet'!N65</f>
        <v>23.210234704476076</v>
      </c>
      <c r="O78" s="2">
        <f>O12/'Output-Calculation-sheet'!O11*'Output-Calculation-sheet'!O65</f>
        <v>13.252369225928362</v>
      </c>
      <c r="P78" s="2">
        <f>P12/'Output-Calculation-sheet'!P11*'Output-Calculation-sheet'!P65</f>
        <v>272.97051962624442</v>
      </c>
      <c r="Q78" s="2">
        <f>Q12/'Output-Calculation-sheet'!Q11*'Output-Calculation-sheet'!Q65</f>
        <v>203.41071277226146</v>
      </c>
      <c r="R78" s="2">
        <f>R12/'Output-Calculation-sheet'!R11*'Output-Calculation-sheet'!R65</f>
        <v>1254.452744204596</v>
      </c>
      <c r="S78" s="2">
        <f>S12/'Output-Calculation-sheet'!S11*'Output-Calculation-sheet'!S65</f>
        <v>9.5103356973855675</v>
      </c>
      <c r="T78" s="2">
        <f>T12/'Output-Calculation-sheet'!T11*'Output-Calculation-sheet'!T65</f>
        <v>455.23385701183111</v>
      </c>
      <c r="U78" s="2">
        <f>U12/'Output-Calculation-sheet'!U11*'Output-Calculation-sheet'!U65</f>
        <v>374.47881752707121</v>
      </c>
      <c r="V78" s="2">
        <f>V12/'Output-Calculation-sheet'!V11*'Output-Calculation-sheet'!V65</f>
        <v>226.9947632163277</v>
      </c>
      <c r="W78" s="2">
        <f>W12/'Output-Calculation-sheet'!W11*'Output-Calculation-sheet'!W65</f>
        <v>162.4031955850121</v>
      </c>
      <c r="X78" s="2">
        <f>X12/'Output-Calculation-sheet'!X11*'Output-Calculation-sheet'!X65</f>
        <v>2.2796555201753441</v>
      </c>
      <c r="Y78" s="2">
        <f>Y12/'Output-Calculation-sheet'!Y11*'Output-Calculation-sheet'!Y65</f>
        <v>39.951429713942304</v>
      </c>
      <c r="AA78" s="2">
        <f t="shared" si="6"/>
        <v>15.767380634561365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79.976335666248247</v>
      </c>
      <c r="E89" s="2">
        <f>E12/'Output-Calculation-sheet'!E11*'Output-Calculation-sheet'!E74</f>
        <v>59.587433413982367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41.240896970105219</v>
      </c>
      <c r="H89" s="2">
        <f>H12/'Output-Calculation-sheet'!H11*'Output-Calculation-sheet'!H74</f>
        <v>5.2110600459687291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19.153259771417584</v>
      </c>
      <c r="K89" s="2">
        <f>K12/'Output-Calculation-sheet'!K11*'Output-Calculation-sheet'!K74</f>
        <v>26.946583252015571</v>
      </c>
      <c r="L89" s="2">
        <f>L12/'Output-Calculation-sheet'!L11*'Output-Calculation-sheet'!L74</f>
        <v>10.083144710143381</v>
      </c>
      <c r="M89" s="2">
        <f>M12/'Output-Calculation-sheet'!M11*'Output-Calculation-sheet'!M74</f>
        <v>4.7809552660061314</v>
      </c>
      <c r="N89" s="2">
        <f>N12/'Output-Calculation-sheet'!N11*'Output-Calculation-sheet'!N74</f>
        <v>2.3494518376835791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4.3409616288513408</v>
      </c>
      <c r="Q89" s="2">
        <f>Q12/'Output-Calculation-sheet'!Q11*'Output-Calculation-sheet'!Q74</f>
        <v>6.1754385759065773</v>
      </c>
      <c r="R89" s="2">
        <f>R12/'Output-Calculation-sheet'!R11*'Output-Calculation-sheet'!R74</f>
        <v>17.351648577722376</v>
      </c>
      <c r="S89" s="2">
        <f>S12/'Output-Calculation-sheet'!S11*'Output-Calculation-sheet'!S74</f>
        <v>2.0201803506448135</v>
      </c>
      <c r="T89" s="2">
        <f>T12/'Output-Calculation-sheet'!T11*'Output-Calculation-sheet'!T74</f>
        <v>4.53138093330179</v>
      </c>
      <c r="U89" s="2">
        <f>U12/'Output-Calculation-sheet'!U11*'Output-Calculation-sheet'!U74</f>
        <v>9.1949023464357378</v>
      </c>
      <c r="V89" s="2">
        <f>V12/'Output-Calculation-sheet'!V11*'Output-Calculation-sheet'!V74</f>
        <v>1.2660844582390407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2.2776027429418106</v>
      </c>
      <c r="AA89" s="2">
        <f t="shared" si="7"/>
        <v>0.41403315409708868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2041.6311173740689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628.47737903534596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432.4535998950758</v>
      </c>
      <c r="N107" s="2">
        <f>N8/'Output-Calculation-sheet'!N7*'Output-Calculation-sheet'!N88</f>
        <v>170.01270222469586</v>
      </c>
      <c r="O107" s="2">
        <f>O8/'Output-Calculation-sheet'!O7*'Output-Calculation-sheet'!O88</f>
        <v>475.95864956742213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47.441059339349316</v>
      </c>
      <c r="Y107" s="2">
        <f>Y8/'Output-Calculation-sheet'!Y7*'Output-Calculation-sheet'!Y88</f>
        <v>0</v>
      </c>
      <c r="AA107" s="2">
        <f t="shared" si="9"/>
        <v>3.7959745074359579</v>
      </c>
    </row>
    <row r="108" spans="1:27" x14ac:dyDescent="0.25">
      <c r="A108" s="2">
        <v>2032</v>
      </c>
      <c r="B108" s="2">
        <f>B9/'Output-Calculation-sheet'!B8*'Output-Calculation-sheet'!B89</f>
        <v>949.89697751453252</v>
      </c>
      <c r="C108" s="2">
        <f>C9/'Output-Calculation-sheet'!C8*'Output-Calculation-sheet'!C89</f>
        <v>3606.7447302138939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971.48440462821111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668.47581478309098</v>
      </c>
      <c r="N108" s="2">
        <f>N9/'Output-Calculation-sheet'!N8*'Output-Calculation-sheet'!N89</f>
        <v>469.28808279209784</v>
      </c>
      <c r="O108" s="2">
        <f>O9/'Output-Calculation-sheet'!O8*'Output-Calculation-sheet'!O89</f>
        <v>700.69030284919882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215.20970374277391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73.33318719913288</v>
      </c>
      <c r="Y108" s="2">
        <f>Y9/'Output-Calculation-sheet'!Y8*'Output-Calculation-sheet'!Y89</f>
        <v>0</v>
      </c>
      <c r="AA108" s="2">
        <f t="shared" si="9"/>
        <v>7.6551232037229333</v>
      </c>
    </row>
    <row r="109" spans="1:27" x14ac:dyDescent="0.25">
      <c r="A109" s="2">
        <v>2033</v>
      </c>
      <c r="B109" s="2">
        <f>B10/'Output-Calculation-sheet'!B9*'Output-Calculation-sheet'!B90</f>
        <v>4948.28920993877</v>
      </c>
      <c r="C109" s="2">
        <f>C10/'Output-Calculation-sheet'!C9*'Output-Calculation-sheet'!C90</f>
        <v>4697.1451783695884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1445.9269676723661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994.93847068140622</v>
      </c>
      <c r="N109" s="2">
        <f>N10/'Output-Calculation-sheet'!N9*'Output-Calculation-sheet'!N90</f>
        <v>782.2905300771821</v>
      </c>
      <c r="O109" s="2">
        <f>O10/'Output-Calculation-sheet'!O9*'Output-Calculation-sheet'!O90</f>
        <v>912.5248177359249</v>
      </c>
      <c r="P109" s="2">
        <f>P10/'Output-Calculation-sheet'!P9*'Output-Calculation-sheet'!P90</f>
        <v>0</v>
      </c>
      <c r="Q109" s="2">
        <f>Q10/'Output-Calculation-sheet'!Q9*'Output-Calculation-sheet'!Q90</f>
        <v>171.35156945687464</v>
      </c>
      <c r="R109" s="2">
        <f>R10/'Output-Calculation-sheet'!R9*'Output-Calculation-sheet'!R90</f>
        <v>0</v>
      </c>
      <c r="S109" s="2">
        <f>S10/'Output-Calculation-sheet'!S9*'Output-Calculation-sheet'!S90</f>
        <v>392.38144560878794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109.14681953867466</v>
      </c>
      <c r="Y109" s="2">
        <f>Y10/'Output-Calculation-sheet'!Y9*'Output-Calculation-sheet'!Y90</f>
        <v>0</v>
      </c>
      <c r="AA109" s="2">
        <f t="shared" si="9"/>
        <v>14.453995009079572</v>
      </c>
    </row>
    <row r="110" spans="1:27" x14ac:dyDescent="0.25">
      <c r="A110" s="2">
        <v>2034</v>
      </c>
      <c r="B110" s="2">
        <f>B11/'Output-Calculation-sheet'!B10*'Output-Calculation-sheet'!B91</f>
        <v>8798.268655017122</v>
      </c>
      <c r="C110" s="2">
        <f>C11/'Output-Calculation-sheet'!C10*'Output-Calculation-sheet'!C91</f>
        <v>6031.8005845423795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1713.9464270552271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1179.3619422627623</v>
      </c>
      <c r="N110" s="2">
        <f>N11/'Output-Calculation-sheet'!N10*'Output-Calculation-sheet'!N91</f>
        <v>1062.5280657714713</v>
      </c>
      <c r="O110" s="2">
        <f>O11/'Output-Calculation-sheet'!O10*'Output-Calculation-sheet'!O91</f>
        <v>1171.811285368768</v>
      </c>
      <c r="P110" s="2">
        <f>P11/'Output-Calculation-sheet'!P10*'Output-Calculation-sheet'!P91</f>
        <v>267.70617235700337</v>
      </c>
      <c r="Q110" s="2">
        <f>Q11/'Output-Calculation-sheet'!Q10*'Output-Calculation-sheet'!Q91</f>
        <v>592.41462329751175</v>
      </c>
      <c r="R110" s="2">
        <f>R11/'Output-Calculation-sheet'!R10*'Output-Calculation-sheet'!R91</f>
        <v>0</v>
      </c>
      <c r="S110" s="2">
        <f>S11/'Output-Calculation-sheet'!S10*'Output-Calculation-sheet'!S91</f>
        <v>609.07776757449585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129.37845794099741</v>
      </c>
      <c r="Y110" s="2">
        <f>Y11/'Output-Calculation-sheet'!Y10*'Output-Calculation-sheet'!Y91</f>
        <v>20.808781115339219</v>
      </c>
      <c r="AA110" s="2">
        <f t="shared" si="9"/>
        <v>21.577102762303081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2752.9394237259853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388.20107134052017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1002.7621362646597</v>
      </c>
      <c r="Q111" s="2">
        <f>Q12/'Output-Calculation-sheet'!Q11*'Output-Calculation-sheet'!Q92</f>
        <v>951.01754068961293</v>
      </c>
      <c r="R111" s="2">
        <f>R12/'Output-Calculation-sheet'!R11*'Output-Calculation-sheet'!R92</f>
        <v>0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107.17386240398409</v>
      </c>
      <c r="AA111" s="2">
        <f t="shared" si="9"/>
        <v>32.390163791619571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9597670762.2097263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2953006255.7636709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2051117314.997412</v>
      </c>
      <c r="N118" s="2">
        <f>N8/'Output-Calculation-sheet'!N7*'Output-Calculation-sheet'!N97</f>
        <v>1609542267.3401861</v>
      </c>
      <c r="O118" s="2">
        <f>O8/'Output-Calculation-sheet'!O7*'Output-Calculation-sheet'!O97</f>
        <v>1071007922.4523656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221071516.5919145</v>
      </c>
      <c r="Y118" s="2">
        <f>Y8/'Output-Calculation-sheet'!Y7*'Output-Calculation-sheet'!Y97</f>
        <v>0</v>
      </c>
      <c r="AA118" s="2">
        <f t="shared" si="10"/>
        <v>19722.918508618481</v>
      </c>
    </row>
    <row r="119" spans="1:27" x14ac:dyDescent="0.25">
      <c r="A119" s="2">
        <v>2032</v>
      </c>
      <c r="B119" s="2">
        <f>B9/'Output-Calculation-sheet'!B8*'Output-Calculation-sheet'!B98</f>
        <v>7126176470.611557</v>
      </c>
      <c r="C119" s="2">
        <f>C9/'Output-Calculation-sheet'!C8*'Output-Calculation-sheet'!C98</f>
        <v>5664028996.7753582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3385969207.6537843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2363419187.140708</v>
      </c>
      <c r="N119" s="2">
        <f>N9/'Output-Calculation-sheet'!N8*'Output-Calculation-sheet'!N98</f>
        <v>1598346452.7864783</v>
      </c>
      <c r="O119" s="2">
        <f>O9/'Output-Calculation-sheet'!O8*'Output-Calculation-sheet'!O98</f>
        <v>1106646604.6474609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663297827.90560353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252894325.97855774</v>
      </c>
      <c r="Y119" s="2">
        <f>Y9/'Output-Calculation-sheet'!Y8*'Output-Calculation-sheet'!Y98</f>
        <v>0</v>
      </c>
      <c r="AA119" s="2">
        <f t="shared" si="10"/>
        <v>22160.779073499511</v>
      </c>
    </row>
    <row r="120" spans="1:27" x14ac:dyDescent="0.25">
      <c r="A120" s="2">
        <v>2033</v>
      </c>
      <c r="B120" s="2">
        <f>B10/'Output-Calculation-sheet'!B9*'Output-Calculation-sheet'!B99</f>
        <v>7118773371.9682713</v>
      </c>
      <c r="C120" s="2">
        <f>C10/'Output-Calculation-sheet'!C9*'Output-Calculation-sheet'!C99</f>
        <v>5852073744.6574144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1918756353.0646143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1358111686.5262635</v>
      </c>
      <c r="N120" s="2">
        <f>N10/'Output-Calculation-sheet'!N9*'Output-Calculation-sheet'!N99</f>
        <v>1353893457.0360773</v>
      </c>
      <c r="O120" s="2">
        <f>O10/'Output-Calculation-sheet'!O9*'Output-Calculation-sheet'!O99</f>
        <v>1145709987.5435641</v>
      </c>
      <c r="P120" s="2">
        <f>P10/'Output-Calculation-sheet'!P9*'Output-Calculation-sheet'!P99</f>
        <v>0</v>
      </c>
      <c r="Q120" s="2">
        <f>Q10/'Output-Calculation-sheet'!Q9*'Output-Calculation-sheet'!Q99</f>
        <v>8602995.1031433046</v>
      </c>
      <c r="R120" s="2">
        <f>R10/'Output-Calculation-sheet'!R9*'Output-Calculation-sheet'!R99</f>
        <v>0</v>
      </c>
      <c r="S120" s="2">
        <f>S10/'Output-Calculation-sheet'!S9*'Output-Calculation-sheet'!S99</f>
        <v>567001744.62076783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135613477.43581715</v>
      </c>
      <c r="Y120" s="2">
        <f>Y10/'Output-Calculation-sheet'!Y9*'Output-Calculation-sheet'!Y99</f>
        <v>0</v>
      </c>
      <c r="AA120" s="2">
        <f t="shared" si="10"/>
        <v>19458.536817955934</v>
      </c>
    </row>
    <row r="121" spans="1:27" x14ac:dyDescent="0.25">
      <c r="A121" s="2">
        <v>2034</v>
      </c>
      <c r="B121" s="2">
        <f>B11/'Output-Calculation-sheet'!B10*'Output-Calculation-sheet'!B100</f>
        <v>6534493173.9527636</v>
      </c>
      <c r="C121" s="2">
        <f>C11/'Output-Calculation-sheet'!C10*'Output-Calculation-sheet'!C100</f>
        <v>791848875.47940993</v>
      </c>
      <c r="D121" s="2">
        <f>D11/'Output-Calculation-sheet'!D10*'Output-Calculation-sheet'!D100</f>
        <v>0</v>
      </c>
      <c r="E121" s="2">
        <f>E11/'Output-Calculation-sheet'!E10*'Output-Calculation-sheet'!E100</f>
        <v>914743424.0612905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2085012118.6719327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759574496.13167882</v>
      </c>
      <c r="M121" s="2">
        <f>M11/'Output-Calculation-sheet'!M10*'Output-Calculation-sheet'!M100</f>
        <v>1483895149.2457078</v>
      </c>
      <c r="N121" s="2">
        <f>N11/'Output-Calculation-sheet'!N10*'Output-Calculation-sheet'!N100</f>
        <v>989279739.30297554</v>
      </c>
      <c r="O121" s="2">
        <f>O11/'Output-Calculation-sheet'!O10*'Output-Calculation-sheet'!O100</f>
        <v>155323761.47172692</v>
      </c>
      <c r="P121" s="2">
        <f>P11/'Output-Calculation-sheet'!P10*'Output-Calculation-sheet'!P100</f>
        <v>0</v>
      </c>
      <c r="Q121" s="2">
        <f>Q11/'Output-Calculation-sheet'!Q10*'Output-Calculation-sheet'!Q100</f>
        <v>333541523.01085216</v>
      </c>
      <c r="R121" s="2">
        <f>R11/'Output-Calculation-sheet'!R10*'Output-Calculation-sheet'!R100</f>
        <v>0</v>
      </c>
      <c r="S121" s="2">
        <f>S11/'Output-Calculation-sheet'!S10*'Output-Calculation-sheet'!S100</f>
        <v>369884370.95704192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145803081.18060225</v>
      </c>
      <c r="Y121" s="2">
        <f>Y11/'Output-Calculation-sheet'!Y10*'Output-Calculation-sheet'!Y100</f>
        <v>21166003.028551053</v>
      </c>
      <c r="AA121" s="2">
        <f t="shared" si="10"/>
        <v>14584.565716494537</v>
      </c>
    </row>
    <row r="122" spans="1:27" x14ac:dyDescent="0.25">
      <c r="A122" s="2">
        <v>2035</v>
      </c>
      <c r="B122" s="2">
        <f>B12/'Output-Calculation-sheet'!B11*'Output-Calculation-sheet'!B101</f>
        <v>1661772174.8122146</v>
      </c>
      <c r="C122" s="2">
        <f>C12/'Output-Calculation-sheet'!C11*'Output-Calculation-sheet'!C101</f>
        <v>344866826.92336935</v>
      </c>
      <c r="D122" s="2">
        <f>D12/'Output-Calculation-sheet'!D11*'Output-Calculation-sheet'!D101</f>
        <v>0</v>
      </c>
      <c r="E122" s="2">
        <f>E12/'Output-Calculation-sheet'!E11*'Output-Calculation-sheet'!E101</f>
        <v>2850016092.2475967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597756355.32303452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1515224405.0273764</v>
      </c>
      <c r="M122" s="2">
        <f>M12/'Output-Calculation-sheet'!M11*'Output-Calculation-sheet'!M101</f>
        <v>532718657.65802312</v>
      </c>
      <c r="N122" s="2">
        <f>N12/'Output-Calculation-sheet'!N11*'Output-Calculation-sheet'!N101</f>
        <v>443543967.04670781</v>
      </c>
      <c r="O122" s="2">
        <f>O12/'Output-Calculation-sheet'!O11*'Output-Calculation-sheet'!O101</f>
        <v>58930783.246161297</v>
      </c>
      <c r="P122" s="2">
        <f>P12/'Output-Calculation-sheet'!P11*'Output-Calculation-sheet'!P101</f>
        <v>72534061.16322726</v>
      </c>
      <c r="Q122" s="2">
        <f>Q12/'Output-Calculation-sheet'!Q11*'Output-Calculation-sheet'!Q101</f>
        <v>674603160.3244381</v>
      </c>
      <c r="R122" s="2">
        <f>R12/'Output-Calculation-sheet'!R11*'Output-Calculation-sheet'!R101</f>
        <v>0</v>
      </c>
      <c r="S122" s="2">
        <f>S12/'Output-Calculation-sheet'!S11*'Output-Calculation-sheet'!S101</f>
        <v>199154766.11416745</v>
      </c>
      <c r="T122" s="2">
        <f>T12/'Output-Calculation-sheet'!T11*'Output-Calculation-sheet'!T101</f>
        <v>0</v>
      </c>
      <c r="U122" s="2">
        <f>U12/'Output-Calculation-sheet'!U11*'Output-Calculation-sheet'!U101</f>
        <v>84090337.462480471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17438866.472641934</v>
      </c>
      <c r="Y122" s="2">
        <f>Y12/'Output-Calculation-sheet'!Y11*'Output-Calculation-sheet'!Y101</f>
        <v>85635193.278063416</v>
      </c>
      <c r="AA122" s="2">
        <f t="shared" si="10"/>
        <v>9138.2856470995011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2670898447.971386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175563.04816790603</v>
      </c>
    </row>
    <row r="130" spans="1:27" x14ac:dyDescent="0.25">
      <c r="A130" s="2">
        <v>2032</v>
      </c>
      <c r="B130" s="2">
        <f>B9/'Output-Calculation-sheet'!B8*'Output-Calculation-sheet'!B107</f>
        <v>64487814969.29615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2343808743.9065981</v>
      </c>
      <c r="O130" s="2">
        <f>O9/'Output-Calculation-sheet'!O8*'Output-Calculation-sheet'!O107</f>
        <v>0</v>
      </c>
      <c r="P130" s="2">
        <f>P9/'Output-Calculation-sheet'!P8*'Output-Calculation-sheet'!P107</f>
        <v>7158732345.5480709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2083688300.9497113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227106.68802060719</v>
      </c>
    </row>
    <row r="131" spans="1:27" x14ac:dyDescent="0.25">
      <c r="A131" s="2">
        <v>2033</v>
      </c>
      <c r="B131" s="2">
        <f>B10/'Output-Calculation-sheet'!B9*'Output-Calculation-sheet'!B108</f>
        <v>53103883058.130684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1945870226.4852781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7549299517.8956757</v>
      </c>
      <c r="R131" s="2">
        <f>R10/'Output-Calculation-sheet'!R9*'Output-Calculation-sheet'!R108</f>
        <v>8470874205.0820885</v>
      </c>
      <c r="S131" s="2">
        <f>S10/'Output-Calculation-sheet'!S9*'Output-Calculation-sheet'!S108</f>
        <v>1887390424.4187799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253456.22687231915</v>
      </c>
    </row>
    <row r="132" spans="1:27" x14ac:dyDescent="0.25">
      <c r="A132" s="2">
        <v>2034</v>
      </c>
      <c r="B132" s="2">
        <f>B11/'Output-Calculation-sheet'!B10*'Output-Calculation-sheet'!B109</f>
        <v>38437236225.954796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37015218257.716232</v>
      </c>
      <c r="F132" s="2">
        <f>F11/'Output-Calculation-sheet'!F10*'Output-Calculation-sheet'!F109</f>
        <v>24413003037.900558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15210636953.730299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11325620433.865639</v>
      </c>
      <c r="M132" s="2">
        <f>M11/'Output-Calculation-sheet'!M10*'Output-Calculation-sheet'!M109</f>
        <v>0</v>
      </c>
      <c r="N132" s="2">
        <f>N11/'Output-Calculation-sheet'!N10*'Output-Calculation-sheet'!N109</f>
        <v>1489054680.3958237</v>
      </c>
      <c r="O132" s="2">
        <f>O11/'Output-Calculation-sheet'!O10*'Output-Calculation-sheet'!O109</f>
        <v>0</v>
      </c>
      <c r="P132" s="2">
        <f>P11/'Output-Calculation-sheet'!P10*'Output-Calculation-sheet'!P109</f>
        <v>8462237305.3508587</v>
      </c>
      <c r="Q132" s="2">
        <f>Q11/'Output-Calculation-sheet'!Q10*'Output-Calculation-sheet'!Q109</f>
        <v>5450710228.2055817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1021953392.981228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1065224205.7827041</v>
      </c>
      <c r="AA132" s="2">
        <f t="shared" si="11"/>
        <v>260502.50686978316</v>
      </c>
    </row>
    <row r="133" spans="1:27" x14ac:dyDescent="0.25">
      <c r="A133" s="2">
        <v>2035</v>
      </c>
      <c r="B133" s="2">
        <f>B12/'Output-Calculation-sheet'!B11*'Output-Calculation-sheet'!B110</f>
        <v>556080000.6363374</v>
      </c>
      <c r="C133" s="2">
        <f>C12/'Output-Calculation-sheet'!C11*'Output-Calculation-sheet'!C110</f>
        <v>0</v>
      </c>
      <c r="D133" s="2">
        <f>D12/'Output-Calculation-sheet'!D11*'Output-Calculation-sheet'!D110</f>
        <v>47696092122.318939</v>
      </c>
      <c r="E133" s="2">
        <f>E12/'Output-Calculation-sheet'!E11*'Output-Calculation-sheet'!E110</f>
        <v>20430477137.449551</v>
      </c>
      <c r="F133" s="2">
        <f>F12/'Output-Calculation-sheet'!F11*'Output-Calculation-sheet'!F110</f>
        <v>25075206832.950611</v>
      </c>
      <c r="G133" s="2">
        <f>G12/'Output-Calculation-sheet'!G11*'Output-Calculation-sheet'!G110</f>
        <v>17382227599.619762</v>
      </c>
      <c r="H133" s="2">
        <f>H12/'Output-Calculation-sheet'!H11*'Output-Calculation-sheet'!H110</f>
        <v>0</v>
      </c>
      <c r="I133" s="2">
        <f>I12/'Output-Calculation-sheet'!I11*'Output-Calculation-sheet'!I110</f>
        <v>15784646233.717987</v>
      </c>
      <c r="J133" s="2">
        <f>J12/'Output-Calculation-sheet'!J11*'Output-Calculation-sheet'!J110</f>
        <v>15283139333.1651</v>
      </c>
      <c r="K133" s="2">
        <f>K12/'Output-Calculation-sheet'!K11*'Output-Calculation-sheet'!K110</f>
        <v>15360774560.454012</v>
      </c>
      <c r="L133" s="2">
        <f>L12/'Output-Calculation-sheet'!L11*'Output-Calculation-sheet'!L110</f>
        <v>8941759197.2100143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3389523767.1649976</v>
      </c>
      <c r="Q133" s="2">
        <f>Q12/'Output-Calculation-sheet'!Q11*'Output-Calculation-sheet'!Q110</f>
        <v>2851631241.9566178</v>
      </c>
      <c r="R133" s="2">
        <f>R12/'Output-Calculation-sheet'!R11*'Output-Calculation-sheet'!R110</f>
        <v>10027493216.62071</v>
      </c>
      <c r="S133" s="2">
        <f>S12/'Output-Calculation-sheet'!S11*'Output-Calculation-sheet'!S110</f>
        <v>6745880.5019561918</v>
      </c>
      <c r="T133" s="2">
        <f>T12/'Output-Calculation-sheet'!T11*'Output-Calculation-sheet'!T110</f>
        <v>3738995342.1738062</v>
      </c>
      <c r="U133" s="2">
        <f>U12/'Output-Calculation-sheet'!U11*'Output-Calculation-sheet'!U110</f>
        <v>3029361721.959065</v>
      </c>
      <c r="V133" s="2">
        <f>V12/'Output-Calculation-sheet'!V11*'Output-Calculation-sheet'!V110</f>
        <v>2518533693.2966304</v>
      </c>
      <c r="W133" s="2">
        <f>W12/'Output-Calculation-sheet'!W11*'Output-Calculation-sheet'!W110</f>
        <v>2196895058.5969434</v>
      </c>
      <c r="X133" s="2">
        <f>X12/'Output-Calculation-sheet'!X11*'Output-Calculation-sheet'!X110</f>
        <v>0</v>
      </c>
      <c r="Y133" s="2">
        <f>Y12/'Output-Calculation-sheet'!Y11*'Output-Calculation-sheet'!Y110</f>
        <v>503921884.47861856</v>
      </c>
      <c r="AA133" s="2">
        <f t="shared" si="11"/>
        <v>194773.50482427163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17372074786.65897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5461342728.3413486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3754045456.4813814</v>
      </c>
      <c r="N140" s="2">
        <f>N8/'Output-Calculation-sheet'!N7*'Output-Calculation-sheet'!N115</f>
        <v>1417300956.2889042</v>
      </c>
      <c r="O140" s="2">
        <f>O8/'Output-Calculation-sheet'!O7*'Output-Calculation-sheet'!O115</f>
        <v>4169213361.9892488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407644264.50284648</v>
      </c>
      <c r="Y140" s="2">
        <f>Y8/'Output-Calculation-sheet'!Y7*'Output-Calculation-sheet'!Y115</f>
        <v>0</v>
      </c>
      <c r="AA140" s="2">
        <f t="shared" si="12"/>
        <v>32581.621554262703</v>
      </c>
    </row>
    <row r="141" spans="1:27" x14ac:dyDescent="0.25">
      <c r="A141" s="2">
        <v>2032</v>
      </c>
      <c r="B141" s="2">
        <f>B9/'Output-Calculation-sheet'!B8*'Output-Calculation-sheet'!B116</f>
        <v>7372445280.6430483</v>
      </c>
      <c r="C141" s="2">
        <f>C9/'Output-Calculation-sheet'!C8*'Output-Calculation-sheet'!C116</f>
        <v>31558425023.758339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8227144550.9742117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5648610713.1981611</v>
      </c>
      <c r="N141" s="2">
        <f>N9/'Output-Calculation-sheet'!N8*'Output-Calculation-sheet'!N116</f>
        <v>3921616224.7578897</v>
      </c>
      <c r="O141" s="2">
        <f>O9/'Output-Calculation-sheet'!O8*'Output-Calculation-sheet'!O116</f>
        <v>6125675774.1703653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1756531120.9564552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614831427.86015856</v>
      </c>
      <c r="Y141" s="2">
        <f>Y9/'Output-Calculation-sheet'!Y8*'Output-Calculation-sheet'!Y116</f>
        <v>0</v>
      </c>
      <c r="AA141" s="2">
        <f t="shared" si="12"/>
        <v>65225.280116318623</v>
      </c>
    </row>
    <row r="142" spans="1:27" x14ac:dyDescent="0.25">
      <c r="A142" s="2">
        <v>2033</v>
      </c>
      <c r="B142" s="2">
        <f>B10/'Output-Calculation-sheet'!B9*'Output-Calculation-sheet'!B117</f>
        <v>38528536531.515457</v>
      </c>
      <c r="C142" s="2">
        <f>C10/'Output-Calculation-sheet'!C9*'Output-Calculation-sheet'!C117</f>
        <v>40684542569.235756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12600303342.685915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8658766028.1807499</v>
      </c>
      <c r="N142" s="2">
        <f>N10/'Output-Calculation-sheet'!N9*'Output-Calculation-sheet'!N117</f>
        <v>6531756370.0661383</v>
      </c>
      <c r="O142" s="2">
        <f>O10/'Output-Calculation-sheet'!O9*'Output-Calculation-sheet'!O117</f>
        <v>7896353375.5086107</v>
      </c>
      <c r="P142" s="2">
        <f>P10/'Output-Calculation-sheet'!P9*'Output-Calculation-sheet'!P117</f>
        <v>0</v>
      </c>
      <c r="Q142" s="2">
        <f>Q10/'Output-Calculation-sheet'!Q9*'Output-Calculation-sheet'!Q117</f>
        <v>1247496171.9450233</v>
      </c>
      <c r="R142" s="2">
        <f>R10/'Output-Calculation-sheet'!R9*'Output-Calculation-sheet'!R117</f>
        <v>0</v>
      </c>
      <c r="S142" s="2">
        <f>S10/'Output-Calculation-sheet'!S9*'Output-Calculation-sheet'!S117</f>
        <v>3176038793.9769664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949243085.57027185</v>
      </c>
      <c r="Y142" s="2">
        <f>Y10/'Output-Calculation-sheet'!Y9*'Output-Calculation-sheet'!Y117</f>
        <v>0</v>
      </c>
      <c r="AA142" s="2">
        <f t="shared" si="12"/>
        <v>120273.03626868488</v>
      </c>
    </row>
    <row r="143" spans="1:27" x14ac:dyDescent="0.25">
      <c r="A143" s="2">
        <v>2034</v>
      </c>
      <c r="B143" s="2">
        <f>B11/'Output-Calculation-sheet'!B10*'Output-Calculation-sheet'!B118</f>
        <v>68832118538.190781</v>
      </c>
      <c r="C143" s="2">
        <f>C11/'Output-Calculation-sheet'!C10*'Output-Calculation-sheet'!C118</f>
        <v>52838573120.59124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14647115347.239134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10059801650.881281</v>
      </c>
      <c r="N143" s="2">
        <f>N11/'Output-Calculation-sheet'!N10*'Output-Calculation-sheet'!N118</f>
        <v>8851818450.1789722</v>
      </c>
      <c r="O143" s="2">
        <f>O11/'Output-Calculation-sheet'!O10*'Output-Calculation-sheet'!O118</f>
        <v>10265066859.830408</v>
      </c>
      <c r="P143" s="2">
        <f>P11/'Output-Calculation-sheet'!P10*'Output-Calculation-sheet'!P118</f>
        <v>1851487178.3528693</v>
      </c>
      <c r="Q143" s="2">
        <f>Q11/'Output-Calculation-sheet'!Q10*'Output-Calculation-sheet'!Q118</f>
        <v>4363298565.5091696</v>
      </c>
      <c r="R143" s="2">
        <f>R11/'Output-Calculation-sheet'!R10*'Output-Calculation-sheet'!R118</f>
        <v>0</v>
      </c>
      <c r="S143" s="2">
        <f>S11/'Output-Calculation-sheet'!S10*'Output-Calculation-sheet'!S118</f>
        <v>5096867747.6750288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1104413162.4977648</v>
      </c>
      <c r="Y143" s="2">
        <f>Y11/'Output-Calculation-sheet'!Y10*'Output-Calculation-sheet'!Y118</f>
        <v>129420916.78101981</v>
      </c>
      <c r="AA143" s="2">
        <f t="shared" si="12"/>
        <v>178039.98153772767</v>
      </c>
    </row>
    <row r="144" spans="1:27" x14ac:dyDescent="0.25">
      <c r="A144" s="2">
        <v>2035</v>
      </c>
      <c r="B144" s="2">
        <f>B12/'Output-Calculation-sheet'!B11*'Output-Calculation-sheet'!B119</f>
        <v>119148688648.73817</v>
      </c>
      <c r="C144" s="2">
        <f>C12/'Output-Calculation-sheet'!C11*'Output-Calculation-sheet'!C119</f>
        <v>56999889972.289398</v>
      </c>
      <c r="D144" s="2">
        <f>D12/'Output-Calculation-sheet'!D11*'Output-Calculation-sheet'!D119</f>
        <v>0</v>
      </c>
      <c r="E144" s="2">
        <f>E12/'Output-Calculation-sheet'!E11*'Output-Calculation-sheet'!E119</f>
        <v>16978565202.290871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17233682539.164822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2188387749.807436</v>
      </c>
      <c r="M144" s="2">
        <f>M12/'Output-Calculation-sheet'!M11*'Output-Calculation-sheet'!M119</f>
        <v>11762238816.936916</v>
      </c>
      <c r="N144" s="2">
        <f>N12/'Output-Calculation-sheet'!N11*'Output-Calculation-sheet'!N119</f>
        <v>11620606113.477968</v>
      </c>
      <c r="O144" s="2">
        <f>O12/'Output-Calculation-sheet'!O11*'Output-Calculation-sheet'!O119</f>
        <v>11078647417.830641</v>
      </c>
      <c r="P144" s="2">
        <f>P12/'Output-Calculation-sheet'!P11*'Output-Calculation-sheet'!P119</f>
        <v>7519879301.6309872</v>
      </c>
      <c r="Q144" s="2">
        <f>Q12/'Output-Calculation-sheet'!Q11*'Output-Calculation-sheet'!Q119</f>
        <v>7121653683.8636608</v>
      </c>
      <c r="R144" s="2">
        <f>R12/'Output-Calculation-sheet'!R11*'Output-Calculation-sheet'!R119</f>
        <v>0</v>
      </c>
      <c r="S144" s="2">
        <f>S12/'Output-Calculation-sheet'!S11*'Output-Calculation-sheet'!S119</f>
        <v>6699865507.3226547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1318780587.3012526</v>
      </c>
      <c r="Y144" s="2">
        <f>Y12/'Output-Calculation-sheet'!Y11*'Output-Calculation-sheet'!Y119</f>
        <v>704205918.4828639</v>
      </c>
      <c r="AA144" s="2">
        <f t="shared" si="12"/>
        <v>270375.09145913762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5240221284.4416142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227867.58792768378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4339393245.2932148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188695.68114098717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615545442.16998804</v>
      </c>
      <c r="C155" s="2">
        <f>C12/'Output-Calculation-sheet'!C11*'Output-Calculation-sheet'!C128</f>
        <v>66317798.21384418</v>
      </c>
      <c r="D155" s="2">
        <f>D12/'Output-Calculation-sheet'!D11*'Output-Calculation-sheet'!D128</f>
        <v>4422526911.003314</v>
      </c>
      <c r="E155" s="2">
        <f>E12/'Output-Calculation-sheet'!E11*'Output-Calculation-sheet'!E128</f>
        <v>717833523.10644579</v>
      </c>
      <c r="F155" s="2">
        <f>F12/'Output-Calculation-sheet'!F11*'Output-Calculation-sheet'!F128</f>
        <v>1615464278.9422488</v>
      </c>
      <c r="G155" s="2">
        <f>G12/'Output-Calculation-sheet'!G11*'Output-Calculation-sheet'!G128</f>
        <v>1478318323.8584285</v>
      </c>
      <c r="H155" s="2">
        <f>H12/'Output-Calculation-sheet'!H11*'Output-Calculation-sheet'!H128</f>
        <v>114305140.58452882</v>
      </c>
      <c r="I155" s="2">
        <f>I12/'Output-Calculation-sheet'!I11*'Output-Calculation-sheet'!I128</f>
        <v>1356494194.886338</v>
      </c>
      <c r="J155" s="2">
        <f>J12/'Output-Calculation-sheet'!J11*'Output-Calculation-sheet'!J128</f>
        <v>1229981163.0119288</v>
      </c>
      <c r="K155" s="2">
        <f>K12/'Output-Calculation-sheet'!K11*'Output-Calculation-sheet'!K128</f>
        <v>1065143433.2204789</v>
      </c>
      <c r="L155" s="2">
        <f>L12/'Output-Calculation-sheet'!L11*'Output-Calculation-sheet'!L128</f>
        <v>401252189.69609427</v>
      </c>
      <c r="M155" s="2">
        <f>M12/'Output-Calculation-sheet'!M11*'Output-Calculation-sheet'!M128</f>
        <v>94279206.749659911</v>
      </c>
      <c r="N155" s="2">
        <f>N12/'Output-Calculation-sheet'!N11*'Output-Calculation-sheet'!N128</f>
        <v>83318446.058144122</v>
      </c>
      <c r="O155" s="2">
        <f>O12/'Output-Calculation-sheet'!O11*'Output-Calculation-sheet'!O128</f>
        <v>17158359.530246779</v>
      </c>
      <c r="P155" s="2">
        <f>P12/'Output-Calculation-sheet'!P11*'Output-Calculation-sheet'!P128</f>
        <v>109309103.63186128</v>
      </c>
      <c r="Q155" s="2">
        <f>Q12/'Output-Calculation-sheet'!Q11*'Output-Calculation-sheet'!Q128</f>
        <v>277096045.85997874</v>
      </c>
      <c r="R155" s="2">
        <f>R12/'Output-Calculation-sheet'!R11*'Output-Calculation-sheet'!R128</f>
        <v>615805925.2825253</v>
      </c>
      <c r="S155" s="2">
        <f>S12/'Output-Calculation-sheet'!S11*'Output-Calculation-sheet'!S128</f>
        <v>53187934.527685359</v>
      </c>
      <c r="T155" s="2">
        <f>T12/'Output-Calculation-sheet'!T11*'Output-Calculation-sheet'!T128</f>
        <v>157687902.71304679</v>
      </c>
      <c r="U155" s="2">
        <f>U12/'Output-Calculation-sheet'!U11*'Output-Calculation-sheet'!U128</f>
        <v>323214971.05904233</v>
      </c>
      <c r="V155" s="2">
        <f>V12/'Output-Calculation-sheet'!V11*'Output-Calculation-sheet'!V128</f>
        <v>70990976.161569551</v>
      </c>
      <c r="W155" s="2">
        <f>W12/'Output-Calculation-sheet'!W11*'Output-Calculation-sheet'!W128</f>
        <v>86385653.547743827</v>
      </c>
      <c r="X155" s="2">
        <f>X12/'Output-Calculation-sheet'!X11*'Output-Calculation-sheet'!X128</f>
        <v>2951145.5844116015</v>
      </c>
      <c r="Y155" s="2">
        <f>Y12/'Output-Calculation-sheet'!Y11*'Output-Calculation-sheet'!Y128</f>
        <v>17386384.218612038</v>
      </c>
      <c r="AA155" s="2">
        <f t="shared" si="13"/>
        <v>14991.954453618166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A136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6083.6828994352509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1842.820704779693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1280.0964267880909</v>
      </c>
      <c r="N19" s="2">
        <f>N8/'Output-Calculation-sheet'!N7*'Output-Calculation-sheet'!N25</f>
        <v>1064.8889570357198</v>
      </c>
      <c r="O19" s="2">
        <f>O8/'Output-Calculation-sheet'!O7*'Output-Calculation-sheet'!O25</f>
        <v>668.33292563684722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138.54204210247619</v>
      </c>
      <c r="Y19" s="2">
        <f>Y8/'Output-Calculation-sheet'!Y7*'Output-Calculation-sheet'!Y25</f>
        <v>0</v>
      </c>
      <c r="AA19" s="2">
        <f t="shared" si="0"/>
        <v>12.863878861587326</v>
      </c>
    </row>
    <row r="20" spans="1:27" x14ac:dyDescent="0.25">
      <c r="A20" s="2">
        <v>2032</v>
      </c>
      <c r="B20" s="2">
        <f>B9/'Output-Calculation-sheet'!B8*'Output-Calculation-sheet'!B26</f>
        <v>6694.8787721551826</v>
      </c>
      <c r="C20" s="2">
        <f>C9/'Output-Calculation-sheet'!C8*'Output-Calculation-sheet'!C26</f>
        <v>3671.3080722852601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2203.9043635171511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1540.1035793181231</v>
      </c>
      <c r="N20" s="2">
        <f>N9/'Output-Calculation-sheet'!N8*'Output-Calculation-sheet'!N26</f>
        <v>1067.3337480592766</v>
      </c>
      <c r="O20" s="2">
        <f>O9/'Output-Calculation-sheet'!O8*'Output-Calculation-sheet'!O26</f>
        <v>717.30556025191265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506.29319083059858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167.58576253553093</v>
      </c>
      <c r="Y20" s="2">
        <f>Y9/'Output-Calculation-sheet'!Y8*'Output-Calculation-sheet'!Y26</f>
        <v>0</v>
      </c>
      <c r="AA20" s="2">
        <f t="shared" si="0"/>
        <v>16.568713048953036</v>
      </c>
    </row>
    <row r="21" spans="1:27" x14ac:dyDescent="0.25">
      <c r="A21" s="2">
        <v>2033</v>
      </c>
      <c r="B21" s="2">
        <f>B10/'Output-Calculation-sheet'!B9*'Output-Calculation-sheet'!B27</f>
        <v>6561.0418829001774</v>
      </c>
      <c r="C21" s="2">
        <f>C10/'Output-Calculation-sheet'!C9*'Output-Calculation-sheet'!C27</f>
        <v>4032.6940058886812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1322.2267757745167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935.88301937259973</v>
      </c>
      <c r="N21" s="2">
        <f>N10/'Output-Calculation-sheet'!N9*'Output-Calculation-sheet'!N27</f>
        <v>947.76619921261863</v>
      </c>
      <c r="O21" s="2">
        <f>O10/'Output-Calculation-sheet'!O9*'Output-Calculation-sheet'!O27</f>
        <v>789.51502831300786</v>
      </c>
      <c r="P21" s="2">
        <f>P10/'Output-Calculation-sheet'!P9*'Output-Calculation-sheet'!P27</f>
        <v>0</v>
      </c>
      <c r="Q21" s="2">
        <f>Q10/'Output-Calculation-sheet'!Q9*'Output-Calculation-sheet'!Q27</f>
        <v>11.479171025592821</v>
      </c>
      <c r="R21" s="2">
        <f>R10/'Output-Calculation-sheet'!R9*'Output-Calculation-sheet'!R27</f>
        <v>0</v>
      </c>
      <c r="S21" s="2">
        <f>S10/'Output-Calculation-sheet'!S9*'Output-Calculation-sheet'!S27</f>
        <v>451.29117361352655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93.451941652923324</v>
      </c>
      <c r="Y21" s="2">
        <f>Y10/'Output-Calculation-sheet'!Y9*'Output-Calculation-sheet'!Y27</f>
        <v>0</v>
      </c>
      <c r="AA21" s="2">
        <f t="shared" si="0"/>
        <v>15.145349197753646</v>
      </c>
    </row>
    <row r="22" spans="1:27" x14ac:dyDescent="0.25">
      <c r="A22" s="2">
        <v>2034</v>
      </c>
      <c r="B22" s="2">
        <f>B11/'Output-Calculation-sheet'!B10*'Output-Calculation-sheet'!B28</f>
        <v>5888.835902894185</v>
      </c>
      <c r="C22" s="2">
        <f>C11/'Output-Calculation-sheet'!C10*'Output-Calculation-sheet'!C28</f>
        <v>598.53708914630874</v>
      </c>
      <c r="D22" s="2">
        <f>D11/'Output-Calculation-sheet'!D10*'Output-Calculation-sheet'!D28</f>
        <v>0</v>
      </c>
      <c r="E22" s="2">
        <f>E11/'Output-Calculation-sheet'!E10*'Output-Calculation-sheet'!E28</f>
        <v>1987.4665573235429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1575.9950491111451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1205.3347064538821</v>
      </c>
      <c r="M22" s="2">
        <f>M11/'Output-Calculation-sheet'!M10*'Output-Calculation-sheet'!M28</f>
        <v>1121.6296692596197</v>
      </c>
      <c r="N22" s="2">
        <f>N11/'Output-Calculation-sheet'!N10*'Output-Calculation-sheet'!N28</f>
        <v>749.81583300116665</v>
      </c>
      <c r="O22" s="2">
        <f>O11/'Output-Calculation-sheet'!O10*'Output-Calculation-sheet'!O28</f>
        <v>117.40444301088634</v>
      </c>
      <c r="P22" s="2">
        <f>P11/'Output-Calculation-sheet'!P10*'Output-Calculation-sheet'!P28</f>
        <v>0</v>
      </c>
      <c r="Q22" s="2">
        <f>Q11/'Output-Calculation-sheet'!Q10*'Output-Calculation-sheet'!Q28</f>
        <v>382.96514816886503</v>
      </c>
      <c r="R22" s="2">
        <f>R11/'Output-Calculation-sheet'!R10*'Output-Calculation-sheet'!R28</f>
        <v>0</v>
      </c>
      <c r="S22" s="2">
        <f>S11/'Output-Calculation-sheet'!S10*'Output-Calculation-sheet'!S28</f>
        <v>280.75483588040754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110.20792441445016</v>
      </c>
      <c r="Y22" s="2">
        <f>Y11/'Output-Calculation-sheet'!Y10*'Output-Calculation-sheet'!Y28</f>
        <v>44.923862794284581</v>
      </c>
      <c r="AA22" s="2">
        <f t="shared" si="0"/>
        <v>14.063871021458741</v>
      </c>
    </row>
    <row r="23" spans="1:27" x14ac:dyDescent="0.25">
      <c r="A23" s="2">
        <v>2035</v>
      </c>
      <c r="B23" s="2">
        <f>B12/'Output-Calculation-sheet'!B11*'Output-Calculation-sheet'!B29</f>
        <v>1431.3691672332518</v>
      </c>
      <c r="C23" s="2">
        <f>C12/'Output-Calculation-sheet'!C11*'Output-Calculation-sheet'!C29</f>
        <v>297.04876293912309</v>
      </c>
      <c r="D23" s="2">
        <f>D12/'Output-Calculation-sheet'!D11*'Output-Calculation-sheet'!D29</f>
        <v>0</v>
      </c>
      <c r="E23" s="2">
        <f>E12/'Output-Calculation-sheet'!E11*'Output-Calculation-sheet'!E29</f>
        <v>3661.0696442990293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514.87965670617427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2110.8483140229832</v>
      </c>
      <c r="M23" s="2">
        <f>M12/'Output-Calculation-sheet'!M11*'Output-Calculation-sheet'!M29</f>
        <v>458.85867362639772</v>
      </c>
      <c r="N23" s="2">
        <f>N12/'Output-Calculation-sheet'!N11*'Output-Calculation-sheet'!N29</f>
        <v>382.0468101750123</v>
      </c>
      <c r="O23" s="2">
        <f>O12/'Output-Calculation-sheet'!O11*'Output-Calculation-sheet'!O29</f>
        <v>50.760014041802322</v>
      </c>
      <c r="P23" s="2">
        <f>P12/'Output-Calculation-sheet'!P11*'Output-Calculation-sheet'!P29</f>
        <v>79.506844590169266</v>
      </c>
      <c r="Q23" s="2">
        <f>Q12/'Output-Calculation-sheet'!Q11*'Output-Calculation-sheet'!Q29</f>
        <v>651.25762198224277</v>
      </c>
      <c r="R23" s="2">
        <f>R12/'Output-Calculation-sheet'!R11*'Output-Calculation-sheet'!R29</f>
        <v>0</v>
      </c>
      <c r="S23" s="2">
        <f>S12/'Output-Calculation-sheet'!S11*'Output-Calculation-sheet'!S29</f>
        <v>171.54218343637416</v>
      </c>
      <c r="T23" s="2">
        <f>T12/'Output-Calculation-sheet'!T11*'Output-Calculation-sheet'!T29</f>
        <v>0</v>
      </c>
      <c r="U23" s="2">
        <f>U12/'Output-Calculation-sheet'!U11*'Output-Calculation-sheet'!U29</f>
        <v>230.95937407927579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15.020956991272078</v>
      </c>
      <c r="Y23" s="2">
        <f>Y12/'Output-Calculation-sheet'!Y11*'Output-Calculation-sheet'!Y29</f>
        <v>95.549048981497279</v>
      </c>
      <c r="AA23" s="2">
        <f t="shared" si="0"/>
        <v>10.1507170731046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1213.9508853692137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47.59592343848275</v>
      </c>
    </row>
    <row r="31" spans="1:27" x14ac:dyDescent="0.25">
      <c r="A31" s="2">
        <v>2032</v>
      </c>
      <c r="B31" s="2">
        <f>B9/'Output-Calculation-sheet'!B8*'Output-Calculation-sheet'!B17</f>
        <v>28148.042621175198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1100.618132245593</v>
      </c>
      <c r="O31" s="2">
        <f>O9/'Output-Calculation-sheet'!O8*'Output-Calculation-sheet'!O17</f>
        <v>0</v>
      </c>
      <c r="P31" s="2">
        <f>P9/'Output-Calculation-sheet'!P8*'Output-Calculation-sheet'!P17</f>
        <v>2751.02264158035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910.94616308401487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64.490712076866089</v>
      </c>
    </row>
    <row r="32" spans="1:27" x14ac:dyDescent="0.25">
      <c r="A32" s="2">
        <v>2033</v>
      </c>
      <c r="B32" s="2">
        <f>B10/'Output-Calculation-sheet'!B9*'Output-Calculation-sheet'!B18</f>
        <v>23733.023126516251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3715.2209334781942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960.59865389325898</v>
      </c>
      <c r="O32" s="2">
        <f>O10/'Output-Calculation-sheet'!O9*'Output-Calculation-sheet'!O18</f>
        <v>0</v>
      </c>
      <c r="P32" s="2">
        <f>P10/'Output-Calculation-sheet'!P9*'Output-Calculation-sheet'!P18</f>
        <v>3824.0949971788609</v>
      </c>
      <c r="Q32" s="2">
        <f>Q10/'Output-Calculation-sheet'!Q9*'Output-Calculation-sheet'!Q18</f>
        <v>3540.5201950324872</v>
      </c>
      <c r="R32" s="2">
        <f>R10/'Output-Calculation-sheet'!R9*'Output-Calculation-sheet'!R18</f>
        <v>2746.6599843335725</v>
      </c>
      <c r="S32" s="2">
        <f>S10/'Output-Calculation-sheet'!S9*'Output-Calculation-sheet'!S18</f>
        <v>873.86084009753597</v>
      </c>
      <c r="T32" s="2">
        <f>T10/'Output-Calculation-sheet'!T9*'Output-Calculation-sheet'!T18</f>
        <v>801.76221231454633</v>
      </c>
      <c r="U32" s="2">
        <f>U10/'Output-Calculation-sheet'!U9*'Output-Calculation-sheet'!U18</f>
        <v>886.33727063829451</v>
      </c>
      <c r="V32" s="2">
        <f>V10/'Output-Calculation-sheet'!V9*'Output-Calculation-sheet'!V18</f>
        <v>654.2289156757297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378.80279443893431</v>
      </c>
      <c r="AA32" s="2">
        <f t="shared" si="1"/>
        <v>75.449214440801882</v>
      </c>
    </row>
    <row r="33" spans="1:27" x14ac:dyDescent="0.25">
      <c r="A33" s="2">
        <v>2034</v>
      </c>
      <c r="B33" s="2">
        <f>B11/'Output-Calculation-sheet'!B10*'Output-Calculation-sheet'!B19</f>
        <v>17996.415532478626</v>
      </c>
      <c r="C33" s="2">
        <f>C11/'Output-Calculation-sheet'!C10*'Output-Calculation-sheet'!C19</f>
        <v>0</v>
      </c>
      <c r="D33" s="2">
        <f>D11/'Output-Calculation-sheet'!D10*'Output-Calculation-sheet'!D19</f>
        <v>11928.371502319063</v>
      </c>
      <c r="E33" s="2">
        <f>E11/'Output-Calculation-sheet'!E10*'Output-Calculation-sheet'!E19</f>
        <v>14788.16888847392</v>
      </c>
      <c r="F33" s="2">
        <f>F11/'Output-Calculation-sheet'!F10*'Output-Calculation-sheet'!F19</f>
        <v>6771.2659366066327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4430.9495360660512</v>
      </c>
      <c r="J33" s="2">
        <f>J11/'Output-Calculation-sheet'!J10*'Output-Calculation-sheet'!J19</f>
        <v>3746.5285951484866</v>
      </c>
      <c r="K33" s="2">
        <f>K11/'Output-Calculation-sheet'!K10*'Output-Calculation-sheet'!K19</f>
        <v>5196.308968710624</v>
      </c>
      <c r="L33" s="2">
        <f>L11/'Output-Calculation-sheet'!L10*'Output-Calculation-sheet'!L19</f>
        <v>4226.8254090866949</v>
      </c>
      <c r="M33" s="2">
        <f>M11/'Output-Calculation-sheet'!M10*'Output-Calculation-sheet'!M19</f>
        <v>0</v>
      </c>
      <c r="N33" s="2">
        <f>N11/'Output-Calculation-sheet'!N10*'Output-Calculation-sheet'!N19</f>
        <v>802.32063591620056</v>
      </c>
      <c r="O33" s="2">
        <f>O11/'Output-Calculation-sheet'!O10*'Output-Calculation-sheet'!O19</f>
        <v>0</v>
      </c>
      <c r="P33" s="2">
        <f>P11/'Output-Calculation-sheet'!P10*'Output-Calculation-sheet'!P19</f>
        <v>3984.6553013055504</v>
      </c>
      <c r="Q33" s="2">
        <f>Q11/'Output-Calculation-sheet'!Q10*'Output-Calculation-sheet'!Q19</f>
        <v>2532.645173523912</v>
      </c>
      <c r="R33" s="2">
        <f>R11/'Output-Calculation-sheet'!R10*'Output-Calculation-sheet'!R19</f>
        <v>3753.93866555349</v>
      </c>
      <c r="S33" s="2">
        <f>S11/'Output-Calculation-sheet'!S10*'Output-Calculation-sheet'!S19</f>
        <v>510.03447048613776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1266.8417652878413</v>
      </c>
      <c r="V33" s="2">
        <f>V11/'Output-Calculation-sheet'!V10*'Output-Calculation-sheet'!V19</f>
        <v>863.91175338384767</v>
      </c>
      <c r="W33" s="2">
        <f>W11/'Output-Calculation-sheet'!W10*'Output-Calculation-sheet'!W19</f>
        <v>537.91278089833372</v>
      </c>
      <c r="X33" s="2">
        <f>X11/'Output-Calculation-sheet'!X10*'Output-Calculation-sheet'!X19</f>
        <v>0</v>
      </c>
      <c r="Y33" s="2">
        <f>Y11/'Output-Calculation-sheet'!Y10*'Output-Calculation-sheet'!Y19</f>
        <v>440.40809369685115</v>
      </c>
      <c r="AA33" s="2">
        <f t="shared" si="1"/>
        <v>88.939522927813499</v>
      </c>
    </row>
    <row r="34" spans="1:27" x14ac:dyDescent="0.25">
      <c r="A34" s="2">
        <v>2035</v>
      </c>
      <c r="B34" s="2">
        <f>B12/'Output-Calculation-sheet'!B11*'Output-Calculation-sheet'!B20</f>
        <v>284.94980404349883</v>
      </c>
      <c r="C34" s="2">
        <f>C12/'Output-Calculation-sheet'!C11*'Output-Calculation-sheet'!C20</f>
        <v>0</v>
      </c>
      <c r="D34" s="2">
        <f>D12/'Output-Calculation-sheet'!D11*'Output-Calculation-sheet'!D20</f>
        <v>14054.668352185674</v>
      </c>
      <c r="E34" s="2">
        <f>E12/'Output-Calculation-sheet'!E11*'Output-Calculation-sheet'!E20</f>
        <v>6566.3164475892645</v>
      </c>
      <c r="F34" s="2">
        <f>F12/'Output-Calculation-sheet'!F11*'Output-Calculation-sheet'!F20</f>
        <v>8920.8909332409385</v>
      </c>
      <c r="G34" s="2">
        <f>G12/'Output-Calculation-sheet'!G11*'Output-Calculation-sheet'!G20</f>
        <v>4790.8961332655199</v>
      </c>
      <c r="H34" s="2">
        <f>H12/'Output-Calculation-sheet'!H11*'Output-Calculation-sheet'!H20</f>
        <v>0</v>
      </c>
      <c r="I34" s="2">
        <f>I12/'Output-Calculation-sheet'!I11*'Output-Calculation-sheet'!I20</f>
        <v>5322.7873178543796</v>
      </c>
      <c r="J34" s="2">
        <f>J12/'Output-Calculation-sheet'!J11*'Output-Calculation-sheet'!J20</f>
        <v>4609.2436457113363</v>
      </c>
      <c r="K34" s="2">
        <f>K12/'Output-Calculation-sheet'!K11*'Output-Calculation-sheet'!K20</f>
        <v>6494.10548321645</v>
      </c>
      <c r="L34" s="2">
        <f>L12/'Output-Calculation-sheet'!L11*'Output-Calculation-sheet'!L20</f>
        <v>3596.2750188691484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1429.9115653765978</v>
      </c>
      <c r="Q34" s="2">
        <f>Q12/'Output-Calculation-sheet'!Q11*'Output-Calculation-sheet'!Q20</f>
        <v>1352.8452938453161</v>
      </c>
      <c r="R34" s="2">
        <f>R12/'Output-Calculation-sheet'!R11*'Output-Calculation-sheet'!R20</f>
        <v>4794.3592795041905</v>
      </c>
      <c r="S34" s="2">
        <f>S12/'Output-Calculation-sheet'!S11*'Output-Calculation-sheet'!S20</f>
        <v>3.8365635722464893</v>
      </c>
      <c r="T34" s="2">
        <f>T12/'Output-Calculation-sheet'!T11*'Output-Calculation-sheet'!T20</f>
        <v>1429.9375986891764</v>
      </c>
      <c r="U34" s="2">
        <f>U12/'Output-Calculation-sheet'!U11*'Output-Calculation-sheet'!U20</f>
        <v>1301.4510270782632</v>
      </c>
      <c r="V34" s="2">
        <f>V12/'Output-Calculation-sheet'!V11*'Output-Calculation-sheet'!V20</f>
        <v>1256.0876459140472</v>
      </c>
      <c r="W34" s="2">
        <f>W12/'Output-Calculation-sheet'!W11*'Output-Calculation-sheet'!W20</f>
        <v>764.00845307562508</v>
      </c>
      <c r="X34" s="2">
        <f>X12/'Output-Calculation-sheet'!X11*'Output-Calculation-sheet'!X20</f>
        <v>0</v>
      </c>
      <c r="Y34" s="2">
        <f>Y12/'Output-Calculation-sheet'!Y11*'Output-Calculation-sheet'!Y20</f>
        <v>164.34185119130154</v>
      </c>
      <c r="AA34" s="2">
        <f t="shared" si="1"/>
        <v>67.136912414222991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0.23977351901436242</v>
      </c>
      <c r="E45" s="2">
        <f>E12/'Output-Calculation-sheet'!E11*'Output-Calculation-sheet'!E38*0.0114</f>
        <v>0.12703747687079725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2.1003299459778229E-2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1.3589609836163634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0.17947074358968468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243.46729932462475</v>
      </c>
      <c r="R54" s="2">
        <f>R10/'Output-Calculation-sheet'!R9*'Output-Calculation-sheet'!R45</f>
        <v>1821.352330146992</v>
      </c>
      <c r="S54" s="2">
        <f>S10/'Output-Calculation-sheet'!S9*'Output-Calculation-sheet'!S45</f>
        <v>0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22.717297132667575</v>
      </c>
      <c r="AA54" s="2">
        <f t="shared" si="3"/>
        <v>5.996038603045073</v>
      </c>
    </row>
    <row r="55" spans="1:27" x14ac:dyDescent="0.25">
      <c r="A55" s="2">
        <v>2034</v>
      </c>
      <c r="B55" s="2">
        <f>B11/'Output-Calculation-sheet'!B10*'Output-Calculation-sheet'!B46</f>
        <v>2203.3442191761137</v>
      </c>
      <c r="C55" s="2">
        <f>C11/'Output-Calculation-sheet'!C10*'Output-Calculation-sheet'!C46</f>
        <v>0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799.08424771819989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592.26455373097815</v>
      </c>
      <c r="N55" s="2">
        <f>N11/'Output-Calculation-sheet'!N10*'Output-Calculation-sheet'!N46</f>
        <v>202.26817179442617</v>
      </c>
      <c r="O55" s="2">
        <f>O11/'Output-Calculation-sheet'!O10*'Output-Calculation-sheet'!O46</f>
        <v>0</v>
      </c>
      <c r="P55" s="2">
        <f>P11/'Output-Calculation-sheet'!P10*'Output-Calculation-sheet'!P46</f>
        <v>4313.4765853264535</v>
      </c>
      <c r="Q55" s="2">
        <f>Q11/'Output-Calculation-sheet'!Q10*'Output-Calculation-sheet'!Q46</f>
        <v>942.90738345078375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0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111.24571026182183</v>
      </c>
      <c r="X55" s="2">
        <f>X11/'Output-Calculation-sheet'!X10*'Output-Calculation-sheet'!X46</f>
        <v>56.527931831486221</v>
      </c>
      <c r="Y55" s="2">
        <f>Y11/'Output-Calculation-sheet'!Y10*'Output-Calculation-sheet'!Y46</f>
        <v>393.16300582965437</v>
      </c>
      <c r="AA55" s="2">
        <f t="shared" si="3"/>
        <v>58.627702782334886</v>
      </c>
    </row>
    <row r="56" spans="1:27" x14ac:dyDescent="0.25">
      <c r="A56" s="2">
        <v>2035</v>
      </c>
      <c r="B56" s="2">
        <f>B12/'Output-Calculation-sheet'!B11*'Output-Calculation-sheet'!B47</f>
        <v>700.36819814062198</v>
      </c>
      <c r="C56" s="2">
        <f>C12/'Output-Calculation-sheet'!C11*'Output-Calculation-sheet'!C47</f>
        <v>569.84735510009762</v>
      </c>
      <c r="D56" s="2">
        <f>D12/'Output-Calculation-sheet'!D11*'Output-Calculation-sheet'!D47</f>
        <v>23164.08499483782</v>
      </c>
      <c r="E56" s="2">
        <f>E12/'Output-Calculation-sheet'!E11*'Output-Calculation-sheet'!E47</f>
        <v>16102.557375289651</v>
      </c>
      <c r="F56" s="2">
        <f>F12/'Output-Calculation-sheet'!F11*'Output-Calculation-sheet'!F47</f>
        <v>4807.8871512632322</v>
      </c>
      <c r="G56" s="2">
        <f>G12/'Output-Calculation-sheet'!G11*'Output-Calculation-sheet'!G47</f>
        <v>10751.522729876526</v>
      </c>
      <c r="H56" s="2">
        <f>H12/'Output-Calculation-sheet'!H11*'Output-Calculation-sheet'!H47</f>
        <v>214.39817629117712</v>
      </c>
      <c r="I56" s="2">
        <f>I12/'Output-Calculation-sheet'!I11*'Output-Calculation-sheet'!I47</f>
        <v>6317.9491339029228</v>
      </c>
      <c r="J56" s="2">
        <f>J12/'Output-Calculation-sheet'!J11*'Output-Calculation-sheet'!J47</f>
        <v>6693.6998308690991</v>
      </c>
      <c r="K56" s="2">
        <f>K12/'Output-Calculation-sheet'!K11*'Output-Calculation-sheet'!K47</f>
        <v>9250.9448543112176</v>
      </c>
      <c r="L56" s="2">
        <f>L12/'Output-Calculation-sheet'!L11*'Output-Calculation-sheet'!L47</f>
        <v>6192.6957344858201</v>
      </c>
      <c r="M56" s="2">
        <f>M12/'Output-Calculation-sheet'!M11*'Output-Calculation-sheet'!M47</f>
        <v>142.49748733419975</v>
      </c>
      <c r="N56" s="2">
        <f>N12/'Output-Calculation-sheet'!N11*'Output-Calculation-sheet'!N47</f>
        <v>156.52861706132362</v>
      </c>
      <c r="O56" s="2">
        <f>O12/'Output-Calculation-sheet'!O11*'Output-Calculation-sheet'!O47</f>
        <v>104.55520415722769</v>
      </c>
      <c r="P56" s="2">
        <f>P12/'Output-Calculation-sheet'!P11*'Output-Calculation-sheet'!P47</f>
        <v>2016.8584818404893</v>
      </c>
      <c r="Q56" s="2">
        <f>Q12/'Output-Calculation-sheet'!Q11*'Output-Calculation-sheet'!Q47</f>
        <v>1489.8064329112267</v>
      </c>
      <c r="R56" s="2">
        <f>R12/'Output-Calculation-sheet'!R11*'Output-Calculation-sheet'!R47</f>
        <v>8413.5853483780083</v>
      </c>
      <c r="S56" s="2">
        <f>S12/'Output-Calculation-sheet'!S11*'Output-Calculation-sheet'!S47</f>
        <v>69.893083295480096</v>
      </c>
      <c r="T56" s="2">
        <f>T12/'Output-Calculation-sheet'!T11*'Output-Calculation-sheet'!T47</f>
        <v>3054.9785871478539</v>
      </c>
      <c r="U56" s="2">
        <f>U12/'Output-Calculation-sheet'!U11*'Output-Calculation-sheet'!U47</f>
        <v>2846.9603938791497</v>
      </c>
      <c r="V56" s="2">
        <f>V12/'Output-Calculation-sheet'!V11*'Output-Calculation-sheet'!V47</f>
        <v>1752.3683893376069</v>
      </c>
      <c r="W56" s="2">
        <f>W12/'Output-Calculation-sheet'!W11*'Output-Calculation-sheet'!W47</f>
        <v>1036.4294833628624</v>
      </c>
      <c r="X56" s="2">
        <f>X12/'Output-Calculation-sheet'!X11*'Output-Calculation-sheet'!X47</f>
        <v>16.000088866260231</v>
      </c>
      <c r="Y56" s="2">
        <f>Y12/'Output-Calculation-sheet'!Y11*'Output-Calculation-sheet'!Y47</f>
        <v>343.06065939030611</v>
      </c>
      <c r="AA56" s="2">
        <f t="shared" si="3"/>
        <v>106.20947779133019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8.7778515642589756</v>
      </c>
      <c r="C63" s="2">
        <f>C8*'Output-Calculation-sheet'!C52/10^9</f>
        <v>4.6895797546322786</v>
      </c>
      <c r="D63" s="2">
        <f>D8*'Output-Calculation-sheet'!D52/10^9</f>
        <v>3.010113412663642</v>
      </c>
      <c r="E63" s="2">
        <f>E8*'Output-Calculation-sheet'!E52/10^9</f>
        <v>2.9928601598075537</v>
      </c>
      <c r="F63" s="2">
        <f>F8*'Output-Calculation-sheet'!F52/10^9</f>
        <v>1.2674760302600185</v>
      </c>
      <c r="G63" s="2">
        <f>G8*'Output-Calculation-sheet'!G52/10^9</f>
        <v>0.91125800607947871</v>
      </c>
      <c r="H63" s="2">
        <f>H8*'Output-Calculation-sheet'!H52/10^9</f>
        <v>1.4820736046378717</v>
      </c>
      <c r="I63" s="2">
        <f>I8*'Output-Calculation-sheet'!I52/10^9</f>
        <v>0.84768150556492117</v>
      </c>
      <c r="J63" s="2">
        <f>J8*'Output-Calculation-sheet'!J52/10^9</f>
        <v>1.166467209147166</v>
      </c>
      <c r="K63" s="2">
        <f>K8*'Output-Calculation-sheet'!K52/10^9</f>
        <v>1.0248451912251655</v>
      </c>
      <c r="L63" s="2">
        <f>L8*'Output-Calculation-sheet'!L52/10^9</f>
        <v>1.3784660918032652</v>
      </c>
      <c r="M63" s="2">
        <f>M8*'Output-Calculation-sheet'!M52/10^9</f>
        <v>1.214163551022585</v>
      </c>
      <c r="N63" s="2">
        <f>N8*'Output-Calculation-sheet'!N52/10^9</f>
        <v>1.0713233288139576</v>
      </c>
      <c r="O63" s="2">
        <f>O8*'Output-Calculation-sheet'!O52/10^9</f>
        <v>0.95944753431022323</v>
      </c>
      <c r="P63" s="2">
        <f>P8*'Output-Calculation-sheet'!P52/10^9</f>
        <v>0.70814038194302775</v>
      </c>
      <c r="Q63" s="2">
        <f>Q8*'Output-Calculation-sheet'!Q52/10^9</f>
        <v>0.80140739471996525</v>
      </c>
      <c r="R63" s="2">
        <f>R8*'Output-Calculation-sheet'!R52/10^9</f>
        <v>0.71950476088426962</v>
      </c>
      <c r="S63" s="2">
        <f>S8*'Output-Calculation-sheet'!S52/10^9</f>
        <v>0.53317852113484809</v>
      </c>
      <c r="T63" s="2">
        <f>T8*'Output-Calculation-sheet'!T52/10^9</f>
        <v>0.27354543199228909</v>
      </c>
      <c r="U63" s="2">
        <f>U8*'Output-Calculation-sheet'!U52/10^9</f>
        <v>0.18786807147166196</v>
      </c>
      <c r="V63" s="2">
        <f>V8*'Output-Calculation-sheet'!V52/10^9</f>
        <v>0.33342143015593378</v>
      </c>
      <c r="W63" s="2">
        <f>W8*'Output-Calculation-sheet'!W52/10^9</f>
        <v>0.12068293676448454</v>
      </c>
      <c r="X63" s="2">
        <f>X8*'Output-Calculation-sheet'!X52/10^9</f>
        <v>0.12434946109659213</v>
      </c>
      <c r="Y63" s="2">
        <f>Y8*'Output-Calculation-sheet'!Y52/10^9</f>
        <v>7.8742259134164647E-2</v>
      </c>
      <c r="AA63" s="2">
        <f t="shared" si="4"/>
        <v>34.674447593524341</v>
      </c>
    </row>
    <row r="64" spans="1:27" x14ac:dyDescent="0.25">
      <c r="A64" s="2">
        <v>2032</v>
      </c>
      <c r="B64" s="2">
        <f>B9*'Output-Calculation-sheet'!B53/10^9</f>
        <v>9.5985749620864986</v>
      </c>
      <c r="C64" s="2">
        <f>C9*'Output-Calculation-sheet'!C53/10^9</f>
        <v>5.0885010368176404</v>
      </c>
      <c r="D64" s="2">
        <f>D9*'Output-Calculation-sheet'!D53/10^9</f>
        <v>2.8427850885687653</v>
      </c>
      <c r="E64" s="2">
        <f>E9*'Output-Calculation-sheet'!E53/10^9</f>
        <v>2.9111370072696907</v>
      </c>
      <c r="F64" s="2">
        <f>F9*'Output-Calculation-sheet'!F53/10^9</f>
        <v>1.2278993353385377</v>
      </c>
      <c r="G64" s="2">
        <f>G9*'Output-Calculation-sheet'!G53/10^9</f>
        <v>0.87398118410140024</v>
      </c>
      <c r="H64" s="2">
        <f>H9*'Output-Calculation-sheet'!H53/10^9</f>
        <v>1.5969883000544205</v>
      </c>
      <c r="I64" s="2">
        <f>I9*'Output-Calculation-sheet'!I53/10^9</f>
        <v>0.81702956683608374</v>
      </c>
      <c r="J64" s="2">
        <f>J9*'Output-Calculation-sheet'!J53/10^9</f>
        <v>1.0815811383118819</v>
      </c>
      <c r="K64" s="2">
        <f>K9*'Output-Calculation-sheet'!K53/10^9</f>
        <v>1.0035601434420698</v>
      </c>
      <c r="L64" s="2">
        <f>L9*'Output-Calculation-sheet'!L53/10^9</f>
        <v>1.291077124968466</v>
      </c>
      <c r="M64" s="2">
        <f>M9*'Output-Calculation-sheet'!M53/10^9</f>
        <v>1.2670234345453757</v>
      </c>
      <c r="N64" s="2">
        <f>N9*'Output-Calculation-sheet'!N53/10^9</f>
        <v>1.1407304756124408</v>
      </c>
      <c r="O64" s="2">
        <f>O9*'Output-Calculation-sheet'!O53/10^9</f>
        <v>1.0304595663497691</v>
      </c>
      <c r="P64" s="2">
        <f>P9*'Output-Calculation-sheet'!P53/10^9</f>
        <v>0.76515108476284321</v>
      </c>
      <c r="Q64" s="2">
        <f>Q9*'Output-Calculation-sheet'!Q53/10^9</f>
        <v>0.84560194894530971</v>
      </c>
      <c r="R64" s="2">
        <f>R9*'Output-Calculation-sheet'!R53/10^9</f>
        <v>0.7248805606644475</v>
      </c>
      <c r="S64" s="2">
        <f>S9*'Output-Calculation-sheet'!S53/10^9</f>
        <v>0.58329110332260148</v>
      </c>
      <c r="T64" s="2">
        <f>T9*'Output-Calculation-sheet'!T53/10^9</f>
        <v>0.26057465822454462</v>
      </c>
      <c r="U64" s="2">
        <f>U9*'Output-Calculation-sheet'!U53/10^9</f>
        <v>0.1961291123779115</v>
      </c>
      <c r="V64" s="2">
        <f>V9*'Output-Calculation-sheet'!V53/10^9</f>
        <v>0.3092844987135086</v>
      </c>
      <c r="W64" s="2">
        <f>W9*'Output-Calculation-sheet'!W53/10^9</f>
        <v>0.114924346374511</v>
      </c>
      <c r="X64" s="2">
        <f>X9*'Output-Calculation-sheet'!X53/10^9</f>
        <v>0.13175911892240152</v>
      </c>
      <c r="Y64" s="2">
        <f>Y9*'Output-Calculation-sheet'!Y53/10^9</f>
        <v>8.0519789495283878E-2</v>
      </c>
      <c r="AA64" s="2">
        <f t="shared" si="4"/>
        <v>35.783444586106391</v>
      </c>
    </row>
    <row r="65" spans="1:27" x14ac:dyDescent="0.25">
      <c r="A65" s="2">
        <v>2033</v>
      </c>
      <c r="B65" s="2">
        <f>B10*'Output-Calculation-sheet'!B54/10^9</f>
        <v>10.304276374840839</v>
      </c>
      <c r="C65" s="2">
        <f>C10*'Output-Calculation-sheet'!C54/10^9</f>
        <v>5.3264651239882008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1.6726898222217614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0.97449155694939382</v>
      </c>
      <c r="L65" s="2">
        <f>L10*'Output-Calculation-sheet'!L54/10^9</f>
        <v>1.1510652639468597</v>
      </c>
      <c r="M65" s="2">
        <f>M10*'Output-Calculation-sheet'!M54/10^9</f>
        <v>1.2755325149551227</v>
      </c>
      <c r="N65" s="2">
        <f>N10*'Output-Calculation-sheet'!N54/10^9</f>
        <v>1.1704573853182512</v>
      </c>
      <c r="O65" s="2">
        <f>O10*'Output-Calculation-sheet'!O54/10^9</f>
        <v>1.0674471640860694</v>
      </c>
      <c r="P65" s="2">
        <f>P10*'Output-Calculation-sheet'!P54/10^9</f>
        <v>0.82451925642579837</v>
      </c>
      <c r="Q65" s="2">
        <f>Q10*'Output-Calculation-sheet'!Q54/10^9</f>
        <v>0.89817582457746403</v>
      </c>
      <c r="R65" s="2">
        <f>R10*'Output-Calculation-sheet'!R54/10^9</f>
        <v>0.72596391566654039</v>
      </c>
      <c r="S65" s="2">
        <f>S10*'Output-Calculation-sheet'!S54/10^9</f>
        <v>0.6174145787297296</v>
      </c>
      <c r="T65" s="2">
        <f>T10*'Output-Calculation-sheet'!T54/10^9</f>
        <v>0.2426998632861859</v>
      </c>
      <c r="U65" s="2">
        <f>U10*'Output-Calculation-sheet'!U54/10^9</f>
        <v>0.20956652608530102</v>
      </c>
      <c r="V65" s="2">
        <f>V10*'Output-Calculation-sheet'!V54/10^9</f>
        <v>0.26859421217648066</v>
      </c>
      <c r="W65" s="2">
        <f>W10*'Output-Calculation-sheet'!W54/10^9</f>
        <v>0.10225999366502159</v>
      </c>
      <c r="X65" s="2">
        <f>X10*'Output-Calculation-sheet'!X54/10^9</f>
        <v>0.13374048490456875</v>
      </c>
      <c r="Y65" s="2">
        <f>Y10*'Output-Calculation-sheet'!Y54/10^9</f>
        <v>8.4172427167982039E-2</v>
      </c>
      <c r="AA65" s="2">
        <f t="shared" si="4"/>
        <v>35.971208465855533</v>
      </c>
    </row>
    <row r="66" spans="1:27" x14ac:dyDescent="0.25">
      <c r="A66" s="2">
        <v>2034</v>
      </c>
      <c r="B66" s="2">
        <f>B11*'Output-Calculation-sheet'!B55/10^9</f>
        <v>10.903316927532433</v>
      </c>
      <c r="C66" s="2">
        <f>C11*'Output-Calculation-sheet'!C55/10^9</f>
        <v>5.484799654148615</v>
      </c>
      <c r="D66" s="2">
        <f>D11*'Output-Calculation-sheet'!D55/10^9</f>
        <v>2.4607065713614529</v>
      </c>
      <c r="E66" s="2">
        <f>E11*'Output-Calculation-sheet'!E55/10^9</f>
        <v>2.979741139526999</v>
      </c>
      <c r="F66" s="2">
        <f>F11*'Output-Calculation-sheet'!F55/10^9</f>
        <v>1.1451652199417652</v>
      </c>
      <c r="G66" s="2">
        <f>G11*'Output-Calculation-sheet'!G55/10^9</f>
        <v>0.81853915094246443</v>
      </c>
      <c r="H66" s="2">
        <f>H11*'Output-Calculation-sheet'!H55/10^9</f>
        <v>1.708081089428177</v>
      </c>
      <c r="I66" s="2">
        <f>I11*'Output-Calculation-sheet'!I55/10^9</f>
        <v>0.80043213038694216</v>
      </c>
      <c r="J66" s="2">
        <f>J11*'Output-Calculation-sheet'!J55/10^9</f>
        <v>0.82311300614419702</v>
      </c>
      <c r="K66" s="2">
        <f>K11*'Output-Calculation-sheet'!K55/10^9</f>
        <v>0.98448237321475784</v>
      </c>
      <c r="L66" s="2">
        <f>L11*'Output-Calculation-sheet'!L55/10^9</f>
        <v>1.0426011936288107</v>
      </c>
      <c r="M66" s="2">
        <f>M11*'Output-Calculation-sheet'!M55/10^9</f>
        <v>1.2450730947683759</v>
      </c>
      <c r="N66" s="2">
        <f>N11*'Output-Calculation-sheet'!N55/10^9</f>
        <v>1.1762341768182139</v>
      </c>
      <c r="O66" s="2">
        <f>O11*'Output-Calculation-sheet'!O55/10^9</f>
        <v>1.0810724767633548</v>
      </c>
      <c r="P66" s="2">
        <f>P11*'Output-Calculation-sheet'!P55/10^9</f>
        <v>0.90275251489418629</v>
      </c>
      <c r="Q66" s="2">
        <f>Q11*'Output-Calculation-sheet'!Q55/10^9</f>
        <v>0.95490719160377391</v>
      </c>
      <c r="R66" s="2">
        <f>R11*'Output-Calculation-sheet'!R55/10^9</f>
        <v>0.73748757640554086</v>
      </c>
      <c r="S66" s="2">
        <f>S11*'Output-Calculation-sheet'!S55/10^9</f>
        <v>0.6433217358137856</v>
      </c>
      <c r="T66" s="2">
        <f>T11*'Output-Calculation-sheet'!T55/10^9</f>
        <v>0.23116563937011214</v>
      </c>
      <c r="U66" s="2">
        <f>U11*'Output-Calculation-sheet'!U55/10^9</f>
        <v>0.23601692455603981</v>
      </c>
      <c r="V66" s="2">
        <f>V11*'Output-Calculation-sheet'!V55/10^9</f>
        <v>0.2192932209863365</v>
      </c>
      <c r="W66" s="2">
        <f>W11*'Output-Calculation-sheet'!W55/10^9</f>
        <v>9.9295830136688357E-2</v>
      </c>
      <c r="X66" s="2">
        <f>X11*'Output-Calculation-sheet'!X55/10^9</f>
        <v>0.1330259259389612</v>
      </c>
      <c r="Y66" s="2">
        <f>Y11*'Output-Calculation-sheet'!Y55/10^9</f>
        <v>9.7078591687246182E-2</v>
      </c>
      <c r="AA66" s="2">
        <f t="shared" si="4"/>
        <v>36.907703355999224</v>
      </c>
    </row>
    <row r="67" spans="1:27" x14ac:dyDescent="0.25">
      <c r="A67" s="2">
        <v>2035</v>
      </c>
      <c r="B67" s="2">
        <f>B12*'Output-Calculation-sheet'!B56/10^9</f>
        <v>11.800789100574423</v>
      </c>
      <c r="C67" s="2">
        <f>C12*'Output-Calculation-sheet'!C56/10^9</f>
        <v>5.5207307981777216</v>
      </c>
      <c r="D67" s="2">
        <f>D12*'Output-Calculation-sheet'!D56/10^9</f>
        <v>3.0112585264231848</v>
      </c>
      <c r="E67" s="2">
        <f>E12*'Output-Calculation-sheet'!E56/10^9</f>
        <v>3.682831886721635</v>
      </c>
      <c r="F67" s="2">
        <f>F12*'Output-Calculation-sheet'!F56/10^9</f>
        <v>1.4905097826397813</v>
      </c>
      <c r="G67" s="2">
        <f>G12*'Output-Calculation-sheet'!G56/10^9</f>
        <v>1.094043975205486</v>
      </c>
      <c r="H67" s="2">
        <f>H12*'Output-Calculation-sheet'!H56/10^9</f>
        <v>1.7447589701738524</v>
      </c>
      <c r="I67" s="2">
        <f>I12*'Output-Calculation-sheet'!I56/10^9</f>
        <v>1.0334349933459637</v>
      </c>
      <c r="J67" s="2">
        <f>J12*'Output-Calculation-sheet'!J56/10^9</f>
        <v>0.959948567058033</v>
      </c>
      <c r="K67" s="2">
        <f>K12*'Output-Calculation-sheet'!K56/10^9</f>
        <v>1.1795297187050151</v>
      </c>
      <c r="L67" s="2">
        <f>L12*'Output-Calculation-sheet'!L56/10^9</f>
        <v>1.126158300546197</v>
      </c>
      <c r="M67" s="2">
        <f>M12*'Output-Calculation-sheet'!M56/10^9</f>
        <v>1.214461044550909</v>
      </c>
      <c r="N67" s="2">
        <f>N12*'Output-Calculation-sheet'!N56/10^9</f>
        <v>1.1834522178607849</v>
      </c>
      <c r="O67" s="2">
        <f>O12*'Output-Calculation-sheet'!O56/10^9</f>
        <v>1.0730780868228595</v>
      </c>
      <c r="P67" s="2">
        <f>P12*'Output-Calculation-sheet'!P56/10^9</f>
        <v>1.0434947429262262</v>
      </c>
      <c r="Q67" s="2">
        <f>Q12*'Output-Calculation-sheet'!Q56/10^9</f>
        <v>1.0565894114864349</v>
      </c>
      <c r="R67" s="2">
        <f>R12*'Output-Calculation-sheet'!R56/10^9</f>
        <v>0.8697673331083956</v>
      </c>
      <c r="S67" s="2">
        <f>S12*'Output-Calculation-sheet'!S56/10^9</f>
        <v>0.67659356022399608</v>
      </c>
      <c r="T67" s="2">
        <f>T12*'Output-Calculation-sheet'!T56/10^9</f>
        <v>0.26654744129073837</v>
      </c>
      <c r="U67" s="2">
        <f>U12*'Output-Calculation-sheet'!U56/10^9</f>
        <v>0.28624637014724297</v>
      </c>
      <c r="V67" s="2">
        <f>V12*'Output-Calculation-sheet'!V56/10^9</f>
        <v>0.20462285760797377</v>
      </c>
      <c r="W67" s="2">
        <f>W12*'Output-Calculation-sheet'!W56/10^9</f>
        <v>0.13583439850562051</v>
      </c>
      <c r="X67" s="2">
        <f>X12*'Output-Calculation-sheet'!X56/10^9</f>
        <v>0.12932725595859373</v>
      </c>
      <c r="Y67" s="2">
        <f>Y12*'Output-Calculation-sheet'!Y56/10^9</f>
        <v>0.12079948502735585</v>
      </c>
      <c r="AA67" s="2">
        <f t="shared" si="4"/>
        <v>40.904808825088431</v>
      </c>
    </row>
    <row r="68" spans="1:27" x14ac:dyDescent="0.25">
      <c r="B68" s="2">
        <f>SUM(B60:B67)</f>
        <v>51.384808929293172</v>
      </c>
      <c r="C68" s="2">
        <f t="shared" ref="C68:Y68" si="5">SUM(C60:C67)</f>
        <v>26.110076367764457</v>
      </c>
      <c r="D68" s="2">
        <f t="shared" si="5"/>
        <v>13.825427490621959</v>
      </c>
      <c r="E68" s="2">
        <f t="shared" si="5"/>
        <v>15.38216251529481</v>
      </c>
      <c r="F68" s="2">
        <f t="shared" si="5"/>
        <v>6.2741314809073767</v>
      </c>
      <c r="G68" s="2">
        <f t="shared" si="5"/>
        <v>4.4826515531378872</v>
      </c>
      <c r="H68" s="2">
        <f t="shared" si="5"/>
        <v>8.2045917865160831</v>
      </c>
      <c r="I68" s="2">
        <f t="shared" si="5"/>
        <v>4.2627878764661986</v>
      </c>
      <c r="J68" s="2">
        <f t="shared" si="5"/>
        <v>4.9445098540827734</v>
      </c>
      <c r="K68" s="2">
        <f t="shared" si="5"/>
        <v>5.1669089835364019</v>
      </c>
      <c r="L68" s="2">
        <f t="shared" si="5"/>
        <v>5.9893679748935993</v>
      </c>
      <c r="M68" s="2">
        <f t="shared" si="5"/>
        <v>6.2162536398423676</v>
      </c>
      <c r="N68" s="2">
        <f t="shared" si="5"/>
        <v>5.7421975844236481</v>
      </c>
      <c r="O68" s="2">
        <f t="shared" si="5"/>
        <v>5.2115048283322762</v>
      </c>
      <c r="P68" s="2">
        <f t="shared" si="5"/>
        <v>4.244057980952082</v>
      </c>
      <c r="Q68" s="2">
        <f t="shared" si="5"/>
        <v>4.5566817713329479</v>
      </c>
      <c r="R68" s="2">
        <f t="shared" si="5"/>
        <v>3.7776041467291939</v>
      </c>
      <c r="S68" s="2">
        <f t="shared" si="5"/>
        <v>3.0537994992249611</v>
      </c>
      <c r="T68" s="2">
        <f t="shared" si="5"/>
        <v>1.2745330341638699</v>
      </c>
      <c r="U68" s="2">
        <f t="shared" si="5"/>
        <v>1.1158270046381573</v>
      </c>
      <c r="V68" s="2">
        <f t="shared" si="5"/>
        <v>1.3352162196402333</v>
      </c>
      <c r="W68" s="2">
        <f t="shared" si="5"/>
        <v>0.57299750544632599</v>
      </c>
      <c r="X68" s="2">
        <f t="shared" si="5"/>
        <v>0.65220224682111738</v>
      </c>
      <c r="Y68" s="2">
        <f t="shared" si="5"/>
        <v>0.46131255251203263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63.01681341142438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6.3016813411424386E-2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648.89999259477452</v>
      </c>
      <c r="Q76" s="2">
        <f>Q10/'Output-Calculation-sheet'!Q9*'Output-Calculation-sheet'!Q63</f>
        <v>76.958140491134458</v>
      </c>
      <c r="R76" s="2">
        <f>R10/'Output-Calculation-sheet'!R9*'Output-Calculation-sheet'!R63</f>
        <v>495.18743902447801</v>
      </c>
      <c r="S76" s="2">
        <f>S10/'Output-Calculation-sheet'!S9*'Output-Calculation-sheet'!S63</f>
        <v>0</v>
      </c>
      <c r="T76" s="2">
        <f>T10/'Output-Calculation-sheet'!T9*'Output-Calculation-sheet'!T63</f>
        <v>32.45157218371687</v>
      </c>
      <c r="U76" s="2">
        <f>U10/'Output-Calculation-sheet'!U9*'Output-Calculation-sheet'!U63</f>
        <v>175.44088192299878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8.3212845415957748</v>
      </c>
      <c r="AA76" s="2">
        <f t="shared" si="6"/>
        <v>1.5734844596848214</v>
      </c>
    </row>
    <row r="77" spans="1:27" x14ac:dyDescent="0.25">
      <c r="A77" s="2">
        <v>2034</v>
      </c>
      <c r="B77" s="2">
        <f>B11/'Output-Calculation-sheet'!B10*'Output-Calculation-sheet'!B64</f>
        <v>670.89487490700765</v>
      </c>
      <c r="C77" s="2">
        <f>C11/'Output-Calculation-sheet'!C10*'Output-Calculation-sheet'!C64</f>
        <v>0</v>
      </c>
      <c r="D77" s="2">
        <f>D11/'Output-Calculation-sheet'!D10*'Output-Calculation-sheet'!D64</f>
        <v>2386.339178113577</v>
      </c>
      <c r="E77" s="2">
        <f>E11/'Output-Calculation-sheet'!E10*'Output-Calculation-sheet'!E64</f>
        <v>2958.9934182271663</v>
      </c>
      <c r="F77" s="2">
        <f>F11/'Output-Calculation-sheet'!F10*'Output-Calculation-sheet'!F64</f>
        <v>192.5268671077518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195.65235340702532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520.53708946784138</v>
      </c>
      <c r="K77" s="2">
        <f>K11/'Output-Calculation-sheet'!K10*'Output-Calculation-sheet'!K64</f>
        <v>1137.4453485346198</v>
      </c>
      <c r="L77" s="2">
        <f>L11/'Output-Calculation-sheet'!L10*'Output-Calculation-sheet'!L64</f>
        <v>468.95737300848361</v>
      </c>
      <c r="M77" s="2">
        <f>M11/'Output-Calculation-sheet'!M10*'Output-Calculation-sheet'!M64</f>
        <v>140.91183398263613</v>
      </c>
      <c r="N77" s="2">
        <f>N11/'Output-Calculation-sheet'!N10*'Output-Calculation-sheet'!N64</f>
        <v>46.60351320054324</v>
      </c>
      <c r="O77" s="2">
        <f>O11/'Output-Calculation-sheet'!O10*'Output-Calculation-sheet'!O64</f>
        <v>0</v>
      </c>
      <c r="P77" s="2">
        <f>P11/'Output-Calculation-sheet'!P10*'Output-Calculation-sheet'!P64</f>
        <v>966.50689078449989</v>
      </c>
      <c r="Q77" s="2">
        <f>Q11/'Output-Calculation-sheet'!Q10*'Output-Calculation-sheet'!Q64</f>
        <v>231.84293324018918</v>
      </c>
      <c r="R77" s="2">
        <f>R11/'Output-Calculation-sheet'!R10*'Output-Calculation-sheet'!R64</f>
        <v>1192.9351609525297</v>
      </c>
      <c r="S77" s="2">
        <f>S11/'Output-Calculation-sheet'!S10*'Output-Calculation-sheet'!S64</f>
        <v>0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438.56861584954487</v>
      </c>
      <c r="V77" s="2">
        <f>V11/'Output-Calculation-sheet'!V10*'Output-Calculation-sheet'!V64</f>
        <v>171.30362134004173</v>
      </c>
      <c r="W77" s="2">
        <f>W11/'Output-Calculation-sheet'!W10*'Output-Calculation-sheet'!W64</f>
        <v>37.513436866631537</v>
      </c>
      <c r="X77" s="2">
        <f>X11/'Output-Calculation-sheet'!X10*'Output-Calculation-sheet'!X64</f>
        <v>14.04736340137991</v>
      </c>
      <c r="Y77" s="2">
        <f>Y11/'Output-Calculation-sheet'!Y10*'Output-Calculation-sheet'!Y64</f>
        <v>79.178272833497331</v>
      </c>
      <c r="AA77" s="2">
        <f t="shared" si="6"/>
        <v>14.175012901658599</v>
      </c>
    </row>
    <row r="78" spans="1:27" x14ac:dyDescent="0.25">
      <c r="A78" s="2">
        <v>2035</v>
      </c>
      <c r="B78" s="2">
        <f>B12/'Output-Calculation-sheet'!B11*'Output-Calculation-sheet'!B65</f>
        <v>133.17001024645256</v>
      </c>
      <c r="C78" s="2">
        <f>C12/'Output-Calculation-sheet'!C11*'Output-Calculation-sheet'!C65</f>
        <v>106.66434450950021</v>
      </c>
      <c r="D78" s="2">
        <f>D12/'Output-Calculation-sheet'!D11*'Output-Calculation-sheet'!D65</f>
        <v>5091.0087697764711</v>
      </c>
      <c r="E78" s="2">
        <f>E12/'Output-Calculation-sheet'!E11*'Output-Calculation-sheet'!E65</f>
        <v>2468.8117802282754</v>
      </c>
      <c r="F78" s="2">
        <f>F12/'Output-Calculation-sheet'!F11*'Output-Calculation-sheet'!F65</f>
        <v>1273.1894923166262</v>
      </c>
      <c r="G78" s="2">
        <f>G12/'Output-Calculation-sheet'!G11*'Output-Calculation-sheet'!G65</f>
        <v>2362.9709230603012</v>
      </c>
      <c r="H78" s="2">
        <f>H12/'Output-Calculation-sheet'!H11*'Output-Calculation-sheet'!H65</f>
        <v>44.784855415732025</v>
      </c>
      <c r="I78" s="2">
        <f>I12/'Output-Calculation-sheet'!I11*'Output-Calculation-sheet'!I65</f>
        <v>1570.3915178232339</v>
      </c>
      <c r="J78" s="2">
        <f>J12/'Output-Calculation-sheet'!J11*'Output-Calculation-sheet'!J65</f>
        <v>1633.2829069924207</v>
      </c>
      <c r="K78" s="2">
        <f>K12/'Output-Calculation-sheet'!K11*'Output-Calculation-sheet'!K65</f>
        <v>2033.1735938456811</v>
      </c>
      <c r="L78" s="2">
        <f>L12/'Output-Calculation-sheet'!L11*'Output-Calculation-sheet'!L65</f>
        <v>1105.2450394520511</v>
      </c>
      <c r="M78" s="2">
        <f>M12/'Output-Calculation-sheet'!M11*'Output-Calculation-sheet'!M65</f>
        <v>31.317594834002183</v>
      </c>
      <c r="N78" s="2">
        <f>N12/'Output-Calculation-sheet'!N11*'Output-Calculation-sheet'!N65</f>
        <v>32.554657009448754</v>
      </c>
      <c r="O78" s="2">
        <f>O12/'Output-Calculation-sheet'!O11*'Output-Calculation-sheet'!O65</f>
        <v>18.587762692010671</v>
      </c>
      <c r="P78" s="2">
        <f>P12/'Output-Calculation-sheet'!P11*'Output-Calculation-sheet'!P65</f>
        <v>382.86823693384019</v>
      </c>
      <c r="Q78" s="2">
        <f>Q12/'Output-Calculation-sheet'!Q11*'Output-Calculation-sheet'!Q65</f>
        <v>285.30370634603833</v>
      </c>
      <c r="R78" s="2">
        <f>R12/'Output-Calculation-sheet'!R11*'Output-Calculation-sheet'!R65</f>
        <v>1759.4944360587076</v>
      </c>
      <c r="S78" s="2">
        <f>S12/'Output-Calculation-sheet'!S11*'Output-Calculation-sheet'!S65</f>
        <v>13.339189397054938</v>
      </c>
      <c r="T78" s="2">
        <f>T12/'Output-Calculation-sheet'!T11*'Output-Calculation-sheet'!T65</f>
        <v>638.51065113316486</v>
      </c>
      <c r="U78" s="2">
        <f>U12/'Output-Calculation-sheet'!U11*'Output-Calculation-sheet'!U65</f>
        <v>525.24369602978288</v>
      </c>
      <c r="V78" s="2">
        <f>V12/'Output-Calculation-sheet'!V11*'Output-Calculation-sheet'!V65</f>
        <v>318.3826770189221</v>
      </c>
      <c r="W78" s="2">
        <f>W12/'Output-Calculation-sheet'!W11*'Output-Calculation-sheet'!W65</f>
        <v>227.7865948718262</v>
      </c>
      <c r="X78" s="2">
        <f>X12/'Output-Calculation-sheet'!X11*'Output-Calculation-sheet'!X65</f>
        <v>3.1974430463080505</v>
      </c>
      <c r="Y78" s="2">
        <f>Y12/'Output-Calculation-sheet'!Y11*'Output-Calculation-sheet'!Y65</f>
        <v>56.035844011679494</v>
      </c>
      <c r="AA78" s="2">
        <f t="shared" si="6"/>
        <v>22.11531572304953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112.17474573771341</v>
      </c>
      <c r="E89" s="2">
        <f>E12/'Output-Calculation-sheet'!E11*'Output-Calculation-sheet'!E74</f>
        <v>83.577287414998182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57.84444977477429</v>
      </c>
      <c r="H89" s="2">
        <f>H12/'Output-Calculation-sheet'!H11*'Output-Calculation-sheet'!H74</f>
        <v>7.3090287371992204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26.864347147300734</v>
      </c>
      <c r="K89" s="2">
        <f>K12/'Output-Calculation-sheet'!K11*'Output-Calculation-sheet'!K74</f>
        <v>37.795256554503894</v>
      </c>
      <c r="L89" s="2">
        <f>L12/'Output-Calculation-sheet'!L11*'Output-Calculation-sheet'!L74</f>
        <v>14.14261086950801</v>
      </c>
      <c r="M89" s="2">
        <f>M12/'Output-Calculation-sheet'!M11*'Output-Calculation-sheet'!M74</f>
        <v>6.7057641098446936</v>
      </c>
      <c r="N89" s="2">
        <f>N12/'Output-Calculation-sheet'!N11*'Output-Calculation-sheet'!N74</f>
        <v>3.2953393065541814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6.0886293791410999</v>
      </c>
      <c r="Q89" s="2">
        <f>Q12/'Output-Calculation-sheet'!Q11*'Output-Calculation-sheet'!Q74</f>
        <v>8.6616653076234105</v>
      </c>
      <c r="R89" s="2">
        <f>R12/'Output-Calculation-sheet'!R11*'Output-Calculation-sheet'!R74</f>
        <v>24.337408698728289</v>
      </c>
      <c r="S89" s="2">
        <f>S12/'Output-Calculation-sheet'!S11*'Output-Calculation-sheet'!S74</f>
        <v>2.8335033768437881</v>
      </c>
      <c r="T89" s="2">
        <f>T12/'Output-Calculation-sheet'!T11*'Output-Calculation-sheet'!T74</f>
        <v>6.3557113463547585</v>
      </c>
      <c r="U89" s="2">
        <f>U12/'Output-Calculation-sheet'!U11*'Output-Calculation-sheet'!U74</f>
        <v>12.896762826179613</v>
      </c>
      <c r="V89" s="2">
        <f>V12/'Output-Calculation-sheet'!V11*'Output-Calculation-sheet'!V74</f>
        <v>1.7758090690490544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3.19456382256881</v>
      </c>
      <c r="AA89" s="2">
        <f t="shared" si="7"/>
        <v>0.58072257750894707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2074.5804425500719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638.62020324652462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439.43285004718109</v>
      </c>
      <c r="N107" s="2">
        <f>N8/'Output-Calculation-sheet'!N7*'Output-Calculation-sheet'!N88</f>
        <v>172.75649064072346</v>
      </c>
      <c r="O107" s="2">
        <f>O8/'Output-Calculation-sheet'!O7*'Output-Calculation-sheet'!O88</f>
        <v>483.64001579537182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48.206697596703471</v>
      </c>
      <c r="Y107" s="2">
        <f>Y8/'Output-Calculation-sheet'!Y7*'Output-Calculation-sheet'!Y88</f>
        <v>0</v>
      </c>
      <c r="AA107" s="2">
        <f t="shared" si="9"/>
        <v>3.8572366998765761</v>
      </c>
    </row>
    <row r="108" spans="1:27" x14ac:dyDescent="0.25">
      <c r="A108" s="2">
        <v>2032</v>
      </c>
      <c r="B108" s="2">
        <f>B9/'Output-Calculation-sheet'!B8*'Output-Calculation-sheet'!B89</f>
        <v>1002.5938119072003</v>
      </c>
      <c r="C108" s="2">
        <f>C9/'Output-Calculation-sheet'!C8*'Output-Calculation-sheet'!C89</f>
        <v>3806.8338285517193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1025.3788310740192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705.56042515768206</v>
      </c>
      <c r="N108" s="2">
        <f>N9/'Output-Calculation-sheet'!N8*'Output-Calculation-sheet'!N89</f>
        <v>495.32248122344708</v>
      </c>
      <c r="O108" s="2">
        <f>O9/'Output-Calculation-sheet'!O8*'Output-Calculation-sheet'!O89</f>
        <v>739.56205602227124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227.14875648879081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77.401446086986951</v>
      </c>
      <c r="Y108" s="2">
        <f>Y9/'Output-Calculation-sheet'!Y8*'Output-Calculation-sheet'!Y89</f>
        <v>0</v>
      </c>
      <c r="AA108" s="2">
        <f t="shared" si="9"/>
        <v>8.0798016365121175</v>
      </c>
    </row>
    <row r="109" spans="1:27" x14ac:dyDescent="0.25">
      <c r="A109" s="2">
        <v>2033</v>
      </c>
      <c r="B109" s="2">
        <f>B10/'Output-Calculation-sheet'!B9*'Output-Calculation-sheet'!B90</f>
        <v>5552.5660821378651</v>
      </c>
      <c r="C109" s="2">
        <f>C10/'Output-Calculation-sheet'!C9*'Output-Calculation-sheet'!C90</f>
        <v>5270.7527579244152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1622.5011710755239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1116.4387067400319</v>
      </c>
      <c r="N109" s="2">
        <f>N10/'Output-Calculation-sheet'!N9*'Output-Calculation-sheet'!N90</f>
        <v>877.82255227922735</v>
      </c>
      <c r="O109" s="2">
        <f>O10/'Output-Calculation-sheet'!O9*'Output-Calculation-sheet'!O90</f>
        <v>1023.9608351695821</v>
      </c>
      <c r="P109" s="2">
        <f>P10/'Output-Calculation-sheet'!P9*'Output-Calculation-sheet'!P90</f>
        <v>0</v>
      </c>
      <c r="Q109" s="2">
        <f>Q10/'Output-Calculation-sheet'!Q9*'Output-Calculation-sheet'!Q90</f>
        <v>192.27673895380622</v>
      </c>
      <c r="R109" s="2">
        <f>R10/'Output-Calculation-sheet'!R9*'Output-Calculation-sheet'!R90</f>
        <v>0</v>
      </c>
      <c r="S109" s="2">
        <f>S10/'Output-Calculation-sheet'!S9*'Output-Calculation-sheet'!S90</f>
        <v>440.29841703099214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122.47564813439161</v>
      </c>
      <c r="Y109" s="2">
        <f>Y10/'Output-Calculation-sheet'!Y9*'Output-Calculation-sheet'!Y90</f>
        <v>0</v>
      </c>
      <c r="AA109" s="2">
        <f t="shared" si="9"/>
        <v>16.219092909445834</v>
      </c>
    </row>
    <row r="110" spans="1:27" x14ac:dyDescent="0.25">
      <c r="A110" s="2">
        <v>2034</v>
      </c>
      <c r="B110" s="2">
        <f>B11/'Output-Calculation-sheet'!B10*'Output-Calculation-sheet'!B91</f>
        <v>10829.202438929409</v>
      </c>
      <c r="C110" s="2">
        <f>C11/'Output-Calculation-sheet'!C10*'Output-Calculation-sheet'!C91</f>
        <v>7424.1412898905237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2109.5824139760475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1451.5980043698246</v>
      </c>
      <c r="N110" s="2">
        <f>N11/'Output-Calculation-sheet'!N10*'Output-Calculation-sheet'!N91</f>
        <v>1307.7949733578546</v>
      </c>
      <c r="O110" s="2">
        <f>O11/'Output-Calculation-sheet'!O10*'Output-Calculation-sheet'!O91</f>
        <v>1442.3044040879854</v>
      </c>
      <c r="P110" s="2">
        <f>P11/'Output-Calculation-sheet'!P10*'Output-Calculation-sheet'!P91</f>
        <v>329.50168360132631</v>
      </c>
      <c r="Q110" s="2">
        <f>Q11/'Output-Calculation-sheet'!Q10*'Output-Calculation-sheet'!Q91</f>
        <v>729.16367242463764</v>
      </c>
      <c r="R110" s="2">
        <f>R11/'Output-Calculation-sheet'!R10*'Output-Calculation-sheet'!R91</f>
        <v>0</v>
      </c>
      <c r="S110" s="2">
        <f>S11/'Output-Calculation-sheet'!S10*'Output-Calculation-sheet'!S91</f>
        <v>749.67322603342075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159.24332015943068</v>
      </c>
      <c r="Y110" s="2">
        <f>Y11/'Output-Calculation-sheet'!Y10*'Output-Calculation-sheet'!Y91</f>
        <v>25.612141665721985</v>
      </c>
      <c r="AA110" s="2">
        <f t="shared" si="9"/>
        <v>26.557817568496191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3861.270678572916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544.49051847605836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1406.473386581594</v>
      </c>
      <c r="Q111" s="2">
        <f>Q12/'Output-Calculation-sheet'!Q11*'Output-Calculation-sheet'!Q92</f>
        <v>1333.8964573740052</v>
      </c>
      <c r="R111" s="2">
        <f>R12/'Output-Calculation-sheet'!R11*'Output-Calculation-sheet'!R92</f>
        <v>0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150.32197542865455</v>
      </c>
      <c r="AA111" s="2">
        <f t="shared" si="9"/>
        <v>45.430418353877783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9752564940.7834778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3000664014.5722618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2084219735.3175449</v>
      </c>
      <c r="N118" s="2">
        <f>N8/'Output-Calculation-sheet'!N7*'Output-Calculation-sheet'!N97</f>
        <v>1635518228.9621482</v>
      </c>
      <c r="O118" s="2">
        <f>O8/'Output-Calculation-sheet'!O7*'Output-Calculation-sheet'!O97</f>
        <v>1088292625.8459675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224639329.22239012</v>
      </c>
      <c r="Y118" s="2">
        <f>Y8/'Output-Calculation-sheet'!Y7*'Output-Calculation-sheet'!Y97</f>
        <v>0</v>
      </c>
      <c r="AA118" s="2">
        <f t="shared" si="10"/>
        <v>20041.221286152606</v>
      </c>
    </row>
    <row r="119" spans="1:27" x14ac:dyDescent="0.25">
      <c r="A119" s="2">
        <v>2032</v>
      </c>
      <c r="B119" s="2">
        <f>B9/'Output-Calculation-sheet'!B8*'Output-Calculation-sheet'!B98</f>
        <v>7521510859.7232409</v>
      </c>
      <c r="C119" s="2">
        <f>C9/'Output-Calculation-sheet'!C8*'Output-Calculation-sheet'!C98</f>
        <v>5978248754.3950968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3573810481.8320408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2494533099.968483</v>
      </c>
      <c r="N119" s="2">
        <f>N9/'Output-Calculation-sheet'!N8*'Output-Calculation-sheet'!N98</f>
        <v>1687016908.9710894</v>
      </c>
      <c r="O119" s="2">
        <f>O9/'Output-Calculation-sheet'!O8*'Output-Calculation-sheet'!O98</f>
        <v>1168039339.0563068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700095182.37410212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266923984.69987261</v>
      </c>
      <c r="Y119" s="2">
        <f>Y9/'Output-Calculation-sheet'!Y8*'Output-Calculation-sheet'!Y98</f>
        <v>0</v>
      </c>
      <c r="AA119" s="2">
        <f t="shared" si="10"/>
        <v>23390.178611020234</v>
      </c>
    </row>
    <row r="120" spans="1:27" x14ac:dyDescent="0.25">
      <c r="A120" s="2">
        <v>2033</v>
      </c>
      <c r="B120" s="2">
        <f>B10/'Output-Calculation-sheet'!B9*'Output-Calculation-sheet'!B99</f>
        <v>7988106170.5579519</v>
      </c>
      <c r="C120" s="2">
        <f>C10/'Output-Calculation-sheet'!C9*'Output-Calculation-sheet'!C99</f>
        <v>6566719285.4227638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2153071696.8834882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1523962033.4265172</v>
      </c>
      <c r="N120" s="2">
        <f>N10/'Output-Calculation-sheet'!N9*'Output-Calculation-sheet'!N99</f>
        <v>1519228680.7463956</v>
      </c>
      <c r="O120" s="2">
        <f>O10/'Output-Calculation-sheet'!O9*'Output-Calculation-sheet'!O99</f>
        <v>1285622191.2056973</v>
      </c>
      <c r="P120" s="2">
        <f>P10/'Output-Calculation-sheet'!P9*'Output-Calculation-sheet'!P99</f>
        <v>0</v>
      </c>
      <c r="Q120" s="2">
        <f>Q10/'Output-Calculation-sheet'!Q9*'Output-Calculation-sheet'!Q99</f>
        <v>9653578.5981480163</v>
      </c>
      <c r="R120" s="2">
        <f>R10/'Output-Calculation-sheet'!R9*'Output-Calculation-sheet'!R99</f>
        <v>0</v>
      </c>
      <c r="S120" s="2">
        <f>S10/'Output-Calculation-sheet'!S9*'Output-Calculation-sheet'!S99</f>
        <v>636243057.37239385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152174370.40229198</v>
      </c>
      <c r="Y120" s="2">
        <f>Y10/'Output-Calculation-sheet'!Y9*'Output-Calculation-sheet'!Y99</f>
        <v>0</v>
      </c>
      <c r="AA120" s="2">
        <f t="shared" si="10"/>
        <v>21834.781064615647</v>
      </c>
    </row>
    <row r="121" spans="1:27" x14ac:dyDescent="0.25">
      <c r="A121" s="2">
        <v>2034</v>
      </c>
      <c r="B121" s="2">
        <f>B11/'Output-Calculation-sheet'!B10*'Output-Calculation-sheet'!B100</f>
        <v>8042872091.2249908</v>
      </c>
      <c r="C121" s="2">
        <f>C11/'Output-Calculation-sheet'!C10*'Output-Calculation-sheet'!C100</f>
        <v>974634000.14675391</v>
      </c>
      <c r="D121" s="2">
        <f>D11/'Output-Calculation-sheet'!D10*'Output-Calculation-sheet'!D100</f>
        <v>0</v>
      </c>
      <c r="E121" s="2">
        <f>E11/'Output-Calculation-sheet'!E10*'Output-Calculation-sheet'!E100</f>
        <v>1125896708.4609771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2566302440.4061608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934909617.85614491</v>
      </c>
      <c r="M121" s="2">
        <f>M11/'Output-Calculation-sheet'!M10*'Output-Calculation-sheet'!M100</f>
        <v>1826427630.1865063</v>
      </c>
      <c r="N121" s="2">
        <f>N11/'Output-Calculation-sheet'!N10*'Output-Calculation-sheet'!N100</f>
        <v>1217638490.6744342</v>
      </c>
      <c r="O121" s="2">
        <f>O11/'Output-Calculation-sheet'!O10*'Output-Calculation-sheet'!O100</f>
        <v>191177664.89139354</v>
      </c>
      <c r="P121" s="2">
        <f>P11/'Output-Calculation-sheet'!P10*'Output-Calculation-sheet'!P100</f>
        <v>0</v>
      </c>
      <c r="Q121" s="2">
        <f>Q11/'Output-Calculation-sheet'!Q10*'Output-Calculation-sheet'!Q100</f>
        <v>410534028.46634495</v>
      </c>
      <c r="R121" s="2">
        <f>R11/'Output-Calculation-sheet'!R10*'Output-Calculation-sheet'!R100</f>
        <v>0</v>
      </c>
      <c r="S121" s="2">
        <f>S11/'Output-Calculation-sheet'!S10*'Output-Calculation-sheet'!S100</f>
        <v>455266017.57105297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179459294.12192154</v>
      </c>
      <c r="Y121" s="2">
        <f>Y11/'Output-Calculation-sheet'!Y10*'Output-Calculation-sheet'!Y100</f>
        <v>26051822.308070485</v>
      </c>
      <c r="AA121" s="2">
        <f t="shared" si="10"/>
        <v>17951.169806314756</v>
      </c>
    </row>
    <row r="122" spans="1:27" x14ac:dyDescent="0.25">
      <c r="A122" s="2">
        <v>2035</v>
      </c>
      <c r="B122" s="2">
        <f>B12/'Output-Calculation-sheet'!B11*'Output-Calculation-sheet'!B101</f>
        <v>2330800350.2620564</v>
      </c>
      <c r="C122" s="2">
        <f>C12/'Output-Calculation-sheet'!C11*'Output-Calculation-sheet'!C101</f>
        <v>483709941.21236074</v>
      </c>
      <c r="D122" s="2">
        <f>D12/'Output-Calculation-sheet'!D11*'Output-Calculation-sheet'!D101</f>
        <v>0</v>
      </c>
      <c r="E122" s="2">
        <f>E12/'Output-Calculation-sheet'!E11*'Output-Calculation-sheet'!E101</f>
        <v>3997430337.7741022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838412595.58684146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2125252563.1935773</v>
      </c>
      <c r="M122" s="2">
        <f>M12/'Output-Calculation-sheet'!M11*'Output-Calculation-sheet'!M101</f>
        <v>747190771.80406141</v>
      </c>
      <c r="N122" s="2">
        <f>N12/'Output-Calculation-sheet'!N11*'Output-Calculation-sheet'!N101</f>
        <v>622114420.62803364</v>
      </c>
      <c r="O122" s="2">
        <f>O12/'Output-Calculation-sheet'!O11*'Output-Calculation-sheet'!O101</f>
        <v>82656270.404149532</v>
      </c>
      <c r="P122" s="2">
        <f>P12/'Output-Calculation-sheet'!P11*'Output-Calculation-sheet'!P101</f>
        <v>101736217.35138516</v>
      </c>
      <c r="Q122" s="2">
        <f>Q12/'Output-Calculation-sheet'!Q11*'Output-Calculation-sheet'!Q101</f>
        <v>946197864.0662775</v>
      </c>
      <c r="R122" s="2">
        <f>R12/'Output-Calculation-sheet'!R11*'Output-Calculation-sheet'!R101</f>
        <v>0</v>
      </c>
      <c r="S122" s="2">
        <f>S12/'Output-Calculation-sheet'!S11*'Output-Calculation-sheet'!S101</f>
        <v>279334318.89826554</v>
      </c>
      <c r="T122" s="2">
        <f>T12/'Output-Calculation-sheet'!T11*'Output-Calculation-sheet'!T101</f>
        <v>0</v>
      </c>
      <c r="U122" s="2">
        <f>U12/'Output-Calculation-sheet'!U11*'Output-Calculation-sheet'!U101</f>
        <v>117945041.43346384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24459740.449800361</v>
      </c>
      <c r="Y122" s="2">
        <f>Y12/'Output-Calculation-sheet'!Y11*'Output-Calculation-sheet'!Y101</f>
        <v>120111854.98988414</v>
      </c>
      <c r="AA122" s="2">
        <f t="shared" si="10"/>
        <v>12817.352288054259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2714003346.1703715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178396.41209626093</v>
      </c>
    </row>
    <row r="130" spans="1:27" x14ac:dyDescent="0.25">
      <c r="A130" s="2">
        <v>2032</v>
      </c>
      <c r="B130" s="2">
        <f>B9/'Output-Calculation-sheet'!B8*'Output-Calculation-sheet'!B107</f>
        <v>68065364731.243896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2473834740.5666862</v>
      </c>
      <c r="O130" s="2">
        <f>O9/'Output-Calculation-sheet'!O8*'Output-Calculation-sheet'!O107</f>
        <v>0</v>
      </c>
      <c r="P130" s="2">
        <f>P9/'Output-Calculation-sheet'!P8*'Output-Calculation-sheet'!P107</f>
        <v>7555872816.361927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2199283760.1629777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239705.74224583872</v>
      </c>
    </row>
    <row r="131" spans="1:27" x14ac:dyDescent="0.25">
      <c r="A131" s="2">
        <v>2033</v>
      </c>
      <c r="B131" s="2">
        <f>B10/'Output-Calculation-sheet'!B9*'Output-Calculation-sheet'!B108</f>
        <v>59588841191.042809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2183496671.5613165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8471207455.4522581</v>
      </c>
      <c r="R131" s="2">
        <f>R10/'Output-Calculation-sheet'!R9*'Output-Calculation-sheet'!R108</f>
        <v>9505323315.1215458</v>
      </c>
      <c r="S131" s="2">
        <f>S10/'Output-Calculation-sheet'!S9*'Output-Calculation-sheet'!S108</f>
        <v>2117875413.047893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284407.88097252167</v>
      </c>
    </row>
    <row r="132" spans="1:27" x14ac:dyDescent="0.25">
      <c r="A132" s="2">
        <v>2034</v>
      </c>
      <c r="B132" s="2">
        <f>B11/'Output-Calculation-sheet'!B10*'Output-Calculation-sheet'!B109</f>
        <v>47309832036.835609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45559564904.327751</v>
      </c>
      <c r="F132" s="2">
        <f>F11/'Output-Calculation-sheet'!F10*'Output-Calculation-sheet'!F109</f>
        <v>30048338190.817539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18721759161.454636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13939951282.900202</v>
      </c>
      <c r="M132" s="2">
        <f>M11/'Output-Calculation-sheet'!M10*'Output-Calculation-sheet'!M109</f>
        <v>0</v>
      </c>
      <c r="N132" s="2">
        <f>N11/'Output-Calculation-sheet'!N10*'Output-Calculation-sheet'!N109</f>
        <v>1832778153.1706734</v>
      </c>
      <c r="O132" s="2">
        <f>O11/'Output-Calculation-sheet'!O10*'Output-Calculation-sheet'!O109</f>
        <v>0</v>
      </c>
      <c r="P132" s="2">
        <f>P11/'Output-Calculation-sheet'!P10*'Output-Calculation-sheet'!P109</f>
        <v>10415603848.792299</v>
      </c>
      <c r="Q132" s="2">
        <f>Q11/'Output-Calculation-sheet'!Q10*'Output-Calculation-sheet'!Q109</f>
        <v>6708915902.8488989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1257854313.1248548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1311113472.3864892</v>
      </c>
      <c r="AA132" s="2">
        <f t="shared" si="11"/>
        <v>320635.17191337596</v>
      </c>
    </row>
    <row r="133" spans="1:27" x14ac:dyDescent="0.25">
      <c r="A133" s="2">
        <v>2035</v>
      </c>
      <c r="B133" s="2">
        <f>B12/'Output-Calculation-sheet'!B11*'Output-Calculation-sheet'!B110</f>
        <v>779957373.15999079</v>
      </c>
      <c r="C133" s="2">
        <f>C12/'Output-Calculation-sheet'!C11*'Output-Calculation-sheet'!C110</f>
        <v>0</v>
      </c>
      <c r="D133" s="2">
        <f>D12/'Output-Calculation-sheet'!D11*'Output-Calculation-sheet'!D110</f>
        <v>66898501437.114784</v>
      </c>
      <c r="E133" s="2">
        <f>E12/'Output-Calculation-sheet'!E11*'Output-Calculation-sheet'!E110</f>
        <v>28655771224.096642</v>
      </c>
      <c r="F133" s="2">
        <f>F12/'Output-Calculation-sheet'!F11*'Output-Calculation-sheet'!F110</f>
        <v>35170465455.494392</v>
      </c>
      <c r="G133" s="2">
        <f>G12/'Output-Calculation-sheet'!G11*'Output-Calculation-sheet'!G110</f>
        <v>24380298810.880486</v>
      </c>
      <c r="H133" s="2">
        <f>H12/'Output-Calculation-sheet'!H11*'Output-Calculation-sheet'!H110</f>
        <v>0</v>
      </c>
      <c r="I133" s="2">
        <f>I12/'Output-Calculation-sheet'!I11*'Output-Calculation-sheet'!I110</f>
        <v>22139532438.897652</v>
      </c>
      <c r="J133" s="2">
        <f>J12/'Output-Calculation-sheet'!J11*'Output-Calculation-sheet'!J110</f>
        <v>21436119253.152382</v>
      </c>
      <c r="K133" s="2">
        <f>K12/'Output-Calculation-sheet'!K11*'Output-Calculation-sheet'!K110</f>
        <v>21545010362.114483</v>
      </c>
      <c r="L133" s="2">
        <f>L12/'Output-Calculation-sheet'!L11*'Output-Calculation-sheet'!L110</f>
        <v>12541704443.433235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4754143379.866436</v>
      </c>
      <c r="Q133" s="2">
        <f>Q12/'Output-Calculation-sheet'!Q11*'Output-Calculation-sheet'!Q110</f>
        <v>3999695745.4903774</v>
      </c>
      <c r="R133" s="2">
        <f>R12/'Output-Calculation-sheet'!R11*'Output-Calculation-sheet'!R110</f>
        <v>14064554128.300446</v>
      </c>
      <c r="S133" s="2">
        <f>S12/'Output-Calculation-sheet'!S11*'Output-Calculation-sheet'!S110</f>
        <v>9461766.7061143629</v>
      </c>
      <c r="T133" s="2">
        <f>T12/'Output-Calculation-sheet'!T11*'Output-Calculation-sheet'!T110</f>
        <v>5244311937.135251</v>
      </c>
      <c r="U133" s="2">
        <f>U12/'Output-Calculation-sheet'!U11*'Output-Calculation-sheet'!U110</f>
        <v>4248980377.4759617</v>
      </c>
      <c r="V133" s="2">
        <f>V12/'Output-Calculation-sheet'!V11*'Output-Calculation-sheet'!V110</f>
        <v>3532493384.7480779</v>
      </c>
      <c r="W133" s="2">
        <f>W12/'Output-Calculation-sheet'!W11*'Output-Calculation-sheet'!W110</f>
        <v>3081363287.7475343</v>
      </c>
      <c r="X133" s="2">
        <f>X12/'Output-Calculation-sheet'!X11*'Output-Calculation-sheet'!X110</f>
        <v>0</v>
      </c>
      <c r="Y133" s="2">
        <f>Y12/'Output-Calculation-sheet'!Y11*'Output-Calculation-sheet'!Y110</f>
        <v>706800440.30717182</v>
      </c>
      <c r="AA133" s="2">
        <f t="shared" si="11"/>
        <v>273189.16524612135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17652437941.519032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5549481842.1716499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3814630967.4576216</v>
      </c>
      <c r="N140" s="2">
        <f>N8/'Output-Calculation-sheet'!N7*'Output-Calculation-sheet'!N115</f>
        <v>1440174388.067847</v>
      </c>
      <c r="O140" s="2">
        <f>O8/'Output-Calculation-sheet'!O7*'Output-Calculation-sheet'!O115</f>
        <v>4236499154.0323329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414223123.58906209</v>
      </c>
      <c r="Y140" s="2">
        <f>Y8/'Output-Calculation-sheet'!Y7*'Output-Calculation-sheet'!Y115</f>
        <v>0</v>
      </c>
      <c r="AA140" s="2">
        <f t="shared" si="12"/>
        <v>33107.447416837545</v>
      </c>
    </row>
    <row r="141" spans="1:27" x14ac:dyDescent="0.25">
      <c r="A141" s="2">
        <v>2032</v>
      </c>
      <c r="B141" s="2">
        <f>B9/'Output-Calculation-sheet'!B8*'Output-Calculation-sheet'!B116</f>
        <v>7781441768.9144392</v>
      </c>
      <c r="C141" s="2">
        <f>C9/'Output-Calculation-sheet'!C8*'Output-Calculation-sheet'!C116</f>
        <v>33309171827.397861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8683556650.5911884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5961975120.442522</v>
      </c>
      <c r="N141" s="2">
        <f>N9/'Output-Calculation-sheet'!N8*'Output-Calculation-sheet'!N116</f>
        <v>4139173250.0348792</v>
      </c>
      <c r="O141" s="2">
        <f>O9/'Output-Calculation-sheet'!O8*'Output-Calculation-sheet'!O116</f>
        <v>6465506018.3503914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1853977088.0220711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648940042.47869349</v>
      </c>
      <c r="Y141" s="2">
        <f>Y9/'Output-Calculation-sheet'!Y8*'Output-Calculation-sheet'!Y116</f>
        <v>0</v>
      </c>
      <c r="AA141" s="2">
        <f t="shared" si="12"/>
        <v>68843.741766232037</v>
      </c>
    </row>
    <row r="142" spans="1:27" x14ac:dyDescent="0.25">
      <c r="A142" s="2">
        <v>2033</v>
      </c>
      <c r="B142" s="2">
        <f>B10/'Output-Calculation-sheet'!B9*'Output-Calculation-sheet'!B117</f>
        <v>43233577517.986176</v>
      </c>
      <c r="C142" s="2">
        <f>C10/'Output-Calculation-sheet'!C9*'Output-Calculation-sheet'!C117</f>
        <v>45652871437.566589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14139031490.867912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9716160176.0619297</v>
      </c>
      <c r="N142" s="2">
        <f>N10/'Output-Calculation-sheet'!N9*'Output-Calculation-sheet'!N117</f>
        <v>7329403625.8777933</v>
      </c>
      <c r="O142" s="2">
        <f>O10/'Output-Calculation-sheet'!O9*'Output-Calculation-sheet'!O117</f>
        <v>8860642954.6114769</v>
      </c>
      <c r="P142" s="2">
        <f>P10/'Output-Calculation-sheet'!P9*'Output-Calculation-sheet'!P117</f>
        <v>0</v>
      </c>
      <c r="Q142" s="2">
        <f>Q10/'Output-Calculation-sheet'!Q9*'Output-Calculation-sheet'!Q117</f>
        <v>1399838335.6466095</v>
      </c>
      <c r="R142" s="2">
        <f>R10/'Output-Calculation-sheet'!R9*'Output-Calculation-sheet'!R117</f>
        <v>0</v>
      </c>
      <c r="S142" s="2">
        <f>S10/'Output-Calculation-sheet'!S9*'Output-Calculation-sheet'!S117</f>
        <v>3563891384.434413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1065163076.9792057</v>
      </c>
      <c r="Y142" s="2">
        <f>Y10/'Output-Calculation-sheet'!Y9*'Output-Calculation-sheet'!Y117</f>
        <v>0</v>
      </c>
      <c r="AA142" s="2">
        <f t="shared" si="12"/>
        <v>134960.58000003212</v>
      </c>
    </row>
    <row r="143" spans="1:27" x14ac:dyDescent="0.25">
      <c r="A143" s="2">
        <v>2034</v>
      </c>
      <c r="B143" s="2">
        <f>B11/'Output-Calculation-sheet'!B10*'Output-Calculation-sheet'!B118</f>
        <v>84720866704.314468</v>
      </c>
      <c r="C143" s="2">
        <f>C11/'Output-Calculation-sheet'!C10*'Output-Calculation-sheet'!C118</f>
        <v>65035477699.440987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18028157977.553112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12381939316.066235</v>
      </c>
      <c r="N143" s="2">
        <f>N11/'Output-Calculation-sheet'!N10*'Output-Calculation-sheet'!N118</f>
        <v>10895113312.432936</v>
      </c>
      <c r="O143" s="2">
        <f>O11/'Output-Calculation-sheet'!O10*'Output-Calculation-sheet'!O118</f>
        <v>12634586579.810751</v>
      </c>
      <c r="P143" s="2">
        <f>P11/'Output-Calculation-sheet'!P10*'Output-Calculation-sheet'!P118</f>
        <v>2278872156.9705706</v>
      </c>
      <c r="Q143" s="2">
        <f>Q11/'Output-Calculation-sheet'!Q10*'Output-Calculation-sheet'!Q118</f>
        <v>5370493368.6521015</v>
      </c>
      <c r="R143" s="2">
        <f>R11/'Output-Calculation-sheet'!R10*'Output-Calculation-sheet'!R118</f>
        <v>0</v>
      </c>
      <c r="S143" s="2">
        <f>S11/'Output-Calculation-sheet'!S10*'Output-Calculation-sheet'!S118</f>
        <v>6273394778.9317274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1359348547.0674415</v>
      </c>
      <c r="Y143" s="2">
        <f>Y11/'Output-Calculation-sheet'!Y10*'Output-Calculation-sheet'!Y118</f>
        <v>159295579.91552061</v>
      </c>
      <c r="AA143" s="2">
        <f t="shared" si="12"/>
        <v>219137.54602115587</v>
      </c>
    </row>
    <row r="144" spans="1:27" x14ac:dyDescent="0.25">
      <c r="A144" s="2">
        <v>2035</v>
      </c>
      <c r="B144" s="2">
        <f>B12/'Output-Calculation-sheet'!B11*'Output-Calculation-sheet'!B119</f>
        <v>167117857336.32587</v>
      </c>
      <c r="C144" s="2">
        <f>C12/'Output-Calculation-sheet'!C11*'Output-Calculation-sheet'!C119</f>
        <v>79948001011.223969</v>
      </c>
      <c r="D144" s="2">
        <f>D12/'Output-Calculation-sheet'!D11*'Output-Calculation-sheet'!D119</f>
        <v>0</v>
      </c>
      <c r="E144" s="2">
        <f>E12/'Output-Calculation-sheet'!E11*'Output-Calculation-sheet'!E119</f>
        <v>23814122248.688313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24171949625.483166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3069430943.1055188</v>
      </c>
      <c r="M144" s="2">
        <f>M12/'Output-Calculation-sheet'!M11*'Output-Calculation-sheet'!M119</f>
        <v>16497706947.993963</v>
      </c>
      <c r="N144" s="2">
        <f>N12/'Output-Calculation-sheet'!N11*'Output-Calculation-sheet'!N119</f>
        <v>16299053029.102837</v>
      </c>
      <c r="O144" s="2">
        <f>O12/'Output-Calculation-sheet'!O11*'Output-Calculation-sheet'!O119</f>
        <v>15538902187.255278</v>
      </c>
      <c r="P144" s="2">
        <f>P12/'Output-Calculation-sheet'!P11*'Output-Calculation-sheet'!P119</f>
        <v>10547376816.049126</v>
      </c>
      <c r="Q144" s="2">
        <f>Q12/'Output-Calculation-sheet'!Q11*'Output-Calculation-sheet'!Q119</f>
        <v>9988825876.6098537</v>
      </c>
      <c r="R144" s="2">
        <f>R12/'Output-Calculation-sheet'!R11*'Output-Calculation-sheet'!R119</f>
        <v>0</v>
      </c>
      <c r="S144" s="2">
        <f>S12/'Output-Calculation-sheet'!S11*'Output-Calculation-sheet'!S119</f>
        <v>9397226110.6977406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1849720618.3801398</v>
      </c>
      <c r="Y144" s="2">
        <f>Y12/'Output-Calculation-sheet'!Y11*'Output-Calculation-sheet'!Y119</f>
        <v>987718669.4631902</v>
      </c>
      <c r="AA144" s="2">
        <f t="shared" si="12"/>
        <v>379227.89142037899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5324791779.8783007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231545.08049125591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4580127022.3499784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199163.83220902874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863363554.85922587</v>
      </c>
      <c r="C155" s="2">
        <f>C12/'Output-Calculation-sheet'!C11*'Output-Calculation-sheet'!C128</f>
        <v>93017291.809512734</v>
      </c>
      <c r="D155" s="2">
        <f>D12/'Output-Calculation-sheet'!D11*'Output-Calculation-sheet'!D128</f>
        <v>6203032779.9746284</v>
      </c>
      <c r="E155" s="2">
        <f>E12/'Output-Calculation-sheet'!E11*'Output-Calculation-sheet'!E128</f>
        <v>1006832737.029923</v>
      </c>
      <c r="F155" s="2">
        <f>F12/'Output-Calculation-sheet'!F11*'Output-Calculation-sheet'!F128</f>
        <v>2265848931.8007302</v>
      </c>
      <c r="G155" s="2">
        <f>G12/'Output-Calculation-sheet'!G11*'Output-Calculation-sheet'!G128</f>
        <v>2073488122.6648357</v>
      </c>
      <c r="H155" s="2">
        <f>H12/'Output-Calculation-sheet'!H11*'Output-Calculation-sheet'!H128</f>
        <v>160324300.61676773</v>
      </c>
      <c r="I155" s="2">
        <f>I12/'Output-Calculation-sheet'!I11*'Output-Calculation-sheet'!I128</f>
        <v>1902617694.8273947</v>
      </c>
      <c r="J155" s="2">
        <f>J12/'Output-Calculation-sheet'!J11*'Output-Calculation-sheet'!J128</f>
        <v>1725170615.4532864</v>
      </c>
      <c r="K155" s="2">
        <f>K12/'Output-Calculation-sheet'!K11*'Output-Calculation-sheet'!K128</f>
        <v>1493969344.8111598</v>
      </c>
      <c r="L155" s="2">
        <f>L12/'Output-Calculation-sheet'!L11*'Output-Calculation-sheet'!L128</f>
        <v>562796006.8550061</v>
      </c>
      <c r="M155" s="2">
        <f>M12/'Output-Calculation-sheet'!M11*'Output-Calculation-sheet'!M128</f>
        <v>132235941.51187907</v>
      </c>
      <c r="N155" s="2">
        <f>N12/'Output-Calculation-sheet'!N11*'Output-Calculation-sheet'!N128</f>
        <v>116862387.15457948</v>
      </c>
      <c r="O155" s="2">
        <f>O12/'Output-Calculation-sheet'!O11*'Output-Calculation-sheet'!O128</f>
        <v>24066301.632196229</v>
      </c>
      <c r="P155" s="2">
        <f>P12/'Output-Calculation-sheet'!P11*'Output-Calculation-sheet'!P128</f>
        <v>153316863.10174516</v>
      </c>
      <c r="Q155" s="2">
        <f>Q12/'Output-Calculation-sheet'!Q11*'Output-Calculation-sheet'!Q128</f>
        <v>388654696.79660082</v>
      </c>
      <c r="R155" s="2">
        <f>R12/'Output-Calculation-sheet'!R11*'Output-Calculation-sheet'!R128</f>
        <v>863728908.2687614</v>
      </c>
      <c r="S155" s="2">
        <f>S12/'Output-Calculation-sheet'!S11*'Output-Calculation-sheet'!S128</f>
        <v>74601355.291590065</v>
      </c>
      <c r="T155" s="2">
        <f>T12/'Output-Calculation-sheet'!T11*'Output-Calculation-sheet'!T128</f>
        <v>221172928.78441143</v>
      </c>
      <c r="U155" s="2">
        <f>U12/'Output-Calculation-sheet'!U11*'Output-Calculation-sheet'!U128</f>
        <v>453341065.14299226</v>
      </c>
      <c r="V155" s="2">
        <f>V12/'Output-Calculation-sheet'!V11*'Output-Calculation-sheet'!V128</f>
        <v>99571887.537188858</v>
      </c>
      <c r="W155" s="2">
        <f>W12/'Output-Calculation-sheet'!W11*'Output-Calculation-sheet'!W128</f>
        <v>121164449.97609307</v>
      </c>
      <c r="X155" s="2">
        <f>X12/'Output-Calculation-sheet'!X11*'Output-Calculation-sheet'!X128</f>
        <v>4139274.484240402</v>
      </c>
      <c r="Y155" s="2">
        <f>Y12/'Output-Calculation-sheet'!Y11*'Output-Calculation-sheet'!Y128</f>
        <v>24386128.88142202</v>
      </c>
      <c r="AA155" s="2">
        <f t="shared" si="13"/>
        <v>21027.703569266174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6090.6801647873244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1844.9402605949433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1281.5687544097866</v>
      </c>
      <c r="N19" s="2">
        <f>N8/'Output-Calculation-sheet'!N7*'Output-Calculation-sheet'!N25</f>
        <v>1066.1137596307999</v>
      </c>
      <c r="O19" s="2">
        <f>O8/'Output-Calculation-sheet'!O7*'Output-Calculation-sheet'!O25</f>
        <v>669.10162165560962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138.70138890720509</v>
      </c>
      <c r="Y19" s="2">
        <f>Y8/'Output-Calculation-sheet'!Y7*'Output-Calculation-sheet'!Y25</f>
        <v>0</v>
      </c>
      <c r="AA19" s="2">
        <f t="shared" si="0"/>
        <v>12.878674500239006</v>
      </c>
    </row>
    <row r="20" spans="1:27" x14ac:dyDescent="0.25">
      <c r="A20" s="2">
        <v>2032</v>
      </c>
      <c r="B20" s="2">
        <f>B9/'Output-Calculation-sheet'!B8*'Output-Calculation-sheet'!B26</f>
        <v>6704.5637751697514</v>
      </c>
      <c r="C20" s="2">
        <f>C9/'Output-Calculation-sheet'!C8*'Output-Calculation-sheet'!C26</f>
        <v>3676.6190914922663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2207.0925945712006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1542.3315371820477</v>
      </c>
      <c r="N20" s="2">
        <f>N9/'Output-Calculation-sheet'!N8*'Output-Calculation-sheet'!N26</f>
        <v>1068.8777835704943</v>
      </c>
      <c r="O20" s="2">
        <f>O9/'Output-Calculation-sheet'!O8*'Output-Calculation-sheet'!O26</f>
        <v>718.34323498058734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507.02560903357545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167.8281968902956</v>
      </c>
      <c r="Y20" s="2">
        <f>Y9/'Output-Calculation-sheet'!Y8*'Output-Calculation-sheet'!Y26</f>
        <v>0</v>
      </c>
      <c r="AA20" s="2">
        <f t="shared" si="0"/>
        <v>16.592681822890221</v>
      </c>
    </row>
    <row r="21" spans="1:27" x14ac:dyDescent="0.25">
      <c r="A21" s="2">
        <v>2033</v>
      </c>
      <c r="B21" s="2">
        <f>B10/'Output-Calculation-sheet'!B9*'Output-Calculation-sheet'!B27</f>
        <v>6566.0283345977568</v>
      </c>
      <c r="C21" s="2">
        <f>C10/'Output-Calculation-sheet'!C9*'Output-Calculation-sheet'!C27</f>
        <v>4035.7588901296867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1323.2316801888339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936.59429900683722</v>
      </c>
      <c r="N21" s="2">
        <f>N10/'Output-Calculation-sheet'!N9*'Output-Calculation-sheet'!N27</f>
        <v>948.48651017196335</v>
      </c>
      <c r="O21" s="2">
        <f>O10/'Output-Calculation-sheet'!O9*'Output-Calculation-sheet'!O27</f>
        <v>790.11506693849765</v>
      </c>
      <c r="P21" s="2">
        <f>P10/'Output-Calculation-sheet'!P9*'Output-Calculation-sheet'!P27</f>
        <v>0</v>
      </c>
      <c r="Q21" s="2">
        <f>Q10/'Output-Calculation-sheet'!Q9*'Output-Calculation-sheet'!Q27</f>
        <v>11.487895300314577</v>
      </c>
      <c r="R21" s="2">
        <f>R10/'Output-Calculation-sheet'!R9*'Output-Calculation-sheet'!R27</f>
        <v>0</v>
      </c>
      <c r="S21" s="2">
        <f>S10/'Output-Calculation-sheet'!S9*'Output-Calculation-sheet'!S27</f>
        <v>451.63415902330314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93.522965981286745</v>
      </c>
      <c r="Y21" s="2">
        <f>Y10/'Output-Calculation-sheet'!Y9*'Output-Calculation-sheet'!Y27</f>
        <v>0</v>
      </c>
      <c r="AA21" s="2">
        <f t="shared" si="0"/>
        <v>15.156859801338481</v>
      </c>
    </row>
    <row r="22" spans="1:27" x14ac:dyDescent="0.25">
      <c r="A22" s="2">
        <v>2034</v>
      </c>
      <c r="B22" s="2">
        <f>B11/'Output-Calculation-sheet'!B10*'Output-Calculation-sheet'!B28</f>
        <v>5892.2570352160719</v>
      </c>
      <c r="C22" s="2">
        <f>C11/'Output-Calculation-sheet'!C10*'Output-Calculation-sheet'!C28</f>
        <v>598.88481060013976</v>
      </c>
      <c r="D22" s="2">
        <f>D11/'Output-Calculation-sheet'!D10*'Output-Calculation-sheet'!D28</f>
        <v>0</v>
      </c>
      <c r="E22" s="2">
        <f>E11/'Output-Calculation-sheet'!E10*'Output-Calculation-sheet'!E28</f>
        <v>1988.6211804426196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1576.910626941901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1206.0349483337611</v>
      </c>
      <c r="M22" s="2">
        <f>M11/'Output-Calculation-sheet'!M10*'Output-Calculation-sheet'!M28</f>
        <v>1122.2812825118765</v>
      </c>
      <c r="N22" s="2">
        <f>N11/'Output-Calculation-sheet'!N10*'Output-Calculation-sheet'!N28</f>
        <v>750.25144017787238</v>
      </c>
      <c r="O22" s="2">
        <f>O11/'Output-Calculation-sheet'!O10*'Output-Calculation-sheet'!O28</f>
        <v>117.47264938330713</v>
      </c>
      <c r="P22" s="2">
        <f>P11/'Output-Calculation-sheet'!P10*'Output-Calculation-sheet'!P28</f>
        <v>0</v>
      </c>
      <c r="Q22" s="2">
        <f>Q11/'Output-Calculation-sheet'!Q10*'Output-Calculation-sheet'!Q28</f>
        <v>383.18763262388489</v>
      </c>
      <c r="R22" s="2">
        <f>R11/'Output-Calculation-sheet'!R10*'Output-Calculation-sheet'!R28</f>
        <v>0</v>
      </c>
      <c r="S22" s="2">
        <f>S11/'Output-Calculation-sheet'!S10*'Output-Calculation-sheet'!S28</f>
        <v>280.91794102706046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110.27194995337831</v>
      </c>
      <c r="Y22" s="2">
        <f>Y11/'Output-Calculation-sheet'!Y10*'Output-Calculation-sheet'!Y28</f>
        <v>44.949961412341501</v>
      </c>
      <c r="AA22" s="2">
        <f t="shared" si="0"/>
        <v>14.072041458624215</v>
      </c>
    </row>
    <row r="23" spans="1:27" x14ac:dyDescent="0.25">
      <c r="A23" s="2">
        <v>2035</v>
      </c>
      <c r="B23" s="2">
        <f>B12/'Output-Calculation-sheet'!B11*'Output-Calculation-sheet'!B29</f>
        <v>1434.9198729037355</v>
      </c>
      <c r="C23" s="2">
        <f>C12/'Output-Calculation-sheet'!C11*'Output-Calculation-sheet'!C29</f>
        <v>297.78563274959754</v>
      </c>
      <c r="D23" s="2">
        <f>D12/'Output-Calculation-sheet'!D11*'Output-Calculation-sheet'!D29</f>
        <v>0</v>
      </c>
      <c r="E23" s="2">
        <f>E12/'Output-Calculation-sheet'!E11*'Output-Calculation-sheet'!E29</f>
        <v>3670.1514249071561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516.15688564091317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2116.0845600241605</v>
      </c>
      <c r="M23" s="2">
        <f>M12/'Output-Calculation-sheet'!M11*'Output-Calculation-sheet'!M29</f>
        <v>459.99693490217004</v>
      </c>
      <c r="N23" s="2">
        <f>N12/'Output-Calculation-sheet'!N11*'Output-Calculation-sheet'!N29</f>
        <v>382.99452918861999</v>
      </c>
      <c r="O23" s="2">
        <f>O12/'Output-Calculation-sheet'!O11*'Output-Calculation-sheet'!O29</f>
        <v>50.885931152368876</v>
      </c>
      <c r="P23" s="2">
        <f>P12/'Output-Calculation-sheet'!P11*'Output-Calculation-sheet'!P29</f>
        <v>79.704072119161154</v>
      </c>
      <c r="Q23" s="2">
        <f>Q12/'Output-Calculation-sheet'!Q11*'Output-Calculation-sheet'!Q29</f>
        <v>652.87315498676321</v>
      </c>
      <c r="R23" s="2">
        <f>R12/'Output-Calculation-sheet'!R11*'Output-Calculation-sheet'!R29</f>
        <v>0</v>
      </c>
      <c r="S23" s="2">
        <f>S12/'Output-Calculation-sheet'!S11*'Output-Calculation-sheet'!S29</f>
        <v>171.96771712635302</v>
      </c>
      <c r="T23" s="2">
        <f>T12/'Output-Calculation-sheet'!T11*'Output-Calculation-sheet'!T29</f>
        <v>0</v>
      </c>
      <c r="U23" s="2">
        <f>U12/'Output-Calculation-sheet'!U11*'Output-Calculation-sheet'!U29</f>
        <v>231.53230018245566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15.058218515682373</v>
      </c>
      <c r="Y23" s="2">
        <f>Y12/'Output-Calculation-sheet'!Y11*'Output-Calculation-sheet'!Y29</f>
        <v>95.786071377811524</v>
      </c>
      <c r="AA23" s="2">
        <f t="shared" si="0"/>
        <v>10.175897305776948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1215.3471344192919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47.650666808819636</v>
      </c>
    </row>
    <row r="31" spans="1:27" x14ac:dyDescent="0.25">
      <c r="A31" s="2">
        <v>2032</v>
      </c>
      <c r="B31" s="2">
        <f>B9/'Output-Calculation-sheet'!B8*'Output-Calculation-sheet'!B17</f>
        <v>28188.762384283404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1102.2103178984569</v>
      </c>
      <c r="O31" s="2">
        <f>O9/'Output-Calculation-sheet'!O8*'Output-Calculation-sheet'!O17</f>
        <v>0</v>
      </c>
      <c r="P31" s="2">
        <f>P9/'Output-Calculation-sheet'!P8*'Output-Calculation-sheet'!P17</f>
        <v>2755.0023495756118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912.26396384424254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64.584006184516539</v>
      </c>
    </row>
    <row r="32" spans="1:27" x14ac:dyDescent="0.25">
      <c r="A32" s="2">
        <v>2033</v>
      </c>
      <c r="B32" s="2">
        <f>B10/'Output-Calculation-sheet'!B9*'Output-Calculation-sheet'!B18</f>
        <v>23751.060440645633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3718.044535287368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961.32871763525134</v>
      </c>
      <c r="O32" s="2">
        <f>O10/'Output-Calculation-sheet'!O9*'Output-Calculation-sheet'!O18</f>
        <v>0</v>
      </c>
      <c r="P32" s="2">
        <f>P10/'Output-Calculation-sheet'!P9*'Output-Calculation-sheet'!P18</f>
        <v>3827.0013442698755</v>
      </c>
      <c r="Q32" s="2">
        <f>Q10/'Output-Calculation-sheet'!Q9*'Output-Calculation-sheet'!Q18</f>
        <v>3543.2110226863761</v>
      </c>
      <c r="R32" s="2">
        <f>R10/'Output-Calculation-sheet'!R9*'Output-Calculation-sheet'!R18</f>
        <v>2748.7474709837115</v>
      </c>
      <c r="S32" s="2">
        <f>S10/'Output-Calculation-sheet'!S9*'Output-Calculation-sheet'!S18</f>
        <v>874.52498230959986</v>
      </c>
      <c r="T32" s="2">
        <f>T10/'Output-Calculation-sheet'!T9*'Output-Calculation-sheet'!T18</f>
        <v>802.37155891162752</v>
      </c>
      <c r="U32" s="2">
        <f>U10/'Output-Calculation-sheet'!U9*'Output-Calculation-sheet'!U18</f>
        <v>887.01089505141124</v>
      </c>
      <c r="V32" s="2">
        <f>V10/'Output-Calculation-sheet'!V9*'Output-Calculation-sheet'!V18</f>
        <v>654.72613562118988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379.09068801911411</v>
      </c>
      <c r="AA32" s="2">
        <f t="shared" si="1"/>
        <v>75.506556532217289</v>
      </c>
    </row>
    <row r="33" spans="1:27" x14ac:dyDescent="0.25">
      <c r="A33" s="2">
        <v>2034</v>
      </c>
      <c r="B33" s="2">
        <f>B11/'Output-Calculation-sheet'!B10*'Output-Calculation-sheet'!B19</f>
        <v>18006.870590128648</v>
      </c>
      <c r="C33" s="2">
        <f>C11/'Output-Calculation-sheet'!C10*'Output-Calculation-sheet'!C19</f>
        <v>0</v>
      </c>
      <c r="D33" s="2">
        <f>D11/'Output-Calculation-sheet'!D10*'Output-Calculation-sheet'!D19</f>
        <v>11935.301316286881</v>
      </c>
      <c r="E33" s="2">
        <f>E11/'Output-Calculation-sheet'!E10*'Output-Calculation-sheet'!E19</f>
        <v>14796.760108096974</v>
      </c>
      <c r="F33" s="2">
        <f>F11/'Output-Calculation-sheet'!F10*'Output-Calculation-sheet'!F19</f>
        <v>6775.1997186202279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4433.5237060589761</v>
      </c>
      <c r="J33" s="2">
        <f>J11/'Output-Calculation-sheet'!J10*'Output-Calculation-sheet'!J19</f>
        <v>3748.7051492727805</v>
      </c>
      <c r="K33" s="2">
        <f>K11/'Output-Calculation-sheet'!K10*'Output-Calculation-sheet'!K19</f>
        <v>5199.3277759690545</v>
      </c>
      <c r="L33" s="2">
        <f>L11/'Output-Calculation-sheet'!L10*'Output-Calculation-sheet'!L19</f>
        <v>4229.2809927138242</v>
      </c>
      <c r="M33" s="2">
        <f>M11/'Output-Calculation-sheet'!M10*'Output-Calculation-sheet'!M19</f>
        <v>0</v>
      </c>
      <c r="N33" s="2">
        <f>N11/'Output-Calculation-sheet'!N10*'Output-Calculation-sheet'!N19</f>
        <v>802.78674587499586</v>
      </c>
      <c r="O33" s="2">
        <f>O11/'Output-Calculation-sheet'!O10*'Output-Calculation-sheet'!O19</f>
        <v>0</v>
      </c>
      <c r="P33" s="2">
        <f>P11/'Output-Calculation-sheet'!P10*'Output-Calculation-sheet'!P19</f>
        <v>3986.9701956696772</v>
      </c>
      <c r="Q33" s="2">
        <f>Q11/'Output-Calculation-sheet'!Q10*'Output-Calculation-sheet'!Q19</f>
        <v>2534.1165193732263</v>
      </c>
      <c r="R33" s="2">
        <f>R11/'Output-Calculation-sheet'!R10*'Output-Calculation-sheet'!R19</f>
        <v>3756.1195245746749</v>
      </c>
      <c r="S33" s="2">
        <f>S11/'Output-Calculation-sheet'!S10*'Output-Calculation-sheet'!S19</f>
        <v>510.33077614671822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1267.5777398304181</v>
      </c>
      <c r="V33" s="2">
        <f>V11/'Output-Calculation-sheet'!V10*'Output-Calculation-sheet'!V19</f>
        <v>864.41364483939105</v>
      </c>
      <c r="W33" s="2">
        <f>W11/'Output-Calculation-sheet'!W10*'Output-Calculation-sheet'!W19</f>
        <v>538.22528252538405</v>
      </c>
      <c r="X33" s="2">
        <f>X11/'Output-Calculation-sheet'!X10*'Output-Calculation-sheet'!X19</f>
        <v>0</v>
      </c>
      <c r="Y33" s="2">
        <f>Y11/'Output-Calculation-sheet'!Y10*'Output-Calculation-sheet'!Y19</f>
        <v>440.66394975890006</v>
      </c>
      <c r="AA33" s="2">
        <f t="shared" si="1"/>
        <v>88.991192541570655</v>
      </c>
    </row>
    <row r="34" spans="1:27" x14ac:dyDescent="0.25">
      <c r="A34" s="2">
        <v>2035</v>
      </c>
      <c r="B34" s="2">
        <f>B12/'Output-Calculation-sheet'!B11*'Output-Calculation-sheet'!B20</f>
        <v>285.65666074279193</v>
      </c>
      <c r="C34" s="2">
        <f>C12/'Output-Calculation-sheet'!C11*'Output-Calculation-sheet'!C20</f>
        <v>0</v>
      </c>
      <c r="D34" s="2">
        <f>D12/'Output-Calculation-sheet'!D11*'Output-Calculation-sheet'!D20</f>
        <v>14089.532866356631</v>
      </c>
      <c r="E34" s="2">
        <f>E12/'Output-Calculation-sheet'!E11*'Output-Calculation-sheet'!E20</f>
        <v>6582.6050875700421</v>
      </c>
      <c r="F34" s="2">
        <f>F12/'Output-Calculation-sheet'!F11*'Output-Calculation-sheet'!F20</f>
        <v>8943.0204151017606</v>
      </c>
      <c r="G34" s="2">
        <f>G12/'Output-Calculation-sheet'!G11*'Output-Calculation-sheet'!G20</f>
        <v>4802.7806019661884</v>
      </c>
      <c r="H34" s="2">
        <f>H12/'Output-Calculation-sheet'!H11*'Output-Calculation-sheet'!H20</f>
        <v>0</v>
      </c>
      <c r="I34" s="2">
        <f>I12/'Output-Calculation-sheet'!I11*'Output-Calculation-sheet'!I20</f>
        <v>5335.9912148957119</v>
      </c>
      <c r="J34" s="2">
        <f>J12/'Output-Calculation-sheet'!J11*'Output-Calculation-sheet'!J20</f>
        <v>4620.6775007391798</v>
      </c>
      <c r="K34" s="2">
        <f>K12/'Output-Calculation-sheet'!K11*'Output-Calculation-sheet'!K20</f>
        <v>6510.2149940902609</v>
      </c>
      <c r="L34" s="2">
        <f>L12/'Output-Calculation-sheet'!L11*'Output-Calculation-sheet'!L20</f>
        <v>3605.1960676065623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1433.4586552676612</v>
      </c>
      <c r="Q34" s="2">
        <f>Q12/'Output-Calculation-sheet'!Q11*'Output-Calculation-sheet'!Q20</f>
        <v>1356.2012103804116</v>
      </c>
      <c r="R34" s="2">
        <f>R12/'Output-Calculation-sheet'!R11*'Output-Calculation-sheet'!R20</f>
        <v>4806.2523390095712</v>
      </c>
      <c r="S34" s="2">
        <f>S12/'Output-Calculation-sheet'!S11*'Output-Calculation-sheet'!S20</f>
        <v>3.8460806893836983</v>
      </c>
      <c r="T34" s="2">
        <f>T12/'Output-Calculation-sheet'!T11*'Output-Calculation-sheet'!T20</f>
        <v>1433.4847531594087</v>
      </c>
      <c r="U34" s="2">
        <f>U12/'Output-Calculation-sheet'!U11*'Output-Calculation-sheet'!U20</f>
        <v>1304.6794531527446</v>
      </c>
      <c r="V34" s="2">
        <f>V12/'Output-Calculation-sheet'!V11*'Output-Calculation-sheet'!V20</f>
        <v>1259.2035419589461</v>
      </c>
      <c r="W34" s="2">
        <f>W12/'Output-Calculation-sheet'!W11*'Output-Calculation-sheet'!W20</f>
        <v>765.90367983384635</v>
      </c>
      <c r="X34" s="2">
        <f>X12/'Output-Calculation-sheet'!X11*'Output-Calculation-sheet'!X20</f>
        <v>0</v>
      </c>
      <c r="Y34" s="2">
        <f>Y12/'Output-Calculation-sheet'!Y11*'Output-Calculation-sheet'!Y20</f>
        <v>164.74952347898306</v>
      </c>
      <c r="AA34" s="2">
        <f t="shared" si="1"/>
        <v>67.303454646000091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0.24036830980145318</v>
      </c>
      <c r="E45" s="2">
        <f>E12/'Output-Calculation-sheet'!E11*'Output-Calculation-sheet'!E38*0.0114</f>
        <v>0.12735261059018638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2.1055400997381464E-2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1.3623320709507514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0.17973037109779164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243.65233669364176</v>
      </c>
      <c r="R54" s="2">
        <f>R10/'Output-Calculation-sheet'!R9*'Output-Calculation-sheet'!R45</f>
        <v>1822.7365745369302</v>
      </c>
      <c r="S54" s="2">
        <f>S10/'Output-Calculation-sheet'!S9*'Output-Calculation-sheet'!S45</f>
        <v>0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22.734562485773587</v>
      </c>
      <c r="AA54" s="2">
        <f t="shared" si="3"/>
        <v>6.0005956470945625</v>
      </c>
    </row>
    <row r="55" spans="1:27" x14ac:dyDescent="0.25">
      <c r="A55" s="2">
        <v>2034</v>
      </c>
      <c r="B55" s="2">
        <f>B11/'Output-Calculation-sheet'!B10*'Output-Calculation-sheet'!B46</f>
        <v>2204.6242569032238</v>
      </c>
      <c r="C55" s="2">
        <f>C11/'Output-Calculation-sheet'!C10*'Output-Calculation-sheet'!C46</f>
        <v>0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799.54847749006979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592.6086311414017</v>
      </c>
      <c r="N55" s="2">
        <f>N11/'Output-Calculation-sheet'!N10*'Output-Calculation-sheet'!N46</f>
        <v>202.38567993892633</v>
      </c>
      <c r="O55" s="2">
        <f>O11/'Output-Calculation-sheet'!O10*'Output-Calculation-sheet'!O46</f>
        <v>0</v>
      </c>
      <c r="P55" s="2">
        <f>P11/'Output-Calculation-sheet'!P10*'Output-Calculation-sheet'!P46</f>
        <v>4315.9825091472394</v>
      </c>
      <c r="Q55" s="2">
        <f>Q11/'Output-Calculation-sheet'!Q10*'Output-Calculation-sheet'!Q46</f>
        <v>943.45516759339921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0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111.31033870474732</v>
      </c>
      <c r="X55" s="2">
        <f>X11/'Output-Calculation-sheet'!X10*'Output-Calculation-sheet'!X46</f>
        <v>56.560771859272194</v>
      </c>
      <c r="Y55" s="2">
        <f>Y11/'Output-Calculation-sheet'!Y10*'Output-Calculation-sheet'!Y46</f>
        <v>393.39141475277495</v>
      </c>
      <c r="AA55" s="2">
        <f t="shared" si="3"/>
        <v>58.661762676727236</v>
      </c>
    </row>
    <row r="56" spans="1:27" x14ac:dyDescent="0.25">
      <c r="A56" s="2">
        <v>2035</v>
      </c>
      <c r="B56" s="2">
        <f>B12/'Output-Calculation-sheet'!B11*'Output-Calculation-sheet'!B47</f>
        <v>702.10555660096327</v>
      </c>
      <c r="C56" s="2">
        <f>C12/'Output-Calculation-sheet'!C11*'Output-Calculation-sheet'!C47</f>
        <v>571.26093887805143</v>
      </c>
      <c r="D56" s="2">
        <f>D12/'Output-Calculation-sheet'!D11*'Output-Calculation-sheet'!D47</f>
        <v>23221.546654502963</v>
      </c>
      <c r="E56" s="2">
        <f>E12/'Output-Calculation-sheet'!E11*'Output-Calculation-sheet'!E47</f>
        <v>16142.501956387658</v>
      </c>
      <c r="F56" s="2">
        <f>F12/'Output-Calculation-sheet'!F11*'Output-Calculation-sheet'!F47</f>
        <v>4819.8137684922704</v>
      </c>
      <c r="G56" s="2">
        <f>G12/'Output-Calculation-sheet'!G11*'Output-Calculation-sheet'!G47</f>
        <v>10778.193342599798</v>
      </c>
      <c r="H56" s="2">
        <f>H12/'Output-Calculation-sheet'!H11*'Output-Calculation-sheet'!H47</f>
        <v>214.93002009340879</v>
      </c>
      <c r="I56" s="2">
        <f>I12/'Output-Calculation-sheet'!I11*'Output-Calculation-sheet'!I47</f>
        <v>6333.621665021461</v>
      </c>
      <c r="J56" s="2">
        <f>J12/'Output-Calculation-sheet'!J11*'Output-Calculation-sheet'!J47</f>
        <v>6710.3044626371056</v>
      </c>
      <c r="K56" s="2">
        <f>K12/'Output-Calculation-sheet'!K11*'Output-Calculation-sheet'!K47</f>
        <v>9273.8930797610046</v>
      </c>
      <c r="L56" s="2">
        <f>L12/'Output-Calculation-sheet'!L11*'Output-Calculation-sheet'!L47</f>
        <v>6208.0575575314597</v>
      </c>
      <c r="M56" s="2">
        <f>M12/'Output-Calculation-sheet'!M11*'Output-Calculation-sheet'!M47</f>
        <v>142.8509717097821</v>
      </c>
      <c r="N56" s="2">
        <f>N12/'Output-Calculation-sheet'!N11*'Output-Calculation-sheet'!N47</f>
        <v>156.91690756031974</v>
      </c>
      <c r="O56" s="2">
        <f>O12/'Output-Calculation-sheet'!O11*'Output-Calculation-sheet'!O47</f>
        <v>104.81456754493938</v>
      </c>
      <c r="P56" s="2">
        <f>P12/'Output-Calculation-sheet'!P11*'Output-Calculation-sheet'!P47</f>
        <v>2021.8615732944409</v>
      </c>
      <c r="Q56" s="2">
        <f>Q12/'Output-Calculation-sheet'!Q11*'Output-Calculation-sheet'!Q47</f>
        <v>1493.5021001579134</v>
      </c>
      <c r="R56" s="2">
        <f>R12/'Output-Calculation-sheet'!R11*'Output-Calculation-sheet'!R47</f>
        <v>8434.456389818235</v>
      </c>
      <c r="S56" s="2">
        <f>S12/'Output-Calculation-sheet'!S11*'Output-Calculation-sheet'!S47</f>
        <v>70.066462583553331</v>
      </c>
      <c r="T56" s="2">
        <f>T12/'Output-Calculation-sheet'!T11*'Output-Calculation-sheet'!T47</f>
        <v>3062.5568765513908</v>
      </c>
      <c r="U56" s="2">
        <f>U12/'Output-Calculation-sheet'!U11*'Output-Calculation-sheet'!U47</f>
        <v>2854.0226658950619</v>
      </c>
      <c r="V56" s="2">
        <f>V12/'Output-Calculation-sheet'!V11*'Output-Calculation-sheet'!V47</f>
        <v>1756.7153771861892</v>
      </c>
      <c r="W56" s="2">
        <f>W12/'Output-Calculation-sheet'!W11*'Output-Calculation-sheet'!W47</f>
        <v>1039.0004874950437</v>
      </c>
      <c r="X56" s="2">
        <f>X12/'Output-Calculation-sheet'!X11*'Output-Calculation-sheet'!X47</f>
        <v>16.03977926030127</v>
      </c>
      <c r="Y56" s="2">
        <f>Y12/'Output-Calculation-sheet'!Y11*'Output-Calculation-sheet'!Y47</f>
        <v>343.91166796063294</v>
      </c>
      <c r="AA56" s="2">
        <f t="shared" si="3"/>
        <v>106.47294482952394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8.7879475797205853</v>
      </c>
      <c r="C63" s="2">
        <f>C8*'Output-Calculation-sheet'!C52/10^9</f>
        <v>4.6949735653346591</v>
      </c>
      <c r="D63" s="2">
        <f>D8*'Output-Calculation-sheet'!D52/10^9</f>
        <v>3.0135755527252472</v>
      </c>
      <c r="E63" s="2">
        <f>E8*'Output-Calculation-sheet'!E52/10^9</f>
        <v>2.9963024557072573</v>
      </c>
      <c r="F63" s="2">
        <f>F8*'Output-Calculation-sheet'!F52/10^9</f>
        <v>1.2689338422889698</v>
      </c>
      <c r="G63" s="2">
        <f>G8*'Output-Calculation-sheet'!G52/10^9</f>
        <v>0.91230610706997106</v>
      </c>
      <c r="H63" s="2">
        <f>H8*'Output-Calculation-sheet'!H52/10^9</f>
        <v>1.4837782402104978</v>
      </c>
      <c r="I63" s="2">
        <f>I8*'Output-Calculation-sheet'!I52/10^9</f>
        <v>0.84865648281579542</v>
      </c>
      <c r="J63" s="2">
        <f>J8*'Output-Calculation-sheet'!J52/10^9</f>
        <v>1.1678088439302103</v>
      </c>
      <c r="K63" s="2">
        <f>K8*'Output-Calculation-sheet'!K52/10^9</f>
        <v>1.0260239367098232</v>
      </c>
      <c r="L63" s="2">
        <f>L8*'Output-Calculation-sheet'!L52/10^9</f>
        <v>1.3800515611945245</v>
      </c>
      <c r="M63" s="2">
        <f>M8*'Output-Calculation-sheet'!M52/10^9</f>
        <v>1.2155600446741703</v>
      </c>
      <c r="N63" s="2">
        <f>N8*'Output-Calculation-sheet'!N52/10^9</f>
        <v>1.072555532025975</v>
      </c>
      <c r="O63" s="2">
        <f>O8*'Output-Calculation-sheet'!O52/10^9</f>
        <v>0.9605510614170657</v>
      </c>
      <c r="P63" s="2">
        <f>P8*'Output-Calculation-sheet'!P52/10^9</f>
        <v>0.708954863276273</v>
      </c>
      <c r="Q63" s="2">
        <f>Q8*'Output-Calculation-sheet'!Q52/10^9</f>
        <v>0.80232914890877893</v>
      </c>
      <c r="R63" s="2">
        <f>R8*'Output-Calculation-sheet'!R52/10^9</f>
        <v>0.72033231317738045</v>
      </c>
      <c r="S63" s="2">
        <f>S8*'Output-Calculation-sheet'!S52/10^9</f>
        <v>0.53379176670567707</v>
      </c>
      <c r="T63" s="2">
        <f>T8*'Output-Calculation-sheet'!T52/10^9</f>
        <v>0.27386005555257936</v>
      </c>
      <c r="U63" s="2">
        <f>U8*'Output-Calculation-sheet'!U52/10^9</f>
        <v>0.18808415156146935</v>
      </c>
      <c r="V63" s="2">
        <f>V8*'Output-Calculation-sheet'!V52/10^9</f>
        <v>0.33380492125161298</v>
      </c>
      <c r="W63" s="2">
        <f>W8*'Output-Calculation-sheet'!W52/10^9</f>
        <v>0.12082174257438087</v>
      </c>
      <c r="X63" s="2">
        <f>X8*'Output-Calculation-sheet'!X52/10^9</f>
        <v>0.12449248403024317</v>
      </c>
      <c r="Y63" s="2">
        <f>Y8*'Output-Calculation-sheet'!Y52/10^9</f>
        <v>7.8832826063883255E-2</v>
      </c>
      <c r="AA63" s="2">
        <f t="shared" si="4"/>
        <v>34.714329078927022</v>
      </c>
    </row>
    <row r="64" spans="1:27" x14ac:dyDescent="0.25">
      <c r="A64" s="2">
        <v>2032</v>
      </c>
      <c r="B64" s="2">
        <f>B9*'Output-Calculation-sheet'!B53/10^9</f>
        <v>9.6124605350157655</v>
      </c>
      <c r="C64" s="2">
        <f>C9*'Output-Calculation-sheet'!C53/10^9</f>
        <v>5.0958622078796445</v>
      </c>
      <c r="D64" s="2">
        <f>D9*'Output-Calculation-sheet'!D53/10^9</f>
        <v>2.8468975427430019</v>
      </c>
      <c r="E64" s="2">
        <f>E9*'Output-Calculation-sheet'!E53/10^9</f>
        <v>2.9153483412834582</v>
      </c>
      <c r="F64" s="2">
        <f>F9*'Output-Calculation-sheet'!F53/10^9</f>
        <v>1.2296756496183125</v>
      </c>
      <c r="G64" s="2">
        <f>G9*'Output-Calculation-sheet'!G53/10^9</f>
        <v>0.87524551026633468</v>
      </c>
      <c r="H64" s="2">
        <f>H9*'Output-Calculation-sheet'!H53/10^9</f>
        <v>1.5992985489814937</v>
      </c>
      <c r="I64" s="2">
        <f>I9*'Output-Calculation-sheet'!I53/10^9</f>
        <v>0.81821150516343788</v>
      </c>
      <c r="J64" s="2">
        <f>J9*'Output-Calculation-sheet'!J53/10^9</f>
        <v>1.0831457845051209</v>
      </c>
      <c r="K64" s="2">
        <f>K9*'Output-Calculation-sheet'!K53/10^9</f>
        <v>1.0050119222337877</v>
      </c>
      <c r="L64" s="2">
        <f>L9*'Output-Calculation-sheet'!L53/10^9</f>
        <v>1.2929448340447476</v>
      </c>
      <c r="M64" s="2">
        <f>M9*'Output-Calculation-sheet'!M53/10^9</f>
        <v>1.2688563468654819</v>
      </c>
      <c r="N64" s="2">
        <f>N9*'Output-Calculation-sheet'!N53/10^9</f>
        <v>1.1423806889278885</v>
      </c>
      <c r="O64" s="2">
        <f>O9*'Output-Calculation-sheet'!O53/10^9</f>
        <v>1.0319502586156239</v>
      </c>
      <c r="P64" s="2">
        <f>P9*'Output-Calculation-sheet'!P53/10^9</f>
        <v>0.76625797419500885</v>
      </c>
      <c r="Q64" s="2">
        <f>Q9*'Output-Calculation-sheet'!Q53/10^9</f>
        <v>0.84682522089740586</v>
      </c>
      <c r="R64" s="2">
        <f>R9*'Output-Calculation-sheet'!R53/10^9</f>
        <v>0.72592919360526154</v>
      </c>
      <c r="S64" s="2">
        <f>S9*'Output-Calculation-sheet'!S53/10^9</f>
        <v>0.58413490890688557</v>
      </c>
      <c r="T64" s="2">
        <f>T9*'Output-Calculation-sheet'!T53/10^9</f>
        <v>0.26095161297403485</v>
      </c>
      <c r="U64" s="2">
        <f>U9*'Output-Calculation-sheet'!U53/10^9</f>
        <v>0.19641283835851106</v>
      </c>
      <c r="V64" s="2">
        <f>V9*'Output-Calculation-sheet'!V53/10^9</f>
        <v>0.30973191851069115</v>
      </c>
      <c r="W64" s="2">
        <f>W9*'Output-Calculation-sheet'!W53/10^9</f>
        <v>0.11509059921925463</v>
      </c>
      <c r="X64" s="2">
        <f>X9*'Output-Calculation-sheet'!X53/10^9</f>
        <v>0.13194972543035915</v>
      </c>
      <c r="Y64" s="2">
        <f>Y9*'Output-Calculation-sheet'!Y53/10^9</f>
        <v>8.0636271724542102E-2</v>
      </c>
      <c r="AA64" s="2">
        <f t="shared" si="4"/>
        <v>35.835209939966056</v>
      </c>
    </row>
    <row r="65" spans="1:27" x14ac:dyDescent="0.25">
      <c r="A65" s="2">
        <v>2033</v>
      </c>
      <c r="B65" s="2">
        <f>B10*'Output-Calculation-sheet'!B54/10^9</f>
        <v>10.312107718907635</v>
      </c>
      <c r="C65" s="2">
        <f>C10*'Output-Calculation-sheet'!C54/10^9</f>
        <v>5.3305132860840461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1.6739610817491974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0.97523217942447527</v>
      </c>
      <c r="L65" s="2">
        <f>L10*'Output-Calculation-sheet'!L54/10^9</f>
        <v>1.1519400840504155</v>
      </c>
      <c r="M65" s="2">
        <f>M10*'Output-Calculation-sheet'!M54/10^9</f>
        <v>1.2765019313051527</v>
      </c>
      <c r="N65" s="2">
        <f>N10*'Output-Calculation-sheet'!N54/10^9</f>
        <v>1.1713469436109938</v>
      </c>
      <c r="O65" s="2">
        <f>O10*'Output-Calculation-sheet'!O54/10^9</f>
        <v>1.0682584336707532</v>
      </c>
      <c r="P65" s="2">
        <f>P10*'Output-Calculation-sheet'!P54/10^9</f>
        <v>0.82514589858405185</v>
      </c>
      <c r="Q65" s="2">
        <f>Q10*'Output-Calculation-sheet'!Q54/10^9</f>
        <v>0.89885844639959589</v>
      </c>
      <c r="R65" s="2">
        <f>R10*'Output-Calculation-sheet'!R54/10^9</f>
        <v>0.72651565486654335</v>
      </c>
      <c r="S65" s="2">
        <f>S10*'Output-Calculation-sheet'!S54/10^9</f>
        <v>0.61788381944319637</v>
      </c>
      <c r="T65" s="2">
        <f>T10*'Output-Calculation-sheet'!T54/10^9</f>
        <v>0.24288431739681124</v>
      </c>
      <c r="U65" s="2">
        <f>U10*'Output-Calculation-sheet'!U54/10^9</f>
        <v>0.20972579855732676</v>
      </c>
      <c r="V65" s="2">
        <f>V10*'Output-Calculation-sheet'!V54/10^9</f>
        <v>0.26879834622853699</v>
      </c>
      <c r="W65" s="2">
        <f>W10*'Output-Calculation-sheet'!W54/10^9</f>
        <v>0.10233771219328373</v>
      </c>
      <c r="X65" s="2">
        <f>X10*'Output-Calculation-sheet'!X54/10^9</f>
        <v>0.1338421288934184</v>
      </c>
      <c r="Y65" s="2">
        <f>Y10*'Output-Calculation-sheet'!Y54/10^9</f>
        <v>8.4236398980665483E-2</v>
      </c>
      <c r="AA65" s="2">
        <f t="shared" si="4"/>
        <v>35.99854691251079</v>
      </c>
    </row>
    <row r="66" spans="1:27" x14ac:dyDescent="0.25">
      <c r="A66" s="2">
        <v>2034</v>
      </c>
      <c r="B66" s="2">
        <f>B11*'Output-Calculation-sheet'!B55/10^9</f>
        <v>10.909651233764029</v>
      </c>
      <c r="C66" s="2">
        <f>C11*'Output-Calculation-sheet'!C55/10^9</f>
        <v>5.4879860607127124</v>
      </c>
      <c r="D66" s="2">
        <f>D11*'Output-Calculation-sheet'!D55/10^9</f>
        <v>2.4621361243197599</v>
      </c>
      <c r="E66" s="2">
        <f>E11*'Output-Calculation-sheet'!E55/10^9</f>
        <v>2.9814722267726608</v>
      </c>
      <c r="F66" s="2">
        <f>F11*'Output-Calculation-sheet'!F55/10^9</f>
        <v>1.1458305062245631</v>
      </c>
      <c r="G66" s="2">
        <f>G11*'Output-Calculation-sheet'!G55/10^9</f>
        <v>0.81901468308365433</v>
      </c>
      <c r="H66" s="2">
        <f>H11*'Output-Calculation-sheet'!H55/10^9</f>
        <v>1.7090734029379788</v>
      </c>
      <c r="I66" s="2">
        <f>I11*'Output-Calculation-sheet'!I55/10^9</f>
        <v>0.80089714321424788</v>
      </c>
      <c r="J66" s="2">
        <f>J11*'Output-Calculation-sheet'!J55/10^9</f>
        <v>0.82359119547674431</v>
      </c>
      <c r="K66" s="2">
        <f>K11*'Output-Calculation-sheet'!K55/10^9</f>
        <v>0.98505431044019098</v>
      </c>
      <c r="L66" s="2">
        <f>L11*'Output-Calculation-sheet'!L55/10^9</f>
        <v>1.0432068951122921</v>
      </c>
      <c r="M66" s="2">
        <f>M11*'Output-Calculation-sheet'!M55/10^9</f>
        <v>1.2457964227533735</v>
      </c>
      <c r="N66" s="2">
        <f>N11*'Output-Calculation-sheet'!N55/10^9</f>
        <v>1.1769175126806455</v>
      </c>
      <c r="O66" s="2">
        <f>O11*'Output-Calculation-sheet'!O55/10^9</f>
        <v>1.0817005282243812</v>
      </c>
      <c r="P66" s="2">
        <f>P11*'Output-Calculation-sheet'!P55/10^9</f>
        <v>0.90327697097655923</v>
      </c>
      <c r="Q66" s="2">
        <f>Q11*'Output-Calculation-sheet'!Q55/10^9</f>
        <v>0.95546194706163834</v>
      </c>
      <c r="R66" s="2">
        <f>R11*'Output-Calculation-sheet'!R55/10^9</f>
        <v>0.73791602145414403</v>
      </c>
      <c r="S66" s="2">
        <f>S11*'Output-Calculation-sheet'!S55/10^9</f>
        <v>0.64369547500775481</v>
      </c>
      <c r="T66" s="2">
        <f>T11*'Output-Calculation-sheet'!T55/10^9</f>
        <v>0.23129993556270431</v>
      </c>
      <c r="U66" s="2">
        <f>U11*'Output-Calculation-sheet'!U55/10^9</f>
        <v>0.23615403911355606</v>
      </c>
      <c r="V66" s="2">
        <f>V11*'Output-Calculation-sheet'!V55/10^9</f>
        <v>0.21942061987104955</v>
      </c>
      <c r="W66" s="2">
        <f>W11*'Output-Calculation-sheet'!W55/10^9</f>
        <v>9.9353516270163755E-2</v>
      </c>
      <c r="X66" s="2">
        <f>X11*'Output-Calculation-sheet'!X55/10^9</f>
        <v>0.13310320764665065</v>
      </c>
      <c r="Y66" s="2">
        <f>Y11*'Output-Calculation-sheet'!Y55/10^9</f>
        <v>9.7134989711110481E-2</v>
      </c>
      <c r="AA66" s="2">
        <f t="shared" si="4"/>
        <v>36.929144968392549</v>
      </c>
    </row>
    <row r="67" spans="1:27" x14ac:dyDescent="0.25">
      <c r="A67" s="2">
        <v>2035</v>
      </c>
      <c r="B67" s="2">
        <f>B12*'Output-Calculation-sheet'!B56/10^9</f>
        <v>11.830062561072795</v>
      </c>
      <c r="C67" s="2">
        <f>C12*'Output-Calculation-sheet'!C56/10^9</f>
        <v>5.5344257209125711</v>
      </c>
      <c r="D67" s="2">
        <f>D12*'Output-Calculation-sheet'!D56/10^9</f>
        <v>3.0187283622767338</v>
      </c>
      <c r="E67" s="2">
        <f>E12*'Output-Calculation-sheet'!E56/10^9</f>
        <v>3.6919676515284867</v>
      </c>
      <c r="F67" s="2">
        <f>F12*'Output-Calculation-sheet'!F56/10^9</f>
        <v>1.4942071946410198</v>
      </c>
      <c r="G67" s="2">
        <f>G12*'Output-Calculation-sheet'!G56/10^9</f>
        <v>1.0967578999115979</v>
      </c>
      <c r="H67" s="2">
        <f>H12*'Output-Calculation-sheet'!H56/10^9</f>
        <v>1.749087081824461</v>
      </c>
      <c r="I67" s="2">
        <f>I12*'Output-Calculation-sheet'!I56/10^9</f>
        <v>1.0359985692388571</v>
      </c>
      <c r="J67" s="2">
        <f>J12*'Output-Calculation-sheet'!J56/10^9</f>
        <v>0.96232984988740577</v>
      </c>
      <c r="K67" s="2">
        <f>K12*'Output-Calculation-sheet'!K56/10^9</f>
        <v>1.1824557024110958</v>
      </c>
      <c r="L67" s="2">
        <f>L12*'Output-Calculation-sheet'!L56/10^9</f>
        <v>1.12895188919904</v>
      </c>
      <c r="M67" s="2">
        <f>M12*'Output-Calculation-sheet'!M56/10^9</f>
        <v>1.2174736801561625</v>
      </c>
      <c r="N67" s="2">
        <f>N12*'Output-Calculation-sheet'!N56/10^9</f>
        <v>1.1863879318588919</v>
      </c>
      <c r="O67" s="2">
        <f>O12*'Output-Calculation-sheet'!O56/10^9</f>
        <v>1.0757400027946271</v>
      </c>
      <c r="P67" s="2">
        <f>P12*'Output-Calculation-sheet'!P56/10^9</f>
        <v>1.046083273394568</v>
      </c>
      <c r="Q67" s="2">
        <f>Q12*'Output-Calculation-sheet'!Q56/10^9</f>
        <v>1.0592104250590479</v>
      </c>
      <c r="R67" s="2">
        <f>R12*'Output-Calculation-sheet'!R56/10^9</f>
        <v>0.87192490913585685</v>
      </c>
      <c r="S67" s="2">
        <f>S12*'Output-Calculation-sheet'!S56/10^9</f>
        <v>0.67827194246520639</v>
      </c>
      <c r="T67" s="2">
        <f>T12*'Output-Calculation-sheet'!T56/10^9</f>
        <v>0.26720864842926673</v>
      </c>
      <c r="U67" s="2">
        <f>U12*'Output-Calculation-sheet'!U56/10^9</f>
        <v>0.28695644315489471</v>
      </c>
      <c r="V67" s="2">
        <f>V12*'Output-Calculation-sheet'!V56/10^9</f>
        <v>0.20513045240423708</v>
      </c>
      <c r="W67" s="2">
        <f>W12*'Output-Calculation-sheet'!W56/10^9</f>
        <v>0.13617135418418452</v>
      </c>
      <c r="X67" s="2">
        <f>X12*'Output-Calculation-sheet'!X56/10^9</f>
        <v>0.12964806978607607</v>
      </c>
      <c r="Y67" s="2">
        <f>Y12*'Output-Calculation-sheet'!Y56/10^9</f>
        <v>0.1210991445605476</v>
      </c>
      <c r="AA67" s="2">
        <f t="shared" si="4"/>
        <v>41.006278760287621</v>
      </c>
    </row>
    <row r="68" spans="1:27" x14ac:dyDescent="0.25">
      <c r="B68" s="2">
        <f>SUM(B60:B67)</f>
        <v>51.452229628480808</v>
      </c>
      <c r="C68" s="2">
        <f t="shared" ref="C68:Y68" si="5">SUM(C60:C67)</f>
        <v>26.143760840923633</v>
      </c>
      <c r="D68" s="2">
        <f t="shared" si="5"/>
        <v>13.843801925043804</v>
      </c>
      <c r="E68" s="2">
        <f t="shared" si="5"/>
        <v>15.402822873116513</v>
      </c>
      <c r="F68" s="2">
        <f t="shared" si="5"/>
        <v>6.2825970575759156</v>
      </c>
      <c r="G68" s="2">
        <f t="shared" si="5"/>
        <v>4.488749914521807</v>
      </c>
      <c r="H68" s="2">
        <f t="shared" si="5"/>
        <v>8.2151983557036292</v>
      </c>
      <c r="I68" s="2">
        <f t="shared" si="5"/>
        <v>4.2685541870947512</v>
      </c>
      <c r="J68" s="2">
        <f t="shared" si="5"/>
        <v>4.9509697995047439</v>
      </c>
      <c r="K68" s="2">
        <f t="shared" si="5"/>
        <v>5.1737780512193723</v>
      </c>
      <c r="L68" s="2">
        <f t="shared" si="5"/>
        <v>5.99709526360102</v>
      </c>
      <c r="M68" s="2">
        <f t="shared" si="5"/>
        <v>6.2241884257543409</v>
      </c>
      <c r="N68" s="2">
        <f t="shared" si="5"/>
        <v>5.7495886091043946</v>
      </c>
      <c r="O68" s="2">
        <f t="shared" si="5"/>
        <v>5.2182002847224513</v>
      </c>
      <c r="P68" s="2">
        <f t="shared" si="5"/>
        <v>4.2497189804264606</v>
      </c>
      <c r="Q68" s="2">
        <f t="shared" si="5"/>
        <v>4.5626851883264665</v>
      </c>
      <c r="R68" s="2">
        <f t="shared" si="5"/>
        <v>3.7826180922391859</v>
      </c>
      <c r="S68" s="2">
        <f t="shared" si="5"/>
        <v>3.0577779125287203</v>
      </c>
      <c r="T68" s="2">
        <f t="shared" si="5"/>
        <v>1.2762045699153965</v>
      </c>
      <c r="U68" s="2">
        <f t="shared" si="5"/>
        <v>1.1173332707457579</v>
      </c>
      <c r="V68" s="2">
        <f t="shared" si="5"/>
        <v>1.3368862582661276</v>
      </c>
      <c r="W68" s="2">
        <f t="shared" si="5"/>
        <v>0.57377492444126754</v>
      </c>
      <c r="X68" s="2">
        <f t="shared" si="5"/>
        <v>0.6530356157867474</v>
      </c>
      <c r="Y68" s="2">
        <f t="shared" si="5"/>
        <v>0.46193963104074892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63.107975335131876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6.3107975335131877E-2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649.39316251006915</v>
      </c>
      <c r="Q76" s="2">
        <f>Q10/'Output-Calculation-sheet'!Q9*'Output-Calculation-sheet'!Q63</f>
        <v>77.016629380116356</v>
      </c>
      <c r="R76" s="2">
        <f>R10/'Output-Calculation-sheet'!R9*'Output-Calculation-sheet'!R63</f>
        <v>495.56378599650083</v>
      </c>
      <c r="S76" s="2">
        <f>S10/'Output-Calculation-sheet'!S9*'Output-Calculation-sheet'!S63</f>
        <v>0</v>
      </c>
      <c r="T76" s="2">
        <f>T10/'Output-Calculation-sheet'!T9*'Output-Calculation-sheet'!T63</f>
        <v>32.476235674682592</v>
      </c>
      <c r="U76" s="2">
        <f>U10/'Output-Calculation-sheet'!U9*'Output-Calculation-sheet'!U63</f>
        <v>175.57421859407992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8.32760879377539</v>
      </c>
      <c r="AA76" s="2">
        <f t="shared" si="6"/>
        <v>1.5746803222315244</v>
      </c>
    </row>
    <row r="77" spans="1:27" x14ac:dyDescent="0.25">
      <c r="A77" s="2">
        <v>2034</v>
      </c>
      <c r="B77" s="2">
        <f>B11/'Output-Calculation-sheet'!B10*'Output-Calculation-sheet'!B64</f>
        <v>671.28463277749017</v>
      </c>
      <c r="C77" s="2">
        <f>C11/'Output-Calculation-sheet'!C10*'Output-Calculation-sheet'!C64</f>
        <v>0</v>
      </c>
      <c r="D77" s="2">
        <f>D11/'Output-Calculation-sheet'!D10*'Output-Calculation-sheet'!D64</f>
        <v>2387.7255271692907</v>
      </c>
      <c r="E77" s="2">
        <f>E11/'Output-Calculation-sheet'!E10*'Output-Calculation-sheet'!E64</f>
        <v>2960.7124520379703</v>
      </c>
      <c r="F77" s="2">
        <f>F11/'Output-Calculation-sheet'!F10*'Output-Calculation-sheet'!F64</f>
        <v>192.63871601961745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195.76601807711148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520.83949664829004</v>
      </c>
      <c r="K77" s="2">
        <f>K11/'Output-Calculation-sheet'!K10*'Output-Calculation-sheet'!K64</f>
        <v>1138.106149940945</v>
      </c>
      <c r="L77" s="2">
        <f>L11/'Output-Calculation-sheet'!L10*'Output-Calculation-sheet'!L64</f>
        <v>469.22981483787777</v>
      </c>
      <c r="M77" s="2">
        <f>M11/'Output-Calculation-sheet'!M10*'Output-Calculation-sheet'!M64</f>
        <v>140.99369702615164</v>
      </c>
      <c r="N77" s="2">
        <f>N11/'Output-Calculation-sheet'!N10*'Output-Calculation-sheet'!N64</f>
        <v>46.630587615241325</v>
      </c>
      <c r="O77" s="2">
        <f>O11/'Output-Calculation-sheet'!O10*'Output-Calculation-sheet'!O64</f>
        <v>0</v>
      </c>
      <c r="P77" s="2">
        <f>P11/'Output-Calculation-sheet'!P10*'Output-Calculation-sheet'!P64</f>
        <v>967.0683851134155</v>
      </c>
      <c r="Q77" s="2">
        <f>Q11/'Output-Calculation-sheet'!Q10*'Output-Calculation-sheet'!Q64</f>
        <v>231.97762290816235</v>
      </c>
      <c r="R77" s="2">
        <f>R11/'Output-Calculation-sheet'!R10*'Output-Calculation-sheet'!R64</f>
        <v>1193.6281992888578</v>
      </c>
      <c r="S77" s="2">
        <f>S11/'Output-Calculation-sheet'!S10*'Output-Calculation-sheet'!S64</f>
        <v>0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438.82340326284503</v>
      </c>
      <c r="V77" s="2">
        <f>V11/'Output-Calculation-sheet'!V10*'Output-Calculation-sheet'!V64</f>
        <v>171.4031405600517</v>
      </c>
      <c r="W77" s="2">
        <f>W11/'Output-Calculation-sheet'!W10*'Output-Calculation-sheet'!W64</f>
        <v>37.535230381255772</v>
      </c>
      <c r="X77" s="2">
        <f>X11/'Output-Calculation-sheet'!X10*'Output-Calculation-sheet'!X64</f>
        <v>14.05552424840676</v>
      </c>
      <c r="Y77" s="2">
        <f>Y11/'Output-Calculation-sheet'!Y10*'Output-Calculation-sheet'!Y64</f>
        <v>79.224271627290975</v>
      </c>
      <c r="AA77" s="2">
        <f t="shared" si="6"/>
        <v>14.18324790694669</v>
      </c>
    </row>
    <row r="78" spans="1:27" x14ac:dyDescent="0.25">
      <c r="A78" s="2">
        <v>2035</v>
      </c>
      <c r="B78" s="2">
        <f>B12/'Output-Calculation-sheet'!B11*'Output-Calculation-sheet'!B65</f>
        <v>133.50035654798316</v>
      </c>
      <c r="C78" s="2">
        <f>C12/'Output-Calculation-sheet'!C11*'Output-Calculation-sheet'!C65</f>
        <v>106.92893990638193</v>
      </c>
      <c r="D78" s="2">
        <f>D12/'Output-Calculation-sheet'!D11*'Output-Calculation-sheet'!D65</f>
        <v>5103.6377086422344</v>
      </c>
      <c r="E78" s="2">
        <f>E12/'Output-Calculation-sheet'!E11*'Output-Calculation-sheet'!E65</f>
        <v>2474.9360032366267</v>
      </c>
      <c r="F78" s="2">
        <f>F12/'Output-Calculation-sheet'!F11*'Output-Calculation-sheet'!F65</f>
        <v>1276.3478118148084</v>
      </c>
      <c r="G78" s="2">
        <f>G12/'Output-Calculation-sheet'!G11*'Output-Calculation-sheet'!G65</f>
        <v>2368.8325934439918</v>
      </c>
      <c r="H78" s="2">
        <f>H12/'Output-Calculation-sheet'!H11*'Output-Calculation-sheet'!H65</f>
        <v>44.895950333602734</v>
      </c>
      <c r="I78" s="2">
        <f>I12/'Output-Calculation-sheet'!I11*'Output-Calculation-sheet'!I65</f>
        <v>1574.28708732051</v>
      </c>
      <c r="J78" s="2">
        <f>J12/'Output-Calculation-sheet'!J11*'Output-Calculation-sheet'!J65</f>
        <v>1637.334487124311</v>
      </c>
      <c r="K78" s="2">
        <f>K12/'Output-Calculation-sheet'!K11*'Output-Calculation-sheet'!K65</f>
        <v>2038.2171571513668</v>
      </c>
      <c r="L78" s="2">
        <f>L12/'Output-Calculation-sheet'!L11*'Output-Calculation-sheet'!L65</f>
        <v>1107.9867499196885</v>
      </c>
      <c r="M78" s="2">
        <f>M12/'Output-Calculation-sheet'!M11*'Output-Calculation-sheet'!M65</f>
        <v>31.395282382475756</v>
      </c>
      <c r="N78" s="2">
        <f>N12/'Output-Calculation-sheet'!N11*'Output-Calculation-sheet'!N65</f>
        <v>32.635413258703132</v>
      </c>
      <c r="O78" s="2">
        <f>O12/'Output-Calculation-sheet'!O11*'Output-Calculation-sheet'!O65</f>
        <v>18.633872162511356</v>
      </c>
      <c r="P78" s="2">
        <f>P12/'Output-Calculation-sheet'!P11*'Output-Calculation-sheet'!P65</f>
        <v>383.81799360811374</v>
      </c>
      <c r="Q78" s="2">
        <f>Q12/'Output-Calculation-sheet'!Q11*'Output-Calculation-sheet'!Q65</f>
        <v>286.01144094807051</v>
      </c>
      <c r="R78" s="2">
        <f>R12/'Output-Calculation-sheet'!R11*'Output-Calculation-sheet'!R65</f>
        <v>1763.8591010342529</v>
      </c>
      <c r="S78" s="2">
        <f>S12/'Output-Calculation-sheet'!S11*'Output-Calculation-sheet'!S65</f>
        <v>13.372279068480049</v>
      </c>
      <c r="T78" s="2">
        <f>T12/'Output-Calculation-sheet'!T11*'Output-Calculation-sheet'!T65</f>
        <v>640.0945635448212</v>
      </c>
      <c r="U78" s="2">
        <f>U12/'Output-Calculation-sheet'!U11*'Output-Calculation-sheet'!U65</f>
        <v>526.54663437201646</v>
      </c>
      <c r="V78" s="2">
        <f>V12/'Output-Calculation-sheet'!V11*'Output-Calculation-sheet'!V65</f>
        <v>319.17246850147876</v>
      </c>
      <c r="W78" s="2">
        <f>W12/'Output-Calculation-sheet'!W11*'Output-Calculation-sheet'!W65</f>
        <v>228.35165046516067</v>
      </c>
      <c r="X78" s="2">
        <f>X12/'Output-Calculation-sheet'!X11*'Output-Calculation-sheet'!X65</f>
        <v>3.2053747381562974</v>
      </c>
      <c r="Y78" s="2">
        <f>Y12/'Output-Calculation-sheet'!Y11*'Output-Calculation-sheet'!Y65</f>
        <v>56.174848535206586</v>
      </c>
      <c r="AA78" s="2">
        <f t="shared" si="6"/>
        <v>22.170175768060957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112.45301043342839</v>
      </c>
      <c r="E89" s="2">
        <f>E12/'Output-Calculation-sheet'!E11*'Output-Calculation-sheet'!E74</f>
        <v>83.784612230385761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57.987940790595403</v>
      </c>
      <c r="H89" s="2">
        <f>H12/'Output-Calculation-sheet'!H11*'Output-Calculation-sheet'!H74</f>
        <v>7.3271597759116629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26.930987809914804</v>
      </c>
      <c r="K89" s="2">
        <f>K12/'Output-Calculation-sheet'!K11*'Output-Calculation-sheet'!K74</f>
        <v>37.88901282286399</v>
      </c>
      <c r="L89" s="2">
        <f>L12/'Output-Calculation-sheet'!L11*'Output-Calculation-sheet'!L74</f>
        <v>14.17769353704016</v>
      </c>
      <c r="M89" s="2">
        <f>M12/'Output-Calculation-sheet'!M11*'Output-Calculation-sheet'!M74</f>
        <v>6.7223986686956279</v>
      </c>
      <c r="N89" s="2">
        <f>N12/'Output-Calculation-sheet'!N11*'Output-Calculation-sheet'!N74</f>
        <v>3.3035138433751525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6.103733051454916</v>
      </c>
      <c r="Q89" s="2">
        <f>Q12/'Output-Calculation-sheet'!Q11*'Output-Calculation-sheet'!Q74</f>
        <v>8.6831517451041478</v>
      </c>
      <c r="R89" s="2">
        <f>R12/'Output-Calculation-sheet'!R11*'Output-Calculation-sheet'!R74</f>
        <v>24.397780947236683</v>
      </c>
      <c r="S89" s="2">
        <f>S12/'Output-Calculation-sheet'!S11*'Output-Calculation-sheet'!S74</f>
        <v>2.8405322669008108</v>
      </c>
      <c r="T89" s="2">
        <f>T12/'Output-Calculation-sheet'!T11*'Output-Calculation-sheet'!T74</f>
        <v>6.371477551771271</v>
      </c>
      <c r="U89" s="2">
        <f>U12/'Output-Calculation-sheet'!U11*'Output-Calculation-sheet'!U74</f>
        <v>12.928754998392126</v>
      </c>
      <c r="V89" s="2">
        <f>V12/'Output-Calculation-sheet'!V11*'Output-Calculation-sheet'!V74</f>
        <v>1.7802142046880718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3.2024883721114294</v>
      </c>
      <c r="AA89" s="2">
        <f t="shared" si="7"/>
        <v>0.58216313875348258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2076.9665613025945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639.35472460392896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439.93827222434339</v>
      </c>
      <c r="N107" s="2">
        <f>N8/'Output-Calculation-sheet'!N7*'Output-Calculation-sheet'!N88</f>
        <v>172.95518985405994</v>
      </c>
      <c r="O107" s="2">
        <f>O8/'Output-Calculation-sheet'!O7*'Output-Calculation-sheet'!O88</f>
        <v>484.19628369778258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48.262143460731409</v>
      </c>
      <c r="Y107" s="2">
        <f>Y8/'Output-Calculation-sheet'!Y7*'Output-Calculation-sheet'!Y88</f>
        <v>0</v>
      </c>
      <c r="AA107" s="2">
        <f t="shared" si="9"/>
        <v>3.8616731751434408</v>
      </c>
    </row>
    <row r="108" spans="1:27" x14ac:dyDescent="0.25">
      <c r="A108" s="2">
        <v>2032</v>
      </c>
      <c r="B108" s="2">
        <f>B9/'Output-Calculation-sheet'!B8*'Output-Calculation-sheet'!B89</f>
        <v>1004.044192776096</v>
      </c>
      <c r="C108" s="2">
        <f>C9/'Output-Calculation-sheet'!C8*'Output-Calculation-sheet'!C89</f>
        <v>3812.3409031919405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1026.8621734029841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706.58110903817783</v>
      </c>
      <c r="N108" s="2">
        <f>N9/'Output-Calculation-sheet'!N8*'Output-Calculation-sheet'!N89</f>
        <v>496.03902888429269</v>
      </c>
      <c r="O108" s="2">
        <f>O9/'Output-Calculation-sheet'!O8*'Output-Calculation-sheet'!O89</f>
        <v>740.63192763396137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227.47735637330243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77.513417231528379</v>
      </c>
      <c r="Y108" s="2">
        <f>Y9/'Output-Calculation-sheet'!Y8*'Output-Calculation-sheet'!Y89</f>
        <v>0</v>
      </c>
      <c r="AA108" s="2">
        <f t="shared" si="9"/>
        <v>8.0914901085322821</v>
      </c>
    </row>
    <row r="109" spans="1:27" x14ac:dyDescent="0.25">
      <c r="A109" s="2">
        <v>2033</v>
      </c>
      <c r="B109" s="2">
        <f>B10/'Output-Calculation-sheet'!B9*'Output-Calculation-sheet'!B90</f>
        <v>5556.7860830249738</v>
      </c>
      <c r="C109" s="2">
        <f>C10/'Output-Calculation-sheet'!C9*'Output-Calculation-sheet'!C90</f>
        <v>5274.7585781137004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1623.7342867701395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1117.2872103441587</v>
      </c>
      <c r="N109" s="2">
        <f>N10/'Output-Calculation-sheet'!N9*'Output-Calculation-sheet'!N90</f>
        <v>878.48970542869813</v>
      </c>
      <c r="O109" s="2">
        <f>O10/'Output-Calculation-sheet'!O9*'Output-Calculation-sheet'!O90</f>
        <v>1024.7390547474961</v>
      </c>
      <c r="P109" s="2">
        <f>P10/'Output-Calculation-sheet'!P9*'Output-Calculation-sheet'!P90</f>
        <v>0</v>
      </c>
      <c r="Q109" s="2">
        <f>Q10/'Output-Calculation-sheet'!Q9*'Output-Calculation-sheet'!Q90</f>
        <v>192.4228710298504</v>
      </c>
      <c r="R109" s="2">
        <f>R10/'Output-Calculation-sheet'!R9*'Output-Calculation-sheet'!R90</f>
        <v>0</v>
      </c>
      <c r="S109" s="2">
        <f>S10/'Output-Calculation-sheet'!S9*'Output-Calculation-sheet'!S90</f>
        <v>440.63304784546199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122.5687307445093</v>
      </c>
      <c r="Y109" s="2">
        <f>Y10/'Output-Calculation-sheet'!Y9*'Output-Calculation-sheet'!Y90</f>
        <v>0</v>
      </c>
      <c r="AA109" s="2">
        <f t="shared" si="9"/>
        <v>16.231419568048988</v>
      </c>
    </row>
    <row r="110" spans="1:27" x14ac:dyDescent="0.25">
      <c r="A110" s="2">
        <v>2034</v>
      </c>
      <c r="B110" s="2">
        <f>B11/'Output-Calculation-sheet'!B10*'Output-Calculation-sheet'!B91</f>
        <v>10835.493688183931</v>
      </c>
      <c r="C110" s="2">
        <f>C11/'Output-Calculation-sheet'!C10*'Output-Calculation-sheet'!C91</f>
        <v>7428.4543612934158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2110.8079805737843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1452.4413134606236</v>
      </c>
      <c r="N110" s="2">
        <f>N11/'Output-Calculation-sheet'!N10*'Output-Calculation-sheet'!N91</f>
        <v>1308.5547397577909</v>
      </c>
      <c r="O110" s="2">
        <f>O11/'Output-Calculation-sheet'!O10*'Output-Calculation-sheet'!O91</f>
        <v>1443.1423140410204</v>
      </c>
      <c r="P110" s="2">
        <f>P11/'Output-Calculation-sheet'!P10*'Output-Calculation-sheet'!P91</f>
        <v>329.69310833763637</v>
      </c>
      <c r="Q110" s="2">
        <f>Q11/'Output-Calculation-sheet'!Q10*'Output-Calculation-sheet'!Q91</f>
        <v>729.58728168270034</v>
      </c>
      <c r="R110" s="2">
        <f>R11/'Output-Calculation-sheet'!R10*'Output-Calculation-sheet'!R91</f>
        <v>0</v>
      </c>
      <c r="S110" s="2">
        <f>S11/'Output-Calculation-sheet'!S10*'Output-Calculation-sheet'!S91</f>
        <v>750.10875036229129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159.33583292063264</v>
      </c>
      <c r="Y110" s="2">
        <f>Y11/'Output-Calculation-sheet'!Y10*'Output-Calculation-sheet'!Y91</f>
        <v>25.627021096415966</v>
      </c>
      <c r="AA110" s="2">
        <f t="shared" si="9"/>
        <v>26.573246391710235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3870.8490850438225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545.84120117604618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1409.9623348860855</v>
      </c>
      <c r="Q111" s="2">
        <f>Q12/'Output-Calculation-sheet'!Q11*'Output-Calculation-sheet'!Q92</f>
        <v>1337.2053687460389</v>
      </c>
      <c r="R111" s="2">
        <f>R12/'Output-Calculation-sheet'!R11*'Output-Calculation-sheet'!R92</f>
        <v>0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150.69486950991003</v>
      </c>
      <c r="AA111" s="2">
        <f t="shared" si="9"/>
        <v>45.543114678316137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9763782041.6551094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3004115286.2262015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2086616940.888762</v>
      </c>
      <c r="N118" s="2">
        <f>N8/'Output-Calculation-sheet'!N7*'Output-Calculation-sheet'!N97</f>
        <v>1637399351.8321891</v>
      </c>
      <c r="O118" s="2">
        <f>O8/'Output-Calculation-sheet'!O7*'Output-Calculation-sheet'!O97</f>
        <v>1089544346.6226134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224897702.48428816</v>
      </c>
      <c r="Y118" s="2">
        <f>Y8/'Output-Calculation-sheet'!Y7*'Output-Calculation-sheet'!Y97</f>
        <v>0</v>
      </c>
      <c r="AA118" s="2">
        <f t="shared" si="10"/>
        <v>20064.272083775842</v>
      </c>
    </row>
    <row r="119" spans="1:27" x14ac:dyDescent="0.25">
      <c r="A119" s="2">
        <v>2032</v>
      </c>
      <c r="B119" s="2">
        <f>B9/'Output-Calculation-sheet'!B8*'Output-Calculation-sheet'!B98</f>
        <v>7532391692.3461561</v>
      </c>
      <c r="C119" s="2">
        <f>C9/'Output-Calculation-sheet'!C8*'Output-Calculation-sheet'!C98</f>
        <v>5986897059.9400721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3578980458.2375875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2498141762.8607249</v>
      </c>
      <c r="N119" s="2">
        <f>N9/'Output-Calculation-sheet'!N8*'Output-Calculation-sheet'!N98</f>
        <v>1689457395.8574195</v>
      </c>
      <c r="O119" s="2">
        <f>O9/'Output-Calculation-sheet'!O8*'Output-Calculation-sheet'!O98</f>
        <v>1169729058.1542754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701107960.0781554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267310124.56654662</v>
      </c>
      <c r="Y119" s="2">
        <f>Y9/'Output-Calculation-sheet'!Y8*'Output-Calculation-sheet'!Y98</f>
        <v>0</v>
      </c>
      <c r="AA119" s="2">
        <f t="shared" si="10"/>
        <v>23424.015512040936</v>
      </c>
    </row>
    <row r="120" spans="1:27" x14ac:dyDescent="0.25">
      <c r="A120" s="2">
        <v>2033</v>
      </c>
      <c r="B120" s="2">
        <f>B10/'Output-Calculation-sheet'!B9*'Output-Calculation-sheet'!B99</f>
        <v>7994177204.1354752</v>
      </c>
      <c r="C120" s="2">
        <f>C10/'Output-Calculation-sheet'!C9*'Output-Calculation-sheet'!C99</f>
        <v>6571710051.9980631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2154708051.0189371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1525120258.4773941</v>
      </c>
      <c r="N120" s="2">
        <f>N10/'Output-Calculation-sheet'!N9*'Output-Calculation-sheet'!N99</f>
        <v>1520383308.4060459</v>
      </c>
      <c r="O120" s="2">
        <f>O10/'Output-Calculation-sheet'!O9*'Output-Calculation-sheet'!O99</f>
        <v>1286599275.8017418</v>
      </c>
      <c r="P120" s="2">
        <f>P10/'Output-Calculation-sheet'!P9*'Output-Calculation-sheet'!P99</f>
        <v>0</v>
      </c>
      <c r="Q120" s="2">
        <f>Q10/'Output-Calculation-sheet'!Q9*'Output-Calculation-sheet'!Q99</f>
        <v>9660915.4059672002</v>
      </c>
      <c r="R120" s="2">
        <f>R10/'Output-Calculation-sheet'!R9*'Output-Calculation-sheet'!R99</f>
        <v>0</v>
      </c>
      <c r="S120" s="2">
        <f>S10/'Output-Calculation-sheet'!S9*'Output-Calculation-sheet'!S99</f>
        <v>636726607.90143049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152290024.31232086</v>
      </c>
      <c r="Y120" s="2">
        <f>Y10/'Output-Calculation-sheet'!Y9*'Output-Calculation-sheet'!Y99</f>
        <v>0</v>
      </c>
      <c r="AA120" s="2">
        <f t="shared" si="10"/>
        <v>21851.375697457373</v>
      </c>
    </row>
    <row r="121" spans="1:27" x14ac:dyDescent="0.25">
      <c r="A121" s="2">
        <v>2034</v>
      </c>
      <c r="B121" s="2">
        <f>B11/'Output-Calculation-sheet'!B10*'Output-Calculation-sheet'!B100</f>
        <v>8047544615.6637468</v>
      </c>
      <c r="C121" s="2">
        <f>C11/'Output-Calculation-sheet'!C10*'Output-Calculation-sheet'!C100</f>
        <v>975200215.93793821</v>
      </c>
      <c r="D121" s="2">
        <f>D11/'Output-Calculation-sheet'!D10*'Output-Calculation-sheet'!D100</f>
        <v>0</v>
      </c>
      <c r="E121" s="2">
        <f>E11/'Output-Calculation-sheet'!E10*'Output-Calculation-sheet'!E100</f>
        <v>1126550800.6591535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2567793339.5195661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935452755.67904115</v>
      </c>
      <c r="M121" s="2">
        <f>M11/'Output-Calculation-sheet'!M10*'Output-Calculation-sheet'!M100</f>
        <v>1827488697.3825111</v>
      </c>
      <c r="N121" s="2">
        <f>N11/'Output-Calculation-sheet'!N10*'Output-Calculation-sheet'!N100</f>
        <v>1218345880.4651351</v>
      </c>
      <c r="O121" s="2">
        <f>O11/'Output-Calculation-sheet'!O10*'Output-Calculation-sheet'!O100</f>
        <v>191288729.98122928</v>
      </c>
      <c r="P121" s="2">
        <f>P11/'Output-Calculation-sheet'!P10*'Output-Calculation-sheet'!P100</f>
        <v>0</v>
      </c>
      <c r="Q121" s="2">
        <f>Q11/'Output-Calculation-sheet'!Q10*'Output-Calculation-sheet'!Q100</f>
        <v>410772529.12372118</v>
      </c>
      <c r="R121" s="2">
        <f>R11/'Output-Calculation-sheet'!R10*'Output-Calculation-sheet'!R100</f>
        <v>0</v>
      </c>
      <c r="S121" s="2">
        <f>S11/'Output-Calculation-sheet'!S10*'Output-Calculation-sheet'!S100</f>
        <v>455530505.37703919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179563551.39818248</v>
      </c>
      <c r="Y121" s="2">
        <f>Y11/'Output-Calculation-sheet'!Y10*'Output-Calculation-sheet'!Y100</f>
        <v>26066957.172212034</v>
      </c>
      <c r="AA121" s="2">
        <f t="shared" si="10"/>
        <v>17961.598578359473</v>
      </c>
    </row>
    <row r="122" spans="1:27" x14ac:dyDescent="0.25">
      <c r="A122" s="2">
        <v>2035</v>
      </c>
      <c r="B122" s="2">
        <f>B12/'Output-Calculation-sheet'!B11*'Output-Calculation-sheet'!B101</f>
        <v>2336582217.1695557</v>
      </c>
      <c r="C122" s="2">
        <f>C12/'Output-Calculation-sheet'!C11*'Output-Calculation-sheet'!C101</f>
        <v>484909849.43341875</v>
      </c>
      <c r="D122" s="2">
        <f>D12/'Output-Calculation-sheet'!D11*'Output-Calculation-sheet'!D101</f>
        <v>0</v>
      </c>
      <c r="E122" s="2">
        <f>E12/'Output-Calculation-sheet'!E11*'Output-Calculation-sheet'!E101</f>
        <v>4007346506.7769146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840492391.92834687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2130524540.8916359</v>
      </c>
      <c r="M122" s="2">
        <f>M12/'Output-Calculation-sheet'!M11*'Output-Calculation-sheet'!M101</f>
        <v>749044280.0192107</v>
      </c>
      <c r="N122" s="2">
        <f>N12/'Output-Calculation-sheet'!N11*'Output-Calculation-sheet'!N101</f>
        <v>623657659.96249807</v>
      </c>
      <c r="O122" s="2">
        <f>O12/'Output-Calculation-sheet'!O11*'Output-Calculation-sheet'!O101</f>
        <v>82861310.511721745</v>
      </c>
      <c r="P122" s="2">
        <f>P12/'Output-Calculation-sheet'!P11*'Output-Calculation-sheet'!P101</f>
        <v>101988587.85936625</v>
      </c>
      <c r="Q122" s="2">
        <f>Q12/'Output-Calculation-sheet'!Q11*'Output-Calculation-sheet'!Q101</f>
        <v>948545036.40884936</v>
      </c>
      <c r="R122" s="2">
        <f>R12/'Output-Calculation-sheet'!R11*'Output-Calculation-sheet'!R101</f>
        <v>0</v>
      </c>
      <c r="S122" s="2">
        <f>S12/'Output-Calculation-sheet'!S11*'Output-Calculation-sheet'!S101</f>
        <v>280027245.62379366</v>
      </c>
      <c r="T122" s="2">
        <f>T12/'Output-Calculation-sheet'!T11*'Output-Calculation-sheet'!T101</f>
        <v>0</v>
      </c>
      <c r="U122" s="2">
        <f>U12/'Output-Calculation-sheet'!U11*'Output-Calculation-sheet'!U101</f>
        <v>118237620.13154547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24520416.158836029</v>
      </c>
      <c r="Y122" s="2">
        <f>Y12/'Output-Calculation-sheet'!Y11*'Output-Calculation-sheet'!Y101</f>
        <v>120409808.76335356</v>
      </c>
      <c r="AA122" s="2">
        <f t="shared" si="10"/>
        <v>12849.147471639048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2717124909.5216331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178601.59817415653</v>
      </c>
    </row>
    <row r="130" spans="1:27" x14ac:dyDescent="0.25">
      <c r="A130" s="2">
        <v>2032</v>
      </c>
      <c r="B130" s="2">
        <f>B9/'Output-Calculation-sheet'!B8*'Output-Calculation-sheet'!B107</f>
        <v>68163830033.610771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2477413460.6205254</v>
      </c>
      <c r="O130" s="2">
        <f>O9/'Output-Calculation-sheet'!O8*'Output-Calculation-sheet'!O107</f>
        <v>0</v>
      </c>
      <c r="P130" s="2">
        <f>P9/'Output-Calculation-sheet'!P8*'Output-Calculation-sheet'!P107</f>
        <v>7566803357.9736023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2202465306.9201288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240052.5074249061</v>
      </c>
    </row>
    <row r="131" spans="1:27" x14ac:dyDescent="0.25">
      <c r="A131" s="2">
        <v>2033</v>
      </c>
      <c r="B131" s="2">
        <f>B10/'Output-Calculation-sheet'!B9*'Output-Calculation-sheet'!B108</f>
        <v>59634129254.06955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2185156148.9551349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8477645650.4143839</v>
      </c>
      <c r="R131" s="2">
        <f>R10/'Output-Calculation-sheet'!R9*'Output-Calculation-sheet'!R108</f>
        <v>9512547447.5728664</v>
      </c>
      <c r="S131" s="2">
        <f>S10/'Output-Calculation-sheet'!S9*'Output-Calculation-sheet'!S108</f>
        <v>2119485017.6864762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284624.03355715569</v>
      </c>
    </row>
    <row r="132" spans="1:27" x14ac:dyDescent="0.25">
      <c r="A132" s="2">
        <v>2034</v>
      </c>
      <c r="B132" s="2">
        <f>B11/'Output-Calculation-sheet'!B10*'Output-Calculation-sheet'!B109</f>
        <v>47337316789.033363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45586032834.940109</v>
      </c>
      <c r="F132" s="2">
        <f>F11/'Output-Calculation-sheet'!F10*'Output-Calculation-sheet'!F109</f>
        <v>30065794839.754402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18732635609.099976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13948049728.617805</v>
      </c>
      <c r="M132" s="2">
        <f>M11/'Output-Calculation-sheet'!M10*'Output-Calculation-sheet'!M109</f>
        <v>0</v>
      </c>
      <c r="N132" s="2">
        <f>N11/'Output-Calculation-sheet'!N10*'Output-Calculation-sheet'!N109</f>
        <v>1833842909.7171378</v>
      </c>
      <c r="O132" s="2">
        <f>O11/'Output-Calculation-sheet'!O10*'Output-Calculation-sheet'!O109</f>
        <v>0</v>
      </c>
      <c r="P132" s="2">
        <f>P11/'Output-Calculation-sheet'!P10*'Output-Calculation-sheet'!P109</f>
        <v>10421654817.025522</v>
      </c>
      <c r="Q132" s="2">
        <f>Q11/'Output-Calculation-sheet'!Q10*'Output-Calculation-sheet'!Q109</f>
        <v>6712813462.4716387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1258585066.3870983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1311875166.6758204</v>
      </c>
      <c r="AA132" s="2">
        <f t="shared" si="11"/>
        <v>320821.44562999072</v>
      </c>
    </row>
    <row r="133" spans="1:27" x14ac:dyDescent="0.25">
      <c r="A133" s="2">
        <v>2035</v>
      </c>
      <c r="B133" s="2">
        <f>B12/'Output-Calculation-sheet'!B11*'Output-Calculation-sheet'!B110</f>
        <v>781892163.38113809</v>
      </c>
      <c r="C133" s="2">
        <f>C12/'Output-Calculation-sheet'!C11*'Output-Calculation-sheet'!C110</f>
        <v>0</v>
      </c>
      <c r="D133" s="2">
        <f>D12/'Output-Calculation-sheet'!D11*'Output-Calculation-sheet'!D110</f>
        <v>67064452258.075089</v>
      </c>
      <c r="E133" s="2">
        <f>E12/'Output-Calculation-sheet'!E11*'Output-Calculation-sheet'!E110</f>
        <v>28726855757.497738</v>
      </c>
      <c r="F133" s="2">
        <f>F12/'Output-Calculation-sheet'!F11*'Output-Calculation-sheet'!F110</f>
        <v>35257710572.956139</v>
      </c>
      <c r="G133" s="2">
        <f>G12/'Output-Calculation-sheet'!G11*'Output-Calculation-sheet'!G110</f>
        <v>24440777454.138687</v>
      </c>
      <c r="H133" s="2">
        <f>H12/'Output-Calculation-sheet'!H11*'Output-Calculation-sheet'!H110</f>
        <v>0</v>
      </c>
      <c r="I133" s="2">
        <f>I12/'Output-Calculation-sheet'!I11*'Output-Calculation-sheet'!I110</f>
        <v>22194452556.762573</v>
      </c>
      <c r="J133" s="2">
        <f>J12/'Output-Calculation-sheet'!J11*'Output-Calculation-sheet'!J110</f>
        <v>21489294459.051544</v>
      </c>
      <c r="K133" s="2">
        <f>K12/'Output-Calculation-sheet'!K11*'Output-Calculation-sheet'!K110</f>
        <v>21598455687.202267</v>
      </c>
      <c r="L133" s="2">
        <f>L12/'Output-Calculation-sheet'!L11*'Output-Calculation-sheet'!L110</f>
        <v>12572815845.092749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4765936678.3694448</v>
      </c>
      <c r="Q133" s="2">
        <f>Q12/'Output-Calculation-sheet'!Q11*'Output-Calculation-sheet'!Q110</f>
        <v>4009617534.1447849</v>
      </c>
      <c r="R133" s="2">
        <f>R12/'Output-Calculation-sheet'!R11*'Output-Calculation-sheet'!R110</f>
        <v>14099443165.482037</v>
      </c>
      <c r="S133" s="2">
        <f>S12/'Output-Calculation-sheet'!S11*'Output-Calculation-sheet'!S110</f>
        <v>9485237.9038076438</v>
      </c>
      <c r="T133" s="2">
        <f>T12/'Output-Calculation-sheet'!T11*'Output-Calculation-sheet'!T110</f>
        <v>5257321165.333848</v>
      </c>
      <c r="U133" s="2">
        <f>U12/'Output-Calculation-sheet'!U11*'Output-Calculation-sheet'!U110</f>
        <v>4259520550.5252681</v>
      </c>
      <c r="V133" s="2">
        <f>V12/'Output-Calculation-sheet'!V11*'Output-Calculation-sheet'!V110</f>
        <v>3541256214.477335</v>
      </c>
      <c r="W133" s="2">
        <f>W12/'Output-Calculation-sheet'!W11*'Output-Calculation-sheet'!W110</f>
        <v>3089007027.9852643</v>
      </c>
      <c r="X133" s="2">
        <f>X12/'Output-Calculation-sheet'!X11*'Output-Calculation-sheet'!X110</f>
        <v>0</v>
      </c>
      <c r="Y133" s="2">
        <f>Y12/'Output-Calculation-sheet'!Y11*'Output-Calculation-sheet'!Y110</f>
        <v>708553754.81802595</v>
      </c>
      <c r="AA133" s="2">
        <f t="shared" si="11"/>
        <v>273866.84808319772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17672741233.855206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5555864685.8632221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3819018438.9187021</v>
      </c>
      <c r="N140" s="2">
        <f>N8/'Output-Calculation-sheet'!N7*'Output-Calculation-sheet'!N115</f>
        <v>1441830832.447535</v>
      </c>
      <c r="O140" s="2">
        <f>O8/'Output-Calculation-sheet'!O7*'Output-Calculation-sheet'!O115</f>
        <v>4241371845.3337402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414699550.31258279</v>
      </c>
      <c r="Y140" s="2">
        <f>Y8/'Output-Calculation-sheet'!Y7*'Output-Calculation-sheet'!Y115</f>
        <v>0</v>
      </c>
      <c r="AA140" s="2">
        <f t="shared" si="12"/>
        <v>33145.526586730994</v>
      </c>
    </row>
    <row r="141" spans="1:27" x14ac:dyDescent="0.25">
      <c r="A141" s="2">
        <v>2032</v>
      </c>
      <c r="B141" s="2">
        <f>B9/'Output-Calculation-sheet'!B8*'Output-Calculation-sheet'!B116</f>
        <v>7792698625.0210905</v>
      </c>
      <c r="C141" s="2">
        <f>C9/'Output-Calculation-sheet'!C8*'Output-Calculation-sheet'!C116</f>
        <v>33357357827.554115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8696118531.8739281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5970599884.083415</v>
      </c>
      <c r="N141" s="2">
        <f>N9/'Output-Calculation-sheet'!N8*'Output-Calculation-sheet'!N116</f>
        <v>4145161096.3826194</v>
      </c>
      <c r="O141" s="2">
        <f>O9/'Output-Calculation-sheet'!O8*'Output-Calculation-sheet'!O116</f>
        <v>6474859204.182354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1856659104.2762139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649878817.69503045</v>
      </c>
      <c r="Y141" s="2">
        <f>Y9/'Output-Calculation-sheet'!Y8*'Output-Calculation-sheet'!Y116</f>
        <v>0</v>
      </c>
      <c r="AA141" s="2">
        <f t="shared" si="12"/>
        <v>68943.333091068765</v>
      </c>
    </row>
    <row r="142" spans="1:27" x14ac:dyDescent="0.25">
      <c r="A142" s="2">
        <v>2033</v>
      </c>
      <c r="B142" s="2">
        <f>B10/'Output-Calculation-sheet'!B9*'Output-Calculation-sheet'!B117</f>
        <v>43266435431.386917</v>
      </c>
      <c r="C142" s="2">
        <f>C10/'Output-Calculation-sheet'!C9*'Output-Calculation-sheet'!C117</f>
        <v>45687568036.421181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14149777283.813316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9723544546.4513569</v>
      </c>
      <c r="N142" s="2">
        <f>N10/'Output-Calculation-sheet'!N9*'Output-Calculation-sheet'!N117</f>
        <v>7334974039.510994</v>
      </c>
      <c r="O142" s="2">
        <f>O10/'Output-Calculation-sheet'!O9*'Output-Calculation-sheet'!O117</f>
        <v>8867377124.10639</v>
      </c>
      <c r="P142" s="2">
        <f>P10/'Output-Calculation-sheet'!P9*'Output-Calculation-sheet'!P117</f>
        <v>0</v>
      </c>
      <c r="Q142" s="2">
        <f>Q10/'Output-Calculation-sheet'!Q9*'Output-Calculation-sheet'!Q117</f>
        <v>1400902225.5546</v>
      </c>
      <c r="R142" s="2">
        <f>R10/'Output-Calculation-sheet'!R9*'Output-Calculation-sheet'!R117</f>
        <v>0</v>
      </c>
      <c r="S142" s="2">
        <f>S10/'Output-Calculation-sheet'!S9*'Output-Calculation-sheet'!S117</f>
        <v>3566599974.4054999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1065972610.636847</v>
      </c>
      <c r="Y142" s="2">
        <f>Y10/'Output-Calculation-sheet'!Y9*'Output-Calculation-sheet'!Y117</f>
        <v>0</v>
      </c>
      <c r="AA142" s="2">
        <f t="shared" si="12"/>
        <v>135063.1512722871</v>
      </c>
    </row>
    <row r="143" spans="1:27" x14ac:dyDescent="0.25">
      <c r="A143" s="2">
        <v>2034</v>
      </c>
      <c r="B143" s="2">
        <f>B11/'Output-Calculation-sheet'!B10*'Output-Calculation-sheet'!B118</f>
        <v>84770085480.350998</v>
      </c>
      <c r="C143" s="2">
        <f>C11/'Output-Calculation-sheet'!C10*'Output-Calculation-sheet'!C118</f>
        <v>65073260204.930321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18038631476.047237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12389132631.264746</v>
      </c>
      <c r="N143" s="2">
        <f>N11/'Output-Calculation-sheet'!N10*'Output-Calculation-sheet'!N118</f>
        <v>10901442852.756086</v>
      </c>
      <c r="O143" s="2">
        <f>O11/'Output-Calculation-sheet'!O10*'Output-Calculation-sheet'!O118</f>
        <v>12641926670.99934</v>
      </c>
      <c r="P143" s="2">
        <f>P11/'Output-Calculation-sheet'!P10*'Output-Calculation-sheet'!P118</f>
        <v>2280196072.8212104</v>
      </c>
      <c r="Q143" s="2">
        <f>Q11/'Output-Calculation-sheet'!Q10*'Output-Calculation-sheet'!Q118</f>
        <v>5373613368.7252817</v>
      </c>
      <c r="R143" s="2">
        <f>R11/'Output-Calculation-sheet'!R10*'Output-Calculation-sheet'!R118</f>
        <v>0</v>
      </c>
      <c r="S143" s="2">
        <f>S11/'Output-Calculation-sheet'!S10*'Output-Calculation-sheet'!S118</f>
        <v>6277039321.5883865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1360138263.6307433</v>
      </c>
      <c r="Y143" s="2">
        <f>Y11/'Output-Calculation-sheet'!Y10*'Output-Calculation-sheet'!Y118</f>
        <v>159388123.03714415</v>
      </c>
      <c r="AA143" s="2">
        <f t="shared" si="12"/>
        <v>219264.85446615142</v>
      </c>
    </row>
    <row r="144" spans="1:27" x14ac:dyDescent="0.25">
      <c r="A144" s="2">
        <v>2035</v>
      </c>
      <c r="B144" s="2">
        <f>B12/'Output-Calculation-sheet'!B11*'Output-Calculation-sheet'!B119</f>
        <v>167532415884.36984</v>
      </c>
      <c r="C144" s="2">
        <f>C12/'Output-Calculation-sheet'!C11*'Output-Calculation-sheet'!C119</f>
        <v>80146322888.649292</v>
      </c>
      <c r="D144" s="2">
        <f>D12/'Output-Calculation-sheet'!D11*'Output-Calculation-sheet'!D119</f>
        <v>0</v>
      </c>
      <c r="E144" s="2">
        <f>E12/'Output-Calculation-sheet'!E11*'Output-Calculation-sheet'!E119</f>
        <v>23873196414.069046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24231911430.282803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3077045083.5413585</v>
      </c>
      <c r="M144" s="2">
        <f>M12/'Output-Calculation-sheet'!M11*'Output-Calculation-sheet'!M119</f>
        <v>16538631751.28804</v>
      </c>
      <c r="N144" s="2">
        <f>N12/'Output-Calculation-sheet'!N11*'Output-Calculation-sheet'!N119</f>
        <v>16339485044.364017</v>
      </c>
      <c r="O144" s="2">
        <f>O12/'Output-Calculation-sheet'!O11*'Output-Calculation-sheet'!O119</f>
        <v>15577448545.086939</v>
      </c>
      <c r="P144" s="2">
        <f>P12/'Output-Calculation-sheet'!P11*'Output-Calculation-sheet'!P119</f>
        <v>10573541017.099974</v>
      </c>
      <c r="Q144" s="2">
        <f>Q12/'Output-Calculation-sheet'!Q11*'Output-Calculation-sheet'!Q119</f>
        <v>10013604516.176411</v>
      </c>
      <c r="R144" s="2">
        <f>R12/'Output-Calculation-sheet'!R11*'Output-Calculation-sheet'!R119</f>
        <v>0</v>
      </c>
      <c r="S144" s="2">
        <f>S12/'Output-Calculation-sheet'!S11*'Output-Calculation-sheet'!S119</f>
        <v>9420537206.6762657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1854309101.6581392</v>
      </c>
      <c r="Y144" s="2">
        <f>Y12/'Output-Calculation-sheet'!Y11*'Output-Calculation-sheet'!Y119</f>
        <v>990168839.80414057</v>
      </c>
      <c r="AA144" s="2">
        <f t="shared" si="12"/>
        <v>380168.61772306624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5330916191.9563532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231811.39653631387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4586752765.0300484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199451.94830208781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865505245.4447881</v>
      </c>
      <c r="C155" s="2">
        <f>C12/'Output-Calculation-sheet'!C11*'Output-Calculation-sheet'!C128</f>
        <v>93248033.838223264</v>
      </c>
      <c r="D155" s="2">
        <f>D12/'Output-Calculation-sheet'!D11*'Output-Calculation-sheet'!D128</f>
        <v>6218420245.4658861</v>
      </c>
      <c r="E155" s="2">
        <f>E12/'Output-Calculation-sheet'!E11*'Output-Calculation-sheet'!E128</f>
        <v>1009330322.4121144</v>
      </c>
      <c r="F155" s="2">
        <f>F12/'Output-Calculation-sheet'!F11*'Output-Calculation-sheet'!F128</f>
        <v>2271469677.8911023</v>
      </c>
      <c r="G155" s="2">
        <f>G12/'Output-Calculation-sheet'!G11*'Output-Calculation-sheet'!G128</f>
        <v>2078631691.6359756</v>
      </c>
      <c r="H155" s="2">
        <f>H12/'Output-Calculation-sheet'!H11*'Output-Calculation-sheet'!H128</f>
        <v>160722006.82446584</v>
      </c>
      <c r="I155" s="2">
        <f>I12/'Output-Calculation-sheet'!I11*'Output-Calculation-sheet'!I128</f>
        <v>1907337396.4895768</v>
      </c>
      <c r="J155" s="2">
        <f>J12/'Output-Calculation-sheet'!J11*'Output-Calculation-sheet'!J128</f>
        <v>1729450135.5289373</v>
      </c>
      <c r="K155" s="2">
        <f>K12/'Output-Calculation-sheet'!K11*'Output-Calculation-sheet'!K128</f>
        <v>1497675338.7263458</v>
      </c>
      <c r="L155" s="2">
        <f>L12/'Output-Calculation-sheet'!L11*'Output-Calculation-sheet'!L128</f>
        <v>564192098.80571413</v>
      </c>
      <c r="M155" s="2">
        <f>M12/'Output-Calculation-sheet'!M11*'Output-Calculation-sheet'!M128</f>
        <v>132563970.7290206</v>
      </c>
      <c r="N155" s="2">
        <f>N12/'Output-Calculation-sheet'!N11*'Output-Calculation-sheet'!N128</f>
        <v>117152280.18164399</v>
      </c>
      <c r="O155" s="2">
        <f>O12/'Output-Calculation-sheet'!O11*'Output-Calculation-sheet'!O128</f>
        <v>24126001.362796262</v>
      </c>
      <c r="P155" s="2">
        <f>P12/'Output-Calculation-sheet'!P11*'Output-Calculation-sheet'!P128</f>
        <v>153697186.40872851</v>
      </c>
      <c r="Q155" s="2">
        <f>Q12/'Output-Calculation-sheet'!Q11*'Output-Calculation-sheet'!Q128</f>
        <v>389618807.5706532</v>
      </c>
      <c r="R155" s="2">
        <f>R12/'Output-Calculation-sheet'!R11*'Output-Calculation-sheet'!R128</f>
        <v>865871505.16308939</v>
      </c>
      <c r="S155" s="2">
        <f>S12/'Output-Calculation-sheet'!S11*'Output-Calculation-sheet'!S128</f>
        <v>74786414.087967291</v>
      </c>
      <c r="T155" s="2">
        <f>T12/'Output-Calculation-sheet'!T11*'Output-Calculation-sheet'!T128</f>
        <v>221721578.28055108</v>
      </c>
      <c r="U155" s="2">
        <f>U12/'Output-Calculation-sheet'!U11*'Output-Calculation-sheet'!U128</f>
        <v>454465639.24135578</v>
      </c>
      <c r="V155" s="2">
        <f>V12/'Output-Calculation-sheet'!V11*'Output-Calculation-sheet'!V128</f>
        <v>99818889.131042182</v>
      </c>
      <c r="W155" s="2">
        <f>W12/'Output-Calculation-sheet'!W11*'Output-Calculation-sheet'!W128</f>
        <v>121465014.85442057</v>
      </c>
      <c r="X155" s="2">
        <f>X12/'Output-Calculation-sheet'!X11*'Output-Calculation-sheet'!X128</f>
        <v>4149542.5169180175</v>
      </c>
      <c r="Y155" s="2">
        <f>Y12/'Output-Calculation-sheet'!Y11*'Output-Calculation-sheet'!Y128</f>
        <v>24446621.98696221</v>
      </c>
      <c r="AA155" s="2">
        <f t="shared" si="13"/>
        <v>21079.865644578276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5922.8652290752007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1794.1070986413049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1246.2580218949963</v>
      </c>
      <c r="N19" s="2">
        <f>N8/'Output-Calculation-sheet'!N7*'Output-Calculation-sheet'!N25</f>
        <v>1036.7394028769183</v>
      </c>
      <c r="O19" s="2">
        <f>O8/'Output-Calculation-sheet'!O7*'Output-Calculation-sheet'!O25</f>
        <v>650.6660376838588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134.87978540268784</v>
      </c>
      <c r="Y19" s="2">
        <f>Y8/'Output-Calculation-sheet'!Y7*'Output-Calculation-sheet'!Y25</f>
        <v>0</v>
      </c>
      <c r="AA19" s="2">
        <f t="shared" si="0"/>
        <v>12.523831711775092</v>
      </c>
    </row>
    <row r="20" spans="1:27" x14ac:dyDescent="0.25">
      <c r="A20" s="2">
        <v>2032</v>
      </c>
      <c r="B20" s="2">
        <f>B9/'Output-Calculation-sheet'!B8*'Output-Calculation-sheet'!B26</f>
        <v>6060.8962722300912</v>
      </c>
      <c r="C20" s="2">
        <f>C9/'Output-Calculation-sheet'!C8*'Output-Calculation-sheet'!C26</f>
        <v>3323.6475471472818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1995.2020336423066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1394.2609508570006</v>
      </c>
      <c r="N20" s="2">
        <f>N9/'Output-Calculation-sheet'!N8*'Output-Calculation-sheet'!N26</f>
        <v>966.26083234594125</v>
      </c>
      <c r="O20" s="2">
        <f>O9/'Output-Calculation-sheet'!O8*'Output-Calculation-sheet'!O26</f>
        <v>649.37913652187081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458.34892869506393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151.71595453750999</v>
      </c>
      <c r="Y20" s="2">
        <f>Y9/'Output-Calculation-sheet'!Y8*'Output-Calculation-sheet'!Y26</f>
        <v>0</v>
      </c>
      <c r="AA20" s="2">
        <f t="shared" si="0"/>
        <v>14.999711655977068</v>
      </c>
    </row>
    <row r="21" spans="1:27" x14ac:dyDescent="0.25">
      <c r="A21" s="2">
        <v>2033</v>
      </c>
      <c r="B21" s="2">
        <f>B10/'Output-Calculation-sheet'!B9*'Output-Calculation-sheet'!B27</f>
        <v>5250.9045853247426</v>
      </c>
      <c r="C21" s="2">
        <f>C10/'Output-Calculation-sheet'!C9*'Output-Calculation-sheet'!C27</f>
        <v>3227.4281775156669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1058.1987988597623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749.00183925954639</v>
      </c>
      <c r="N21" s="2">
        <f>N10/'Output-Calculation-sheet'!N9*'Output-Calculation-sheet'!N27</f>
        <v>758.51213421328202</v>
      </c>
      <c r="O21" s="2">
        <f>O10/'Output-Calculation-sheet'!O9*'Output-Calculation-sheet'!O27</f>
        <v>631.86124343395556</v>
      </c>
      <c r="P21" s="2">
        <f>P10/'Output-Calculation-sheet'!P9*'Output-Calculation-sheet'!P27</f>
        <v>0</v>
      </c>
      <c r="Q21" s="2">
        <f>Q10/'Output-Calculation-sheet'!Q9*'Output-Calculation-sheet'!Q27</f>
        <v>9.1869603715086257</v>
      </c>
      <c r="R21" s="2">
        <f>R10/'Output-Calculation-sheet'!R9*'Output-Calculation-sheet'!R27</f>
        <v>0</v>
      </c>
      <c r="S21" s="2">
        <f>S10/'Output-Calculation-sheet'!S9*'Output-Calculation-sheet'!S27</f>
        <v>361.17539487438523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74.791052654571388</v>
      </c>
      <c r="Y21" s="2">
        <f>Y10/'Output-Calculation-sheet'!Y9*'Output-Calculation-sheet'!Y27</f>
        <v>0</v>
      </c>
      <c r="AA21" s="2">
        <f t="shared" si="0"/>
        <v>12.121060186507423</v>
      </c>
    </row>
    <row r="22" spans="1:27" x14ac:dyDescent="0.25">
      <c r="A22" s="2">
        <v>2034</v>
      </c>
      <c r="B22" s="2">
        <f>B11/'Output-Calculation-sheet'!B10*'Output-Calculation-sheet'!B28</f>
        <v>3923.4839673772626</v>
      </c>
      <c r="C22" s="2">
        <f>C11/'Output-Calculation-sheet'!C10*'Output-Calculation-sheet'!C28</f>
        <v>398.78011747483987</v>
      </c>
      <c r="D22" s="2">
        <f>D11/'Output-Calculation-sheet'!D10*'Output-Calculation-sheet'!D28</f>
        <v>0</v>
      </c>
      <c r="E22" s="2">
        <f>E11/'Output-Calculation-sheet'!E10*'Output-Calculation-sheet'!E28</f>
        <v>1324.1654720799784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1050.019292406258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803.06387783211437</v>
      </c>
      <c r="M22" s="2">
        <f>M11/'Output-Calculation-sheet'!M10*'Output-Calculation-sheet'!M28</f>
        <v>747.29472806535</v>
      </c>
      <c r="N22" s="2">
        <f>N11/'Output-Calculation-sheet'!N10*'Output-Calculation-sheet'!N28</f>
        <v>499.57078916392516</v>
      </c>
      <c r="O22" s="2">
        <f>O11/'Output-Calculation-sheet'!O10*'Output-Calculation-sheet'!O28</f>
        <v>78.221648123304334</v>
      </c>
      <c r="P22" s="2">
        <f>P11/'Output-Calculation-sheet'!P10*'Output-Calculation-sheet'!P28</f>
        <v>0</v>
      </c>
      <c r="Q22" s="2">
        <f>Q11/'Output-Calculation-sheet'!Q10*'Output-Calculation-sheet'!Q28</f>
        <v>255.15358955177163</v>
      </c>
      <c r="R22" s="2">
        <f>R11/'Output-Calculation-sheet'!R10*'Output-Calculation-sheet'!R28</f>
        <v>0</v>
      </c>
      <c r="S22" s="2">
        <f>S11/'Output-Calculation-sheet'!S10*'Output-Calculation-sheet'!S28</f>
        <v>187.0551524111992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73.426910114019179</v>
      </c>
      <c r="Y22" s="2">
        <f>Y11/'Output-Calculation-sheet'!Y10*'Output-Calculation-sheet'!Y28</f>
        <v>29.930882492311586</v>
      </c>
      <c r="AA22" s="2">
        <f t="shared" si="0"/>
        <v>9.3701664270923359</v>
      </c>
    </row>
    <row r="23" spans="1:27" x14ac:dyDescent="0.25">
      <c r="A23" s="2">
        <v>2035</v>
      </c>
      <c r="B23" s="2">
        <f>B12/'Output-Calculation-sheet'!B11*'Output-Calculation-sheet'!B29</f>
        <v>741.51210801943068</v>
      </c>
      <c r="C23" s="2">
        <f>C12/'Output-Calculation-sheet'!C11*'Output-Calculation-sheet'!C29</f>
        <v>153.88430841870962</v>
      </c>
      <c r="D23" s="2">
        <f>D12/'Output-Calculation-sheet'!D11*'Output-Calculation-sheet'!D29</f>
        <v>0</v>
      </c>
      <c r="E23" s="2">
        <f>E12/'Output-Calculation-sheet'!E11*'Output-Calculation-sheet'!E29</f>
        <v>1896.5949048612817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266.73028060153877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1093.5121552645408</v>
      </c>
      <c r="M23" s="2">
        <f>M12/'Output-Calculation-sheet'!M11*'Output-Calculation-sheet'!M29</f>
        <v>237.70895039005975</v>
      </c>
      <c r="N23" s="2">
        <f>N12/'Output-Calculation-sheet'!N11*'Output-Calculation-sheet'!N29</f>
        <v>197.91703081222531</v>
      </c>
      <c r="O23" s="2">
        <f>O12/'Output-Calculation-sheet'!O11*'Output-Calculation-sheet'!O29</f>
        <v>26.29591713784567</v>
      </c>
      <c r="P23" s="2">
        <f>P12/'Output-Calculation-sheet'!P11*'Output-Calculation-sheet'!P29</f>
        <v>41.188038197012887</v>
      </c>
      <c r="Q23" s="2">
        <f>Q12/'Output-Calculation-sheet'!Q11*'Output-Calculation-sheet'!Q29</f>
        <v>337.38005763615837</v>
      </c>
      <c r="R23" s="2">
        <f>R12/'Output-Calculation-sheet'!R11*'Output-Calculation-sheet'!R29</f>
        <v>0</v>
      </c>
      <c r="S23" s="2">
        <f>S12/'Output-Calculation-sheet'!S11*'Output-Calculation-sheet'!S29</f>
        <v>88.866386789672589</v>
      </c>
      <c r="T23" s="2">
        <f>T12/'Output-Calculation-sheet'!T11*'Output-Calculation-sheet'!T29</f>
        <v>0</v>
      </c>
      <c r="U23" s="2">
        <f>U12/'Output-Calculation-sheet'!U11*'Output-Calculation-sheet'!U29</f>
        <v>119.64710171269479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7.7815155852468578</v>
      </c>
      <c r="Y23" s="2">
        <f>Y12/'Output-Calculation-sheet'!Y11*'Output-Calculation-sheet'!Y29</f>
        <v>49.498604798419734</v>
      </c>
      <c r="AA23" s="2">
        <f t="shared" si="0"/>
        <v>5.2585173602248387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1181.8609890771634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46.337760307277684</v>
      </c>
    </row>
    <row r="31" spans="1:27" x14ac:dyDescent="0.25">
      <c r="A31" s="2">
        <v>2032</v>
      </c>
      <c r="B31" s="2">
        <f>B9/'Output-Calculation-sheet'!B8*'Output-Calculation-sheet'!B17</f>
        <v>25482.517667505876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996.39329730966142</v>
      </c>
      <c r="O31" s="2">
        <f>O9/'Output-Calculation-sheet'!O8*'Output-Calculation-sheet'!O17</f>
        <v>0</v>
      </c>
      <c r="P31" s="2">
        <f>P9/'Output-Calculation-sheet'!P8*'Output-Calculation-sheet'!P17</f>
        <v>2490.5100511338187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824.68262562144469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58.383658572851857</v>
      </c>
    </row>
    <row r="32" spans="1:27" x14ac:dyDescent="0.25">
      <c r="A32" s="2">
        <v>2033</v>
      </c>
      <c r="B32" s="2">
        <f>B10/'Output-Calculation-sheet'!B9*'Output-Calculation-sheet'!B18</f>
        <v>18993.910141533292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2973.3495050441406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768.78214869058047</v>
      </c>
      <c r="O32" s="2">
        <f>O10/'Output-Calculation-sheet'!O9*'Output-Calculation-sheet'!O18</f>
        <v>0</v>
      </c>
      <c r="P32" s="2">
        <f>P10/'Output-Calculation-sheet'!P9*'Output-Calculation-sheet'!P18</f>
        <v>3060.4831235321953</v>
      </c>
      <c r="Q32" s="2">
        <f>Q10/'Output-Calculation-sheet'!Q9*'Output-Calculation-sheet'!Q18</f>
        <v>2833.5337677059892</v>
      </c>
      <c r="R32" s="2">
        <f>R10/'Output-Calculation-sheet'!R9*'Output-Calculation-sheet'!R18</f>
        <v>2198.195006749444</v>
      </c>
      <c r="S32" s="2">
        <f>S10/'Output-Calculation-sheet'!S9*'Output-Calculation-sheet'!S18</f>
        <v>699.36451772437147</v>
      </c>
      <c r="T32" s="2">
        <f>T10/'Output-Calculation-sheet'!T9*'Output-Calculation-sheet'!T18</f>
        <v>641.6628566195991</v>
      </c>
      <c r="U32" s="2">
        <f>U10/'Output-Calculation-sheet'!U9*'Output-Calculation-sheet'!U18</f>
        <v>709.34960050607049</v>
      </c>
      <c r="V32" s="2">
        <f>V10/'Output-Calculation-sheet'!V9*'Output-Calculation-sheet'!V18</f>
        <v>523.58964848662436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303.16180962618745</v>
      </c>
      <c r="AA32" s="2">
        <f t="shared" si="1"/>
        <v>60.383188087687472</v>
      </c>
    </row>
    <row r="33" spans="1:27" x14ac:dyDescent="0.25">
      <c r="A33" s="2">
        <v>2034</v>
      </c>
      <c r="B33" s="2">
        <f>B11/'Output-Calculation-sheet'!B10*'Output-Calculation-sheet'!B19</f>
        <v>11990.255625434733</v>
      </c>
      <c r="C33" s="2">
        <f>C11/'Output-Calculation-sheet'!C10*'Output-Calculation-sheet'!C19</f>
        <v>0</v>
      </c>
      <c r="D33" s="2">
        <f>D11/'Output-Calculation-sheet'!D10*'Output-Calculation-sheet'!D19</f>
        <v>7947.3728115377626</v>
      </c>
      <c r="E33" s="2">
        <f>E11/'Output-Calculation-sheet'!E10*'Output-Calculation-sheet'!E19</f>
        <v>9852.7356675500196</v>
      </c>
      <c r="F33" s="2">
        <f>F11/'Output-Calculation-sheet'!F10*'Output-Calculation-sheet'!F19</f>
        <v>4511.4100272461401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2952.1555281356696</v>
      </c>
      <c r="J33" s="2">
        <f>J11/'Output-Calculation-sheet'!J10*'Output-Calculation-sheet'!J19</f>
        <v>2496.1546082751624</v>
      </c>
      <c r="K33" s="2">
        <f>K11/'Output-Calculation-sheet'!K10*'Output-Calculation-sheet'!K19</f>
        <v>3462.0823647429029</v>
      </c>
      <c r="L33" s="2">
        <f>L11/'Output-Calculation-sheet'!L10*'Output-Calculation-sheet'!L19</f>
        <v>2816.1561977476749</v>
      </c>
      <c r="M33" s="2">
        <f>M11/'Output-Calculation-sheet'!M10*'Output-Calculation-sheet'!M19</f>
        <v>0</v>
      </c>
      <c r="N33" s="2">
        <f>N11/'Output-Calculation-sheet'!N10*'Output-Calculation-sheet'!N19</f>
        <v>534.5525335773151</v>
      </c>
      <c r="O33" s="2">
        <f>O11/'Output-Calculation-sheet'!O10*'Output-Calculation-sheet'!O19</f>
        <v>0</v>
      </c>
      <c r="P33" s="2">
        <f>P11/'Output-Calculation-sheet'!P10*'Output-Calculation-sheet'!P19</f>
        <v>2654.8084286936291</v>
      </c>
      <c r="Q33" s="2">
        <f>Q11/'Output-Calculation-sheet'!Q10*'Output-Calculation-sheet'!Q19</f>
        <v>1687.3950806631983</v>
      </c>
      <c r="R33" s="2">
        <f>R11/'Output-Calculation-sheet'!R10*'Output-Calculation-sheet'!R19</f>
        <v>2501.0916268830129</v>
      </c>
      <c r="S33" s="2">
        <f>S11/'Output-Calculation-sheet'!S10*'Output-Calculation-sheet'!S19</f>
        <v>339.81454072758709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844.04344717229014</v>
      </c>
      <c r="V33" s="2">
        <f>V11/'Output-Calculation-sheet'!V10*'Output-Calculation-sheet'!V19</f>
        <v>575.58810765374653</v>
      </c>
      <c r="W33" s="2">
        <f>W11/'Output-Calculation-sheet'!W10*'Output-Calculation-sheet'!W19</f>
        <v>358.38868776504484</v>
      </c>
      <c r="X33" s="2">
        <f>X11/'Output-Calculation-sheet'!X10*'Output-Calculation-sheet'!X19</f>
        <v>0</v>
      </c>
      <c r="Y33" s="2">
        <f>Y11/'Output-Calculation-sheet'!Y10*'Output-Calculation-sheet'!Y19</f>
        <v>293.42541093283842</v>
      </c>
      <c r="AA33" s="2">
        <f t="shared" si="1"/>
        <v>59.256667706084144</v>
      </c>
    </row>
    <row r="34" spans="1:27" x14ac:dyDescent="0.25">
      <c r="A34" s="2">
        <v>2035</v>
      </c>
      <c r="B34" s="2">
        <f>B12/'Output-Calculation-sheet'!B11*'Output-Calculation-sheet'!B20</f>
        <v>147.61651620904775</v>
      </c>
      <c r="C34" s="2">
        <f>C12/'Output-Calculation-sheet'!C11*'Output-Calculation-sheet'!C20</f>
        <v>0</v>
      </c>
      <c r="D34" s="2">
        <f>D12/'Output-Calculation-sheet'!D11*'Output-Calculation-sheet'!D20</f>
        <v>7280.9356215823027</v>
      </c>
      <c r="E34" s="2">
        <f>E12/'Output-Calculation-sheet'!E11*'Output-Calculation-sheet'!E20</f>
        <v>3401.6403751284224</v>
      </c>
      <c r="F34" s="2">
        <f>F12/'Output-Calculation-sheet'!F11*'Output-Calculation-sheet'!F20</f>
        <v>4621.4133940758302</v>
      </c>
      <c r="G34" s="2">
        <f>G12/'Output-Calculation-sheet'!G11*'Output-Calculation-sheet'!G20</f>
        <v>2481.8946589066418</v>
      </c>
      <c r="H34" s="2">
        <f>H12/'Output-Calculation-sheet'!H11*'Output-Calculation-sheet'!H20</f>
        <v>0</v>
      </c>
      <c r="I34" s="2">
        <f>I12/'Output-Calculation-sheet'!I11*'Output-Calculation-sheet'!I20</f>
        <v>2757.437658260048</v>
      </c>
      <c r="J34" s="2">
        <f>J12/'Output-Calculation-sheet'!J11*'Output-Calculation-sheet'!J20</f>
        <v>2387.7906904429101</v>
      </c>
      <c r="K34" s="2">
        <f>K12/'Output-Calculation-sheet'!K11*'Output-Calculation-sheet'!K20</f>
        <v>3364.2319233886801</v>
      </c>
      <c r="L34" s="2">
        <f>L12/'Output-Calculation-sheet'!L11*'Output-Calculation-sheet'!L20</f>
        <v>1863.0284424903543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740.75700622590148</v>
      </c>
      <c r="Q34" s="2">
        <f>Q12/'Output-Calculation-sheet'!Q11*'Output-Calculation-sheet'!Q20</f>
        <v>700.83329208665009</v>
      </c>
      <c r="R34" s="2">
        <f>R12/'Output-Calculation-sheet'!R11*'Output-Calculation-sheet'!R20</f>
        <v>2483.688720792703</v>
      </c>
      <c r="S34" s="2">
        <f>S12/'Output-Calculation-sheet'!S11*'Output-Calculation-sheet'!S20</f>
        <v>1.9875084689060249</v>
      </c>
      <c r="T34" s="2">
        <f>T12/'Output-Calculation-sheet'!T11*'Output-Calculation-sheet'!T20</f>
        <v>740.7704926254487</v>
      </c>
      <c r="U34" s="2">
        <f>U12/'Output-Calculation-sheet'!U11*'Output-Calculation-sheet'!U20</f>
        <v>674.20880417469277</v>
      </c>
      <c r="V34" s="2">
        <f>V12/'Output-Calculation-sheet'!V11*'Output-Calculation-sheet'!V20</f>
        <v>650.70857993904997</v>
      </c>
      <c r="W34" s="2">
        <f>W12/'Output-Calculation-sheet'!W11*'Output-Calculation-sheet'!W20</f>
        <v>395.78994123495221</v>
      </c>
      <c r="X34" s="2">
        <f>X12/'Output-Calculation-sheet'!X11*'Output-Calculation-sheet'!X20</f>
        <v>0</v>
      </c>
      <c r="Y34" s="2">
        <f>Y12/'Output-Calculation-sheet'!Y11*'Output-Calculation-sheet'!Y20</f>
        <v>85.136298379423891</v>
      </c>
      <c r="AA34" s="2">
        <f t="shared" si="1"/>
        <v>34.779869924411955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0.12421321599042381</v>
      </c>
      <c r="E45" s="2">
        <f>E12/'Output-Calculation-sheet'!E11*'Output-Calculation-sheet'!E38*0.0114</f>
        <v>6.5810993717307045E-2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1.0880631785500521E-2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0.70400148804750629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0.16247546786376207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194.85069310900391</v>
      </c>
      <c r="R54" s="2">
        <f>R10/'Output-Calculation-sheet'!R9*'Output-Calculation-sheet'!R45</f>
        <v>1457.6567978915691</v>
      </c>
      <c r="S54" s="2">
        <f>S10/'Output-Calculation-sheet'!S9*'Output-Calculation-sheet'!S45</f>
        <v>0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18.181008719209796</v>
      </c>
      <c r="AA54" s="2">
        <f t="shared" si="3"/>
        <v>4.7987236107379321</v>
      </c>
    </row>
    <row r="55" spans="1:27" x14ac:dyDescent="0.25">
      <c r="A55" s="2">
        <v>2034</v>
      </c>
      <c r="B55" s="2">
        <f>B11/'Output-Calculation-sheet'!B10*'Output-Calculation-sheet'!B46</f>
        <v>1467.9956889785644</v>
      </c>
      <c r="C55" s="2">
        <f>C11/'Output-Calculation-sheet'!C10*'Output-Calculation-sheet'!C46</f>
        <v>0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532.39626408425227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394.60099064185061</v>
      </c>
      <c r="N55" s="2">
        <f>N11/'Output-Calculation-sheet'!N10*'Output-Calculation-sheet'!N46</f>
        <v>134.7627854184411</v>
      </c>
      <c r="O55" s="2">
        <f>O11/'Output-Calculation-sheet'!O10*'Output-Calculation-sheet'!O46</f>
        <v>0</v>
      </c>
      <c r="P55" s="2">
        <f>P11/'Output-Calculation-sheet'!P10*'Output-Calculation-sheet'!P46</f>
        <v>2873.8882361907886</v>
      </c>
      <c r="Q55" s="2">
        <f>Q11/'Output-Calculation-sheet'!Q10*'Output-Calculation-sheet'!Q46</f>
        <v>628.21957729754536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0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74.118343225906813</v>
      </c>
      <c r="X55" s="2">
        <f>X11/'Output-Calculation-sheet'!X10*'Output-Calculation-sheet'!X46</f>
        <v>37.662186195548365</v>
      </c>
      <c r="Y55" s="2">
        <f>Y11/'Output-Calculation-sheet'!Y10*'Output-Calculation-sheet'!Y46</f>
        <v>261.94799369097314</v>
      </c>
      <c r="AA55" s="2">
        <f t="shared" si="3"/>
        <v>39.061175367036448</v>
      </c>
    </row>
    <row r="56" spans="1:27" x14ac:dyDescent="0.25">
      <c r="A56" s="2">
        <v>2035</v>
      </c>
      <c r="B56" s="2">
        <f>B12/'Output-Calculation-sheet'!B11*'Output-Calculation-sheet'!B47</f>
        <v>362.82149349133925</v>
      </c>
      <c r="C56" s="2">
        <f>C12/'Output-Calculation-sheet'!C11*'Output-Calculation-sheet'!C47</f>
        <v>295.2059630754315</v>
      </c>
      <c r="D56" s="2">
        <f>D12/'Output-Calculation-sheet'!D11*'Output-Calculation-sheet'!D47</f>
        <v>12000.013614981293</v>
      </c>
      <c r="E56" s="2">
        <f>E12/'Output-Calculation-sheet'!E11*'Output-Calculation-sheet'!E47</f>
        <v>8341.832098377954</v>
      </c>
      <c r="F56" s="2">
        <f>F12/'Output-Calculation-sheet'!F11*'Output-Calculation-sheet'!F47</f>
        <v>2490.6967526371041</v>
      </c>
      <c r="G56" s="2">
        <f>G12/'Output-Calculation-sheet'!G11*'Output-Calculation-sheet'!G47</f>
        <v>5569.7610835503001</v>
      </c>
      <c r="H56" s="2">
        <f>H12/'Output-Calculation-sheet'!H11*'Output-Calculation-sheet'!H47</f>
        <v>111.06767373261826</v>
      </c>
      <c r="I56" s="2">
        <f>I12/'Output-Calculation-sheet'!I11*'Output-Calculation-sheet'!I47</f>
        <v>3272.9751959764453</v>
      </c>
      <c r="J56" s="2">
        <f>J12/'Output-Calculation-sheet'!J11*'Output-Calculation-sheet'!J47</f>
        <v>3467.6305635611211</v>
      </c>
      <c r="K56" s="2">
        <f>K12/'Output-Calculation-sheet'!K11*'Output-Calculation-sheet'!K47</f>
        <v>4792.3958243079751</v>
      </c>
      <c r="L56" s="2">
        <f>L12/'Output-Calculation-sheet'!L11*'Output-Calculation-sheet'!L47</f>
        <v>3208.0884327538583</v>
      </c>
      <c r="M56" s="2">
        <f>M12/'Output-Calculation-sheet'!M11*'Output-Calculation-sheet'!M47</f>
        <v>73.819958288535602</v>
      </c>
      <c r="N56" s="2">
        <f>N12/'Output-Calculation-sheet'!N11*'Output-Calculation-sheet'!N47</f>
        <v>81.088699868294881</v>
      </c>
      <c r="O56" s="2">
        <f>O12/'Output-Calculation-sheet'!O11*'Output-Calculation-sheet'!O47</f>
        <v>54.16418881572428</v>
      </c>
      <c r="P56" s="2">
        <f>P12/'Output-Calculation-sheet'!P11*'Output-Calculation-sheet'!P47</f>
        <v>1044.8212932636852</v>
      </c>
      <c r="Q56" s="2">
        <f>Q12/'Output-Calculation-sheet'!Q11*'Output-Calculation-sheet'!Q47</f>
        <v>771.78517876296564</v>
      </c>
      <c r="R56" s="2">
        <f>R12/'Output-Calculation-sheet'!R11*'Output-Calculation-sheet'!R47</f>
        <v>4358.6068154146024</v>
      </c>
      <c r="S56" s="2">
        <f>S12/'Output-Calculation-sheet'!S11*'Output-Calculation-sheet'!S47</f>
        <v>36.207687518228909</v>
      </c>
      <c r="T56" s="2">
        <f>T12/'Output-Calculation-sheet'!T11*'Output-Calculation-sheet'!T47</f>
        <v>1582.6131119541437</v>
      </c>
      <c r="U56" s="2">
        <f>U12/'Output-Calculation-sheet'!U11*'Output-Calculation-sheet'!U47</f>
        <v>1474.8505496969017</v>
      </c>
      <c r="V56" s="2">
        <f>V12/'Output-Calculation-sheet'!V11*'Output-Calculation-sheet'!V47</f>
        <v>907.80380641844374</v>
      </c>
      <c r="W56" s="2">
        <f>W12/'Output-Calculation-sheet'!W11*'Output-Calculation-sheet'!W47</f>
        <v>536.9160022549579</v>
      </c>
      <c r="X56" s="2">
        <f>X12/'Output-Calculation-sheet'!X11*'Output-Calculation-sheet'!X47</f>
        <v>8.2887489093059976</v>
      </c>
      <c r="Y56" s="2">
        <f>Y12/'Output-Calculation-sheet'!Y11*'Output-Calculation-sheet'!Y47</f>
        <v>177.72049206198125</v>
      </c>
      <c r="AA56" s="2">
        <f t="shared" si="3"/>
        <v>55.021175229673226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8.5458155323577252</v>
      </c>
      <c r="C63" s="2">
        <f>C8*'Output-Calculation-sheet'!C52/10^9</f>
        <v>4.5656141726691502</v>
      </c>
      <c r="D63" s="2">
        <f>D8*'Output-Calculation-sheet'!D52/10^9</f>
        <v>2.9305432847417796</v>
      </c>
      <c r="E63" s="2">
        <f>E8*'Output-Calculation-sheet'!E52/10^9</f>
        <v>2.9137461088996179</v>
      </c>
      <c r="F63" s="2">
        <f>F8*'Output-Calculation-sheet'!F52/10^9</f>
        <v>1.2339712362408328</v>
      </c>
      <c r="G63" s="2">
        <f>G8*'Output-Calculation-sheet'!G52/10^9</f>
        <v>0.8871695727970258</v>
      </c>
      <c r="H63" s="2">
        <f>H8*'Output-Calculation-sheet'!H52/10^9</f>
        <v>1.4428960820187835</v>
      </c>
      <c r="I63" s="2">
        <f>I8*'Output-Calculation-sheet'!I52/10^9</f>
        <v>0.82527367018203068</v>
      </c>
      <c r="J63" s="2">
        <f>J8*'Output-Calculation-sheet'!J52/10^9</f>
        <v>1.1356325088139434</v>
      </c>
      <c r="K63" s="2">
        <f>K8*'Output-Calculation-sheet'!K52/10^9</f>
        <v>0.99775416448085075</v>
      </c>
      <c r="L63" s="2">
        <f>L8*'Output-Calculation-sheet'!L52/10^9</f>
        <v>1.3420273573691113</v>
      </c>
      <c r="M63" s="2">
        <f>M8*'Output-Calculation-sheet'!M52/10^9</f>
        <v>1.1820680330708415</v>
      </c>
      <c r="N63" s="2">
        <f>N8*'Output-Calculation-sheet'!N52/10^9</f>
        <v>1.0430036867829393</v>
      </c>
      <c r="O63" s="2">
        <f>O8*'Output-Calculation-sheet'!O52/10^9</f>
        <v>0.93408524639170154</v>
      </c>
      <c r="P63" s="2">
        <f>P8*'Output-Calculation-sheet'!P52/10^9</f>
        <v>0.68942121324300787</v>
      </c>
      <c r="Q63" s="2">
        <f>Q8*'Output-Calculation-sheet'!Q52/10^9</f>
        <v>0.78022278132728706</v>
      </c>
      <c r="R63" s="2">
        <f>R8*'Output-Calculation-sheet'!R52/10^9</f>
        <v>0.70048518320885944</v>
      </c>
      <c r="S63" s="2">
        <f>S8*'Output-Calculation-sheet'!S52/10^9</f>
        <v>0.51908434018026839</v>
      </c>
      <c r="T63" s="2">
        <f>T8*'Output-Calculation-sheet'!T52/10^9</f>
        <v>0.26631446025398275</v>
      </c>
      <c r="U63" s="2">
        <f>U8*'Output-Calculation-sheet'!U52/10^9</f>
        <v>0.18290191756644894</v>
      </c>
      <c r="V63" s="2">
        <f>V8*'Output-Calculation-sheet'!V52/10^9</f>
        <v>0.32460768056836564</v>
      </c>
      <c r="W63" s="2">
        <f>W8*'Output-Calculation-sheet'!W52/10^9</f>
        <v>0.11749277234212857</v>
      </c>
      <c r="X63" s="2">
        <f>X8*'Output-Calculation-sheet'!X52/10^9</f>
        <v>0.1210623748078018</v>
      </c>
      <c r="Y63" s="2">
        <f>Y8*'Output-Calculation-sheet'!Y52/10^9</f>
        <v>7.6660765591163055E-2</v>
      </c>
      <c r="AA63" s="2">
        <f t="shared" si="4"/>
        <v>33.757854145905647</v>
      </c>
    </row>
    <row r="64" spans="1:27" x14ac:dyDescent="0.25">
      <c r="A64" s="2">
        <v>2032</v>
      </c>
      <c r="B64" s="2">
        <f>B9*'Output-Calculation-sheet'!B53/10^9</f>
        <v>8.6896222002393948</v>
      </c>
      <c r="C64" s="2">
        <f>C9*'Output-Calculation-sheet'!C53/10^9</f>
        <v>4.6066371050000132</v>
      </c>
      <c r="D64" s="2">
        <f>D9*'Output-Calculation-sheet'!D53/10^9</f>
        <v>2.5735829030569848</v>
      </c>
      <c r="E64" s="2">
        <f>E9*'Output-Calculation-sheet'!E53/10^9</f>
        <v>2.6354621249746737</v>
      </c>
      <c r="F64" s="2">
        <f>F9*'Output-Calculation-sheet'!F53/10^9</f>
        <v>1.1116213986099412</v>
      </c>
      <c r="G64" s="2">
        <f>G9*'Output-Calculation-sheet'!G53/10^9</f>
        <v>0.7912181058080906</v>
      </c>
      <c r="H64" s="2">
        <f>H9*'Output-Calculation-sheet'!H53/10^9</f>
        <v>1.4457588798846961</v>
      </c>
      <c r="I64" s="2">
        <f>I9*'Output-Calculation-sheet'!I53/10^9</f>
        <v>0.73965961512765155</v>
      </c>
      <c r="J64" s="2">
        <f>J9*'Output-Calculation-sheet'!J53/10^9</f>
        <v>0.97915904266607012</v>
      </c>
      <c r="K64" s="2">
        <f>K9*'Output-Calculation-sheet'!K53/10^9</f>
        <v>0.90852637356847843</v>
      </c>
      <c r="L64" s="2">
        <f>L9*'Output-Calculation-sheet'!L53/10^9</f>
        <v>1.168816464075257</v>
      </c>
      <c r="M64" s="2">
        <f>M9*'Output-Calculation-sheet'!M53/10^9</f>
        <v>1.1470405772249932</v>
      </c>
      <c r="N64" s="2">
        <f>N9*'Output-Calculation-sheet'!N53/10^9</f>
        <v>1.0327071366869618</v>
      </c>
      <c r="O64" s="2">
        <f>O9*'Output-Calculation-sheet'!O53/10^9</f>
        <v>0.93287851160934876</v>
      </c>
      <c r="P64" s="2">
        <f>P9*'Output-Calculation-sheet'!P53/10^9</f>
        <v>0.69269385080128121</v>
      </c>
      <c r="Q64" s="2">
        <f>Q9*'Output-Calculation-sheet'!Q53/10^9</f>
        <v>0.76552628876105533</v>
      </c>
      <c r="R64" s="2">
        <f>R9*'Output-Calculation-sheet'!R53/10^9</f>
        <v>0.65623680987563249</v>
      </c>
      <c r="S64" s="2">
        <f>S9*'Output-Calculation-sheet'!S53/10^9</f>
        <v>0.52805539787464684</v>
      </c>
      <c r="T64" s="2">
        <f>T9*'Output-Calculation-sheet'!T53/10^9</f>
        <v>0.23589911459477661</v>
      </c>
      <c r="U64" s="2">
        <f>U9*'Output-Calculation-sheet'!U53/10^9</f>
        <v>0.17755634516208191</v>
      </c>
      <c r="V64" s="2">
        <f>V9*'Output-Calculation-sheet'!V53/10^9</f>
        <v>0.27999629703643064</v>
      </c>
      <c r="W64" s="2">
        <f>W9*'Output-Calculation-sheet'!W53/10^9</f>
        <v>0.10404139734789034</v>
      </c>
      <c r="X64" s="2">
        <f>X9*'Output-Calculation-sheet'!X53/10^9</f>
        <v>0.11928197356320912</v>
      </c>
      <c r="Y64" s="2">
        <f>Y9*'Output-Calculation-sheet'!Y53/10^9</f>
        <v>7.2894836277314093E-2</v>
      </c>
      <c r="AA64" s="2">
        <f t="shared" si="4"/>
        <v>32.394872749826874</v>
      </c>
    </row>
    <row r="65" spans="1:27" x14ac:dyDescent="0.25">
      <c r="A65" s="2">
        <v>2033</v>
      </c>
      <c r="B65" s="2">
        <f>B10*'Output-Calculation-sheet'!B54/10^9</f>
        <v>8.2466737799863523</v>
      </c>
      <c r="C65" s="2">
        <f>C10*'Output-Calculation-sheet'!C54/10^9</f>
        <v>4.2628534678335175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1.3386798642790965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0.77990085661272568</v>
      </c>
      <c r="L65" s="2">
        <f>L10*'Output-Calculation-sheet'!L54/10^9</f>
        <v>0.92121556001939608</v>
      </c>
      <c r="M65" s="2">
        <f>M10*'Output-Calculation-sheet'!M54/10^9</f>
        <v>1.0208286505478108</v>
      </c>
      <c r="N65" s="2">
        <f>N10*'Output-Calculation-sheet'!N54/10^9</f>
        <v>0.93673537849420285</v>
      </c>
      <c r="O65" s="2">
        <f>O10*'Output-Calculation-sheet'!O54/10^9</f>
        <v>0.85429468497979288</v>
      </c>
      <c r="P65" s="2">
        <f>P10*'Output-Calculation-sheet'!P54/10^9</f>
        <v>0.65987567546833215</v>
      </c>
      <c r="Q65" s="2">
        <f>Q10*'Output-Calculation-sheet'!Q54/10^9</f>
        <v>0.71882418065237519</v>
      </c>
      <c r="R65" s="2">
        <f>R10*'Output-Calculation-sheet'!R54/10^9</f>
        <v>0.58100029257376684</v>
      </c>
      <c r="S65" s="2">
        <f>S10*'Output-Calculation-sheet'!S54/10^9</f>
        <v>0.49412655800106364</v>
      </c>
      <c r="T65" s="2">
        <f>T10*'Output-Calculation-sheet'!T54/10^9</f>
        <v>0.19423650202699233</v>
      </c>
      <c r="U65" s="2">
        <f>U10*'Output-Calculation-sheet'!U54/10^9</f>
        <v>0.16771937329341791</v>
      </c>
      <c r="V65" s="2">
        <f>V10*'Output-Calculation-sheet'!V54/10^9</f>
        <v>0.21496015503039995</v>
      </c>
      <c r="W65" s="2">
        <f>W10*'Output-Calculation-sheet'!W54/10^9</f>
        <v>8.184027464150094E-2</v>
      </c>
      <c r="X65" s="2">
        <f>X10*'Output-Calculation-sheet'!X54/10^9</f>
        <v>0.10703460486347866</v>
      </c>
      <c r="Y65" s="2">
        <f>Y10*'Output-Calculation-sheet'!Y54/10^9</f>
        <v>6.7364511866048443E-2</v>
      </c>
      <c r="AA65" s="2">
        <f t="shared" si="4"/>
        <v>28.788321556871661</v>
      </c>
    </row>
    <row r="66" spans="1:27" x14ac:dyDescent="0.25">
      <c r="A66" s="2">
        <v>2034</v>
      </c>
      <c r="B66" s="2">
        <f>B11*'Output-Calculation-sheet'!B55/10^9</f>
        <v>7.2644220117225595</v>
      </c>
      <c r="C66" s="2">
        <f>C11*'Output-Calculation-sheet'!C55/10^9</f>
        <v>3.6542915887250733</v>
      </c>
      <c r="D66" s="2">
        <f>D11*'Output-Calculation-sheet'!D55/10^9</f>
        <v>1.6394654122407484</v>
      </c>
      <c r="E66" s="2">
        <f>E11*'Output-Calculation-sheet'!E55/10^9</f>
        <v>1.9852763399508004</v>
      </c>
      <c r="F66" s="2">
        <f>F11*'Output-Calculation-sheet'!F55/10^9</f>
        <v>0.76297547673749577</v>
      </c>
      <c r="G66" s="2">
        <f>G11*'Output-Calculation-sheet'!G55/10^9</f>
        <v>0.54535824878648564</v>
      </c>
      <c r="H66" s="2">
        <f>H11*'Output-Calculation-sheet'!H55/10^9</f>
        <v>1.1380226720289646</v>
      </c>
      <c r="I66" s="2">
        <f>I11*'Output-Calculation-sheet'!I55/10^9</f>
        <v>0.53329430168080283</v>
      </c>
      <c r="J66" s="2">
        <f>J11*'Output-Calculation-sheet'!J55/10^9</f>
        <v>0.54840561635607343</v>
      </c>
      <c r="K66" s="2">
        <f>K11*'Output-Calculation-sheet'!K55/10^9</f>
        <v>0.65591924637860421</v>
      </c>
      <c r="L66" s="2">
        <f>L11*'Output-Calculation-sheet'!L55/10^9</f>
        <v>0.69464137480221078</v>
      </c>
      <c r="M66" s="2">
        <f>M11*'Output-Calculation-sheet'!M55/10^9</f>
        <v>0.82953989652448479</v>
      </c>
      <c r="N66" s="2">
        <f>N11*'Output-Calculation-sheet'!N55/10^9</f>
        <v>0.78367541747246727</v>
      </c>
      <c r="O66" s="2">
        <f>O11*'Output-Calculation-sheet'!O55/10^9</f>
        <v>0.72027317454528617</v>
      </c>
      <c r="P66" s="2">
        <f>P11*'Output-Calculation-sheet'!P55/10^9</f>
        <v>0.60146607531653062</v>
      </c>
      <c r="Q66" s="2">
        <f>Q11*'Output-Calculation-sheet'!Q55/10^9</f>
        <v>0.63621454534831423</v>
      </c>
      <c r="R66" s="2">
        <f>R11*'Output-Calculation-sheet'!R55/10^9</f>
        <v>0.49135698971421088</v>
      </c>
      <c r="S66" s="2">
        <f>S11*'Output-Calculation-sheet'!S55/10^9</f>
        <v>0.42861824611044053</v>
      </c>
      <c r="T66" s="2">
        <f>T11*'Output-Calculation-sheet'!T55/10^9</f>
        <v>0.15401595405832216</v>
      </c>
      <c r="U66" s="2">
        <f>U11*'Output-Calculation-sheet'!U55/10^9</f>
        <v>0.15724816157132276</v>
      </c>
      <c r="V66" s="2">
        <f>V11*'Output-Calculation-sheet'!V55/10^9</f>
        <v>0.14610586045903451</v>
      </c>
      <c r="W66" s="2">
        <f>W11*'Output-Calculation-sheet'!W55/10^9</f>
        <v>6.6156640122582322E-2</v>
      </c>
      <c r="X66" s="2">
        <f>X11*'Output-Calculation-sheet'!X55/10^9</f>
        <v>8.8629585927249011E-2</v>
      </c>
      <c r="Y66" s="2">
        <f>Y11*'Output-Calculation-sheet'!Y55/10^9</f>
        <v>6.467938729168525E-2</v>
      </c>
      <c r="AA66" s="2">
        <f t="shared" si="4"/>
        <v>24.590052223871755</v>
      </c>
    </row>
    <row r="67" spans="1:27" x14ac:dyDescent="0.25">
      <c r="A67" s="2">
        <v>2035</v>
      </c>
      <c r="B67" s="2">
        <f>B12*'Output-Calculation-sheet'!B56/10^9</f>
        <v>6.1133271573633925</v>
      </c>
      <c r="C67" s="2">
        <f>C12*'Output-Calculation-sheet'!C56/10^9</f>
        <v>2.8599810766340621</v>
      </c>
      <c r="D67" s="2">
        <f>D12*'Output-Calculation-sheet'!D56/10^9</f>
        <v>1.559964199896501</v>
      </c>
      <c r="E67" s="2">
        <f>E12*'Output-Calculation-sheet'!E56/10^9</f>
        <v>1.9078687024415437</v>
      </c>
      <c r="F67" s="2">
        <f>F12*'Output-Calculation-sheet'!F56/10^9</f>
        <v>0.77214954482018883</v>
      </c>
      <c r="G67" s="2">
        <f>G12*'Output-Calculation-sheet'!G56/10^9</f>
        <v>0.5667628400077025</v>
      </c>
      <c r="H67" s="2">
        <f>H12*'Output-Calculation-sheet'!H56/10^9</f>
        <v>0.90386179301331637</v>
      </c>
      <c r="I67" s="2">
        <f>I12*'Output-Calculation-sheet'!I56/10^9</f>
        <v>0.53536472487962794</v>
      </c>
      <c r="J67" s="2">
        <f>J12*'Output-Calculation-sheet'!J56/10^9</f>
        <v>0.49729552783739617</v>
      </c>
      <c r="K67" s="2">
        <f>K12*'Output-Calculation-sheet'!K56/10^9</f>
        <v>0.61104821049005742</v>
      </c>
      <c r="L67" s="2">
        <f>L12*'Output-Calculation-sheet'!L56/10^9</f>
        <v>0.58339947130180936</v>
      </c>
      <c r="M67" s="2">
        <f>M12*'Output-Calculation-sheet'!M56/10^9</f>
        <v>0.62914417179539228</v>
      </c>
      <c r="N67" s="2">
        <f>N12*'Output-Calculation-sheet'!N56/10^9</f>
        <v>0.61308023736633943</v>
      </c>
      <c r="O67" s="2">
        <f>O12*'Output-Calculation-sheet'!O56/10^9</f>
        <v>0.55590158880361806</v>
      </c>
      <c r="P67" s="2">
        <f>P12*'Output-Calculation-sheet'!P56/10^9</f>
        <v>0.54057611708240028</v>
      </c>
      <c r="Q67" s="2">
        <f>Q12*'Output-Calculation-sheet'!Q56/10^9</f>
        <v>0.54735973063938692</v>
      </c>
      <c r="R67" s="2">
        <f>R12*'Output-Calculation-sheet'!R56/10^9</f>
        <v>0.45057768703113804</v>
      </c>
      <c r="S67" s="2">
        <f>S12*'Output-Calculation-sheet'!S56/10^9</f>
        <v>0.35050518664156127</v>
      </c>
      <c r="T67" s="2">
        <f>T12*'Output-Calculation-sheet'!T56/10^9</f>
        <v>0.13808328389574201</v>
      </c>
      <c r="U67" s="2">
        <f>U12*'Output-Calculation-sheet'!U56/10^9</f>
        <v>0.14828819440834298</v>
      </c>
      <c r="V67" s="2">
        <f>V12*'Output-Calculation-sheet'!V56/10^9</f>
        <v>0.1060036292294418</v>
      </c>
      <c r="W67" s="2">
        <f>W12*'Output-Calculation-sheet'!W56/10^9</f>
        <v>7.0368185568887964E-2</v>
      </c>
      <c r="X67" s="2">
        <f>X12*'Output-Calculation-sheet'!X56/10^9</f>
        <v>6.6997199873733287E-2</v>
      </c>
      <c r="Y67" s="2">
        <f>Y12*'Output-Calculation-sheet'!Y56/10^9</f>
        <v>6.2579439910276854E-2</v>
      </c>
      <c r="AA67" s="2">
        <f t="shared" si="4"/>
        <v>21.19048790093186</v>
      </c>
    </row>
    <row r="68" spans="1:27" x14ac:dyDescent="0.25">
      <c r="B68" s="2">
        <f>SUM(B60:B67)</f>
        <v>38.859860681669424</v>
      </c>
      <c r="C68" s="2">
        <f t="shared" ref="C68:Y68" si="5">SUM(C60:C67)</f>
        <v>19.949377410861814</v>
      </c>
      <c r="D68" s="2">
        <f t="shared" si="5"/>
        <v>10.704796249040076</v>
      </c>
      <c r="E68" s="2">
        <f t="shared" si="5"/>
        <v>11.695715912521695</v>
      </c>
      <c r="F68" s="2">
        <f t="shared" si="5"/>
        <v>4.7955433751500358</v>
      </c>
      <c r="G68" s="2">
        <f t="shared" si="5"/>
        <v>3.4186198984984966</v>
      </c>
      <c r="H68" s="2">
        <f t="shared" si="5"/>
        <v>6.2692192912248563</v>
      </c>
      <c r="I68" s="2">
        <f t="shared" si="5"/>
        <v>3.2452012889541906</v>
      </c>
      <c r="J68" s="2">
        <f t="shared" si="5"/>
        <v>3.8915009690909041</v>
      </c>
      <c r="K68" s="2">
        <f t="shared" si="5"/>
        <v>3.9531488515307167</v>
      </c>
      <c r="L68" s="2">
        <f t="shared" si="5"/>
        <v>4.7101002275677839</v>
      </c>
      <c r="M68" s="2">
        <f t="shared" si="5"/>
        <v>4.8086213291635227</v>
      </c>
      <c r="N68" s="2">
        <f t="shared" si="5"/>
        <v>4.4092018568029108</v>
      </c>
      <c r="O68" s="2">
        <f t="shared" si="5"/>
        <v>3.9974332063297471</v>
      </c>
      <c r="P68" s="2">
        <f t="shared" si="5"/>
        <v>3.1840329319115521</v>
      </c>
      <c r="Q68" s="2">
        <f t="shared" si="5"/>
        <v>3.4481475267284187</v>
      </c>
      <c r="R68" s="2">
        <f t="shared" si="5"/>
        <v>2.8796569624036077</v>
      </c>
      <c r="S68" s="2">
        <f t="shared" si="5"/>
        <v>2.3203897288079807</v>
      </c>
      <c r="T68" s="2">
        <f t="shared" si="5"/>
        <v>0.98854931482981589</v>
      </c>
      <c r="U68" s="2">
        <f t="shared" si="5"/>
        <v>0.83371399200161456</v>
      </c>
      <c r="V68" s="2">
        <f t="shared" si="5"/>
        <v>1.0716736223236725</v>
      </c>
      <c r="W68" s="2">
        <f t="shared" si="5"/>
        <v>0.43989927002299012</v>
      </c>
      <c r="X68" s="2">
        <f t="shared" si="5"/>
        <v>0.50300573903547185</v>
      </c>
      <c r="Y68" s="2">
        <f t="shared" si="5"/>
        <v>0.34417894093648771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57.049333153222953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5.7049333153222956E-2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519.3248278773309</v>
      </c>
      <c r="Q76" s="2">
        <f>Q10/'Output-Calculation-sheet'!Q9*'Output-Calculation-sheet'!Q63</f>
        <v>61.590805240270676</v>
      </c>
      <c r="R76" s="2">
        <f>R10/'Output-Calculation-sheet'!R9*'Output-Calculation-sheet'!R63</f>
        <v>396.30626363559946</v>
      </c>
      <c r="S76" s="2">
        <f>S10/'Output-Calculation-sheet'!S9*'Output-Calculation-sheet'!S63</f>
        <v>0</v>
      </c>
      <c r="T76" s="2">
        <f>T10/'Output-Calculation-sheet'!T9*'Output-Calculation-sheet'!T63</f>
        <v>25.971501511762003</v>
      </c>
      <c r="U76" s="2">
        <f>U10/'Output-Calculation-sheet'!U9*'Output-Calculation-sheet'!U63</f>
        <v>140.40808575599013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6.659654355985146</v>
      </c>
      <c r="AA76" s="2">
        <f t="shared" si="6"/>
        <v>1.2592842587744777</v>
      </c>
    </row>
    <row r="77" spans="1:27" x14ac:dyDescent="0.25">
      <c r="A77" s="2">
        <v>2034</v>
      </c>
      <c r="B77" s="2">
        <f>B11/'Output-Calculation-sheet'!B10*'Output-Calculation-sheet'!B64</f>
        <v>446.98907031855816</v>
      </c>
      <c r="C77" s="2">
        <f>C11/'Output-Calculation-sheet'!C10*'Output-Calculation-sheet'!C64</f>
        <v>0</v>
      </c>
      <c r="D77" s="2">
        <f>D11/'Output-Calculation-sheet'!D10*'Output-Calculation-sheet'!D64</f>
        <v>1589.9175423535471</v>
      </c>
      <c r="E77" s="2">
        <f>E11/'Output-Calculation-sheet'!E10*'Output-Calculation-sheet'!E64</f>
        <v>1971.4530048771405</v>
      </c>
      <c r="F77" s="2">
        <f>F11/'Output-Calculation-sheet'!F10*'Output-Calculation-sheet'!F64</f>
        <v>128.27256334573568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130.3549435627545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346.81199453164612</v>
      </c>
      <c r="K77" s="2">
        <f>K11/'Output-Calculation-sheet'!K10*'Output-Calculation-sheet'!K64</f>
        <v>757.83205073690658</v>
      </c>
      <c r="L77" s="2">
        <f>L11/'Output-Calculation-sheet'!L10*'Output-Calculation-sheet'!L64</f>
        <v>312.44659636004894</v>
      </c>
      <c r="M77" s="2">
        <f>M11/'Output-Calculation-sheet'!M10*'Output-Calculation-sheet'!M64</f>
        <v>93.883635163425538</v>
      </c>
      <c r="N77" s="2">
        <f>N11/'Output-Calculation-sheet'!N10*'Output-Calculation-sheet'!N64</f>
        <v>31.049962994540515</v>
      </c>
      <c r="O77" s="2">
        <f>O11/'Output-Calculation-sheet'!O10*'Output-Calculation-sheet'!O64</f>
        <v>0</v>
      </c>
      <c r="P77" s="2">
        <f>P11/'Output-Calculation-sheet'!P10*'Output-Calculation-sheet'!P64</f>
        <v>643.94293759976256</v>
      </c>
      <c r="Q77" s="2">
        <f>Q11/'Output-Calculation-sheet'!Q10*'Output-Calculation-sheet'!Q64</f>
        <v>154.4672065102956</v>
      </c>
      <c r="R77" s="2">
        <f>R11/'Output-Calculation-sheet'!R10*'Output-Calculation-sheet'!R64</f>
        <v>794.80258157941864</v>
      </c>
      <c r="S77" s="2">
        <f>S11/'Output-Calculation-sheet'!S10*'Output-Calculation-sheet'!S64</f>
        <v>0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292.19984412111842</v>
      </c>
      <c r="V77" s="2">
        <f>V11/'Output-Calculation-sheet'!V10*'Output-Calculation-sheet'!V64</f>
        <v>114.13240629629344</v>
      </c>
      <c r="W77" s="2">
        <f>W11/'Output-Calculation-sheet'!W10*'Output-Calculation-sheet'!W64</f>
        <v>24.993627014655267</v>
      </c>
      <c r="X77" s="2">
        <f>X11/'Output-Calculation-sheet'!X10*'Output-Calculation-sheet'!X64</f>
        <v>9.359168093332169</v>
      </c>
      <c r="Y77" s="2">
        <f>Y11/'Output-Calculation-sheet'!Y10*'Output-Calculation-sheet'!Y64</f>
        <v>52.753156846189583</v>
      </c>
      <c r="AA77" s="2">
        <f t="shared" si="6"/>
        <v>9.4442155927099378</v>
      </c>
    </row>
    <row r="78" spans="1:27" x14ac:dyDescent="0.25">
      <c r="A78" s="2">
        <v>2035</v>
      </c>
      <c r="B78" s="2">
        <f>B12/'Output-Calculation-sheet'!B11*'Output-Calculation-sheet'!B65</f>
        <v>68.987915405281797</v>
      </c>
      <c r="C78" s="2">
        <f>C12/'Output-Calculation-sheet'!C11*'Output-Calculation-sheet'!C65</f>
        <v>55.256816171772087</v>
      </c>
      <c r="D78" s="2">
        <f>D12/'Output-Calculation-sheet'!D11*'Output-Calculation-sheet'!D65</f>
        <v>2637.3661884301227</v>
      </c>
      <c r="E78" s="2">
        <f>E12/'Output-Calculation-sheet'!E11*'Output-Calculation-sheet'!E65</f>
        <v>1278.9529559301693</v>
      </c>
      <c r="F78" s="2">
        <f>F12/'Output-Calculation-sheet'!F11*'Output-Calculation-sheet'!F65</f>
        <v>659.5680876518735</v>
      </c>
      <c r="G78" s="2">
        <f>G12/'Output-Calculation-sheet'!G11*'Output-Calculation-sheet'!G65</f>
        <v>1224.1227423767298</v>
      </c>
      <c r="H78" s="2">
        <f>H12/'Output-Calculation-sheet'!H11*'Output-Calculation-sheet'!H65</f>
        <v>23.200522483556693</v>
      </c>
      <c r="I78" s="2">
        <f>I12/'Output-Calculation-sheet'!I11*'Output-Calculation-sheet'!I65</f>
        <v>813.5317928132946</v>
      </c>
      <c r="J78" s="2">
        <f>J12/'Output-Calculation-sheet'!J11*'Output-Calculation-sheet'!J65</f>
        <v>846.11229519288406</v>
      </c>
      <c r="K78" s="2">
        <f>K12/'Output-Calculation-sheet'!K11*'Output-Calculation-sheet'!K65</f>
        <v>1053.2732379977804</v>
      </c>
      <c r="L78" s="2">
        <f>L12/'Output-Calculation-sheet'!L11*'Output-Calculation-sheet'!L65</f>
        <v>572.56548334505055</v>
      </c>
      <c r="M78" s="2">
        <f>M12/'Output-Calculation-sheet'!M11*'Output-Calculation-sheet'!M65</f>
        <v>16.223889891625102</v>
      </c>
      <c r="N78" s="2">
        <f>N12/'Output-Calculation-sheet'!N11*'Output-Calculation-sheet'!N65</f>
        <v>16.864742442081791</v>
      </c>
      <c r="O78" s="2">
        <f>O12/'Output-Calculation-sheet'!O11*'Output-Calculation-sheet'!O65</f>
        <v>9.6292776263719233</v>
      </c>
      <c r="P78" s="2">
        <f>P12/'Output-Calculation-sheet'!P11*'Output-Calculation-sheet'!P65</f>
        <v>198.34256595819983</v>
      </c>
      <c r="Q78" s="2">
        <f>Q12/'Output-Calculation-sheet'!Q11*'Output-Calculation-sheet'!Q65</f>
        <v>147.79985314852948</v>
      </c>
      <c r="R78" s="2">
        <f>R12/'Output-Calculation-sheet'!R11*'Output-Calculation-sheet'!R65</f>
        <v>911.49541166394567</v>
      </c>
      <c r="S78" s="2">
        <f>S12/'Output-Calculation-sheet'!S11*'Output-Calculation-sheet'!S65</f>
        <v>6.910286092161444</v>
      </c>
      <c r="T78" s="2">
        <f>T12/'Output-Calculation-sheet'!T11*'Output-Calculation-sheet'!T65</f>
        <v>330.77656676773887</v>
      </c>
      <c r="U78" s="2">
        <f>U12/'Output-Calculation-sheet'!U11*'Output-Calculation-sheet'!U65</f>
        <v>272.0993082586736</v>
      </c>
      <c r="V78" s="2">
        <f>V12/'Output-Calculation-sheet'!V11*'Output-Calculation-sheet'!V65</f>
        <v>164.93621310112999</v>
      </c>
      <c r="W78" s="2">
        <f>W12/'Output-Calculation-sheet'!W11*'Output-Calculation-sheet'!W65</f>
        <v>118.00346270449698</v>
      </c>
      <c r="X78" s="2">
        <f>X12/'Output-Calculation-sheet'!X11*'Output-Calculation-sheet'!X65</f>
        <v>1.6564159601976327</v>
      </c>
      <c r="Y78" s="2">
        <f>Y12/'Output-Calculation-sheet'!Y11*'Output-Calculation-sheet'!Y65</f>
        <v>29.029028827038715</v>
      </c>
      <c r="AA78" s="2">
        <f t="shared" si="6"/>
        <v>11.456705060240708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58.11144607739125</v>
      </c>
      <c r="E89" s="2">
        <f>E12/'Output-Calculation-sheet'!E11*'Output-Calculation-sheet'!E74</f>
        <v>43.296706392965163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29.965966063545476</v>
      </c>
      <c r="H89" s="2">
        <f>H12/'Output-Calculation-sheet'!H11*'Output-Calculation-sheet'!H74</f>
        <v>3.7863979681574405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13.916911960780419</v>
      </c>
      <c r="K89" s="2">
        <f>K12/'Output-Calculation-sheet'!K11*'Output-Calculation-sheet'!K74</f>
        <v>19.579603223560579</v>
      </c>
      <c r="L89" s="2">
        <f>L12/'Output-Calculation-sheet'!L11*'Output-Calculation-sheet'!L74</f>
        <v>7.3264937088298216</v>
      </c>
      <c r="M89" s="2">
        <f>M12/'Output-Calculation-sheet'!M11*'Output-Calculation-sheet'!M74</f>
        <v>3.4738803900487345</v>
      </c>
      <c r="N89" s="2">
        <f>N12/'Output-Calculation-sheet'!N11*'Output-Calculation-sheet'!N74</f>
        <v>1.7071305235430503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3.154177489097918</v>
      </c>
      <c r="Q89" s="2">
        <f>Q12/'Output-Calculation-sheet'!Q11*'Output-Calculation-sheet'!Q74</f>
        <v>4.4871231323428233</v>
      </c>
      <c r="R89" s="2">
        <f>R12/'Output-Calculation-sheet'!R11*'Output-Calculation-sheet'!R74</f>
        <v>12.607846837170026</v>
      </c>
      <c r="S89" s="2">
        <f>S12/'Output-Calculation-sheet'!S11*'Output-Calculation-sheet'!S74</f>
        <v>1.4678792237119829</v>
      </c>
      <c r="T89" s="2">
        <f>T12/'Output-Calculation-sheet'!T11*'Output-Calculation-sheet'!T74</f>
        <v>3.2925376809032114</v>
      </c>
      <c r="U89" s="2">
        <f>U12/'Output-Calculation-sheet'!U11*'Output-Calculation-sheet'!U74</f>
        <v>6.6810896928511969</v>
      </c>
      <c r="V89" s="2">
        <f>V12/'Output-Calculation-sheet'!V11*'Output-Calculation-sheet'!V74</f>
        <v>0.91994710824730819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1.6549243958177249</v>
      </c>
      <c r="AA89" s="2">
        <f t="shared" si="7"/>
        <v>0.30083980602676019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2019.74043868064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621.73874919498269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427.81676676466401</v>
      </c>
      <c r="N107" s="2">
        <f>N8/'Output-Calculation-sheet'!N7*'Output-Calculation-sheet'!N88</f>
        <v>168.18980022906544</v>
      </c>
      <c r="O107" s="2">
        <f>O8/'Output-Calculation-sheet'!O7*'Output-Calculation-sheet'!O88</f>
        <v>470.85534869177746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46.93238910110896</v>
      </c>
      <c r="Y107" s="2">
        <f>Y8/'Output-Calculation-sheet'!Y7*'Output-Calculation-sheet'!Y88</f>
        <v>0</v>
      </c>
      <c r="AA107" s="2">
        <f t="shared" si="9"/>
        <v>3.7552734926622389</v>
      </c>
    </row>
    <row r="108" spans="1:27" x14ac:dyDescent="0.25">
      <c r="A108" s="2">
        <v>2032</v>
      </c>
      <c r="B108" s="2">
        <f>B9/'Output-Calculation-sheet'!B8*'Output-Calculation-sheet'!B89</f>
        <v>907.65155037947807</v>
      </c>
      <c r="C108" s="2">
        <f>C9/'Output-Calculation-sheet'!C8*'Output-Calculation-sheet'!C89</f>
        <v>3446.3394701680363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928.2789048739653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638.74622621354195</v>
      </c>
      <c r="N108" s="2">
        <f>N9/'Output-Calculation-sheet'!N8*'Output-Calculation-sheet'!N89</f>
        <v>448.4171083851499</v>
      </c>
      <c r="O108" s="2">
        <f>O9/'Output-Calculation-sheet'!O8*'Output-Calculation-sheet'!O89</f>
        <v>669.52801700773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205.63853331752327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70.071789500502035</v>
      </c>
      <c r="Y108" s="2">
        <f>Y9/'Output-Calculation-sheet'!Y8*'Output-Calculation-sheet'!Y89</f>
        <v>0</v>
      </c>
      <c r="AA108" s="2">
        <f t="shared" si="9"/>
        <v>7.3146715998459264</v>
      </c>
    </row>
    <row r="109" spans="1:27" x14ac:dyDescent="0.25">
      <c r="A109" s="2">
        <v>2033</v>
      </c>
      <c r="B109" s="2">
        <f>B10/'Output-Calculation-sheet'!B9*'Output-Calculation-sheet'!B90</f>
        <v>4443.805606088973</v>
      </c>
      <c r="C109" s="2">
        <f>C10/'Output-Calculation-sheet'!C9*'Output-Calculation-sheet'!C90</f>
        <v>4218.26598864274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1298.5131006554884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893.50338392656954</v>
      </c>
      <c r="N109" s="2">
        <f>N10/'Output-Calculation-sheet'!N9*'Output-Calculation-sheet'!N90</f>
        <v>702.53513803618455</v>
      </c>
      <c r="O109" s="2">
        <f>O10/'Output-Calculation-sheet'!O9*'Output-Calculation-sheet'!O90</f>
        <v>819.49189481598614</v>
      </c>
      <c r="P109" s="2">
        <f>P10/'Output-Calculation-sheet'!P9*'Output-Calculation-sheet'!P90</f>
        <v>0</v>
      </c>
      <c r="Q109" s="2">
        <f>Q10/'Output-Calculation-sheet'!Q9*'Output-Calculation-sheet'!Q90</f>
        <v>153.88208583993128</v>
      </c>
      <c r="R109" s="2">
        <f>R10/'Output-Calculation-sheet'!R9*'Output-Calculation-sheet'!R90</f>
        <v>0</v>
      </c>
      <c r="S109" s="2">
        <f>S10/'Output-Calculation-sheet'!S9*'Output-Calculation-sheet'!S90</f>
        <v>352.37771960042795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98.019179553724115</v>
      </c>
      <c r="Y109" s="2">
        <f>Y10/'Output-Calculation-sheet'!Y9*'Output-Calculation-sheet'!Y90</f>
        <v>0</v>
      </c>
      <c r="AA109" s="2">
        <f t="shared" si="9"/>
        <v>12.980394097160026</v>
      </c>
    </row>
    <row r="110" spans="1:27" x14ac:dyDescent="0.25">
      <c r="A110" s="2">
        <v>2034</v>
      </c>
      <c r="B110" s="2">
        <f>B11/'Output-Calculation-sheet'!B10*'Output-Calculation-sheet'!B91</f>
        <v>7215.0426415754973</v>
      </c>
      <c r="C110" s="2">
        <f>C11/'Output-Calculation-sheet'!C10*'Output-Calculation-sheet'!C91</f>
        <v>4946.3934473217769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1405.5261371824258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967.13876751477437</v>
      </c>
      <c r="N110" s="2">
        <f>N11/'Output-Calculation-sheet'!N10*'Output-Calculation-sheet'!N91</f>
        <v>871.3288492322107</v>
      </c>
      <c r="O110" s="2">
        <f>O11/'Output-Calculation-sheet'!O10*'Output-Calculation-sheet'!O91</f>
        <v>960.94683207858952</v>
      </c>
      <c r="P110" s="2">
        <f>P11/'Output-Calculation-sheet'!P10*'Output-Calculation-sheet'!P91</f>
        <v>219.53312915346302</v>
      </c>
      <c r="Q110" s="2">
        <f>Q11/'Output-Calculation-sheet'!Q10*'Output-Calculation-sheet'!Q91</f>
        <v>485.81112218561975</v>
      </c>
      <c r="R110" s="2">
        <f>R11/'Output-Calculation-sheet'!R10*'Output-Calculation-sheet'!R91</f>
        <v>0</v>
      </c>
      <c r="S110" s="2">
        <f>S11/'Output-Calculation-sheet'!S10*'Output-Calculation-sheet'!S91</f>
        <v>499.47577613234927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106.09713428258137</v>
      </c>
      <c r="Y110" s="2">
        <f>Y11/'Output-Calculation-sheet'!Y10*'Output-Calculation-sheet'!Y91</f>
        <v>17.064294005249518</v>
      </c>
      <c r="AA110" s="2">
        <f t="shared" si="9"/>
        <v>17.694358130664533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2000.3078353549906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282.07000778994814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728.61499998161901</v>
      </c>
      <c r="Q111" s="2">
        <f>Q12/'Output-Calculation-sheet'!Q11*'Output-Calculation-sheet'!Q92</f>
        <v>691.01696238079478</v>
      </c>
      <c r="R111" s="2">
        <f>R12/'Output-Calculation-sheet'!R11*'Output-Calculation-sheet'!R92</f>
        <v>0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77.873386847645165</v>
      </c>
      <c r="AA111" s="2">
        <f t="shared" si="9"/>
        <v>23.534952444800702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9494763079.6842575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2921343674.5194392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2029124923.8533704</v>
      </c>
      <c r="N118" s="2">
        <f>N8/'Output-Calculation-sheet'!N7*'Output-Calculation-sheet'!N97</f>
        <v>1592284510.8738003</v>
      </c>
      <c r="O118" s="2">
        <f>O8/'Output-Calculation-sheet'!O7*'Output-Calculation-sheet'!O97</f>
        <v>1059524412.9637976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218701154.2395778</v>
      </c>
      <c r="Y118" s="2">
        <f>Y8/'Output-Calculation-sheet'!Y7*'Output-Calculation-sheet'!Y97</f>
        <v>0</v>
      </c>
      <c r="AA118" s="2">
        <f t="shared" si="10"/>
        <v>19511.446383074002</v>
      </c>
    </row>
    <row r="119" spans="1:27" x14ac:dyDescent="0.25">
      <c r="A119" s="2">
        <v>2032</v>
      </c>
      <c r="B119" s="2">
        <f>B9/'Output-Calculation-sheet'!B8*'Output-Calculation-sheet'!B98</f>
        <v>6809249081.676734</v>
      </c>
      <c r="C119" s="2">
        <f>C9/'Output-Calculation-sheet'!C8*'Output-Calculation-sheet'!C98</f>
        <v>5412128706.5984182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3235382650.5539246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2258309206.3497491</v>
      </c>
      <c r="N119" s="2">
        <f>N9/'Output-Calculation-sheet'!N8*'Output-Calculation-sheet'!N98</f>
        <v>1527262082.369339</v>
      </c>
      <c r="O119" s="2">
        <f>O9/'Output-Calculation-sheet'!O8*'Output-Calculation-sheet'!O98</f>
        <v>1057429942.6224735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633798523.53793848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241647181.21034262</v>
      </c>
      <c r="Y119" s="2">
        <f>Y9/'Output-Calculation-sheet'!Y8*'Output-Calculation-sheet'!Y98</f>
        <v>0</v>
      </c>
      <c r="AA119" s="2">
        <f t="shared" si="10"/>
        <v>21175.207374918919</v>
      </c>
    </row>
    <row r="120" spans="1:27" x14ac:dyDescent="0.25">
      <c r="A120" s="2">
        <v>2033</v>
      </c>
      <c r="B120" s="2">
        <f>B10/'Output-Calculation-sheet'!B9*'Output-Calculation-sheet'!B99</f>
        <v>6393006487.028059</v>
      </c>
      <c r="C120" s="2">
        <f>C10/'Output-Calculation-sheet'!C9*'Output-Calculation-sheet'!C99</f>
        <v>5255448299.4894514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1723137002.8537343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1219650685.3638492</v>
      </c>
      <c r="N120" s="2">
        <f>N10/'Output-Calculation-sheet'!N9*'Output-Calculation-sheet'!N99</f>
        <v>1215862509.0748382</v>
      </c>
      <c r="O120" s="2">
        <f>O10/'Output-Calculation-sheet'!O9*'Output-Calculation-sheet'!O99</f>
        <v>1028903576.4870375</v>
      </c>
      <c r="P120" s="2">
        <f>P10/'Output-Calculation-sheet'!P9*'Output-Calculation-sheet'!P99</f>
        <v>0</v>
      </c>
      <c r="Q120" s="2">
        <f>Q10/'Output-Calculation-sheet'!Q9*'Output-Calculation-sheet'!Q99</f>
        <v>7725910.1573364306</v>
      </c>
      <c r="R120" s="2">
        <f>R10/'Output-Calculation-sheet'!R9*'Output-Calculation-sheet'!R99</f>
        <v>0</v>
      </c>
      <c r="S120" s="2">
        <f>S10/'Output-Calculation-sheet'!S9*'Output-Calculation-sheet'!S99</f>
        <v>509195284.37166148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121787532.1596172</v>
      </c>
      <c r="Y120" s="2">
        <f>Y10/'Output-Calculation-sheet'!Y9*'Output-Calculation-sheet'!Y99</f>
        <v>0</v>
      </c>
      <c r="AA120" s="2">
        <f t="shared" si="10"/>
        <v>17474.717286985589</v>
      </c>
    </row>
    <row r="121" spans="1:27" x14ac:dyDescent="0.25">
      <c r="A121" s="2">
        <v>2034</v>
      </c>
      <c r="B121" s="2">
        <f>B11/'Output-Calculation-sheet'!B10*'Output-Calculation-sheet'!B100</f>
        <v>5358627786.8735361</v>
      </c>
      <c r="C121" s="2">
        <f>C11/'Output-Calculation-sheet'!C10*'Output-Calculation-sheet'!C100</f>
        <v>649357689.14144742</v>
      </c>
      <c r="D121" s="2">
        <f>D11/'Output-Calculation-sheet'!D10*'Output-Calculation-sheet'!D100</f>
        <v>0</v>
      </c>
      <c r="E121" s="2">
        <f>E11/'Output-Calculation-sheet'!E10*'Output-Calculation-sheet'!E100</f>
        <v>750137677.02347398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1709819503.6180549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622891002.07438719</v>
      </c>
      <c r="M121" s="2">
        <f>M11/'Output-Calculation-sheet'!M10*'Output-Calculation-sheet'!M100</f>
        <v>1216872000.3031077</v>
      </c>
      <c r="N121" s="2">
        <f>N11/'Output-Calculation-sheet'!N10*'Output-Calculation-sheet'!N100</f>
        <v>811261372.36642134</v>
      </c>
      <c r="O121" s="2">
        <f>O11/'Output-Calculation-sheet'!O10*'Output-Calculation-sheet'!O100</f>
        <v>127373646.59004383</v>
      </c>
      <c r="P121" s="2">
        <f>P11/'Output-Calculation-sheet'!P10*'Output-Calculation-sheet'!P100</f>
        <v>0</v>
      </c>
      <c r="Q121" s="2">
        <f>Q11/'Output-Calculation-sheet'!Q10*'Output-Calculation-sheet'!Q100</f>
        <v>273521576.30320162</v>
      </c>
      <c r="R121" s="2">
        <f>R11/'Output-Calculation-sheet'!R10*'Output-Calculation-sheet'!R100</f>
        <v>0</v>
      </c>
      <c r="S121" s="2">
        <f>S11/'Output-Calculation-sheet'!S10*'Output-Calculation-sheet'!S100</f>
        <v>303324621.41691601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119566188.44450274</v>
      </c>
      <c r="Y121" s="2">
        <f>Y11/'Output-Calculation-sheet'!Y10*'Output-Calculation-sheet'!Y100</f>
        <v>17357234.745909765</v>
      </c>
      <c r="AA121" s="2">
        <f t="shared" si="10"/>
        <v>11960.110298901001</v>
      </c>
    </row>
    <row r="122" spans="1:27" x14ac:dyDescent="0.25">
      <c r="A122" s="2">
        <v>2035</v>
      </c>
      <c r="B122" s="2">
        <f>B12/'Output-Calculation-sheet'!B11*'Output-Calculation-sheet'!B101</f>
        <v>1207456972.4286952</v>
      </c>
      <c r="C122" s="2">
        <f>C12/'Output-Calculation-sheet'!C11*'Output-Calculation-sheet'!C101</f>
        <v>250582998.7044031</v>
      </c>
      <c r="D122" s="2">
        <f>D12/'Output-Calculation-sheet'!D11*'Output-Calculation-sheet'!D101</f>
        <v>0</v>
      </c>
      <c r="E122" s="2">
        <f>E12/'Output-Calculation-sheet'!E11*'Output-Calculation-sheet'!E101</f>
        <v>2070844520.2527351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434334555.59569985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1100974189.1069839</v>
      </c>
      <c r="M122" s="2">
        <f>M12/'Output-Calculation-sheet'!M11*'Output-Calculation-sheet'!M101</f>
        <v>387077643.54323876</v>
      </c>
      <c r="N122" s="2">
        <f>N12/'Output-Calculation-sheet'!N11*'Output-Calculation-sheet'!N101</f>
        <v>322282599.0871768</v>
      </c>
      <c r="O122" s="2">
        <f>O12/'Output-Calculation-sheet'!O11*'Output-Calculation-sheet'!O101</f>
        <v>42819579.121489674</v>
      </c>
      <c r="P122" s="2">
        <f>P12/'Output-Calculation-sheet'!P11*'Output-Calculation-sheet'!P101</f>
        <v>52703829.813497268</v>
      </c>
      <c r="Q122" s="2">
        <f>Q12/'Output-Calculation-sheet'!Q11*'Output-Calculation-sheet'!Q101</f>
        <v>490172059.62557584</v>
      </c>
      <c r="R122" s="2">
        <f>R12/'Output-Calculation-sheet'!R11*'Output-Calculation-sheet'!R101</f>
        <v>0</v>
      </c>
      <c r="S122" s="2">
        <f>S12/'Output-Calculation-sheet'!S11*'Output-Calculation-sheet'!S101</f>
        <v>144707448.21812382</v>
      </c>
      <c r="T122" s="2">
        <f>T12/'Output-Calculation-sheet'!T11*'Output-Calculation-sheet'!T101</f>
        <v>0</v>
      </c>
      <c r="U122" s="2">
        <f>U12/'Output-Calculation-sheet'!U11*'Output-Calculation-sheet'!U101</f>
        <v>61100712.73423975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12671220.058203209</v>
      </c>
      <c r="Y122" s="2">
        <f>Y12/'Output-Calculation-sheet'!Y11*'Output-Calculation-sheet'!Y101</f>
        <v>62223217.343593583</v>
      </c>
      <c r="AA122" s="2">
        <f t="shared" si="10"/>
        <v>6639.9515456336558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2642260669.457058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173680.6345207112</v>
      </c>
    </row>
    <row r="130" spans="1:27" x14ac:dyDescent="0.25">
      <c r="A130" s="2">
        <v>2032</v>
      </c>
      <c r="B130" s="2">
        <f>B9/'Output-Calculation-sheet'!B8*'Output-Calculation-sheet'!B107</f>
        <v>61619803645.044304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2239570911.9595065</v>
      </c>
      <c r="O130" s="2">
        <f>O9/'Output-Calculation-sheet'!O8*'Output-Calculation-sheet'!O107</f>
        <v>0</v>
      </c>
      <c r="P130" s="2">
        <f>P9/'Output-Calculation-sheet'!P8*'Output-Calculation-sheet'!P107</f>
        <v>6840357076.6062536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1991018985.8832886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217006.41476175122</v>
      </c>
    </row>
    <row r="131" spans="1:27" x14ac:dyDescent="0.25">
      <c r="A131" s="2">
        <v>2033</v>
      </c>
      <c r="B131" s="2">
        <f>B10/'Output-Calculation-sheet'!B9*'Output-Calculation-sheet'!B108</f>
        <v>47689882952.846733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1747486586.6386776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6779640012.2062998</v>
      </c>
      <c r="R131" s="2">
        <f>R10/'Output-Calculation-sheet'!R9*'Output-Calculation-sheet'!R108</f>
        <v>7607259132.1888494</v>
      </c>
      <c r="S131" s="2">
        <f>S10/'Output-Calculation-sheet'!S9*'Output-Calculation-sheet'!S108</f>
        <v>1694968865.616204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227616.0818593922</v>
      </c>
    </row>
    <row r="132" spans="1:27" x14ac:dyDescent="0.25">
      <c r="A132" s="2">
        <v>2034</v>
      </c>
      <c r="B132" s="2">
        <f>B11/'Output-Calculation-sheet'!B10*'Output-Calculation-sheet'!B109</f>
        <v>31520553562.141098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30354424101.877663</v>
      </c>
      <c r="F132" s="2">
        <f>F11/'Output-Calculation-sheet'!F10*'Output-Calculation-sheet'!F109</f>
        <v>20019945381.745327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12473521613.153624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9287603911.258419</v>
      </c>
      <c r="M132" s="2">
        <f>M11/'Output-Calculation-sheet'!M10*'Output-Calculation-sheet'!M109</f>
        <v>0</v>
      </c>
      <c r="N132" s="2">
        <f>N11/'Output-Calculation-sheet'!N10*'Output-Calculation-sheet'!N109</f>
        <v>1221103086.9768925</v>
      </c>
      <c r="O132" s="2">
        <f>O11/'Output-Calculation-sheet'!O10*'Output-Calculation-sheet'!O109</f>
        <v>0</v>
      </c>
      <c r="P132" s="2">
        <f>P11/'Output-Calculation-sheet'!P10*'Output-Calculation-sheet'!P109</f>
        <v>6939479276.575758</v>
      </c>
      <c r="Q132" s="2">
        <f>Q11/'Output-Calculation-sheet'!Q10*'Output-Calculation-sheet'!Q109</f>
        <v>4469868819.1283064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838055485.36616874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873539825.72218311</v>
      </c>
      <c r="AA132" s="2">
        <f t="shared" si="11"/>
        <v>213625.74490505172</v>
      </c>
    </row>
    <row r="133" spans="1:27" x14ac:dyDescent="0.25">
      <c r="A133" s="2">
        <v>2035</v>
      </c>
      <c r="B133" s="2">
        <f>B12/'Output-Calculation-sheet'!B11*'Output-Calculation-sheet'!B110</f>
        <v>404052182.46741557</v>
      </c>
      <c r="C133" s="2">
        <f>C12/'Output-Calculation-sheet'!C11*'Output-Calculation-sheet'!C110</f>
        <v>0</v>
      </c>
      <c r="D133" s="2">
        <f>D12/'Output-Calculation-sheet'!D11*'Output-Calculation-sheet'!D110</f>
        <v>34656362564.984779</v>
      </c>
      <c r="E133" s="2">
        <f>E12/'Output-Calculation-sheet'!E11*'Output-Calculation-sheet'!E110</f>
        <v>14844948329.000744</v>
      </c>
      <c r="F133" s="2">
        <f>F12/'Output-Calculation-sheet'!F11*'Output-Calculation-sheet'!F110</f>
        <v>18219846128.401627</v>
      </c>
      <c r="G133" s="2">
        <f>G12/'Output-Calculation-sheet'!G11*'Output-Calculation-sheet'!G110</f>
        <v>12630065799.407866</v>
      </c>
      <c r="H133" s="2">
        <f>H12/'Output-Calculation-sheet'!H11*'Output-Calculation-sheet'!H110</f>
        <v>0</v>
      </c>
      <c r="I133" s="2">
        <f>I12/'Output-Calculation-sheet'!I11*'Output-Calculation-sheet'!I110</f>
        <v>11469250382.87928</v>
      </c>
      <c r="J133" s="2">
        <f>J12/'Output-Calculation-sheet'!J11*'Output-Calculation-sheet'!J110</f>
        <v>11104851452.043821</v>
      </c>
      <c r="K133" s="2">
        <f>K12/'Output-Calculation-sheet'!K11*'Output-Calculation-sheet'!K110</f>
        <v>11161261830.022787</v>
      </c>
      <c r="L133" s="2">
        <f>L12/'Output-Calculation-sheet'!L11*'Output-Calculation-sheet'!L110</f>
        <v>6497153853.0362711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2462855118.1142759</v>
      </c>
      <c r="Q133" s="2">
        <f>Q12/'Output-Calculation-sheet'!Q11*'Output-Calculation-sheet'!Q110</f>
        <v>2072018100.9680901</v>
      </c>
      <c r="R133" s="2">
        <f>R12/'Output-Calculation-sheet'!R11*'Output-Calculation-sheet'!R110</f>
        <v>7286056887.8873758</v>
      </c>
      <c r="S133" s="2">
        <f>S12/'Output-Calculation-sheet'!S11*'Output-Calculation-sheet'!S110</f>
        <v>4901610.8048494933</v>
      </c>
      <c r="T133" s="2">
        <f>T12/'Output-Calculation-sheet'!T11*'Output-Calculation-sheet'!T110</f>
        <v>2716783963.6599703</v>
      </c>
      <c r="U133" s="2">
        <f>U12/'Output-Calculation-sheet'!U11*'Output-Calculation-sheet'!U110</f>
        <v>2201158491.2964482</v>
      </c>
      <c r="V133" s="2">
        <f>V12/'Output-Calculation-sheet'!V11*'Output-Calculation-sheet'!V110</f>
        <v>1829986754.1176362</v>
      </c>
      <c r="W133" s="2">
        <f>W12/'Output-Calculation-sheet'!W11*'Output-Calculation-sheet'!W110</f>
        <v>1596281545.9326034</v>
      </c>
      <c r="X133" s="2">
        <f>X12/'Output-Calculation-sheet'!X11*'Output-Calculation-sheet'!X110</f>
        <v>0</v>
      </c>
      <c r="Y133" s="2">
        <f>Y12/'Output-Calculation-sheet'!Y11*'Output-Calculation-sheet'!Y110</f>
        <v>366153677.49906749</v>
      </c>
      <c r="AA133" s="2">
        <f t="shared" si="11"/>
        <v>141523.98867252492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17185808764.282658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5402785382.7545605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3713794011.3554578</v>
      </c>
      <c r="N140" s="2">
        <f>N8/'Output-Calculation-sheet'!N7*'Output-Calculation-sheet'!N115</f>
        <v>1402104440.3355646</v>
      </c>
      <c r="O140" s="2">
        <f>O8/'Output-Calculation-sheet'!O7*'Output-Calculation-sheet'!O115</f>
        <v>4124510423.571538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403273440.83175719</v>
      </c>
      <c r="Y140" s="2">
        <f>Y8/'Output-Calculation-sheet'!Y7*'Output-Calculation-sheet'!Y115</f>
        <v>0</v>
      </c>
      <c r="AA140" s="2">
        <f t="shared" si="12"/>
        <v>32232.276463131529</v>
      </c>
    </row>
    <row r="141" spans="1:27" x14ac:dyDescent="0.25">
      <c r="A141" s="2">
        <v>2032</v>
      </c>
      <c r="B141" s="2">
        <f>B9/'Output-Calculation-sheet'!B8*'Output-Calculation-sheet'!B116</f>
        <v>7044565408.1062202</v>
      </c>
      <c r="C141" s="2">
        <f>C9/'Output-Calculation-sheet'!C8*'Output-Calculation-sheet'!C116</f>
        <v>30154905298.570179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7861253044.9635763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5397396131.0409603</v>
      </c>
      <c r="N141" s="2">
        <f>N9/'Output-Calculation-sheet'!N8*'Output-Calculation-sheet'!N116</f>
        <v>3747207466.3384824</v>
      </c>
      <c r="O141" s="2">
        <f>O9/'Output-Calculation-sheet'!O8*'Output-Calculation-sheet'!O116</f>
        <v>5853244346.6614552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1678411694.0739894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587487603.31829071</v>
      </c>
      <c r="Y141" s="2">
        <f>Y9/'Output-Calculation-sheet'!Y8*'Output-Calculation-sheet'!Y116</f>
        <v>0</v>
      </c>
      <c r="AA141" s="2">
        <f t="shared" si="12"/>
        <v>62324.470993073155</v>
      </c>
    </row>
    <row r="142" spans="1:27" x14ac:dyDescent="0.25">
      <c r="A142" s="2">
        <v>2033</v>
      </c>
      <c r="B142" s="2">
        <f>B10/'Output-Calculation-sheet'!B9*'Output-Calculation-sheet'!B117</f>
        <v>34600509260.70887</v>
      </c>
      <c r="C142" s="2">
        <f>C10/'Output-Calculation-sheet'!C9*'Output-Calculation-sheet'!C117</f>
        <v>36536708078.259735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11315688363.603579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7775995174.3642111</v>
      </c>
      <c r="N142" s="2">
        <f>N10/'Output-Calculation-sheet'!N9*'Output-Calculation-sheet'!N117</f>
        <v>5865836523.1781664</v>
      </c>
      <c r="O142" s="2">
        <f>O10/'Output-Calculation-sheet'!O9*'Output-Calculation-sheet'!O117</f>
        <v>7091311341.9615488</v>
      </c>
      <c r="P142" s="2">
        <f>P10/'Output-Calculation-sheet'!P9*'Output-Calculation-sheet'!P117</f>
        <v>0</v>
      </c>
      <c r="Q142" s="2">
        <f>Q10/'Output-Calculation-sheet'!Q9*'Output-Calculation-sheet'!Q117</f>
        <v>1120312545.8652053</v>
      </c>
      <c r="R142" s="2">
        <f>R10/'Output-Calculation-sheet'!R9*'Output-Calculation-sheet'!R117</f>
        <v>0</v>
      </c>
      <c r="S142" s="2">
        <f>S10/'Output-Calculation-sheet'!S9*'Output-Calculation-sheet'!S117</f>
        <v>2852238096.6502857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852466694.29222095</v>
      </c>
      <c r="Y142" s="2">
        <f>Y10/'Output-Calculation-sheet'!Y9*'Output-Calculation-sheet'!Y117</f>
        <v>0</v>
      </c>
      <c r="AA142" s="2">
        <f t="shared" si="12"/>
        <v>108011.0660788838</v>
      </c>
    </row>
    <row r="143" spans="1:27" x14ac:dyDescent="0.25">
      <c r="A143" s="2">
        <v>2034</v>
      </c>
      <c r="B143" s="2">
        <f>B11/'Output-Calculation-sheet'!B10*'Output-Calculation-sheet'!B118</f>
        <v>56445954293.499496</v>
      </c>
      <c r="C143" s="2">
        <f>C11/'Output-Calculation-sheet'!C10*'Output-Calculation-sheet'!C118</f>
        <v>43330406598.538765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12011404283.062279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8249565991.0897303</v>
      </c>
      <c r="N143" s="2">
        <f>N11/'Output-Calculation-sheet'!N10*'Output-Calculation-sheet'!N118</f>
        <v>7258956287.6222162</v>
      </c>
      <c r="O143" s="2">
        <f>O11/'Output-Calculation-sheet'!O10*'Output-Calculation-sheet'!O118</f>
        <v>8417894249.0084448</v>
      </c>
      <c r="P143" s="2">
        <f>P11/'Output-Calculation-sheet'!P10*'Output-Calculation-sheet'!P118</f>
        <v>1518316780.9417448</v>
      </c>
      <c r="Q143" s="2">
        <f>Q11/'Output-Calculation-sheet'!Q10*'Output-Calculation-sheet'!Q118</f>
        <v>3578134112.7975121</v>
      </c>
      <c r="R143" s="2">
        <f>R11/'Output-Calculation-sheet'!R10*'Output-Calculation-sheet'!R118</f>
        <v>0</v>
      </c>
      <c r="S143" s="2">
        <f>S11/'Output-Calculation-sheet'!S10*'Output-Calculation-sheet'!S118</f>
        <v>4179699390.854147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905676829.58791316</v>
      </c>
      <c r="Y143" s="2">
        <f>Y11/'Output-Calculation-sheet'!Y10*'Output-Calculation-sheet'!Y118</f>
        <v>106131952.76258981</v>
      </c>
      <c r="AA143" s="2">
        <f t="shared" si="12"/>
        <v>146002.1407697649</v>
      </c>
    </row>
    <row r="144" spans="1:27" x14ac:dyDescent="0.25">
      <c r="A144" s="2">
        <v>2035</v>
      </c>
      <c r="B144" s="2">
        <f>B12/'Output-Calculation-sheet'!B11*'Output-Calculation-sheet'!B119</f>
        <v>86574391511.226288</v>
      </c>
      <c r="C144" s="2">
        <f>C12/'Output-Calculation-sheet'!C11*'Output-Calculation-sheet'!C119</f>
        <v>41416576602.918938</v>
      </c>
      <c r="D144" s="2">
        <f>D12/'Output-Calculation-sheet'!D11*'Output-Calculation-sheet'!D119</f>
        <v>0</v>
      </c>
      <c r="E144" s="2">
        <f>E12/'Output-Calculation-sheet'!E11*'Output-Calculation-sheet'!E119</f>
        <v>12336761468.314993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12522131768.68767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1590100067.2255988</v>
      </c>
      <c r="M144" s="2">
        <f>M12/'Output-Calculation-sheet'!M11*'Output-Calculation-sheet'!M119</f>
        <v>8546536935.7787209</v>
      </c>
      <c r="N144" s="2">
        <f>N12/'Output-Calculation-sheet'!N11*'Output-Calculation-sheet'!N119</f>
        <v>8443625479.017354</v>
      </c>
      <c r="O144" s="2">
        <f>O12/'Output-Calculation-sheet'!O11*'Output-Calculation-sheet'!O119</f>
        <v>8049833949.8616343</v>
      </c>
      <c r="P144" s="2">
        <f>P12/'Output-Calculation-sheet'!P11*'Output-Calculation-sheet'!P119</f>
        <v>5464004532.1511192</v>
      </c>
      <c r="Q144" s="2">
        <f>Q12/'Output-Calculation-sheet'!Q11*'Output-Calculation-sheet'!Q119</f>
        <v>5174650608.634366</v>
      </c>
      <c r="R144" s="2">
        <f>R12/'Output-Calculation-sheet'!R11*'Output-Calculation-sheet'!R119</f>
        <v>0</v>
      </c>
      <c r="S144" s="2">
        <f>S12/'Output-Calculation-sheet'!S11*'Output-Calculation-sheet'!S119</f>
        <v>4868175941.1848564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958236537.70135462</v>
      </c>
      <c r="Y144" s="2">
        <f>Y12/'Output-Calculation-sheet'!Y11*'Output-Calculation-sheet'!Y119</f>
        <v>511681660.81116021</v>
      </c>
      <c r="AA144" s="2">
        <f t="shared" si="12"/>
        <v>196456.70706351407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5184034836.5353355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225424.35706706319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4146404399.666976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180303.68723318563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447260248.58301961</v>
      </c>
      <c r="C155" s="2">
        <f>C12/'Output-Calculation-sheet'!C11*'Output-Calculation-sheet'!C128</f>
        <v>48187043.364397548</v>
      </c>
      <c r="D155" s="2">
        <f>D12/'Output-Calculation-sheet'!D11*'Output-Calculation-sheet'!D128</f>
        <v>3213443476.4187393</v>
      </c>
      <c r="E155" s="2">
        <f>E12/'Output-Calculation-sheet'!E11*'Output-Calculation-sheet'!E128</f>
        <v>521583587.4829706</v>
      </c>
      <c r="F155" s="2">
        <f>F12/'Output-Calculation-sheet'!F11*'Output-Calculation-sheet'!F128</f>
        <v>1173809284.3796334</v>
      </c>
      <c r="G155" s="2">
        <f>G12/'Output-Calculation-sheet'!G11*'Output-Calculation-sheet'!G128</f>
        <v>1074157934.9249077</v>
      </c>
      <c r="H155" s="2">
        <f>H12/'Output-Calculation-sheet'!H11*'Output-Calculation-sheet'!H128</f>
        <v>83055030.69265683</v>
      </c>
      <c r="I155" s="2">
        <f>I12/'Output-Calculation-sheet'!I11*'Output-Calculation-sheet'!I128</f>
        <v>985639547.04539859</v>
      </c>
      <c r="J155" s="2">
        <f>J12/'Output-Calculation-sheet'!J11*'Output-Calculation-sheet'!J128</f>
        <v>893714164.76060283</v>
      </c>
      <c r="K155" s="2">
        <f>K12/'Output-Calculation-sheet'!K11*'Output-Calculation-sheet'!K128</f>
        <v>773941750.00194633</v>
      </c>
      <c r="L155" s="2">
        <f>L12/'Output-Calculation-sheet'!L11*'Output-Calculation-sheet'!L128</f>
        <v>291553054.92197204</v>
      </c>
      <c r="M155" s="2">
        <f>M12/'Output-Calculation-sheet'!M11*'Output-Calculation-sheet'!M128</f>
        <v>68504026.767560601</v>
      </c>
      <c r="N155" s="2">
        <f>N12/'Output-Calculation-sheet'!N11*'Output-Calculation-sheet'!N128</f>
        <v>60539850.257270545</v>
      </c>
      <c r="O155" s="2">
        <f>O12/'Output-Calculation-sheet'!O11*'Output-Calculation-sheet'!O128</f>
        <v>12467401.467097029</v>
      </c>
      <c r="P155" s="2">
        <f>P12/'Output-Calculation-sheet'!P11*'Output-Calculation-sheet'!P128</f>
        <v>79424870.226351306</v>
      </c>
      <c r="Q155" s="2">
        <f>Q12/'Output-Calculation-sheet'!Q11*'Output-Calculation-sheet'!Q128</f>
        <v>201340206.36364403</v>
      </c>
      <c r="R155" s="2">
        <f>R12/'Output-Calculation-sheet'!R11*'Output-Calculation-sheet'!R128</f>
        <v>447449517.69896722</v>
      </c>
      <c r="S155" s="2">
        <f>S12/'Output-Calculation-sheet'!S11*'Output-Calculation-sheet'!S128</f>
        <v>38646779.244448438</v>
      </c>
      <c r="T155" s="2">
        <f>T12/'Output-Calculation-sheet'!T11*'Output-Calculation-sheet'!T128</f>
        <v>114577293.13589093</v>
      </c>
      <c r="U155" s="2">
        <f>U12/'Output-Calculation-sheet'!U11*'Output-Calculation-sheet'!U128</f>
        <v>234850586.80963963</v>
      </c>
      <c r="V155" s="2">
        <f>V12/'Output-Calculation-sheet'!V11*'Output-Calculation-sheet'!V128</f>
        <v>51582611.891725123</v>
      </c>
      <c r="W155" s="2">
        <f>W12/'Output-Calculation-sheet'!W11*'Output-Calculation-sheet'!W128</f>
        <v>62768507.78646595</v>
      </c>
      <c r="X155" s="2">
        <f>X12/'Output-Calculation-sheet'!X11*'Output-Calculation-sheet'!X128</f>
        <v>2144326.0192707325</v>
      </c>
      <c r="Y155" s="2">
        <f>Y12/'Output-Calculation-sheet'!Y11*'Output-Calculation-sheet'!Y128</f>
        <v>12633086.032060713</v>
      </c>
      <c r="AA155" s="2">
        <f t="shared" si="13"/>
        <v>10893.274186276634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6038.1744506921323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1829.0356484293679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1270.520779341025</v>
      </c>
      <c r="N19" s="2">
        <f>N8/'Output-Calculation-sheet'!N7*'Output-Calculation-sheet'!N25</f>
        <v>1056.9231499219284</v>
      </c>
      <c r="O19" s="2">
        <f>O8/'Output-Calculation-sheet'!O7*'Output-Calculation-sheet'!O25</f>
        <v>663.33352063950485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137.50569068081137</v>
      </c>
      <c r="Y19" s="2">
        <f>Y8/'Output-Calculation-sheet'!Y7*'Output-Calculation-sheet'!Y25</f>
        <v>0</v>
      </c>
      <c r="AA19" s="2">
        <f t="shared" si="0"/>
        <v>12.767651760095136</v>
      </c>
    </row>
    <row r="20" spans="1:27" x14ac:dyDescent="0.25">
      <c r="A20" s="2">
        <v>2032</v>
      </c>
      <c r="B20" s="2">
        <f>B9/'Output-Calculation-sheet'!B8*'Output-Calculation-sheet'!B26</f>
        <v>6507.3378098620306</v>
      </c>
      <c r="C20" s="2">
        <f>C9/'Output-Calculation-sheet'!C8*'Output-Calculation-sheet'!C26</f>
        <v>3568.4651871213596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2142.1672717485681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1496.9612735160019</v>
      </c>
      <c r="N20" s="2">
        <f>N9/'Output-Calculation-sheet'!N8*'Output-Calculation-sheet'!N26</f>
        <v>1037.4349545170367</v>
      </c>
      <c r="O20" s="2">
        <f>O9/'Output-Calculation-sheet'!O8*'Output-Calculation-sheet'!O26</f>
        <v>697.21196638619926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492.11060210236775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162.89124957388282</v>
      </c>
      <c r="Y20" s="2">
        <f>Y9/'Output-Calculation-sheet'!Y8*'Output-Calculation-sheet'!Y26</f>
        <v>0</v>
      </c>
      <c r="AA20" s="2">
        <f t="shared" si="0"/>
        <v>16.104580314827448</v>
      </c>
    </row>
    <row r="21" spans="1:27" x14ac:dyDescent="0.25">
      <c r="A21" s="2">
        <v>2033</v>
      </c>
      <c r="B21" s="2">
        <f>B10/'Output-Calculation-sheet'!B9*'Output-Calculation-sheet'!B27</f>
        <v>6159.5781656747904</v>
      </c>
      <c r="C21" s="2">
        <f>C10/'Output-Calculation-sheet'!C9*'Output-Calculation-sheet'!C27</f>
        <v>3785.9374152538758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1241.3210163095678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878.61725540534349</v>
      </c>
      <c r="N21" s="2">
        <f>N10/'Output-Calculation-sheet'!N9*'Output-Calculation-sheet'!N27</f>
        <v>889.77331512691535</v>
      </c>
      <c r="O21" s="2">
        <f>O10/'Output-Calculation-sheet'!O9*'Output-Calculation-sheet'!O27</f>
        <v>741.20537814937552</v>
      </c>
      <c r="P21" s="2">
        <f>P10/'Output-Calculation-sheet'!P9*'Output-Calculation-sheet'!P27</f>
        <v>0</v>
      </c>
      <c r="Q21" s="2">
        <f>Q10/'Output-Calculation-sheet'!Q9*'Output-Calculation-sheet'!Q27</f>
        <v>10.776771810216468</v>
      </c>
      <c r="R21" s="2">
        <f>R10/'Output-Calculation-sheet'!R9*'Output-Calculation-sheet'!R27</f>
        <v>0</v>
      </c>
      <c r="S21" s="2">
        <f>S10/'Output-Calculation-sheet'!S9*'Output-Calculation-sheet'!S27</f>
        <v>423.6771093622238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87.733709008243295</v>
      </c>
      <c r="Y21" s="2">
        <f>Y10/'Output-Calculation-sheet'!Y9*'Output-Calculation-sheet'!Y27</f>
        <v>0</v>
      </c>
      <c r="AA21" s="2">
        <f t="shared" si="0"/>
        <v>14.218620136100553</v>
      </c>
    </row>
    <row r="22" spans="1:27" x14ac:dyDescent="0.25">
      <c r="A22" s="2">
        <v>2034</v>
      </c>
      <c r="B22" s="2">
        <f>B11/'Output-Calculation-sheet'!B10*'Output-Calculation-sheet'!B28</f>
        <v>5261.2233104950046</v>
      </c>
      <c r="C22" s="2">
        <f>C11/'Output-Calculation-sheet'!C10*'Output-Calculation-sheet'!C28</f>
        <v>534.74699202685019</v>
      </c>
      <c r="D22" s="2">
        <f>D11/'Output-Calculation-sheet'!D10*'Output-Calculation-sheet'!D28</f>
        <v>0</v>
      </c>
      <c r="E22" s="2">
        <f>E11/'Output-Calculation-sheet'!E10*'Output-Calculation-sheet'!E28</f>
        <v>1775.6489657116822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1408.0307256538044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1076.8741325305305</v>
      </c>
      <c r="M22" s="2">
        <f>M11/'Output-Calculation-sheet'!M10*'Output-Calculation-sheet'!M28</f>
        <v>1002.0901004817061</v>
      </c>
      <c r="N22" s="2">
        <f>N11/'Output-Calculation-sheet'!N10*'Output-Calculation-sheet'!N28</f>
        <v>669.90294927816626</v>
      </c>
      <c r="O22" s="2">
        <f>O11/'Output-Calculation-sheet'!O10*'Output-Calculation-sheet'!O28</f>
        <v>104.89186700226799</v>
      </c>
      <c r="P22" s="2">
        <f>P11/'Output-Calculation-sheet'!P10*'Output-Calculation-sheet'!P28</f>
        <v>0</v>
      </c>
      <c r="Q22" s="2">
        <f>Q11/'Output-Calculation-sheet'!Q10*'Output-Calculation-sheet'!Q28</f>
        <v>342.14999328864985</v>
      </c>
      <c r="R22" s="2">
        <f>R11/'Output-Calculation-sheet'!R10*'Output-Calculation-sheet'!R28</f>
        <v>0</v>
      </c>
      <c r="S22" s="2">
        <f>S11/'Output-Calculation-sheet'!S10*'Output-Calculation-sheet'!S28</f>
        <v>250.83291696789215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98.462329481045387</v>
      </c>
      <c r="Y22" s="2">
        <f>Y11/'Output-Calculation-sheet'!Y10*'Output-Calculation-sheet'!Y28</f>
        <v>40.136026547217632</v>
      </c>
      <c r="AA22" s="2">
        <f t="shared" si="0"/>
        <v>12.56499030946482</v>
      </c>
    </row>
    <row r="23" spans="1:27" x14ac:dyDescent="0.25">
      <c r="A23" s="2">
        <v>2035</v>
      </c>
      <c r="B23" s="2">
        <f>B12/'Output-Calculation-sheet'!B11*'Output-Calculation-sheet'!B29</f>
        <v>1199.754115005067</v>
      </c>
      <c r="C23" s="2">
        <f>C12/'Output-Calculation-sheet'!C11*'Output-Calculation-sheet'!C29</f>
        <v>248.98222195343826</v>
      </c>
      <c r="D23" s="2">
        <f>D12/'Output-Calculation-sheet'!D11*'Output-Calculation-sheet'!D29</f>
        <v>0</v>
      </c>
      <c r="E23" s="2">
        <f>E12/'Output-Calculation-sheet'!E11*'Output-Calculation-sheet'!E29</f>
        <v>3068.6586462932578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431.56510633777367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1769.2842691279614</v>
      </c>
      <c r="M23" s="2">
        <f>M12/'Output-Calculation-sheet'!M11*'Output-Calculation-sheet'!M29</f>
        <v>384.60908233279491</v>
      </c>
      <c r="N23" s="2">
        <f>N12/'Output-Calculation-sheet'!N11*'Output-Calculation-sheet'!N29</f>
        <v>320.22642594573745</v>
      </c>
      <c r="O23" s="2">
        <f>O12/'Output-Calculation-sheet'!O11*'Output-Calculation-sheet'!O29</f>
        <v>42.546351506287067</v>
      </c>
      <c r="P23" s="2">
        <f>P12/'Output-Calculation-sheet'!P11*'Output-Calculation-sheet'!P29</f>
        <v>66.641552823513962</v>
      </c>
      <c r="Q23" s="2">
        <f>Q12/'Output-Calculation-sheet'!Q11*'Output-Calculation-sheet'!Q29</f>
        <v>545.87525691356723</v>
      </c>
      <c r="R23" s="2">
        <f>R12/'Output-Calculation-sheet'!R11*'Output-Calculation-sheet'!R29</f>
        <v>0</v>
      </c>
      <c r="S23" s="2">
        <f>S12/'Output-Calculation-sheet'!S11*'Output-Calculation-sheet'!S29</f>
        <v>143.78431866920747</v>
      </c>
      <c r="T23" s="2">
        <f>T12/'Output-Calculation-sheet'!T11*'Output-Calculation-sheet'!T29</f>
        <v>0</v>
      </c>
      <c r="U23" s="2">
        <f>U12/'Output-Calculation-sheet'!U11*'Output-Calculation-sheet'!U29</f>
        <v>193.58699753622074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12.590361294722568</v>
      </c>
      <c r="Y23" s="2">
        <f>Y12/'Output-Calculation-sheet'!Y11*'Output-Calculation-sheet'!Y29</f>
        <v>80.087909761221951</v>
      </c>
      <c r="AA23" s="2">
        <f t="shared" si="0"/>
        <v>8.5081926155007697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1204.8700337606238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47.239886367191147</v>
      </c>
    </row>
    <row r="31" spans="1:27" x14ac:dyDescent="0.25">
      <c r="A31" s="2">
        <v>2032</v>
      </c>
      <c r="B31" s="2">
        <f>B9/'Output-Calculation-sheet'!B8*'Output-Calculation-sheet'!B17</f>
        <v>27359.542757398802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1069.7869565569281</v>
      </c>
      <c r="O31" s="2">
        <f>O9/'Output-Calculation-sheet'!O8*'Output-Calculation-sheet'!O17</f>
        <v>0</v>
      </c>
      <c r="P31" s="2">
        <f>P9/'Output-Calculation-sheet'!P8*'Output-Calculation-sheet'!P17</f>
        <v>2673.9593442376049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885.42819243269059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62.684159544179579</v>
      </c>
    </row>
    <row r="32" spans="1:27" x14ac:dyDescent="0.25">
      <c r="A32" s="2">
        <v>2033</v>
      </c>
      <c r="B32" s="2">
        <f>B10/'Output-Calculation-sheet'!B9*'Output-Calculation-sheet'!B18</f>
        <v>22280.822720632597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3487.8902087414644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901.82056449273466</v>
      </c>
      <c r="O32" s="2">
        <f>O10/'Output-Calculation-sheet'!O9*'Output-Calculation-sheet'!O18</f>
        <v>0</v>
      </c>
      <c r="P32" s="2">
        <f>P10/'Output-Calculation-sheet'!P9*'Output-Calculation-sheet'!P18</f>
        <v>3590.1023752765882</v>
      </c>
      <c r="Q32" s="2">
        <f>Q10/'Output-Calculation-sheet'!Q9*'Output-Calculation-sheet'!Q18</f>
        <v>3323.8792371209361</v>
      </c>
      <c r="R32" s="2">
        <f>R10/'Output-Calculation-sheet'!R9*'Output-Calculation-sheet'!R18</f>
        <v>2578.5945540337498</v>
      </c>
      <c r="S32" s="2">
        <f>S10/'Output-Calculation-sheet'!S9*'Output-Calculation-sheet'!S18</f>
        <v>820.3901524438578</v>
      </c>
      <c r="T32" s="2">
        <f>T10/'Output-Calculation-sheet'!T9*'Output-Calculation-sheet'!T18</f>
        <v>752.70316897486748</v>
      </c>
      <c r="U32" s="2">
        <f>U10/'Output-Calculation-sheet'!U9*'Output-Calculation-sheet'!U18</f>
        <v>832.10316243769807</v>
      </c>
      <c r="V32" s="2">
        <f>V10/'Output-Calculation-sheet'!V9*'Output-Calculation-sheet'!V18</f>
        <v>614.19729004504336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355.6242230069841</v>
      </c>
      <c r="AA32" s="2">
        <f t="shared" si="1"/>
        <v>70.832551015731582</v>
      </c>
    </row>
    <row r="33" spans="1:27" x14ac:dyDescent="0.25">
      <c r="A33" s="2">
        <v>2034</v>
      </c>
      <c r="B33" s="2">
        <f>B11/'Output-Calculation-sheet'!B10*'Output-Calculation-sheet'!B19</f>
        <v>16078.417273997564</v>
      </c>
      <c r="C33" s="2">
        <f>C11/'Output-Calculation-sheet'!C10*'Output-Calculation-sheet'!C19</f>
        <v>0</v>
      </c>
      <c r="D33" s="2">
        <f>D11/'Output-Calculation-sheet'!D10*'Output-Calculation-sheet'!D19</f>
        <v>10657.085243859794</v>
      </c>
      <c r="E33" s="2">
        <f>E11/'Output-Calculation-sheet'!E10*'Output-Calculation-sheet'!E19</f>
        <v>13212.094912907614</v>
      </c>
      <c r="F33" s="2">
        <f>F11/'Output-Calculation-sheet'!F10*'Output-Calculation-sheet'!F19</f>
        <v>6049.6068789634501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3958.7136356305136</v>
      </c>
      <c r="J33" s="2">
        <f>J11/'Output-Calculation-sheet'!J10*'Output-Calculation-sheet'!J19</f>
        <v>3347.2360078065349</v>
      </c>
      <c r="K33" s="2">
        <f>K11/'Output-Calculation-sheet'!K10*'Output-Calculation-sheet'!K19</f>
        <v>4642.5035992730463</v>
      </c>
      <c r="L33" s="2">
        <f>L11/'Output-Calculation-sheet'!L10*'Output-Calculation-sheet'!L19</f>
        <v>3776.3443808563356</v>
      </c>
      <c r="M33" s="2">
        <f>M11/'Output-Calculation-sheet'!M10*'Output-Calculation-sheet'!M19</f>
        <v>0</v>
      </c>
      <c r="N33" s="2">
        <f>N11/'Output-Calculation-sheet'!N10*'Output-Calculation-sheet'!N19</f>
        <v>716.811964500302</v>
      </c>
      <c r="O33" s="2">
        <f>O11/'Output-Calculation-sheet'!O10*'Output-Calculation-sheet'!O19</f>
        <v>0</v>
      </c>
      <c r="P33" s="2">
        <f>P11/'Output-Calculation-sheet'!P10*'Output-Calculation-sheet'!P19</f>
        <v>3559.9839596842912</v>
      </c>
      <c r="Q33" s="2">
        <f>Q11/'Output-Calculation-sheet'!Q10*'Output-Calculation-sheet'!Q19</f>
        <v>2262.7242538050564</v>
      </c>
      <c r="R33" s="2">
        <f>R11/'Output-Calculation-sheet'!R10*'Output-Calculation-sheet'!R19</f>
        <v>3353.8563374930945</v>
      </c>
      <c r="S33" s="2">
        <f>S11/'Output-Calculation-sheet'!S10*'Output-Calculation-sheet'!S19</f>
        <v>455.67668882721478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1131.8259731036687</v>
      </c>
      <c r="V33" s="2">
        <f>V11/'Output-Calculation-sheet'!V10*'Output-Calculation-sheet'!V19</f>
        <v>771.83890501684164</v>
      </c>
      <c r="W33" s="2">
        <f>W11/'Output-Calculation-sheet'!W10*'Output-Calculation-sheet'!W19</f>
        <v>480.58382141105454</v>
      </c>
      <c r="X33" s="2">
        <f>X11/'Output-Calculation-sheet'!X10*'Output-Calculation-sheet'!X19</f>
        <v>0</v>
      </c>
      <c r="Y33" s="2">
        <f>Y11/'Output-Calculation-sheet'!Y10*'Output-Calculation-sheet'!Y19</f>
        <v>393.47086026794602</v>
      </c>
      <c r="AA33" s="2">
        <f t="shared" si="1"/>
        <v>79.460643660004791</v>
      </c>
    </row>
    <row r="34" spans="1:27" x14ac:dyDescent="0.25">
      <c r="A34" s="2">
        <v>2035</v>
      </c>
      <c r="B34" s="2">
        <f>B12/'Output-Calculation-sheet'!B11*'Output-Calculation-sheet'!B20</f>
        <v>238.84103961236511</v>
      </c>
      <c r="C34" s="2">
        <f>C12/'Output-Calculation-sheet'!C11*'Output-Calculation-sheet'!C20</f>
        <v>0</v>
      </c>
      <c r="D34" s="2">
        <f>D12/'Output-Calculation-sheet'!D11*'Output-Calculation-sheet'!D20</f>
        <v>11780.43133565587</v>
      </c>
      <c r="E34" s="2">
        <f>E12/'Output-Calculation-sheet'!E11*'Output-Calculation-sheet'!E20</f>
        <v>5503.796895142219</v>
      </c>
      <c r="F34" s="2">
        <f>F12/'Output-Calculation-sheet'!F11*'Output-Calculation-sheet'!F20</f>
        <v>7477.3691173991165</v>
      </c>
      <c r="G34" s="2">
        <f>G12/'Output-Calculation-sheet'!G11*'Output-Calculation-sheet'!G20</f>
        <v>4015.6638008051423</v>
      </c>
      <c r="H34" s="2">
        <f>H12/'Output-Calculation-sheet'!H11*'Output-Calculation-sheet'!H20</f>
        <v>0</v>
      </c>
      <c r="I34" s="2">
        <f>I12/'Output-Calculation-sheet'!I11*'Output-Calculation-sheet'!I20</f>
        <v>4461.4877378114752</v>
      </c>
      <c r="J34" s="2">
        <f>J12/'Output-Calculation-sheet'!J11*'Output-Calculation-sheet'!J20</f>
        <v>3863.405163108413</v>
      </c>
      <c r="K34" s="2">
        <f>K12/'Output-Calculation-sheet'!K11*'Output-Calculation-sheet'!K20</f>
        <v>5443.2706496158971</v>
      </c>
      <c r="L34" s="2">
        <f>L12/'Output-Calculation-sheet'!L11*'Output-Calculation-sheet'!L20</f>
        <v>3014.3486749250928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1198.5323730075504</v>
      </c>
      <c r="Q34" s="2">
        <f>Q12/'Output-Calculation-sheet'!Q11*'Output-Calculation-sheet'!Q20</f>
        <v>1133.9364752375334</v>
      </c>
      <c r="R34" s="2">
        <f>R12/'Output-Calculation-sheet'!R11*'Output-Calculation-sheet'!R20</f>
        <v>4018.5665627521112</v>
      </c>
      <c r="S34" s="2">
        <f>S12/'Output-Calculation-sheet'!S11*'Output-Calculation-sheet'!S20</f>
        <v>3.2157552633178836</v>
      </c>
      <c r="T34" s="2">
        <f>T12/'Output-Calculation-sheet'!T11*'Output-Calculation-sheet'!T20</f>
        <v>1198.5541937751125</v>
      </c>
      <c r="U34" s="2">
        <f>U12/'Output-Calculation-sheet'!U11*'Output-Calculation-sheet'!U20</f>
        <v>1090.8585017468613</v>
      </c>
      <c r="V34" s="2">
        <f>V12/'Output-Calculation-sheet'!V11*'Output-Calculation-sheet'!V20</f>
        <v>1052.8355343194496</v>
      </c>
      <c r="W34" s="2">
        <f>W12/'Output-Calculation-sheet'!W11*'Output-Calculation-sheet'!W20</f>
        <v>640.38146584358185</v>
      </c>
      <c r="X34" s="2">
        <f>X12/'Output-Calculation-sheet'!X11*'Output-Calculation-sheet'!X20</f>
        <v>0</v>
      </c>
      <c r="Y34" s="2">
        <f>Y12/'Output-Calculation-sheet'!Y11*'Output-Calculation-sheet'!Y20</f>
        <v>137.74909837930315</v>
      </c>
      <c r="AA34" s="2">
        <f t="shared" si="1"/>
        <v>56.273244374400406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0.20097489361376558</v>
      </c>
      <c r="E45" s="2">
        <f>E12/'Output-Calculation-sheet'!E11*'Output-Calculation-sheet'!E38*0.0114</f>
        <v>0.10648108057979647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1.7604679164816964E-2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1.1390625629980318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0.17444330140562822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228.56977409095182</v>
      </c>
      <c r="R54" s="2">
        <f>R10/'Output-Calculation-sheet'!R9*'Output-Calculation-sheet'!R45</f>
        <v>1709.9055675918482</v>
      </c>
      <c r="S54" s="2">
        <f>S10/'Output-Calculation-sheet'!S9*'Output-Calculation-sheet'!S45</f>
        <v>0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21.327248004043057</v>
      </c>
      <c r="AA54" s="2">
        <f t="shared" si="3"/>
        <v>5.6291468823140747</v>
      </c>
    </row>
    <row r="55" spans="1:27" x14ac:dyDescent="0.25">
      <c r="A55" s="2">
        <v>2034</v>
      </c>
      <c r="B55" s="2">
        <f>B11/'Output-Calculation-sheet'!B10*'Output-Calculation-sheet'!B46</f>
        <v>1968.5191026084669</v>
      </c>
      <c r="C55" s="2">
        <f>C11/'Output-Calculation-sheet'!C10*'Output-Calculation-sheet'!C46</f>
        <v>0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713.92049981867217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529.14296262490609</v>
      </c>
      <c r="N55" s="2">
        <f>N11/'Output-Calculation-sheet'!N10*'Output-Calculation-sheet'!N46</f>
        <v>180.71110113512111</v>
      </c>
      <c r="O55" s="2">
        <f>O11/'Output-Calculation-sheet'!O10*'Output-Calculation-sheet'!O46</f>
        <v>0</v>
      </c>
      <c r="P55" s="2">
        <f>P11/'Output-Calculation-sheet'!P10*'Output-Calculation-sheet'!P46</f>
        <v>3853.7605622259634</v>
      </c>
      <c r="Q55" s="2">
        <f>Q11/'Output-Calculation-sheet'!Q10*'Output-Calculation-sheet'!Q46</f>
        <v>842.41544292497747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0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99.389511555996762</v>
      </c>
      <c r="X55" s="2">
        <f>X11/'Output-Calculation-sheet'!X10*'Output-Calculation-sheet'!X46</f>
        <v>50.50337240671314</v>
      </c>
      <c r="Y55" s="2">
        <f>Y11/'Output-Calculation-sheet'!Y10*'Output-Calculation-sheet'!Y46</f>
        <v>351.26099711466685</v>
      </c>
      <c r="AA55" s="2">
        <f t="shared" si="3"/>
        <v>52.379356736294447</v>
      </c>
    </row>
    <row r="56" spans="1:27" x14ac:dyDescent="0.25">
      <c r="A56" s="2">
        <v>2035</v>
      </c>
      <c r="B56" s="2">
        <f>B12/'Output-Calculation-sheet'!B11*'Output-Calculation-sheet'!B47</f>
        <v>587.03907208095359</v>
      </c>
      <c r="C56" s="2">
        <f>C12/'Output-Calculation-sheet'!C11*'Output-Calculation-sheet'!C47</f>
        <v>477.6382814837354</v>
      </c>
      <c r="D56" s="2">
        <f>D12/'Output-Calculation-sheet'!D11*'Output-Calculation-sheet'!D47</f>
        <v>19415.820131575478</v>
      </c>
      <c r="E56" s="2">
        <f>E12/'Output-Calculation-sheet'!E11*'Output-Calculation-sheet'!E47</f>
        <v>13496.943985772446</v>
      </c>
      <c r="F56" s="2">
        <f>F12/'Output-Calculation-sheet'!F11*'Output-Calculation-sheet'!F47</f>
        <v>4029.9054403678306</v>
      </c>
      <c r="G56" s="2">
        <f>G12/'Output-Calculation-sheet'!G11*'Output-Calculation-sheet'!G47</f>
        <v>9011.779723237436</v>
      </c>
      <c r="H56" s="2">
        <f>H12/'Output-Calculation-sheet'!H11*'Output-Calculation-sheet'!H47</f>
        <v>179.70562741135592</v>
      </c>
      <c r="I56" s="2">
        <f>I12/'Output-Calculation-sheet'!I11*'Output-Calculation-sheet'!I47</f>
        <v>5295.6188000363145</v>
      </c>
      <c r="J56" s="2">
        <f>J12/'Output-Calculation-sheet'!J11*'Output-Calculation-sheet'!J47</f>
        <v>5610.5679097566099</v>
      </c>
      <c r="K56" s="2">
        <f>K12/'Output-Calculation-sheet'!K11*'Output-Calculation-sheet'!K47</f>
        <v>7754.0158127747336</v>
      </c>
      <c r="L56" s="2">
        <f>L12/'Output-Calculation-sheet'!L11*'Output-Calculation-sheet'!L47</f>
        <v>5190.6331088470097</v>
      </c>
      <c r="M56" s="2">
        <f>M12/'Output-Calculation-sheet'!M11*'Output-Calculation-sheet'!M47</f>
        <v>119.43945050706064</v>
      </c>
      <c r="N56" s="2">
        <f>N12/'Output-Calculation-sheet'!N11*'Output-Calculation-sheet'!N47</f>
        <v>131.20015208820877</v>
      </c>
      <c r="O56" s="2">
        <f>O12/'Output-Calculation-sheet'!O11*'Output-Calculation-sheet'!O47</f>
        <v>87.636746203844567</v>
      </c>
      <c r="P56" s="2">
        <f>P12/'Output-Calculation-sheet'!P11*'Output-Calculation-sheet'!P47</f>
        <v>1690.5032736231119</v>
      </c>
      <c r="Q56" s="2">
        <f>Q12/'Output-Calculation-sheet'!Q11*'Output-Calculation-sheet'!Q47</f>
        <v>1248.7354341306659</v>
      </c>
      <c r="R56" s="2">
        <f>R12/'Output-Calculation-sheet'!R11*'Output-Calculation-sheet'!R47</f>
        <v>7052.1524947853859</v>
      </c>
      <c r="S56" s="2">
        <f>S12/'Output-Calculation-sheet'!S11*'Output-Calculation-sheet'!S47</f>
        <v>58.583429218494189</v>
      </c>
      <c r="T56" s="2">
        <f>T12/'Output-Calculation-sheet'!T11*'Output-Calculation-sheet'!T47</f>
        <v>2560.6413880408327</v>
      </c>
      <c r="U56" s="2">
        <f>U12/'Output-Calculation-sheet'!U11*'Output-Calculation-sheet'!U47</f>
        <v>2386.2833753888958</v>
      </c>
      <c r="V56" s="2">
        <f>V12/'Output-Calculation-sheet'!V11*'Output-Calculation-sheet'!V47</f>
        <v>1468.8112851951582</v>
      </c>
      <c r="W56" s="2">
        <f>W12/'Output-Calculation-sheet'!W11*'Output-Calculation-sheet'!W47</f>
        <v>868.72105816048986</v>
      </c>
      <c r="X56" s="2">
        <f>X12/'Output-Calculation-sheet'!X11*'Output-Calculation-sheet'!X47</f>
        <v>13.411056278966447</v>
      </c>
      <c r="Y56" s="2">
        <f>Y12/'Output-Calculation-sheet'!Y11*'Output-Calculation-sheet'!Y47</f>
        <v>287.54876604995377</v>
      </c>
      <c r="AA56" s="2">
        <f t="shared" si="3"/>
        <v>89.023335803014973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8.7121896264837719</v>
      </c>
      <c r="C63" s="2">
        <f>C8*'Output-Calculation-sheet'!C52/10^9</f>
        <v>4.6544997704486404</v>
      </c>
      <c r="D63" s="2">
        <f>D8*'Output-Calculation-sheet'!D52/10^9</f>
        <v>2.9875965270508344</v>
      </c>
      <c r="E63" s="2">
        <f>E8*'Output-Calculation-sheet'!E52/10^9</f>
        <v>2.9704723356179397</v>
      </c>
      <c r="F63" s="2">
        <f>F8*'Output-Calculation-sheet'!F52/10^9</f>
        <v>1.2579947885665086</v>
      </c>
      <c r="G63" s="2">
        <f>G8*'Output-Calculation-sheet'!G52/10^9</f>
        <v>0.90444142162776886</v>
      </c>
      <c r="H63" s="2">
        <f>H8*'Output-Calculation-sheet'!H52/10^9</f>
        <v>1.4709870848791822</v>
      </c>
      <c r="I63" s="2">
        <f>I8*'Output-Calculation-sheet'!I52/10^9</f>
        <v>0.84134049946973632</v>
      </c>
      <c r="J63" s="2">
        <f>J8*'Output-Calculation-sheet'!J52/10^9</f>
        <v>1.1577415549545502</v>
      </c>
      <c r="K63" s="2">
        <f>K8*'Output-Calculation-sheet'!K52/10^9</f>
        <v>1.0171789279393471</v>
      </c>
      <c r="L63" s="2">
        <f>L8*'Output-Calculation-sheet'!L52/10^9</f>
        <v>1.3681545988277226</v>
      </c>
      <c r="M63" s="2">
        <f>M8*'Output-Calculation-sheet'!M52/10^9</f>
        <v>1.2050811085874926</v>
      </c>
      <c r="N63" s="2">
        <f>N8*'Output-Calculation-sheet'!N52/10^9</f>
        <v>1.0633093899544614</v>
      </c>
      <c r="O63" s="2">
        <f>O8*'Output-Calculation-sheet'!O52/10^9</f>
        <v>0.95227047237937845</v>
      </c>
      <c r="P63" s="2">
        <f>P8*'Output-Calculation-sheet'!P52/10^9</f>
        <v>0.70284320080993845</v>
      </c>
      <c r="Q63" s="2">
        <f>Q8*'Output-Calculation-sheet'!Q52/10^9</f>
        <v>0.79541253799455058</v>
      </c>
      <c r="R63" s="2">
        <f>R8*'Output-Calculation-sheet'!R52/10^9</f>
        <v>0.71412256952545128</v>
      </c>
      <c r="S63" s="2">
        <f>S8*'Output-Calculation-sheet'!S52/10^9</f>
        <v>0.52919012663745424</v>
      </c>
      <c r="T63" s="2">
        <f>T8*'Output-Calculation-sheet'!T52/10^9</f>
        <v>0.27149919972204839</v>
      </c>
      <c r="U63" s="2">
        <f>U8*'Output-Calculation-sheet'!U52/10^9</f>
        <v>0.186462741075196</v>
      </c>
      <c r="V63" s="2">
        <f>V8*'Output-Calculation-sheet'!V52/10^9</f>
        <v>0.33092730080781851</v>
      </c>
      <c r="W63" s="2">
        <f>W8*'Output-Calculation-sheet'!W52/10^9</f>
        <v>0.11978017879160838</v>
      </c>
      <c r="X63" s="2">
        <f>X8*'Output-Calculation-sheet'!X52/10^9</f>
        <v>0.12341927601461258</v>
      </c>
      <c r="Y63" s="2">
        <f>Y8*'Output-Calculation-sheet'!Y52/10^9</f>
        <v>7.8153234669385743E-2</v>
      </c>
      <c r="AA63" s="2">
        <f t="shared" si="4"/>
        <v>34.415068472835401</v>
      </c>
    </row>
    <row r="64" spans="1:27" x14ac:dyDescent="0.25">
      <c r="A64" s="2">
        <v>2032</v>
      </c>
      <c r="B64" s="2">
        <f>B9*'Output-Calculation-sheet'!B53/10^9</f>
        <v>9.3296939193826915</v>
      </c>
      <c r="C64" s="2">
        <f>C9*'Output-Calculation-sheet'!C53/10^9</f>
        <v>4.9459588917614008</v>
      </c>
      <c r="D64" s="2">
        <f>D9*'Output-Calculation-sheet'!D53/10^9</f>
        <v>2.7631512864870609</v>
      </c>
      <c r="E64" s="2">
        <f>E9*'Output-Calculation-sheet'!E53/10^9</f>
        <v>2.8295884902179305</v>
      </c>
      <c r="F64" s="2">
        <f>F9*'Output-Calculation-sheet'!F53/10^9</f>
        <v>1.1935026821972921</v>
      </c>
      <c r="G64" s="2">
        <f>G9*'Output-Calculation-sheet'!G53/10^9</f>
        <v>0.8494986986269516</v>
      </c>
      <c r="H64" s="2">
        <f>H9*'Output-Calculation-sheet'!H53/10^9</f>
        <v>1.5522525053140033</v>
      </c>
      <c r="I64" s="2">
        <f>I9*'Output-Calculation-sheet'!I53/10^9</f>
        <v>0.79414244424565195</v>
      </c>
      <c r="J64" s="2">
        <f>J9*'Output-Calculation-sheet'!J53/10^9</f>
        <v>1.0512832383228972</v>
      </c>
      <c r="K64" s="2">
        <f>K9*'Output-Calculation-sheet'!K53/10^9</f>
        <v>0.97544781438796313</v>
      </c>
      <c r="L64" s="2">
        <f>L9*'Output-Calculation-sheet'!L53/10^9</f>
        <v>1.254910697666106</v>
      </c>
      <c r="M64" s="2">
        <f>M9*'Output-Calculation-sheet'!M53/10^9</f>
        <v>1.2315308136556742</v>
      </c>
      <c r="N64" s="2">
        <f>N9*'Output-Calculation-sheet'!N53/10^9</f>
        <v>1.1087756488867864</v>
      </c>
      <c r="O64" s="2">
        <f>O9*'Output-Calculation-sheet'!O53/10^9</f>
        <v>1.0015937145166955</v>
      </c>
      <c r="P64" s="2">
        <f>P9*'Output-Calculation-sheet'!P53/10^9</f>
        <v>0.74371721334863705</v>
      </c>
      <c r="Q64" s="2">
        <f>Q9*'Output-Calculation-sheet'!Q53/10^9</f>
        <v>0.82191443963868238</v>
      </c>
      <c r="R64" s="2">
        <f>R9*'Output-Calculation-sheet'!R53/10^9</f>
        <v>0.70457477134082003</v>
      </c>
      <c r="S64" s="2">
        <f>S9*'Output-Calculation-sheet'!S53/10^9</f>
        <v>0.56695160285709267</v>
      </c>
      <c r="T64" s="2">
        <f>T9*'Output-Calculation-sheet'!T53/10^9</f>
        <v>0.25327528450684722</v>
      </c>
      <c r="U64" s="2">
        <f>U9*'Output-Calculation-sheet'!U53/10^9</f>
        <v>0.19063502596935145</v>
      </c>
      <c r="V64" s="2">
        <f>V9*'Output-Calculation-sheet'!V53/10^9</f>
        <v>0.30062063570939718</v>
      </c>
      <c r="W64" s="2">
        <f>W9*'Output-Calculation-sheet'!W53/10^9</f>
        <v>0.11170501660865639</v>
      </c>
      <c r="X64" s="2">
        <f>X9*'Output-Calculation-sheet'!X53/10^9</f>
        <v>0.12806820340405367</v>
      </c>
      <c r="Y64" s="2">
        <f>Y9*'Output-Calculation-sheet'!Y53/10^9</f>
        <v>7.8264220825632475E-2</v>
      </c>
      <c r="AA64" s="2">
        <f t="shared" si="4"/>
        <v>34.781057259878281</v>
      </c>
    </row>
    <row r="65" spans="1:27" x14ac:dyDescent="0.25">
      <c r="A65" s="2">
        <v>2033</v>
      </c>
      <c r="B65" s="2">
        <f>B10*'Output-Calculation-sheet'!B54/10^9</f>
        <v>9.6737678107143203</v>
      </c>
      <c r="C65" s="2">
        <f>C10*'Output-Calculation-sheet'!C54/10^9</f>
        <v>5.0005439476700193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1.5703395727066054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0.91486337443812349</v>
      </c>
      <c r="L65" s="2">
        <f>L10*'Output-Calculation-sheet'!L54/10^9</f>
        <v>1.0806327095018846</v>
      </c>
      <c r="M65" s="2">
        <f>M10*'Output-Calculation-sheet'!M54/10^9</f>
        <v>1.197483931508285</v>
      </c>
      <c r="N65" s="2">
        <f>N10*'Output-Calculation-sheet'!N54/10^9</f>
        <v>1.0988382459878885</v>
      </c>
      <c r="O65" s="2">
        <f>O10*'Output-Calculation-sheet'!O54/10^9</f>
        <v>1.0021311191523241</v>
      </c>
      <c r="P65" s="2">
        <f>P10*'Output-Calculation-sheet'!P54/10^9</f>
        <v>0.77406773187886224</v>
      </c>
      <c r="Q65" s="2">
        <f>Q10*'Output-Calculation-sheet'!Q54/10^9</f>
        <v>0.84321732687352036</v>
      </c>
      <c r="R65" s="2">
        <f>R10*'Output-Calculation-sheet'!R54/10^9</f>
        <v>0.68154289574978311</v>
      </c>
      <c r="S65" s="2">
        <f>S10*'Output-Calculation-sheet'!S54/10^9</f>
        <v>0.57963558626635314</v>
      </c>
      <c r="T65" s="2">
        <f>T10*'Output-Calculation-sheet'!T54/10^9</f>
        <v>0.22784929671094306</v>
      </c>
      <c r="U65" s="2">
        <f>U10*'Output-Calculation-sheet'!U54/10^9</f>
        <v>0.19674335591358028</v>
      </c>
      <c r="V65" s="2">
        <f>V10*'Output-Calculation-sheet'!V54/10^9</f>
        <v>0.25215919579186802</v>
      </c>
      <c r="W65" s="2">
        <f>W10*'Output-Calculation-sheet'!W54/10^9</f>
        <v>9.6002804957355956E-2</v>
      </c>
      <c r="X65" s="2">
        <f>X10*'Output-Calculation-sheet'!X54/10^9</f>
        <v>0.12555703581651315</v>
      </c>
      <c r="Y65" s="2">
        <f>Y10*'Output-Calculation-sheet'!Y54/10^9</f>
        <v>7.9021998912553182E-2</v>
      </c>
      <c r="AA65" s="2">
        <f t="shared" si="4"/>
        <v>33.770165503238715</v>
      </c>
    </row>
    <row r="66" spans="1:27" x14ac:dyDescent="0.25">
      <c r="A66" s="2">
        <v>2034</v>
      </c>
      <c r="B66" s="2">
        <f>B11*'Output-Calculation-sheet'!B55/10^9</f>
        <v>9.741277584701475</v>
      </c>
      <c r="C66" s="2">
        <f>C11*'Output-Calculation-sheet'!C55/10^9</f>
        <v>4.9002479046188743</v>
      </c>
      <c r="D66" s="2">
        <f>D11*'Output-Calculation-sheet'!D55/10^9</f>
        <v>2.1984526291813276</v>
      </c>
      <c r="E66" s="2">
        <f>E11*'Output-Calculation-sheet'!E55/10^9</f>
        <v>2.6621702151380346</v>
      </c>
      <c r="F66" s="2">
        <f>F11*'Output-Calculation-sheet'!F55/10^9</f>
        <v>1.0231173102590043</v>
      </c>
      <c r="G66" s="2">
        <f>G11*'Output-Calculation-sheet'!G55/10^9</f>
        <v>0.73130196400527303</v>
      </c>
      <c r="H66" s="2">
        <f>H11*'Output-Calculation-sheet'!H55/10^9</f>
        <v>1.5260394740323104</v>
      </c>
      <c r="I66" s="2">
        <f>I11*'Output-Calculation-sheet'!I55/10^9</f>
        <v>0.7151247296246197</v>
      </c>
      <c r="J66" s="2">
        <f>J11*'Output-Calculation-sheet'!J55/10^9</f>
        <v>0.7353883528948596</v>
      </c>
      <c r="K66" s="2">
        <f>K11*'Output-Calculation-sheet'!K55/10^9</f>
        <v>0.87955950821847806</v>
      </c>
      <c r="L66" s="2">
        <f>L11*'Output-Calculation-sheet'!L55/10^9</f>
        <v>0.93148421758091904</v>
      </c>
      <c r="M66" s="2">
        <f>M11*'Output-Calculation-sheet'!M55/10^9</f>
        <v>1.1123773352635125</v>
      </c>
      <c r="N66" s="2">
        <f>N11*'Output-Calculation-sheet'!N55/10^9</f>
        <v>1.0508750407929459</v>
      </c>
      <c r="O66" s="2">
        <f>O11*'Output-Calculation-sheet'!O55/10^9</f>
        <v>0.96585535899999664</v>
      </c>
      <c r="P66" s="2">
        <f>P11*'Output-Calculation-sheet'!P55/10^9</f>
        <v>0.80654014703228627</v>
      </c>
      <c r="Q66" s="2">
        <f>Q11*'Output-Calculation-sheet'!Q55/10^9</f>
        <v>0.85313635133829424</v>
      </c>
      <c r="R66" s="2">
        <f>R11*'Output-Calculation-sheet'!R55/10^9</f>
        <v>0.65888859736749528</v>
      </c>
      <c r="S66" s="2">
        <f>S11*'Output-Calculation-sheet'!S55/10^9</f>
        <v>0.57475863964016027</v>
      </c>
      <c r="T66" s="2">
        <f>T11*'Output-Calculation-sheet'!T55/10^9</f>
        <v>0.20652877249335191</v>
      </c>
      <c r="U66" s="2">
        <f>U11*'Output-Calculation-sheet'!U55/10^9</f>
        <v>0.21086302379988223</v>
      </c>
      <c r="V66" s="2">
        <f>V11*'Output-Calculation-sheet'!V55/10^9</f>
        <v>0.19592167707030389</v>
      </c>
      <c r="W66" s="2">
        <f>W11*'Output-Calculation-sheet'!W55/10^9</f>
        <v>8.8713210006980264E-2</v>
      </c>
      <c r="X66" s="2">
        <f>X11*'Output-Calculation-sheet'!X55/10^9</f>
        <v>0.11884846410922661</v>
      </c>
      <c r="Y66" s="2">
        <f>Y11*'Output-Calculation-sheet'!Y55/10^9</f>
        <v>8.6732277475068884E-2</v>
      </c>
      <c r="AA66" s="2">
        <f t="shared" si="4"/>
        <v>32.974202785644671</v>
      </c>
    </row>
    <row r="67" spans="1:27" x14ac:dyDescent="0.25">
      <c r="A67" s="2">
        <v>2035</v>
      </c>
      <c r="B67" s="2">
        <f>B12*'Output-Calculation-sheet'!B56/10^9</f>
        <v>9.8912604852930652</v>
      </c>
      <c r="C67" s="2">
        <f>C12*'Output-Calculation-sheet'!C56/10^9</f>
        <v>4.6274012634712429</v>
      </c>
      <c r="D67" s="2">
        <f>D12*'Output-Calculation-sheet'!D56/10^9</f>
        <v>2.5239958293942935</v>
      </c>
      <c r="E67" s="2">
        <f>E12*'Output-Calculation-sheet'!E56/10^9</f>
        <v>3.0868994610990752</v>
      </c>
      <c r="F67" s="2">
        <f>F12*'Output-Calculation-sheet'!F56/10^9</f>
        <v>1.2493249722808781</v>
      </c>
      <c r="G67" s="2">
        <f>G12*'Output-Calculation-sheet'!G56/10^9</f>
        <v>0.91701273947826256</v>
      </c>
      <c r="H67" s="2">
        <f>H12*'Output-Calculation-sheet'!H56/10^9</f>
        <v>1.4624331738291296</v>
      </c>
      <c r="I67" s="2">
        <f>I12*'Output-Calculation-sheet'!I56/10^9</f>
        <v>0.86621111746709067</v>
      </c>
      <c r="J67" s="2">
        <f>J12*'Output-Calculation-sheet'!J56/10^9</f>
        <v>0.80461579715822873</v>
      </c>
      <c r="K67" s="2">
        <f>K12*'Output-Calculation-sheet'!K56/10^9</f>
        <v>0.9886657238275578</v>
      </c>
      <c r="L67" s="2">
        <f>L12*'Output-Calculation-sheet'!L56/10^9</f>
        <v>0.94393052900463892</v>
      </c>
      <c r="M67" s="2">
        <f>M12*'Output-Calculation-sheet'!M56/10^9</f>
        <v>1.01794468475921</v>
      </c>
      <c r="N67" s="2">
        <f>N12*'Output-Calculation-sheet'!N56/10^9</f>
        <v>0.99195350912499813</v>
      </c>
      <c r="O67" s="2">
        <f>O12*'Output-Calculation-sheet'!O56/10^9</f>
        <v>0.89943941776810299</v>
      </c>
      <c r="P67" s="2">
        <f>P12*'Output-Calculation-sheet'!P56/10^9</f>
        <v>0.87464306237070322</v>
      </c>
      <c r="Q67" s="2">
        <f>Q12*'Output-Calculation-sheet'!Q56/10^9</f>
        <v>0.8856188349731724</v>
      </c>
      <c r="R67" s="2">
        <f>R12*'Output-Calculation-sheet'!R56/10^9</f>
        <v>0.72902711675061083</v>
      </c>
      <c r="S67" s="2">
        <f>S12*'Output-Calculation-sheet'!S56/10^9</f>
        <v>0.56711149481703782</v>
      </c>
      <c r="T67" s="2">
        <f>T12*'Output-Calculation-sheet'!T56/10^9</f>
        <v>0.22341643012387363</v>
      </c>
      <c r="U67" s="2">
        <f>U12*'Output-Calculation-sheet'!U56/10^9</f>
        <v>0.23992780363799385</v>
      </c>
      <c r="V67" s="2">
        <f>V12*'Output-Calculation-sheet'!V56/10^9</f>
        <v>0.17151208860659847</v>
      </c>
      <c r="W67" s="2">
        <f>W12*'Output-Calculation-sheet'!W56/10^9</f>
        <v>0.11385454032195146</v>
      </c>
      <c r="X67" s="2">
        <f>X12*'Output-Calculation-sheet'!X56/10^9</f>
        <v>0.10840034218324886</v>
      </c>
      <c r="Y67" s="2">
        <f>Y12*'Output-Calculation-sheet'!Y56/10^9</f>
        <v>0.10125248089016987</v>
      </c>
      <c r="AA67" s="2">
        <f t="shared" si="4"/>
        <v>34.285852898631148</v>
      </c>
    </row>
    <row r="68" spans="1:27" x14ac:dyDescent="0.25">
      <c r="B68" s="2">
        <f>SUM(B60:B67)</f>
        <v>47.348189426575324</v>
      </c>
      <c r="C68" s="2">
        <f t="shared" ref="C68:Y68" si="5">SUM(C60:C67)</f>
        <v>24.128651777970177</v>
      </c>
      <c r="D68" s="2">
        <f t="shared" si="5"/>
        <v>12.820753111942143</v>
      </c>
      <c r="E68" s="2">
        <f t="shared" si="5"/>
        <v>14.192439491616476</v>
      </c>
      <c r="F68" s="2">
        <f t="shared" si="5"/>
        <v>5.7970768539676207</v>
      </c>
      <c r="G68" s="2">
        <f t="shared" si="5"/>
        <v>4.1390611293696136</v>
      </c>
      <c r="H68" s="2">
        <f t="shared" si="5"/>
        <v>7.5820518107612305</v>
      </c>
      <c r="I68" s="2">
        <f t="shared" si="5"/>
        <v>3.9342672303972059</v>
      </c>
      <c r="J68" s="2">
        <f t="shared" si="5"/>
        <v>4.6065388307609325</v>
      </c>
      <c r="K68" s="2">
        <f t="shared" si="5"/>
        <v>4.7757153488114694</v>
      </c>
      <c r="L68" s="2">
        <f t="shared" si="5"/>
        <v>5.5791127525812714</v>
      </c>
      <c r="M68" s="2">
        <f t="shared" si="5"/>
        <v>5.7644178737741747</v>
      </c>
      <c r="N68" s="2">
        <f t="shared" si="5"/>
        <v>5.3137518347470794</v>
      </c>
      <c r="O68" s="2">
        <f t="shared" si="5"/>
        <v>4.821290082816498</v>
      </c>
      <c r="P68" s="2">
        <f t="shared" si="5"/>
        <v>3.9018113554404272</v>
      </c>
      <c r="Q68" s="2">
        <f t="shared" si="5"/>
        <v>4.1992994908182197</v>
      </c>
      <c r="R68" s="2">
        <f t="shared" si="5"/>
        <v>3.4881559507341602</v>
      </c>
      <c r="S68" s="2">
        <f t="shared" si="5"/>
        <v>2.8176474502180979</v>
      </c>
      <c r="T68" s="2">
        <f t="shared" si="5"/>
        <v>1.1825689835570641</v>
      </c>
      <c r="U68" s="2">
        <f t="shared" si="5"/>
        <v>1.0246319503960037</v>
      </c>
      <c r="V68" s="2">
        <f t="shared" si="5"/>
        <v>1.2511408979859859</v>
      </c>
      <c r="W68" s="2">
        <f t="shared" si="5"/>
        <v>0.53005575068655242</v>
      </c>
      <c r="X68" s="2">
        <f t="shared" si="5"/>
        <v>0.6042933215276548</v>
      </c>
      <c r="Y68" s="2">
        <f t="shared" si="5"/>
        <v>0.42342421277281017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61.251548612757674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6.1251548612757674E-2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609.19443854038218</v>
      </c>
      <c r="Q76" s="2">
        <f>Q10/'Output-Calculation-sheet'!Q9*'Output-Calculation-sheet'!Q63</f>
        <v>72.249147361118403</v>
      </c>
      <c r="R76" s="2">
        <f>R10/'Output-Calculation-sheet'!R9*'Output-Calculation-sheet'!R63</f>
        <v>464.8874053496113</v>
      </c>
      <c r="S76" s="2">
        <f>S10/'Output-Calculation-sheet'!S9*'Output-Calculation-sheet'!S63</f>
        <v>0</v>
      </c>
      <c r="T76" s="2">
        <f>T10/'Output-Calculation-sheet'!T9*'Output-Calculation-sheet'!T63</f>
        <v>30.465892312866213</v>
      </c>
      <c r="U76" s="2">
        <f>U10/'Output-Calculation-sheet'!U9*'Output-Calculation-sheet'!U63</f>
        <v>164.70582644443601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7.8121133026701495</v>
      </c>
      <c r="AA76" s="2">
        <f t="shared" si="6"/>
        <v>1.4772044889948277</v>
      </c>
    </row>
    <row r="77" spans="1:27" x14ac:dyDescent="0.25">
      <c r="A77" s="2">
        <v>2034</v>
      </c>
      <c r="B77" s="2">
        <f>B11/'Output-Calculation-sheet'!B10*'Output-Calculation-sheet'!B64</f>
        <v>599.39312505169721</v>
      </c>
      <c r="C77" s="2">
        <f>C11/'Output-Calculation-sheet'!C10*'Output-Calculation-sheet'!C64</f>
        <v>0</v>
      </c>
      <c r="D77" s="2">
        <f>D11/'Output-Calculation-sheet'!D10*'Output-Calculation-sheet'!D64</f>
        <v>2132.0110659677594</v>
      </c>
      <c r="E77" s="2">
        <f>E11/'Output-Calculation-sheet'!E10*'Output-Calculation-sheet'!E64</f>
        <v>2643.6337171370142</v>
      </c>
      <c r="F77" s="2">
        <f>F11/'Output-Calculation-sheet'!F10*'Output-Calculation-sheet'!F64</f>
        <v>172.00799238200111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174.80037472131693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465.05997352370809</v>
      </c>
      <c r="K77" s="2">
        <f>K11/'Output-Calculation-sheet'!K10*'Output-Calculation-sheet'!K64</f>
        <v>1016.2201971332446</v>
      </c>
      <c r="L77" s="2">
        <f>L11/'Output-Calculation-sheet'!L10*'Output-Calculation-sheet'!L64</f>
        <v>418.97745211207814</v>
      </c>
      <c r="M77" s="2">
        <f>M11/'Output-Calculation-sheet'!M10*'Output-Calculation-sheet'!M64</f>
        <v>125.89391823767528</v>
      </c>
      <c r="N77" s="2">
        <f>N11/'Output-Calculation-sheet'!N10*'Output-Calculation-sheet'!N64</f>
        <v>41.636665385964584</v>
      </c>
      <c r="O77" s="2">
        <f>O11/'Output-Calculation-sheet'!O10*'Output-Calculation-sheet'!O64</f>
        <v>0</v>
      </c>
      <c r="P77" s="2">
        <f>P11/'Output-Calculation-sheet'!P10*'Output-Calculation-sheet'!P64</f>
        <v>863.49979306611897</v>
      </c>
      <c r="Q77" s="2">
        <f>Q11/'Output-Calculation-sheet'!Q10*'Output-Calculation-sheet'!Q64</f>
        <v>207.13388262989915</v>
      </c>
      <c r="R77" s="2">
        <f>R11/'Output-Calculation-sheet'!R10*'Output-Calculation-sheet'!R64</f>
        <v>1065.7960894491812</v>
      </c>
      <c r="S77" s="2">
        <f>S11/'Output-Calculation-sheet'!S10*'Output-Calculation-sheet'!S64</f>
        <v>0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391.82742786653864</v>
      </c>
      <c r="V77" s="2">
        <f>V11/'Output-Calculation-sheet'!V10*'Output-Calculation-sheet'!V64</f>
        <v>153.0466497331827</v>
      </c>
      <c r="W77" s="2">
        <f>W11/'Output-Calculation-sheet'!W10*'Output-Calculation-sheet'!W64</f>
        <v>33.515379228432025</v>
      </c>
      <c r="X77" s="2">
        <f>X11/'Output-Calculation-sheet'!X10*'Output-Calculation-sheet'!X64</f>
        <v>12.550242016764578</v>
      </c>
      <c r="Y77" s="2">
        <f>Y11/'Output-Calculation-sheet'!Y10*'Output-Calculation-sheet'!Y64</f>
        <v>70.739715214614094</v>
      </c>
      <c r="AA77" s="2">
        <f t="shared" si="6"/>
        <v>12.664287056822367</v>
      </c>
    </row>
    <row r="78" spans="1:27" x14ac:dyDescent="0.25">
      <c r="A78" s="2">
        <v>2035</v>
      </c>
      <c r="B78" s="2">
        <f>B12/'Output-Calculation-sheet'!B11*'Output-Calculation-sheet'!B65</f>
        <v>111.62128641996416</v>
      </c>
      <c r="C78" s="2">
        <f>C12/'Output-Calculation-sheet'!C11*'Output-Calculation-sheet'!C65</f>
        <v>89.404598882726418</v>
      </c>
      <c r="D78" s="2">
        <f>D12/'Output-Calculation-sheet'!D11*'Output-Calculation-sheet'!D65</f>
        <v>4267.2141198014706</v>
      </c>
      <c r="E78" s="2">
        <f>E12/'Output-Calculation-sheet'!E11*'Output-Calculation-sheet'!E65</f>
        <v>2069.3243646062033</v>
      </c>
      <c r="F78" s="2">
        <f>F12/'Output-Calculation-sheet'!F11*'Output-Calculation-sheet'!F65</f>
        <v>1067.1700687396219</v>
      </c>
      <c r="G78" s="2">
        <f>G12/'Output-Calculation-sheet'!G11*'Output-Calculation-sheet'!G65</f>
        <v>1980.6100015824481</v>
      </c>
      <c r="H78" s="2">
        <f>H12/'Output-Calculation-sheet'!H11*'Output-Calculation-sheet'!H65</f>
        <v>37.538055034949373</v>
      </c>
      <c r="I78" s="2">
        <f>I12/'Output-Calculation-sheet'!I11*'Output-Calculation-sheet'!I65</f>
        <v>1316.2807532869354</v>
      </c>
      <c r="J78" s="2">
        <f>J12/'Output-Calculation-sheet'!J11*'Output-Calculation-sheet'!J65</f>
        <v>1368.9954579776656</v>
      </c>
      <c r="K78" s="2">
        <f>K12/'Output-Calculation-sheet'!K11*'Output-Calculation-sheet'!K65</f>
        <v>1704.178378000855</v>
      </c>
      <c r="L78" s="2">
        <f>L12/'Output-Calculation-sheet'!L11*'Output-Calculation-sheet'!L65</f>
        <v>926.40131876995451</v>
      </c>
      <c r="M78" s="2">
        <f>M12/'Output-Calculation-sheet'!M11*'Output-Calculation-sheet'!M65</f>
        <v>26.249980881439999</v>
      </c>
      <c r="N78" s="2">
        <f>N12/'Output-Calculation-sheet'!N11*'Output-Calculation-sheet'!N65</f>
        <v>27.286869525882409</v>
      </c>
      <c r="O78" s="2">
        <f>O12/'Output-Calculation-sheet'!O11*'Output-Calculation-sheet'!O65</f>
        <v>15.58000918909231</v>
      </c>
      <c r="P78" s="2">
        <f>P12/'Output-Calculation-sheet'!P11*'Output-Calculation-sheet'!P65</f>
        <v>320.91493465239347</v>
      </c>
      <c r="Q78" s="2">
        <f>Q12/'Output-Calculation-sheet'!Q11*'Output-Calculation-sheet'!Q65</f>
        <v>239.13767569584476</v>
      </c>
      <c r="R78" s="2">
        <f>R12/'Output-Calculation-sheet'!R11*'Output-Calculation-sheet'!R65</f>
        <v>1474.7842403719724</v>
      </c>
      <c r="S78" s="2">
        <f>S12/'Output-Calculation-sheet'!S11*'Output-Calculation-sheet'!S65</f>
        <v>11.180726633145856</v>
      </c>
      <c r="T78" s="2">
        <f>T12/'Output-Calculation-sheet'!T11*'Output-Calculation-sheet'!T65</f>
        <v>535.19091979067719</v>
      </c>
      <c r="U78" s="2">
        <f>U12/'Output-Calculation-sheet'!U11*'Output-Calculation-sheet'!U65</f>
        <v>440.25210275436456</v>
      </c>
      <c r="V78" s="2">
        <f>V12/'Output-Calculation-sheet'!V11*'Output-Calculation-sheet'!V65</f>
        <v>266.86401778384442</v>
      </c>
      <c r="W78" s="2">
        <f>W12/'Output-Calculation-sheet'!W11*'Output-Calculation-sheet'!W65</f>
        <v>190.92761727480425</v>
      </c>
      <c r="X78" s="2">
        <f>X12/'Output-Calculation-sheet'!X11*'Output-Calculation-sheet'!X65</f>
        <v>2.6800531547828808</v>
      </c>
      <c r="Y78" s="2">
        <f>Y12/'Output-Calculation-sheet'!Y11*'Output-Calculation-sheet'!Y65</f>
        <v>46.968480235426959</v>
      </c>
      <c r="AA78" s="2">
        <f t="shared" si="6"/>
        <v>18.536756031046469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94.023342041527741</v>
      </c>
      <c r="E89" s="2">
        <f>E12/'Output-Calculation-sheet'!E11*'Output-Calculation-sheet'!E74</f>
        <v>70.053342486708203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48.484428920341763</v>
      </c>
      <c r="H89" s="2">
        <f>H12/'Output-Calculation-sheet'!H11*'Output-Calculation-sheet'!H74</f>
        <v>6.1263282072053151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22.51732940370546</v>
      </c>
      <c r="K89" s="2">
        <f>K12/'Output-Calculation-sheet'!K11*'Output-Calculation-sheet'!K74</f>
        <v>31.679468593407947</v>
      </c>
      <c r="L89" s="2">
        <f>L12/'Output-Calculation-sheet'!L11*'Output-Calculation-sheet'!L74</f>
        <v>11.854143554318036</v>
      </c>
      <c r="M89" s="2">
        <f>M12/'Output-Calculation-sheet'!M11*'Output-Calculation-sheet'!M74</f>
        <v>5.6206800238616772</v>
      </c>
      <c r="N89" s="2">
        <f>N12/'Output-Calculation-sheet'!N11*'Output-Calculation-sheet'!N74</f>
        <v>2.7621084650149217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5.103406109050904</v>
      </c>
      <c r="Q89" s="2">
        <f>Q12/'Output-Calculation-sheet'!Q11*'Output-Calculation-sheet'!Q74</f>
        <v>7.2600897333178249</v>
      </c>
      <c r="R89" s="2">
        <f>R12/'Output-Calculation-sheet'!R11*'Output-Calculation-sheet'!R74</f>
        <v>20.399284058422928</v>
      </c>
      <c r="S89" s="2">
        <f>S12/'Output-Calculation-sheet'!S11*'Output-Calculation-sheet'!S74</f>
        <v>2.3750038872362507</v>
      </c>
      <c r="T89" s="2">
        <f>T12/'Output-Calculation-sheet'!T11*'Output-Calculation-sheet'!T74</f>
        <v>5.3272705715135213</v>
      </c>
      <c r="U89" s="2">
        <f>U12/'Output-Calculation-sheet'!U11*'Output-Calculation-sheet'!U74</f>
        <v>10.809890715238486</v>
      </c>
      <c r="V89" s="2">
        <f>V12/'Output-Calculation-sheet'!V11*'Output-Calculation-sheet'!V74</f>
        <v>1.4884589432460054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2.6776398287114165</v>
      </c>
      <c r="AA89" s="2">
        <f t="shared" si="7"/>
        <v>0.48675374459087556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2059.0617280980036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633.84306162586881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436.14571170302588</v>
      </c>
      <c r="N107" s="2">
        <f>N8/'Output-Calculation-sheet'!N7*'Output-Calculation-sheet'!N88</f>
        <v>171.46420108038262</v>
      </c>
      <c r="O107" s="2">
        <f>O8/'Output-Calculation-sheet'!O7*'Output-Calculation-sheet'!O88</f>
        <v>480.02218968037363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47.846091683653938</v>
      </c>
      <c r="Y107" s="2">
        <f>Y8/'Output-Calculation-sheet'!Y7*'Output-Calculation-sheet'!Y88</f>
        <v>0</v>
      </c>
      <c r="AA107" s="2">
        <f t="shared" si="9"/>
        <v>3.8283829838713088</v>
      </c>
    </row>
    <row r="108" spans="1:27" x14ac:dyDescent="0.25">
      <c r="A108" s="2">
        <v>2032</v>
      </c>
      <c r="B108" s="2">
        <f>B9/'Output-Calculation-sheet'!B8*'Output-Calculation-sheet'!B89</f>
        <v>974.5085523120207</v>
      </c>
      <c r="C108" s="2">
        <f>C9/'Output-Calculation-sheet'!C8*'Output-Calculation-sheet'!C89</f>
        <v>3700.1945145635318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996.65530384684223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685.79584306541494</v>
      </c>
      <c r="N108" s="2">
        <f>N9/'Output-Calculation-sheet'!N8*'Output-Calculation-sheet'!N89</f>
        <v>481.4472105971243</v>
      </c>
      <c r="O108" s="2">
        <f>O9/'Output-Calculation-sheet'!O8*'Output-Calculation-sheet'!O89</f>
        <v>718.84499983915077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220.78572919204905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75.233230324453842</v>
      </c>
      <c r="Y108" s="2">
        <f>Y9/'Output-Calculation-sheet'!Y8*'Output-Calculation-sheet'!Y89</f>
        <v>0</v>
      </c>
      <c r="AA108" s="2">
        <f t="shared" si="9"/>
        <v>7.8534653837405877</v>
      </c>
    </row>
    <row r="109" spans="1:27" x14ac:dyDescent="0.25">
      <c r="A109" s="2">
        <v>2033</v>
      </c>
      <c r="B109" s="2">
        <f>B10/'Output-Calculation-sheet'!B9*'Output-Calculation-sheet'!B90</f>
        <v>5212.8100099682242</v>
      </c>
      <c r="C109" s="2">
        <f>C10/'Output-Calculation-sheet'!C9*'Output-Calculation-sheet'!C90</f>
        <v>4948.2405666385757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1523.2219158950038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1048.124917366074</v>
      </c>
      <c r="N109" s="2">
        <f>N10/'Output-Calculation-sheet'!N9*'Output-Calculation-sheet'!N90</f>
        <v>824.10945134311237</v>
      </c>
      <c r="O109" s="2">
        <f>O10/'Output-Calculation-sheet'!O9*'Output-Calculation-sheet'!O90</f>
        <v>961.30567604740293</v>
      </c>
      <c r="P109" s="2">
        <f>P10/'Output-Calculation-sheet'!P9*'Output-Calculation-sheet'!P90</f>
        <v>0</v>
      </c>
      <c r="Q109" s="2">
        <f>Q10/'Output-Calculation-sheet'!Q9*'Output-Calculation-sheet'!Q90</f>
        <v>180.51151389746963</v>
      </c>
      <c r="R109" s="2">
        <f>R10/'Output-Calculation-sheet'!R9*'Output-Calculation-sheet'!R90</f>
        <v>0</v>
      </c>
      <c r="S109" s="2">
        <f>S10/'Output-Calculation-sheet'!S9*'Output-Calculation-sheet'!S90</f>
        <v>413.35698877240878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114.98148335885946</v>
      </c>
      <c r="Y109" s="2">
        <f>Y10/'Output-Calculation-sheet'!Y9*'Output-Calculation-sheet'!Y90</f>
        <v>0</v>
      </c>
      <c r="AA109" s="2">
        <f t="shared" si="9"/>
        <v>15.22666252328713</v>
      </c>
    </row>
    <row r="110" spans="1:27" x14ac:dyDescent="0.25">
      <c r="A110" s="2">
        <v>2034</v>
      </c>
      <c r="B110" s="2">
        <f>B11/'Output-Calculation-sheet'!B10*'Output-Calculation-sheet'!B91</f>
        <v>9675.0619723948057</v>
      </c>
      <c r="C110" s="2">
        <f>C11/'Output-Calculation-sheet'!C10*'Output-Calculation-sheet'!C91</f>
        <v>6632.9009432209896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1884.7501195212944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1296.8915052132979</v>
      </c>
      <c r="N110" s="2">
        <f>N11/'Output-Calculation-sheet'!N10*'Output-Calculation-sheet'!N91</f>
        <v>1168.4145241331876</v>
      </c>
      <c r="O110" s="2">
        <f>O11/'Output-Calculation-sheet'!O10*'Output-Calculation-sheet'!O91</f>
        <v>1288.5883860149513</v>
      </c>
      <c r="P110" s="2">
        <f>P11/'Output-Calculation-sheet'!P10*'Output-Calculation-sheet'!P91</f>
        <v>294.38448739226106</v>
      </c>
      <c r="Q110" s="2">
        <f>Q11/'Output-Calculation-sheet'!Q10*'Output-Calculation-sheet'!Q91</f>
        <v>651.45182745561385</v>
      </c>
      <c r="R110" s="2">
        <f>R11/'Output-Calculation-sheet'!R10*'Output-Calculation-sheet'!R91</f>
        <v>0</v>
      </c>
      <c r="S110" s="2">
        <f>S11/'Output-Calculation-sheet'!S10*'Output-Calculation-sheet'!S91</f>
        <v>669.77554088789748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142.27169543842362</v>
      </c>
      <c r="Y110" s="2">
        <f>Y11/'Output-Calculation-sheet'!Y10*'Output-Calculation-sheet'!Y91</f>
        <v>22.882484583611969</v>
      </c>
      <c r="AA110" s="2">
        <f t="shared" si="9"/>
        <v>23.727373486256337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3236.4644228859188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456.38452684124439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1178.8868111907589</v>
      </c>
      <c r="Q111" s="2">
        <f>Q12/'Output-Calculation-sheet'!Q11*'Output-Calculation-sheet'!Q92</f>
        <v>1118.053818930945</v>
      </c>
      <c r="R111" s="2">
        <f>R12/'Output-Calculation-sheet'!R11*'Output-Calculation-sheet'!R92</f>
        <v>0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125.99782971769832</v>
      </c>
      <c r="AA111" s="2">
        <f t="shared" si="9"/>
        <v>38.079157085535137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9679611746.3027496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2978217814.3412871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2068628914.993412</v>
      </c>
      <c r="N118" s="2">
        <f>N8/'Output-Calculation-sheet'!N7*'Output-Calculation-sheet'!N97</f>
        <v>1623283880.3411727</v>
      </c>
      <c r="O118" s="2">
        <f>O8/'Output-Calculation-sheet'!O7*'Output-Calculation-sheet'!O97</f>
        <v>1080151749.6695607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222958934.70338011</v>
      </c>
      <c r="Y118" s="2">
        <f>Y8/'Output-Calculation-sheet'!Y7*'Output-Calculation-sheet'!Y97</f>
        <v>0</v>
      </c>
      <c r="AA118" s="2">
        <f t="shared" si="10"/>
        <v>19891.304713128222</v>
      </c>
    </row>
    <row r="119" spans="1:27" x14ac:dyDescent="0.25">
      <c r="A119" s="2">
        <v>2032</v>
      </c>
      <c r="B119" s="2">
        <f>B9/'Output-Calculation-sheet'!B8*'Output-Calculation-sheet'!B98</f>
        <v>7310813783.2656784</v>
      </c>
      <c r="C119" s="2">
        <f>C9/'Output-Calculation-sheet'!C8*'Output-Calculation-sheet'!C98</f>
        <v>5810782462.2659321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3473698757.6879492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2424654741.6050782</v>
      </c>
      <c r="N119" s="2">
        <f>N9/'Output-Calculation-sheet'!N8*'Output-Calculation-sheet'!N98</f>
        <v>1639759178.8043928</v>
      </c>
      <c r="O119" s="2">
        <f>O9/'Output-Calculation-sheet'!O8*'Output-Calculation-sheet'!O98</f>
        <v>1135319520.0576484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680483695.94281435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259446749.83821401</v>
      </c>
      <c r="Y119" s="2">
        <f>Y9/'Output-Calculation-sheet'!Y8*'Output-Calculation-sheet'!Y98</f>
        <v>0</v>
      </c>
      <c r="AA119" s="2">
        <f t="shared" si="10"/>
        <v>22734.958889467707</v>
      </c>
    </row>
    <row r="120" spans="1:27" x14ac:dyDescent="0.25">
      <c r="A120" s="2">
        <v>2033</v>
      </c>
      <c r="B120" s="2">
        <f>B10/'Output-Calculation-sheet'!B9*'Output-Calculation-sheet'!B99</f>
        <v>7499321789.3484106</v>
      </c>
      <c r="C120" s="2">
        <f>C10/'Output-Calculation-sheet'!C9*'Output-Calculation-sheet'!C99</f>
        <v>6164908173.5058641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2021327351.6543524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1430712291.4237533</v>
      </c>
      <c r="N120" s="2">
        <f>N10/'Output-Calculation-sheet'!N9*'Output-Calculation-sheet'!N99</f>
        <v>1426268567.9512815</v>
      </c>
      <c r="O120" s="2">
        <f>O10/'Output-Calculation-sheet'!O9*'Output-Calculation-sheet'!O99</f>
        <v>1206956230.3658404</v>
      </c>
      <c r="P120" s="2">
        <f>P10/'Output-Calculation-sheet'!P9*'Output-Calculation-sheet'!P99</f>
        <v>0</v>
      </c>
      <c r="Q120" s="2">
        <f>Q10/'Output-Calculation-sheet'!Q9*'Output-Calculation-sheet'!Q99</f>
        <v>9062885.592721438</v>
      </c>
      <c r="R120" s="2">
        <f>R10/'Output-Calculation-sheet'!R9*'Output-Calculation-sheet'!R99</f>
        <v>0</v>
      </c>
      <c r="S120" s="2">
        <f>S10/'Output-Calculation-sheet'!S9*'Output-Calculation-sheet'!S99</f>
        <v>597311968.76933515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142862969.94204488</v>
      </c>
      <c r="Y120" s="2">
        <f>Y10/'Output-Calculation-sheet'!Y9*'Output-Calculation-sheet'!Y99</f>
        <v>0</v>
      </c>
      <c r="AA120" s="2">
        <f t="shared" si="10"/>
        <v>20498.732228553603</v>
      </c>
    </row>
    <row r="121" spans="1:27" x14ac:dyDescent="0.25">
      <c r="A121" s="2">
        <v>2034</v>
      </c>
      <c r="B121" s="2">
        <f>B11/'Output-Calculation-sheet'!B10*'Output-Calculation-sheet'!B100</f>
        <v>7185689468.5902033</v>
      </c>
      <c r="C121" s="2">
        <f>C11/'Output-Calculation-sheet'!C10*'Output-Calculation-sheet'!C100</f>
        <v>870760742.07687628</v>
      </c>
      <c r="D121" s="2">
        <f>D11/'Output-Calculation-sheet'!D10*'Output-Calculation-sheet'!D100</f>
        <v>0</v>
      </c>
      <c r="E121" s="2">
        <f>E11/'Output-Calculation-sheet'!E10*'Output-Calculation-sheet'!E100</f>
        <v>1005902372.8022754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2292794440.8519416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835270052.65222287</v>
      </c>
      <c r="M121" s="2">
        <f>M11/'Output-Calculation-sheet'!M10*'Output-Calculation-sheet'!M100</f>
        <v>1631773033.1298146</v>
      </c>
      <c r="N121" s="2">
        <f>N11/'Output-Calculation-sheet'!N10*'Output-Calculation-sheet'!N100</f>
        <v>1087866620.250668</v>
      </c>
      <c r="O121" s="2">
        <f>O11/'Output-Calculation-sheet'!O10*'Output-Calculation-sheet'!O100</f>
        <v>170802583.66144454</v>
      </c>
      <c r="P121" s="2">
        <f>P11/'Output-Calculation-sheet'!P10*'Output-Calculation-sheet'!P100</f>
        <v>0</v>
      </c>
      <c r="Q121" s="2">
        <f>Q11/'Output-Calculation-sheet'!Q10*'Output-Calculation-sheet'!Q100</f>
        <v>366780673.79276478</v>
      </c>
      <c r="R121" s="2">
        <f>R11/'Output-Calculation-sheet'!R10*'Output-Calculation-sheet'!R100</f>
        <v>0</v>
      </c>
      <c r="S121" s="2">
        <f>S11/'Output-Calculation-sheet'!S10*'Output-Calculation-sheet'!S100</f>
        <v>406745275.91163743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160333117.96907076</v>
      </c>
      <c r="Y121" s="2">
        <f>Y11/'Output-Calculation-sheet'!Y10*'Output-Calculation-sheet'!Y100</f>
        <v>23275305.521882717</v>
      </c>
      <c r="AA121" s="2">
        <f t="shared" si="10"/>
        <v>16037.993687210803</v>
      </c>
    </row>
    <row r="122" spans="1:27" x14ac:dyDescent="0.25">
      <c r="A122" s="2">
        <v>2035</v>
      </c>
      <c r="B122" s="2">
        <f>B12/'Output-Calculation-sheet'!B11*'Output-Calculation-sheet'!B101</f>
        <v>1953645066.2042675</v>
      </c>
      <c r="C122" s="2">
        <f>C12/'Output-Calculation-sheet'!C11*'Output-Calculation-sheet'!C101</f>
        <v>405439075.90250582</v>
      </c>
      <c r="D122" s="2">
        <f>D12/'Output-Calculation-sheet'!D11*'Output-Calculation-sheet'!D101</f>
        <v>0</v>
      </c>
      <c r="E122" s="2">
        <f>E12/'Output-Calculation-sheet'!E11*'Output-Calculation-sheet'!E101</f>
        <v>3350591592.2869978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702746003.37501574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1781357714.3380342</v>
      </c>
      <c r="M122" s="2">
        <f>M12/'Output-Calculation-sheet'!M11*'Output-Calculation-sheet'!M101</f>
        <v>626285114.76079094</v>
      </c>
      <c r="N122" s="2">
        <f>N12/'Output-Calculation-sheet'!N11*'Output-Calculation-sheet'!N101</f>
        <v>521447822.99257678</v>
      </c>
      <c r="O122" s="2">
        <f>O12/'Output-Calculation-sheet'!O11*'Output-Calculation-sheet'!O101</f>
        <v>69281358.589017272</v>
      </c>
      <c r="P122" s="2">
        <f>P12/'Output-Calculation-sheet'!P11*'Output-Calculation-sheet'!P101</f>
        <v>85273909.908445001</v>
      </c>
      <c r="Q122" s="2">
        <f>Q12/'Output-Calculation-sheet'!Q11*'Output-Calculation-sheet'!Q101</f>
        <v>793090145.44221485</v>
      </c>
      <c r="R122" s="2">
        <f>R12/'Output-Calculation-sheet'!R11*'Output-Calculation-sheet'!R101</f>
        <v>0</v>
      </c>
      <c r="S122" s="2">
        <f>S12/'Output-Calculation-sheet'!S11*'Output-Calculation-sheet'!S101</f>
        <v>234134216.5474489</v>
      </c>
      <c r="T122" s="2">
        <f>T12/'Output-Calculation-sheet'!T11*'Output-Calculation-sheet'!T101</f>
        <v>0</v>
      </c>
      <c r="U122" s="2">
        <f>U12/'Output-Calculation-sheet'!U11*'Output-Calculation-sheet'!U101</f>
        <v>98859925.198585868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20501820.863814786</v>
      </c>
      <c r="Y122" s="2">
        <f>Y12/'Output-Calculation-sheet'!Y11*'Output-Calculation-sheet'!Y101</f>
        <v>100676118.77063894</v>
      </c>
      <c r="AA122" s="2">
        <f t="shared" si="10"/>
        <v>10743.329885180357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2693701485.5689077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177061.93360518242</v>
      </c>
    </row>
    <row r="130" spans="1:27" x14ac:dyDescent="0.25">
      <c r="A130" s="2">
        <v>2032</v>
      </c>
      <c r="B130" s="2">
        <f>B9/'Output-Calculation-sheet'!B8*'Output-Calculation-sheet'!B107</f>
        <v>66158676882.970497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2404536197.0695715</v>
      </c>
      <c r="O130" s="2">
        <f>O9/'Output-Calculation-sheet'!O8*'Output-Calculation-sheet'!O107</f>
        <v>0</v>
      </c>
      <c r="P130" s="2">
        <f>P9/'Output-Calculation-sheet'!P8*'Output-Calculation-sheet'!P107</f>
        <v>7344213172.1516685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2137676103.5087426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232990.96112762782</v>
      </c>
    </row>
    <row r="131" spans="1:27" x14ac:dyDescent="0.25">
      <c r="A131" s="2">
        <v>2033</v>
      </c>
      <c r="B131" s="2">
        <f>B10/'Output-Calculation-sheet'!B9*'Output-Calculation-sheet'!B108</f>
        <v>55942658448.01561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2049890651.9748688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7952862580.4840155</v>
      </c>
      <c r="R131" s="2">
        <f>R10/'Output-Calculation-sheet'!R9*'Output-Calculation-sheet'!R108</f>
        <v>8923701905.0428429</v>
      </c>
      <c r="S131" s="2">
        <f>S10/'Output-Calculation-sheet'!S9*'Output-Calculation-sheet'!S108</f>
        <v>1988284693.9033563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267005.24170557747</v>
      </c>
    </row>
    <row r="132" spans="1:27" x14ac:dyDescent="0.25">
      <c r="A132" s="2">
        <v>2034</v>
      </c>
      <c r="B132" s="2">
        <f>B11/'Output-Calculation-sheet'!B10*'Output-Calculation-sheet'!B109</f>
        <v>42267707104.127708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40703977635.52121</v>
      </c>
      <c r="F132" s="2">
        <f>F11/'Output-Calculation-sheet'!F10*'Output-Calculation-sheet'!F109</f>
        <v>26845886001.589813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16726456185.561071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12454277525.497747</v>
      </c>
      <c r="M132" s="2">
        <f>M11/'Output-Calculation-sheet'!M10*'Output-Calculation-sheet'!M109</f>
        <v>0</v>
      </c>
      <c r="N132" s="2">
        <f>N11/'Output-Calculation-sheet'!N10*'Output-Calculation-sheet'!N109</f>
        <v>1637446738.4442582</v>
      </c>
      <c r="O132" s="2">
        <f>O11/'Output-Calculation-sheet'!O10*'Output-Calculation-sheet'!O109</f>
        <v>0</v>
      </c>
      <c r="P132" s="2">
        <f>P11/'Output-Calculation-sheet'!P10*'Output-Calculation-sheet'!P109</f>
        <v>9305543347.7464657</v>
      </c>
      <c r="Q132" s="2">
        <f>Q11/'Output-Calculation-sheet'!Q10*'Output-Calculation-sheet'!Q109</f>
        <v>5993901904.9370689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1123796373.7734129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1171379348.5455515</v>
      </c>
      <c r="AA132" s="2">
        <f t="shared" si="11"/>
        <v>286462.93910247192</v>
      </c>
    </row>
    <row r="133" spans="1:27" x14ac:dyDescent="0.25">
      <c r="A133" s="2">
        <v>2035</v>
      </c>
      <c r="B133" s="2">
        <f>B12/'Output-Calculation-sheet'!B11*'Output-Calculation-sheet'!B110</f>
        <v>653749633.14740252</v>
      </c>
      <c r="C133" s="2">
        <f>C12/'Output-Calculation-sheet'!C11*'Output-Calculation-sheet'!C110</f>
        <v>0</v>
      </c>
      <c r="D133" s="2">
        <f>D12/'Output-Calculation-sheet'!D11*'Output-Calculation-sheet'!D110</f>
        <v>56073411544.830086</v>
      </c>
      <c r="E133" s="2">
        <f>E12/'Output-Calculation-sheet'!E11*'Output-Calculation-sheet'!E110</f>
        <v>24018876633.487865</v>
      </c>
      <c r="F133" s="2">
        <f>F12/'Output-Calculation-sheet'!F11*'Output-Calculation-sheet'!F110</f>
        <v>29479404491.040596</v>
      </c>
      <c r="G133" s="2">
        <f>G12/'Output-Calculation-sheet'!G11*'Output-Calculation-sheet'!G110</f>
        <v>20435233965.494835</v>
      </c>
      <c r="H133" s="2">
        <f>H12/'Output-Calculation-sheet'!H11*'Output-Calculation-sheet'!H110</f>
        <v>0</v>
      </c>
      <c r="I133" s="2">
        <f>I12/'Output-Calculation-sheet'!I11*'Output-Calculation-sheet'!I110</f>
        <v>18557054152.003517</v>
      </c>
      <c r="J133" s="2">
        <f>J12/'Output-Calculation-sheet'!J11*'Output-Calculation-sheet'!J110</f>
        <v>17967462812.839798</v>
      </c>
      <c r="K133" s="2">
        <f>K12/'Output-Calculation-sheet'!K11*'Output-Calculation-sheet'!K110</f>
        <v>18058733855.31815</v>
      </c>
      <c r="L133" s="2">
        <f>L12/'Output-Calculation-sheet'!L11*'Output-Calculation-sheet'!L110</f>
        <v>10512285621.096064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3984858144.1389813</v>
      </c>
      <c r="Q133" s="2">
        <f>Q12/'Output-Calculation-sheet'!Q11*'Output-Calculation-sheet'!Q110</f>
        <v>3352490426.1392169</v>
      </c>
      <c r="R133" s="2">
        <f>R12/'Output-Calculation-sheet'!R11*'Output-Calculation-sheet'!R110</f>
        <v>11788717458.373352</v>
      </c>
      <c r="S133" s="2">
        <f>S12/'Output-Calculation-sheet'!S11*'Output-Calculation-sheet'!S110</f>
        <v>7930723.813774026</v>
      </c>
      <c r="T133" s="2">
        <f>T12/'Output-Calculation-sheet'!T11*'Output-Calculation-sheet'!T110</f>
        <v>4395710743.9375954</v>
      </c>
      <c r="U133" s="2">
        <f>U12/'Output-Calculation-sheet'!U11*'Output-Calculation-sheet'!U110</f>
        <v>3561437404.933187</v>
      </c>
      <c r="V133" s="2">
        <f>V12/'Output-Calculation-sheet'!V11*'Output-Calculation-sheet'!V110</f>
        <v>2960887779.056829</v>
      </c>
      <c r="W133" s="2">
        <f>W12/'Output-Calculation-sheet'!W11*'Output-Calculation-sheet'!W110</f>
        <v>2582756684.2497272</v>
      </c>
      <c r="X133" s="2">
        <f>X12/'Output-Calculation-sheet'!X11*'Output-Calculation-sheet'!X110</f>
        <v>0</v>
      </c>
      <c r="Y133" s="2">
        <f>Y12/'Output-Calculation-sheet'!Y11*'Output-Calculation-sheet'!Y110</f>
        <v>592430489.74222958</v>
      </c>
      <c r="AA133" s="2">
        <f t="shared" si="11"/>
        <v>228983.43256364323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17520390449.80521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5507969436.9164753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3786095959.843636</v>
      </c>
      <c r="N140" s="2">
        <f>N8/'Output-Calculation-sheet'!N7*'Output-Calculation-sheet'!N115</f>
        <v>1429401291.6714816</v>
      </c>
      <c r="O140" s="2">
        <f>O8/'Output-Calculation-sheet'!O7*'Output-Calculation-sheet'!O115</f>
        <v>4204808398.9767985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411124564.36109555</v>
      </c>
      <c r="Y140" s="2">
        <f>Y8/'Output-Calculation-sheet'!Y7*'Output-Calculation-sheet'!Y115</f>
        <v>0</v>
      </c>
      <c r="AA140" s="2">
        <f t="shared" si="12"/>
        <v>32859.790101574697</v>
      </c>
    </row>
    <row r="141" spans="1:27" x14ac:dyDescent="0.25">
      <c r="A141" s="2">
        <v>2032</v>
      </c>
      <c r="B141" s="2">
        <f>B9/'Output-Calculation-sheet'!B8*'Output-Calculation-sheet'!B116</f>
        <v>7563463351.8234663</v>
      </c>
      <c r="C141" s="2">
        <f>C9/'Output-Calculation-sheet'!C8*'Output-Calculation-sheet'!C116</f>
        <v>32376095314.693935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8440307650.0040245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5794964695.1147327</v>
      </c>
      <c r="N141" s="2">
        <f>N9/'Output-Calculation-sheet'!N8*'Output-Calculation-sheet'!N116</f>
        <v>4023224244.7088695</v>
      </c>
      <c r="O141" s="2">
        <f>O9/'Output-Calculation-sheet'!O8*'Output-Calculation-sheet'!O116</f>
        <v>6284390383.3015928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1802042369.1137581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630761544.52841079</v>
      </c>
      <c r="Y141" s="2">
        <f>Y9/'Output-Calculation-sheet'!Y8*'Output-Calculation-sheet'!Y116</f>
        <v>0</v>
      </c>
      <c r="AA141" s="2">
        <f t="shared" si="12"/>
        <v>66915.249553288784</v>
      </c>
    </row>
    <row r="142" spans="1:27" x14ac:dyDescent="0.25">
      <c r="A142" s="2">
        <v>2033</v>
      </c>
      <c r="B142" s="2">
        <f>B10/'Output-Calculation-sheet'!B9*'Output-Calculation-sheet'!B117</f>
        <v>40588157316.575958</v>
      </c>
      <c r="C142" s="2">
        <f>C10/'Output-Calculation-sheet'!C9*'Output-Calculation-sheet'!C117</f>
        <v>42859417014.252235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13273878022.623085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9121637865.267765</v>
      </c>
      <c r="N142" s="2">
        <f>N10/'Output-Calculation-sheet'!N9*'Output-Calculation-sheet'!N117</f>
        <v>6880924607.2696295</v>
      </c>
      <c r="O142" s="2">
        <f>O10/'Output-Calculation-sheet'!O9*'Output-Calculation-sheet'!O117</f>
        <v>8318468903.4388514</v>
      </c>
      <c r="P142" s="2">
        <f>P10/'Output-Calculation-sheet'!P9*'Output-Calculation-sheet'!P117</f>
        <v>0</v>
      </c>
      <c r="Q142" s="2">
        <f>Q10/'Output-Calculation-sheet'!Q9*'Output-Calculation-sheet'!Q117</f>
        <v>1314183600.960649</v>
      </c>
      <c r="R142" s="2">
        <f>R10/'Output-Calculation-sheet'!R9*'Output-Calculation-sheet'!R117</f>
        <v>0</v>
      </c>
      <c r="S142" s="2">
        <f>S10/'Output-Calculation-sheet'!S9*'Output-Calculation-sheet'!S117</f>
        <v>3345820366.367672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999986793.09511602</v>
      </c>
      <c r="Y142" s="2">
        <f>Y10/'Output-Calculation-sheet'!Y9*'Output-Calculation-sheet'!Y117</f>
        <v>0</v>
      </c>
      <c r="AA142" s="2">
        <f t="shared" si="12"/>
        <v>126702.47448985095</v>
      </c>
    </row>
    <row r="143" spans="1:27" x14ac:dyDescent="0.25">
      <c r="A143" s="2">
        <v>2034</v>
      </c>
      <c r="B143" s="2">
        <f>B11/'Output-Calculation-sheet'!B10*'Output-Calculation-sheet'!B118</f>
        <v>75691597820.0401</v>
      </c>
      <c r="C143" s="2">
        <f>C11/'Output-Calculation-sheet'!C10*'Output-Calculation-sheet'!C118</f>
        <v>58104212262.615868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16106776714.591915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11062313304.876751</v>
      </c>
      <c r="N143" s="2">
        <f>N11/'Output-Calculation-sheet'!N10*'Output-Calculation-sheet'!N118</f>
        <v>9733948283.6811199</v>
      </c>
      <c r="O143" s="2">
        <f>O11/'Output-Calculation-sheet'!O10*'Output-Calculation-sheet'!O118</f>
        <v>11288034261.490973</v>
      </c>
      <c r="P143" s="2">
        <f>P11/'Output-Calculation-sheet'!P10*'Output-Calculation-sheet'!P118</f>
        <v>2035997523.3813262</v>
      </c>
      <c r="Q143" s="2">
        <f>Q11/'Output-Calculation-sheet'!Q10*'Output-Calculation-sheet'!Q118</f>
        <v>4798124003.7822437</v>
      </c>
      <c r="R143" s="2">
        <f>R11/'Output-Calculation-sheet'!R10*'Output-Calculation-sheet'!R118</f>
        <v>0</v>
      </c>
      <c r="S143" s="2">
        <f>S11/'Output-Calculation-sheet'!S10*'Output-Calculation-sheet'!S118</f>
        <v>5604797177.4237986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1214473689.0025799</v>
      </c>
      <c r="Y143" s="2">
        <f>Y11/'Output-Calculation-sheet'!Y10*'Output-Calculation-sheet'!Y118</f>
        <v>142318385.52309826</v>
      </c>
      <c r="AA143" s="2">
        <f t="shared" si="12"/>
        <v>195782.59342640979</v>
      </c>
    </row>
    <row r="144" spans="1:27" x14ac:dyDescent="0.25">
      <c r="A144" s="2">
        <v>2035</v>
      </c>
      <c r="B144" s="2">
        <f>B12/'Output-Calculation-sheet'!B11*'Output-Calculation-sheet'!B119</f>
        <v>140075908870.97382</v>
      </c>
      <c r="C144" s="2">
        <f>C12/'Output-Calculation-sheet'!C11*'Output-Calculation-sheet'!C119</f>
        <v>67011324119.163956</v>
      </c>
      <c r="D144" s="2">
        <f>D12/'Output-Calculation-sheet'!D11*'Output-Calculation-sheet'!D119</f>
        <v>0</v>
      </c>
      <c r="E144" s="2">
        <f>E12/'Output-Calculation-sheet'!E11*'Output-Calculation-sheet'!E119</f>
        <v>19960672492.564362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20260598519.754757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2572755155.7037492</v>
      </c>
      <c r="M144" s="2">
        <f>M12/'Output-Calculation-sheet'!M11*'Output-Calculation-sheet'!M119</f>
        <v>13828152968.575161</v>
      </c>
      <c r="N144" s="2">
        <f>N12/'Output-Calculation-sheet'!N11*'Output-Calculation-sheet'!N119</f>
        <v>13661643962.996817</v>
      </c>
      <c r="O144" s="2">
        <f>O12/'Output-Calculation-sheet'!O11*'Output-Calculation-sheet'!O119</f>
        <v>13024495894.274612</v>
      </c>
      <c r="P144" s="2">
        <f>P12/'Output-Calculation-sheet'!P11*'Output-Calculation-sheet'!P119</f>
        <v>8840667402.4031715</v>
      </c>
      <c r="Q144" s="2">
        <f>Q12/'Output-Calculation-sheet'!Q11*'Output-Calculation-sheet'!Q119</f>
        <v>8372497622.4661608</v>
      </c>
      <c r="R144" s="2">
        <f>R12/'Output-Calculation-sheet'!R11*'Output-Calculation-sheet'!R119</f>
        <v>0</v>
      </c>
      <c r="S144" s="2">
        <f>S12/'Output-Calculation-sheet'!S11*'Output-Calculation-sheet'!S119</f>
        <v>7876626766.8985214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1550410595.8918242</v>
      </c>
      <c r="Y144" s="2">
        <f>Y12/'Output-Calculation-sheet'!Y11*'Output-Calculation-sheet'!Y119</f>
        <v>827892318.2664063</v>
      </c>
      <c r="AA144" s="2">
        <f t="shared" si="12"/>
        <v>317863.64668993338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5284960148.6463594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229813.02811419405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4451825755.3025579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193584.7354071835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723659557.15669274</v>
      </c>
      <c r="C155" s="2">
        <f>C12/'Output-Calculation-sheet'!C11*'Output-Calculation-sheet'!C128</f>
        <v>77965825.427693009</v>
      </c>
      <c r="D155" s="2">
        <f>D12/'Output-Calculation-sheet'!D11*'Output-Calculation-sheet'!D128</f>
        <v>5199297479.3994112</v>
      </c>
      <c r="E155" s="2">
        <f>E12/'Output-Calculation-sheet'!E11*'Output-Calculation-sheet'!E128</f>
        <v>843913469.02376068</v>
      </c>
      <c r="F155" s="2">
        <f>F12/'Output-Calculation-sheet'!F11*'Output-Calculation-sheet'!F128</f>
        <v>1899203673.0554845</v>
      </c>
      <c r="G155" s="2">
        <f>G12/'Output-Calculation-sheet'!G11*'Output-Calculation-sheet'!G128</f>
        <v>1737969466.248733</v>
      </c>
      <c r="H155" s="2">
        <f>H12/'Output-Calculation-sheet'!H11*'Output-Calculation-sheet'!H128</f>
        <v>134381642.27896333</v>
      </c>
      <c r="I155" s="2">
        <f>I12/'Output-Calculation-sheet'!I11*'Output-Calculation-sheet'!I128</f>
        <v>1594748203.9611685</v>
      </c>
      <c r="J155" s="2">
        <f>J12/'Output-Calculation-sheet'!J11*'Output-Calculation-sheet'!J128</f>
        <v>1446014482.0477467</v>
      </c>
      <c r="K155" s="2">
        <f>K12/'Output-Calculation-sheet'!K11*'Output-Calculation-sheet'!K128</f>
        <v>1252224730.1115227</v>
      </c>
      <c r="L155" s="2">
        <f>L12/'Output-Calculation-sheet'!L11*'Output-Calculation-sheet'!L128</f>
        <v>471727937.55077595</v>
      </c>
      <c r="M155" s="2">
        <f>M12/'Output-Calculation-sheet'!M11*'Output-Calculation-sheet'!M128</f>
        <v>110838362.74544613</v>
      </c>
      <c r="N155" s="2">
        <f>N12/'Output-Calculation-sheet'!N11*'Output-Calculation-sheet'!N128</f>
        <v>97952459.147231624</v>
      </c>
      <c r="O155" s="2">
        <f>O12/'Output-Calculation-sheet'!O11*'Output-Calculation-sheet'!O128</f>
        <v>20172045.812605817</v>
      </c>
      <c r="P155" s="2">
        <f>P12/'Output-Calculation-sheet'!P11*'Output-Calculation-sheet'!P128</f>
        <v>128508103.72109446</v>
      </c>
      <c r="Q155" s="2">
        <f>Q12/'Output-Calculation-sheet'!Q11*'Output-Calculation-sheet'!Q128</f>
        <v>325765066.39379305</v>
      </c>
      <c r="R155" s="2">
        <f>R12/'Output-Calculation-sheet'!R11*'Output-Calculation-sheet'!R128</f>
        <v>723965791.40188658</v>
      </c>
      <c r="S155" s="2">
        <f>S12/'Output-Calculation-sheet'!S11*'Output-Calculation-sheet'!S128</f>
        <v>62529838.594361052</v>
      </c>
      <c r="T155" s="2">
        <f>T12/'Output-Calculation-sheet'!T11*'Output-Calculation-sheet'!T128</f>
        <v>185384132.55731332</v>
      </c>
      <c r="U155" s="2">
        <f>U12/'Output-Calculation-sheet'!U11*'Output-Calculation-sheet'!U128</f>
        <v>379984298.15098375</v>
      </c>
      <c r="V155" s="2">
        <f>V12/'Output-Calculation-sheet'!V11*'Output-Calculation-sheet'!V128</f>
        <v>83459798.175250888</v>
      </c>
      <c r="W155" s="2">
        <f>W12/'Output-Calculation-sheet'!W11*'Output-Calculation-sheet'!W128</f>
        <v>101558389.53282033</v>
      </c>
      <c r="X155" s="2">
        <f>X12/'Output-Calculation-sheet'!X11*'Output-Calculation-sheet'!X128</f>
        <v>3469483.4213888277</v>
      </c>
      <c r="Y155" s="2">
        <f>Y12/'Output-Calculation-sheet'!Y11*'Output-Calculation-sheet'!Y128</f>
        <v>20440120.651112426</v>
      </c>
      <c r="AA155" s="2">
        <f t="shared" si="13"/>
        <v>17625.13435656724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6054.7848326899111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1834.0671328715712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1274.0158481988899</v>
      </c>
      <c r="N19" s="2">
        <f>N8/'Output-Calculation-sheet'!N7*'Output-Calculation-sheet'!N25</f>
        <v>1059.8306341964983</v>
      </c>
      <c r="O19" s="2">
        <f>O8/'Output-Calculation-sheet'!O7*'Output-Calculation-sheet'!O25</f>
        <v>665.15828129518457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137.88395435433188</v>
      </c>
      <c r="Y19" s="2">
        <f>Y8/'Output-Calculation-sheet'!Y7*'Output-Calculation-sheet'!Y25</f>
        <v>0</v>
      </c>
      <c r="AA19" s="2">
        <f t="shared" si="0"/>
        <v>12.80277422544979</v>
      </c>
    </row>
    <row r="20" spans="1:27" x14ac:dyDescent="0.25">
      <c r="A20" s="2">
        <v>2032</v>
      </c>
      <c r="B20" s="2">
        <f>B9/'Output-Calculation-sheet'!B8*'Output-Calculation-sheet'!B26</f>
        <v>6562.0990754947097</v>
      </c>
      <c r="C20" s="2">
        <f>C9/'Output-Calculation-sheet'!C8*'Output-Calculation-sheet'!C26</f>
        <v>3598.4949282724592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2160.1942736386609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1509.5586668488959</v>
      </c>
      <c r="N20" s="2">
        <f>N9/'Output-Calculation-sheet'!N8*'Output-Calculation-sheet'!N26</f>
        <v>1046.165291373813</v>
      </c>
      <c r="O20" s="2">
        <f>O9/'Output-Calculation-sheet'!O8*'Output-Calculation-sheet'!O26</f>
        <v>703.07922129275948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496.25186542537267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164.26202995255562</v>
      </c>
      <c r="Y20" s="2">
        <f>Y9/'Output-Calculation-sheet'!Y8*'Output-Calculation-sheet'!Y26</f>
        <v>0</v>
      </c>
      <c r="AA20" s="2">
        <f t="shared" si="0"/>
        <v>16.240105352299224</v>
      </c>
    </row>
    <row r="21" spans="1:27" x14ac:dyDescent="0.25">
      <c r="A21" s="2">
        <v>2033</v>
      </c>
      <c r="B21" s="2">
        <f>B10/'Output-Calculation-sheet'!B9*'Output-Calculation-sheet'!B27</f>
        <v>6268.0447937248809</v>
      </c>
      <c r="C21" s="2">
        <f>C10/'Output-Calculation-sheet'!C9*'Output-Calculation-sheet'!C27</f>
        <v>3852.6055951837388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1263.179965306615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894.08919982704458</v>
      </c>
      <c r="N21" s="2">
        <f>N10/'Output-Calculation-sheet'!N9*'Output-Calculation-sheet'!N27</f>
        <v>905.44171134251769</v>
      </c>
      <c r="O21" s="2">
        <f>O10/'Output-Calculation-sheet'!O9*'Output-Calculation-sheet'!O27</f>
        <v>754.25757846212991</v>
      </c>
      <c r="P21" s="2">
        <f>P10/'Output-Calculation-sheet'!P9*'Output-Calculation-sheet'!P27</f>
        <v>0</v>
      </c>
      <c r="Q21" s="2">
        <f>Q10/'Output-Calculation-sheet'!Q9*'Output-Calculation-sheet'!Q27</f>
        <v>10.966544562193777</v>
      </c>
      <c r="R21" s="2">
        <f>R10/'Output-Calculation-sheet'!R9*'Output-Calculation-sheet'!R27</f>
        <v>0</v>
      </c>
      <c r="S21" s="2">
        <f>S10/'Output-Calculation-sheet'!S9*'Output-Calculation-sheet'!S27</f>
        <v>431.13781952751083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89.278649152924388</v>
      </c>
      <c r="Y21" s="2">
        <f>Y10/'Output-Calculation-sheet'!Y9*'Output-Calculation-sheet'!Y27</f>
        <v>0</v>
      </c>
      <c r="AA21" s="2">
        <f t="shared" si="0"/>
        <v>14.469001857089555</v>
      </c>
    </row>
    <row r="22" spans="1:27" x14ac:dyDescent="0.25">
      <c r="A22" s="2">
        <v>2034</v>
      </c>
      <c r="B22" s="2">
        <f>B11/'Output-Calculation-sheet'!B10*'Output-Calculation-sheet'!B28</f>
        <v>5431.1001132152587</v>
      </c>
      <c r="C22" s="2">
        <f>C11/'Output-Calculation-sheet'!C10*'Output-Calculation-sheet'!C28</f>
        <v>552.01314932691878</v>
      </c>
      <c r="D22" s="2">
        <f>D11/'Output-Calculation-sheet'!D10*'Output-Calculation-sheet'!D28</f>
        <v>0</v>
      </c>
      <c r="E22" s="2">
        <f>E11/'Output-Calculation-sheet'!E10*'Output-Calculation-sheet'!E28</f>
        <v>1832.9819377691342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1453.4938705708453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1111.644740765599</v>
      </c>
      <c r="M22" s="2">
        <f>M11/'Output-Calculation-sheet'!M10*'Output-Calculation-sheet'!M28</f>
        <v>1034.4460474280893</v>
      </c>
      <c r="N22" s="2">
        <f>N11/'Output-Calculation-sheet'!N10*'Output-Calculation-sheet'!N28</f>
        <v>691.53308440838111</v>
      </c>
      <c r="O22" s="2">
        <f>O11/'Output-Calculation-sheet'!O10*'Output-Calculation-sheet'!O28</f>
        <v>108.27866394018905</v>
      </c>
      <c r="P22" s="2">
        <f>P11/'Output-Calculation-sheet'!P10*'Output-Calculation-sheet'!P28</f>
        <v>0</v>
      </c>
      <c r="Q22" s="2">
        <f>Q11/'Output-Calculation-sheet'!Q10*'Output-Calculation-sheet'!Q28</f>
        <v>353.19748994112769</v>
      </c>
      <c r="R22" s="2">
        <f>R11/'Output-Calculation-sheet'!R10*'Output-Calculation-sheet'!R28</f>
        <v>0</v>
      </c>
      <c r="S22" s="2">
        <f>S11/'Output-Calculation-sheet'!S10*'Output-Calculation-sheet'!S28</f>
        <v>258.93192577949333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101.64152654862899</v>
      </c>
      <c r="Y22" s="2">
        <f>Y11/'Output-Calculation-sheet'!Y10*'Output-Calculation-sheet'!Y28</f>
        <v>41.431957067812668</v>
      </c>
      <c r="AA22" s="2">
        <f t="shared" si="0"/>
        <v>12.970694506761479</v>
      </c>
    </row>
    <row r="23" spans="1:27" x14ac:dyDescent="0.25">
      <c r="A23" s="2">
        <v>2035</v>
      </c>
      <c r="B23" s="2">
        <f>B12/'Output-Calculation-sheet'!B11*'Output-Calculation-sheet'!B29</f>
        <v>1264.5598378305028</v>
      </c>
      <c r="C23" s="2">
        <f>C12/'Output-Calculation-sheet'!C11*'Output-Calculation-sheet'!C29</f>
        <v>262.43120509304401</v>
      </c>
      <c r="D23" s="2">
        <f>D12/'Output-Calculation-sheet'!D11*'Output-Calculation-sheet'!D29</f>
        <v>0</v>
      </c>
      <c r="E23" s="2">
        <f>E12/'Output-Calculation-sheet'!E11*'Output-Calculation-sheet'!E29</f>
        <v>3234.4148118194898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454.87645681589851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1864.8536399769425</v>
      </c>
      <c r="M23" s="2">
        <f>M12/'Output-Calculation-sheet'!M11*'Output-Calculation-sheet'!M29</f>
        <v>405.38406386782316</v>
      </c>
      <c r="N23" s="2">
        <f>N12/'Output-Calculation-sheet'!N11*'Output-Calculation-sheet'!N29</f>
        <v>337.5237244018731</v>
      </c>
      <c r="O23" s="2">
        <f>O12/'Output-Calculation-sheet'!O11*'Output-Calculation-sheet'!O29</f>
        <v>44.844528298069413</v>
      </c>
      <c r="P23" s="2">
        <f>P12/'Output-Calculation-sheet'!P11*'Output-Calculation-sheet'!P29</f>
        <v>70.241252084323804</v>
      </c>
      <c r="Q23" s="2">
        <f>Q12/'Output-Calculation-sheet'!Q11*'Output-Calculation-sheet'!Q29</f>
        <v>575.3611658630482</v>
      </c>
      <c r="R23" s="2">
        <f>R12/'Output-Calculation-sheet'!R11*'Output-Calculation-sheet'!R29</f>
        <v>0</v>
      </c>
      <c r="S23" s="2">
        <f>S12/'Output-Calculation-sheet'!S11*'Output-Calculation-sheet'!S29</f>
        <v>151.55094900269165</v>
      </c>
      <c r="T23" s="2">
        <f>T12/'Output-Calculation-sheet'!T11*'Output-Calculation-sheet'!T29</f>
        <v>0</v>
      </c>
      <c r="U23" s="2">
        <f>U12/'Output-Calculation-sheet'!U11*'Output-Calculation-sheet'!U29</f>
        <v>204.04376125808361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13.27044019933582</v>
      </c>
      <c r="Y23" s="2">
        <f>Y12/'Output-Calculation-sheet'!Y11*'Output-Calculation-sheet'!Y29</f>
        <v>84.413925247847203</v>
      </c>
      <c r="AA23" s="2">
        <f t="shared" si="0"/>
        <v>8.9677697617589764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1208.1845043314672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47.369838319473814</v>
      </c>
    </row>
    <row r="31" spans="1:27" x14ac:dyDescent="0.25">
      <c r="A31" s="2">
        <v>2032</v>
      </c>
      <c r="B31" s="2">
        <f>B9/'Output-Calculation-sheet'!B8*'Output-Calculation-sheet'!B17</f>
        <v>27589.781794053077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1078.7895455434111</v>
      </c>
      <c r="O31" s="2">
        <f>O9/'Output-Calculation-sheet'!O8*'Output-Calculation-sheet'!O17</f>
        <v>0</v>
      </c>
      <c r="P31" s="2">
        <f>P9/'Output-Calculation-sheet'!P8*'Output-Calculation-sheet'!P17</f>
        <v>2696.4615413294582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892.87934524836055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63.211666185460416</v>
      </c>
    </row>
    <row r="32" spans="1:27" x14ac:dyDescent="0.25">
      <c r="A32" s="2">
        <v>2033</v>
      </c>
      <c r="B32" s="2">
        <f>B10/'Output-Calculation-sheet'!B9*'Output-Calculation-sheet'!B18</f>
        <v>22673.175191156708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3549.3099488235634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917.70110583919541</v>
      </c>
      <c r="O32" s="2">
        <f>O10/'Output-Calculation-sheet'!O9*'Output-Calculation-sheet'!O18</f>
        <v>0</v>
      </c>
      <c r="P32" s="2">
        <f>P10/'Output-Calculation-sheet'!P9*'Output-Calculation-sheet'!P18</f>
        <v>3653.3220128113308</v>
      </c>
      <c r="Q32" s="2">
        <f>Q10/'Output-Calculation-sheet'!Q9*'Output-Calculation-sheet'!Q18</f>
        <v>3382.4108383441048</v>
      </c>
      <c r="R32" s="2">
        <f>R10/'Output-Calculation-sheet'!R9*'Output-Calculation-sheet'!R18</f>
        <v>2624.0021207309292</v>
      </c>
      <c r="S32" s="2">
        <f>S10/'Output-Calculation-sheet'!S9*'Output-Calculation-sheet'!S18</f>
        <v>834.83675107896681</v>
      </c>
      <c r="T32" s="2">
        <f>T10/'Output-Calculation-sheet'!T9*'Output-Calculation-sheet'!T18</f>
        <v>765.95783876967425</v>
      </c>
      <c r="U32" s="2">
        <f>U10/'Output-Calculation-sheet'!U9*'Output-Calculation-sheet'!U18</f>
        <v>846.75602044060406</v>
      </c>
      <c r="V32" s="2">
        <f>V10/'Output-Calculation-sheet'!V9*'Output-Calculation-sheet'!V18</f>
        <v>625.01295099077811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361.88656099263659</v>
      </c>
      <c r="AA32" s="2">
        <f t="shared" si="1"/>
        <v>72.07987149096752</v>
      </c>
    </row>
    <row r="33" spans="1:27" x14ac:dyDescent="0.25">
      <c r="A33" s="2">
        <v>2034</v>
      </c>
      <c r="B33" s="2">
        <f>B11/'Output-Calculation-sheet'!B10*'Output-Calculation-sheet'!B19</f>
        <v>16597.564620178509</v>
      </c>
      <c r="C33" s="2">
        <f>C11/'Output-Calculation-sheet'!C10*'Output-Calculation-sheet'!C19</f>
        <v>0</v>
      </c>
      <c r="D33" s="2">
        <f>D11/'Output-Calculation-sheet'!D10*'Output-Calculation-sheet'!D19</f>
        <v>11001.186123199537</v>
      </c>
      <c r="E33" s="2">
        <f>E11/'Output-Calculation-sheet'!E10*'Output-Calculation-sheet'!E19</f>
        <v>13638.693121838251</v>
      </c>
      <c r="F33" s="2">
        <f>F11/'Output-Calculation-sheet'!F10*'Output-Calculation-sheet'!F19</f>
        <v>6244.9393736444408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4086.5344057477027</v>
      </c>
      <c r="J33" s="2">
        <f>J11/'Output-Calculation-sheet'!J10*'Output-Calculation-sheet'!J19</f>
        <v>3455.3131064961135</v>
      </c>
      <c r="K33" s="2">
        <f>K11/'Output-Calculation-sheet'!K10*'Output-Calculation-sheet'!K19</f>
        <v>4792.4028948396453</v>
      </c>
      <c r="L33" s="2">
        <f>L11/'Output-Calculation-sheet'!L10*'Output-Calculation-sheet'!L19</f>
        <v>3898.2767284361821</v>
      </c>
      <c r="M33" s="2">
        <f>M11/'Output-Calculation-sheet'!M10*'Output-Calculation-sheet'!M19</f>
        <v>0</v>
      </c>
      <c r="N33" s="2">
        <f>N11/'Output-Calculation-sheet'!N10*'Output-Calculation-sheet'!N19</f>
        <v>739.95671953056865</v>
      </c>
      <c r="O33" s="2">
        <f>O11/'Output-Calculation-sheet'!O10*'Output-Calculation-sheet'!O19</f>
        <v>0</v>
      </c>
      <c r="P33" s="2">
        <f>P11/'Output-Calculation-sheet'!P10*'Output-Calculation-sheet'!P19</f>
        <v>3674.9303622823695</v>
      </c>
      <c r="Q33" s="2">
        <f>Q11/'Output-Calculation-sheet'!Q10*'Output-Calculation-sheet'!Q19</f>
        <v>2335.7841372179523</v>
      </c>
      <c r="R33" s="2">
        <f>R11/'Output-Calculation-sheet'!R10*'Output-Calculation-sheet'!R19</f>
        <v>3462.1471964383654</v>
      </c>
      <c r="S33" s="2">
        <f>S11/'Output-Calculation-sheet'!S10*'Output-Calculation-sheet'!S19</f>
        <v>470.3897877404857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1168.3708916900082</v>
      </c>
      <c r="V33" s="2">
        <f>V11/'Output-Calculation-sheet'!V10*'Output-Calculation-sheet'!V19</f>
        <v>796.76039525995895</v>
      </c>
      <c r="W33" s="2">
        <f>W11/'Output-Calculation-sheet'!W10*'Output-Calculation-sheet'!W19</f>
        <v>496.10113329886912</v>
      </c>
      <c r="X33" s="2">
        <f>X11/'Output-Calculation-sheet'!X10*'Output-Calculation-sheet'!X19</f>
        <v>0</v>
      </c>
      <c r="Y33" s="2">
        <f>Y11/'Output-Calculation-sheet'!Y10*'Output-Calculation-sheet'!Y19</f>
        <v>406.17542872307541</v>
      </c>
      <c r="AA33" s="2">
        <f t="shared" si="1"/>
        <v>82.026305539463181</v>
      </c>
    </row>
    <row r="34" spans="1:27" x14ac:dyDescent="0.25">
      <c r="A34" s="2">
        <v>2035</v>
      </c>
      <c r="B34" s="2">
        <f>B12/'Output-Calculation-sheet'!B11*'Output-Calculation-sheet'!B20</f>
        <v>251.74223829872474</v>
      </c>
      <c r="C34" s="2">
        <f>C12/'Output-Calculation-sheet'!C11*'Output-Calculation-sheet'!C20</f>
        <v>0</v>
      </c>
      <c r="D34" s="2">
        <f>D12/'Output-Calculation-sheet'!D11*'Output-Calculation-sheet'!D20</f>
        <v>12416.761195545014</v>
      </c>
      <c r="E34" s="2">
        <f>E12/'Output-Calculation-sheet'!E11*'Output-Calculation-sheet'!E20</f>
        <v>5801.0890916124727</v>
      </c>
      <c r="F34" s="2">
        <f>F12/'Output-Calculation-sheet'!F11*'Output-Calculation-sheet'!F20</f>
        <v>7881.265469514231</v>
      </c>
      <c r="G34" s="2">
        <f>G12/'Output-Calculation-sheet'!G11*'Output-Calculation-sheet'!G20</f>
        <v>4232.5732424818789</v>
      </c>
      <c r="H34" s="2">
        <f>H12/'Output-Calculation-sheet'!H11*'Output-Calculation-sheet'!H20</f>
        <v>0</v>
      </c>
      <c r="I34" s="2">
        <f>I12/'Output-Calculation-sheet'!I11*'Output-Calculation-sheet'!I20</f>
        <v>4702.4787326408377</v>
      </c>
      <c r="J34" s="2">
        <f>J12/'Output-Calculation-sheet'!J11*'Output-Calculation-sheet'!J20</f>
        <v>4072.0902270156162</v>
      </c>
      <c r="K34" s="2">
        <f>K12/'Output-Calculation-sheet'!K11*'Output-Calculation-sheet'!K20</f>
        <v>5737.2934702680686</v>
      </c>
      <c r="L34" s="2">
        <f>L12/'Output-Calculation-sheet'!L11*'Output-Calculation-sheet'!L20</f>
        <v>3177.1712418854827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1263.2721024162813</v>
      </c>
      <c r="Q34" s="2">
        <f>Q12/'Output-Calculation-sheet'!Q11*'Output-Calculation-sheet'!Q20</f>
        <v>1195.1870031555686</v>
      </c>
      <c r="R34" s="2">
        <f>R12/'Output-Calculation-sheet'!R11*'Output-Calculation-sheet'!R20</f>
        <v>4235.6327995452884</v>
      </c>
      <c r="S34" s="2">
        <f>S12/'Output-Calculation-sheet'!S11*'Output-Calculation-sheet'!S20</f>
        <v>3.3894569757459641</v>
      </c>
      <c r="T34" s="2">
        <f>T12/'Output-Calculation-sheet'!T11*'Output-Calculation-sheet'!T20</f>
        <v>1263.2951018508688</v>
      </c>
      <c r="U34" s="2">
        <f>U12/'Output-Calculation-sheet'!U11*'Output-Calculation-sheet'!U20</f>
        <v>1149.7821368666118</v>
      </c>
      <c r="V34" s="2">
        <f>V12/'Output-Calculation-sheet'!V11*'Output-Calculation-sheet'!V20</f>
        <v>1109.7053270249223</v>
      </c>
      <c r="W34" s="2">
        <f>W12/'Output-Calculation-sheet'!W11*'Output-Calculation-sheet'!W20</f>
        <v>674.97220677871974</v>
      </c>
      <c r="X34" s="2">
        <f>X12/'Output-Calculation-sheet'!X11*'Output-Calculation-sheet'!X20</f>
        <v>0</v>
      </c>
      <c r="Y34" s="2">
        <f>Y12/'Output-Calculation-sheet'!Y11*'Output-Calculation-sheet'!Y20</f>
        <v>145.18973123679925</v>
      </c>
      <c r="AA34" s="2">
        <f t="shared" si="1"/>
        <v>59.312890775113132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0.21183072072659878</v>
      </c>
      <c r="E45" s="2">
        <f>E12/'Output-Calculation-sheet'!E11*'Output-Calculation-sheet'!E38*0.0114</f>
        <v>0.11223274528167419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1.8555610646624001E-2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1.2005899808374523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0.17591129588282256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232.59475632236092</v>
      </c>
      <c r="R54" s="2">
        <f>R10/'Output-Calculation-sheet'!R9*'Output-Calculation-sheet'!R45</f>
        <v>1740.016020972294</v>
      </c>
      <c r="S54" s="2">
        <f>S10/'Output-Calculation-sheet'!S9*'Output-Calculation-sheet'!S45</f>
        <v>0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21.702808572375112</v>
      </c>
      <c r="AA54" s="2">
        <f t="shared" si="3"/>
        <v>5.7282729206077052</v>
      </c>
    </row>
    <row r="55" spans="1:27" x14ac:dyDescent="0.25">
      <c r="A55" s="2">
        <v>2034</v>
      </c>
      <c r="B55" s="2">
        <f>B11/'Output-Calculation-sheet'!B10*'Output-Calculation-sheet'!B46</f>
        <v>2032.0795545242415</v>
      </c>
      <c r="C55" s="2">
        <f>C11/'Output-Calculation-sheet'!C10*'Output-Calculation-sheet'!C46</f>
        <v>0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736.97189390485687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546.22817444120233</v>
      </c>
      <c r="N55" s="2">
        <f>N11/'Output-Calculation-sheet'!N10*'Output-Calculation-sheet'!N46</f>
        <v>186.54598444365769</v>
      </c>
      <c r="O55" s="2">
        <f>O11/'Output-Calculation-sheet'!O10*'Output-Calculation-sheet'!O46</f>
        <v>0</v>
      </c>
      <c r="P55" s="2">
        <f>P11/'Output-Calculation-sheet'!P10*'Output-Calculation-sheet'!P46</f>
        <v>3978.1925591447093</v>
      </c>
      <c r="Q55" s="2">
        <f>Q11/'Output-Calculation-sheet'!Q10*'Output-Calculation-sheet'!Q46</f>
        <v>869.61574094707328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0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102.59864590567939</v>
      </c>
      <c r="X55" s="2">
        <f>X11/'Output-Calculation-sheet'!X10*'Output-Calculation-sheet'!X46</f>
        <v>52.1340485678882</v>
      </c>
      <c r="Y55" s="2">
        <f>Y11/'Output-Calculation-sheet'!Y10*'Output-Calculation-sheet'!Y46</f>
        <v>362.60267405720163</v>
      </c>
      <c r="AA55" s="2">
        <f t="shared" si="3"/>
        <v>54.070605543991995</v>
      </c>
    </row>
    <row r="56" spans="1:27" x14ac:dyDescent="0.25">
      <c r="A56" s="2">
        <v>2035</v>
      </c>
      <c r="B56" s="2">
        <f>B12/'Output-Calculation-sheet'!B11*'Output-Calculation-sheet'!B47</f>
        <v>618.7484789645622</v>
      </c>
      <c r="C56" s="2">
        <f>C12/'Output-Calculation-sheet'!C11*'Output-Calculation-sheet'!C47</f>
        <v>503.43831308481214</v>
      </c>
      <c r="D56" s="2">
        <f>D12/'Output-Calculation-sheet'!D11*'Output-Calculation-sheet'!D47</f>
        <v>20464.581908791883</v>
      </c>
      <c r="E56" s="2">
        <f>E12/'Output-Calculation-sheet'!E11*'Output-Calculation-sheet'!E47</f>
        <v>14225.992713335017</v>
      </c>
      <c r="F56" s="2">
        <f>F12/'Output-Calculation-sheet'!F11*'Output-Calculation-sheet'!F47</f>
        <v>4247.5841561270945</v>
      </c>
      <c r="G56" s="2">
        <f>G12/'Output-Calculation-sheet'!G11*'Output-Calculation-sheet'!G47</f>
        <v>9498.5585486683012</v>
      </c>
      <c r="H56" s="2">
        <f>H12/'Output-Calculation-sheet'!H11*'Output-Calculation-sheet'!H47</f>
        <v>189.41257730595348</v>
      </c>
      <c r="I56" s="2">
        <f>I12/'Output-Calculation-sheet'!I11*'Output-Calculation-sheet'!I47</f>
        <v>5581.6660824354021</v>
      </c>
      <c r="J56" s="2">
        <f>J12/'Output-Calculation-sheet'!J11*'Output-Calculation-sheet'!J47</f>
        <v>5913.6274319583217</v>
      </c>
      <c r="K56" s="2">
        <f>K12/'Output-Calculation-sheet'!K11*'Output-Calculation-sheet'!K47</f>
        <v>8172.855467719035</v>
      </c>
      <c r="L56" s="2">
        <f>L12/'Output-Calculation-sheet'!L11*'Output-Calculation-sheet'!L47</f>
        <v>5471.0095012539232</v>
      </c>
      <c r="M56" s="2">
        <f>M12/'Output-Calculation-sheet'!M11*'Output-Calculation-sheet'!M47</f>
        <v>125.89107240789511</v>
      </c>
      <c r="N56" s="2">
        <f>N12/'Output-Calculation-sheet'!N11*'Output-Calculation-sheet'!N47</f>
        <v>138.28703812972708</v>
      </c>
      <c r="O56" s="2">
        <f>O12/'Output-Calculation-sheet'!O11*'Output-Calculation-sheet'!O47</f>
        <v>92.370518409981528</v>
      </c>
      <c r="P56" s="2">
        <f>P12/'Output-Calculation-sheet'!P11*'Output-Calculation-sheet'!P47</f>
        <v>1781.8172230530324</v>
      </c>
      <c r="Q56" s="2">
        <f>Q12/'Output-Calculation-sheet'!Q11*'Output-Calculation-sheet'!Q47</f>
        <v>1316.1869239104954</v>
      </c>
      <c r="R56" s="2">
        <f>R12/'Output-Calculation-sheet'!R11*'Output-Calculation-sheet'!R47</f>
        <v>7433.0804150849872</v>
      </c>
      <c r="S56" s="2">
        <f>S12/'Output-Calculation-sheet'!S11*'Output-Calculation-sheet'!S47</f>
        <v>61.747862187395697</v>
      </c>
      <c r="T56" s="2">
        <f>T12/'Output-Calculation-sheet'!T11*'Output-Calculation-sheet'!T47</f>
        <v>2698.9565761058579</v>
      </c>
      <c r="U56" s="2">
        <f>U12/'Output-Calculation-sheet'!U11*'Output-Calculation-sheet'!U47</f>
        <v>2515.1804694469947</v>
      </c>
      <c r="V56" s="2">
        <f>V12/'Output-Calculation-sheet'!V11*'Output-Calculation-sheet'!V47</f>
        <v>1548.1503562937623</v>
      </c>
      <c r="W56" s="2">
        <f>W12/'Output-Calculation-sheet'!W11*'Output-Calculation-sheet'!W47</f>
        <v>915.64575331565595</v>
      </c>
      <c r="X56" s="2">
        <f>X12/'Output-Calculation-sheet'!X11*'Output-Calculation-sheet'!X47</f>
        <v>14.13546571015006</v>
      </c>
      <c r="Y56" s="2">
        <f>Y12/'Output-Calculation-sheet'!Y11*'Output-Calculation-sheet'!Y47</f>
        <v>303.08095335264187</v>
      </c>
      <c r="AA56" s="2">
        <f t="shared" si="3"/>
        <v>93.83200580705288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8.7361559426137045</v>
      </c>
      <c r="C63" s="2">
        <f>C8*'Output-Calculation-sheet'!C52/10^9</f>
        <v>4.6673038091240828</v>
      </c>
      <c r="D63" s="2">
        <f>D8*'Output-Calculation-sheet'!D52/10^9</f>
        <v>2.9958150904551855</v>
      </c>
      <c r="E63" s="2">
        <f>E8*'Output-Calculation-sheet'!E52/10^9</f>
        <v>2.978643792175109</v>
      </c>
      <c r="F63" s="2">
        <f>F8*'Output-Calculation-sheet'!F52/10^9</f>
        <v>1.261455399742939</v>
      </c>
      <c r="G63" s="2">
        <f>G8*'Output-Calculation-sheet'!G52/10^9</f>
        <v>0.90692944472655956</v>
      </c>
      <c r="H63" s="2">
        <f>H8*'Output-Calculation-sheet'!H52/10^9</f>
        <v>1.4750336154312831</v>
      </c>
      <c r="I63" s="2">
        <f>I8*'Output-Calculation-sheet'!I52/10^9</f>
        <v>0.84365493857720386</v>
      </c>
      <c r="J63" s="2">
        <f>J8*'Output-Calculation-sheet'!J52/10^9</f>
        <v>1.1609263800435787</v>
      </c>
      <c r="K63" s="2">
        <f>K8*'Output-Calculation-sheet'!K52/10^9</f>
        <v>1.0199770800449435</v>
      </c>
      <c r="L63" s="2">
        <f>L8*'Output-Calculation-sheet'!L52/10^9</f>
        <v>1.3719182480405965</v>
      </c>
      <c r="M63" s="2">
        <f>M8*'Output-Calculation-sheet'!M52/10^9</f>
        <v>1.2083961598029556</v>
      </c>
      <c r="N63" s="2">
        <f>N8*'Output-Calculation-sheet'!N52/10^9</f>
        <v>1.0662344421027878</v>
      </c>
      <c r="O63" s="2">
        <f>O8*'Output-Calculation-sheet'!O52/10^9</f>
        <v>0.95489006815962507</v>
      </c>
      <c r="P63" s="2">
        <f>P8*'Output-Calculation-sheet'!P52/10^9</f>
        <v>0.70477664843476728</v>
      </c>
      <c r="Q63" s="2">
        <f>Q8*'Output-Calculation-sheet'!Q52/10^9</f>
        <v>0.79760063411694659</v>
      </c>
      <c r="R63" s="2">
        <f>R8*'Output-Calculation-sheet'!R52/10^9</f>
        <v>0.71608704550571911</v>
      </c>
      <c r="S63" s="2">
        <f>S8*'Output-Calculation-sheet'!S52/10^9</f>
        <v>0.53064587294367305</v>
      </c>
      <c r="T63" s="2">
        <f>T8*'Output-Calculation-sheet'!T52/10^9</f>
        <v>0.27224606542728774</v>
      </c>
      <c r="U63" s="2">
        <f>U8*'Output-Calculation-sheet'!U52/10^9</f>
        <v>0.18697568043839319</v>
      </c>
      <c r="V63" s="2">
        <f>V8*'Output-Calculation-sheet'!V52/10^9</f>
        <v>0.33183764696041784</v>
      </c>
      <c r="W63" s="2">
        <f>W8*'Output-Calculation-sheet'!W52/10^9</f>
        <v>0.12010968144870078</v>
      </c>
      <c r="X63" s="2">
        <f>X8*'Output-Calculation-sheet'!X52/10^9</f>
        <v>0.12375878944491053</v>
      </c>
      <c r="Y63" s="2">
        <f>Y8*'Output-Calculation-sheet'!Y52/10^9</f>
        <v>7.8368225987179102E-2</v>
      </c>
      <c r="AA63" s="2">
        <f t="shared" si="4"/>
        <v>34.509740701748548</v>
      </c>
    </row>
    <row r="64" spans="1:27" x14ac:dyDescent="0.25">
      <c r="A64" s="2">
        <v>2032</v>
      </c>
      <c r="B64" s="2">
        <f>B9*'Output-Calculation-sheet'!B53/10^9</f>
        <v>9.4082061869057672</v>
      </c>
      <c r="C64" s="2">
        <f>C9*'Output-Calculation-sheet'!C53/10^9</f>
        <v>4.9875806696057268</v>
      </c>
      <c r="D64" s="2">
        <f>D9*'Output-Calculation-sheet'!D53/10^9</f>
        <v>2.7864040614318748</v>
      </c>
      <c r="E64" s="2">
        <f>E9*'Output-Calculation-sheet'!E53/10^9</f>
        <v>2.8534003548346965</v>
      </c>
      <c r="F64" s="2">
        <f>F9*'Output-Calculation-sheet'!F53/10^9</f>
        <v>1.2035463773799935</v>
      </c>
      <c r="G64" s="2">
        <f>G9*'Output-Calculation-sheet'!G53/10^9</f>
        <v>0.85664749361030479</v>
      </c>
      <c r="H64" s="2">
        <f>H9*'Output-Calculation-sheet'!H53/10^9</f>
        <v>1.5653151915086048</v>
      </c>
      <c r="I64" s="2">
        <f>I9*'Output-Calculation-sheet'!I53/10^9</f>
        <v>0.80082539918209528</v>
      </c>
      <c r="J64" s="2">
        <f>J9*'Output-Calculation-sheet'!J53/10^9</f>
        <v>1.0601301127823324</v>
      </c>
      <c r="K64" s="2">
        <f>K9*'Output-Calculation-sheet'!K53/10^9</f>
        <v>0.98365651023798684</v>
      </c>
      <c r="L64" s="2">
        <f>L9*'Output-Calculation-sheet'!L53/10^9</f>
        <v>1.2654711603419546</v>
      </c>
      <c r="M64" s="2">
        <f>M9*'Output-Calculation-sheet'!M53/10^9</f>
        <v>1.2418945273573392</v>
      </c>
      <c r="N64" s="2">
        <f>N9*'Output-Calculation-sheet'!N53/10^9</f>
        <v>1.1181063398098419</v>
      </c>
      <c r="O64" s="2">
        <f>O9*'Output-Calculation-sheet'!O53/10^9</f>
        <v>1.0100224362242958</v>
      </c>
      <c r="P64" s="2">
        <f>P9*'Output-Calculation-sheet'!P53/10^9</f>
        <v>0.74997582432992949</v>
      </c>
      <c r="Q64" s="2">
        <f>Q9*'Output-Calculation-sheet'!Q53/10^9</f>
        <v>0.82883110452861275</v>
      </c>
      <c r="R64" s="2">
        <f>R9*'Output-Calculation-sheet'!R53/10^9</f>
        <v>0.71050398653432134</v>
      </c>
      <c r="S64" s="2">
        <f>S9*'Output-Calculation-sheet'!S53/10^9</f>
        <v>0.57172267641007124</v>
      </c>
      <c r="T64" s="2">
        <f>T9*'Output-Calculation-sheet'!T53/10^9</f>
        <v>0.2554066745680873</v>
      </c>
      <c r="U64" s="2">
        <f>U9*'Output-Calculation-sheet'!U53/10^9</f>
        <v>0.19223927882989594</v>
      </c>
      <c r="V64" s="2">
        <f>V9*'Output-Calculation-sheet'!V53/10^9</f>
        <v>0.30315045158307108</v>
      </c>
      <c r="W64" s="2">
        <f>W9*'Output-Calculation-sheet'!W53/10^9</f>
        <v>0.11264504896378308</v>
      </c>
      <c r="X64" s="2">
        <f>X9*'Output-Calculation-sheet'!X53/10^9</f>
        <v>0.12914593705038149</v>
      </c>
      <c r="Y64" s="2">
        <f>Y9*'Output-Calculation-sheet'!Y53/10^9</f>
        <v>7.8922838514062871E-2</v>
      </c>
      <c r="AA64" s="2">
        <f t="shared" si="4"/>
        <v>35.07375064252502</v>
      </c>
    </row>
    <row r="65" spans="1:27" x14ac:dyDescent="0.25">
      <c r="A65" s="2">
        <v>2033</v>
      </c>
      <c r="B65" s="2">
        <f>B10*'Output-Calculation-sheet'!B54/10^9</f>
        <v>9.8441172967903263</v>
      </c>
      <c r="C65" s="2">
        <f>C10*'Output-Calculation-sheet'!C54/10^9</f>
        <v>5.0886006499037233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1.5979923492058623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0.93097359216452857</v>
      </c>
      <c r="L65" s="2">
        <f>L10*'Output-Calculation-sheet'!L54/10^9</f>
        <v>1.0996620298559128</v>
      </c>
      <c r="M65" s="2">
        <f>M10*'Output-Calculation-sheet'!M54/10^9</f>
        <v>1.2185709346603328</v>
      </c>
      <c r="N65" s="2">
        <f>N10*'Output-Calculation-sheet'!N54/10^9</f>
        <v>1.1181881553662565</v>
      </c>
      <c r="O65" s="2">
        <f>O10*'Output-Calculation-sheet'!O54/10^9</f>
        <v>1.0197780716602494</v>
      </c>
      <c r="P65" s="2">
        <f>P10*'Output-Calculation-sheet'!P54/10^9</f>
        <v>0.78769861933592311</v>
      </c>
      <c r="Q65" s="2">
        <f>Q10*'Output-Calculation-sheet'!Q54/10^9</f>
        <v>0.85806589891844742</v>
      </c>
      <c r="R65" s="2">
        <f>R10*'Output-Calculation-sheet'!R54/10^9</f>
        <v>0.69354447406977748</v>
      </c>
      <c r="S65" s="2">
        <f>S10*'Output-Calculation-sheet'!S54/10^9</f>
        <v>0.58984263549100746</v>
      </c>
      <c r="T65" s="2">
        <f>T10*'Output-Calculation-sheet'!T54/10^9</f>
        <v>0.23186159175016238</v>
      </c>
      <c r="U65" s="2">
        <f>U10*'Output-Calculation-sheet'!U54/10^9</f>
        <v>0.20020789322980848</v>
      </c>
      <c r="V65" s="2">
        <f>V10*'Output-Calculation-sheet'!V54/10^9</f>
        <v>0.25659957416904056</v>
      </c>
      <c r="W65" s="2">
        <f>W10*'Output-Calculation-sheet'!W54/10^9</f>
        <v>9.7693359124701951E-2</v>
      </c>
      <c r="X65" s="2">
        <f>X10*'Output-Calculation-sheet'!X54/10^9</f>
        <v>0.1277680229874974</v>
      </c>
      <c r="Y65" s="2">
        <f>Y10*'Output-Calculation-sheet'!Y54/10^9</f>
        <v>8.0413530854072671E-2</v>
      </c>
      <c r="AA65" s="2">
        <f t="shared" si="4"/>
        <v>34.364838690640084</v>
      </c>
    </row>
    <row r="66" spans="1:27" x14ac:dyDescent="0.25">
      <c r="A66" s="2">
        <v>2034</v>
      </c>
      <c r="B66" s="2">
        <f>B11*'Output-Calculation-sheet'!B55/10^9</f>
        <v>10.055808444320865</v>
      </c>
      <c r="C66" s="2">
        <f>C11*'Output-Calculation-sheet'!C55/10^9</f>
        <v>5.0584693670899199</v>
      </c>
      <c r="D66" s="2">
        <f>D11*'Output-Calculation-sheet'!D55/10^9</f>
        <v>2.2694372807607945</v>
      </c>
      <c r="E66" s="2">
        <f>E11*'Output-Calculation-sheet'!E55/10^9</f>
        <v>2.7481275938226872</v>
      </c>
      <c r="F66" s="2">
        <f>F11*'Output-Calculation-sheet'!F55/10^9</f>
        <v>1.0561521934444118</v>
      </c>
      <c r="G66" s="2">
        <f>G11*'Output-Calculation-sheet'!G55/10^9</f>
        <v>0.75491457881682145</v>
      </c>
      <c r="H66" s="2">
        <f>H11*'Output-Calculation-sheet'!H55/10^9</f>
        <v>1.5753129397976546</v>
      </c>
      <c r="I66" s="2">
        <f>I11*'Output-Calculation-sheet'!I55/10^9</f>
        <v>0.73821500643771054</v>
      </c>
      <c r="J66" s="2">
        <f>J11*'Output-Calculation-sheet'!J55/10^9</f>
        <v>0.75913291091395996</v>
      </c>
      <c r="K66" s="2">
        <f>K11*'Output-Calculation-sheet'!K55/10^9</f>
        <v>0.90795913093745662</v>
      </c>
      <c r="L66" s="2">
        <f>L11*'Output-Calculation-sheet'!L55/10^9</f>
        <v>0.96156040924367803</v>
      </c>
      <c r="M66" s="2">
        <f>M11*'Output-Calculation-sheet'!M55/10^9</f>
        <v>1.1482942872689694</v>
      </c>
      <c r="N66" s="2">
        <f>N11*'Output-Calculation-sheet'!N55/10^9</f>
        <v>1.0848061783731193</v>
      </c>
      <c r="O66" s="2">
        <f>O11*'Output-Calculation-sheet'!O55/10^9</f>
        <v>0.99704134191576543</v>
      </c>
      <c r="P66" s="2">
        <f>P11*'Output-Calculation-sheet'!P55/10^9</f>
        <v>0.83258208696858527</v>
      </c>
      <c r="Q66" s="2">
        <f>Q11*'Output-Calculation-sheet'!Q55/10^9</f>
        <v>0.88068281099163603</v>
      </c>
      <c r="R66" s="2">
        <f>R11*'Output-Calculation-sheet'!R55/10^9</f>
        <v>0.68016309602759717</v>
      </c>
      <c r="S66" s="2">
        <f>S11*'Output-Calculation-sheet'!S55/10^9</f>
        <v>0.59331671145648979</v>
      </c>
      <c r="T66" s="2">
        <f>T11*'Output-Calculation-sheet'!T55/10^9</f>
        <v>0.21319726867197325</v>
      </c>
      <c r="U66" s="2">
        <f>U11*'Output-Calculation-sheet'!U55/10^9</f>
        <v>0.2176714662819936</v>
      </c>
      <c r="V66" s="2">
        <f>V11*'Output-Calculation-sheet'!V55/10^9</f>
        <v>0.20224768646395608</v>
      </c>
      <c r="W66" s="2">
        <f>W11*'Output-Calculation-sheet'!W55/10^9</f>
        <v>9.1577623012407003E-2</v>
      </c>
      <c r="X66" s="2">
        <f>X11*'Output-Calculation-sheet'!X55/10^9</f>
        <v>0.12268589808600049</v>
      </c>
      <c r="Y66" s="2">
        <f>Y11*'Output-Calculation-sheet'!Y55/10^9</f>
        <v>8.9532729218054163E-2</v>
      </c>
      <c r="AA66" s="2">
        <f t="shared" si="4"/>
        <v>34.038889040322502</v>
      </c>
    </row>
    <row r="67" spans="1:27" x14ac:dyDescent="0.25">
      <c r="A67" s="2">
        <v>2035</v>
      </c>
      <c r="B67" s="2">
        <f>B12*'Output-Calculation-sheet'!B56/10^9</f>
        <v>10.425545200291843</v>
      </c>
      <c r="C67" s="2">
        <f>C12*'Output-Calculation-sheet'!C56/10^9</f>
        <v>4.8773542162738455</v>
      </c>
      <c r="D67" s="2">
        <f>D12*'Output-Calculation-sheet'!D56/10^9</f>
        <v>2.6603315769333569</v>
      </c>
      <c r="E67" s="2">
        <f>E12*'Output-Calculation-sheet'!E56/10^9</f>
        <v>3.253640919506267</v>
      </c>
      <c r="F67" s="2">
        <f>F12*'Output-Calculation-sheet'!F56/10^9</f>
        <v>1.3168083064573883</v>
      </c>
      <c r="G67" s="2">
        <f>G12*'Output-Calculation-sheet'!G56/10^9</f>
        <v>0.9665459502243422</v>
      </c>
      <c r="H67" s="2">
        <f>H12*'Output-Calculation-sheet'!H56/10^9</f>
        <v>1.5414277259032381</v>
      </c>
      <c r="I67" s="2">
        <f>I12*'Output-Calculation-sheet'!I56/10^9</f>
        <v>0.91300023607465364</v>
      </c>
      <c r="J67" s="2">
        <f>J12*'Output-Calculation-sheet'!J56/10^9</f>
        <v>0.84807779297841668</v>
      </c>
      <c r="K67" s="2">
        <f>K12*'Output-Calculation-sheet'!K56/10^9</f>
        <v>1.0420693305033368</v>
      </c>
      <c r="L67" s="2">
        <f>L12*'Output-Calculation-sheet'!L56/10^9</f>
        <v>0.9949177266846263</v>
      </c>
      <c r="M67" s="2">
        <f>M12*'Output-Calculation-sheet'!M56/10^9</f>
        <v>1.0729298190188683</v>
      </c>
      <c r="N67" s="2">
        <f>N12*'Output-Calculation-sheet'!N56/10^9</f>
        <v>1.045534708275794</v>
      </c>
      <c r="O67" s="2">
        <f>O12*'Output-Calculation-sheet'!O56/10^9</f>
        <v>0.94802339083153786</v>
      </c>
      <c r="P67" s="2">
        <f>P12*'Output-Calculation-sheet'!P56/10^9</f>
        <v>0.9218876395405402</v>
      </c>
      <c r="Q67" s="2">
        <f>Q12*'Output-Calculation-sheet'!Q56/10^9</f>
        <v>0.93345627768785289</v>
      </c>
      <c r="R67" s="2">
        <f>R12*'Output-Calculation-sheet'!R56/10^9</f>
        <v>0.76840612672397302</v>
      </c>
      <c r="S67" s="2">
        <f>S12*'Output-Calculation-sheet'!S56/10^9</f>
        <v>0.59774449693353937</v>
      </c>
      <c r="T67" s="2">
        <f>T12*'Output-Calculation-sheet'!T56/10^9</f>
        <v>0.23548445561690975</v>
      </c>
      <c r="U67" s="2">
        <f>U12*'Output-Calculation-sheet'!U56/10^9</f>
        <v>0.25288770479291828</v>
      </c>
      <c r="V67" s="2">
        <f>V12*'Output-Calculation-sheet'!V56/10^9</f>
        <v>0.180776457643919</v>
      </c>
      <c r="W67" s="2">
        <f>W12*'Output-Calculation-sheet'!W56/10^9</f>
        <v>0.12000448862405892</v>
      </c>
      <c r="X67" s="2">
        <f>X12*'Output-Calculation-sheet'!X56/10^9</f>
        <v>0.11425567740723379</v>
      </c>
      <c r="Y67" s="2">
        <f>Y12*'Output-Calculation-sheet'!Y56/10^9</f>
        <v>0.10672171840299841</v>
      </c>
      <c r="AA67" s="2">
        <f t="shared" si="4"/>
        <v>36.13783194333147</v>
      </c>
    </row>
    <row r="68" spans="1:27" x14ac:dyDescent="0.25">
      <c r="B68" s="2">
        <f>SUM(B60:B67)</f>
        <v>48.469833070922505</v>
      </c>
      <c r="C68" s="2">
        <f t="shared" ref="C68:Y68" si="5">SUM(C60:C67)</f>
        <v>24.679308711997294</v>
      </c>
      <c r="D68" s="2">
        <f t="shared" si="5"/>
        <v>13.100883974869941</v>
      </c>
      <c r="E68" s="2">
        <f t="shared" si="5"/>
        <v>14.523668800560204</v>
      </c>
      <c r="F68" s="2">
        <f t="shared" si="5"/>
        <v>5.9299967046830924</v>
      </c>
      <c r="G68" s="2">
        <f t="shared" si="5"/>
        <v>4.2348185081857705</v>
      </c>
      <c r="H68" s="2">
        <f t="shared" si="5"/>
        <v>7.7550818218466429</v>
      </c>
      <c r="I68" s="2">
        <f t="shared" si="5"/>
        <v>4.0257778741532544</v>
      </c>
      <c r="J68" s="2">
        <f t="shared" si="5"/>
        <v>4.700877339962874</v>
      </c>
      <c r="K68" s="2">
        <f t="shared" si="5"/>
        <v>4.8846356438882523</v>
      </c>
      <c r="L68" s="2">
        <f t="shared" si="5"/>
        <v>5.6935295741667682</v>
      </c>
      <c r="M68" s="2">
        <f t="shared" si="5"/>
        <v>5.8900857281084651</v>
      </c>
      <c r="N68" s="2">
        <f t="shared" si="5"/>
        <v>5.432869823927799</v>
      </c>
      <c r="O68" s="2">
        <f t="shared" si="5"/>
        <v>4.9297553087914734</v>
      </c>
      <c r="P68" s="2">
        <f t="shared" si="5"/>
        <v>3.9969208186097456</v>
      </c>
      <c r="Q68" s="2">
        <f t="shared" si="5"/>
        <v>4.2986367262434957</v>
      </c>
      <c r="R68" s="2">
        <f t="shared" si="5"/>
        <v>3.5687047288613885</v>
      </c>
      <c r="S68" s="2">
        <f t="shared" si="5"/>
        <v>2.883272393234781</v>
      </c>
      <c r="T68" s="2">
        <f t="shared" si="5"/>
        <v>1.2081960560344205</v>
      </c>
      <c r="U68" s="2">
        <f t="shared" si="5"/>
        <v>1.0499820235730095</v>
      </c>
      <c r="V68" s="2">
        <f t="shared" si="5"/>
        <v>1.2746118168204046</v>
      </c>
      <c r="W68" s="2">
        <f t="shared" si="5"/>
        <v>0.54203020117365175</v>
      </c>
      <c r="X68" s="2">
        <f t="shared" si="5"/>
        <v>0.61761432497602364</v>
      </c>
      <c r="Y68" s="2">
        <f t="shared" si="5"/>
        <v>0.43395904297636723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61.766999388789749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6.1766999388789746E-2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619.92200214913214</v>
      </c>
      <c r="Q76" s="2">
        <f>Q10/'Output-Calculation-sheet'!Q9*'Output-Calculation-sheet'!Q63</f>
        <v>73.52141328306503</v>
      </c>
      <c r="R76" s="2">
        <f>R10/'Output-Calculation-sheet'!R9*'Output-Calculation-sheet'!R63</f>
        <v>473.07380512000918</v>
      </c>
      <c r="S76" s="2">
        <f>S10/'Output-Calculation-sheet'!S9*'Output-Calculation-sheet'!S63</f>
        <v>0</v>
      </c>
      <c r="T76" s="2">
        <f>T10/'Output-Calculation-sheet'!T9*'Output-Calculation-sheet'!T63</f>
        <v>31.00237915024881</v>
      </c>
      <c r="U76" s="2">
        <f>U10/'Output-Calculation-sheet'!U9*'Output-Calculation-sheet'!U63</f>
        <v>167.60620129708215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7.9496801238216195</v>
      </c>
      <c r="AA76" s="2">
        <f t="shared" si="6"/>
        <v>1.5032172102481463</v>
      </c>
    </row>
    <row r="77" spans="1:27" x14ac:dyDescent="0.25">
      <c r="A77" s="2">
        <v>2034</v>
      </c>
      <c r="B77" s="2">
        <f>B11/'Output-Calculation-sheet'!B10*'Output-Calculation-sheet'!B64</f>
        <v>618.74660648503027</v>
      </c>
      <c r="C77" s="2">
        <f>C11/'Output-Calculation-sheet'!C10*'Output-Calculation-sheet'!C64</f>
        <v>0</v>
      </c>
      <c r="D77" s="2">
        <f>D11/'Output-Calculation-sheet'!D10*'Output-Calculation-sheet'!D64</f>
        <v>2200.8504217366608</v>
      </c>
      <c r="E77" s="2">
        <f>E11/'Output-Calculation-sheet'!E10*'Output-Calculation-sheet'!E64</f>
        <v>2728.9925808322419</v>
      </c>
      <c r="F77" s="2">
        <f>F11/'Output-Calculation-sheet'!F10*'Output-Calculation-sheet'!F64</f>
        <v>177.5618657045602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180.44440977163032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480.07604425725395</v>
      </c>
      <c r="K77" s="2">
        <f>K11/'Output-Calculation-sheet'!K10*'Output-Calculation-sheet'!K64</f>
        <v>1049.0323831517276</v>
      </c>
      <c r="L77" s="2">
        <f>L11/'Output-Calculation-sheet'!L10*'Output-Calculation-sheet'!L64</f>
        <v>432.50558915858971</v>
      </c>
      <c r="M77" s="2">
        <f>M11/'Output-Calculation-sheet'!M10*'Output-Calculation-sheet'!M64</f>
        <v>129.95883908402675</v>
      </c>
      <c r="N77" s="2">
        <f>N11/'Output-Calculation-sheet'!N10*'Output-Calculation-sheet'!N64</f>
        <v>42.981049224907785</v>
      </c>
      <c r="O77" s="2">
        <f>O11/'Output-Calculation-sheet'!O10*'Output-Calculation-sheet'!O64</f>
        <v>0</v>
      </c>
      <c r="P77" s="2">
        <f>P11/'Output-Calculation-sheet'!P10*'Output-Calculation-sheet'!P64</f>
        <v>891.38087230163819</v>
      </c>
      <c r="Q77" s="2">
        <f>Q11/'Output-Calculation-sheet'!Q10*'Output-Calculation-sheet'!Q64</f>
        <v>213.82191688345546</v>
      </c>
      <c r="R77" s="2">
        <f>R11/'Output-Calculation-sheet'!R10*'Output-Calculation-sheet'!R64</f>
        <v>1100.209004724268</v>
      </c>
      <c r="S77" s="2">
        <f>S11/'Output-Calculation-sheet'!S10*'Output-Calculation-sheet'!S64</f>
        <v>0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404.47893241896674</v>
      </c>
      <c r="V77" s="2">
        <f>V11/'Output-Calculation-sheet'!V10*'Output-Calculation-sheet'!V64</f>
        <v>157.98829048655222</v>
      </c>
      <c r="W77" s="2">
        <f>W11/'Output-Calculation-sheet'!W10*'Output-Calculation-sheet'!W64</f>
        <v>34.597539237478884</v>
      </c>
      <c r="X77" s="2">
        <f>X11/'Output-Calculation-sheet'!X10*'Output-Calculation-sheet'!X64</f>
        <v>12.955470014390242</v>
      </c>
      <c r="Y77" s="2">
        <f>Y11/'Output-Calculation-sheet'!Y10*'Output-Calculation-sheet'!Y64</f>
        <v>73.023791737659323</v>
      </c>
      <c r="AA77" s="2">
        <f t="shared" si="6"/>
        <v>13.073197393255519</v>
      </c>
    </row>
    <row r="78" spans="1:27" x14ac:dyDescent="0.25">
      <c r="A78" s="2">
        <v>2035</v>
      </c>
      <c r="B78" s="2">
        <f>B12/'Output-Calculation-sheet'!B11*'Output-Calculation-sheet'!B65</f>
        <v>117.65060364311888</v>
      </c>
      <c r="C78" s="2">
        <f>C12/'Output-Calculation-sheet'!C11*'Output-Calculation-sheet'!C65</f>
        <v>94.233863131166856</v>
      </c>
      <c r="D78" s="2">
        <f>D12/'Output-Calculation-sheet'!D11*'Output-Calculation-sheet'!D65</f>
        <v>4497.7112625293157</v>
      </c>
      <c r="E78" s="2">
        <f>E12/'Output-Calculation-sheet'!E11*'Output-Calculation-sheet'!E65</f>
        <v>2181.1006523733217</v>
      </c>
      <c r="F78" s="2">
        <f>F12/'Output-Calculation-sheet'!F11*'Output-Calculation-sheet'!F65</f>
        <v>1124.814153321111</v>
      </c>
      <c r="G78" s="2">
        <f>G12/'Output-Calculation-sheet'!G11*'Output-Calculation-sheet'!G65</f>
        <v>2087.5943087688393</v>
      </c>
      <c r="H78" s="2">
        <f>H12/'Output-Calculation-sheet'!H11*'Output-Calculation-sheet'!H65</f>
        <v>39.56570450043224</v>
      </c>
      <c r="I78" s="2">
        <f>I12/'Output-Calculation-sheet'!I11*'Output-Calculation-sheet'!I65</f>
        <v>1387.3807600225732</v>
      </c>
      <c r="J78" s="2">
        <f>J12/'Output-Calculation-sheet'!J11*'Output-Calculation-sheet'!J65</f>
        <v>1442.9428936141808</v>
      </c>
      <c r="K78" s="2">
        <f>K12/'Output-Calculation-sheet'!K11*'Output-Calculation-sheet'!K65</f>
        <v>1796.230999641047</v>
      </c>
      <c r="L78" s="2">
        <f>L12/'Output-Calculation-sheet'!L11*'Output-Calculation-sheet'!L65</f>
        <v>976.44166148557042</v>
      </c>
      <c r="M78" s="2">
        <f>M12/'Output-Calculation-sheet'!M11*'Output-Calculation-sheet'!M65</f>
        <v>27.667895572375162</v>
      </c>
      <c r="N78" s="2">
        <f>N12/'Output-Calculation-sheet'!N11*'Output-Calculation-sheet'!N65</f>
        <v>28.76079262491734</v>
      </c>
      <c r="O78" s="2">
        <f>O12/'Output-Calculation-sheet'!O11*'Output-Calculation-sheet'!O65</f>
        <v>16.421576427327452</v>
      </c>
      <c r="P78" s="2">
        <f>P12/'Output-Calculation-sheet'!P11*'Output-Calculation-sheet'!P65</f>
        <v>338.24942348266359</v>
      </c>
      <c r="Q78" s="2">
        <f>Q12/'Output-Calculation-sheet'!Q11*'Output-Calculation-sheet'!Q65</f>
        <v>252.05489742856497</v>
      </c>
      <c r="R78" s="2">
        <f>R12/'Output-Calculation-sheet'!R11*'Output-Calculation-sheet'!R65</f>
        <v>1554.4459456443597</v>
      </c>
      <c r="S78" s="2">
        <f>S12/'Output-Calculation-sheet'!S11*'Output-Calculation-sheet'!S65</f>
        <v>11.784662941521479</v>
      </c>
      <c r="T78" s="2">
        <f>T12/'Output-Calculation-sheet'!T11*'Output-Calculation-sheet'!T65</f>
        <v>564.09970532670195</v>
      </c>
      <c r="U78" s="2">
        <f>U12/'Output-Calculation-sheet'!U11*'Output-Calculation-sheet'!U65</f>
        <v>464.03268861573855</v>
      </c>
      <c r="V78" s="2">
        <f>V12/'Output-Calculation-sheet'!V11*'Output-Calculation-sheet'!V65</f>
        <v>281.27890109392081</v>
      </c>
      <c r="W78" s="2">
        <f>W12/'Output-Calculation-sheet'!W11*'Output-Calculation-sheet'!W65</f>
        <v>201.24073234570338</v>
      </c>
      <c r="X78" s="2">
        <f>X12/'Output-Calculation-sheet'!X11*'Output-Calculation-sheet'!X65</f>
        <v>2.8248184693869991</v>
      </c>
      <c r="Y78" s="2">
        <f>Y12/'Output-Calculation-sheet'!Y11*'Output-Calculation-sheet'!Y65</f>
        <v>49.505522012238195</v>
      </c>
      <c r="AA78" s="2">
        <f t="shared" si="6"/>
        <v>19.538034425016097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99.102091567999423</v>
      </c>
      <c r="E89" s="2">
        <f>E12/'Output-Calculation-sheet'!E11*'Output-Calculation-sheet'!E74</f>
        <v>73.837332422154077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51.103355934355768</v>
      </c>
      <c r="H89" s="2">
        <f>H12/'Output-Calculation-sheet'!H11*'Output-Calculation-sheet'!H74</f>
        <v>6.4572469536120511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23.733621800501624</v>
      </c>
      <c r="K89" s="2">
        <f>K12/'Output-Calculation-sheet'!K11*'Output-Calculation-sheet'!K74</f>
        <v>33.390661608080656</v>
      </c>
      <c r="L89" s="2">
        <f>L12/'Output-Calculation-sheet'!L11*'Output-Calculation-sheet'!L74</f>
        <v>12.494455041402052</v>
      </c>
      <c r="M89" s="2">
        <f>M12/'Output-Calculation-sheet'!M11*'Output-Calculation-sheet'!M74</f>
        <v>5.9242857603715349</v>
      </c>
      <c r="N89" s="2">
        <f>N12/'Output-Calculation-sheet'!N11*'Output-Calculation-sheet'!N74</f>
        <v>2.9113060658889909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5.3790708620468903</v>
      </c>
      <c r="Q89" s="2">
        <f>Q12/'Output-Calculation-sheet'!Q11*'Output-Calculation-sheet'!Q74</f>
        <v>7.6522495576191591</v>
      </c>
      <c r="R89" s="2">
        <f>R12/'Output-Calculation-sheet'!R11*'Output-Calculation-sheet'!R74</f>
        <v>21.50116846289685</v>
      </c>
      <c r="S89" s="2">
        <f>S12/'Output-Calculation-sheet'!S11*'Output-Calculation-sheet'!S74</f>
        <v>2.5032917102998256</v>
      </c>
      <c r="T89" s="2">
        <f>T12/'Output-Calculation-sheet'!T11*'Output-Calculation-sheet'!T74</f>
        <v>5.6150275508443643</v>
      </c>
      <c r="U89" s="2">
        <f>U12/'Output-Calculation-sheet'!U11*'Output-Calculation-sheet'!U74</f>
        <v>11.393796011084913</v>
      </c>
      <c r="V89" s="2">
        <f>V12/'Output-Calculation-sheet'!V11*'Output-Calculation-sheet'!V74</f>
        <v>1.568859299041105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2.8222747854876116</v>
      </c>
      <c r="AA89" s="2">
        <f t="shared" si="7"/>
        <v>0.51304615556215705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2064.7259900599602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635.58669713461768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437.34550262282113</v>
      </c>
      <c r="N107" s="2">
        <f>N8/'Output-Calculation-sheet'!N7*'Output-Calculation-sheet'!N88</f>
        <v>171.93588103963955</v>
      </c>
      <c r="O107" s="2">
        <f>O8/'Output-Calculation-sheet'!O7*'Output-Calculation-sheet'!O88</f>
        <v>481.34268017019161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47.977711242919092</v>
      </c>
      <c r="Y107" s="2">
        <f>Y8/'Output-Calculation-sheet'!Y7*'Output-Calculation-sheet'!Y88</f>
        <v>0</v>
      </c>
      <c r="AA107" s="2">
        <f t="shared" si="9"/>
        <v>3.8389144622701497</v>
      </c>
    </row>
    <row r="108" spans="1:27" x14ac:dyDescent="0.25">
      <c r="A108" s="2">
        <v>2032</v>
      </c>
      <c r="B108" s="2">
        <f>B9/'Output-Calculation-sheet'!B8*'Output-Calculation-sheet'!B89</f>
        <v>982.70934398040458</v>
      </c>
      <c r="C108" s="2">
        <f>C9/'Output-Calculation-sheet'!C8*'Output-Calculation-sheet'!C89</f>
        <v>3731.3327988550755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1005.0424672972262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691.56702775402573</v>
      </c>
      <c r="N108" s="2">
        <f>N9/'Output-Calculation-sheet'!N8*'Output-Calculation-sheet'!N89</f>
        <v>485.49873817383394</v>
      </c>
      <c r="O108" s="2">
        <f>O9/'Output-Calculation-sheet'!O8*'Output-Calculation-sheet'!O89</f>
        <v>724.89430343074514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222.64370957011809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75.866341287889355</v>
      </c>
      <c r="Y108" s="2">
        <f>Y9/'Output-Calculation-sheet'!Y8*'Output-Calculation-sheet'!Y89</f>
        <v>0</v>
      </c>
      <c r="AA108" s="2">
        <f t="shared" si="9"/>
        <v>7.9195547303493186</v>
      </c>
    </row>
    <row r="109" spans="1:27" x14ac:dyDescent="0.25">
      <c r="A109" s="2">
        <v>2033</v>
      </c>
      <c r="B109" s="2">
        <f>B10/'Output-Calculation-sheet'!B9*'Output-Calculation-sheet'!B90</f>
        <v>5304.604595447775</v>
      </c>
      <c r="C109" s="2">
        <f>C10/'Output-Calculation-sheet'!C9*'Output-Calculation-sheet'!C90</f>
        <v>5035.3762364211116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1550.0449775633886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1066.5817942014903</v>
      </c>
      <c r="N109" s="2">
        <f>N10/'Output-Calculation-sheet'!N9*'Output-Calculation-sheet'!N90</f>
        <v>838.6215446922198</v>
      </c>
      <c r="O109" s="2">
        <f>O10/'Output-Calculation-sheet'!O9*'Output-Calculation-sheet'!O90</f>
        <v>978.2337159880816</v>
      </c>
      <c r="P109" s="2">
        <f>P10/'Output-Calculation-sheet'!P9*'Output-Calculation-sheet'!P90</f>
        <v>0</v>
      </c>
      <c r="Q109" s="2">
        <f>Q10/'Output-Calculation-sheet'!Q9*'Output-Calculation-sheet'!Q90</f>
        <v>183.69021781355681</v>
      </c>
      <c r="R109" s="2">
        <f>R10/'Output-Calculation-sheet'!R9*'Output-Calculation-sheet'!R90</f>
        <v>0</v>
      </c>
      <c r="S109" s="2">
        <f>S10/'Output-Calculation-sheet'!S9*'Output-Calculation-sheet'!S90</f>
        <v>420.63596755101003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117.00624113490871</v>
      </c>
      <c r="Y109" s="2">
        <f>Y10/'Output-Calculation-sheet'!Y9*'Output-Calculation-sheet'!Y90</f>
        <v>0</v>
      </c>
      <c r="AA109" s="2">
        <f t="shared" si="9"/>
        <v>15.494795290813542</v>
      </c>
    </row>
    <row r="110" spans="1:27" x14ac:dyDescent="0.25">
      <c r="A110" s="2">
        <v>2034</v>
      </c>
      <c r="B110" s="2">
        <f>B11/'Output-Calculation-sheet'!B10*'Output-Calculation-sheet'!B91</f>
        <v>9987.4548318106336</v>
      </c>
      <c r="C110" s="2">
        <f>C11/'Output-Calculation-sheet'!C10*'Output-Calculation-sheet'!C91</f>
        <v>6847.0671054416389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1945.6057999088221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1338.7661357657053</v>
      </c>
      <c r="N110" s="2">
        <f>N11/'Output-Calculation-sheet'!N10*'Output-Calculation-sheet'!N91</f>
        <v>1206.1408307158631</v>
      </c>
      <c r="O110" s="2">
        <f>O11/'Output-Calculation-sheet'!O10*'Output-Calculation-sheet'!O91</f>
        <v>1330.1949216284484</v>
      </c>
      <c r="P110" s="2">
        <f>P11/'Output-Calculation-sheet'!P10*'Output-Calculation-sheet'!P91</f>
        <v>303.88970937910977</v>
      </c>
      <c r="Q110" s="2">
        <f>Q11/'Output-Calculation-sheet'!Q10*'Output-Calculation-sheet'!Q91</f>
        <v>672.48620426179696</v>
      </c>
      <c r="R110" s="2">
        <f>R11/'Output-Calculation-sheet'!R10*'Output-Calculation-sheet'!R91</f>
        <v>0</v>
      </c>
      <c r="S110" s="2">
        <f>S11/'Output-Calculation-sheet'!S10*'Output-Calculation-sheet'!S91</f>
        <v>691.40156219729522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146.86542950222164</v>
      </c>
      <c r="Y110" s="2">
        <f>Y11/'Output-Calculation-sheet'!Y10*'Output-Calculation-sheet'!Y91</f>
        <v>23.621324790528366</v>
      </c>
      <c r="AA110" s="2">
        <f t="shared" si="9"/>
        <v>24.493493855402061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3411.2847579035183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481.036519093979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1242.5653691328316</v>
      </c>
      <c r="Q111" s="2">
        <f>Q12/'Output-Calculation-sheet'!Q11*'Output-Calculation-sheet'!Q92</f>
        <v>1178.4464318733505</v>
      </c>
      <c r="R111" s="2">
        <f>R12/'Output-Calculation-sheet'!R11*'Output-Calculation-sheet'!R92</f>
        <v>0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132.80370796155594</v>
      </c>
      <c r="AA111" s="2">
        <f t="shared" si="9"/>
        <v>40.136034631232071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9706239338.7993279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2986410577.8947029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2074319495.2789404</v>
      </c>
      <c r="N118" s="2">
        <f>N8/'Output-Calculation-sheet'!N7*'Output-Calculation-sheet'!N97</f>
        <v>1627749363.3383076</v>
      </c>
      <c r="O118" s="2">
        <f>O8/'Output-Calculation-sheet'!O7*'Output-Calculation-sheet'!O97</f>
        <v>1083123133.3756945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223572271.25161716</v>
      </c>
      <c r="Y118" s="2">
        <f>Y8/'Output-Calculation-sheet'!Y7*'Output-Calculation-sheet'!Y97</f>
        <v>0</v>
      </c>
      <c r="AA118" s="2">
        <f t="shared" si="10"/>
        <v>19946.023597522395</v>
      </c>
    </row>
    <row r="119" spans="1:27" x14ac:dyDescent="0.25">
      <c r="A119" s="2">
        <v>2032</v>
      </c>
      <c r="B119" s="2">
        <f>B9/'Output-Calculation-sheet'!B8*'Output-Calculation-sheet'!B98</f>
        <v>7372336548.3770466</v>
      </c>
      <c r="C119" s="2">
        <f>C9/'Output-Calculation-sheet'!C8*'Output-Calculation-sheet'!C98</f>
        <v>5859681998.6427908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3502931009.9477553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2445058963.154995</v>
      </c>
      <c r="N119" s="2">
        <f>N9/'Output-Calculation-sheet'!N8*'Output-Calculation-sheet'!N98</f>
        <v>1653558260.7927356</v>
      </c>
      <c r="O119" s="2">
        <f>O9/'Output-Calculation-sheet'!O8*'Output-Calculation-sheet'!O98</f>
        <v>1144873585.8880134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686210177.26606095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261630074.69402432</v>
      </c>
      <c r="Y119" s="2">
        <f>Y9/'Output-Calculation-sheet'!Y8*'Output-Calculation-sheet'!Y98</f>
        <v>0</v>
      </c>
      <c r="AA119" s="2">
        <f t="shared" si="10"/>
        <v>22926.28061876342</v>
      </c>
    </row>
    <row r="120" spans="1:27" x14ac:dyDescent="0.25">
      <c r="A120" s="2">
        <v>2033</v>
      </c>
      <c r="B120" s="2">
        <f>B10/'Output-Calculation-sheet'!B9*'Output-Calculation-sheet'!B99</f>
        <v>7631380531.8912258</v>
      </c>
      <c r="C120" s="2">
        <f>C10/'Output-Calculation-sheet'!C9*'Output-Calculation-sheet'!C99</f>
        <v>6273468659.9276428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2056921763.4991689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1455906311.8236151</v>
      </c>
      <c r="N120" s="2">
        <f>N10/'Output-Calculation-sheet'!N9*'Output-Calculation-sheet'!N99</f>
        <v>1451384336.9371529</v>
      </c>
      <c r="O120" s="2">
        <f>O10/'Output-Calculation-sheet'!O9*'Output-Calculation-sheet'!O99</f>
        <v>1228210035.2515991</v>
      </c>
      <c r="P120" s="2">
        <f>P10/'Output-Calculation-sheet'!P9*'Output-Calculation-sheet'!P99</f>
        <v>0</v>
      </c>
      <c r="Q120" s="2">
        <f>Q10/'Output-Calculation-sheet'!Q9*'Output-Calculation-sheet'!Q99</f>
        <v>9222477.7943634726</v>
      </c>
      <c r="R120" s="2">
        <f>R10/'Output-Calculation-sheet'!R9*'Output-Calculation-sheet'!R99</f>
        <v>0</v>
      </c>
      <c r="S120" s="2">
        <f>S10/'Output-Calculation-sheet'!S9*'Output-Calculation-sheet'!S99</f>
        <v>607830288.92109728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145378704.65731943</v>
      </c>
      <c r="Y120" s="2">
        <f>Y10/'Output-Calculation-sheet'!Y9*'Output-Calculation-sheet'!Y99</f>
        <v>0</v>
      </c>
      <c r="AA120" s="2">
        <f t="shared" si="10"/>
        <v>20859.703110703183</v>
      </c>
    </row>
    <row r="121" spans="1:27" x14ac:dyDescent="0.25">
      <c r="A121" s="2">
        <v>2034</v>
      </c>
      <c r="B121" s="2">
        <f>B11/'Output-Calculation-sheet'!B10*'Output-Calculation-sheet'!B100</f>
        <v>7417704321.4533596</v>
      </c>
      <c r="C121" s="2">
        <f>C11/'Output-Calculation-sheet'!C10*'Output-Calculation-sheet'!C100</f>
        <v>898876266.18003738</v>
      </c>
      <c r="D121" s="2">
        <f>D11/'Output-Calculation-sheet'!D10*'Output-Calculation-sheet'!D100</f>
        <v>0</v>
      </c>
      <c r="E121" s="2">
        <f>E11/'Output-Calculation-sheet'!E10*'Output-Calculation-sheet'!E100</f>
        <v>1038381412.154112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2366825244.3211169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862239637.0204612</v>
      </c>
      <c r="M121" s="2">
        <f>M11/'Output-Calculation-sheet'!M10*'Output-Calculation-sheet'!M100</f>
        <v>1684460472.7753186</v>
      </c>
      <c r="N121" s="2">
        <f>N11/'Output-Calculation-sheet'!N10*'Output-Calculation-sheet'!N100</f>
        <v>1122992158.9947906</v>
      </c>
      <c r="O121" s="2">
        <f>O11/'Output-Calculation-sheet'!O10*'Output-Calculation-sheet'!O100</f>
        <v>176317536.19175917</v>
      </c>
      <c r="P121" s="2">
        <f>P11/'Output-Calculation-sheet'!P10*'Output-Calculation-sheet'!P100</f>
        <v>0</v>
      </c>
      <c r="Q121" s="2">
        <f>Q11/'Output-Calculation-sheet'!Q10*'Output-Calculation-sheet'!Q100</f>
        <v>378623457.2076419</v>
      </c>
      <c r="R121" s="2">
        <f>R11/'Output-Calculation-sheet'!R10*'Output-Calculation-sheet'!R100</f>
        <v>0</v>
      </c>
      <c r="S121" s="2">
        <f>S11/'Output-Calculation-sheet'!S10*'Output-Calculation-sheet'!S100</f>
        <v>419878454.81617165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165510027.56658268</v>
      </c>
      <c r="Y121" s="2">
        <f>Y11/'Output-Calculation-sheet'!Y10*'Output-Calculation-sheet'!Y100</f>
        <v>24026829.312273297</v>
      </c>
      <c r="AA121" s="2">
        <f t="shared" si="10"/>
        <v>16555.835817993626</v>
      </c>
    </row>
    <row r="122" spans="1:27" x14ac:dyDescent="0.25">
      <c r="A122" s="2">
        <v>2035</v>
      </c>
      <c r="B122" s="2">
        <f>B12/'Output-Calculation-sheet'!B11*'Output-Calculation-sheet'!B101</f>
        <v>2059172839.8340998</v>
      </c>
      <c r="C122" s="2">
        <f>C12/'Output-Calculation-sheet'!C11*'Output-Calculation-sheet'!C101</f>
        <v>427339206.9768033</v>
      </c>
      <c r="D122" s="2">
        <f>D12/'Output-Calculation-sheet'!D11*'Output-Calculation-sheet'!D101</f>
        <v>0</v>
      </c>
      <c r="E122" s="2">
        <f>E12/'Output-Calculation-sheet'!E11*'Output-Calculation-sheet'!E101</f>
        <v>3531576601.894629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740705417.00971031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1877579242.4366105</v>
      </c>
      <c r="M122" s="2">
        <f>M12/'Output-Calculation-sheet'!M11*'Output-Calculation-sheet'!M101</f>
        <v>660114429.49226236</v>
      </c>
      <c r="N122" s="2">
        <f>N12/'Output-Calculation-sheet'!N11*'Output-Calculation-sheet'!N101</f>
        <v>549614263.65082896</v>
      </c>
      <c r="O122" s="2">
        <f>O12/'Output-Calculation-sheet'!O11*'Output-Calculation-sheet'!O101</f>
        <v>73023649.168008566</v>
      </c>
      <c r="P122" s="2">
        <f>P12/'Output-Calculation-sheet'!P11*'Output-Calculation-sheet'!P101</f>
        <v>89880051.534176826</v>
      </c>
      <c r="Q122" s="2">
        <f>Q12/'Output-Calculation-sheet'!Q11*'Output-Calculation-sheet'!Q101</f>
        <v>835929573.53694236</v>
      </c>
      <c r="R122" s="2">
        <f>R12/'Output-Calculation-sheet'!R11*'Output-Calculation-sheet'!R101</f>
        <v>0</v>
      </c>
      <c r="S122" s="2">
        <f>S12/'Output-Calculation-sheet'!S11*'Output-Calculation-sheet'!S101</f>
        <v>246781172.24591759</v>
      </c>
      <c r="T122" s="2">
        <f>T12/'Output-Calculation-sheet'!T11*'Output-Calculation-sheet'!T101</f>
        <v>0</v>
      </c>
      <c r="U122" s="2">
        <f>U12/'Output-Calculation-sheet'!U11*'Output-Calculation-sheet'!U101</f>
        <v>104199926.81294653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21609243.879664585</v>
      </c>
      <c r="Y122" s="2">
        <f>Y12/'Output-Calculation-sheet'!Y11*'Output-Calculation-sheet'!Y101</f>
        <v>106114223.60111344</v>
      </c>
      <c r="AA122" s="2">
        <f t="shared" si="10"/>
        <v>11323.639842073717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2701111574.6659775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177549.01233708445</v>
      </c>
    </row>
    <row r="130" spans="1:27" x14ac:dyDescent="0.25">
      <c r="A130" s="2">
        <v>2032</v>
      </c>
      <c r="B130" s="2">
        <f>B9/'Output-Calculation-sheet'!B8*'Output-Calculation-sheet'!B107</f>
        <v>66715422665.124954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2424771114.8283453</v>
      </c>
      <c r="O130" s="2">
        <f>O9/'Output-Calculation-sheet'!O8*'Output-Calculation-sheet'!O107</f>
        <v>0</v>
      </c>
      <c r="P130" s="2">
        <f>P9/'Output-Calculation-sheet'!P8*'Output-Calculation-sheet'!P107</f>
        <v>7406017003.4778547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2155665310.8253598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234951.65231734703</v>
      </c>
    </row>
    <row r="131" spans="1:27" x14ac:dyDescent="0.25">
      <c r="A131" s="2">
        <v>2033</v>
      </c>
      <c r="B131" s="2">
        <f>B10/'Output-Calculation-sheet'!B9*'Output-Calculation-sheet'!B108</f>
        <v>56927776480.907623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2085988047.1065946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8092907915.4483366</v>
      </c>
      <c r="R131" s="2">
        <f>R10/'Output-Calculation-sheet'!R9*'Output-Calculation-sheet'!R108</f>
        <v>9080843162.0136642</v>
      </c>
      <c r="S131" s="2">
        <f>S10/'Output-Calculation-sheet'!S9*'Output-Calculation-sheet'!S108</f>
        <v>2023297243.553772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271707.05041074078</v>
      </c>
    </row>
    <row r="132" spans="1:27" x14ac:dyDescent="0.25">
      <c r="A132" s="2">
        <v>2034</v>
      </c>
      <c r="B132" s="2">
        <f>B11/'Output-Calculation-sheet'!B10*'Output-Calculation-sheet'!B109</f>
        <v>43632466308.862892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42018246422.57798</v>
      </c>
      <c r="F132" s="2">
        <f>F11/'Output-Calculation-sheet'!F10*'Output-Calculation-sheet'!F109</f>
        <v>27712698339.900055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17266527710.747139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12856406977.407139</v>
      </c>
      <c r="M132" s="2">
        <f>M11/'Output-Calculation-sheet'!M10*'Output-Calculation-sheet'!M109</f>
        <v>0</v>
      </c>
      <c r="N132" s="2">
        <f>N11/'Output-Calculation-sheet'!N10*'Output-Calculation-sheet'!N109</f>
        <v>1690317373.3015053</v>
      </c>
      <c r="O132" s="2">
        <f>O11/'Output-Calculation-sheet'!O10*'Output-Calculation-sheet'!O109</f>
        <v>0</v>
      </c>
      <c r="P132" s="2">
        <f>P11/'Output-Calculation-sheet'!P10*'Output-Calculation-sheet'!P109</f>
        <v>9606005019.5284901</v>
      </c>
      <c r="Q132" s="2">
        <f>Q11/'Output-Calculation-sheet'!Q10*'Output-Calculation-sheet'!Q109</f>
        <v>6187435771.7467918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1160082028.9563863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1209201384.7451003</v>
      </c>
      <c r="AA132" s="2">
        <f t="shared" si="11"/>
        <v>295712.38648774097</v>
      </c>
    </row>
    <row r="133" spans="1:27" x14ac:dyDescent="0.25">
      <c r="A133" s="2">
        <v>2035</v>
      </c>
      <c r="B133" s="2">
        <f>B12/'Output-Calculation-sheet'!B11*'Output-Calculation-sheet'!B110</f>
        <v>689062466.82982934</v>
      </c>
      <c r="C133" s="2">
        <f>C12/'Output-Calculation-sheet'!C11*'Output-Calculation-sheet'!C110</f>
        <v>0</v>
      </c>
      <c r="D133" s="2">
        <f>D12/'Output-Calculation-sheet'!D11*'Output-Calculation-sheet'!D110</f>
        <v>59102263807.975296</v>
      </c>
      <c r="E133" s="2">
        <f>E12/'Output-Calculation-sheet'!E11*'Output-Calculation-sheet'!E110</f>
        <v>25316276360.832481</v>
      </c>
      <c r="F133" s="2">
        <f>F12/'Output-Calculation-sheet'!F11*'Output-Calculation-sheet'!F110</f>
        <v>31071759201.56995</v>
      </c>
      <c r="G133" s="2">
        <f>G12/'Output-Calculation-sheet'!G11*'Output-Calculation-sheet'!G110</f>
        <v>21539060234.292595</v>
      </c>
      <c r="H133" s="2">
        <f>H12/'Output-Calculation-sheet'!H11*'Output-Calculation-sheet'!H110</f>
        <v>0</v>
      </c>
      <c r="I133" s="2">
        <f>I12/'Output-Calculation-sheet'!I11*'Output-Calculation-sheet'!I110</f>
        <v>19559428965.968018</v>
      </c>
      <c r="J133" s="2">
        <f>J12/'Output-Calculation-sheet'!J11*'Output-Calculation-sheet'!J110</f>
        <v>18937990357.077732</v>
      </c>
      <c r="K133" s="2">
        <f>K12/'Output-Calculation-sheet'!K11*'Output-Calculation-sheet'!K110</f>
        <v>19034191481.317726</v>
      </c>
      <c r="L133" s="2">
        <f>L12/'Output-Calculation-sheet'!L11*'Output-Calculation-sheet'!L110</f>
        <v>11080115528.659822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4200103592.4837546</v>
      </c>
      <c r="Q133" s="2">
        <f>Q12/'Output-Calculation-sheet'!Q11*'Output-Calculation-sheet'!Q110</f>
        <v>3533578002.8468733</v>
      </c>
      <c r="R133" s="2">
        <f>R12/'Output-Calculation-sheet'!R11*'Output-Calculation-sheet'!R110</f>
        <v>12425494900.117317</v>
      </c>
      <c r="S133" s="2">
        <f>S12/'Output-Calculation-sheet'!S11*'Output-Calculation-sheet'!S110</f>
        <v>8359108.4993129913</v>
      </c>
      <c r="T133" s="2">
        <f>T12/'Output-Calculation-sheet'!T11*'Output-Calculation-sheet'!T110</f>
        <v>4633148739.381526</v>
      </c>
      <c r="U133" s="2">
        <f>U12/'Output-Calculation-sheet'!U11*'Output-Calculation-sheet'!U110</f>
        <v>3753811427.6080465</v>
      </c>
      <c r="V133" s="2">
        <f>V12/'Output-Calculation-sheet'!V11*'Output-Calculation-sheet'!V110</f>
        <v>3120822610.9752564</v>
      </c>
      <c r="W133" s="2">
        <f>W12/'Output-Calculation-sheet'!W11*'Output-Calculation-sheet'!W110</f>
        <v>2722266448.5519938</v>
      </c>
      <c r="X133" s="2">
        <f>X12/'Output-Calculation-sheet'!X11*'Output-Calculation-sheet'!X110</f>
        <v>0</v>
      </c>
      <c r="Y133" s="2">
        <f>Y12/'Output-Calculation-sheet'!Y11*'Output-Calculation-sheet'!Y110</f>
        <v>624431118.56391954</v>
      </c>
      <c r="AA133" s="2">
        <f t="shared" si="11"/>
        <v>241352.16435355143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17568587198.756069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5523121280.7604008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3796511111.0928745</v>
      </c>
      <c r="N140" s="2">
        <f>N8/'Output-Calculation-sheet'!N7*'Output-Calculation-sheet'!N115</f>
        <v>1433333424.0861151</v>
      </c>
      <c r="O140" s="2">
        <f>O8/'Output-Calculation-sheet'!O7*'Output-Calculation-sheet'!O115</f>
        <v>4216375384.0489945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412255524.73967898</v>
      </c>
      <c r="Y140" s="2">
        <f>Y8/'Output-Calculation-sheet'!Y7*'Output-Calculation-sheet'!Y115</f>
        <v>0</v>
      </c>
      <c r="AA140" s="2">
        <f t="shared" si="12"/>
        <v>32950.183923484132</v>
      </c>
    </row>
    <row r="141" spans="1:27" x14ac:dyDescent="0.25">
      <c r="A141" s="2">
        <v>2032</v>
      </c>
      <c r="B141" s="2">
        <f>B9/'Output-Calculation-sheet'!B8*'Output-Calculation-sheet'!B116</f>
        <v>7627112241.4023247</v>
      </c>
      <c r="C141" s="2">
        <f>C9/'Output-Calculation-sheet'!C8*'Output-Calculation-sheet'!C116</f>
        <v>32648550196.779503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8511335456.2665071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5843731120.0758362</v>
      </c>
      <c r="N141" s="2">
        <f>N9/'Output-Calculation-sheet'!N8*'Output-Calculation-sheet'!N116</f>
        <v>4057080924.3529534</v>
      </c>
      <c r="O141" s="2">
        <f>O9/'Output-Calculation-sheet'!O8*'Output-Calculation-sheet'!O116</f>
        <v>6337275477.2024946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1817207114.4735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636069598.52838171</v>
      </c>
      <c r="Y141" s="2">
        <f>Y9/'Output-Calculation-sheet'!Y8*'Output-Calculation-sheet'!Y116</f>
        <v>0</v>
      </c>
      <c r="AA141" s="2">
        <f t="shared" si="12"/>
        <v>67478.362129081492</v>
      </c>
    </row>
    <row r="142" spans="1:27" x14ac:dyDescent="0.25">
      <c r="A142" s="2">
        <v>2033</v>
      </c>
      <c r="B142" s="2">
        <f>B10/'Output-Calculation-sheet'!B9*'Output-Calculation-sheet'!B117</f>
        <v>41302891417.594276</v>
      </c>
      <c r="C142" s="2">
        <f>C10/'Output-Calculation-sheet'!C9*'Output-Calculation-sheet'!C117</f>
        <v>43614146691.949135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13507623378.479675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9282264660.6306648</v>
      </c>
      <c r="N142" s="2">
        <f>N10/'Output-Calculation-sheet'!N9*'Output-Calculation-sheet'!N117</f>
        <v>7002093731.1840849</v>
      </c>
      <c r="O142" s="2">
        <f>O10/'Output-Calculation-sheet'!O9*'Output-Calculation-sheet'!O117</f>
        <v>8464952355.4264612</v>
      </c>
      <c r="P142" s="2">
        <f>P10/'Output-Calculation-sheet'!P9*'Output-Calculation-sheet'!P117</f>
        <v>0</v>
      </c>
      <c r="Q142" s="2">
        <f>Q10/'Output-Calculation-sheet'!Q9*'Output-Calculation-sheet'!Q117</f>
        <v>1337325618.1574242</v>
      </c>
      <c r="R142" s="2">
        <f>R10/'Output-Calculation-sheet'!R9*'Output-Calculation-sheet'!R117</f>
        <v>0</v>
      </c>
      <c r="S142" s="2">
        <f>S10/'Output-Calculation-sheet'!S9*'Output-Calculation-sheet'!S117</f>
        <v>3404738338.2547069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1017595985.2547498</v>
      </c>
      <c r="Y142" s="2">
        <f>Y10/'Output-Calculation-sheet'!Y9*'Output-Calculation-sheet'!Y117</f>
        <v>0</v>
      </c>
      <c r="AA142" s="2">
        <f t="shared" si="12"/>
        <v>128933.63217693116</v>
      </c>
    </row>
    <row r="143" spans="1:27" x14ac:dyDescent="0.25">
      <c r="A143" s="2">
        <v>2034</v>
      </c>
      <c r="B143" s="2">
        <f>B11/'Output-Calculation-sheet'!B10*'Output-Calculation-sheet'!B118</f>
        <v>78135563010.570282</v>
      </c>
      <c r="C143" s="2">
        <f>C11/'Output-Calculation-sheet'!C10*'Output-Calculation-sheet'!C118</f>
        <v>59980307843.668755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16626839743.459335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11419498374.587351</v>
      </c>
      <c r="N143" s="2">
        <f>N11/'Output-Calculation-sheet'!N10*'Output-Calculation-sheet'!N118</f>
        <v>10048242491.451683</v>
      </c>
      <c r="O143" s="2">
        <f>O11/'Output-Calculation-sheet'!O10*'Output-Calculation-sheet'!O118</f>
        <v>11652507513.465208</v>
      </c>
      <c r="P143" s="2">
        <f>P11/'Output-Calculation-sheet'!P10*'Output-Calculation-sheet'!P118</f>
        <v>2101736749.642344</v>
      </c>
      <c r="Q143" s="2">
        <f>Q11/'Output-Calculation-sheet'!Q10*'Output-Calculation-sheet'!Q118</f>
        <v>4953048042.682456</v>
      </c>
      <c r="R143" s="2">
        <f>R11/'Output-Calculation-sheet'!R10*'Output-Calculation-sheet'!R118</f>
        <v>0</v>
      </c>
      <c r="S143" s="2">
        <f>S11/'Output-Calculation-sheet'!S10*'Output-Calculation-sheet'!S118</f>
        <v>5785767451.4847717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1253687175.1254907</v>
      </c>
      <c r="Y143" s="2">
        <f>Y11/'Output-Calculation-sheet'!Y10*'Output-Calculation-sheet'!Y118</f>
        <v>146913627.1378659</v>
      </c>
      <c r="AA143" s="2">
        <f t="shared" si="12"/>
        <v>202104.11202327555</v>
      </c>
    </row>
    <row r="144" spans="1:27" x14ac:dyDescent="0.25">
      <c r="A144" s="2">
        <v>2035</v>
      </c>
      <c r="B144" s="2">
        <f>B12/'Output-Calculation-sheet'!B11*'Output-Calculation-sheet'!B119</f>
        <v>147642226344.92975</v>
      </c>
      <c r="C144" s="2">
        <f>C12/'Output-Calculation-sheet'!C11*'Output-Calculation-sheet'!C119</f>
        <v>70630996886.040573</v>
      </c>
      <c r="D144" s="2">
        <f>D12/'Output-Calculation-sheet'!D11*'Output-Calculation-sheet'!D119</f>
        <v>0</v>
      </c>
      <c r="E144" s="2">
        <f>E12/'Output-Calculation-sheet'!E11*'Output-Calculation-sheet'!E119</f>
        <v>21038864926.150612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21354991708.765091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2711724679.0694132</v>
      </c>
      <c r="M144" s="2">
        <f>M12/'Output-Calculation-sheet'!M11*'Output-Calculation-sheet'!M119</f>
        <v>14575092226.5959</v>
      </c>
      <c r="N144" s="2">
        <f>N12/'Output-Calculation-sheet'!N11*'Output-Calculation-sheet'!N119</f>
        <v>14399589097.698044</v>
      </c>
      <c r="O144" s="2">
        <f>O12/'Output-Calculation-sheet'!O11*'Output-Calculation-sheet'!O119</f>
        <v>13728024942.692858</v>
      </c>
      <c r="P144" s="2">
        <f>P12/'Output-Calculation-sheet'!P11*'Output-Calculation-sheet'!P119</f>
        <v>9318203452.5875778</v>
      </c>
      <c r="Q144" s="2">
        <f>Q12/'Output-Calculation-sheet'!Q11*'Output-Calculation-sheet'!Q119</f>
        <v>8824745090.0865345</v>
      </c>
      <c r="R144" s="2">
        <f>R12/'Output-Calculation-sheet'!R11*'Output-Calculation-sheet'!R119</f>
        <v>0</v>
      </c>
      <c r="S144" s="2">
        <f>S12/'Output-Calculation-sheet'!S11*'Output-Calculation-sheet'!S119</f>
        <v>8302089355.1663513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1634157322.0637617</v>
      </c>
      <c r="Y144" s="2">
        <f>Y12/'Output-Calculation-sheet'!Y11*'Output-Calculation-sheet'!Y119</f>
        <v>872611614.85882008</v>
      </c>
      <c r="AA144" s="2">
        <f t="shared" si="12"/>
        <v>335033.31764670543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5299498517.4246893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230445.21955155881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4489289249.5700703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195213.81098736907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762748633.90545332</v>
      </c>
      <c r="C155" s="2">
        <f>C12/'Output-Calculation-sheet'!C11*'Output-Calculation-sheet'!C128</f>
        <v>82177214.752664879</v>
      </c>
      <c r="D155" s="2">
        <f>D12/'Output-Calculation-sheet'!D11*'Output-Calculation-sheet'!D128</f>
        <v>5480141885.0345812</v>
      </c>
      <c r="E155" s="2">
        <f>E12/'Output-Calculation-sheet'!E11*'Output-Calculation-sheet'!E128</f>
        <v>889498161.48549473</v>
      </c>
      <c r="F155" s="2">
        <f>F12/'Output-Calculation-sheet'!F11*'Output-Calculation-sheet'!F128</f>
        <v>2001790749.2619822</v>
      </c>
      <c r="G155" s="2">
        <f>G12/'Output-Calculation-sheet'!G11*'Output-Calculation-sheet'!G128</f>
        <v>1831847341.8068519</v>
      </c>
      <c r="H155" s="2">
        <f>H12/'Output-Calculation-sheet'!H11*'Output-Calculation-sheet'!H128</f>
        <v>141640379.17633221</v>
      </c>
      <c r="I155" s="2">
        <f>I12/'Output-Calculation-sheet'!I11*'Output-Calculation-sheet'!I128</f>
        <v>1680889863.1475871</v>
      </c>
      <c r="J155" s="2">
        <f>J12/'Output-Calculation-sheet'!J11*'Output-Calculation-sheet'!J128</f>
        <v>1524122164.7413433</v>
      </c>
      <c r="K155" s="2">
        <f>K12/'Output-Calculation-sheet'!K11*'Output-Calculation-sheet'!K128</f>
        <v>1319864697.1346164</v>
      </c>
      <c r="L155" s="2">
        <f>L12/'Output-Calculation-sheet'!L11*'Output-Calculation-sheet'!L128</f>
        <v>497208716.97681773</v>
      </c>
      <c r="M155" s="2">
        <f>M12/'Output-Calculation-sheet'!M11*'Output-Calculation-sheet'!M128</f>
        <v>116825389.69094338</v>
      </c>
      <c r="N155" s="2">
        <f>N12/'Output-Calculation-sheet'!N11*'Output-Calculation-sheet'!N128</f>
        <v>103243443.22319667</v>
      </c>
      <c r="O155" s="2">
        <f>O12/'Output-Calculation-sheet'!O11*'Output-Calculation-sheet'!O128</f>
        <v>21261655.753012821</v>
      </c>
      <c r="P155" s="2">
        <f>P12/'Output-Calculation-sheet'!P11*'Output-Calculation-sheet'!P128</f>
        <v>135449576.51657343</v>
      </c>
      <c r="Q155" s="2">
        <f>Q12/'Output-Calculation-sheet'!Q11*'Output-Calculation-sheet'!Q128</f>
        <v>343361539.15007675</v>
      </c>
      <c r="R155" s="2">
        <f>R12/'Output-Calculation-sheet'!R11*'Output-Calculation-sheet'!R128</f>
        <v>763071409.64974725</v>
      </c>
      <c r="S155" s="2">
        <f>S12/'Output-Calculation-sheet'!S11*'Output-Calculation-sheet'!S128</f>
        <v>65907440.169203997</v>
      </c>
      <c r="T155" s="2">
        <f>T12/'Output-Calculation-sheet'!T11*'Output-Calculation-sheet'!T128</f>
        <v>195397811.6607956</v>
      </c>
      <c r="U155" s="2">
        <f>U12/'Output-Calculation-sheet'!U11*'Output-Calculation-sheet'!U128</f>
        <v>400509468.09706604</v>
      </c>
      <c r="V155" s="2">
        <f>V12/'Output-Calculation-sheet'!V11*'Output-Calculation-sheet'!V128</f>
        <v>87967949.037137523</v>
      </c>
      <c r="W155" s="2">
        <f>W12/'Output-Calculation-sheet'!W11*'Output-Calculation-sheet'!W128</f>
        <v>107044150.95705508</v>
      </c>
      <c r="X155" s="2">
        <f>X12/'Output-Calculation-sheet'!X11*'Output-Calculation-sheet'!X128</f>
        <v>3656890.4726686808</v>
      </c>
      <c r="Y155" s="2">
        <f>Y12/'Output-Calculation-sheet'!Y11*'Output-Calculation-sheet'!Y128</f>
        <v>21544210.878324416</v>
      </c>
      <c r="AA155" s="2">
        <f t="shared" si="13"/>
        <v>18577.170742679518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5858.1932021321054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1774.5171640176791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1232.6500755290399</v>
      </c>
      <c r="N19" s="2">
        <f>N8/'Output-Calculation-sheet'!N7*'Output-Calculation-sheet'!N25</f>
        <v>1025.4191995627032</v>
      </c>
      <c r="O19" s="2">
        <f>O8/'Output-Calculation-sheet'!O7*'Output-Calculation-sheet'!O25</f>
        <v>643.56138649012928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133.40702707065273</v>
      </c>
      <c r="Y19" s="2">
        <f>Y8/'Output-Calculation-sheet'!Y7*'Output-Calculation-sheet'!Y25</f>
        <v>0</v>
      </c>
      <c r="AA19" s="2">
        <f t="shared" si="0"/>
        <v>12.387083440360991</v>
      </c>
    </row>
    <row r="20" spans="1:27" x14ac:dyDescent="0.25">
      <c r="A20" s="2">
        <v>2032</v>
      </c>
      <c r="B20" s="2">
        <f>B9/'Output-Calculation-sheet'!B8*'Output-Calculation-sheet'!B26</f>
        <v>5803.7451777111264</v>
      </c>
      <c r="C20" s="2">
        <f>C9/'Output-Calculation-sheet'!C8*'Output-Calculation-sheet'!C26</f>
        <v>3182.6321649074998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1910.5498033957067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1335.1053881392099</v>
      </c>
      <c r="N20" s="2">
        <f>N9/'Output-Calculation-sheet'!N8*'Output-Calculation-sheet'!N26</f>
        <v>925.26441540229041</v>
      </c>
      <c r="O20" s="2">
        <f>O9/'Output-Calculation-sheet'!O8*'Output-Calculation-sheet'!O26</f>
        <v>621.82734414431593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438.9021466695134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145.27896535093302</v>
      </c>
      <c r="Y20" s="2">
        <f>Y9/'Output-Calculation-sheet'!Y8*'Output-Calculation-sheet'!Y26</f>
        <v>0</v>
      </c>
      <c r="AA20" s="2">
        <f t="shared" si="0"/>
        <v>14.363305405720597</v>
      </c>
    </row>
    <row r="21" spans="1:27" x14ac:dyDescent="0.25">
      <c r="A21" s="2">
        <v>2033</v>
      </c>
      <c r="B21" s="2">
        <f>B10/'Output-Calculation-sheet'!B9*'Output-Calculation-sheet'!B27</f>
        <v>4776.7548467730021</v>
      </c>
      <c r="C21" s="2">
        <f>C10/'Output-Calculation-sheet'!C9*'Output-Calculation-sheet'!C27</f>
        <v>2935.995682086133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962.64484702879577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681.36796389791198</v>
      </c>
      <c r="N21" s="2">
        <f>N10/'Output-Calculation-sheet'!N9*'Output-Calculation-sheet'!N27</f>
        <v>690.01949179683083</v>
      </c>
      <c r="O21" s="2">
        <f>O10/'Output-Calculation-sheet'!O9*'Output-Calculation-sheet'!O27</f>
        <v>574.80500893057069</v>
      </c>
      <c r="P21" s="2">
        <f>P10/'Output-Calculation-sheet'!P9*'Output-Calculation-sheet'!P27</f>
        <v>0</v>
      </c>
      <c r="Q21" s="2">
        <f>Q10/'Output-Calculation-sheet'!Q9*'Output-Calculation-sheet'!Q27</f>
        <v>8.3573900017841076</v>
      </c>
      <c r="R21" s="2">
        <f>R10/'Output-Calculation-sheet'!R9*'Output-Calculation-sheet'!R27</f>
        <v>0</v>
      </c>
      <c r="S21" s="2">
        <f>S10/'Output-Calculation-sheet'!S9*'Output-Calculation-sheet'!S27</f>
        <v>328.56173445297412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68.037519527863211</v>
      </c>
      <c r="Y21" s="2">
        <f>Y10/'Output-Calculation-sheet'!Y9*'Output-Calculation-sheet'!Y27</f>
        <v>0</v>
      </c>
      <c r="AA21" s="2">
        <f t="shared" si="0"/>
        <v>11.026544484495865</v>
      </c>
    </row>
    <row r="22" spans="1:27" x14ac:dyDescent="0.25">
      <c r="A22" s="2">
        <v>2034</v>
      </c>
      <c r="B22" s="2">
        <f>B11/'Output-Calculation-sheet'!B10*'Output-Calculation-sheet'!B28</f>
        <v>3332.9896146141364</v>
      </c>
      <c r="C22" s="2">
        <f>C11/'Output-Calculation-sheet'!C10*'Output-Calculation-sheet'!C28</f>
        <v>338.76269180901784</v>
      </c>
      <c r="D22" s="2">
        <f>D11/'Output-Calculation-sheet'!D10*'Output-Calculation-sheet'!D28</f>
        <v>0</v>
      </c>
      <c r="E22" s="2">
        <f>E11/'Output-Calculation-sheet'!E10*'Output-Calculation-sheet'!E28</f>
        <v>1124.8751882688193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891.9887084625949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682.20071419724093</v>
      </c>
      <c r="M22" s="2">
        <f>M11/'Output-Calculation-sheet'!M10*'Output-Calculation-sheet'!M28</f>
        <v>634.82496383505952</v>
      </c>
      <c r="N22" s="2">
        <f>N11/'Output-Calculation-sheet'!N10*'Output-Calculation-sheet'!N28</f>
        <v>424.38411011553075</v>
      </c>
      <c r="O22" s="2">
        <f>O11/'Output-Calculation-sheet'!O10*'Output-Calculation-sheet'!O28</f>
        <v>66.449090400451709</v>
      </c>
      <c r="P22" s="2">
        <f>P11/'Output-Calculation-sheet'!P10*'Output-Calculation-sheet'!P28</f>
        <v>0</v>
      </c>
      <c r="Q22" s="2">
        <f>Q11/'Output-Calculation-sheet'!Q10*'Output-Calculation-sheet'!Q28</f>
        <v>216.75232298095958</v>
      </c>
      <c r="R22" s="2">
        <f>R11/'Output-Calculation-sheet'!R10*'Output-Calculation-sheet'!R28</f>
        <v>0</v>
      </c>
      <c r="S22" s="2">
        <f>S11/'Output-Calculation-sheet'!S10*'Output-Calculation-sheet'!S28</f>
        <v>158.90287446831394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62.375972701330404</v>
      </c>
      <c r="Y22" s="2">
        <f>Y11/'Output-Calculation-sheet'!Y10*'Output-Calculation-sheet'!Y28</f>
        <v>25.426208271164892</v>
      </c>
      <c r="AA22" s="2">
        <f t="shared" si="0"/>
        <v>7.9599324601246186</v>
      </c>
    </row>
    <row r="23" spans="1:27" x14ac:dyDescent="0.25">
      <c r="A23" s="2">
        <v>2035</v>
      </c>
      <c r="B23" s="2">
        <f>B12/'Output-Calculation-sheet'!B11*'Output-Calculation-sheet'!B29</f>
        <v>574.08658738748238</v>
      </c>
      <c r="C23" s="2">
        <f>C12/'Output-Calculation-sheet'!C11*'Output-Calculation-sheet'!C29</f>
        <v>119.13887381898945</v>
      </c>
      <c r="D23" s="2">
        <f>D12/'Output-Calculation-sheet'!D11*'Output-Calculation-sheet'!D29</f>
        <v>0</v>
      </c>
      <c r="E23" s="2">
        <f>E12/'Output-Calculation-sheet'!E11*'Output-Calculation-sheet'!E29</f>
        <v>1468.3640156551137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206.50542976626676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846.60878048143843</v>
      </c>
      <c r="M23" s="2">
        <f>M12/'Output-Calculation-sheet'!M11*'Output-Calculation-sheet'!M29</f>
        <v>184.03680620318849</v>
      </c>
      <c r="N23" s="2">
        <f>N12/'Output-Calculation-sheet'!N11*'Output-Calculation-sheet'!N29</f>
        <v>153.22947740979603</v>
      </c>
      <c r="O23" s="2">
        <f>O12/'Output-Calculation-sheet'!O11*'Output-Calculation-sheet'!O29</f>
        <v>20.358579676077589</v>
      </c>
      <c r="P23" s="2">
        <f>P12/'Output-Calculation-sheet'!P11*'Output-Calculation-sheet'!P29</f>
        <v>31.888218727628356</v>
      </c>
      <c r="Q23" s="2">
        <f>Q12/'Output-Calculation-sheet'!Q11*'Output-Calculation-sheet'!Q29</f>
        <v>261.20324111532756</v>
      </c>
      <c r="R23" s="2">
        <f>R12/'Output-Calculation-sheet'!R11*'Output-Calculation-sheet'!R29</f>
        <v>0</v>
      </c>
      <c r="S23" s="2">
        <f>S12/'Output-Calculation-sheet'!S11*'Output-Calculation-sheet'!S29</f>
        <v>68.80130502764807</v>
      </c>
      <c r="T23" s="2">
        <f>T12/'Output-Calculation-sheet'!T11*'Output-Calculation-sheet'!T29</f>
        <v>0</v>
      </c>
      <c r="U23" s="2">
        <f>U12/'Output-Calculation-sheet'!U11*'Output-Calculation-sheet'!U29</f>
        <v>92.632063010418207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6.0245324098198205</v>
      </c>
      <c r="Y23" s="2">
        <f>Y12/'Output-Calculation-sheet'!Y11*'Output-Calculation-sheet'!Y29</f>
        <v>38.322348080150043</v>
      </c>
      <c r="AA23" s="2">
        <f t="shared" si="0"/>
        <v>4.0712002587693448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1168.9561967558079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45.831796256573988</v>
      </c>
    </row>
    <row r="31" spans="1:27" x14ac:dyDescent="0.25">
      <c r="A31" s="2">
        <v>2032</v>
      </c>
      <c r="B31" s="2">
        <f>B9/'Output-Calculation-sheet'!B8*'Output-Calculation-sheet'!B17</f>
        <v>24401.347983193351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954.11842318774177</v>
      </c>
      <c r="O31" s="2">
        <f>O9/'Output-Calculation-sheet'!O8*'Output-Calculation-sheet'!O17</f>
        <v>0</v>
      </c>
      <c r="P31" s="2">
        <f>P9/'Output-Calculation-sheet'!P8*'Output-Calculation-sheet'!P17</f>
        <v>2384.8429423773287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789.69307452468956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55.906562607223947</v>
      </c>
    </row>
    <row r="32" spans="1:27" x14ac:dyDescent="0.25">
      <c r="A32" s="2">
        <v>2033</v>
      </c>
      <c r="B32" s="2">
        <f>B10/'Output-Calculation-sheet'!B9*'Output-Calculation-sheet'!B18</f>
        <v>17278.785179473769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2704.8599776625579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699.36213755123481</v>
      </c>
      <c r="O32" s="2">
        <f>O10/'Output-Calculation-sheet'!O9*'Output-Calculation-sheet'!O18</f>
        <v>0</v>
      </c>
      <c r="P32" s="2">
        <f>P10/'Output-Calculation-sheet'!P9*'Output-Calculation-sheet'!P18</f>
        <v>2784.125545654962</v>
      </c>
      <c r="Q32" s="2">
        <f>Q10/'Output-Calculation-sheet'!Q9*'Output-Calculation-sheet'!Q18</f>
        <v>2577.6694164682617</v>
      </c>
      <c r="R32" s="2">
        <f>R10/'Output-Calculation-sheet'!R9*'Output-Calculation-sheet'!R18</f>
        <v>1999.7009052475921</v>
      </c>
      <c r="S32" s="2">
        <f>S10/'Output-Calculation-sheet'!S9*'Output-Calculation-sheet'!S18</f>
        <v>636.2128268408344</v>
      </c>
      <c r="T32" s="2">
        <f>T10/'Output-Calculation-sheet'!T9*'Output-Calculation-sheet'!T18</f>
        <v>583.72154941039014</v>
      </c>
      <c r="U32" s="2">
        <f>U10/'Output-Calculation-sheet'!U9*'Output-Calculation-sheet'!U18</f>
        <v>645.2962698548655</v>
      </c>
      <c r="V32" s="2">
        <f>V10/'Output-Calculation-sheet'!V9*'Output-Calculation-sheet'!V18</f>
        <v>476.31019579343149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275.78669921666568</v>
      </c>
      <c r="AA32" s="2">
        <f t="shared" si="1"/>
        <v>54.930666073725376</v>
      </c>
    </row>
    <row r="33" spans="1:27" x14ac:dyDescent="0.25">
      <c r="A33" s="2">
        <v>2034</v>
      </c>
      <c r="B33" s="2">
        <f>B11/'Output-Calculation-sheet'!B10*'Output-Calculation-sheet'!B19</f>
        <v>10185.691545684354</v>
      </c>
      <c r="C33" s="2">
        <f>C11/'Output-Calculation-sheet'!C10*'Output-Calculation-sheet'!C19</f>
        <v>0</v>
      </c>
      <c r="D33" s="2">
        <f>D11/'Output-Calculation-sheet'!D10*'Output-Calculation-sheet'!D19</f>
        <v>6751.2729157471058</v>
      </c>
      <c r="E33" s="2">
        <f>E11/'Output-Calculation-sheet'!E10*'Output-Calculation-sheet'!E19</f>
        <v>8369.8737980148999</v>
      </c>
      <c r="F33" s="2">
        <f>F11/'Output-Calculation-sheet'!F10*'Output-Calculation-sheet'!F19</f>
        <v>3832.4313016446254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2507.8485850368661</v>
      </c>
      <c r="J33" s="2">
        <f>J11/'Output-Calculation-sheet'!J10*'Output-Calculation-sheet'!J19</f>
        <v>2120.4769676716146</v>
      </c>
      <c r="K33" s="2">
        <f>K11/'Output-Calculation-sheet'!K10*'Output-Calculation-sheet'!K19</f>
        <v>2941.0301310190889</v>
      </c>
      <c r="L33" s="2">
        <f>L11/'Output-Calculation-sheet'!L10*'Output-Calculation-sheet'!L19</f>
        <v>2392.3175010445257</v>
      </c>
      <c r="M33" s="2">
        <f>M11/'Output-Calculation-sheet'!M10*'Output-Calculation-sheet'!M19</f>
        <v>0</v>
      </c>
      <c r="N33" s="2">
        <f>N11/'Output-Calculation-sheet'!N10*'Output-Calculation-sheet'!N19</f>
        <v>454.10101269506498</v>
      </c>
      <c r="O33" s="2">
        <f>O11/'Output-Calculation-sheet'!O10*'Output-Calculation-sheet'!O19</f>
        <v>0</v>
      </c>
      <c r="P33" s="2">
        <f>P11/'Output-Calculation-sheet'!P10*'Output-Calculation-sheet'!P19</f>
        <v>2255.2529831135971</v>
      </c>
      <c r="Q33" s="2">
        <f>Q11/'Output-Calculation-sheet'!Q10*'Output-Calculation-sheet'!Q19</f>
        <v>1433.4378135259606</v>
      </c>
      <c r="R33" s="2">
        <f>R11/'Output-Calculation-sheet'!R10*'Output-Calculation-sheet'!R19</f>
        <v>2124.6709523760101</v>
      </c>
      <c r="S33" s="2">
        <f>S11/'Output-Calculation-sheet'!S10*'Output-Calculation-sheet'!S19</f>
        <v>288.67158488659004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717.01275374113357</v>
      </c>
      <c r="V33" s="2">
        <f>V11/'Output-Calculation-sheet'!V10*'Output-Calculation-sheet'!V19</f>
        <v>488.96062811944057</v>
      </c>
      <c r="W33" s="2">
        <f>W11/'Output-Calculation-sheet'!W10*'Output-Calculation-sheet'!W19</f>
        <v>304.45027537976057</v>
      </c>
      <c r="X33" s="2">
        <f>X11/'Output-Calculation-sheet'!X10*'Output-Calculation-sheet'!X19</f>
        <v>0</v>
      </c>
      <c r="Y33" s="2">
        <f>Y11/'Output-Calculation-sheet'!Y10*'Output-Calculation-sheet'!Y19</f>
        <v>249.26413754579201</v>
      </c>
      <c r="AA33" s="2">
        <f t="shared" si="1"/>
        <v>50.338387948872828</v>
      </c>
    </row>
    <row r="34" spans="1:27" x14ac:dyDescent="0.25">
      <c r="A34" s="2">
        <v>2035</v>
      </c>
      <c r="B34" s="2">
        <f>B12/'Output-Calculation-sheet'!B11*'Output-Calculation-sheet'!B20</f>
        <v>114.28628220088422</v>
      </c>
      <c r="C34" s="2">
        <f>C12/'Output-Calculation-sheet'!C11*'Output-Calculation-sheet'!C20</f>
        <v>0</v>
      </c>
      <c r="D34" s="2">
        <f>D12/'Output-Calculation-sheet'!D11*'Output-Calculation-sheet'!D20</f>
        <v>5636.9780598007592</v>
      </c>
      <c r="E34" s="2">
        <f>E12/'Output-Calculation-sheet'!E11*'Output-Calculation-sheet'!E20</f>
        <v>2633.5862804627036</v>
      </c>
      <c r="F34" s="2">
        <f>F12/'Output-Calculation-sheet'!F11*'Output-Calculation-sheet'!F20</f>
        <v>3577.9475690534146</v>
      </c>
      <c r="G34" s="2">
        <f>G12/'Output-Calculation-sheet'!G11*'Output-Calculation-sheet'!G20</f>
        <v>1921.509331509928</v>
      </c>
      <c r="H34" s="2">
        <f>H12/'Output-Calculation-sheet'!H11*'Output-Calculation-sheet'!H20</f>
        <v>0</v>
      </c>
      <c r="I34" s="2">
        <f>I12/'Output-Calculation-sheet'!I11*'Output-Calculation-sheet'!I20</f>
        <v>2134.8376621825309</v>
      </c>
      <c r="J34" s="2">
        <f>J12/'Output-Calculation-sheet'!J11*'Output-Calculation-sheet'!J20</f>
        <v>1848.6530348551637</v>
      </c>
      <c r="K34" s="2">
        <f>K12/'Output-Calculation-sheet'!K11*'Output-Calculation-sheet'!K20</f>
        <v>2604.6242579057434</v>
      </c>
      <c r="L34" s="2">
        <f>L12/'Output-Calculation-sheet'!L11*'Output-Calculation-sheet'!L20</f>
        <v>1442.3765022688981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573.50197952054498</v>
      </c>
      <c r="Q34" s="2">
        <f>Q12/'Output-Calculation-sheet'!Q11*'Output-Calculation-sheet'!Q20</f>
        <v>542.59261397120235</v>
      </c>
      <c r="R34" s="2">
        <f>R12/'Output-Calculation-sheet'!R11*'Output-Calculation-sheet'!R20</f>
        <v>1922.8983133682034</v>
      </c>
      <c r="S34" s="2">
        <f>S12/'Output-Calculation-sheet'!S11*'Output-Calculation-sheet'!S20</f>
        <v>1.5387502671609521</v>
      </c>
      <c r="T34" s="2">
        <f>T12/'Output-Calculation-sheet'!T11*'Output-Calculation-sheet'!T20</f>
        <v>573.5124208350004</v>
      </c>
      <c r="U34" s="2">
        <f>U12/'Output-Calculation-sheet'!U11*'Output-Calculation-sheet'!U20</f>
        <v>521.97965129532622</v>
      </c>
      <c r="V34" s="2">
        <f>V12/'Output-Calculation-sheet'!V11*'Output-Calculation-sheet'!V20</f>
        <v>503.78552689954859</v>
      </c>
      <c r="W34" s="2">
        <f>W12/'Output-Calculation-sheet'!W11*'Output-Calculation-sheet'!W20</f>
        <v>306.42479634319307</v>
      </c>
      <c r="X34" s="2">
        <f>X12/'Output-Calculation-sheet'!X11*'Output-Calculation-sheet'!X20</f>
        <v>0</v>
      </c>
      <c r="Y34" s="2">
        <f>Y12/'Output-Calculation-sheet'!Y11*'Output-Calculation-sheet'!Y20</f>
        <v>65.913430773223666</v>
      </c>
      <c r="AA34" s="2">
        <f t="shared" si="1"/>
        <v>26.926946463513424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9.6167197413448105E-2</v>
      </c>
      <c r="E45" s="2">
        <f>E12/'Output-Calculation-sheet'!E11*'Output-Calculation-sheet'!E38*0.0114</f>
        <v>5.0951573665682898E-2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8.4239012455803071E-3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0.54504546509483531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0.15558197513314417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177.25593325515564</v>
      </c>
      <c r="R54" s="2">
        <f>R10/'Output-Calculation-sheet'!R9*'Output-Calculation-sheet'!R45</f>
        <v>1326.0323171211364</v>
      </c>
      <c r="S54" s="2">
        <f>S10/'Output-Calculation-sheet'!S9*'Output-Calculation-sheet'!S45</f>
        <v>0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16.539287680341008</v>
      </c>
      <c r="AA54" s="2">
        <f t="shared" si="3"/>
        <v>4.3654052160802737</v>
      </c>
    </row>
    <row r="55" spans="1:27" x14ac:dyDescent="0.25">
      <c r="A55" s="2">
        <v>2034</v>
      </c>
      <c r="B55" s="2">
        <f>B11/'Output-Calculation-sheet'!B10*'Output-Calculation-sheet'!B46</f>
        <v>1247.0585903616131</v>
      </c>
      <c r="C55" s="2">
        <f>C11/'Output-Calculation-sheet'!C10*'Output-Calculation-sheet'!C46</f>
        <v>0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452.26926726512443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335.21253423265864</v>
      </c>
      <c r="N55" s="2">
        <f>N11/'Output-Calculation-sheet'!N10*'Output-Calculation-sheet'!N46</f>
        <v>114.48064219729444</v>
      </c>
      <c r="O55" s="2">
        <f>O11/'Output-Calculation-sheet'!O10*'Output-Calculation-sheet'!O46</f>
        <v>0</v>
      </c>
      <c r="P55" s="2">
        <f>P11/'Output-Calculation-sheet'!P10*'Output-Calculation-sheet'!P46</f>
        <v>2441.3607203265028</v>
      </c>
      <c r="Q55" s="2">
        <f>Q11/'Output-Calculation-sheet'!Q10*'Output-Calculation-sheet'!Q46</f>
        <v>533.67092722687505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0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62.963343364823217</v>
      </c>
      <c r="X55" s="2">
        <f>X11/'Output-Calculation-sheet'!X10*'Output-Calculation-sheet'!X46</f>
        <v>31.993931030980683</v>
      </c>
      <c r="Y55" s="2">
        <f>Y11/'Output-Calculation-sheet'!Y10*'Output-Calculation-sheet'!Y46</f>
        <v>222.5241519527975</v>
      </c>
      <c r="AA55" s="2">
        <f t="shared" si="3"/>
        <v>33.182368760890498</v>
      </c>
    </row>
    <row r="56" spans="1:27" x14ac:dyDescent="0.25">
      <c r="A56" s="2">
        <v>2035</v>
      </c>
      <c r="B56" s="2">
        <f>B12/'Output-Calculation-sheet'!B11*'Output-Calculation-sheet'!B47</f>
        <v>280.90027226340925</v>
      </c>
      <c r="C56" s="2">
        <f>C12/'Output-Calculation-sheet'!C11*'Output-Calculation-sheet'!C47</f>
        <v>228.55160702779605</v>
      </c>
      <c r="D56" s="2">
        <f>D12/'Output-Calculation-sheet'!D11*'Output-Calculation-sheet'!D47</f>
        <v>9290.5386039190798</v>
      </c>
      <c r="E56" s="2">
        <f>E12/'Output-Calculation-sheet'!E11*'Output-Calculation-sheet'!E47</f>
        <v>6458.3354339396301</v>
      </c>
      <c r="F56" s="2">
        <f>F12/'Output-Calculation-sheet'!F11*'Output-Calculation-sheet'!F47</f>
        <v>1928.3240064113027</v>
      </c>
      <c r="G56" s="2">
        <f>G12/'Output-Calculation-sheet'!G11*'Output-Calculation-sheet'!G47</f>
        <v>4312.1684709364317</v>
      </c>
      <c r="H56" s="2">
        <f>H12/'Output-Calculation-sheet'!H11*'Output-Calculation-sheet'!H47</f>
        <v>85.989778309262988</v>
      </c>
      <c r="I56" s="2">
        <f>I12/'Output-Calculation-sheet'!I11*'Output-Calculation-sheet'!I47</f>
        <v>2533.9723256585808</v>
      </c>
      <c r="J56" s="2">
        <f>J12/'Output-Calculation-sheet'!J11*'Output-Calculation-sheet'!J47</f>
        <v>2684.6765885893951</v>
      </c>
      <c r="K56" s="2">
        <f>K12/'Output-Calculation-sheet'!K11*'Output-Calculation-sheet'!K47</f>
        <v>3710.3239912501754</v>
      </c>
      <c r="L56" s="2">
        <f>L12/'Output-Calculation-sheet'!L11*'Output-Calculation-sheet'!L47</f>
        <v>2483.7363011052253</v>
      </c>
      <c r="M56" s="2">
        <f>M12/'Output-Calculation-sheet'!M11*'Output-Calculation-sheet'!M47</f>
        <v>57.152199507767428</v>
      </c>
      <c r="N56" s="2">
        <f>N12/'Output-Calculation-sheet'!N11*'Output-Calculation-sheet'!N47</f>
        <v>62.779736810254938</v>
      </c>
      <c r="O56" s="2">
        <f>O12/'Output-Calculation-sheet'!O11*'Output-Calculation-sheet'!O47</f>
        <v>41.934493017092542</v>
      </c>
      <c r="P56" s="2">
        <f>P12/'Output-Calculation-sheet'!P11*'Output-Calculation-sheet'!P47</f>
        <v>808.91179549533013</v>
      </c>
      <c r="Q56" s="2">
        <f>Q12/'Output-Calculation-sheet'!Q11*'Output-Calculation-sheet'!Q47</f>
        <v>597.5243218289545</v>
      </c>
      <c r="R56" s="2">
        <f>R12/'Output-Calculation-sheet'!R11*'Output-Calculation-sheet'!R47</f>
        <v>3374.4799112027754</v>
      </c>
      <c r="S56" s="2">
        <f>S12/'Output-Calculation-sheet'!S11*'Output-Calculation-sheet'!S47</f>
        <v>28.032378082203461</v>
      </c>
      <c r="T56" s="2">
        <f>T12/'Output-Calculation-sheet'!T11*'Output-Calculation-sheet'!T47</f>
        <v>1225.2759607974328</v>
      </c>
      <c r="U56" s="2">
        <f>U12/'Output-Calculation-sheet'!U11*'Output-Calculation-sheet'!U47</f>
        <v>1141.8450350642956</v>
      </c>
      <c r="V56" s="2">
        <f>V12/'Output-Calculation-sheet'!V11*'Output-Calculation-sheet'!V47</f>
        <v>702.83139493991155</v>
      </c>
      <c r="W56" s="2">
        <f>W12/'Output-Calculation-sheet'!W11*'Output-Calculation-sheet'!W47</f>
        <v>415.68609887109409</v>
      </c>
      <c r="X56" s="2">
        <f>X12/'Output-Calculation-sheet'!X11*'Output-Calculation-sheet'!X47</f>
        <v>6.4172378624605066</v>
      </c>
      <c r="Y56" s="2">
        <f>Y12/'Output-Calculation-sheet'!Y11*'Output-Calculation-sheet'!Y47</f>
        <v>137.5931015734856</v>
      </c>
      <c r="AA56" s="2">
        <f t="shared" si="3"/>
        <v>42.597981044463332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8.4525033952443724</v>
      </c>
      <c r="C63" s="2">
        <f>C8*'Output-Calculation-sheet'!C52/10^9</f>
        <v>4.5157620299364103</v>
      </c>
      <c r="D63" s="2">
        <f>D8*'Output-Calculation-sheet'!D52/10^9</f>
        <v>2.8985445532261007</v>
      </c>
      <c r="E63" s="2">
        <f>E8*'Output-Calculation-sheet'!E52/10^9</f>
        <v>2.8819307864885899</v>
      </c>
      <c r="F63" s="2">
        <f>F8*'Output-Calculation-sheet'!F52/10^9</f>
        <v>1.2204974498299215</v>
      </c>
      <c r="G63" s="2">
        <f>G8*'Output-Calculation-sheet'!G52/10^9</f>
        <v>0.87748252906127255</v>
      </c>
      <c r="H63" s="2">
        <f>H8*'Output-Calculation-sheet'!H52/10^9</f>
        <v>1.4271410359923562</v>
      </c>
      <c r="I63" s="2">
        <f>I8*'Output-Calculation-sheet'!I52/10^9</f>
        <v>0.81626247053976342</v>
      </c>
      <c r="J63" s="2">
        <f>J8*'Output-Calculation-sheet'!J52/10^9</f>
        <v>1.1232324873096657</v>
      </c>
      <c r="K63" s="2">
        <f>K8*'Output-Calculation-sheet'!K52/10^9</f>
        <v>0.98685964270596183</v>
      </c>
      <c r="L63" s="2">
        <f>L8*'Output-Calculation-sheet'!L52/10^9</f>
        <v>1.3273737014006977</v>
      </c>
      <c r="M63" s="2">
        <f>M8*'Output-Calculation-sheet'!M52/10^9</f>
        <v>1.1691609800269778</v>
      </c>
      <c r="N63" s="2">
        <f>N8*'Output-Calculation-sheet'!N52/10^9</f>
        <v>1.0316150834761733</v>
      </c>
      <c r="O63" s="2">
        <f>O8*'Output-Calculation-sheet'!O52/10^9</f>
        <v>0.92388592834454319</v>
      </c>
      <c r="P63" s="2">
        <f>P8*'Output-Calculation-sheet'!P52/10^9</f>
        <v>0.6818933925762265</v>
      </c>
      <c r="Q63" s="2">
        <f>Q8*'Output-Calculation-sheet'!Q52/10^9</f>
        <v>0.77170349432951535</v>
      </c>
      <c r="R63" s="2">
        <f>R8*'Output-Calculation-sheet'!R52/10^9</f>
        <v>0.69283655456552362</v>
      </c>
      <c r="S63" s="2">
        <f>S8*'Output-Calculation-sheet'!S52/10^9</f>
        <v>0.51341643535118631</v>
      </c>
      <c r="T63" s="2">
        <f>T8*'Output-Calculation-sheet'!T52/10^9</f>
        <v>0.263406560904132</v>
      </c>
      <c r="U63" s="2">
        <f>U8*'Output-Calculation-sheet'!U52/10^9</f>
        <v>0.18090480345304066</v>
      </c>
      <c r="V63" s="2">
        <f>V8*'Output-Calculation-sheet'!V52/10^9</f>
        <v>0.32106327497213499</v>
      </c>
      <c r="W63" s="2">
        <f>W8*'Output-Calculation-sheet'!W52/10^9</f>
        <v>0.11620986357337451</v>
      </c>
      <c r="X63" s="2">
        <f>X8*'Output-Calculation-sheet'!X52/10^9</f>
        <v>0.11974048939211968</v>
      </c>
      <c r="Y63" s="2">
        <f>Y8*'Output-Calculation-sheet'!Y52/10^9</f>
        <v>7.5823703306940826E-2</v>
      </c>
      <c r="AA63" s="2">
        <f t="shared" si="4"/>
        <v>33.389250646006992</v>
      </c>
    </row>
    <row r="64" spans="1:27" x14ac:dyDescent="0.25">
      <c r="A64" s="2">
        <v>2032</v>
      </c>
      <c r="B64" s="2">
        <f>B9*'Output-Calculation-sheet'!B53/10^9</f>
        <v>8.3209397877080793</v>
      </c>
      <c r="C64" s="2">
        <f>C9*'Output-Calculation-sheet'!C53/10^9</f>
        <v>4.4111871714596464</v>
      </c>
      <c r="D64" s="2">
        <f>D9*'Output-Calculation-sheet'!D53/10^9</f>
        <v>2.4643911877345106</v>
      </c>
      <c r="E64" s="2">
        <f>E9*'Output-Calculation-sheet'!E53/10^9</f>
        <v>2.5236450042782406</v>
      </c>
      <c r="F64" s="2">
        <f>F9*'Output-Calculation-sheet'!F53/10^9</f>
        <v>1.0644576382511011</v>
      </c>
      <c r="G64" s="2">
        <f>G9*'Output-Calculation-sheet'!G53/10^9</f>
        <v>0.75764838397602408</v>
      </c>
      <c r="H64" s="2">
        <f>H9*'Output-Calculation-sheet'!H53/10^9</f>
        <v>1.3844183682385423</v>
      </c>
      <c r="I64" s="2">
        <f>I9*'Output-Calculation-sheet'!I53/10^9</f>
        <v>0.70827741172763092</v>
      </c>
      <c r="J64" s="2">
        <f>J9*'Output-Calculation-sheet'!J53/10^9</f>
        <v>0.93761538175846049</v>
      </c>
      <c r="K64" s="2">
        <f>K9*'Output-Calculation-sheet'!K53/10^9</f>
        <v>0.86997950840714533</v>
      </c>
      <c r="L64" s="2">
        <f>L9*'Output-Calculation-sheet'!L53/10^9</f>
        <v>1.1192260372590352</v>
      </c>
      <c r="M64" s="2">
        <f>M9*'Output-Calculation-sheet'!M53/10^9</f>
        <v>1.0983740555353652</v>
      </c>
      <c r="N64" s="2">
        <f>N9*'Output-Calculation-sheet'!N53/10^9</f>
        <v>0.98889154265784884</v>
      </c>
      <c r="O64" s="2">
        <f>O9*'Output-Calculation-sheet'!O53/10^9</f>
        <v>0.89329843639626494</v>
      </c>
      <c r="P64" s="2">
        <f>P9*'Output-Calculation-sheet'!P53/10^9</f>
        <v>0.66330430610370061</v>
      </c>
      <c r="Q64" s="2">
        <f>Q9*'Output-Calculation-sheet'!Q53/10^9</f>
        <v>0.73304661674622418</v>
      </c>
      <c r="R64" s="2">
        <f>R9*'Output-Calculation-sheet'!R53/10^9</f>
        <v>0.62839406082606664</v>
      </c>
      <c r="S64" s="2">
        <f>S9*'Output-Calculation-sheet'!S53/10^9</f>
        <v>0.50565111681933872</v>
      </c>
      <c r="T64" s="2">
        <f>T9*'Output-Calculation-sheet'!T53/10^9</f>
        <v>0.22589041080090999</v>
      </c>
      <c r="U64" s="2">
        <f>U9*'Output-Calculation-sheet'!U53/10^9</f>
        <v>0.17002300249353688</v>
      </c>
      <c r="V64" s="2">
        <f>V9*'Output-Calculation-sheet'!V53/10^9</f>
        <v>0.26811664244242744</v>
      </c>
      <c r="W64" s="2">
        <f>W9*'Output-Calculation-sheet'!W53/10^9</f>
        <v>9.9627139455724115E-2</v>
      </c>
      <c r="X64" s="2">
        <f>X9*'Output-Calculation-sheet'!X53/10^9</f>
        <v>0.11422109004360469</v>
      </c>
      <c r="Y64" s="2">
        <f>Y9*'Output-Calculation-sheet'!Y53/10^9</f>
        <v>6.9802061530552947E-2</v>
      </c>
      <c r="AA64" s="2">
        <f t="shared" si="4"/>
        <v>31.020426362649989</v>
      </c>
    </row>
    <row r="65" spans="1:27" x14ac:dyDescent="0.25">
      <c r="A65" s="2">
        <v>2033</v>
      </c>
      <c r="B65" s="2">
        <f>B10*'Output-Calculation-sheet'!B54/10^9</f>
        <v>7.5020100457356573</v>
      </c>
      <c r="C65" s="2">
        <f>C10*'Output-Calculation-sheet'!C54/10^9</f>
        <v>3.8779234382712602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1.2177988432400981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0.70947684085500407</v>
      </c>
      <c r="L65" s="2">
        <f>L10*'Output-Calculation-sheet'!L54/10^9</f>
        <v>0.83803101346455167</v>
      </c>
      <c r="M65" s="2">
        <f>M10*'Output-Calculation-sheet'!M54/10^9</f>
        <v>0.92864917367898159</v>
      </c>
      <c r="N65" s="2">
        <f>N10*'Output-Calculation-sheet'!N54/10^9</f>
        <v>0.85214941285953616</v>
      </c>
      <c r="O65" s="2">
        <f>O10*'Output-Calculation-sheet'!O54/10^9</f>
        <v>0.77715300492310635</v>
      </c>
      <c r="P65" s="2">
        <f>P10*'Output-Calculation-sheet'!P54/10^9</f>
        <v>0.60028977480763435</v>
      </c>
      <c r="Q65" s="2">
        <f>Q10*'Output-Calculation-sheet'!Q54/10^9</f>
        <v>0.65391530794622332</v>
      </c>
      <c r="R65" s="2">
        <f>R10*'Output-Calculation-sheet'!R54/10^9</f>
        <v>0.52853673465800277</v>
      </c>
      <c r="S65" s="2">
        <f>S10*'Output-Calculation-sheet'!S54/10^9</f>
        <v>0.4495075834071488</v>
      </c>
      <c r="T65" s="2">
        <f>T10*'Output-Calculation-sheet'!T54/10^9</f>
        <v>0.17669720281544379</v>
      </c>
      <c r="U65" s="2">
        <f>U10*'Output-Calculation-sheet'!U54/10^9</f>
        <v>0.15257453573164043</v>
      </c>
      <c r="V65" s="2">
        <f>V10*'Output-Calculation-sheet'!V54/10^9</f>
        <v>0.1955495373643388</v>
      </c>
      <c r="W65" s="2">
        <f>W10*'Output-Calculation-sheet'!W54/10^9</f>
        <v>7.4450206093555599E-2</v>
      </c>
      <c r="X65" s="2">
        <f>X10*'Output-Calculation-sheet'!X54/10^9</f>
        <v>9.736952162166071E-2</v>
      </c>
      <c r="Y65" s="2">
        <f>Y10*'Output-Calculation-sheet'!Y54/10^9</f>
        <v>6.1281585549272294E-2</v>
      </c>
      <c r="AA65" s="2">
        <f t="shared" si="4"/>
        <v>26.188774199320513</v>
      </c>
    </row>
    <row r="66" spans="1:27" x14ac:dyDescent="0.25">
      <c r="A66" s="2">
        <v>2034</v>
      </c>
      <c r="B66" s="2">
        <f>B11*'Output-Calculation-sheet'!B55/10^9</f>
        <v>6.1711079547065966</v>
      </c>
      <c r="C66" s="2">
        <f>C11*'Output-Calculation-sheet'!C55/10^9</f>
        <v>3.1043113761298877</v>
      </c>
      <c r="D66" s="2">
        <f>D11*'Output-Calculation-sheet'!D55/10^9</f>
        <v>1.3927216825535398</v>
      </c>
      <c r="E66" s="2">
        <f>E11*'Output-Calculation-sheet'!E55/10^9</f>
        <v>1.6864871828744581</v>
      </c>
      <c r="F66" s="2">
        <f>F11*'Output-Calculation-sheet'!F55/10^9</f>
        <v>0.64814571980301949</v>
      </c>
      <c r="G66" s="2">
        <f>G11*'Output-Calculation-sheet'!G55/10^9</f>
        <v>0.46328044018096809</v>
      </c>
      <c r="H66" s="2">
        <f>H11*'Output-Calculation-sheet'!H55/10^9</f>
        <v>0.96674735480147589</v>
      </c>
      <c r="I66" s="2">
        <f>I11*'Output-Calculation-sheet'!I55/10^9</f>
        <v>0.45303214791092883</v>
      </c>
      <c r="J66" s="2">
        <f>J11*'Output-Calculation-sheet'!J55/10^9</f>
        <v>0.46586917115216597</v>
      </c>
      <c r="K66" s="2">
        <f>K11*'Output-Calculation-sheet'!K55/10^9</f>
        <v>0.55720172540091006</v>
      </c>
      <c r="L66" s="2">
        <f>L11*'Output-Calculation-sheet'!L55/10^9</f>
        <v>0.59009607464885905</v>
      </c>
      <c r="M66" s="2">
        <f>M11*'Output-Calculation-sheet'!M55/10^9</f>
        <v>0.70469202448975854</v>
      </c>
      <c r="N66" s="2">
        <f>N11*'Output-Calculation-sheet'!N55/10^9</f>
        <v>0.66573026661560897</v>
      </c>
      <c r="O66" s="2">
        <f>O11*'Output-Calculation-sheet'!O55/10^9</f>
        <v>0.61187022309903016</v>
      </c>
      <c r="P66" s="2">
        <f>P11*'Output-Calculation-sheet'!P55/10^9</f>
        <v>0.51094389558899922</v>
      </c>
      <c r="Q66" s="2">
        <f>Q11*'Output-Calculation-sheet'!Q55/10^9</f>
        <v>0.5404626321768502</v>
      </c>
      <c r="R66" s="2">
        <f>R11*'Output-Calculation-sheet'!R55/10^9</f>
        <v>0.41740650845077298</v>
      </c>
      <c r="S66" s="2">
        <f>S11*'Output-Calculation-sheet'!S55/10^9</f>
        <v>0.36411010591568432</v>
      </c>
      <c r="T66" s="2">
        <f>T11*'Output-Calculation-sheet'!T55/10^9</f>
        <v>0.13083615980835134</v>
      </c>
      <c r="U66" s="2">
        <f>U11*'Output-Calculation-sheet'!U55/10^9</f>
        <v>0.13358191183962828</v>
      </c>
      <c r="V66" s="2">
        <f>V11*'Output-Calculation-sheet'!V55/10^9</f>
        <v>0.12411655548824616</v>
      </c>
      <c r="W66" s="2">
        <f>W11*'Output-Calculation-sheet'!W55/10^9</f>
        <v>5.6199896902784929E-2</v>
      </c>
      <c r="X66" s="2">
        <f>X11*'Output-Calculation-sheet'!X55/10^9</f>
        <v>7.5290606996041773E-2</v>
      </c>
      <c r="Y66" s="2">
        <f>Y11*'Output-Calculation-sheet'!Y55/10^9</f>
        <v>5.4944974393994712E-2</v>
      </c>
      <c r="AA66" s="2">
        <f t="shared" si="4"/>
        <v>20.88918659192856</v>
      </c>
    </row>
    <row r="67" spans="1:27" x14ac:dyDescent="0.25">
      <c r="A67" s="2">
        <v>2035</v>
      </c>
      <c r="B67" s="2">
        <f>B12*'Output-Calculation-sheet'!B56/10^9</f>
        <v>4.7330031261768735</v>
      </c>
      <c r="C67" s="2">
        <f>C12*'Output-Calculation-sheet'!C56/10^9</f>
        <v>2.2142278710229806</v>
      </c>
      <c r="D67" s="2">
        <f>D12*'Output-Calculation-sheet'!D56/10^9</f>
        <v>1.2077409313749996</v>
      </c>
      <c r="E67" s="2">
        <f>E12*'Output-Calculation-sheet'!E56/10^9</f>
        <v>1.4770923100548332</v>
      </c>
      <c r="F67" s="2">
        <f>F12*'Output-Calculation-sheet'!F56/10^9</f>
        <v>0.59780641791894273</v>
      </c>
      <c r="G67" s="2">
        <f>G12*'Output-Calculation-sheet'!G56/10^9</f>
        <v>0.4387938391823718</v>
      </c>
      <c r="H67" s="2">
        <f>H12*'Output-Calculation-sheet'!H56/10^9</f>
        <v>0.6997794460928054</v>
      </c>
      <c r="I67" s="2">
        <f>I12*'Output-Calculation-sheet'!I56/10^9</f>
        <v>0.41448508337200374</v>
      </c>
      <c r="J67" s="2">
        <f>J12*'Output-Calculation-sheet'!J56/10^9</f>
        <v>0.38501150475043411</v>
      </c>
      <c r="K67" s="2">
        <f>K12*'Output-Calculation-sheet'!K56/10^9</f>
        <v>0.47308004561979822</v>
      </c>
      <c r="L67" s="2">
        <f>L12*'Output-Calculation-sheet'!L56/10^9</f>
        <v>0.45167409667508862</v>
      </c>
      <c r="M67" s="2">
        <f>M12*'Output-Calculation-sheet'!M56/10^9</f>
        <v>0.48709013198106282</v>
      </c>
      <c r="N67" s="2">
        <f>N12*'Output-Calculation-sheet'!N56/10^9</f>
        <v>0.47465326251304657</v>
      </c>
      <c r="O67" s="2">
        <f>O12*'Output-Calculation-sheet'!O56/10^9</f>
        <v>0.43038494258975185</v>
      </c>
      <c r="P67" s="2">
        <f>P12*'Output-Calculation-sheet'!P56/10^9</f>
        <v>0.4185197988309573</v>
      </c>
      <c r="Q67" s="2">
        <f>Q12*'Output-Calculation-sheet'!Q56/10^9</f>
        <v>0.42377174484096608</v>
      </c>
      <c r="R67" s="2">
        <f>R12*'Output-Calculation-sheet'!R56/10^9</f>
        <v>0.34884205382911004</v>
      </c>
      <c r="S67" s="2">
        <f>S12*'Output-Calculation-sheet'!S56/10^9</f>
        <v>0.27136485606165395</v>
      </c>
      <c r="T67" s="2">
        <f>T12*'Output-Calculation-sheet'!T56/10^9</f>
        <v>0.10690555200601817</v>
      </c>
      <c r="U67" s="2">
        <f>U12*'Output-Calculation-sheet'!U56/10^9</f>
        <v>0.11480630263087542</v>
      </c>
      <c r="V67" s="2">
        <f>V12*'Output-Calculation-sheet'!V56/10^9</f>
        <v>8.206914101181953E-2</v>
      </c>
      <c r="W67" s="2">
        <f>W12*'Output-Calculation-sheet'!W56/10^9</f>
        <v>5.4479800231169509E-2</v>
      </c>
      <c r="X67" s="2">
        <f>X12*'Output-Calculation-sheet'!X56/10^9</f>
        <v>5.1869947131086815E-2</v>
      </c>
      <c r="Y67" s="2">
        <f>Y12*'Output-Calculation-sheet'!Y56/10^9</f>
        <v>4.8449670221392314E-2</v>
      </c>
      <c r="AA67" s="2">
        <f t="shared" si="4"/>
        <v>16.405901876120041</v>
      </c>
    </row>
    <row r="68" spans="1:27" x14ac:dyDescent="0.25">
      <c r="B68" s="2">
        <f>SUM(B60:B67)</f>
        <v>35.179564309571575</v>
      </c>
      <c r="C68" s="2">
        <f t="shared" ref="C68:Y68" si="5">SUM(C60:C67)</f>
        <v>18.123411886820183</v>
      </c>
      <c r="D68" s="2">
        <f t="shared" si="5"/>
        <v>9.7839294385300111</v>
      </c>
      <c r="E68" s="2">
        <f t="shared" si="5"/>
        <v>10.619042254476579</v>
      </c>
      <c r="F68" s="2">
        <f t="shared" si="5"/>
        <v>4.3631253922051014</v>
      </c>
      <c r="G68" s="2">
        <f t="shared" si="5"/>
        <v>3.1085987191799047</v>
      </c>
      <c r="H68" s="2">
        <f t="shared" si="5"/>
        <v>5.6958850483652785</v>
      </c>
      <c r="I68" s="2">
        <f t="shared" si="5"/>
        <v>2.9484386089942332</v>
      </c>
      <c r="J68" s="2">
        <f t="shared" si="5"/>
        <v>3.5767277382215168</v>
      </c>
      <c r="K68" s="2">
        <f t="shared" si="5"/>
        <v>3.5965977629888197</v>
      </c>
      <c r="L68" s="2">
        <f t="shared" si="5"/>
        <v>4.3264009234482321</v>
      </c>
      <c r="M68" s="2">
        <f t="shared" si="5"/>
        <v>4.3879663657121455</v>
      </c>
      <c r="N68" s="2">
        <f t="shared" si="5"/>
        <v>4.0130395681222142</v>
      </c>
      <c r="O68" s="2">
        <f t="shared" si="5"/>
        <v>3.6365925353526962</v>
      </c>
      <c r="P68" s="2">
        <f t="shared" si="5"/>
        <v>2.8749511679075179</v>
      </c>
      <c r="Q68" s="2">
        <f t="shared" si="5"/>
        <v>3.1228997960397793</v>
      </c>
      <c r="R68" s="2">
        <f t="shared" si="5"/>
        <v>2.6160159123294759</v>
      </c>
      <c r="S68" s="2">
        <f t="shared" si="5"/>
        <v>2.104050097555012</v>
      </c>
      <c r="T68" s="2">
        <f t="shared" si="5"/>
        <v>0.90373588633485535</v>
      </c>
      <c r="U68" s="2">
        <f t="shared" si="5"/>
        <v>0.7518905561487218</v>
      </c>
      <c r="V68" s="2">
        <f t="shared" si="5"/>
        <v>0.9909151512789669</v>
      </c>
      <c r="W68" s="2">
        <f t="shared" si="5"/>
        <v>0.40096690625660869</v>
      </c>
      <c r="X68" s="2">
        <f t="shared" si="5"/>
        <v>0.45849165518451368</v>
      </c>
      <c r="Y68" s="2">
        <f t="shared" si="5"/>
        <v>0.31030199500215311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54.628849811651023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5.4628849811651024E-2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472.43048284397213</v>
      </c>
      <c r="Q76" s="2">
        <f>Q10/'Output-Calculation-sheet'!Q9*'Output-Calculation-sheet'!Q63</f>
        <v>56.029236994775808</v>
      </c>
      <c r="R76" s="2">
        <f>R10/'Output-Calculation-sheet'!R9*'Output-Calculation-sheet'!R63</f>
        <v>360.52033223353135</v>
      </c>
      <c r="S76" s="2">
        <f>S10/'Output-Calculation-sheet'!S9*'Output-Calculation-sheet'!S63</f>
        <v>0</v>
      </c>
      <c r="T76" s="2">
        <f>T10/'Output-Calculation-sheet'!T9*'Output-Calculation-sheet'!T63</f>
        <v>23.626309278405799</v>
      </c>
      <c r="U76" s="2">
        <f>U10/'Output-Calculation-sheet'!U9*'Output-Calculation-sheet'!U63</f>
        <v>127.72942133351792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6.0582963765313975</v>
      </c>
      <c r="AA76" s="2">
        <f t="shared" si="6"/>
        <v>1.1455725558939893</v>
      </c>
    </row>
    <row r="77" spans="1:27" x14ac:dyDescent="0.25">
      <c r="A77" s="2">
        <v>2034</v>
      </c>
      <c r="B77" s="2">
        <f>B11/'Output-Calculation-sheet'!B10*'Output-Calculation-sheet'!B64</f>
        <v>379.7160741843627</v>
      </c>
      <c r="C77" s="2">
        <f>C11/'Output-Calculation-sheet'!C10*'Output-Calculation-sheet'!C64</f>
        <v>0</v>
      </c>
      <c r="D77" s="2">
        <f>D11/'Output-Calculation-sheet'!D10*'Output-Calculation-sheet'!D64</f>
        <v>1350.6308935676764</v>
      </c>
      <c r="E77" s="2">
        <f>E11/'Output-Calculation-sheet'!E10*'Output-Calculation-sheet'!E64</f>
        <v>1674.7442950168995</v>
      </c>
      <c r="F77" s="2">
        <f>F11/'Output-Calculation-sheet'!F10*'Output-Calculation-sheet'!F64</f>
        <v>108.96721511444416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110.73619179300601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294.61590403038946</v>
      </c>
      <c r="K77" s="2">
        <f>K11/'Output-Calculation-sheet'!K10*'Output-Calculation-sheet'!K64</f>
        <v>643.77639254539872</v>
      </c>
      <c r="L77" s="2">
        <f>L11/'Output-Calculation-sheet'!L10*'Output-Calculation-sheet'!L64</f>
        <v>265.42258600988038</v>
      </c>
      <c r="M77" s="2">
        <f>M11/'Output-Calculation-sheet'!M10*'Output-Calculation-sheet'!M64</f>
        <v>79.75390840990066</v>
      </c>
      <c r="N77" s="2">
        <f>N11/'Output-Calculation-sheet'!N10*'Output-Calculation-sheet'!N64</f>
        <v>26.376864301075862</v>
      </c>
      <c r="O77" s="2">
        <f>O11/'Output-Calculation-sheet'!O10*'Output-Calculation-sheet'!O64</f>
        <v>0</v>
      </c>
      <c r="P77" s="2">
        <f>P11/'Output-Calculation-sheet'!P10*'Output-Calculation-sheet'!P64</f>
        <v>547.02788166580387</v>
      </c>
      <c r="Q77" s="2">
        <f>Q11/'Output-Calculation-sheet'!Q10*'Output-Calculation-sheet'!Q64</f>
        <v>131.21949761436815</v>
      </c>
      <c r="R77" s="2">
        <f>R11/'Output-Calculation-sheet'!R10*'Output-Calculation-sheet'!R64</f>
        <v>675.182764119598</v>
      </c>
      <c r="S77" s="2">
        <f>S11/'Output-Calculation-sheet'!S10*'Output-Calculation-sheet'!S64</f>
        <v>0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248.22302166780131</v>
      </c>
      <c r="V77" s="2">
        <f>V11/'Output-Calculation-sheet'!V10*'Output-Calculation-sheet'!V64</f>
        <v>96.955187797225832</v>
      </c>
      <c r="W77" s="2">
        <f>W11/'Output-Calculation-sheet'!W10*'Output-Calculation-sheet'!W64</f>
        <v>21.232022346473702</v>
      </c>
      <c r="X77" s="2">
        <f>X11/'Output-Calculation-sheet'!X10*'Output-Calculation-sheet'!X64</f>
        <v>7.9505894036713549</v>
      </c>
      <c r="Y77" s="2">
        <f>Y11/'Output-Calculation-sheet'!Y10*'Output-Calculation-sheet'!Y64</f>
        <v>44.81367207522834</v>
      </c>
      <c r="AA77" s="2">
        <f t="shared" si="6"/>
        <v>8.0228370372877826</v>
      </c>
    </row>
    <row r="78" spans="1:27" x14ac:dyDescent="0.25">
      <c r="A78" s="2">
        <v>2035</v>
      </c>
      <c r="B78" s="2">
        <f>B12/'Output-Calculation-sheet'!B11*'Output-Calculation-sheet'!B65</f>
        <v>53.411180340371097</v>
      </c>
      <c r="C78" s="2">
        <f>C12/'Output-Calculation-sheet'!C11*'Output-Calculation-sheet'!C65</f>
        <v>42.78041677657788</v>
      </c>
      <c r="D78" s="2">
        <f>D12/'Output-Calculation-sheet'!D11*'Output-Calculation-sheet'!D65</f>
        <v>2041.8770488469297</v>
      </c>
      <c r="E78" s="2">
        <f>E12/'Output-Calculation-sheet'!E11*'Output-Calculation-sheet'!E65</f>
        <v>990.17902736639337</v>
      </c>
      <c r="F78" s="2">
        <f>F12/'Output-Calculation-sheet'!F11*'Output-Calculation-sheet'!F65</f>
        <v>510.64465231878546</v>
      </c>
      <c r="G78" s="2">
        <f>G12/'Output-Calculation-sheet'!G11*'Output-Calculation-sheet'!G65</f>
        <v>947.72889088959846</v>
      </c>
      <c r="H78" s="2">
        <f>H12/'Output-Calculation-sheet'!H11*'Output-Calculation-sheet'!H65</f>
        <v>17.962092100919005</v>
      </c>
      <c r="I78" s="2">
        <f>I12/'Output-Calculation-sheet'!I11*'Output-Calculation-sheet'!I65</f>
        <v>629.84499594329793</v>
      </c>
      <c r="J78" s="2">
        <f>J12/'Output-Calculation-sheet'!J11*'Output-Calculation-sheet'!J65</f>
        <v>655.06916858213253</v>
      </c>
      <c r="K78" s="2">
        <f>K12/'Output-Calculation-sheet'!K11*'Output-Calculation-sheet'!K65</f>
        <v>815.45538130695547</v>
      </c>
      <c r="L78" s="2">
        <f>L12/'Output-Calculation-sheet'!L11*'Output-Calculation-sheet'!L65</f>
        <v>443.28630757949952</v>
      </c>
      <c r="M78" s="2">
        <f>M12/'Output-Calculation-sheet'!M11*'Output-Calculation-sheet'!M65</f>
        <v>12.560708694171804</v>
      </c>
      <c r="N78" s="2">
        <f>N12/'Output-Calculation-sheet'!N11*'Output-Calculation-sheet'!N65</f>
        <v>13.056863577863338</v>
      </c>
      <c r="O78" s="2">
        <f>O12/'Output-Calculation-sheet'!O11*'Output-Calculation-sheet'!O65</f>
        <v>7.455089501229879</v>
      </c>
      <c r="P78" s="2">
        <f>P12/'Output-Calculation-sheet'!P11*'Output-Calculation-sheet'!P65</f>
        <v>153.55893126108708</v>
      </c>
      <c r="Q78" s="2">
        <f>Q12/'Output-Calculation-sheet'!Q11*'Output-Calculation-sheet'!Q65</f>
        <v>114.42822361598832</v>
      </c>
      <c r="R78" s="2">
        <f>R12/'Output-Calculation-sheet'!R11*'Output-Calculation-sheet'!R65</f>
        <v>705.68947511749991</v>
      </c>
      <c r="S78" s="2">
        <f>S12/'Output-Calculation-sheet'!S11*'Output-Calculation-sheet'!S65</f>
        <v>5.3500172385805334</v>
      </c>
      <c r="T78" s="2">
        <f>T12/'Output-Calculation-sheet'!T11*'Output-Calculation-sheet'!T65</f>
        <v>256.09074801306264</v>
      </c>
      <c r="U78" s="2">
        <f>U12/'Output-Calculation-sheet'!U11*'Output-Calculation-sheet'!U65</f>
        <v>210.66218827626102</v>
      </c>
      <c r="V78" s="2">
        <f>V12/'Output-Calculation-sheet'!V11*'Output-Calculation-sheet'!V65</f>
        <v>127.69537636917595</v>
      </c>
      <c r="W78" s="2">
        <f>W12/'Output-Calculation-sheet'!W11*'Output-Calculation-sheet'!W65</f>
        <v>91.359540149485355</v>
      </c>
      <c r="X78" s="2">
        <f>X12/'Output-Calculation-sheet'!X11*'Output-Calculation-sheet'!X65</f>
        <v>1.2824149135257283</v>
      </c>
      <c r="Y78" s="2">
        <f>Y12/'Output-Calculation-sheet'!Y11*'Output-Calculation-sheet'!Y65</f>
        <v>22.474583913403617</v>
      </c>
      <c r="AA78" s="2">
        <f t="shared" si="6"/>
        <v>8.8699033226927924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44.990501713893849</v>
      </c>
      <c r="E89" s="2">
        <f>E12/'Output-Calculation-sheet'!E11*'Output-Calculation-sheet'!E74</f>
        <v>33.520772148475594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23.199970720827583</v>
      </c>
      <c r="H89" s="2">
        <f>H12/'Output-Calculation-sheet'!H11*'Output-Calculation-sheet'!H74</f>
        <v>2.931469715088511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10.774621760224997</v>
      </c>
      <c r="K89" s="2">
        <f>K12/'Output-Calculation-sheet'!K11*'Output-Calculation-sheet'!K74</f>
        <v>15.158737767664741</v>
      </c>
      <c r="L89" s="2">
        <f>L12/'Output-Calculation-sheet'!L11*'Output-Calculation-sheet'!L74</f>
        <v>5.6722496171401087</v>
      </c>
      <c r="M89" s="2">
        <f>M12/'Output-Calculation-sheet'!M11*'Output-Calculation-sheet'!M74</f>
        <v>2.6895152709537613</v>
      </c>
      <c r="N89" s="2">
        <f>N12/'Output-Calculation-sheet'!N11*'Output-Calculation-sheet'!N74</f>
        <v>1.3216786696895777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2.4419978731934493</v>
      </c>
      <c r="Q89" s="2">
        <f>Q12/'Output-Calculation-sheet'!Q11*'Output-Calculation-sheet'!Q74</f>
        <v>3.4739786152846195</v>
      </c>
      <c r="R89" s="2">
        <f>R12/'Output-Calculation-sheet'!R11*'Output-Calculation-sheet'!R74</f>
        <v>9.7611295712858901</v>
      </c>
      <c r="S89" s="2">
        <f>S12/'Output-Calculation-sheet'!S11*'Output-Calculation-sheet'!S74</f>
        <v>1.1364477600893295</v>
      </c>
      <c r="T89" s="2">
        <f>T12/'Output-Calculation-sheet'!T11*'Output-Calculation-sheet'!T74</f>
        <v>2.5491178102581822</v>
      </c>
      <c r="U89" s="2">
        <f>U12/'Output-Calculation-sheet'!U11*'Output-Calculation-sheet'!U74</f>
        <v>5.17257094026861</v>
      </c>
      <c r="V89" s="2">
        <f>V12/'Output-Calculation-sheet'!V11*'Output-Calculation-sheet'!V74</f>
        <v>0.7122328688081796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1.2812601284649459</v>
      </c>
      <c r="AA89" s="2">
        <f t="shared" si="7"/>
        <v>0.23291338836464318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1997.6868036549433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614.94995634146323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423.14541659936015</v>
      </c>
      <c r="N107" s="2">
        <f>N8/'Output-Calculation-sheet'!N7*'Output-Calculation-sheet'!N88</f>
        <v>166.3533283744346</v>
      </c>
      <c r="O107" s="2">
        <f>O8/'Output-Calculation-sheet'!O7*'Output-Calculation-sheet'!O88</f>
        <v>465.71405835016856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46.419932272351325</v>
      </c>
      <c r="Y107" s="2">
        <f>Y8/'Output-Calculation-sheet'!Y7*'Output-Calculation-sheet'!Y88</f>
        <v>0</v>
      </c>
      <c r="AA107" s="2">
        <f t="shared" si="9"/>
        <v>3.7142694955927209</v>
      </c>
    </row>
    <row r="108" spans="1:27" x14ac:dyDescent="0.25">
      <c r="A108" s="2">
        <v>2032</v>
      </c>
      <c r="B108" s="2">
        <f>B9/'Output-Calculation-sheet'!B8*'Output-Calculation-sheet'!B89</f>
        <v>869.14180212799749</v>
      </c>
      <c r="C108" s="2">
        <f>C9/'Output-Calculation-sheet'!C8*'Output-Calculation-sheet'!C89</f>
        <v>3300.1185274176778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888.89398131061034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611.64556587997811</v>
      </c>
      <c r="N108" s="2">
        <f>N9/'Output-Calculation-sheet'!N8*'Output-Calculation-sheet'!N89</f>
        <v>429.39171262799039</v>
      </c>
      <c r="O108" s="2">
        <f>O9/'Output-Calculation-sheet'!O8*'Output-Calculation-sheet'!O89</f>
        <v>641.12134996518375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196.91372240792847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67.098790697088035</v>
      </c>
      <c r="Y108" s="2">
        <f>Y9/'Output-Calculation-sheet'!Y8*'Output-Calculation-sheet'!Y89</f>
        <v>0</v>
      </c>
      <c r="AA108" s="2">
        <f t="shared" si="9"/>
        <v>7.004325452434454</v>
      </c>
    </row>
    <row r="109" spans="1:27" x14ac:dyDescent="0.25">
      <c r="A109" s="2">
        <v>2033</v>
      </c>
      <c r="B109" s="2">
        <f>B10/'Output-Calculation-sheet'!B9*'Output-Calculation-sheet'!B90</f>
        <v>4042.5358377921762</v>
      </c>
      <c r="C109" s="2">
        <f>C10/'Output-Calculation-sheet'!C9*'Output-Calculation-sheet'!C90</f>
        <v>3837.3621494744348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1181.2590852421172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812.82121021731734</v>
      </c>
      <c r="N109" s="2">
        <f>N10/'Output-Calculation-sheet'!N9*'Output-Calculation-sheet'!N90</f>
        <v>639.09714433234967</v>
      </c>
      <c r="O109" s="2">
        <f>O10/'Output-Calculation-sheet'!O9*'Output-Calculation-sheet'!O90</f>
        <v>745.49286067656851</v>
      </c>
      <c r="P109" s="2">
        <f>P10/'Output-Calculation-sheet'!P9*'Output-Calculation-sheet'!P90</f>
        <v>0</v>
      </c>
      <c r="Q109" s="2">
        <f>Q10/'Output-Calculation-sheet'!Q9*'Output-Calculation-sheet'!Q90</f>
        <v>139.98673703227675</v>
      </c>
      <c r="R109" s="2">
        <f>R10/'Output-Calculation-sheet'!R9*'Output-Calculation-sheet'!R90</f>
        <v>0</v>
      </c>
      <c r="S109" s="2">
        <f>S10/'Output-Calculation-sheet'!S9*'Output-Calculation-sheet'!S90</f>
        <v>320.55847761934967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89.168177292447993</v>
      </c>
      <c r="Y109" s="2">
        <f>Y10/'Output-Calculation-sheet'!Y9*'Output-Calculation-sheet'!Y90</f>
        <v>0</v>
      </c>
      <c r="AA109" s="2">
        <f t="shared" si="9"/>
        <v>11.808281679679039</v>
      </c>
    </row>
    <row r="110" spans="1:27" x14ac:dyDescent="0.25">
      <c r="A110" s="2">
        <v>2034</v>
      </c>
      <c r="B110" s="2">
        <f>B11/'Output-Calculation-sheet'!B10*'Output-Calculation-sheet'!B91</f>
        <v>6129.1603058198434</v>
      </c>
      <c r="C110" s="2">
        <f>C11/'Output-Calculation-sheet'!C10*'Output-Calculation-sheet'!C91</f>
        <v>4201.9486065950468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1193.9908655799286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821.58191414052146</v>
      </c>
      <c r="N110" s="2">
        <f>N11/'Output-Calculation-sheet'!N10*'Output-Calculation-sheet'!N91</f>
        <v>740.19163313823196</v>
      </c>
      <c r="O110" s="2">
        <f>O11/'Output-Calculation-sheet'!O10*'Output-Calculation-sheet'!O91</f>
        <v>816.32188079394416</v>
      </c>
      <c r="P110" s="2">
        <f>P11/'Output-Calculation-sheet'!P10*'Output-Calculation-sheet'!P91</f>
        <v>186.49283280271897</v>
      </c>
      <c r="Q110" s="2">
        <f>Q11/'Output-Calculation-sheet'!Q10*'Output-Calculation-sheet'!Q91</f>
        <v>412.69530814244712</v>
      </c>
      <c r="R110" s="2">
        <f>R11/'Output-Calculation-sheet'!R10*'Output-Calculation-sheet'!R91</f>
        <v>0</v>
      </c>
      <c r="S110" s="2">
        <f>S11/'Output-Calculation-sheet'!S10*'Output-Calculation-sheet'!S91</f>
        <v>424.30339678775141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90.129244733616318</v>
      </c>
      <c r="Y110" s="2">
        <f>Y11/'Output-Calculation-sheet'!Y10*'Output-Calculation-sheet'!Y91</f>
        <v>14.49607419658664</v>
      </c>
      <c r="AA110" s="2">
        <f t="shared" si="9"/>
        <v>15.031312062730635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1548.6596732595722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218.38161025989419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564.10150870768678</v>
      </c>
      <c r="Q111" s="2">
        <f>Q12/'Output-Calculation-sheet'!Q11*'Output-Calculation-sheet'!Q92</f>
        <v>534.99270675383138</v>
      </c>
      <c r="R111" s="2">
        <f>R12/'Output-Calculation-sheet'!R11*'Output-Calculation-sheet'!R92</f>
        <v>0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60.290407156100514</v>
      </c>
      <c r="AA111" s="2">
        <f t="shared" si="9"/>
        <v>18.221011345924332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9391089342.4036407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2889445393.9539595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2006968819.219728</v>
      </c>
      <c r="N118" s="2">
        <f>N8/'Output-Calculation-sheet'!N7*'Output-Calculation-sheet'!N97</f>
        <v>1574898285.9968948</v>
      </c>
      <c r="O118" s="2">
        <f>O8/'Output-Calculation-sheet'!O7*'Output-Calculation-sheet'!O97</f>
        <v>1047955419.1184384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216313146.68032485</v>
      </c>
      <c r="Y118" s="2">
        <f>Y8/'Output-Calculation-sheet'!Y7*'Output-Calculation-sheet'!Y97</f>
        <v>0</v>
      </c>
      <c r="AA118" s="2">
        <f t="shared" si="10"/>
        <v>19298.400038546257</v>
      </c>
    </row>
    <row r="119" spans="1:27" x14ac:dyDescent="0.25">
      <c r="A119" s="2">
        <v>2032</v>
      </c>
      <c r="B119" s="2">
        <f>B9/'Output-Calculation-sheet'!B8*'Output-Calculation-sheet'!B98</f>
        <v>6520346949.7877245</v>
      </c>
      <c r="C119" s="2">
        <f>C9/'Output-Calculation-sheet'!C8*'Output-Calculation-sheet'!C98</f>
        <v>5182503456.7890854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3098112162.4266825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2162493891.5693469</v>
      </c>
      <c r="N119" s="2">
        <f>N9/'Output-Calculation-sheet'!N8*'Output-Calculation-sheet'!N98</f>
        <v>1462463561.0849478</v>
      </c>
      <c r="O119" s="2">
        <f>O9/'Output-Calculation-sheet'!O8*'Output-Calculation-sheet'!O98</f>
        <v>1012565411.8816358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606907783.83347631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231394599.02701521</v>
      </c>
      <c r="Y119" s="2">
        <f>Y9/'Output-Calculation-sheet'!Y8*'Output-Calculation-sheet'!Y98</f>
        <v>0</v>
      </c>
      <c r="AA119" s="2">
        <f t="shared" si="10"/>
        <v>20276.787816399919</v>
      </c>
    </row>
    <row r="120" spans="1:27" x14ac:dyDescent="0.25">
      <c r="A120" s="2">
        <v>2033</v>
      </c>
      <c r="B120" s="2">
        <f>B10/'Output-Calculation-sheet'!B9*'Output-Calculation-sheet'!B99</f>
        <v>5815726457.4393148</v>
      </c>
      <c r="C120" s="2">
        <f>C10/'Output-Calculation-sheet'!C9*'Output-Calculation-sheet'!C99</f>
        <v>4780888269.5587225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1567540010.732538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1109517841.7380195</v>
      </c>
      <c r="N120" s="2">
        <f>N10/'Output-Calculation-sheet'!N9*'Output-Calculation-sheet'!N99</f>
        <v>1106071732.7571905</v>
      </c>
      <c r="O120" s="2">
        <f>O10/'Output-Calculation-sheet'!O9*'Output-Calculation-sheet'!O99</f>
        <v>935994944.48680329</v>
      </c>
      <c r="P120" s="2">
        <f>P10/'Output-Calculation-sheet'!P9*'Output-Calculation-sheet'!P99</f>
        <v>0</v>
      </c>
      <c r="Q120" s="2">
        <f>Q10/'Output-Calculation-sheet'!Q9*'Output-Calculation-sheet'!Q99</f>
        <v>7028270.6893839287</v>
      </c>
      <c r="R120" s="2">
        <f>R10/'Output-Calculation-sheet'!R9*'Output-Calculation-sheet'!R99</f>
        <v>0</v>
      </c>
      <c r="S120" s="2">
        <f>S10/'Output-Calculation-sheet'!S9*'Output-Calculation-sheet'!S99</f>
        <v>463215623.71826357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110790279.09702457</v>
      </c>
      <c r="Y120" s="2">
        <f>Y10/'Output-Calculation-sheet'!Y9*'Output-Calculation-sheet'!Y99</f>
        <v>0</v>
      </c>
      <c r="AA120" s="2">
        <f t="shared" si="10"/>
        <v>15896.773430217263</v>
      </c>
    </row>
    <row r="121" spans="1:27" x14ac:dyDescent="0.25">
      <c r="A121" s="2">
        <v>2034</v>
      </c>
      <c r="B121" s="2">
        <f>B11/'Output-Calculation-sheet'!B10*'Output-Calculation-sheet'!B100</f>
        <v>4552140625.7131462</v>
      </c>
      <c r="C121" s="2">
        <f>C11/'Output-Calculation-sheet'!C10*'Output-Calculation-sheet'!C100</f>
        <v>551627699.27795923</v>
      </c>
      <c r="D121" s="2">
        <f>D11/'Output-Calculation-sheet'!D10*'Output-Calculation-sheet'!D100</f>
        <v>0</v>
      </c>
      <c r="E121" s="2">
        <f>E11/'Output-Calculation-sheet'!E10*'Output-Calculation-sheet'!E100</f>
        <v>637240041.71764851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1452487303.58217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529144316.17732126</v>
      </c>
      <c r="M121" s="2">
        <f>M11/'Output-Calculation-sheet'!M10*'Output-Calculation-sheet'!M100</f>
        <v>1033729657.8877547</v>
      </c>
      <c r="N121" s="2">
        <f>N11/'Output-Calculation-sheet'!N10*'Output-Calculation-sheet'!N100</f>
        <v>689164464.8779825</v>
      </c>
      <c r="O121" s="2">
        <f>O11/'Output-Calculation-sheet'!O10*'Output-Calculation-sheet'!O100</f>
        <v>108203587.62519346</v>
      </c>
      <c r="P121" s="2">
        <f>P11/'Output-Calculation-sheet'!P10*'Output-Calculation-sheet'!P100</f>
        <v>0</v>
      </c>
      <c r="Q121" s="2">
        <f>Q11/'Output-Calculation-sheet'!Q10*'Output-Calculation-sheet'!Q100</f>
        <v>232355880.83742511</v>
      </c>
      <c r="R121" s="2">
        <f>R11/'Output-Calculation-sheet'!R10*'Output-Calculation-sheet'!R100</f>
        <v>0</v>
      </c>
      <c r="S121" s="2">
        <f>S11/'Output-Calculation-sheet'!S10*'Output-Calculation-sheet'!S100</f>
        <v>257673491.58180854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101571171.86104344</v>
      </c>
      <c r="Y121" s="2">
        <f>Y11/'Output-Calculation-sheet'!Y10*'Output-Calculation-sheet'!Y100</f>
        <v>14744926.607973108</v>
      </c>
      <c r="AA121" s="2">
        <f t="shared" si="10"/>
        <v>10160.083167747427</v>
      </c>
    </row>
    <row r="122" spans="1:27" x14ac:dyDescent="0.25">
      <c r="A122" s="2">
        <v>2035</v>
      </c>
      <c r="B122" s="2">
        <f>B12/'Output-Calculation-sheet'!B11*'Output-Calculation-sheet'!B101</f>
        <v>934826073.94004512</v>
      </c>
      <c r="C122" s="2">
        <f>C12/'Output-Calculation-sheet'!C11*'Output-Calculation-sheet'!C101</f>
        <v>194004031.79898319</v>
      </c>
      <c r="D122" s="2">
        <f>D12/'Output-Calculation-sheet'!D11*'Output-Calculation-sheet'!D101</f>
        <v>0</v>
      </c>
      <c r="E122" s="2">
        <f>E12/'Output-Calculation-sheet'!E11*'Output-Calculation-sheet'!E101</f>
        <v>1603269927.4693542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336266448.12637383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852385966.71649551</v>
      </c>
      <c r="M122" s="2">
        <f>M12/'Output-Calculation-sheet'!M11*'Output-Calculation-sheet'!M101</f>
        <v>299679642.49331349</v>
      </c>
      <c r="N122" s="2">
        <f>N12/'Output-Calculation-sheet'!N11*'Output-Calculation-sheet'!N101</f>
        <v>249514627.58781707</v>
      </c>
      <c r="O122" s="2">
        <f>O12/'Output-Calculation-sheet'!O11*'Output-Calculation-sheet'!O101</f>
        <v>33151375.123034593</v>
      </c>
      <c r="P122" s="2">
        <f>P12/'Output-Calculation-sheet'!P11*'Output-Calculation-sheet'!P101</f>
        <v>40803867.492732078</v>
      </c>
      <c r="Q122" s="2">
        <f>Q12/'Output-Calculation-sheet'!Q11*'Output-Calculation-sheet'!Q101</f>
        <v>379496439.63975084</v>
      </c>
      <c r="R122" s="2">
        <f>R12/'Output-Calculation-sheet'!R11*'Output-Calculation-sheet'!R101</f>
        <v>0</v>
      </c>
      <c r="S122" s="2">
        <f>S12/'Output-Calculation-sheet'!S11*'Output-Calculation-sheet'!S101</f>
        <v>112034050.71696633</v>
      </c>
      <c r="T122" s="2">
        <f>T12/'Output-Calculation-sheet'!T11*'Output-Calculation-sheet'!T101</f>
        <v>0</v>
      </c>
      <c r="U122" s="2">
        <f>U12/'Output-Calculation-sheet'!U11*'Output-Calculation-sheet'!U101</f>
        <v>47304823.860844381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9810193.7953238059</v>
      </c>
      <c r="Y122" s="2">
        <f>Y12/'Output-Calculation-sheet'!Y11*'Output-Calculation-sheet'!Y101</f>
        <v>48173878.908686936</v>
      </c>
      <c r="AA122" s="2">
        <f t="shared" si="10"/>
        <v>5140.7213476697207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2613409708.5459495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171784.20800401818</v>
      </c>
    </row>
    <row r="130" spans="1:27" x14ac:dyDescent="0.25">
      <c r="A130" s="2">
        <v>2032</v>
      </c>
      <c r="B130" s="2">
        <f>B9/'Output-Calculation-sheet'!B8*'Output-Calculation-sheet'!B107</f>
        <v>59005404843.340935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2144550623.639786</v>
      </c>
      <c r="O130" s="2">
        <f>O9/'Output-Calculation-sheet'!O8*'Output-Calculation-sheet'!O107</f>
        <v>0</v>
      </c>
      <c r="P130" s="2">
        <f>P9/'Output-Calculation-sheet'!P8*'Output-Calculation-sheet'!P107</f>
        <v>6550135097.8521729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1906544233.5642657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207799.28852708827</v>
      </c>
    </row>
    <row r="131" spans="1:27" x14ac:dyDescent="0.25">
      <c r="A131" s="2">
        <v>2033</v>
      </c>
      <c r="B131" s="2">
        <f>B10/'Output-Calculation-sheet'!B9*'Output-Calculation-sheet'!B108</f>
        <v>43383549602.807968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1589690859.3095052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6167447486.7038145</v>
      </c>
      <c r="R131" s="2">
        <f>R10/'Output-Calculation-sheet'!R9*'Output-Calculation-sheet'!R108</f>
        <v>6920333694.8644915</v>
      </c>
      <c r="S131" s="2">
        <f>S10/'Output-Calculation-sheet'!S9*'Output-Calculation-sheet'!S108</f>
        <v>1541915419.0288556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207062.65074098474</v>
      </c>
    </row>
    <row r="132" spans="1:27" x14ac:dyDescent="0.25">
      <c r="A132" s="2">
        <v>2034</v>
      </c>
      <c r="B132" s="2">
        <f>B11/'Output-Calculation-sheet'!B10*'Output-Calculation-sheet'!B109</f>
        <v>26776629786.952583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25786005787.295517</v>
      </c>
      <c r="F132" s="2">
        <f>F11/'Output-Calculation-sheet'!F10*'Output-Calculation-sheet'!F109</f>
        <v>17006892495.881414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10596224768.594408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7889795813.685154</v>
      </c>
      <c r="M132" s="2">
        <f>M11/'Output-Calculation-sheet'!M10*'Output-Calculation-sheet'!M109</f>
        <v>0</v>
      </c>
      <c r="N132" s="2">
        <f>N11/'Output-Calculation-sheet'!N10*'Output-Calculation-sheet'!N109</f>
        <v>1037323955.2162297</v>
      </c>
      <c r="O132" s="2">
        <f>O11/'Output-Calculation-sheet'!O10*'Output-Calculation-sheet'!O109</f>
        <v>0</v>
      </c>
      <c r="P132" s="2">
        <f>P11/'Output-Calculation-sheet'!P10*'Output-Calculation-sheet'!P109</f>
        <v>5895069930.696887</v>
      </c>
      <c r="Q132" s="2">
        <f>Q11/'Output-Calculation-sheet'!Q10*'Output-Calculation-sheet'!Q109</f>
        <v>3797142151.3928366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711925995.47260165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742069852.02239358</v>
      </c>
      <c r="AA132" s="2">
        <f t="shared" si="11"/>
        <v>181474.52496376738</v>
      </c>
    </row>
    <row r="133" spans="1:27" x14ac:dyDescent="0.25">
      <c r="A133" s="2">
        <v>2035</v>
      </c>
      <c r="B133" s="2">
        <f>B12/'Output-Calculation-sheet'!B11*'Output-Calculation-sheet'!B110</f>
        <v>312821511.67935425</v>
      </c>
      <c r="C133" s="2">
        <f>C12/'Output-Calculation-sheet'!C11*'Output-Calculation-sheet'!C110</f>
        <v>0</v>
      </c>
      <c r="D133" s="2">
        <f>D12/'Output-Calculation-sheet'!D11*'Output-Calculation-sheet'!D110</f>
        <v>26831325747.784084</v>
      </c>
      <c r="E133" s="2">
        <f>E12/'Output-Calculation-sheet'!E11*'Output-Calculation-sheet'!E110</f>
        <v>11493117420.43223</v>
      </c>
      <c r="F133" s="2">
        <f>F12/'Output-Calculation-sheet'!F11*'Output-Calculation-sheet'!F110</f>
        <v>14105999313.372009</v>
      </c>
      <c r="G133" s="2">
        <f>G12/'Output-Calculation-sheet'!G11*'Output-Calculation-sheet'!G110</f>
        <v>9778331728.9694443</v>
      </c>
      <c r="H133" s="2">
        <f>H12/'Output-Calculation-sheet'!H11*'Output-Calculation-sheet'!H110</f>
        <v>0</v>
      </c>
      <c r="I133" s="2">
        <f>I12/'Output-Calculation-sheet'!I11*'Output-Calculation-sheet'!I110</f>
        <v>8879616045.3622761</v>
      </c>
      <c r="J133" s="2">
        <f>J12/'Output-Calculation-sheet'!J11*'Output-Calculation-sheet'!J110</f>
        <v>8597494504.2727604</v>
      </c>
      <c r="K133" s="2">
        <f>K12/'Output-Calculation-sheet'!K11*'Output-Calculation-sheet'!K110</f>
        <v>8641168020.9111881</v>
      </c>
      <c r="L133" s="2">
        <f>L12/'Output-Calculation-sheet'!L11*'Output-Calculation-sheet'!L110</f>
        <v>5030165850.1350937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1906768715.8399971</v>
      </c>
      <c r="Q133" s="2">
        <f>Q12/'Output-Calculation-sheet'!Q11*'Output-Calculation-sheet'!Q110</f>
        <v>1604178526.1835427</v>
      </c>
      <c r="R133" s="2">
        <f>R12/'Output-Calculation-sheet'!R11*'Output-Calculation-sheet'!R110</f>
        <v>5640942998.827898</v>
      </c>
      <c r="S133" s="2">
        <f>S12/'Output-Calculation-sheet'!S11*'Output-Calculation-sheet'!S110</f>
        <v>3794879.3947190931</v>
      </c>
      <c r="T133" s="2">
        <f>T12/'Output-Calculation-sheet'!T11*'Output-Calculation-sheet'!T110</f>
        <v>2103363137.9701223</v>
      </c>
      <c r="U133" s="2">
        <f>U12/'Output-Calculation-sheet'!U11*'Output-Calculation-sheet'!U110</f>
        <v>1704160394.5518365</v>
      </c>
      <c r="V133" s="2">
        <f>V12/'Output-Calculation-sheet'!V11*'Output-Calculation-sheet'!V110</f>
        <v>1416795274.5124426</v>
      </c>
      <c r="W133" s="2">
        <f>W12/'Output-Calculation-sheet'!W11*'Output-Calculation-sheet'!W110</f>
        <v>1235858208.2520077</v>
      </c>
      <c r="X133" s="2">
        <f>X12/'Output-Calculation-sheet'!X11*'Output-Calculation-sheet'!X110</f>
        <v>0</v>
      </c>
      <c r="Y133" s="2">
        <f>Y12/'Output-Calculation-sheet'!Y11*'Output-Calculation-sheet'!Y110</f>
        <v>283480084.68299776</v>
      </c>
      <c r="AA133" s="2">
        <f t="shared" si="11"/>
        <v>109569.38236313402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16998156159.596243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5343792130.6160469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3673242930.5737338</v>
      </c>
      <c r="N140" s="2">
        <f>N8/'Output-Calculation-sheet'!N7*'Output-Calculation-sheet'!N115</f>
        <v>1386794800.045712</v>
      </c>
      <c r="O140" s="2">
        <f>O8/'Output-Calculation-sheet'!O7*'Output-Calculation-sheet'!O115</f>
        <v>4079474712.1508431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398870080.32595378</v>
      </c>
      <c r="Y140" s="2">
        <f>Y8/'Output-Calculation-sheet'!Y7*'Output-Calculation-sheet'!Y115</f>
        <v>0</v>
      </c>
      <c r="AA140" s="2">
        <f t="shared" si="12"/>
        <v>31880.330813308534</v>
      </c>
    </row>
    <row r="141" spans="1:27" x14ac:dyDescent="0.25">
      <c r="A141" s="2">
        <v>2032</v>
      </c>
      <c r="B141" s="2">
        <f>B9/'Output-Calculation-sheet'!B8*'Output-Calculation-sheet'!B116</f>
        <v>6745679298.9007244</v>
      </c>
      <c r="C141" s="2">
        <f>C9/'Output-Calculation-sheet'!C8*'Output-Calculation-sheet'!C116</f>
        <v>28875496024.042233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7527716595.2366285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5168395953.4584923</v>
      </c>
      <c r="N141" s="2">
        <f>N9/'Output-Calculation-sheet'!N8*'Output-Calculation-sheet'!N116</f>
        <v>3588221326.6525736</v>
      </c>
      <c r="O141" s="2">
        <f>O9/'Output-Calculation-sheet'!O8*'Output-Calculation-sheet'!O116</f>
        <v>5604903487.0550404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1607200212.3394988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562561738.65668786</v>
      </c>
      <c r="Y141" s="2">
        <f>Y9/'Output-Calculation-sheet'!Y8*'Output-Calculation-sheet'!Y116</f>
        <v>0</v>
      </c>
      <c r="AA141" s="2">
        <f t="shared" si="12"/>
        <v>59680.174636341872</v>
      </c>
    </row>
    <row r="142" spans="1:27" x14ac:dyDescent="0.25">
      <c r="A142" s="2">
        <v>2033</v>
      </c>
      <c r="B142" s="2">
        <f>B10/'Output-Calculation-sheet'!B9*'Output-Calculation-sheet'!B117</f>
        <v>31476129041.427551</v>
      </c>
      <c r="C142" s="2">
        <f>C10/'Output-Calculation-sheet'!C9*'Output-Calculation-sheet'!C117</f>
        <v>33237491666.812275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10293896671.914749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7073833095.6228056</v>
      </c>
      <c r="N142" s="2">
        <f>N10/'Output-Calculation-sheet'!N9*'Output-Calculation-sheet'!N117</f>
        <v>5336159244.0241451</v>
      </c>
      <c r="O142" s="2">
        <f>O10/'Output-Calculation-sheet'!O9*'Output-Calculation-sheet'!O117</f>
        <v>6450975307.6376438</v>
      </c>
      <c r="P142" s="2">
        <f>P10/'Output-Calculation-sheet'!P9*'Output-Calculation-sheet'!P117</f>
        <v>0</v>
      </c>
      <c r="Q142" s="2">
        <f>Q10/'Output-Calculation-sheet'!Q9*'Output-Calculation-sheet'!Q117</f>
        <v>1019149804.8390568</v>
      </c>
      <c r="R142" s="2">
        <f>R10/'Output-Calculation-sheet'!R9*'Output-Calculation-sheet'!R117</f>
        <v>0</v>
      </c>
      <c r="S142" s="2">
        <f>S10/'Output-Calculation-sheet'!S9*'Output-Calculation-sheet'!S117</f>
        <v>2594684769.2495728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775490079.37669289</v>
      </c>
      <c r="Y142" s="2">
        <f>Y10/'Output-Calculation-sheet'!Y9*'Output-Calculation-sheet'!Y117</f>
        <v>0</v>
      </c>
      <c r="AA142" s="2">
        <f t="shared" si="12"/>
        <v>98257.80968090448</v>
      </c>
    </row>
    <row r="143" spans="1:27" x14ac:dyDescent="0.25">
      <c r="A143" s="2">
        <v>2034</v>
      </c>
      <c r="B143" s="2">
        <f>B11/'Output-Calculation-sheet'!B10*'Output-Calculation-sheet'!B118</f>
        <v>47950694079.930214</v>
      </c>
      <c r="C143" s="2">
        <f>C11/'Output-Calculation-sheet'!C10*'Output-Calculation-sheet'!C118</f>
        <v>36809069793.772614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10203657276.351725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7007985250.3529282</v>
      </c>
      <c r="N143" s="2">
        <f>N11/'Output-Calculation-sheet'!N10*'Output-Calculation-sheet'!N118</f>
        <v>6166464836.035984</v>
      </c>
      <c r="O143" s="2">
        <f>O11/'Output-Calculation-sheet'!O10*'Output-Calculation-sheet'!O118</f>
        <v>7150979675.7549515</v>
      </c>
      <c r="P143" s="2">
        <f>P11/'Output-Calculation-sheet'!P10*'Output-Calculation-sheet'!P118</f>
        <v>1289806229.5271788</v>
      </c>
      <c r="Q143" s="2">
        <f>Q11/'Output-Calculation-sheet'!Q10*'Output-Calculation-sheet'!Q118</f>
        <v>3039615794.7404056</v>
      </c>
      <c r="R143" s="2">
        <f>R11/'Output-Calculation-sheet'!R10*'Output-Calculation-sheet'!R118</f>
        <v>0</v>
      </c>
      <c r="S143" s="2">
        <f>S11/'Output-Calculation-sheet'!S10*'Output-Calculation-sheet'!S118</f>
        <v>3550643962.8038836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769370154.76860178</v>
      </c>
      <c r="Y143" s="2">
        <f>Y11/'Output-Calculation-sheet'!Y10*'Output-Calculation-sheet'!Y118</f>
        <v>90158822.943500623</v>
      </c>
      <c r="AA143" s="2">
        <f t="shared" si="12"/>
        <v>124028.44587698195</v>
      </c>
    </row>
    <row r="144" spans="1:27" x14ac:dyDescent="0.25">
      <c r="A144" s="2">
        <v>2035</v>
      </c>
      <c r="B144" s="2">
        <f>B12/'Output-Calculation-sheet'!B11*'Output-Calculation-sheet'!B119</f>
        <v>67026817823.081779</v>
      </c>
      <c r="C144" s="2">
        <f>C12/'Output-Calculation-sheet'!C11*'Output-Calculation-sheet'!C119</f>
        <v>32065155600.424709</v>
      </c>
      <c r="D144" s="2">
        <f>D12/'Output-Calculation-sheet'!D11*'Output-Calculation-sheet'!D119</f>
        <v>0</v>
      </c>
      <c r="E144" s="2">
        <f>E12/'Output-Calculation-sheet'!E11*'Output-Calculation-sheet'!E119</f>
        <v>9551252385.716608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9694768050.5223866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1231072441.4687905</v>
      </c>
      <c r="M144" s="2">
        <f>M12/'Output-Calculation-sheet'!M11*'Output-Calculation-sheet'!M119</f>
        <v>6616820103.6492128</v>
      </c>
      <c r="N144" s="2">
        <f>N12/'Output-Calculation-sheet'!N11*'Output-Calculation-sheet'!N119</f>
        <v>6537144955.5615978</v>
      </c>
      <c r="O144" s="2">
        <f>O12/'Output-Calculation-sheet'!O11*'Output-Calculation-sheet'!O119</f>
        <v>6232267351.177043</v>
      </c>
      <c r="P144" s="2">
        <f>P12/'Output-Calculation-sheet'!P11*'Output-Calculation-sheet'!P119</f>
        <v>4230290620.2175927</v>
      </c>
      <c r="Q144" s="2">
        <f>Q12/'Output-Calculation-sheet'!Q11*'Output-Calculation-sheet'!Q119</f>
        <v>4006269724.6686311</v>
      </c>
      <c r="R144" s="2">
        <f>R12/'Output-Calculation-sheet'!R11*'Output-Calculation-sheet'!R119</f>
        <v>0</v>
      </c>
      <c r="S144" s="2">
        <f>S12/'Output-Calculation-sheet'!S11*'Output-Calculation-sheet'!S119</f>
        <v>3768993766.4556985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741876953.71327913</v>
      </c>
      <c r="Y144" s="2">
        <f>Y12/'Output-Calculation-sheet'!Y11*'Output-Calculation-sheet'!Y119</f>
        <v>396149402.42640072</v>
      </c>
      <c r="AA144" s="2">
        <f t="shared" si="12"/>
        <v>152098.87917908374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5127430131.2692814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222962.93855929351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3970481172.8369799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172653.78061289652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346273657.57913482</v>
      </c>
      <c r="C155" s="2">
        <f>C12/'Output-Calculation-sheet'!C11*'Output-Calculation-sheet'!C128</f>
        <v>37306923.221049704</v>
      </c>
      <c r="D155" s="2">
        <f>D12/'Output-Calculation-sheet'!D11*'Output-Calculation-sheet'!D128</f>
        <v>2487882233.0591807</v>
      </c>
      <c r="E155" s="2">
        <f>E12/'Output-Calculation-sheet'!E11*'Output-Calculation-sheet'!E128</f>
        <v>403815579.72829819</v>
      </c>
      <c r="F155" s="2">
        <f>F12/'Output-Calculation-sheet'!F11*'Output-Calculation-sheet'!F128</f>
        <v>908775674.76698351</v>
      </c>
      <c r="G155" s="2">
        <f>G12/'Output-Calculation-sheet'!G11*'Output-Calculation-sheet'!G128</f>
        <v>831624536.54777884</v>
      </c>
      <c r="H155" s="2">
        <f>H12/'Output-Calculation-sheet'!H11*'Output-Calculation-sheet'!H128</f>
        <v>64302091.119003713</v>
      </c>
      <c r="I155" s="2">
        <f>I12/'Output-Calculation-sheet'!I11*'Output-Calculation-sheet'!I128</f>
        <v>763092655.99019635</v>
      </c>
      <c r="J155" s="2">
        <f>J12/'Output-Calculation-sheet'!J11*'Output-Calculation-sheet'!J128</f>
        <v>691923044.00486481</v>
      </c>
      <c r="K155" s="2">
        <f>K12/'Output-Calculation-sheet'!K11*'Output-Calculation-sheet'!K128</f>
        <v>599193962.29693198</v>
      </c>
      <c r="L155" s="2">
        <f>L12/'Output-Calculation-sheet'!L11*'Output-Calculation-sheet'!L128</f>
        <v>225723486.55183947</v>
      </c>
      <c r="M155" s="2">
        <f>M12/'Output-Calculation-sheet'!M11*'Output-Calculation-sheet'!M128</f>
        <v>53036548.5930259</v>
      </c>
      <c r="N155" s="2">
        <f>N12/'Output-Calculation-sheet'!N11*'Output-Calculation-sheet'!N128</f>
        <v>46870598.145694613</v>
      </c>
      <c r="O155" s="2">
        <f>O12/'Output-Calculation-sheet'!O11*'Output-Calculation-sheet'!O128</f>
        <v>9652395.2669534441</v>
      </c>
      <c r="P155" s="2">
        <f>P12/'Output-Calculation-sheet'!P11*'Output-Calculation-sheet'!P128</f>
        <v>61491582.14520327</v>
      </c>
      <c r="Q155" s="2">
        <f>Q12/'Output-Calculation-sheet'!Q11*'Output-Calculation-sheet'!Q128</f>
        <v>155879736.45356438</v>
      </c>
      <c r="R155" s="2">
        <f>R12/'Output-Calculation-sheet'!R11*'Output-Calculation-sheet'!R128</f>
        <v>346420191.74856657</v>
      </c>
      <c r="S155" s="2">
        <f>S12/'Output-Calculation-sheet'!S11*'Output-Calculation-sheet'!S128</f>
        <v>29920748.926437493</v>
      </c>
      <c r="T155" s="2">
        <f>T12/'Output-Calculation-sheet'!T11*'Output-Calculation-sheet'!T128</f>
        <v>88706963.10565868</v>
      </c>
      <c r="U155" s="2">
        <f>U12/'Output-Calculation-sheet'!U11*'Output-Calculation-sheet'!U128</f>
        <v>181823830.61499611</v>
      </c>
      <c r="V155" s="2">
        <f>V12/'Output-Calculation-sheet'!V11*'Output-Calculation-sheet'!V128</f>
        <v>39935808.612146705</v>
      </c>
      <c r="W155" s="2">
        <f>W12/'Output-Calculation-sheet'!W11*'Output-Calculation-sheet'!W128</f>
        <v>48596048.588855393</v>
      </c>
      <c r="X155" s="2">
        <f>X12/'Output-Calculation-sheet'!X11*'Output-Calculation-sheet'!X128</f>
        <v>1660160.0881978606</v>
      </c>
      <c r="Y155" s="2">
        <f>Y12/'Output-Calculation-sheet'!Y11*'Output-Calculation-sheet'!Y128</f>
        <v>9780670.0253209602</v>
      </c>
      <c r="AA155" s="2">
        <f t="shared" si="13"/>
        <v>8433.6891271798831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5924.8077833976768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1794.6955217042414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1246.6667639165887</v>
      </c>
      <c r="N19" s="2">
        <f>N8/'Output-Calculation-sheet'!N7*'Output-Calculation-sheet'!N25</f>
        <v>1037.0794279375009</v>
      </c>
      <c r="O19" s="2">
        <f>O8/'Output-Calculation-sheet'!O7*'Output-Calculation-sheet'!O25</f>
        <v>650.87944016308234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134.92402265949096</v>
      </c>
      <c r="Y19" s="2">
        <f>Y8/'Output-Calculation-sheet'!Y7*'Output-Calculation-sheet'!Y25</f>
        <v>0</v>
      </c>
      <c r="AA19" s="2">
        <f t="shared" si="0"/>
        <v>12.527939220976252</v>
      </c>
    </row>
    <row r="20" spans="1:27" x14ac:dyDescent="0.25">
      <c r="A20" s="2">
        <v>2032</v>
      </c>
      <c r="B20" s="2">
        <f>B9/'Output-Calculation-sheet'!B8*'Output-Calculation-sheet'!B26</f>
        <v>6080.494143963565</v>
      </c>
      <c r="C20" s="2">
        <f>C9/'Output-Calculation-sheet'!C8*'Output-Calculation-sheet'!C26</f>
        <v>3334.3945415505204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2001.6535074477317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1398.7692852766281</v>
      </c>
      <c r="N20" s="2">
        <f>N9/'Output-Calculation-sheet'!N8*'Output-Calculation-sheet'!N26</f>
        <v>969.38523095018081</v>
      </c>
      <c r="O20" s="2">
        <f>O9/'Output-Calculation-sheet'!O8*'Output-Calculation-sheet'!O26</f>
        <v>651.47890006381749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459.83099720610227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152.20652716627632</v>
      </c>
      <c r="Y20" s="2">
        <f>Y9/'Output-Calculation-sheet'!Y8*'Output-Calculation-sheet'!Y26</f>
        <v>0</v>
      </c>
      <c r="AA20" s="2">
        <f t="shared" si="0"/>
        <v>15.04821313362482</v>
      </c>
    </row>
    <row r="21" spans="1:27" x14ac:dyDescent="0.25">
      <c r="A21" s="2">
        <v>2033</v>
      </c>
      <c r="B21" s="2">
        <f>B10/'Output-Calculation-sheet'!B9*'Output-Calculation-sheet'!B27</f>
        <v>5335.2150549294211</v>
      </c>
      <c r="C21" s="2">
        <f>C10/'Output-Calculation-sheet'!C9*'Output-Calculation-sheet'!C27</f>
        <v>3279.2489601713264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1075.1896308616076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761.02809031336051</v>
      </c>
      <c r="N21" s="2">
        <f>N10/'Output-Calculation-sheet'!N9*'Output-Calculation-sheet'!N27</f>
        <v>770.69108608665954</v>
      </c>
      <c r="O21" s="2">
        <f>O10/'Output-Calculation-sheet'!O9*'Output-Calculation-sheet'!O27</f>
        <v>642.00664167786942</v>
      </c>
      <c r="P21" s="2">
        <f>P10/'Output-Calculation-sheet'!P9*'Output-Calculation-sheet'!P27</f>
        <v>0</v>
      </c>
      <c r="Q21" s="2">
        <f>Q10/'Output-Calculation-sheet'!Q9*'Output-Calculation-sheet'!Q27</f>
        <v>9.3344696112168055</v>
      </c>
      <c r="R21" s="2">
        <f>R10/'Output-Calculation-sheet'!R9*'Output-Calculation-sheet'!R27</f>
        <v>0</v>
      </c>
      <c r="S21" s="2">
        <f>S10/'Output-Calculation-sheet'!S9*'Output-Calculation-sheet'!S27</f>
        <v>366.97456083840194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75.991925507823808</v>
      </c>
      <c r="Y21" s="2">
        <f>Y10/'Output-Calculation-sheet'!Y9*'Output-Calculation-sheet'!Y27</f>
        <v>0</v>
      </c>
      <c r="AA21" s="2">
        <f t="shared" si="0"/>
        <v>12.315680419997687</v>
      </c>
    </row>
    <row r="22" spans="1:27" x14ac:dyDescent="0.25">
      <c r="A22" s="2">
        <v>2034</v>
      </c>
      <c r="B22" s="2">
        <f>B11/'Output-Calculation-sheet'!B10*'Output-Calculation-sheet'!B28</f>
        <v>4106.2241666159789</v>
      </c>
      <c r="C22" s="2">
        <f>C11/'Output-Calculation-sheet'!C10*'Output-Calculation-sheet'!C28</f>
        <v>417.35370124011382</v>
      </c>
      <c r="D22" s="2">
        <f>D11/'Output-Calculation-sheet'!D10*'Output-Calculation-sheet'!D28</f>
        <v>0</v>
      </c>
      <c r="E22" s="2">
        <f>E11/'Output-Calculation-sheet'!E10*'Output-Calculation-sheet'!E28</f>
        <v>1385.8398064738258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1098.9249936386966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840.4673830475457</v>
      </c>
      <c r="M22" s="2">
        <f>M11/'Output-Calculation-sheet'!M10*'Output-Calculation-sheet'!M28</f>
        <v>782.10072921946994</v>
      </c>
      <c r="N22" s="2">
        <f>N11/'Output-Calculation-sheet'!N10*'Output-Calculation-sheet'!N28</f>
        <v>522.83879951001677</v>
      </c>
      <c r="O22" s="2">
        <f>O11/'Output-Calculation-sheet'!O10*'Output-Calculation-sheet'!O28</f>
        <v>81.864899805147857</v>
      </c>
      <c r="P22" s="2">
        <f>P11/'Output-Calculation-sheet'!P10*'Output-Calculation-sheet'!P28</f>
        <v>0</v>
      </c>
      <c r="Q22" s="2">
        <f>Q11/'Output-Calculation-sheet'!Q10*'Output-Calculation-sheet'!Q28</f>
        <v>267.0376237873781</v>
      </c>
      <c r="R22" s="2">
        <f>R11/'Output-Calculation-sheet'!R10*'Output-Calculation-sheet'!R28</f>
        <v>0</v>
      </c>
      <c r="S22" s="2">
        <f>S11/'Output-Calculation-sheet'!S10*'Output-Calculation-sheet'!S28</f>
        <v>195.76743366542874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76.846842066153258</v>
      </c>
      <c r="Y22" s="2">
        <f>Y11/'Output-Calculation-sheet'!Y10*'Output-Calculation-sheet'!Y28</f>
        <v>31.324943351362801</v>
      </c>
      <c r="AA22" s="2">
        <f t="shared" si="0"/>
        <v>9.8065913224211201</v>
      </c>
    </row>
    <row r="23" spans="1:27" x14ac:dyDescent="0.25">
      <c r="A23" s="2">
        <v>2035</v>
      </c>
      <c r="B23" s="2">
        <f>B12/'Output-Calculation-sheet'!B11*'Output-Calculation-sheet'!B29</f>
        <v>817.90198180702316</v>
      </c>
      <c r="C23" s="2">
        <f>C12/'Output-Calculation-sheet'!C11*'Output-Calculation-sheet'!C29</f>
        <v>169.73732385954202</v>
      </c>
      <c r="D23" s="2">
        <f>D12/'Output-Calculation-sheet'!D11*'Output-Calculation-sheet'!D29</f>
        <v>0</v>
      </c>
      <c r="E23" s="2">
        <f>E12/'Output-Calculation-sheet'!E11*'Output-Calculation-sheet'!E29</f>
        <v>2091.9803123841857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294.20858102323155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1206.1647399255958</v>
      </c>
      <c r="M23" s="2">
        <f>M12/'Output-Calculation-sheet'!M11*'Output-Calculation-sheet'!M29</f>
        <v>262.1975009101302</v>
      </c>
      <c r="N23" s="2">
        <f>N12/'Output-Calculation-sheet'!N11*'Output-Calculation-sheet'!N29</f>
        <v>218.30625553377868</v>
      </c>
      <c r="O23" s="2">
        <f>O12/'Output-Calculation-sheet'!O11*'Output-Calculation-sheet'!O29</f>
        <v>29.004897570618834</v>
      </c>
      <c r="P23" s="2">
        <f>P12/'Output-Calculation-sheet'!P11*'Output-Calculation-sheet'!P29</f>
        <v>45.431190810976538</v>
      </c>
      <c r="Q23" s="2">
        <f>Q12/'Output-Calculation-sheet'!Q11*'Output-Calculation-sheet'!Q29</f>
        <v>372.13663105222105</v>
      </c>
      <c r="R23" s="2">
        <f>R12/'Output-Calculation-sheet'!R11*'Output-Calculation-sheet'!R29</f>
        <v>0</v>
      </c>
      <c r="S23" s="2">
        <f>S12/'Output-Calculation-sheet'!S11*'Output-Calculation-sheet'!S29</f>
        <v>98.021317636256398</v>
      </c>
      <c r="T23" s="2">
        <f>T12/'Output-Calculation-sheet'!T11*'Output-Calculation-sheet'!T29</f>
        <v>0</v>
      </c>
      <c r="U23" s="2">
        <f>U12/'Output-Calculation-sheet'!U11*'Output-Calculation-sheet'!U29</f>
        <v>131.97303260449956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8.5831599373814491</v>
      </c>
      <c r="Y23" s="2">
        <f>Y12/'Output-Calculation-sheet'!Y11*'Output-Calculation-sheet'!Y29</f>
        <v>54.597904098215004</v>
      </c>
      <c r="AA23" s="2">
        <f t="shared" si="0"/>
        <v>5.8002448291536535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1182.2486104536599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46.352957954547605</v>
      </c>
    </row>
    <row r="31" spans="1:27" x14ac:dyDescent="0.25">
      <c r="A31" s="2">
        <v>2032</v>
      </c>
      <c r="B31" s="2">
        <f>B9/'Output-Calculation-sheet'!B8*'Output-Calculation-sheet'!B17</f>
        <v>25564.915235499564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999.61512905857921</v>
      </c>
      <c r="O31" s="2">
        <f>O9/'Output-Calculation-sheet'!O8*'Output-Calculation-sheet'!O17</f>
        <v>0</v>
      </c>
      <c r="P31" s="2">
        <f>P9/'Output-Calculation-sheet'!P8*'Output-Calculation-sheet'!P17</f>
        <v>2498.5631004421662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827.34923194364922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58.57244178257023</v>
      </c>
    </row>
    <row r="32" spans="1:27" x14ac:dyDescent="0.25">
      <c r="A32" s="2">
        <v>2033</v>
      </c>
      <c r="B32" s="2">
        <f>B10/'Output-Calculation-sheet'!B9*'Output-Calculation-sheet'!B18</f>
        <v>19298.883400452771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3021.0907063925188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781.12599972168562</v>
      </c>
      <c r="O32" s="2">
        <f>O10/'Output-Calculation-sheet'!O9*'Output-Calculation-sheet'!O18</f>
        <v>0</v>
      </c>
      <c r="P32" s="2">
        <f>P10/'Output-Calculation-sheet'!P9*'Output-Calculation-sheet'!P18</f>
        <v>3109.6233745440568</v>
      </c>
      <c r="Q32" s="2">
        <f>Q10/'Output-Calculation-sheet'!Q9*'Output-Calculation-sheet'!Q18</f>
        <v>2879.030035770671</v>
      </c>
      <c r="R32" s="2">
        <f>R10/'Output-Calculation-sheet'!R9*'Output-Calculation-sheet'!R18</f>
        <v>2233.4900402603685</v>
      </c>
      <c r="S32" s="2">
        <f>S10/'Output-Calculation-sheet'!S9*'Output-Calculation-sheet'!S18</f>
        <v>710.59377355183085</v>
      </c>
      <c r="T32" s="2">
        <f>T10/'Output-Calculation-sheet'!T9*'Output-Calculation-sheet'!T18</f>
        <v>651.96563319654808</v>
      </c>
      <c r="U32" s="2">
        <f>U10/'Output-Calculation-sheet'!U9*'Output-Calculation-sheet'!U18</f>
        <v>720.73918052237912</v>
      </c>
      <c r="V32" s="2">
        <f>V10/'Output-Calculation-sheet'!V9*'Output-Calculation-sheet'!V18</f>
        <v>531.99659788491078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308.02948797007178</v>
      </c>
      <c r="AA32" s="2">
        <f t="shared" si="1"/>
        <v>61.352722929003889</v>
      </c>
    </row>
    <row r="33" spans="1:27" x14ac:dyDescent="0.25">
      <c r="A33" s="2">
        <v>2034</v>
      </c>
      <c r="B33" s="2">
        <f>B11/'Output-Calculation-sheet'!B10*'Output-Calculation-sheet'!B19</f>
        <v>12548.713801926218</v>
      </c>
      <c r="C33" s="2">
        <f>C11/'Output-Calculation-sheet'!C10*'Output-Calculation-sheet'!C19</f>
        <v>0</v>
      </c>
      <c r="D33" s="2">
        <f>D11/'Output-Calculation-sheet'!D10*'Output-Calculation-sheet'!D19</f>
        <v>8317.5296678114955</v>
      </c>
      <c r="E33" s="2">
        <f>E11/'Output-Calculation-sheet'!E10*'Output-Calculation-sheet'!E19</f>
        <v>10311.636709049135</v>
      </c>
      <c r="F33" s="2">
        <f>F11/'Output-Calculation-sheet'!F10*'Output-Calculation-sheet'!F19</f>
        <v>4721.5334721439158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3089.6551315189895</v>
      </c>
      <c r="J33" s="2">
        <f>J11/'Output-Calculation-sheet'!J10*'Output-Calculation-sheet'!J19</f>
        <v>2612.4155116558295</v>
      </c>
      <c r="K33" s="2">
        <f>K11/'Output-Calculation-sheet'!K10*'Output-Calculation-sheet'!K19</f>
        <v>3623.332321764361</v>
      </c>
      <c r="L33" s="2">
        <f>L11/'Output-Calculation-sheet'!L10*'Output-Calculation-sheet'!L19</f>
        <v>2947.3214959731108</v>
      </c>
      <c r="M33" s="2">
        <f>M11/'Output-Calculation-sheet'!M10*'Output-Calculation-sheet'!M19</f>
        <v>0</v>
      </c>
      <c r="N33" s="2">
        <f>N11/'Output-Calculation-sheet'!N10*'Output-Calculation-sheet'!N19</f>
        <v>559.44985374013424</v>
      </c>
      <c r="O33" s="2">
        <f>O11/'Output-Calculation-sheet'!O10*'Output-Calculation-sheet'!O19</f>
        <v>0</v>
      </c>
      <c r="P33" s="2">
        <f>P11/'Output-Calculation-sheet'!P10*'Output-Calculation-sheet'!P19</f>
        <v>2778.458792817431</v>
      </c>
      <c r="Q33" s="2">
        <f>Q11/'Output-Calculation-sheet'!Q10*'Output-Calculation-sheet'!Q19</f>
        <v>1765.9871982298084</v>
      </c>
      <c r="R33" s="2">
        <f>R11/'Output-Calculation-sheet'!R10*'Output-Calculation-sheet'!R19</f>
        <v>2617.5824768549096</v>
      </c>
      <c r="S33" s="2">
        <f>S11/'Output-Calculation-sheet'!S10*'Output-Calculation-sheet'!S19</f>
        <v>355.64174364038064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883.35561691348664</v>
      </c>
      <c r="V33" s="2">
        <f>V11/'Output-Calculation-sheet'!V10*'Output-Calculation-sheet'!V19</f>
        <v>602.39670081906877</v>
      </c>
      <c r="W33" s="2">
        <f>W11/'Output-Calculation-sheet'!W10*'Output-Calculation-sheet'!W19</f>
        <v>375.08100019747366</v>
      </c>
      <c r="X33" s="2">
        <f>X11/'Output-Calculation-sheet'!X10*'Output-Calculation-sheet'!X19</f>
        <v>0</v>
      </c>
      <c r="Y33" s="2">
        <f>Y11/'Output-Calculation-sheet'!Y10*'Output-Calculation-sheet'!Y19</f>
        <v>307.09199361838273</v>
      </c>
      <c r="AA33" s="2">
        <f t="shared" si="1"/>
        <v>62.016606411803082</v>
      </c>
    </row>
    <row r="34" spans="1:27" x14ac:dyDescent="0.25">
      <c r="A34" s="2">
        <v>2035</v>
      </c>
      <c r="B34" s="2">
        <f>B12/'Output-Calculation-sheet'!B11*'Output-Calculation-sheet'!B20</f>
        <v>162.82382964360838</v>
      </c>
      <c r="C34" s="2">
        <f>C12/'Output-Calculation-sheet'!C11*'Output-Calculation-sheet'!C20</f>
        <v>0</v>
      </c>
      <c r="D34" s="2">
        <f>D12/'Output-Calculation-sheet'!D11*'Output-Calculation-sheet'!D20</f>
        <v>8031.0107008333134</v>
      </c>
      <c r="E34" s="2">
        <f>E12/'Output-Calculation-sheet'!E11*'Output-Calculation-sheet'!E20</f>
        <v>3752.074138942337</v>
      </c>
      <c r="F34" s="2">
        <f>F12/'Output-Calculation-sheet'!F11*'Output-Calculation-sheet'!F20</f>
        <v>5097.5070169253322</v>
      </c>
      <c r="G34" s="2">
        <f>G12/'Output-Calculation-sheet'!G11*'Output-Calculation-sheet'!G20</f>
        <v>2737.5770917321493</v>
      </c>
      <c r="H34" s="2">
        <f>H12/'Output-Calculation-sheet'!H11*'Output-Calculation-sheet'!H20</f>
        <v>0</v>
      </c>
      <c r="I34" s="2">
        <f>I12/'Output-Calculation-sheet'!I11*'Output-Calculation-sheet'!I20</f>
        <v>3041.506269431155</v>
      </c>
      <c r="J34" s="2">
        <f>J12/'Output-Calculation-sheet'!J11*'Output-Calculation-sheet'!J20</f>
        <v>2633.7786217274288</v>
      </c>
      <c r="K34" s="2">
        <f>K12/'Output-Calculation-sheet'!K11*'Output-Calculation-sheet'!K20</f>
        <v>3710.8119039992139</v>
      </c>
      <c r="L34" s="2">
        <f>L12/'Output-Calculation-sheet'!L11*'Output-Calculation-sheet'!L20</f>
        <v>2054.9558649091987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817.06909014319956</v>
      </c>
      <c r="Q34" s="2">
        <f>Q12/'Output-Calculation-sheet'!Q11*'Output-Calculation-sheet'!Q20</f>
        <v>773.03247285476652</v>
      </c>
      <c r="R34" s="2">
        <f>R12/'Output-Calculation-sheet'!R11*'Output-Calculation-sheet'!R20</f>
        <v>2739.5559761714239</v>
      </c>
      <c r="S34" s="2">
        <f>S12/'Output-Calculation-sheet'!S11*'Output-Calculation-sheet'!S20</f>
        <v>2.1922597055338753</v>
      </c>
      <c r="T34" s="2">
        <f>T12/'Output-Calculation-sheet'!T11*'Output-Calculation-sheet'!T20</f>
        <v>817.08396589883182</v>
      </c>
      <c r="U34" s="2">
        <f>U12/'Output-Calculation-sheet'!U11*'Output-Calculation-sheet'!U20</f>
        <v>743.66515546065011</v>
      </c>
      <c r="V34" s="2">
        <f>V12/'Output-Calculation-sheet'!V11*'Output-Calculation-sheet'!V20</f>
        <v>717.74396042233786</v>
      </c>
      <c r="W34" s="2">
        <f>W12/'Output-Calculation-sheet'!W11*'Output-Calculation-sheet'!W20</f>
        <v>436.56384543739625</v>
      </c>
      <c r="X34" s="2">
        <f>X12/'Output-Calculation-sheet'!X11*'Output-Calculation-sheet'!X20</f>
        <v>0</v>
      </c>
      <c r="Y34" s="2">
        <f>Y12/'Output-Calculation-sheet'!Y11*'Output-Calculation-sheet'!Y20</f>
        <v>93.906959057262171</v>
      </c>
      <c r="AA34" s="2">
        <f t="shared" si="1"/>
        <v>38.362859123295145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0.13700954364258236</v>
      </c>
      <c r="E45" s="2">
        <f>E12/'Output-Calculation-sheet'!E11*'Output-Calculation-sheet'!E38*0.0114</f>
        <v>7.2590779845586151E-2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1.2001544148002186E-2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0.77652705335738115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0.16300083131431631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197.97928803429161</v>
      </c>
      <c r="R54" s="2">
        <f>R10/'Output-Calculation-sheet'!R9*'Output-Calculation-sheet'!R45</f>
        <v>1481.0614755343813</v>
      </c>
      <c r="S54" s="2">
        <f>S10/'Output-Calculation-sheet'!S9*'Output-Calculation-sheet'!S45</f>
        <v>0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18.472929731693505</v>
      </c>
      <c r="AA54" s="2">
        <f t="shared" si="3"/>
        <v>4.8757736950710404</v>
      </c>
    </row>
    <row r="55" spans="1:27" x14ac:dyDescent="0.25">
      <c r="A55" s="2">
        <v>2034</v>
      </c>
      <c r="B55" s="2">
        <f>B11/'Output-Calculation-sheet'!B10*'Output-Calculation-sheet'!B46</f>
        <v>1536.3690599203208</v>
      </c>
      <c r="C55" s="2">
        <f>C11/'Output-Calculation-sheet'!C10*'Output-Calculation-sheet'!C46</f>
        <v>0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557.19315383368075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412.97992738512721</v>
      </c>
      <c r="N55" s="2">
        <f>N11/'Output-Calculation-sheet'!N10*'Output-Calculation-sheet'!N46</f>
        <v>141.03949725467999</v>
      </c>
      <c r="O55" s="2">
        <f>O11/'Output-Calculation-sheet'!O10*'Output-Calculation-sheet'!O46</f>
        <v>0</v>
      </c>
      <c r="P55" s="2">
        <f>P11/'Output-Calculation-sheet'!P10*'Output-Calculation-sheet'!P46</f>
        <v>3007.7424619855155</v>
      </c>
      <c r="Q55" s="2">
        <f>Q11/'Output-Calculation-sheet'!Q10*'Output-Calculation-sheet'!Q46</f>
        <v>657.47953392679528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0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77.570479368417892</v>
      </c>
      <c r="X55" s="2">
        <f>X11/'Output-Calculation-sheet'!X10*'Output-Calculation-sheet'!X46</f>
        <v>39.416340275535816</v>
      </c>
      <c r="Y55" s="2">
        <f>Y11/'Output-Calculation-sheet'!Y10*'Output-Calculation-sheet'!Y46</f>
        <v>274.14848411103952</v>
      </c>
      <c r="AA55" s="2">
        <f t="shared" si="3"/>
        <v>40.88048877023158</v>
      </c>
    </row>
    <row r="56" spans="1:27" x14ac:dyDescent="0.25">
      <c r="A56" s="2">
        <v>2035</v>
      </c>
      <c r="B56" s="2">
        <f>B12/'Output-Calculation-sheet'!B11*'Output-Calculation-sheet'!B47</f>
        <v>400.19901948920597</v>
      </c>
      <c r="C56" s="2">
        <f>C12/'Output-Calculation-sheet'!C11*'Output-Calculation-sheet'!C47</f>
        <v>325.61780128655619</v>
      </c>
      <c r="D56" s="2">
        <f>D12/'Output-Calculation-sheet'!D11*'Output-Calculation-sheet'!D47</f>
        <v>13236.243631435444</v>
      </c>
      <c r="E56" s="2">
        <f>E12/'Output-Calculation-sheet'!E11*'Output-Calculation-sheet'!E47</f>
        <v>9201.1997260414009</v>
      </c>
      <c r="F56" s="2">
        <f>F12/'Output-Calculation-sheet'!F11*'Output-Calculation-sheet'!F47</f>
        <v>2747.2859688068947</v>
      </c>
      <c r="G56" s="2">
        <f>G12/'Output-Calculation-sheet'!G11*'Output-Calculation-sheet'!G47</f>
        <v>6143.5525855338428</v>
      </c>
      <c r="H56" s="2">
        <f>H12/'Output-Calculation-sheet'!H11*'Output-Calculation-sheet'!H47</f>
        <v>122.50976009446882</v>
      </c>
      <c r="I56" s="2">
        <f>I12/'Output-Calculation-sheet'!I11*'Output-Calculation-sheet'!I47</f>
        <v>3610.1539951175237</v>
      </c>
      <c r="J56" s="2">
        <f>J12/'Output-Calculation-sheet'!J11*'Output-Calculation-sheet'!J47</f>
        <v>3824.8625739728664</v>
      </c>
      <c r="K56" s="2">
        <f>K12/'Output-Calculation-sheet'!K11*'Output-Calculation-sheet'!K47</f>
        <v>5286.1038948840496</v>
      </c>
      <c r="L56" s="2">
        <f>L12/'Output-Calculation-sheet'!L11*'Output-Calculation-sheet'!L47</f>
        <v>3538.5826591152713</v>
      </c>
      <c r="M56" s="2">
        <f>M12/'Output-Calculation-sheet'!M11*'Output-Calculation-sheet'!M47</f>
        <v>81.424820347671144</v>
      </c>
      <c r="N56" s="2">
        <f>N12/'Output-Calculation-sheet'!N11*'Output-Calculation-sheet'!N47</f>
        <v>89.442380788063076</v>
      </c>
      <c r="O56" s="2">
        <f>O12/'Output-Calculation-sheet'!O11*'Output-Calculation-sheet'!O47</f>
        <v>59.744132154062967</v>
      </c>
      <c r="P56" s="2">
        <f>P12/'Output-Calculation-sheet'!P11*'Output-Calculation-sheet'!P47</f>
        <v>1152.457791521527</v>
      </c>
      <c r="Q56" s="2">
        <f>Q12/'Output-Calculation-sheet'!Q11*'Output-Calculation-sheet'!Q47</f>
        <v>851.29375557408412</v>
      </c>
      <c r="R56" s="2">
        <f>R12/'Output-Calculation-sheet'!R11*'Output-Calculation-sheet'!R47</f>
        <v>4807.6263538933144</v>
      </c>
      <c r="S56" s="2">
        <f>S12/'Output-Calculation-sheet'!S11*'Output-Calculation-sheet'!S47</f>
        <v>39.937769130848537</v>
      </c>
      <c r="T56" s="2">
        <f>T12/'Output-Calculation-sheet'!T11*'Output-Calculation-sheet'!T47</f>
        <v>1745.6524130920263</v>
      </c>
      <c r="U56" s="2">
        <f>U12/'Output-Calculation-sheet'!U11*'Output-Calculation-sheet'!U47</f>
        <v>1626.7882539210857</v>
      </c>
      <c r="V56" s="2">
        <f>V12/'Output-Calculation-sheet'!V11*'Output-Calculation-sheet'!V47</f>
        <v>1001.3248931899407</v>
      </c>
      <c r="W56" s="2">
        <f>W12/'Output-Calculation-sheet'!W11*'Output-Calculation-sheet'!W47</f>
        <v>592.22857935682782</v>
      </c>
      <c r="X56" s="2">
        <f>X12/'Output-Calculation-sheet'!X11*'Output-Calculation-sheet'!X47</f>
        <v>9.1426479571990065</v>
      </c>
      <c r="Y56" s="2">
        <f>Y12/'Output-Calculation-sheet'!Y11*'Output-Calculation-sheet'!Y47</f>
        <v>196.02908852488324</v>
      </c>
      <c r="AA56" s="2">
        <f t="shared" si="3"/>
        <v>60.68940449522907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8.5486183499568771</v>
      </c>
      <c r="C63" s="2">
        <f>C8*'Output-Calculation-sheet'!C52/10^9</f>
        <v>4.5671115819808357</v>
      </c>
      <c r="D63" s="2">
        <f>D8*'Output-Calculation-sheet'!D52/10^9</f>
        <v>2.9315044309615237</v>
      </c>
      <c r="E63" s="2">
        <f>E8*'Output-Calculation-sheet'!E52/10^9</f>
        <v>2.9147017460582441</v>
      </c>
      <c r="F63" s="2">
        <f>F8*'Output-Calculation-sheet'!F52/10^9</f>
        <v>1.2343759484985088</v>
      </c>
      <c r="G63" s="2">
        <f>G8*'Output-Calculation-sheet'!G52/10^9</f>
        <v>0.88746054262695651</v>
      </c>
      <c r="H63" s="2">
        <f>H8*'Output-Calculation-sheet'!H52/10^9</f>
        <v>1.4433693164944308</v>
      </c>
      <c r="I63" s="2">
        <f>I8*'Output-Calculation-sheet'!I52/10^9</f>
        <v>0.82554433967614116</v>
      </c>
      <c r="J63" s="2">
        <f>J8*'Output-Calculation-sheet'!J52/10^9</f>
        <v>1.1360049683843403</v>
      </c>
      <c r="K63" s="2">
        <f>K8*'Output-Calculation-sheet'!K52/10^9</f>
        <v>0.99808140334076356</v>
      </c>
      <c r="L63" s="2">
        <f>L8*'Output-Calculation-sheet'!L52/10^9</f>
        <v>1.3424675093805298</v>
      </c>
      <c r="M63" s="2">
        <f>M8*'Output-Calculation-sheet'!M52/10^9</f>
        <v>1.1824557223526826</v>
      </c>
      <c r="N63" s="2">
        <f>N8*'Output-Calculation-sheet'!N52/10^9</f>
        <v>1.0433457663747849</v>
      </c>
      <c r="O63" s="2">
        <f>O8*'Output-Calculation-sheet'!O52/10^9</f>
        <v>0.93439160341026617</v>
      </c>
      <c r="P63" s="2">
        <f>P8*'Output-Calculation-sheet'!P52/10^9</f>
        <v>0.68964732646794125</v>
      </c>
      <c r="Q63" s="2">
        <f>Q8*'Output-Calculation-sheet'!Q52/10^9</f>
        <v>0.78047867523635706</v>
      </c>
      <c r="R63" s="2">
        <f>R8*'Output-Calculation-sheet'!R52/10^9</f>
        <v>0.70071492514419731</v>
      </c>
      <c r="S63" s="2">
        <f>S8*'Output-Calculation-sheet'!S52/10^9</f>
        <v>0.51925458709451455</v>
      </c>
      <c r="T63" s="2">
        <f>T8*'Output-Calculation-sheet'!T52/10^9</f>
        <v>0.26640180485594411</v>
      </c>
      <c r="U63" s="2">
        <f>U8*'Output-Calculation-sheet'!U52/10^9</f>
        <v>0.18296190490312067</v>
      </c>
      <c r="V63" s="2">
        <f>V8*'Output-Calculation-sheet'!V52/10^9</f>
        <v>0.32471414391483877</v>
      </c>
      <c r="W63" s="2">
        <f>W8*'Output-Calculation-sheet'!W52/10^9</f>
        <v>0.11753130708569365</v>
      </c>
      <c r="X63" s="2">
        <f>X8*'Output-Calculation-sheet'!X52/10^9</f>
        <v>0.12110208029330191</v>
      </c>
      <c r="Y63" s="2">
        <f>Y8*'Output-Calculation-sheet'!Y52/10^9</f>
        <v>7.6685908439396766E-2</v>
      </c>
      <c r="AA63" s="2">
        <f t="shared" si="4"/>
        <v>33.768925892932195</v>
      </c>
    </row>
    <row r="64" spans="1:27" x14ac:dyDescent="0.25">
      <c r="A64" s="2">
        <v>2032</v>
      </c>
      <c r="B64" s="2">
        <f>B9*'Output-Calculation-sheet'!B53/10^9</f>
        <v>8.7177200414898586</v>
      </c>
      <c r="C64" s="2">
        <f>C9*'Output-Calculation-sheet'!C53/10^9</f>
        <v>4.6215326384411801</v>
      </c>
      <c r="D64" s="2">
        <f>D9*'Output-Calculation-sheet'!D53/10^9</f>
        <v>2.5819045679336248</v>
      </c>
      <c r="E64" s="2">
        <f>E9*'Output-Calculation-sheet'!E53/10^9</f>
        <v>2.643983875944135</v>
      </c>
      <c r="F64" s="2">
        <f>F9*'Output-Calculation-sheet'!F53/10^9</f>
        <v>1.1152158197330941</v>
      </c>
      <c r="G64" s="2">
        <f>G9*'Output-Calculation-sheet'!G53/10^9</f>
        <v>0.79377650480625106</v>
      </c>
      <c r="H64" s="2">
        <f>H9*'Output-Calculation-sheet'!H53/10^9</f>
        <v>1.4504337325488692</v>
      </c>
      <c r="I64" s="2">
        <f>I9*'Output-Calculation-sheet'!I53/10^9</f>
        <v>0.74205130005552589</v>
      </c>
      <c r="J64" s="2">
        <f>J9*'Output-Calculation-sheet'!J53/10^9</f>
        <v>0.98232514755599587</v>
      </c>
      <c r="K64" s="2">
        <f>K9*'Output-Calculation-sheet'!K53/10^9</f>
        <v>0.91146408814664304</v>
      </c>
      <c r="L64" s="2">
        <f>L9*'Output-Calculation-sheet'!L53/10^9</f>
        <v>1.1725958250994462</v>
      </c>
      <c r="M64" s="2">
        <f>M9*'Output-Calculation-sheet'!M53/10^9</f>
        <v>1.150749526049698</v>
      </c>
      <c r="N64" s="2">
        <f>N9*'Output-Calculation-sheet'!N53/10^9</f>
        <v>1.0360463890176388</v>
      </c>
      <c r="O64" s="2">
        <f>O9*'Output-Calculation-sheet'!O53/10^9</f>
        <v>0.93589496867976607</v>
      </c>
      <c r="P64" s="2">
        <f>P9*'Output-Calculation-sheet'!P53/10^9</f>
        <v>0.69493367221198066</v>
      </c>
      <c r="Q64" s="2">
        <f>Q9*'Output-Calculation-sheet'!Q53/10^9</f>
        <v>0.76800161342293438</v>
      </c>
      <c r="R64" s="2">
        <f>R9*'Output-Calculation-sheet'!R53/10^9</f>
        <v>0.65835874766322577</v>
      </c>
      <c r="S64" s="2">
        <f>S9*'Output-Calculation-sheet'!S53/10^9</f>
        <v>0.52976286183556831</v>
      </c>
      <c r="T64" s="2">
        <f>T9*'Output-Calculation-sheet'!T53/10^9</f>
        <v>0.23666189296652518</v>
      </c>
      <c r="U64" s="2">
        <f>U9*'Output-Calculation-sheet'!U53/10^9</f>
        <v>0.17813047253890144</v>
      </c>
      <c r="V64" s="2">
        <f>V9*'Output-Calculation-sheet'!V53/10^9</f>
        <v>0.28090166338304012</v>
      </c>
      <c r="W64" s="2">
        <f>W9*'Output-Calculation-sheet'!W53/10^9</f>
        <v>0.10437781458201091</v>
      </c>
      <c r="X64" s="2">
        <f>X9*'Output-Calculation-sheet'!X53/10^9</f>
        <v>0.11966767110908502</v>
      </c>
      <c r="Y64" s="2">
        <f>Y9*'Output-Calculation-sheet'!Y53/10^9</f>
        <v>7.3130541293078999E-2</v>
      </c>
      <c r="AA64" s="2">
        <f t="shared" si="4"/>
        <v>32.499621376508074</v>
      </c>
    </row>
    <row r="65" spans="1:27" x14ac:dyDescent="0.25">
      <c r="A65" s="2">
        <v>2033</v>
      </c>
      <c r="B65" s="2">
        <f>B10*'Output-Calculation-sheet'!B54/10^9</f>
        <v>8.3790854297829238</v>
      </c>
      <c r="C65" s="2">
        <f>C10*'Output-Calculation-sheet'!C54/10^9</f>
        <v>4.3312994225997565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1.3601742041920957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0.79242323373796975</v>
      </c>
      <c r="L65" s="2">
        <f>L10*'Output-Calculation-sheet'!L54/10^9</f>
        <v>0.93600693838293347</v>
      </c>
      <c r="M65" s="2">
        <f>M10*'Output-Calculation-sheet'!M54/10^9</f>
        <v>1.0372194536018473</v>
      </c>
      <c r="N65" s="2">
        <f>N10*'Output-Calculation-sheet'!N54/10^9</f>
        <v>0.95177594881362682</v>
      </c>
      <c r="O65" s="2">
        <f>O10*'Output-Calculation-sheet'!O54/10^9</f>
        <v>0.86801155697794841</v>
      </c>
      <c r="P65" s="2">
        <f>P10*'Output-Calculation-sheet'!P54/10^9</f>
        <v>0.6704708838129908</v>
      </c>
      <c r="Q65" s="2">
        <f>Q10*'Output-Calculation-sheet'!Q54/10^9</f>
        <v>0.73036588803806579</v>
      </c>
      <c r="R65" s="2">
        <f>R10*'Output-Calculation-sheet'!R54/10^9</f>
        <v>0.59032904854550006</v>
      </c>
      <c r="S65" s="2">
        <f>S10*'Output-Calculation-sheet'!S54/10^9</f>
        <v>0.5020604371017513</v>
      </c>
      <c r="T65" s="2">
        <f>T10*'Output-Calculation-sheet'!T54/10^9</f>
        <v>0.19735523527269513</v>
      </c>
      <c r="U65" s="2">
        <f>U10*'Output-Calculation-sheet'!U54/10^9</f>
        <v>0.17041233769495936</v>
      </c>
      <c r="V65" s="2">
        <f>V10*'Output-Calculation-sheet'!V54/10^9</f>
        <v>0.2184116349273226</v>
      </c>
      <c r="W65" s="2">
        <f>W10*'Output-Calculation-sheet'!W54/10^9</f>
        <v>8.3154332414876769E-2</v>
      </c>
      <c r="X65" s="2">
        <f>X10*'Output-Calculation-sheet'!X54/10^9</f>
        <v>0.10875319213798595</v>
      </c>
      <c r="Y65" s="2">
        <f>Y10*'Output-Calculation-sheet'!Y54/10^9</f>
        <v>6.8446141428693652E-2</v>
      </c>
      <c r="AA65" s="2">
        <f t="shared" si="4"/>
        <v>29.250557514533838</v>
      </c>
    </row>
    <row r="66" spans="1:27" x14ac:dyDescent="0.25">
      <c r="A66" s="2">
        <v>2034</v>
      </c>
      <c r="B66" s="2">
        <f>B11*'Output-Calculation-sheet'!B55/10^9</f>
        <v>7.6027697498079263</v>
      </c>
      <c r="C66" s="2">
        <f>C11*'Output-Calculation-sheet'!C55/10^9</f>
        <v>3.8244938830513528</v>
      </c>
      <c r="D66" s="2">
        <f>D11*'Output-Calculation-sheet'!D55/10^9</f>
        <v>1.715825157449069</v>
      </c>
      <c r="E66" s="2">
        <f>E11*'Output-Calculation-sheet'!E55/10^9</f>
        <v>2.0777425758072541</v>
      </c>
      <c r="F66" s="2">
        <f>F11*'Output-Calculation-sheet'!F55/10^9</f>
        <v>0.79851182448163271</v>
      </c>
      <c r="G66" s="2">
        <f>G11*'Output-Calculation-sheet'!G55/10^9</f>
        <v>0.57075885596835696</v>
      </c>
      <c r="H66" s="2">
        <f>H11*'Output-Calculation-sheet'!H55/10^9</f>
        <v>1.1910272188944298</v>
      </c>
      <c r="I66" s="2">
        <f>I11*'Output-Calculation-sheet'!I55/10^9</f>
        <v>0.55813301843161134</v>
      </c>
      <c r="J66" s="2">
        <f>J11*'Output-Calculation-sheet'!J55/10^9</f>
        <v>0.57394815773761276</v>
      </c>
      <c r="K66" s="2">
        <f>K11*'Output-Calculation-sheet'!K55/10^9</f>
        <v>0.68646934286539052</v>
      </c>
      <c r="L66" s="2">
        <f>L11*'Output-Calculation-sheet'!L55/10^9</f>
        <v>0.72699499324089323</v>
      </c>
      <c r="M66" s="2">
        <f>M11*'Output-Calculation-sheet'!M55/10^9</f>
        <v>0.86817654885383844</v>
      </c>
      <c r="N66" s="2">
        <f>N11*'Output-Calculation-sheet'!N55/10^9</f>
        <v>0.8201758857088991</v>
      </c>
      <c r="O66" s="2">
        <f>O11*'Output-Calculation-sheet'!O55/10^9</f>
        <v>0.75382061975396231</v>
      </c>
      <c r="P66" s="2">
        <f>P11*'Output-Calculation-sheet'!P55/10^9</f>
        <v>0.62947996076950075</v>
      </c>
      <c r="Q66" s="2">
        <f>Q11*'Output-Calculation-sheet'!Q55/10^9</f>
        <v>0.66584687562982137</v>
      </c>
      <c r="R66" s="2">
        <f>R11*'Output-Calculation-sheet'!R55/10^9</f>
        <v>0.5142424341162517</v>
      </c>
      <c r="S66" s="2">
        <f>S11*'Output-Calculation-sheet'!S55/10^9</f>
        <v>0.44858157063089976</v>
      </c>
      <c r="T66" s="2">
        <f>T11*'Output-Calculation-sheet'!T55/10^9</f>
        <v>0.16118940152607694</v>
      </c>
      <c r="U66" s="2">
        <f>U11*'Output-Calculation-sheet'!U55/10^9</f>
        <v>0.16457215234441983</v>
      </c>
      <c r="V66" s="2">
        <f>V11*'Output-Calculation-sheet'!V55/10^9</f>
        <v>0.15291088738720005</v>
      </c>
      <c r="W66" s="2">
        <f>W11*'Output-Calculation-sheet'!W55/10^9</f>
        <v>6.9237951961112959E-2</v>
      </c>
      <c r="X66" s="2">
        <f>X11*'Output-Calculation-sheet'!X55/10^9</f>
        <v>9.2757597746707846E-2</v>
      </c>
      <c r="Y66" s="2">
        <f>Y11*'Output-Calculation-sheet'!Y55/10^9</f>
        <v>6.7691894598608596E-2</v>
      </c>
      <c r="AA66" s="2">
        <f t="shared" si="4"/>
        <v>25.735358558762833</v>
      </c>
    </row>
    <row r="67" spans="1:27" x14ac:dyDescent="0.25">
      <c r="A67" s="2">
        <v>2035</v>
      </c>
      <c r="B67" s="2">
        <f>B12*'Output-Calculation-sheet'!B56/10^9</f>
        <v>6.7431163205108327</v>
      </c>
      <c r="C67" s="2">
        <f>C12*'Output-Calculation-sheet'!C56/10^9</f>
        <v>3.1546136134681801</v>
      </c>
      <c r="D67" s="2">
        <f>D12*'Output-Calculation-sheet'!D56/10^9</f>
        <v>1.7206702316045277</v>
      </c>
      <c r="E67" s="2">
        <f>E12*'Output-Calculation-sheet'!E56/10^9</f>
        <v>2.1044155258940727</v>
      </c>
      <c r="F67" s="2">
        <f>F12*'Output-Calculation-sheet'!F56/10^9</f>
        <v>0.85169565827679539</v>
      </c>
      <c r="G67" s="2">
        <f>G12*'Output-Calculation-sheet'!G56/10^9</f>
        <v>0.62515021001481685</v>
      </c>
      <c r="H67" s="2">
        <f>H12*'Output-Calculation-sheet'!H56/10^9</f>
        <v>0.99697677730417977</v>
      </c>
      <c r="I67" s="2">
        <f>I12*'Output-Calculation-sheet'!I56/10^9</f>
        <v>0.59051749085821437</v>
      </c>
      <c r="J67" s="2">
        <f>J12*'Output-Calculation-sheet'!J56/10^9</f>
        <v>0.54852644125848549</v>
      </c>
      <c r="K67" s="2">
        <f>K12*'Output-Calculation-sheet'!K56/10^9</f>
        <v>0.67399781734428099</v>
      </c>
      <c r="L67" s="2">
        <f>L12*'Output-Calculation-sheet'!L56/10^9</f>
        <v>0.64350073127924656</v>
      </c>
      <c r="M67" s="2">
        <f>M12*'Output-Calculation-sheet'!M56/10^9</f>
        <v>0.69395800741301661</v>
      </c>
      <c r="N67" s="2">
        <f>N12*'Output-Calculation-sheet'!N56/10^9</f>
        <v>0.67623918170127761</v>
      </c>
      <c r="O67" s="2">
        <f>O12*'Output-Calculation-sheet'!O56/10^9</f>
        <v>0.61317004301733913</v>
      </c>
      <c r="P67" s="2">
        <f>P12*'Output-Calculation-sheet'!P56/10^9</f>
        <v>0.59626575574090923</v>
      </c>
      <c r="Q67" s="2">
        <f>Q12*'Output-Calculation-sheet'!Q56/10^9</f>
        <v>0.60374821072993401</v>
      </c>
      <c r="R67" s="2">
        <f>R12*'Output-Calculation-sheet'!R56/10^9</f>
        <v>0.49699577282038859</v>
      </c>
      <c r="S67" s="2">
        <f>S12*'Output-Calculation-sheet'!S56/10^9</f>
        <v>0.38661389839403854</v>
      </c>
      <c r="T67" s="2">
        <f>T12*'Output-Calculation-sheet'!T56/10^9</f>
        <v>0.15230849278295228</v>
      </c>
      <c r="U67" s="2">
        <f>U12*'Output-Calculation-sheet'!U56/10^9</f>
        <v>0.16356470349367599</v>
      </c>
      <c r="V67" s="2">
        <f>V12*'Output-Calculation-sheet'!V56/10^9</f>
        <v>0.11692402253157196</v>
      </c>
      <c r="W67" s="2">
        <f>W12*'Output-Calculation-sheet'!W56/10^9</f>
        <v>7.7617449277645065E-2</v>
      </c>
      <c r="X67" s="2">
        <f>X12*'Output-Calculation-sheet'!X56/10^9</f>
        <v>7.3899187834720825E-2</v>
      </c>
      <c r="Y67" s="2">
        <f>Y12*'Output-Calculation-sheet'!Y56/10^9</f>
        <v>6.9026314431601593E-2</v>
      </c>
      <c r="AA67" s="2">
        <f t="shared" si="4"/>
        <v>23.373511857982695</v>
      </c>
    </row>
    <row r="68" spans="1:27" x14ac:dyDescent="0.25">
      <c r="B68" s="2">
        <f>SUM(B60:B67)</f>
        <v>39.991309891548426</v>
      </c>
      <c r="C68" s="2">
        <f t="shared" ref="C68:Y68" si="5">SUM(C60:C67)</f>
        <v>20.499051139541304</v>
      </c>
      <c r="D68" s="2">
        <f t="shared" si="5"/>
        <v>10.983277495209919</v>
      </c>
      <c r="E68" s="2">
        <f t="shared" si="5"/>
        <v>12.030387185369925</v>
      </c>
      <c r="F68" s="2">
        <f t="shared" si="5"/>
        <v>4.9293137504360036</v>
      </c>
      <c r="G68" s="2">
        <f t="shared" si="5"/>
        <v>3.5153424295663358</v>
      </c>
      <c r="H68" s="2">
        <f t="shared" si="5"/>
        <v>6.4419812494340061</v>
      </c>
      <c r="I68" s="2">
        <f t="shared" si="5"/>
        <v>3.3376753464570332</v>
      </c>
      <c r="J68" s="2">
        <f t="shared" si="5"/>
        <v>3.9835503280474729</v>
      </c>
      <c r="K68" s="2">
        <f t="shared" si="5"/>
        <v>4.0624358854350477</v>
      </c>
      <c r="L68" s="2">
        <f t="shared" si="5"/>
        <v>4.8215659973830487</v>
      </c>
      <c r="M68" s="2">
        <f t="shared" si="5"/>
        <v>4.9325592582710822</v>
      </c>
      <c r="N68" s="2">
        <f t="shared" si="5"/>
        <v>4.5275831716162269</v>
      </c>
      <c r="O68" s="2">
        <f t="shared" si="5"/>
        <v>4.105288791839282</v>
      </c>
      <c r="P68" s="2">
        <f t="shared" si="5"/>
        <v>3.2807975990033227</v>
      </c>
      <c r="Q68" s="2">
        <f t="shared" si="5"/>
        <v>3.5484412630571125</v>
      </c>
      <c r="R68" s="2">
        <f t="shared" si="5"/>
        <v>2.9606409282895636</v>
      </c>
      <c r="S68" s="2">
        <f t="shared" si="5"/>
        <v>2.3862733550567725</v>
      </c>
      <c r="T68" s="2">
        <f t="shared" si="5"/>
        <v>1.0139168274041936</v>
      </c>
      <c r="U68" s="2">
        <f t="shared" si="5"/>
        <v>0.85964157097507732</v>
      </c>
      <c r="V68" s="2">
        <f t="shared" si="5"/>
        <v>1.0938623521439734</v>
      </c>
      <c r="W68" s="2">
        <f t="shared" si="5"/>
        <v>0.4519188553213393</v>
      </c>
      <c r="X68" s="2">
        <f t="shared" si="5"/>
        <v>0.51617972912180154</v>
      </c>
      <c r="Y68" s="2">
        <f t="shared" si="5"/>
        <v>0.35498080019137956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57.23380182970233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5.7233801829702328E-2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527.66329973569896</v>
      </c>
      <c r="Q76" s="2">
        <f>Q10/'Output-Calculation-sheet'!Q9*'Output-Calculation-sheet'!Q63</f>
        <v>62.579730030039308</v>
      </c>
      <c r="R76" s="2">
        <f>R10/'Output-Calculation-sheet'!R9*'Output-Calculation-sheet'!R63</f>
        <v>402.66950384525308</v>
      </c>
      <c r="S76" s="2">
        <f>S10/'Output-Calculation-sheet'!S9*'Output-Calculation-sheet'!S63</f>
        <v>0</v>
      </c>
      <c r="T76" s="2">
        <f>T10/'Output-Calculation-sheet'!T9*'Output-Calculation-sheet'!T63</f>
        <v>26.388509563082334</v>
      </c>
      <c r="U76" s="2">
        <f>U10/'Output-Calculation-sheet'!U9*'Output-Calculation-sheet'!U63</f>
        <v>142.66253000536116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6.7665842338822184</v>
      </c>
      <c r="AA76" s="2">
        <f t="shared" si="6"/>
        <v>1.2795037934275699</v>
      </c>
    </row>
    <row r="77" spans="1:27" x14ac:dyDescent="0.25">
      <c r="A77" s="2">
        <v>2034</v>
      </c>
      <c r="B77" s="2">
        <f>B11/'Output-Calculation-sheet'!B10*'Output-Calculation-sheet'!B64</f>
        <v>467.80803439403638</v>
      </c>
      <c r="C77" s="2">
        <f>C11/'Output-Calculation-sheet'!C10*'Output-Calculation-sheet'!C64</f>
        <v>0</v>
      </c>
      <c r="D77" s="2">
        <f>D11/'Output-Calculation-sheet'!D10*'Output-Calculation-sheet'!D64</f>
        <v>1663.9695458480421</v>
      </c>
      <c r="E77" s="2">
        <f>E11/'Output-Calculation-sheet'!E10*'Output-Calculation-sheet'!E64</f>
        <v>2063.2754050440622</v>
      </c>
      <c r="F77" s="2">
        <f>F11/'Output-Calculation-sheet'!F10*'Output-Calculation-sheet'!F64</f>
        <v>134.246986582217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136.42635574551744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362.96511087060628</v>
      </c>
      <c r="K77" s="2">
        <f>K11/'Output-Calculation-sheet'!K10*'Output-Calculation-sheet'!K64</f>
        <v>793.12883825856466</v>
      </c>
      <c r="L77" s="2">
        <f>L11/'Output-Calculation-sheet'!L10*'Output-Calculation-sheet'!L64</f>
        <v>326.99910982640608</v>
      </c>
      <c r="M77" s="2">
        <f>M11/'Output-Calculation-sheet'!M10*'Output-Calculation-sheet'!M64</f>
        <v>98.256359593465163</v>
      </c>
      <c r="N77" s="2">
        <f>N11/'Output-Calculation-sheet'!N10*'Output-Calculation-sheet'!N64</f>
        <v>32.496146149908441</v>
      </c>
      <c r="O77" s="2">
        <f>O11/'Output-Calculation-sheet'!O10*'Output-Calculation-sheet'!O64</f>
        <v>0</v>
      </c>
      <c r="P77" s="2">
        <f>P11/'Output-Calculation-sheet'!P10*'Output-Calculation-sheet'!P64</f>
        <v>673.93522549841987</v>
      </c>
      <c r="Q77" s="2">
        <f>Q11/'Output-Calculation-sheet'!Q10*'Output-Calculation-sheet'!Q64</f>
        <v>161.66167151340065</v>
      </c>
      <c r="R77" s="2">
        <f>R11/'Output-Calculation-sheet'!R10*'Output-Calculation-sheet'!R64</f>
        <v>831.82130863958287</v>
      </c>
      <c r="S77" s="2">
        <f>S11/'Output-Calculation-sheet'!S10*'Output-Calculation-sheet'!S64</f>
        <v>0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305.80934480372457</v>
      </c>
      <c r="V77" s="2">
        <f>V11/'Output-Calculation-sheet'!V10*'Output-Calculation-sheet'!V64</f>
        <v>119.4482375420933</v>
      </c>
      <c r="W77" s="2">
        <f>W11/'Output-Calculation-sheet'!W10*'Output-Calculation-sheet'!W64</f>
        <v>26.157730250027836</v>
      </c>
      <c r="X77" s="2">
        <f>X11/'Output-Calculation-sheet'!X10*'Output-Calculation-sheet'!X64</f>
        <v>9.795080730239782</v>
      </c>
      <c r="Y77" s="2">
        <f>Y11/'Output-Calculation-sheet'!Y10*'Output-Calculation-sheet'!Y64</f>
        <v>55.210188013565059</v>
      </c>
      <c r="AA77" s="2">
        <f t="shared" si="6"/>
        <v>9.8840894021647756</v>
      </c>
    </row>
    <row r="78" spans="1:27" x14ac:dyDescent="0.25">
      <c r="A78" s="2">
        <v>2035</v>
      </c>
      <c r="B78" s="2">
        <f>B12/'Output-Calculation-sheet'!B11*'Output-Calculation-sheet'!B65</f>
        <v>76.094984991447589</v>
      </c>
      <c r="C78" s="2">
        <f>C12/'Output-Calculation-sheet'!C11*'Output-Calculation-sheet'!C65</f>
        <v>60.949320943596078</v>
      </c>
      <c r="D78" s="2">
        <f>D12/'Output-Calculation-sheet'!D11*'Output-Calculation-sheet'!D65</f>
        <v>2909.0651507086477</v>
      </c>
      <c r="E78" s="2">
        <f>E12/'Output-Calculation-sheet'!E11*'Output-Calculation-sheet'!E65</f>
        <v>1410.7094759210929</v>
      </c>
      <c r="F78" s="2">
        <f>F12/'Output-Calculation-sheet'!F11*'Output-Calculation-sheet'!F65</f>
        <v>727.51616621343101</v>
      </c>
      <c r="G78" s="2">
        <f>G12/'Output-Calculation-sheet'!G11*'Output-Calculation-sheet'!G65</f>
        <v>1350.2307057927901</v>
      </c>
      <c r="H78" s="2">
        <f>H12/'Output-Calculation-sheet'!H11*'Output-Calculation-sheet'!H65</f>
        <v>25.590618296096885</v>
      </c>
      <c r="I78" s="2">
        <f>I12/'Output-Calculation-sheet'!I11*'Output-Calculation-sheet'!I65</f>
        <v>897.34106619278316</v>
      </c>
      <c r="J78" s="2">
        <f>J12/'Output-Calculation-sheet'!J11*'Output-Calculation-sheet'!J65</f>
        <v>933.27798101364885</v>
      </c>
      <c r="K78" s="2">
        <f>K12/'Output-Calculation-sheet'!K11*'Output-Calculation-sheet'!K65</f>
        <v>1161.7804475825371</v>
      </c>
      <c r="L78" s="2">
        <f>L12/'Output-Calculation-sheet'!L11*'Output-Calculation-sheet'!L65</f>
        <v>631.55063616296536</v>
      </c>
      <c r="M78" s="2">
        <f>M12/'Output-Calculation-sheet'!M11*'Output-Calculation-sheet'!M65</f>
        <v>17.895259634292291</v>
      </c>
      <c r="N78" s="2">
        <f>N12/'Output-Calculation-sheet'!N11*'Output-Calculation-sheet'!N65</f>
        <v>18.602132206426845</v>
      </c>
      <c r="O78" s="2">
        <f>O12/'Output-Calculation-sheet'!O11*'Output-Calculation-sheet'!O65</f>
        <v>10.621276670742166</v>
      </c>
      <c r="P78" s="2">
        <f>P12/'Output-Calculation-sheet'!P11*'Output-Calculation-sheet'!P65</f>
        <v>218.77562890672428</v>
      </c>
      <c r="Q78" s="2">
        <f>Q12/'Output-Calculation-sheet'!Q11*'Output-Calculation-sheet'!Q65</f>
        <v>163.026053780637</v>
      </c>
      <c r="R78" s="2">
        <f>R12/'Output-Calculation-sheet'!R11*'Output-Calculation-sheet'!R65</f>
        <v>1005.3968041050706</v>
      </c>
      <c r="S78" s="2">
        <f>S12/'Output-Calculation-sheet'!S11*'Output-Calculation-sheet'!S65</f>
        <v>7.6221772085807276</v>
      </c>
      <c r="T78" s="2">
        <f>T12/'Output-Calculation-sheet'!T11*'Output-Calculation-sheet'!T65</f>
        <v>364.85285482023096</v>
      </c>
      <c r="U78" s="2">
        <f>U12/'Output-Calculation-sheet'!U11*'Output-Calculation-sheet'!U65</f>
        <v>300.13072081522569</v>
      </c>
      <c r="V78" s="2">
        <f>V12/'Output-Calculation-sheet'!V11*'Output-Calculation-sheet'!V65</f>
        <v>181.9277852757931</v>
      </c>
      <c r="W78" s="2">
        <f>W12/'Output-Calculation-sheet'!W11*'Output-Calculation-sheet'!W65</f>
        <v>130.16006746523703</v>
      </c>
      <c r="X78" s="2">
        <f>X12/'Output-Calculation-sheet'!X11*'Output-Calculation-sheet'!X65</f>
        <v>1.8270583607340449</v>
      </c>
      <c r="Y78" s="2">
        <f>Y12/'Output-Calculation-sheet'!Y11*'Output-Calculation-sheet'!Y65</f>
        <v>32.019571832731287</v>
      </c>
      <c r="AA78" s="2">
        <f t="shared" si="6"/>
        <v>12.63696394490146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64.098032113488827</v>
      </c>
      <c r="E89" s="2">
        <f>E12/'Output-Calculation-sheet'!E11*'Output-Calculation-sheet'!E74</f>
        <v>47.757092003675098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33.053031454334125</v>
      </c>
      <c r="H89" s="2">
        <f>H12/'Output-Calculation-sheet'!H11*'Output-Calculation-sheet'!H74</f>
        <v>4.1764690941296188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15.350619025978059</v>
      </c>
      <c r="K89" s="2">
        <f>K12/'Output-Calculation-sheet'!K11*'Output-Calculation-sheet'!K74</f>
        <v>21.596675369629615</v>
      </c>
      <c r="L89" s="2">
        <f>L12/'Output-Calculation-sheet'!L11*'Output-Calculation-sheet'!L74</f>
        <v>8.0812621390014758</v>
      </c>
      <c r="M89" s="2">
        <f>M12/'Output-Calculation-sheet'!M11*'Output-Calculation-sheet'!M74</f>
        <v>3.8317562516551127</v>
      </c>
      <c r="N89" s="2">
        <f>N12/'Output-Calculation-sheet'!N11*'Output-Calculation-sheet'!N74</f>
        <v>1.8829974902750122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3.4791178611970626</v>
      </c>
      <c r="Q89" s="2">
        <f>Q12/'Output-Calculation-sheet'!Q11*'Output-Calculation-sheet'!Q74</f>
        <v>4.9493822998493258</v>
      </c>
      <c r="R89" s="2">
        <f>R12/'Output-Calculation-sheet'!R11*'Output-Calculation-sheet'!R74</f>
        <v>13.906695255434123</v>
      </c>
      <c r="S89" s="2">
        <f>S12/'Output-Calculation-sheet'!S11*'Output-Calculation-sheet'!S74</f>
        <v>1.6190987485479136</v>
      </c>
      <c r="T89" s="2">
        <f>T12/'Output-Calculation-sheet'!T11*'Output-Calculation-sheet'!T74</f>
        <v>3.6317317886796663</v>
      </c>
      <c r="U89" s="2">
        <f>U12/'Output-Calculation-sheet'!U11*'Output-Calculation-sheet'!U74</f>
        <v>7.3693692136855526</v>
      </c>
      <c r="V89" s="2">
        <f>V12/'Output-Calculation-sheet'!V11*'Output-Calculation-sheet'!V74</f>
        <v>1.0147191864510952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1.825413136806983</v>
      </c>
      <c r="AA89" s="2">
        <f t="shared" si="7"/>
        <v>0.33183203739308298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2020.4028639372843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621.94266423407066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427.95708015647079</v>
      </c>
      <c r="N107" s="2">
        <f>N8/'Output-Calculation-sheet'!N7*'Output-Calculation-sheet'!N88</f>
        <v>168.2449623525977</v>
      </c>
      <c r="O107" s="2">
        <f>O8/'Output-Calculation-sheet'!O7*'Output-Calculation-sheet'!O88</f>
        <v>471.00977768137739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46.947781772018466</v>
      </c>
      <c r="Y107" s="2">
        <f>Y8/'Output-Calculation-sheet'!Y7*'Output-Calculation-sheet'!Y88</f>
        <v>0</v>
      </c>
      <c r="AA107" s="2">
        <f t="shared" si="9"/>
        <v>3.7565051301338195</v>
      </c>
    </row>
    <row r="108" spans="1:27" x14ac:dyDescent="0.25">
      <c r="A108" s="2">
        <v>2032</v>
      </c>
      <c r="B108" s="2">
        <f>B9/'Output-Calculation-sheet'!B8*'Output-Calculation-sheet'!B89</f>
        <v>910.58643622210946</v>
      </c>
      <c r="C108" s="2">
        <f>C9/'Output-Calculation-sheet'!C8*'Output-Calculation-sheet'!C89</f>
        <v>3457.4831881682635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931.28048914359943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640.81160830379952</v>
      </c>
      <c r="N108" s="2">
        <f>N9/'Output-Calculation-sheet'!N8*'Output-Calculation-sheet'!N89</f>
        <v>449.86706241480266</v>
      </c>
      <c r="O108" s="2">
        <f>O9/'Output-Calculation-sheet'!O8*'Output-Calculation-sheet'!O89</f>
        <v>671.6929318338432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206.30346428126239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70.298366211451196</v>
      </c>
      <c r="Y108" s="2">
        <f>Y9/'Output-Calculation-sheet'!Y8*'Output-Calculation-sheet'!Y89</f>
        <v>0</v>
      </c>
      <c r="AA108" s="2">
        <f t="shared" si="9"/>
        <v>7.3383235465791312</v>
      </c>
    </row>
    <row r="109" spans="1:27" x14ac:dyDescent="0.25">
      <c r="A109" s="2">
        <v>2033</v>
      </c>
      <c r="B109" s="2">
        <f>B10/'Output-Calculation-sheet'!B9*'Output-Calculation-sheet'!B90</f>
        <v>4515.1569954340321</v>
      </c>
      <c r="C109" s="2">
        <f>C10/'Output-Calculation-sheet'!C9*'Output-Calculation-sheet'!C90</f>
        <v>4285.9960303223907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1319.3625081290238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907.84980532275233</v>
      </c>
      <c r="N109" s="2">
        <f>N10/'Output-Calculation-sheet'!N9*'Output-Calculation-sheet'!N90</f>
        <v>713.81530251815911</v>
      </c>
      <c r="O109" s="2">
        <f>O10/'Output-Calculation-sheet'!O9*'Output-Calculation-sheet'!O90</f>
        <v>832.64996032002557</v>
      </c>
      <c r="P109" s="2">
        <f>P10/'Output-Calculation-sheet'!P9*'Output-Calculation-sheet'!P90</f>
        <v>0</v>
      </c>
      <c r="Q109" s="2">
        <f>Q10/'Output-Calculation-sheet'!Q9*'Output-Calculation-sheet'!Q90</f>
        <v>156.35287362708158</v>
      </c>
      <c r="R109" s="2">
        <f>R10/'Output-Calculation-sheet'!R9*'Output-Calculation-sheet'!R90</f>
        <v>0</v>
      </c>
      <c r="S109" s="2">
        <f>S10/'Output-Calculation-sheet'!S9*'Output-Calculation-sheet'!S90</f>
        <v>358.035626830502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99.593011819032469</v>
      </c>
      <c r="Y109" s="2">
        <f>Y10/'Output-Calculation-sheet'!Y9*'Output-Calculation-sheet'!Y90</f>
        <v>0</v>
      </c>
      <c r="AA109" s="2">
        <f t="shared" si="9"/>
        <v>13.188812114322999</v>
      </c>
    </row>
    <row r="110" spans="1:27" x14ac:dyDescent="0.25">
      <c r="A110" s="2">
        <v>2034</v>
      </c>
      <c r="B110" s="2">
        <f>B11/'Output-Calculation-sheet'!B10*'Output-Calculation-sheet'!B91</f>
        <v>7551.0904859913635</v>
      </c>
      <c r="C110" s="2">
        <f>C11/'Output-Calculation-sheet'!C10*'Output-Calculation-sheet'!C91</f>
        <v>5176.776681098796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1470.9899261209171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1012.1842252091711</v>
      </c>
      <c r="N110" s="2">
        <f>N11/'Output-Calculation-sheet'!N10*'Output-Calculation-sheet'!N91</f>
        <v>911.91186392911402</v>
      </c>
      <c r="O110" s="2">
        <f>O11/'Output-Calculation-sheet'!O10*'Output-Calculation-sheet'!O91</f>
        <v>1005.7038941723694</v>
      </c>
      <c r="P110" s="2">
        <f>P11/'Output-Calculation-sheet'!P10*'Output-Calculation-sheet'!P91</f>
        <v>229.75810473500465</v>
      </c>
      <c r="Q110" s="2">
        <f>Q11/'Output-Calculation-sheet'!Q10*'Output-Calculation-sheet'!Q91</f>
        <v>508.43826224755043</v>
      </c>
      <c r="R110" s="2">
        <f>R11/'Output-Calculation-sheet'!R10*'Output-Calculation-sheet'!R91</f>
        <v>0</v>
      </c>
      <c r="S110" s="2">
        <f>S11/'Output-Calculation-sheet'!S10*'Output-Calculation-sheet'!S91</f>
        <v>522.73936115124059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111.03871467864357</v>
      </c>
      <c r="Y110" s="2">
        <f>Y11/'Output-Calculation-sheet'!Y10*'Output-Calculation-sheet'!Y91</f>
        <v>17.85908060621831</v>
      </c>
      <c r="AA110" s="2">
        <f t="shared" si="9"/>
        <v>18.518490599940389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2206.3776505697892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311.12859235155685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803.6762259365214</v>
      </c>
      <c r="Q111" s="2">
        <f>Q12/'Output-Calculation-sheet'!Q11*'Output-Calculation-sheet'!Q92</f>
        <v>762.20487417679624</v>
      </c>
      <c r="R111" s="2">
        <f>R12/'Output-Calculation-sheet'!R11*'Output-Calculation-sheet'!R92</f>
        <v>0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85.895829270861924</v>
      </c>
      <c r="AA111" s="2">
        <f t="shared" si="9"/>
        <v>25.959500914625831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9497877128.7716484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2922301803.4929843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2029790426.9906569</v>
      </c>
      <c r="N118" s="2">
        <f>N8/'Output-Calculation-sheet'!N7*'Output-Calculation-sheet'!N97</f>
        <v>1592806741.0849531</v>
      </c>
      <c r="O118" s="2">
        <f>O8/'Output-Calculation-sheet'!O7*'Output-Calculation-sheet'!O97</f>
        <v>1059871910.9480618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218772882.84660622</v>
      </c>
      <c r="Y118" s="2">
        <f>Y8/'Output-Calculation-sheet'!Y7*'Output-Calculation-sheet'!Y97</f>
        <v>0</v>
      </c>
      <c r="AA118" s="2">
        <f t="shared" si="10"/>
        <v>19517.845658263173</v>
      </c>
    </row>
    <row r="119" spans="1:27" x14ac:dyDescent="0.25">
      <c r="A119" s="2">
        <v>2032</v>
      </c>
      <c r="B119" s="2">
        <f>B9/'Output-Calculation-sheet'!B8*'Output-Calculation-sheet'!B98</f>
        <v>6831266747.7297573</v>
      </c>
      <c r="C119" s="2">
        <f>C9/'Output-Calculation-sheet'!C8*'Output-Calculation-sheet'!C98</f>
        <v>5429628792.3007498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3245844240.9435806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2265611435.6195927</v>
      </c>
      <c r="N119" s="2">
        <f>N9/'Output-Calculation-sheet'!N8*'Output-Calculation-sheet'!N98</f>
        <v>1532200475.1497619</v>
      </c>
      <c r="O119" s="2">
        <f>O9/'Output-Calculation-sheet'!O8*'Output-Calculation-sheet'!O98</f>
        <v>1060849135.9978164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635847907.26127887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242428545.92100671</v>
      </c>
      <c r="Y119" s="2">
        <f>Y9/'Output-Calculation-sheet'!Y8*'Output-Calculation-sheet'!Y98</f>
        <v>0</v>
      </c>
      <c r="AA119" s="2">
        <f t="shared" si="10"/>
        <v>21243.677280923544</v>
      </c>
    </row>
    <row r="120" spans="1:27" x14ac:dyDescent="0.25">
      <c r="A120" s="2">
        <v>2033</v>
      </c>
      <c r="B120" s="2">
        <f>B10/'Output-Calculation-sheet'!B9*'Output-Calculation-sheet'!B99</f>
        <v>6495654967.9418955</v>
      </c>
      <c r="C120" s="2">
        <f>C10/'Output-Calculation-sheet'!C9*'Output-Calculation-sheet'!C99</f>
        <v>5339831724.6523104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1750804329.0340312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1239233848.6770961</v>
      </c>
      <c r="N120" s="2">
        <f>N10/'Output-Calculation-sheet'!N9*'Output-Calculation-sheet'!N99</f>
        <v>1235384848.0259812</v>
      </c>
      <c r="O120" s="2">
        <f>O10/'Output-Calculation-sheet'!O9*'Output-Calculation-sheet'!O99</f>
        <v>1045424033.5439031</v>
      </c>
      <c r="P120" s="2">
        <f>P10/'Output-Calculation-sheet'!P9*'Output-Calculation-sheet'!P99</f>
        <v>0</v>
      </c>
      <c r="Q120" s="2">
        <f>Q10/'Output-Calculation-sheet'!Q9*'Output-Calculation-sheet'!Q99</f>
        <v>7849960.2334526563</v>
      </c>
      <c r="R120" s="2">
        <f>R10/'Output-Calculation-sheet'!R9*'Output-Calculation-sheet'!R99</f>
        <v>0</v>
      </c>
      <c r="S120" s="2">
        <f>S10/'Output-Calculation-sheet'!S9*'Output-Calculation-sheet'!S99</f>
        <v>517371112.52627027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123742997.90109518</v>
      </c>
      <c r="Y120" s="2">
        <f>Y10/'Output-Calculation-sheet'!Y9*'Output-Calculation-sheet'!Y99</f>
        <v>0</v>
      </c>
      <c r="AA120" s="2">
        <f t="shared" si="10"/>
        <v>17755.297822536038</v>
      </c>
    </row>
    <row r="121" spans="1:27" x14ac:dyDescent="0.25">
      <c r="A121" s="2">
        <v>2034</v>
      </c>
      <c r="B121" s="2">
        <f>B11/'Output-Calculation-sheet'!B10*'Output-Calculation-sheet'!B100</f>
        <v>5608211248.2974863</v>
      </c>
      <c r="C121" s="2">
        <f>C11/'Output-Calculation-sheet'!C10*'Output-Calculation-sheet'!C100</f>
        <v>679602174.52167547</v>
      </c>
      <c r="D121" s="2">
        <f>D11/'Output-Calculation-sheet'!D10*'Output-Calculation-sheet'!D100</f>
        <v>0</v>
      </c>
      <c r="E121" s="2">
        <f>E11/'Output-Calculation-sheet'!E10*'Output-Calculation-sheet'!E100</f>
        <v>785076091.37549496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1789456061.1652167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651902774.97049701</v>
      </c>
      <c r="M121" s="2">
        <f>M11/'Output-Calculation-sheet'!M10*'Output-Calculation-sheet'!M100</f>
        <v>1273549033.6827176</v>
      </c>
      <c r="N121" s="2">
        <f>N11/'Output-Calculation-sheet'!N10*'Output-Calculation-sheet'!N100</f>
        <v>849046684.10812211</v>
      </c>
      <c r="O121" s="2">
        <f>O11/'Output-Calculation-sheet'!O10*'Output-Calculation-sheet'!O100</f>
        <v>133306201.87742682</v>
      </c>
      <c r="P121" s="2">
        <f>P11/'Output-Calculation-sheet'!P10*'Output-Calculation-sheet'!P100</f>
        <v>0</v>
      </c>
      <c r="Q121" s="2">
        <f>Q11/'Output-Calculation-sheet'!Q10*'Output-Calculation-sheet'!Q100</f>
        <v>286261117.93643719</v>
      </c>
      <c r="R121" s="2">
        <f>R11/'Output-Calculation-sheet'!R10*'Output-Calculation-sheet'!R100</f>
        <v>0</v>
      </c>
      <c r="S121" s="2">
        <f>S11/'Output-Calculation-sheet'!S10*'Output-Calculation-sheet'!S100</f>
        <v>317452269.75513226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125135103.5414512</v>
      </c>
      <c r="Y121" s="2">
        <f>Y11/'Output-Calculation-sheet'!Y10*'Output-Calculation-sheet'!Y100</f>
        <v>18165665.355560254</v>
      </c>
      <c r="AA121" s="2">
        <f t="shared" si="10"/>
        <v>12517.164426587216</v>
      </c>
    </row>
    <row r="122" spans="1:27" x14ac:dyDescent="0.25">
      <c r="A122" s="2">
        <v>2035</v>
      </c>
      <c r="B122" s="2">
        <f>B12/'Output-Calculation-sheet'!B11*'Output-Calculation-sheet'!B101</f>
        <v>1331848044.0379529</v>
      </c>
      <c r="C122" s="2">
        <f>C12/'Output-Calculation-sheet'!C11*'Output-Calculation-sheet'!C101</f>
        <v>276397821.46633196</v>
      </c>
      <c r="D122" s="2">
        <f>D12/'Output-Calculation-sheet'!D11*'Output-Calculation-sheet'!D101</f>
        <v>0</v>
      </c>
      <c r="E122" s="2">
        <f>E12/'Output-Calculation-sheet'!E11*'Output-Calculation-sheet'!E101</f>
        <v>2284180957.8172698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479079289.39669681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1214395505.4141688</v>
      </c>
      <c r="M122" s="2">
        <f>M12/'Output-Calculation-sheet'!M11*'Output-Calculation-sheet'!M101</f>
        <v>426954015.10410869</v>
      </c>
      <c r="N122" s="2">
        <f>N12/'Output-Calculation-sheet'!N11*'Output-Calculation-sheet'!N101</f>
        <v>355483846.648682</v>
      </c>
      <c r="O122" s="2">
        <f>O12/'Output-Calculation-sheet'!O11*'Output-Calculation-sheet'!O101</f>
        <v>47230811.533412352</v>
      </c>
      <c r="P122" s="2">
        <f>P12/'Output-Calculation-sheet'!P11*'Output-Calculation-sheet'!P101</f>
        <v>58133328.353081875</v>
      </c>
      <c r="Q122" s="2">
        <f>Q12/'Output-Calculation-sheet'!Q11*'Output-Calculation-sheet'!Q101</f>
        <v>540669120.11055541</v>
      </c>
      <c r="R122" s="2">
        <f>R12/'Output-Calculation-sheet'!R11*'Output-Calculation-sheet'!R101</f>
        <v>0</v>
      </c>
      <c r="S122" s="2">
        <f>S12/'Output-Calculation-sheet'!S11*'Output-Calculation-sheet'!S101</f>
        <v>159615072.2285161</v>
      </c>
      <c r="T122" s="2">
        <f>T12/'Output-Calculation-sheet'!T11*'Output-Calculation-sheet'!T101</f>
        <v>0</v>
      </c>
      <c r="U122" s="2">
        <f>U12/'Output-Calculation-sheet'!U11*'Output-Calculation-sheet'!U101</f>
        <v>67395250.184973061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13976597.12556674</v>
      </c>
      <c r="Y122" s="2">
        <f>Y12/'Output-Calculation-sheet'!Y11*'Output-Calculation-sheet'!Y101</f>
        <v>68633394.154098868</v>
      </c>
      <c r="AA122" s="2">
        <f t="shared" si="10"/>
        <v>7323.9930535754129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2643127266.0595541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173737.5975030296</v>
      </c>
    </row>
    <row r="130" spans="1:27" x14ac:dyDescent="0.25">
      <c r="A130" s="2">
        <v>2032</v>
      </c>
      <c r="B130" s="2">
        <f>B9/'Output-Calculation-sheet'!B8*'Output-Calculation-sheet'!B107</f>
        <v>61819050910.438126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2246812551.0668612</v>
      </c>
      <c r="O130" s="2">
        <f>O9/'Output-Calculation-sheet'!O8*'Output-Calculation-sheet'!O107</f>
        <v>0</v>
      </c>
      <c r="P130" s="2">
        <f>P9/'Output-Calculation-sheet'!P8*'Output-Calculation-sheet'!P107</f>
        <v>6862475330.1742458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1997456933.8288815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217708.10370193777</v>
      </c>
    </row>
    <row r="131" spans="1:27" x14ac:dyDescent="0.25">
      <c r="A131" s="2">
        <v>2033</v>
      </c>
      <c r="B131" s="2">
        <f>B10/'Output-Calculation-sheet'!B9*'Output-Calculation-sheet'!B108</f>
        <v>48455609383.752342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1775544878.7583144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6888496424.257143</v>
      </c>
      <c r="R131" s="2">
        <f>R10/'Output-Calculation-sheet'!R9*'Output-Calculation-sheet'!R108</f>
        <v>7729404103.4823341</v>
      </c>
      <c r="S131" s="2">
        <f>S10/'Output-Calculation-sheet'!S9*'Output-Calculation-sheet'!S108</f>
        <v>1722183913.7480628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231270.77000679748</v>
      </c>
    </row>
    <row r="132" spans="1:27" x14ac:dyDescent="0.25">
      <c r="A132" s="2">
        <v>2034</v>
      </c>
      <c r="B132" s="2">
        <f>B11/'Output-Calculation-sheet'!B10*'Output-Calculation-sheet'!B109</f>
        <v>32988654944.981903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31768211836.012749</v>
      </c>
      <c r="F132" s="2">
        <f>F11/'Output-Calculation-sheet'!F10*'Output-Calculation-sheet'!F109</f>
        <v>20952394408.739548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13054488387.517649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9720183374.6398354</v>
      </c>
      <c r="M132" s="2">
        <f>M11/'Output-Calculation-sheet'!M10*'Output-Calculation-sheet'!M109</f>
        <v>0</v>
      </c>
      <c r="N132" s="2">
        <f>N11/'Output-Calculation-sheet'!N10*'Output-Calculation-sheet'!N109</f>
        <v>1277977187.4601769</v>
      </c>
      <c r="O132" s="2">
        <f>O11/'Output-Calculation-sheet'!O10*'Output-Calculation-sheet'!O109</f>
        <v>0</v>
      </c>
      <c r="P132" s="2">
        <f>P11/'Output-Calculation-sheet'!P10*'Output-Calculation-sheet'!P109</f>
        <v>7262692481.0028687</v>
      </c>
      <c r="Q132" s="2">
        <f>Q11/'Output-Calculation-sheet'!Q10*'Output-Calculation-sheet'!Q109</f>
        <v>4678057440.6111813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877088759.78306079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914225818.86570382</v>
      </c>
      <c r="AA132" s="2">
        <f t="shared" si="11"/>
        <v>223575.57814282176</v>
      </c>
    </row>
    <row r="133" spans="1:27" x14ac:dyDescent="0.25">
      <c r="A133" s="2">
        <v>2035</v>
      </c>
      <c r="B133" s="2">
        <f>B12/'Output-Calculation-sheet'!B11*'Output-Calculation-sheet'!B110</f>
        <v>445677254.92203599</v>
      </c>
      <c r="C133" s="2">
        <f>C12/'Output-Calculation-sheet'!C11*'Output-Calculation-sheet'!C110</f>
        <v>0</v>
      </c>
      <c r="D133" s="2">
        <f>D12/'Output-Calculation-sheet'!D11*'Output-Calculation-sheet'!D110</f>
        <v>38226628152.889191</v>
      </c>
      <c r="E133" s="2">
        <f>E12/'Output-Calculation-sheet'!E11*'Output-Calculation-sheet'!E110</f>
        <v>16374260820.289129</v>
      </c>
      <c r="F133" s="2">
        <f>F12/'Output-Calculation-sheet'!F11*'Output-Calculation-sheet'!F110</f>
        <v>20096837388.727055</v>
      </c>
      <c r="G133" s="2">
        <f>G12/'Output-Calculation-sheet'!G11*'Output-Calculation-sheet'!G110</f>
        <v>13931203194.07934</v>
      </c>
      <c r="H133" s="2">
        <f>H12/'Output-Calculation-sheet'!H11*'Output-Calculation-sheet'!H110</f>
        <v>0</v>
      </c>
      <c r="I133" s="2">
        <f>I12/'Output-Calculation-sheet'!I11*'Output-Calculation-sheet'!I110</f>
        <v>12650801674.774687</v>
      </c>
      <c r="J133" s="2">
        <f>J12/'Output-Calculation-sheet'!J11*'Output-Calculation-sheet'!J110</f>
        <v>12248862711.842916</v>
      </c>
      <c r="K133" s="2">
        <f>K12/'Output-Calculation-sheet'!K11*'Output-Calculation-sheet'!K110</f>
        <v>12311084433.436527</v>
      </c>
      <c r="L133" s="2">
        <f>L12/'Output-Calculation-sheet'!L11*'Output-Calculation-sheet'!L110</f>
        <v>7166484478.1796236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2716576115.5129395</v>
      </c>
      <c r="Q133" s="2">
        <f>Q12/'Output-Calculation-sheet'!Q11*'Output-Calculation-sheet'!Q110</f>
        <v>2285475439.7043734</v>
      </c>
      <c r="R133" s="2">
        <f>R12/'Output-Calculation-sheet'!R11*'Output-Calculation-sheet'!R110</f>
        <v>8036659555.1338425</v>
      </c>
      <c r="S133" s="2">
        <f>S12/'Output-Calculation-sheet'!S11*'Output-Calculation-sheet'!S110</f>
        <v>5406570.0990927918</v>
      </c>
      <c r="T133" s="2">
        <f>T12/'Output-Calculation-sheet'!T11*'Output-Calculation-sheet'!T110</f>
        <v>2996664469.7874608</v>
      </c>
      <c r="U133" s="2">
        <f>U12/'Output-Calculation-sheet'!U11*'Output-Calculation-sheet'!U110</f>
        <v>2427919750.510056</v>
      </c>
      <c r="V133" s="2">
        <f>V12/'Output-Calculation-sheet'!V11*'Output-Calculation-sheet'!V110</f>
        <v>2018510253.1517866</v>
      </c>
      <c r="W133" s="2">
        <f>W12/'Output-Calculation-sheet'!W11*'Output-Calculation-sheet'!W110</f>
        <v>1760728956.1697121</v>
      </c>
      <c r="X133" s="2">
        <f>X12/'Output-Calculation-sheet'!X11*'Output-Calculation-sheet'!X110</f>
        <v>0</v>
      </c>
      <c r="Y133" s="2">
        <f>Y12/'Output-Calculation-sheet'!Y11*'Output-Calculation-sheet'!Y110</f>
        <v>403874481.93168181</v>
      </c>
      <c r="AA133" s="2">
        <f t="shared" si="11"/>
        <v>156103.65570114148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17191445287.453308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5404557363.6612272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3715012044.5759549</v>
      </c>
      <c r="N140" s="2">
        <f>N8/'Output-Calculation-sheet'!N7*'Output-Calculation-sheet'!N115</f>
        <v>1402564296.1546309</v>
      </c>
      <c r="O140" s="2">
        <f>O8/'Output-Calculation-sheet'!O7*'Output-Calculation-sheet'!O115</f>
        <v>4125863161.6875563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403405704.6154716</v>
      </c>
      <c r="Y140" s="2">
        <f>Y8/'Output-Calculation-sheet'!Y7*'Output-Calculation-sheet'!Y115</f>
        <v>0</v>
      </c>
      <c r="AA140" s="2">
        <f t="shared" si="12"/>
        <v>32242.84785814815</v>
      </c>
    </row>
    <row r="141" spans="1:27" x14ac:dyDescent="0.25">
      <c r="A141" s="2">
        <v>2032</v>
      </c>
      <c r="B141" s="2">
        <f>B9/'Output-Calculation-sheet'!B8*'Output-Calculation-sheet'!B116</f>
        <v>7067343968.0889568</v>
      </c>
      <c r="C141" s="2">
        <f>C9/'Output-Calculation-sheet'!C8*'Output-Calculation-sheet'!C116</f>
        <v>30252411003.936584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7886672359.5203152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5414848579.0486155</v>
      </c>
      <c r="N141" s="2">
        <f>N9/'Output-Calculation-sheet'!N8*'Output-Calculation-sheet'!N116</f>
        <v>3759324039.1992478</v>
      </c>
      <c r="O141" s="2">
        <f>O9/'Output-Calculation-sheet'!O8*'Output-Calculation-sheet'!O116</f>
        <v>5872170777.1394253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1683838828.2170267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589387240.95894647</v>
      </c>
      <c r="Y141" s="2">
        <f>Y9/'Output-Calculation-sheet'!Y8*'Output-Calculation-sheet'!Y116</f>
        <v>0</v>
      </c>
      <c r="AA141" s="2">
        <f t="shared" si="12"/>
        <v>62525.996796109124</v>
      </c>
    </row>
    <row r="142" spans="1:27" x14ac:dyDescent="0.25">
      <c r="A142" s="2">
        <v>2033</v>
      </c>
      <c r="B142" s="2">
        <f>B10/'Output-Calculation-sheet'!B9*'Output-Calculation-sheet'!B117</f>
        <v>35156067857.695061</v>
      </c>
      <c r="C142" s="2">
        <f>C10/'Output-Calculation-sheet'!C9*'Output-Calculation-sheet'!C117</f>
        <v>37123355000.867378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11497377248.696243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7900849434.0715036</v>
      </c>
      <c r="N142" s="2">
        <f>N10/'Output-Calculation-sheet'!N9*'Output-Calculation-sheet'!N117</f>
        <v>5960020567.8236532</v>
      </c>
      <c r="O142" s="2">
        <f>O10/'Output-Calculation-sheet'!O9*'Output-Calculation-sheet'!O117</f>
        <v>7205172064.3644466</v>
      </c>
      <c r="P142" s="2">
        <f>P10/'Output-Calculation-sheet'!P9*'Output-Calculation-sheet'!P117</f>
        <v>0</v>
      </c>
      <c r="Q142" s="2">
        <f>Q10/'Output-Calculation-sheet'!Q9*'Output-Calculation-sheet'!Q117</f>
        <v>1138300699.2035627</v>
      </c>
      <c r="R142" s="2">
        <f>R10/'Output-Calculation-sheet'!R9*'Output-Calculation-sheet'!R117</f>
        <v>0</v>
      </c>
      <c r="S142" s="2">
        <f>S10/'Output-Calculation-sheet'!S9*'Output-Calculation-sheet'!S117</f>
        <v>2898034688.3508883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866154215.39458346</v>
      </c>
      <c r="Y142" s="2">
        <f>Y10/'Output-Calculation-sheet'!Y9*'Output-Calculation-sheet'!Y117</f>
        <v>0</v>
      </c>
      <c r="AA142" s="2">
        <f t="shared" si="12"/>
        <v>109745.33177646731</v>
      </c>
    </row>
    <row r="143" spans="1:27" x14ac:dyDescent="0.25">
      <c r="A143" s="2">
        <v>2034</v>
      </c>
      <c r="B143" s="2">
        <f>B11/'Output-Calculation-sheet'!B10*'Output-Calculation-sheet'!B118</f>
        <v>59074981204.168587</v>
      </c>
      <c r="C143" s="2">
        <f>C11/'Output-Calculation-sheet'!C10*'Output-Calculation-sheet'!C118</f>
        <v>45348563726.425453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12570847479.485188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8633797797.6625023</v>
      </c>
      <c r="N143" s="2">
        <f>N11/'Output-Calculation-sheet'!N10*'Output-Calculation-sheet'!N118</f>
        <v>7597049454.1279917</v>
      </c>
      <c r="O143" s="2">
        <f>O11/'Output-Calculation-sheet'!O10*'Output-Calculation-sheet'!O118</f>
        <v>8809966112.9499569</v>
      </c>
      <c r="P143" s="2">
        <f>P11/'Output-Calculation-sheet'!P10*'Output-Calculation-sheet'!P118</f>
        <v>1589033907.1907029</v>
      </c>
      <c r="Q143" s="2">
        <f>Q11/'Output-Calculation-sheet'!Q10*'Output-Calculation-sheet'!Q118</f>
        <v>3744789296.3313856</v>
      </c>
      <c r="R143" s="2">
        <f>R11/'Output-Calculation-sheet'!R10*'Output-Calculation-sheet'!R118</f>
        <v>0</v>
      </c>
      <c r="S143" s="2">
        <f>S11/'Output-Calculation-sheet'!S10*'Output-Calculation-sheet'!S118</f>
        <v>4374373080.3080654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947859635.90518224</v>
      </c>
      <c r="Y143" s="2">
        <f>Y11/'Output-Calculation-sheet'!Y10*'Output-Calculation-sheet'!Y118</f>
        <v>111075154.86426537</v>
      </c>
      <c r="AA143" s="2">
        <f t="shared" si="12"/>
        <v>152802.33684941928</v>
      </c>
    </row>
    <row r="144" spans="1:27" x14ac:dyDescent="0.25">
      <c r="A144" s="2">
        <v>2035</v>
      </c>
      <c r="B144" s="2">
        <f>B12/'Output-Calculation-sheet'!B11*'Output-Calculation-sheet'!B119</f>
        <v>95493203178.97438</v>
      </c>
      <c r="C144" s="2">
        <f>C12/'Output-Calculation-sheet'!C11*'Output-Calculation-sheet'!C119</f>
        <v>45683273026.611366</v>
      </c>
      <c r="D144" s="2">
        <f>D12/'Output-Calculation-sheet'!D11*'Output-Calculation-sheet'!D119</f>
        <v>0</v>
      </c>
      <c r="E144" s="2">
        <f>E12/'Output-Calculation-sheet'!E11*'Output-Calculation-sheet'!E119</f>
        <v>13607682929.097832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13812149901.927086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1753910667.3915811</v>
      </c>
      <c r="M144" s="2">
        <f>M12/'Output-Calculation-sheet'!M11*'Output-Calculation-sheet'!M119</f>
        <v>9426993061.5578918</v>
      </c>
      <c r="N144" s="2">
        <f>N12/'Output-Calculation-sheet'!N11*'Output-Calculation-sheet'!N119</f>
        <v>9313479764.1680603</v>
      </c>
      <c r="O144" s="2">
        <f>O12/'Output-Calculation-sheet'!O11*'Output-Calculation-sheet'!O119</f>
        <v>8879120205.3261147</v>
      </c>
      <c r="P144" s="2">
        <f>P12/'Output-Calculation-sheet'!P11*'Output-Calculation-sheet'!P119</f>
        <v>6026901094.5561647</v>
      </c>
      <c r="Q144" s="2">
        <f>Q12/'Output-Calculation-sheet'!Q11*'Output-Calculation-sheet'!Q119</f>
        <v>5707738204.3909397</v>
      </c>
      <c r="R144" s="2">
        <f>R12/'Output-Calculation-sheet'!R11*'Output-Calculation-sheet'!R119</f>
        <v>0</v>
      </c>
      <c r="S144" s="2">
        <f>S12/'Output-Calculation-sheet'!S11*'Output-Calculation-sheet'!S119</f>
        <v>5369690807.4979506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1056953156.5967375</v>
      </c>
      <c r="Y144" s="2">
        <f>Y12/'Output-Calculation-sheet'!Y11*'Output-Calculation-sheet'!Y119</f>
        <v>564394620.00098634</v>
      </c>
      <c r="AA144" s="2">
        <f t="shared" si="12"/>
        <v>216695.49061809707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5185735072.6356182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225498.29071948901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4159811773.4166489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180886.69812410921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493336575.01108223</v>
      </c>
      <c r="C155" s="2">
        <f>C12/'Output-Calculation-sheet'!C11*'Output-Calculation-sheet'!C128</f>
        <v>53151226.849729285</v>
      </c>
      <c r="D155" s="2">
        <f>D12/'Output-Calculation-sheet'!D11*'Output-Calculation-sheet'!D128</f>
        <v>3544489374.2973986</v>
      </c>
      <c r="E155" s="2">
        <f>E12/'Output-Calculation-sheet'!E11*'Output-Calculation-sheet'!E128</f>
        <v>575316633.76312613</v>
      </c>
      <c r="F155" s="2">
        <f>F12/'Output-Calculation-sheet'!F11*'Output-Calculation-sheet'!F128</f>
        <v>1294734003.0925407</v>
      </c>
      <c r="G155" s="2">
        <f>G12/'Output-Calculation-sheet'!G11*'Output-Calculation-sheet'!G128</f>
        <v>1184816666.1707425</v>
      </c>
      <c r="H155" s="2">
        <f>H12/'Output-Calculation-sheet'!H11*'Output-Calculation-sheet'!H128</f>
        <v>91611281.148206249</v>
      </c>
      <c r="I155" s="2">
        <f>I12/'Output-Calculation-sheet'!I11*'Output-Calculation-sheet'!I128</f>
        <v>1087179197.9621773</v>
      </c>
      <c r="J155" s="2">
        <f>J12/'Output-Calculation-sheet'!J11*'Output-Calculation-sheet'!J128</f>
        <v>985783750.01740515</v>
      </c>
      <c r="K155" s="2">
        <f>K12/'Output-Calculation-sheet'!K11*'Output-Calculation-sheet'!K128</f>
        <v>853672494.73585129</v>
      </c>
      <c r="L155" s="2">
        <f>L12/'Output-Calculation-sheet'!L11*'Output-Calculation-sheet'!L128</f>
        <v>321588574.00117338</v>
      </c>
      <c r="M155" s="2">
        <f>M12/'Output-Calculation-sheet'!M11*'Output-Calculation-sheet'!M128</f>
        <v>75561246.605404019</v>
      </c>
      <c r="N155" s="2">
        <f>N12/'Output-Calculation-sheet'!N11*'Output-Calculation-sheet'!N128</f>
        <v>66776608.18779844</v>
      </c>
      <c r="O155" s="2">
        <f>O12/'Output-Calculation-sheet'!O11*'Output-Calculation-sheet'!O128</f>
        <v>13751781.336597191</v>
      </c>
      <c r="P155" s="2">
        <f>P12/'Output-Calculation-sheet'!P11*'Output-Calculation-sheet'!P128</f>
        <v>87607144.995124057</v>
      </c>
      <c r="Q155" s="2">
        <f>Q12/'Output-Calculation-sheet'!Q11*'Output-Calculation-sheet'!Q128</f>
        <v>222082083.38243917</v>
      </c>
      <c r="R155" s="2">
        <f>R12/'Output-Calculation-sheet'!R11*'Output-Calculation-sheet'!R128</f>
        <v>493545342.4517675</v>
      </c>
      <c r="S155" s="2">
        <f>S12/'Output-Calculation-sheet'!S11*'Output-Calculation-sheet'!S128</f>
        <v>42628133.772381522</v>
      </c>
      <c r="T155" s="2">
        <f>T12/'Output-Calculation-sheet'!T11*'Output-Calculation-sheet'!T128</f>
        <v>126380937.15857942</v>
      </c>
      <c r="U155" s="2">
        <f>U12/'Output-Calculation-sheet'!U11*'Output-Calculation-sheet'!U128</f>
        <v>259044671.4258011</v>
      </c>
      <c r="V155" s="2">
        <f>V12/'Output-Calculation-sheet'!V11*'Output-Calculation-sheet'!V128</f>
        <v>56896603.624871559</v>
      </c>
      <c r="W155" s="2">
        <f>W12/'Output-Calculation-sheet'!W11*'Output-Calculation-sheet'!W128</f>
        <v>69234859.900999457</v>
      </c>
      <c r="X155" s="2">
        <f>X12/'Output-Calculation-sheet'!X11*'Output-Calculation-sheet'!X128</f>
        <v>2365232.4511414981</v>
      </c>
      <c r="Y155" s="2">
        <f>Y12/'Output-Calculation-sheet'!Y11*'Output-Calculation-sheet'!Y128</f>
        <v>13934534.568234347</v>
      </c>
      <c r="AA155" s="2">
        <f t="shared" si="13"/>
        <v>12015.488956910569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5967.2304049795148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1807.5458439012284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1255.5931079091292</v>
      </c>
      <c r="N19" s="2">
        <f>N8/'Output-Calculation-sheet'!N7*'Output-Calculation-sheet'!N25</f>
        <v>1044.5050913058526</v>
      </c>
      <c r="O19" s="2">
        <f>O8/'Output-Calculation-sheet'!O7*'Output-Calculation-sheet'!O25</f>
        <v>655.5398465753899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135.89010138555898</v>
      </c>
      <c r="Y19" s="2">
        <f>Y8/'Output-Calculation-sheet'!Y7*'Output-Calculation-sheet'!Y25</f>
        <v>0</v>
      </c>
      <c r="AA19" s="2">
        <f t="shared" si="0"/>
        <v>12.617641375746746</v>
      </c>
    </row>
    <row r="20" spans="1:27" x14ac:dyDescent="0.25">
      <c r="A20" s="2">
        <v>2032</v>
      </c>
      <c r="B20" s="2">
        <f>B9/'Output-Calculation-sheet'!B8*'Output-Calculation-sheet'!B26</f>
        <v>6237.4818075637177</v>
      </c>
      <c r="C20" s="2">
        <f>C9/'Output-Calculation-sheet'!C8*'Output-Calculation-sheet'!C26</f>
        <v>3420.4827436284359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2053.3326802306265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1434.883047877523</v>
      </c>
      <c r="N20" s="2">
        <f>N9/'Output-Calculation-sheet'!N8*'Output-Calculation-sheet'!N26</f>
        <v>994.41305252722179</v>
      </c>
      <c r="O20" s="2">
        <f>O9/'Output-Calculation-sheet'!O8*'Output-Calculation-sheet'!O26</f>
        <v>668.2989393541028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471.70302474090039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156.13623197624611</v>
      </c>
      <c r="Y20" s="2">
        <f>Y9/'Output-Calculation-sheet'!Y8*'Output-Calculation-sheet'!Y26</f>
        <v>0</v>
      </c>
      <c r="AA20" s="2">
        <f t="shared" si="0"/>
        <v>15.436731527898775</v>
      </c>
    </row>
    <row r="21" spans="1:27" x14ac:dyDescent="0.25">
      <c r="A21" s="2">
        <v>2033</v>
      </c>
      <c r="B21" s="2">
        <f>B10/'Output-Calculation-sheet'!B9*'Output-Calculation-sheet'!B27</f>
        <v>5637.45519786775</v>
      </c>
      <c r="C21" s="2">
        <f>C10/'Output-Calculation-sheet'!C9*'Output-Calculation-sheet'!C27</f>
        <v>3465.0185428869863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1136.09916578601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804.14036159544787</v>
      </c>
      <c r="N21" s="2">
        <f>N10/'Output-Calculation-sheet'!N9*'Output-Calculation-sheet'!N27</f>
        <v>814.35076645978927</v>
      </c>
      <c r="O21" s="2">
        <f>O10/'Output-Calculation-sheet'!O9*'Output-Calculation-sheet'!O27</f>
        <v>678.37634320823122</v>
      </c>
      <c r="P21" s="2">
        <f>P10/'Output-Calculation-sheet'!P9*'Output-Calculation-sheet'!P27</f>
        <v>0</v>
      </c>
      <c r="Q21" s="2">
        <f>Q10/'Output-Calculation-sheet'!Q9*'Output-Calculation-sheet'!Q27</f>
        <v>9.8632676822413305</v>
      </c>
      <c r="R21" s="2">
        <f>R10/'Output-Calculation-sheet'!R9*'Output-Calculation-sheet'!R27</f>
        <v>0</v>
      </c>
      <c r="S21" s="2">
        <f>S10/'Output-Calculation-sheet'!S9*'Output-Calculation-sheet'!S27</f>
        <v>387.76368415969165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80.296871080059475</v>
      </c>
      <c r="Y21" s="2">
        <f>Y10/'Output-Calculation-sheet'!Y9*'Output-Calculation-sheet'!Y27</f>
        <v>0</v>
      </c>
      <c r="AA21" s="2">
        <f t="shared" si="0"/>
        <v>13.013364200726208</v>
      </c>
    </row>
    <row r="22" spans="1:27" x14ac:dyDescent="0.25">
      <c r="A22" s="2">
        <v>2034</v>
      </c>
      <c r="B22" s="2">
        <f>B11/'Output-Calculation-sheet'!B10*'Output-Calculation-sheet'!B28</f>
        <v>4528.7036772171359</v>
      </c>
      <c r="C22" s="2">
        <f>C11/'Output-Calculation-sheet'!C10*'Output-Calculation-sheet'!C28</f>
        <v>460.29421795155685</v>
      </c>
      <c r="D22" s="2">
        <f>D11/'Output-Calculation-sheet'!D10*'Output-Calculation-sheet'!D28</f>
        <v>0</v>
      </c>
      <c r="E22" s="2">
        <f>E11/'Output-Calculation-sheet'!E10*'Output-Calculation-sheet'!E28</f>
        <v>1528.4255249961479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1211.9907383864982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926.94104699239335</v>
      </c>
      <c r="M22" s="2">
        <f>M11/'Output-Calculation-sheet'!M10*'Output-Calculation-sheet'!M28</f>
        <v>862.56918878575721</v>
      </c>
      <c r="N22" s="2">
        <f>N11/'Output-Calculation-sheet'!N10*'Output-Calculation-sheet'!N28</f>
        <v>576.63242381726627</v>
      </c>
      <c r="O22" s="2">
        <f>O11/'Output-Calculation-sheet'!O10*'Output-Calculation-sheet'!O28</f>
        <v>90.287782093523973</v>
      </c>
      <c r="P22" s="2">
        <f>P11/'Output-Calculation-sheet'!P10*'Output-Calculation-sheet'!P28</f>
        <v>0</v>
      </c>
      <c r="Q22" s="2">
        <f>Q11/'Output-Calculation-sheet'!Q10*'Output-Calculation-sheet'!Q28</f>
        <v>294.51248147464429</v>
      </c>
      <c r="R22" s="2">
        <f>R11/'Output-Calculation-sheet'!R10*'Output-Calculation-sheet'!R28</f>
        <v>0</v>
      </c>
      <c r="S22" s="2">
        <f>S11/'Output-Calculation-sheet'!S10*'Output-Calculation-sheet'!S28</f>
        <v>215.90947321578668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84.753428484719095</v>
      </c>
      <c r="Y22" s="2">
        <f>Y11/'Output-Calculation-sheet'!Y10*'Output-Calculation-sheet'!Y28</f>
        <v>34.547891295678099</v>
      </c>
      <c r="AA22" s="2">
        <f t="shared" si="0"/>
        <v>10.815567874711109</v>
      </c>
    </row>
    <row r="23" spans="1:27" x14ac:dyDescent="0.25">
      <c r="A23" s="2">
        <v>2035</v>
      </c>
      <c r="B23" s="2">
        <f>B12/'Output-Calculation-sheet'!B11*'Output-Calculation-sheet'!B29</f>
        <v>956.94335124552572</v>
      </c>
      <c r="C23" s="2">
        <f>C12/'Output-Calculation-sheet'!C11*'Output-Calculation-sheet'!C29</f>
        <v>198.59226061139555</v>
      </c>
      <c r="D23" s="2">
        <f>D12/'Output-Calculation-sheet'!D11*'Output-Calculation-sheet'!D29</f>
        <v>0</v>
      </c>
      <c r="E23" s="2">
        <f>E12/'Output-Calculation-sheet'!E11*'Output-Calculation-sheet'!E29</f>
        <v>2447.6119332168546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344.22333207647023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1411.2098442755926</v>
      </c>
      <c r="M23" s="2">
        <f>M12/'Output-Calculation-sheet'!M11*'Output-Calculation-sheet'!M29</f>
        <v>306.77044534700906</v>
      </c>
      <c r="N23" s="2">
        <f>N12/'Output-Calculation-sheet'!N11*'Output-Calculation-sheet'!N29</f>
        <v>255.41779383736224</v>
      </c>
      <c r="O23" s="2">
        <f>O12/'Output-Calculation-sheet'!O11*'Output-Calculation-sheet'!O29</f>
        <v>33.935660386148804</v>
      </c>
      <c r="P23" s="2">
        <f>P12/'Output-Calculation-sheet'!P11*'Output-Calculation-sheet'!P29</f>
        <v>53.154383963808982</v>
      </c>
      <c r="Q23" s="2">
        <f>Q12/'Output-Calculation-sheet'!Q11*'Output-Calculation-sheet'!Q29</f>
        <v>435.39896315394196</v>
      </c>
      <c r="R23" s="2">
        <f>R12/'Output-Calculation-sheet'!R11*'Output-Calculation-sheet'!R29</f>
        <v>0</v>
      </c>
      <c r="S23" s="2">
        <f>S12/'Output-Calculation-sheet'!S11*'Output-Calculation-sheet'!S29</f>
        <v>114.68470584348437</v>
      </c>
      <c r="T23" s="2">
        <f>T12/'Output-Calculation-sheet'!T11*'Output-Calculation-sheet'!T29</f>
        <v>0</v>
      </c>
      <c r="U23" s="2">
        <f>U12/'Output-Calculation-sheet'!U11*'Output-Calculation-sheet'!U29</f>
        <v>154.40813068525128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10.042276479887619</v>
      </c>
      <c r="Y23" s="2">
        <f>Y12/'Output-Calculation-sheet'!Y11*'Output-Calculation-sheet'!Y29</f>
        <v>63.879416459287832</v>
      </c>
      <c r="AA23" s="2">
        <f t="shared" si="0"/>
        <v>6.7862724975820203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1190.7137096181375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46.684852940240617</v>
      </c>
    </row>
    <row r="31" spans="1:27" x14ac:dyDescent="0.25">
      <c r="A31" s="2">
        <v>2032</v>
      </c>
      <c r="B31" s="2">
        <f>B9/'Output-Calculation-sheet'!B8*'Output-Calculation-sheet'!B17</f>
        <v>26224.956379843286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1025.4234334323382</v>
      </c>
      <c r="O31" s="2">
        <f>O9/'Output-Calculation-sheet'!O8*'Output-Calculation-sheet'!O17</f>
        <v>0</v>
      </c>
      <c r="P31" s="2">
        <f>P9/'Output-Calculation-sheet'!P8*'Output-Calculation-sheet'!P17</f>
        <v>2563.0716048842555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848.70993385850204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60.084679204249213</v>
      </c>
    </row>
    <row r="32" spans="1:27" x14ac:dyDescent="0.25">
      <c r="A32" s="2">
        <v>2033</v>
      </c>
      <c r="B32" s="2">
        <f>B10/'Output-Calculation-sheet'!B9*'Output-Calculation-sheet'!B18</f>
        <v>20392.165904990939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3192.2356138665077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825.37681836311913</v>
      </c>
      <c r="O32" s="2">
        <f>O10/'Output-Calculation-sheet'!O9*'Output-Calculation-sheet'!O18</f>
        <v>0</v>
      </c>
      <c r="P32" s="2">
        <f>P10/'Output-Calculation-sheet'!P9*'Output-Calculation-sheet'!P18</f>
        <v>3285.7836611548464</v>
      </c>
      <c r="Q32" s="2">
        <f>Q10/'Output-Calculation-sheet'!Q9*'Output-Calculation-sheet'!Q18</f>
        <v>3042.1272006602294</v>
      </c>
      <c r="R32" s="2">
        <f>R10/'Output-Calculation-sheet'!R9*'Output-Calculation-sheet'!R18</f>
        <v>2360.0173389858292</v>
      </c>
      <c r="S32" s="2">
        <f>S10/'Output-Calculation-sheet'!S9*'Output-Calculation-sheet'!S18</f>
        <v>750.84893880350273</v>
      </c>
      <c r="T32" s="2">
        <f>T10/'Output-Calculation-sheet'!T9*'Output-Calculation-sheet'!T18</f>
        <v>688.89951198858307</v>
      </c>
      <c r="U32" s="2">
        <f>U10/'Output-Calculation-sheet'!U9*'Output-Calculation-sheet'!U18</f>
        <v>761.56908347841295</v>
      </c>
      <c r="V32" s="2">
        <f>V10/'Output-Calculation-sheet'!V9*'Output-Calculation-sheet'!V18</f>
        <v>562.13422610270482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325.47937059238086</v>
      </c>
      <c r="AA32" s="2">
        <f t="shared" si="1"/>
        <v>64.828357098723998</v>
      </c>
    </row>
    <row r="33" spans="1:27" x14ac:dyDescent="0.25">
      <c r="A33" s="2">
        <v>2034</v>
      </c>
      <c r="B33" s="2">
        <f>B11/'Output-Calculation-sheet'!B10*'Output-Calculation-sheet'!B19</f>
        <v>13839.820729018536</v>
      </c>
      <c r="C33" s="2">
        <f>C11/'Output-Calculation-sheet'!C10*'Output-Calculation-sheet'!C19</f>
        <v>0</v>
      </c>
      <c r="D33" s="2">
        <f>D11/'Output-Calculation-sheet'!D10*'Output-Calculation-sheet'!D19</f>
        <v>9173.30025433638</v>
      </c>
      <c r="E33" s="2">
        <f>E11/'Output-Calculation-sheet'!E10*'Output-Calculation-sheet'!E19</f>
        <v>11372.576164267974</v>
      </c>
      <c r="F33" s="2">
        <f>F11/'Output-Calculation-sheet'!F10*'Output-Calculation-sheet'!F19</f>
        <v>5207.3206746098385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3407.5423035109252</v>
      </c>
      <c r="J33" s="2">
        <f>J11/'Output-Calculation-sheet'!J10*'Output-Calculation-sheet'!J19</f>
        <v>2881.2006490636591</v>
      </c>
      <c r="K33" s="2">
        <f>K11/'Output-Calculation-sheet'!K10*'Output-Calculation-sheet'!K19</f>
        <v>3996.1282539713238</v>
      </c>
      <c r="L33" s="2">
        <f>L11/'Output-Calculation-sheet'!L10*'Output-Calculation-sheet'!L19</f>
        <v>3250.5643031550599</v>
      </c>
      <c r="M33" s="2">
        <f>M11/'Output-Calculation-sheet'!M10*'Output-Calculation-sheet'!M19</f>
        <v>0</v>
      </c>
      <c r="N33" s="2">
        <f>N11/'Output-Calculation-sheet'!N10*'Output-Calculation-sheet'!N19</f>
        <v>617.01030120318808</v>
      </c>
      <c r="O33" s="2">
        <f>O11/'Output-Calculation-sheet'!O10*'Output-Calculation-sheet'!O19</f>
        <v>0</v>
      </c>
      <c r="P33" s="2">
        <f>P11/'Output-Calculation-sheet'!P10*'Output-Calculation-sheet'!P19</f>
        <v>3064.3277233445187</v>
      </c>
      <c r="Q33" s="2">
        <f>Q11/'Output-Calculation-sheet'!Q10*'Output-Calculation-sheet'!Q19</f>
        <v>1947.6853659289447</v>
      </c>
      <c r="R33" s="2">
        <f>R11/'Output-Calculation-sheet'!R10*'Output-Calculation-sheet'!R19</f>
        <v>2886.8992308623256</v>
      </c>
      <c r="S33" s="2">
        <f>S11/'Output-Calculation-sheet'!S10*'Output-Calculation-sheet'!S19</f>
        <v>392.23286572867011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974.24194790207309</v>
      </c>
      <c r="V33" s="2">
        <f>V11/'Output-Calculation-sheet'!V10*'Output-Calculation-sheet'!V19</f>
        <v>664.37584589811854</v>
      </c>
      <c r="W33" s="2">
        <f>W11/'Output-Calculation-sheet'!W10*'Output-Calculation-sheet'!W19</f>
        <v>413.67218055424763</v>
      </c>
      <c r="X33" s="2">
        <f>X11/'Output-Calculation-sheet'!X10*'Output-Calculation-sheet'!X19</f>
        <v>0</v>
      </c>
      <c r="Y33" s="2">
        <f>Y11/'Output-Calculation-sheet'!Y10*'Output-Calculation-sheet'!Y19</f>
        <v>338.68794890699763</v>
      </c>
      <c r="AA33" s="2">
        <f t="shared" si="1"/>
        <v>68.397345617182523</v>
      </c>
    </row>
    <row r="34" spans="1:27" x14ac:dyDescent="0.25">
      <c r="A34" s="2">
        <v>2035</v>
      </c>
      <c r="B34" s="2">
        <f>B12/'Output-Calculation-sheet'!B11*'Output-Calculation-sheet'!B20</f>
        <v>190.5034890092098</v>
      </c>
      <c r="C34" s="2">
        <f>C12/'Output-Calculation-sheet'!C11*'Output-Calculation-sheet'!C20</f>
        <v>0</v>
      </c>
      <c r="D34" s="2">
        <f>D12/'Output-Calculation-sheet'!D11*'Output-Calculation-sheet'!D20</f>
        <v>9396.2632013249822</v>
      </c>
      <c r="E34" s="2">
        <f>E12/'Output-Calculation-sheet'!E11*'Output-Calculation-sheet'!E20</f>
        <v>4389.9177169230807</v>
      </c>
      <c r="F34" s="2">
        <f>F12/'Output-Calculation-sheet'!F11*'Output-Calculation-sheet'!F20</f>
        <v>5964.0709477153905</v>
      </c>
      <c r="G34" s="2">
        <f>G12/'Output-Calculation-sheet'!G11*'Output-Calculation-sheet'!G20</f>
        <v>3202.9586120665986</v>
      </c>
      <c r="H34" s="2">
        <f>H12/'Output-Calculation-sheet'!H11*'Output-Calculation-sheet'!H20</f>
        <v>0</v>
      </c>
      <c r="I34" s="2">
        <f>I12/'Output-Calculation-sheet'!I11*'Output-Calculation-sheet'!I20</f>
        <v>3558.5550188707634</v>
      </c>
      <c r="J34" s="2">
        <f>J12/'Output-Calculation-sheet'!J11*'Output-Calculation-sheet'!J20</f>
        <v>3081.5146518489892</v>
      </c>
      <c r="K34" s="2">
        <f>K12/'Output-Calculation-sheet'!K11*'Output-Calculation-sheet'!K20</f>
        <v>4341.6410012962087</v>
      </c>
      <c r="L34" s="2">
        <f>L12/'Output-Calculation-sheet'!L11*'Output-Calculation-sheet'!L20</f>
        <v>2404.2934187336759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955.96887000237848</v>
      </c>
      <c r="Q34" s="2">
        <f>Q12/'Output-Calculation-sheet'!Q11*'Output-Calculation-sheet'!Q20</f>
        <v>904.44613370528975</v>
      </c>
      <c r="R34" s="2">
        <f>R12/'Output-Calculation-sheet'!R11*'Output-Calculation-sheet'!R20</f>
        <v>3205.2739021003304</v>
      </c>
      <c r="S34" s="2">
        <f>S12/'Output-Calculation-sheet'!S11*'Output-Calculation-sheet'!S20</f>
        <v>2.5649385819792396</v>
      </c>
      <c r="T34" s="2">
        <f>T12/'Output-Calculation-sheet'!T11*'Output-Calculation-sheet'!T20</f>
        <v>955.9862746006844</v>
      </c>
      <c r="U34" s="2">
        <f>U12/'Output-Calculation-sheet'!U11*'Output-Calculation-sheet'!U20</f>
        <v>870.08644299745185</v>
      </c>
      <c r="V34" s="2">
        <f>V12/'Output-Calculation-sheet'!V11*'Output-Calculation-sheet'!V20</f>
        <v>839.75870715623489</v>
      </c>
      <c r="W34" s="2">
        <f>W12/'Output-Calculation-sheet'!W11*'Output-Calculation-sheet'!W20</f>
        <v>510.77864900450163</v>
      </c>
      <c r="X34" s="2">
        <f>X12/'Output-Calculation-sheet'!X11*'Output-Calculation-sheet'!X20</f>
        <v>0</v>
      </c>
      <c r="Y34" s="2">
        <f>Y12/'Output-Calculation-sheet'!Y11*'Output-Calculation-sheet'!Y20</f>
        <v>109.87091620317823</v>
      </c>
      <c r="AA34" s="2">
        <f t="shared" si="1"/>
        <v>44.884452892140942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0.1603008364844471</v>
      </c>
      <c r="E45" s="2">
        <f>E12/'Output-Calculation-sheet'!E11*'Output-Calculation-sheet'!E38*0.0114</f>
        <v>8.4931037801729031E-2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1.4041777783367784E-2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0.90853478448711167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0.1672092260709038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209.19482249696097</v>
      </c>
      <c r="R54" s="2">
        <f>R10/'Output-Calculation-sheet'!R9*'Output-Calculation-sheet'!R45</f>
        <v>1564.9636664408897</v>
      </c>
      <c r="S54" s="2">
        <f>S10/'Output-Calculation-sheet'!S9*'Output-Calculation-sheet'!S45</f>
        <v>0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19.51942192837415</v>
      </c>
      <c r="AA54" s="2">
        <f t="shared" si="3"/>
        <v>5.1519864668826738</v>
      </c>
    </row>
    <row r="55" spans="1:27" x14ac:dyDescent="0.25">
      <c r="A55" s="2">
        <v>2034</v>
      </c>
      <c r="B55" s="2">
        <f>B11/'Output-Calculation-sheet'!B10*'Output-Calculation-sheet'!B46</f>
        <v>1694.4423706311725</v>
      </c>
      <c r="C55" s="2">
        <f>C11/'Output-Calculation-sheet'!C10*'Output-Calculation-sheet'!C46</f>
        <v>0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614.52141488085306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455.4704370431906</v>
      </c>
      <c r="N55" s="2">
        <f>N11/'Output-Calculation-sheet'!N10*'Output-Calculation-sheet'!N46</f>
        <v>155.5507112940968</v>
      </c>
      <c r="O55" s="2">
        <f>O11/'Output-Calculation-sheet'!O10*'Output-Calculation-sheet'!O46</f>
        <v>0</v>
      </c>
      <c r="P55" s="2">
        <f>P11/'Output-Calculation-sheet'!P10*'Output-Calculation-sheet'!P46</f>
        <v>3317.2018367768287</v>
      </c>
      <c r="Q55" s="2">
        <f>Q11/'Output-Calculation-sheet'!Q10*'Output-Calculation-sheet'!Q46</f>
        <v>725.12601898281832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0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85.551519085417638</v>
      </c>
      <c r="X55" s="2">
        <f>X11/'Output-Calculation-sheet'!X10*'Output-Calculation-sheet'!X46</f>
        <v>43.471792553247369</v>
      </c>
      <c r="Y55" s="2">
        <f>Y11/'Output-Calculation-sheet'!Y10*'Output-Calculation-sheet'!Y46</f>
        <v>302.35496108346763</v>
      </c>
      <c r="AA55" s="2">
        <f t="shared" si="3"/>
        <v>45.086583758712692</v>
      </c>
    </row>
    <row r="56" spans="1:27" x14ac:dyDescent="0.25">
      <c r="A56" s="2">
        <v>2035</v>
      </c>
      <c r="B56" s="2">
        <f>B12/'Output-Calculation-sheet'!B11*'Output-Calculation-sheet'!B47</f>
        <v>468.23189012095105</v>
      </c>
      <c r="C56" s="2">
        <f>C12/'Output-Calculation-sheet'!C11*'Output-Calculation-sheet'!C47</f>
        <v>380.97204422947038</v>
      </c>
      <c r="D56" s="2">
        <f>D12/'Output-Calculation-sheet'!D11*'Output-Calculation-sheet'!D47</f>
        <v>15486.37320890682</v>
      </c>
      <c r="E56" s="2">
        <f>E12/'Output-Calculation-sheet'!E11*'Output-Calculation-sheet'!E47</f>
        <v>10765.381545920916</v>
      </c>
      <c r="F56" s="2">
        <f>F12/'Output-Calculation-sheet'!F11*'Output-Calculation-sheet'!F47</f>
        <v>3214.3179748892808</v>
      </c>
      <c r="G56" s="2">
        <f>G12/'Output-Calculation-sheet'!G11*'Output-Calculation-sheet'!G47</f>
        <v>7187.9417467177345</v>
      </c>
      <c r="H56" s="2">
        <f>H12/'Output-Calculation-sheet'!H11*'Output-Calculation-sheet'!H47</f>
        <v>143.33612461248069</v>
      </c>
      <c r="I56" s="2">
        <f>I12/'Output-Calculation-sheet'!I11*'Output-Calculation-sheet'!I47</f>
        <v>4223.8714900379046</v>
      </c>
      <c r="J56" s="2">
        <f>J12/'Output-Calculation-sheet'!J11*'Output-Calculation-sheet'!J47</f>
        <v>4475.0800108157318</v>
      </c>
      <c r="K56" s="2">
        <f>K12/'Output-Calculation-sheet'!K11*'Output-Calculation-sheet'!K47</f>
        <v>6184.7288412560383</v>
      </c>
      <c r="L56" s="2">
        <f>L12/'Output-Calculation-sheet'!L11*'Output-Calculation-sheet'!L47</f>
        <v>4140.1331990805984</v>
      </c>
      <c r="M56" s="2">
        <f>M12/'Output-Calculation-sheet'!M11*'Output-Calculation-sheet'!M47</f>
        <v>95.266843938824934</v>
      </c>
      <c r="N56" s="2">
        <f>N12/'Output-Calculation-sheet'!N11*'Output-Calculation-sheet'!N47</f>
        <v>104.64737036778818</v>
      </c>
      <c r="O56" s="2">
        <f>O12/'Output-Calculation-sheet'!O11*'Output-Calculation-sheet'!O47</f>
        <v>69.900490905343915</v>
      </c>
      <c r="P56" s="2">
        <f>P12/'Output-Calculation-sheet'!P11*'Output-Calculation-sheet'!P47</f>
        <v>1348.3728438352557</v>
      </c>
      <c r="Q56" s="2">
        <f>Q12/'Output-Calculation-sheet'!Q11*'Output-Calculation-sheet'!Q47</f>
        <v>996.01164622885187</v>
      </c>
      <c r="R56" s="2">
        <f>R12/'Output-Calculation-sheet'!R11*'Output-Calculation-sheet'!R47</f>
        <v>5624.9112692778072</v>
      </c>
      <c r="S56" s="2">
        <f>S12/'Output-Calculation-sheet'!S11*'Output-Calculation-sheet'!S47</f>
        <v>46.727093812521844</v>
      </c>
      <c r="T56" s="2">
        <f>T12/'Output-Calculation-sheet'!T11*'Output-Calculation-sheet'!T47</f>
        <v>2042.4091241391072</v>
      </c>
      <c r="U56" s="2">
        <f>U12/'Output-Calculation-sheet'!U11*'Output-Calculation-sheet'!U47</f>
        <v>1903.3383438376375</v>
      </c>
      <c r="V56" s="2">
        <f>V12/'Output-Calculation-sheet'!V11*'Output-Calculation-sheet'!V47</f>
        <v>1171.5477163384985</v>
      </c>
      <c r="W56" s="2">
        <f>W12/'Output-Calculation-sheet'!W11*'Output-Calculation-sheet'!W47</f>
        <v>692.90601323767737</v>
      </c>
      <c r="X56" s="2">
        <f>X12/'Output-Calculation-sheet'!X11*'Output-Calculation-sheet'!X47</f>
        <v>10.696876117221985</v>
      </c>
      <c r="Y56" s="2">
        <f>Y12/'Output-Calculation-sheet'!Y11*'Output-Calculation-sheet'!Y47</f>
        <v>229.35356202482896</v>
      </c>
      <c r="AA56" s="2">
        <f t="shared" si="3"/>
        <v>71.006457270649292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8.6098278970959417</v>
      </c>
      <c r="C63" s="2">
        <f>C8*'Output-Calculation-sheet'!C52/10^9</f>
        <v>4.599812870098118</v>
      </c>
      <c r="D63" s="2">
        <f>D8*'Output-Calculation-sheet'!D52/10^9</f>
        <v>2.9524944964094941</v>
      </c>
      <c r="E63" s="2">
        <f>E8*'Output-Calculation-sheet'!E52/10^9</f>
        <v>2.9355715014524097</v>
      </c>
      <c r="F63" s="2">
        <f>F8*'Output-Calculation-sheet'!F52/10^9</f>
        <v>1.2432142881826436</v>
      </c>
      <c r="G63" s="2">
        <f>G8*'Output-Calculation-sheet'!G52/10^9</f>
        <v>0.89381490957775844</v>
      </c>
      <c r="H63" s="2">
        <f>H8*'Output-Calculation-sheet'!H52/10^9</f>
        <v>1.4537040838919588</v>
      </c>
      <c r="I63" s="2">
        <f>I8*'Output-Calculation-sheet'!I52/10^9</f>
        <v>0.83145537618592391</v>
      </c>
      <c r="J63" s="2">
        <f>J8*'Output-Calculation-sheet'!J52/10^9</f>
        <v>1.1441389552832741</v>
      </c>
      <c r="K63" s="2">
        <f>K8*'Output-Calculation-sheet'!K52/10^9</f>
        <v>1.0052278342849781</v>
      </c>
      <c r="L63" s="2">
        <f>L8*'Output-Calculation-sheet'!L52/10^9</f>
        <v>1.3520798028452983</v>
      </c>
      <c r="M63" s="2">
        <f>M8*'Output-Calculation-sheet'!M52/10^9</f>
        <v>1.1909223044732389</v>
      </c>
      <c r="N63" s="2">
        <f>N8*'Output-Calculation-sheet'!N52/10^9</f>
        <v>1.0508162977817206</v>
      </c>
      <c r="O63" s="2">
        <f>O8*'Output-Calculation-sheet'!O52/10^9</f>
        <v>0.9410820046603785</v>
      </c>
      <c r="P63" s="2">
        <f>P8*'Output-Calculation-sheet'!P52/10^9</f>
        <v>0.69458531747545671</v>
      </c>
      <c r="Q63" s="2">
        <f>Q8*'Output-Calculation-sheet'!Q52/10^9</f>
        <v>0.78606703399881772</v>
      </c>
      <c r="R63" s="2">
        <f>R8*'Output-Calculation-sheet'!R52/10^9</f>
        <v>0.70573216202223332</v>
      </c>
      <c r="S63" s="2">
        <f>S8*'Output-Calculation-sheet'!S52/10^9</f>
        <v>0.52297253739066962</v>
      </c>
      <c r="T63" s="2">
        <f>T8*'Output-Calculation-sheet'!T52/10^9</f>
        <v>0.26830928664595105</v>
      </c>
      <c r="U63" s="2">
        <f>U8*'Output-Calculation-sheet'!U52/10^9</f>
        <v>0.18427194295656552</v>
      </c>
      <c r="V63" s="2">
        <f>V8*'Output-Calculation-sheet'!V52/10^9</f>
        <v>0.32703915187343791</v>
      </c>
      <c r="W63" s="2">
        <f>W8*'Output-Calculation-sheet'!W52/10^9</f>
        <v>0.11837285103898219</v>
      </c>
      <c r="X63" s="2">
        <f>X8*'Output-Calculation-sheet'!X52/10^9</f>
        <v>0.12196919158414449</v>
      </c>
      <c r="Y63" s="2">
        <f>Y8*'Output-Calculation-sheet'!Y52/10^9</f>
        <v>7.7234992459219332E-2</v>
      </c>
      <c r="AA63" s="2">
        <f t="shared" si="4"/>
        <v>34.010717089668617</v>
      </c>
    </row>
    <row r="64" spans="1:27" x14ac:dyDescent="0.25">
      <c r="A64" s="2">
        <v>2032</v>
      </c>
      <c r="B64" s="2">
        <f>B9*'Output-Calculation-sheet'!B53/10^9</f>
        <v>8.9427962390538962</v>
      </c>
      <c r="C64" s="2">
        <f>C9*'Output-Calculation-sheet'!C53/10^9</f>
        <v>4.7408524821879254</v>
      </c>
      <c r="D64" s="2">
        <f>D9*'Output-Calculation-sheet'!D53/10^9</f>
        <v>2.6485648024740778</v>
      </c>
      <c r="E64" s="2">
        <f>E9*'Output-Calculation-sheet'!E53/10^9</f>
        <v>2.7122468890239211</v>
      </c>
      <c r="F64" s="2">
        <f>F9*'Output-Calculation-sheet'!F53/10^9</f>
        <v>1.144008730605911</v>
      </c>
      <c r="G64" s="2">
        <f>G9*'Output-Calculation-sheet'!G53/10^9</f>
        <v>0.81427041795867805</v>
      </c>
      <c r="H64" s="2">
        <f>H9*'Output-Calculation-sheet'!H53/10^9</f>
        <v>1.4878813803039037</v>
      </c>
      <c r="I64" s="2">
        <f>I9*'Output-Calculation-sheet'!I53/10^9</f>
        <v>0.76120975940258773</v>
      </c>
      <c r="J64" s="2">
        <f>J9*'Output-Calculation-sheet'!J53/10^9</f>
        <v>1.0076870550193204</v>
      </c>
      <c r="K64" s="2">
        <f>K9*'Output-Calculation-sheet'!K53/10^9</f>
        <v>0.93499648769605093</v>
      </c>
      <c r="L64" s="2">
        <f>L9*'Output-Calculation-sheet'!L53/10^9</f>
        <v>1.202870186783094</v>
      </c>
      <c r="M64" s="2">
        <f>M9*'Output-Calculation-sheet'!M53/10^9</f>
        <v>1.1804598547181122</v>
      </c>
      <c r="N64" s="2">
        <f>N9*'Output-Calculation-sheet'!N53/10^9</f>
        <v>1.0627952844433044</v>
      </c>
      <c r="O64" s="2">
        <f>O9*'Output-Calculation-sheet'!O53/10^9</f>
        <v>0.96005813059219636</v>
      </c>
      <c r="P64" s="2">
        <f>P9*'Output-Calculation-sheet'!P53/10^9</f>
        <v>0.71287563728499026</v>
      </c>
      <c r="Q64" s="2">
        <f>Q9*'Output-Calculation-sheet'!Q53/10^9</f>
        <v>0.78783006421621526</v>
      </c>
      <c r="R64" s="2">
        <f>R9*'Output-Calculation-sheet'!R53/10^9</f>
        <v>0.67535641251731948</v>
      </c>
      <c r="S64" s="2">
        <f>S9*'Output-Calculation-sheet'!S53/10^9</f>
        <v>0.54344040710946029</v>
      </c>
      <c r="T64" s="2">
        <f>T9*'Output-Calculation-sheet'!T53/10^9</f>
        <v>0.24277208676991666</v>
      </c>
      <c r="U64" s="2">
        <f>U9*'Output-Calculation-sheet'!U53/10^9</f>
        <v>0.1827294880198447</v>
      </c>
      <c r="V64" s="2">
        <f>V9*'Output-Calculation-sheet'!V53/10^9</f>
        <v>0.2881540502436834</v>
      </c>
      <c r="W64" s="2">
        <f>W9*'Output-Calculation-sheet'!W53/10^9</f>
        <v>0.10707266616067532</v>
      </c>
      <c r="X64" s="2">
        <f>X9*'Output-Calculation-sheet'!X53/10^9</f>
        <v>0.1227572798894071</v>
      </c>
      <c r="Y64" s="2">
        <f>Y9*'Output-Calculation-sheet'!Y53/10^9</f>
        <v>7.5018643237361335E-2</v>
      </c>
      <c r="AA64" s="2">
        <f t="shared" si="4"/>
        <v>33.338704435711854</v>
      </c>
    </row>
    <row r="65" spans="1:27" x14ac:dyDescent="0.25">
      <c r="A65" s="2">
        <v>2033</v>
      </c>
      <c r="B65" s="2">
        <f>B10*'Output-Calculation-sheet'!B54/10^9</f>
        <v>8.8537609493105176</v>
      </c>
      <c r="C65" s="2">
        <f>C10*'Output-Calculation-sheet'!C54/10^9</f>
        <v>4.5766677054369644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1.4372281264170705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0.83731404113125951</v>
      </c>
      <c r="L65" s="2">
        <f>L10*'Output-Calculation-sheet'!L54/10^9</f>
        <v>0.98903176829803596</v>
      </c>
      <c r="M65" s="2">
        <f>M10*'Output-Calculation-sheet'!M54/10^9</f>
        <v>1.0959779764893911</v>
      </c>
      <c r="N65" s="2">
        <f>N10*'Output-Calculation-sheet'!N54/10^9</f>
        <v>1.0056940937905401</v>
      </c>
      <c r="O65" s="2">
        <f>O10*'Output-Calculation-sheet'!O54/10^9</f>
        <v>0.91718444585910841</v>
      </c>
      <c r="P65" s="2">
        <f>P10*'Output-Calculation-sheet'!P54/10^9</f>
        <v>0.70845308578110011</v>
      </c>
      <c r="Q65" s="2">
        <f>Q10*'Output-Calculation-sheet'!Q54/10^9</f>
        <v>0.77174114435391938</v>
      </c>
      <c r="R65" s="2">
        <f>R10*'Output-Calculation-sheet'!R54/10^9</f>
        <v>0.62377121239008404</v>
      </c>
      <c r="S65" s="2">
        <f>S10*'Output-Calculation-sheet'!S54/10^9</f>
        <v>0.53050218063242904</v>
      </c>
      <c r="T65" s="2">
        <f>T10*'Output-Calculation-sheet'!T54/10^9</f>
        <v>0.20853541712184767</v>
      </c>
      <c r="U65" s="2">
        <f>U10*'Output-Calculation-sheet'!U54/10^9</f>
        <v>0.18006620333544401</v>
      </c>
      <c r="V65" s="2">
        <f>V10*'Output-Calculation-sheet'!V54/10^9</f>
        <v>0.2307846626460153</v>
      </c>
      <c r="W65" s="2">
        <f>W10*'Output-Calculation-sheet'!W54/10^9</f>
        <v>8.7865028620420116E-2</v>
      </c>
      <c r="X65" s="2">
        <f>X10*'Output-Calculation-sheet'!X54/10^9</f>
        <v>0.11491406475481043</v>
      </c>
      <c r="Y65" s="2">
        <f>Y10*'Output-Calculation-sheet'!Y54/10^9</f>
        <v>7.232361803572783E-2</v>
      </c>
      <c r="AA65" s="2">
        <f t="shared" si="4"/>
        <v>30.907602749486514</v>
      </c>
    </row>
    <row r="66" spans="1:27" x14ac:dyDescent="0.25">
      <c r="A66" s="2">
        <v>2034</v>
      </c>
      <c r="B66" s="2">
        <f>B11*'Output-Calculation-sheet'!B55/10^9</f>
        <v>8.3850004105755822</v>
      </c>
      <c r="C66" s="2">
        <f>C11*'Output-Calculation-sheet'!C55/10^9</f>
        <v>4.2179868436025645</v>
      </c>
      <c r="D66" s="2">
        <f>D11*'Output-Calculation-sheet'!D55/10^9</f>
        <v>1.892362273637161</v>
      </c>
      <c r="E66" s="2">
        <f>E11*'Output-Calculation-sheet'!E55/10^9</f>
        <v>2.2915165031341806</v>
      </c>
      <c r="F66" s="2">
        <f>F11*'Output-Calculation-sheet'!F55/10^9</f>
        <v>0.88066878209709032</v>
      </c>
      <c r="G66" s="2">
        <f>G11*'Output-Calculation-sheet'!G55/10^9</f>
        <v>0.62948285942175619</v>
      </c>
      <c r="H66" s="2">
        <f>H11*'Output-Calculation-sheet'!H55/10^9</f>
        <v>1.3135691396794951</v>
      </c>
      <c r="I66" s="2">
        <f>I11*'Output-Calculation-sheet'!I55/10^9</f>
        <v>0.61555797988267136</v>
      </c>
      <c r="J66" s="2">
        <f>J11*'Output-Calculation-sheet'!J55/10^9</f>
        <v>0.63300030076546299</v>
      </c>
      <c r="K66" s="2">
        <f>K11*'Output-Calculation-sheet'!K55/10^9</f>
        <v>0.75709851951247997</v>
      </c>
      <c r="L66" s="2">
        <f>L11*'Output-Calculation-sheet'!L55/10^9</f>
        <v>0.8017937564090093</v>
      </c>
      <c r="M66" s="2">
        <f>M11*'Output-Calculation-sheet'!M55/10^9</f>
        <v>0.95750114210356518</v>
      </c>
      <c r="N66" s="2">
        <f>N11*'Output-Calculation-sheet'!N55/10^9</f>
        <v>0.90456180638471306</v>
      </c>
      <c r="O66" s="2">
        <f>O11*'Output-Calculation-sheet'!O55/10^9</f>
        <v>0.83137940699795632</v>
      </c>
      <c r="P66" s="2">
        <f>P11*'Output-Calculation-sheet'!P55/10^9</f>
        <v>0.69424563720803345</v>
      </c>
      <c r="Q66" s="2">
        <f>Q11*'Output-Calculation-sheet'!Q55/10^9</f>
        <v>0.73435425631265105</v>
      </c>
      <c r="R66" s="2">
        <f>R11*'Output-Calculation-sheet'!R55/10^9</f>
        <v>0.56715159910098434</v>
      </c>
      <c r="S66" s="2">
        <f>S11*'Output-Calculation-sheet'!S55/10^9</f>
        <v>0.49473504758075293</v>
      </c>
      <c r="T66" s="2">
        <f>T11*'Output-Calculation-sheet'!T55/10^9</f>
        <v>0.17777379066500509</v>
      </c>
      <c r="U66" s="2">
        <f>U11*'Output-Calculation-sheet'!U55/10^9</f>
        <v>0.1815045845643464</v>
      </c>
      <c r="V66" s="2">
        <f>V11*'Output-Calculation-sheet'!V55/10^9</f>
        <v>0.16864352015336795</v>
      </c>
      <c r="W66" s="2">
        <f>W11*'Output-Calculation-sheet'!W55/10^9</f>
        <v>7.6361678010308257E-2</v>
      </c>
      <c r="X66" s="2">
        <f>X11*'Output-Calculation-sheet'!X55/10^9</f>
        <v>0.10230120348045514</v>
      </c>
      <c r="Y66" s="2">
        <f>Y11*'Output-Calculation-sheet'!Y55/10^9</f>
        <v>7.4656550530984023E-2</v>
      </c>
      <c r="AA66" s="2">
        <f t="shared" si="4"/>
        <v>28.383207591810574</v>
      </c>
    </row>
    <row r="67" spans="1:27" x14ac:dyDescent="0.25">
      <c r="A67" s="2">
        <v>2035</v>
      </c>
      <c r="B67" s="2">
        <f>B12*'Output-Calculation-sheet'!B56/10^9</f>
        <v>7.8894298743862334</v>
      </c>
      <c r="C67" s="2">
        <f>C12*'Output-Calculation-sheet'!C56/10^9</f>
        <v>3.6908903393136097</v>
      </c>
      <c r="D67" s="2">
        <f>D12*'Output-Calculation-sheet'!D56/10^9</f>
        <v>2.0131800318935387</v>
      </c>
      <c r="E67" s="2">
        <f>E12*'Output-Calculation-sheet'!E56/10^9</f>
        <v>2.4621611031104327</v>
      </c>
      <c r="F67" s="2">
        <f>F12*'Output-Calculation-sheet'!F56/10^9</f>
        <v>0.99648187142424416</v>
      </c>
      <c r="G67" s="2">
        <f>G12*'Output-Calculation-sheet'!G56/10^9</f>
        <v>0.73142424191432165</v>
      </c>
      <c r="H67" s="2">
        <f>H12*'Output-Calculation-sheet'!H56/10^9</f>
        <v>1.1664604312115801</v>
      </c>
      <c r="I67" s="2">
        <f>I12*'Output-Calculation-sheet'!I56/10^9</f>
        <v>0.69090404381033421</v>
      </c>
      <c r="J67" s="2">
        <f>J12*'Output-Calculation-sheet'!J56/10^9</f>
        <v>0.6417746167884022</v>
      </c>
      <c r="K67" s="2">
        <f>K12*'Output-Calculation-sheet'!K56/10^9</f>
        <v>0.7885758249865481</v>
      </c>
      <c r="L67" s="2">
        <f>L12*'Output-Calculation-sheet'!L56/10^9</f>
        <v>0.75289430765140253</v>
      </c>
      <c r="M67" s="2">
        <f>M12*'Output-Calculation-sheet'!M56/10^9</f>
        <v>0.811929199352598</v>
      </c>
      <c r="N67" s="2">
        <f>N12*'Output-Calculation-sheet'!N56/10^9</f>
        <v>0.79119821589261718</v>
      </c>
      <c r="O67" s="2">
        <f>O12*'Output-Calculation-sheet'!O56/10^9</f>
        <v>0.7174074753456442</v>
      </c>
      <c r="P67" s="2">
        <f>P12*'Output-Calculation-sheet'!P56/10^9</f>
        <v>0.69762949989559753</v>
      </c>
      <c r="Q67" s="2">
        <f>Q12*'Output-Calculation-sheet'!Q56/10^9</f>
        <v>0.70638395423366118</v>
      </c>
      <c r="R67" s="2">
        <f>R12*'Output-Calculation-sheet'!R56/10^9</f>
        <v>0.58148385867319696</v>
      </c>
      <c r="S67" s="2">
        <f>S12*'Output-Calculation-sheet'!S56/10^9</f>
        <v>0.45233733111870489</v>
      </c>
      <c r="T67" s="2">
        <f>T12*'Output-Calculation-sheet'!T56/10^9</f>
        <v>0.17820057017695537</v>
      </c>
      <c r="U67" s="2">
        <f>U12*'Output-Calculation-sheet'!U56/10^9</f>
        <v>0.19137030963161195</v>
      </c>
      <c r="V67" s="2">
        <f>V12*'Output-Calculation-sheet'!V56/10^9</f>
        <v>0.13680082510042044</v>
      </c>
      <c r="W67" s="2">
        <f>W12*'Output-Calculation-sheet'!W56/10^9</f>
        <v>9.0812228945551007E-2</v>
      </c>
      <c r="X67" s="2">
        <f>X12*'Output-Calculation-sheet'!X56/10^9</f>
        <v>8.6461872001632425E-2</v>
      </c>
      <c r="Y67" s="2">
        <f>Y12*'Output-Calculation-sheet'!Y56/10^9</f>
        <v>8.0760621841712524E-2</v>
      </c>
      <c r="AA67" s="2">
        <f t="shared" si="4"/>
        <v>27.346952648700555</v>
      </c>
    </row>
    <row r="68" spans="1:27" x14ac:dyDescent="0.25">
      <c r="B68" s="2">
        <f>SUM(B60:B67)</f>
        <v>42.680815370422174</v>
      </c>
      <c r="C68" s="2">
        <f t="shared" ref="C68:Y68" si="5">SUM(C60:C67)</f>
        <v>21.826210240639185</v>
      </c>
      <c r="D68" s="2">
        <f t="shared" si="5"/>
        <v>11.655165378266803</v>
      </c>
      <c r="E68" s="2">
        <f t="shared" si="5"/>
        <v>12.820742185642397</v>
      </c>
      <c r="F68" s="2">
        <f t="shared" si="5"/>
        <v>5.2465452047495429</v>
      </c>
      <c r="G68" s="2">
        <f t="shared" si="5"/>
        <v>3.7433425914616412</v>
      </c>
      <c r="H68" s="2">
        <f t="shared" si="5"/>
        <v>6.8588431615040077</v>
      </c>
      <c r="I68" s="2">
        <f t="shared" si="5"/>
        <v>3.5557603452208451</v>
      </c>
      <c r="J68" s="2">
        <f t="shared" si="5"/>
        <v>4.2114231091961933</v>
      </c>
      <c r="K68" s="2">
        <f t="shared" si="5"/>
        <v>4.3232127076113169</v>
      </c>
      <c r="L68" s="2">
        <f t="shared" si="5"/>
        <v>5.0986698219868405</v>
      </c>
      <c r="M68" s="2">
        <f t="shared" si="5"/>
        <v>5.2367904771369052</v>
      </c>
      <c r="N68" s="2">
        <f t="shared" si="5"/>
        <v>4.8150656982928952</v>
      </c>
      <c r="O68" s="2">
        <f t="shared" si="5"/>
        <v>4.3671114634552834</v>
      </c>
      <c r="P68" s="2">
        <f t="shared" si="5"/>
        <v>3.5077891776451779</v>
      </c>
      <c r="Q68" s="2">
        <f t="shared" si="5"/>
        <v>3.7863764531152646</v>
      </c>
      <c r="R68" s="2">
        <f t="shared" si="5"/>
        <v>3.153495244703818</v>
      </c>
      <c r="S68" s="2">
        <f t="shared" si="5"/>
        <v>2.5439875038320166</v>
      </c>
      <c r="T68" s="2">
        <f t="shared" si="5"/>
        <v>1.0755911513796759</v>
      </c>
      <c r="U68" s="2">
        <f t="shared" si="5"/>
        <v>0.91994252850781255</v>
      </c>
      <c r="V68" s="2">
        <f t="shared" si="5"/>
        <v>1.1514222100169251</v>
      </c>
      <c r="W68" s="2">
        <f t="shared" si="5"/>
        <v>0.48048445277593688</v>
      </c>
      <c r="X68" s="2">
        <f t="shared" si="5"/>
        <v>0.5484036117104496</v>
      </c>
      <c r="Y68" s="2">
        <f t="shared" si="5"/>
        <v>0.37999442610500506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58.711477922379608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5.8711477922379608E-2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557.55544644271447</v>
      </c>
      <c r="Q76" s="2">
        <f>Q10/'Output-Calculation-sheet'!Q9*'Output-Calculation-sheet'!Q63</f>
        <v>66.12487420034708</v>
      </c>
      <c r="R76" s="2">
        <f>R10/'Output-Calculation-sheet'!R9*'Output-Calculation-sheet'!R63</f>
        <v>425.48074709338601</v>
      </c>
      <c r="S76" s="2">
        <f>S10/'Output-Calculation-sheet'!S9*'Output-Calculation-sheet'!S63</f>
        <v>0</v>
      </c>
      <c r="T76" s="2">
        <f>T10/'Output-Calculation-sheet'!T9*'Output-Calculation-sheet'!T63</f>
        <v>27.883419668890806</v>
      </c>
      <c r="U76" s="2">
        <f>U10/'Output-Calculation-sheet'!U9*'Output-Calculation-sheet'!U63</f>
        <v>150.74436794756849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7.1499114971690512</v>
      </c>
      <c r="AA76" s="2">
        <f t="shared" si="6"/>
        <v>1.3519877337062995</v>
      </c>
    </row>
    <row r="77" spans="1:27" x14ac:dyDescent="0.25">
      <c r="A77" s="2">
        <v>2034</v>
      </c>
      <c r="B77" s="2">
        <f>B11/'Output-Calculation-sheet'!B10*'Output-Calculation-sheet'!B64</f>
        <v>515.93967587452573</v>
      </c>
      <c r="C77" s="2">
        <f>C11/'Output-Calculation-sheet'!C10*'Output-Calculation-sheet'!C64</f>
        <v>0</v>
      </c>
      <c r="D77" s="2">
        <f>D11/'Output-Calculation-sheet'!D10*'Output-Calculation-sheet'!D64</f>
        <v>1835.1713631040304</v>
      </c>
      <c r="E77" s="2">
        <f>E11/'Output-Calculation-sheet'!E10*'Output-Calculation-sheet'!E64</f>
        <v>2275.5608400296528</v>
      </c>
      <c r="F77" s="2">
        <f>F11/'Output-Calculation-sheet'!F10*'Output-Calculation-sheet'!F64</f>
        <v>148.05933556502384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150.46293477037025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400.30971656764092</v>
      </c>
      <c r="K77" s="2">
        <f>K11/'Output-Calculation-sheet'!K10*'Output-Calculation-sheet'!K64</f>
        <v>874.73195339177698</v>
      </c>
      <c r="L77" s="2">
        <f>L11/'Output-Calculation-sheet'!L10*'Output-Calculation-sheet'!L64</f>
        <v>360.64326033568688</v>
      </c>
      <c r="M77" s="2">
        <f>M11/'Output-Calculation-sheet'!M10*'Output-Calculation-sheet'!M64</f>
        <v>108.36571968441916</v>
      </c>
      <c r="N77" s="2">
        <f>N11/'Output-Calculation-sheet'!N10*'Output-Calculation-sheet'!N64</f>
        <v>35.839596328165833</v>
      </c>
      <c r="O77" s="2">
        <f>O11/'Output-Calculation-sheet'!O10*'Output-Calculation-sheet'!O64</f>
        <v>0</v>
      </c>
      <c r="P77" s="2">
        <f>P11/'Output-Calculation-sheet'!P10*'Output-Calculation-sheet'!P64</f>
        <v>743.27479701043978</v>
      </c>
      <c r="Q77" s="2">
        <f>Q11/'Output-Calculation-sheet'!Q10*'Output-Calculation-sheet'!Q64</f>
        <v>178.29465137339514</v>
      </c>
      <c r="R77" s="2">
        <f>R11/'Output-Calculation-sheet'!R10*'Output-Calculation-sheet'!R64</f>
        <v>917.40539882121607</v>
      </c>
      <c r="S77" s="2">
        <f>S11/'Output-Calculation-sheet'!S10*'Output-Calculation-sheet'!S64</f>
        <v>0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337.27333144632735</v>
      </c>
      <c r="V77" s="2">
        <f>V11/'Output-Calculation-sheet'!V10*'Output-Calculation-sheet'!V64</f>
        <v>131.73797889358485</v>
      </c>
      <c r="W77" s="2">
        <f>W11/'Output-Calculation-sheet'!W10*'Output-Calculation-sheet'!W64</f>
        <v>28.849036088689896</v>
      </c>
      <c r="X77" s="2">
        <f>X11/'Output-Calculation-sheet'!X10*'Output-Calculation-sheet'!X64</f>
        <v>10.802872985434878</v>
      </c>
      <c r="Y77" s="2">
        <f>Y11/'Output-Calculation-sheet'!Y10*'Output-Calculation-sheet'!Y64</f>
        <v>60.890631229940084</v>
      </c>
      <c r="AA77" s="2">
        <f t="shared" si="6"/>
        <v>10.901039545148816</v>
      </c>
    </row>
    <row r="78" spans="1:27" x14ac:dyDescent="0.25">
      <c r="A78" s="2">
        <v>2035</v>
      </c>
      <c r="B78" s="2">
        <f>B12/'Output-Calculation-sheet'!B11*'Output-Calculation-sheet'!B65</f>
        <v>89.030949392997982</v>
      </c>
      <c r="C78" s="2">
        <f>C12/'Output-Calculation-sheet'!C11*'Output-Calculation-sheet'!C65</f>
        <v>71.31055889000794</v>
      </c>
      <c r="D78" s="2">
        <f>D12/'Output-Calculation-sheet'!D11*'Output-Calculation-sheet'!D65</f>
        <v>3403.5992285534267</v>
      </c>
      <c r="E78" s="2">
        <f>E12/'Output-Calculation-sheet'!E11*'Output-Calculation-sheet'!E65</f>
        <v>1650.5266933565927</v>
      </c>
      <c r="F78" s="2">
        <f>F12/'Output-Calculation-sheet'!F11*'Output-Calculation-sheet'!F65</f>
        <v>851.19216442470702</v>
      </c>
      <c r="G78" s="2">
        <f>G12/'Output-Calculation-sheet'!G11*'Output-Calculation-sheet'!G65</f>
        <v>1579.7666777885647</v>
      </c>
      <c r="H78" s="2">
        <f>H12/'Output-Calculation-sheet'!H11*'Output-Calculation-sheet'!H65</f>
        <v>29.940961848029776</v>
      </c>
      <c r="I78" s="2">
        <f>I12/'Output-Calculation-sheet'!I11*'Output-Calculation-sheet'!I65</f>
        <v>1049.8868888856157</v>
      </c>
      <c r="J78" s="2">
        <f>J12/'Output-Calculation-sheet'!J11*'Output-Calculation-sheet'!J65</f>
        <v>1091.9329927795393</v>
      </c>
      <c r="K78" s="2">
        <f>K12/'Output-Calculation-sheet'!K11*'Output-Calculation-sheet'!K65</f>
        <v>1359.280329000926</v>
      </c>
      <c r="L78" s="2">
        <f>L12/'Output-Calculation-sheet'!L11*'Output-Calculation-sheet'!L65</f>
        <v>738.91272511138743</v>
      </c>
      <c r="M78" s="2">
        <f>M12/'Output-Calculation-sheet'!M11*'Output-Calculation-sheet'!M65</f>
        <v>20.937410724955161</v>
      </c>
      <c r="N78" s="2">
        <f>N12/'Output-Calculation-sheet'!N11*'Output-Calculation-sheet'!N65</f>
        <v>21.764449933965881</v>
      </c>
      <c r="O78" s="2">
        <f>O12/'Output-Calculation-sheet'!O11*'Output-Calculation-sheet'!O65</f>
        <v>12.426868155216216</v>
      </c>
      <c r="P78" s="2">
        <f>P12/'Output-Calculation-sheet'!P11*'Output-Calculation-sheet'!P65</f>
        <v>255.96695955462781</v>
      </c>
      <c r="Q78" s="2">
        <f>Q12/'Output-Calculation-sheet'!Q11*'Output-Calculation-sheet'!Q65</f>
        <v>190.74009076308184</v>
      </c>
      <c r="R78" s="2">
        <f>R12/'Output-Calculation-sheet'!R11*'Output-Calculation-sheet'!R65</f>
        <v>1176.3118423141914</v>
      </c>
      <c r="S78" s="2">
        <f>S12/'Output-Calculation-sheet'!S11*'Output-Calculation-sheet'!S65</f>
        <v>8.9179289988411607</v>
      </c>
      <c r="T78" s="2">
        <f>T12/'Output-Calculation-sheet'!T11*'Output-Calculation-sheet'!T65</f>
        <v>426.87696248368599</v>
      </c>
      <c r="U78" s="2">
        <f>U12/'Output-Calculation-sheet'!U11*'Output-Calculation-sheet'!U65</f>
        <v>351.15222138735641</v>
      </c>
      <c r="V78" s="2">
        <f>V12/'Output-Calculation-sheet'!V11*'Output-Calculation-sheet'!V65</f>
        <v>212.85507114417285</v>
      </c>
      <c r="W78" s="2">
        <f>W12/'Output-Calculation-sheet'!W11*'Output-Calculation-sheet'!W65</f>
        <v>152.28696583341389</v>
      </c>
      <c r="X78" s="2">
        <f>X12/'Output-Calculation-sheet'!X11*'Output-Calculation-sheet'!X65</f>
        <v>2.1376538870577177</v>
      </c>
      <c r="Y78" s="2">
        <f>Y12/'Output-Calculation-sheet'!Y11*'Output-Calculation-sheet'!Y65</f>
        <v>37.462822021001266</v>
      </c>
      <c r="AA78" s="2">
        <f t="shared" si="6"/>
        <v>14.78521741723336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74.994543384536655</v>
      </c>
      <c r="E89" s="2">
        <f>E12/'Output-Calculation-sheet'!E11*'Output-Calculation-sheet'!E74</f>
        <v>55.875682764295412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38.671967292282552</v>
      </c>
      <c r="H89" s="2">
        <f>H12/'Output-Calculation-sheet'!H11*'Output-Calculation-sheet'!H74</f>
        <v>4.8864587936072965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17.960187334377519</v>
      </c>
      <c r="K89" s="2">
        <f>K12/'Output-Calculation-sheet'!K11*'Output-Calculation-sheet'!K74</f>
        <v>25.268058231519504</v>
      </c>
      <c r="L89" s="2">
        <f>L12/'Output-Calculation-sheet'!L11*'Output-Calculation-sheet'!L74</f>
        <v>9.4550572631015655</v>
      </c>
      <c r="M89" s="2">
        <f>M12/'Output-Calculation-sheet'!M11*'Output-Calculation-sheet'!M74</f>
        <v>4.4831455971211733</v>
      </c>
      <c r="N89" s="2">
        <f>N12/'Output-Calculation-sheet'!N11*'Output-Calculation-sheet'!N74</f>
        <v>2.2031025340586985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4.0705595285592624</v>
      </c>
      <c r="Q89" s="2">
        <f>Q12/'Output-Calculation-sheet'!Q11*'Output-Calculation-sheet'!Q74</f>
        <v>5.790765385051464</v>
      </c>
      <c r="R89" s="2">
        <f>R12/'Output-Calculation-sheet'!R11*'Output-Calculation-sheet'!R74</f>
        <v>16.270799996209412</v>
      </c>
      <c r="S89" s="2">
        <f>S12/'Output-Calculation-sheet'!S11*'Output-Calculation-sheet'!S74</f>
        <v>1.8943416410481828</v>
      </c>
      <c r="T89" s="2">
        <f>T12/'Output-Calculation-sheet'!T11*'Output-Calculation-sheet'!T74</f>
        <v>4.249117456600084</v>
      </c>
      <c r="U89" s="2">
        <f>U12/'Output-Calculation-sheet'!U11*'Output-Calculation-sheet'!U74</f>
        <v>8.6221442529451302</v>
      </c>
      <c r="V89" s="2">
        <f>V12/'Output-Calculation-sheet'!V11*'Output-Calculation-sheet'!V74</f>
        <v>1.187219007233987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2.1357289790206524</v>
      </c>
      <c r="AA89" s="2">
        <f t="shared" si="7"/>
        <v>0.38824268552572033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2034.8692887181605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626.39587845721155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431.0213249266759</v>
      </c>
      <c r="N107" s="2">
        <f>N8/'Output-Calculation-sheet'!N7*'Output-Calculation-sheet'!N88</f>
        <v>169.44962461876187</v>
      </c>
      <c r="O107" s="2">
        <f>O8/'Output-Calculation-sheet'!O7*'Output-Calculation-sheet'!O88</f>
        <v>474.3822870167711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47.283935796424451</v>
      </c>
      <c r="Y107" s="2">
        <f>Y8/'Output-Calculation-sheet'!Y7*'Output-Calculation-sheet'!Y88</f>
        <v>0</v>
      </c>
      <c r="AA107" s="2">
        <f t="shared" si="9"/>
        <v>3.7834023395340051</v>
      </c>
    </row>
    <row r="108" spans="1:27" x14ac:dyDescent="0.25">
      <c r="A108" s="2">
        <v>2032</v>
      </c>
      <c r="B108" s="2">
        <f>B9/'Output-Calculation-sheet'!B8*'Output-Calculation-sheet'!B89</f>
        <v>934.09617634255892</v>
      </c>
      <c r="C108" s="2">
        <f>C9/'Output-Calculation-sheet'!C8*'Output-Calculation-sheet'!C89</f>
        <v>3546.7493225968597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955.32451331097775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657.35623688391911</v>
      </c>
      <c r="N108" s="2">
        <f>N9/'Output-Calculation-sheet'!N8*'Output-Calculation-sheet'!N89</f>
        <v>461.48183867920807</v>
      </c>
      <c r="O108" s="2">
        <f>O9/'Output-Calculation-sheet'!O8*'Output-Calculation-sheet'!O89</f>
        <v>689.0348618692525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211.62985685451818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72.113346376739173</v>
      </c>
      <c r="Y108" s="2">
        <f>Y9/'Output-Calculation-sheet'!Y8*'Output-Calculation-sheet'!Y89</f>
        <v>0</v>
      </c>
      <c r="AA108" s="2">
        <f t="shared" si="9"/>
        <v>7.5277861529140324</v>
      </c>
    </row>
    <row r="109" spans="1:27" x14ac:dyDescent="0.25">
      <c r="A109" s="2">
        <v>2033</v>
      </c>
      <c r="B109" s="2">
        <f>B10/'Output-Calculation-sheet'!B9*'Output-Calculation-sheet'!B90</f>
        <v>4770.9408170117795</v>
      </c>
      <c r="C109" s="2">
        <f>C10/'Output-Calculation-sheet'!C9*'Output-Calculation-sheet'!C90</f>
        <v>4528.7978742032428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1394.1044461650458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959.27953254129523</v>
      </c>
      <c r="N109" s="2">
        <f>N10/'Output-Calculation-sheet'!N9*'Output-Calculation-sheet'!N90</f>
        <v>754.25296751262283</v>
      </c>
      <c r="O109" s="2">
        <f>O10/'Output-Calculation-sheet'!O9*'Output-Calculation-sheet'!O90</f>
        <v>879.81961335813492</v>
      </c>
      <c r="P109" s="2">
        <f>P10/'Output-Calculation-sheet'!P9*'Output-Calculation-sheet'!P90</f>
        <v>0</v>
      </c>
      <c r="Q109" s="2">
        <f>Q10/'Output-Calculation-sheet'!Q9*'Output-Calculation-sheet'!Q90</f>
        <v>165.21027007452301</v>
      </c>
      <c r="R109" s="2">
        <f>R10/'Output-Calculation-sheet'!R9*'Output-Calculation-sheet'!R90</f>
        <v>0</v>
      </c>
      <c r="S109" s="2">
        <f>S10/'Output-Calculation-sheet'!S9*'Output-Calculation-sheet'!S90</f>
        <v>378.31835918826948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105.23495986010188</v>
      </c>
      <c r="Y109" s="2">
        <f>Y10/'Output-Calculation-sheet'!Y9*'Output-Calculation-sheet'!Y90</f>
        <v>0</v>
      </c>
      <c r="AA109" s="2">
        <f t="shared" si="9"/>
        <v>13.935958839915015</v>
      </c>
    </row>
    <row r="110" spans="1:27" x14ac:dyDescent="0.25">
      <c r="A110" s="2">
        <v>2034</v>
      </c>
      <c r="B110" s="2">
        <f>B11/'Output-Calculation-sheet'!B10*'Output-Calculation-sheet'!B91</f>
        <v>8328.0039918255497</v>
      </c>
      <c r="C110" s="2">
        <f>C11/'Output-Calculation-sheet'!C10*'Output-Calculation-sheet'!C91</f>
        <v>5709.402760430582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1622.3365352854521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1116.3254212941861</v>
      </c>
      <c r="N110" s="2">
        <f>N11/'Output-Calculation-sheet'!N10*'Output-Calculation-sheet'!N91</f>
        <v>1005.7362783671755</v>
      </c>
      <c r="O110" s="2">
        <f>O11/'Output-Calculation-sheet'!O10*'Output-Calculation-sheet'!O91</f>
        <v>1109.1783446112945</v>
      </c>
      <c r="P110" s="2">
        <f>P11/'Output-Calculation-sheet'!P10*'Output-Calculation-sheet'!P91</f>
        <v>253.39736253156329</v>
      </c>
      <c r="Q110" s="2">
        <f>Q11/'Output-Calculation-sheet'!Q10*'Output-Calculation-sheet'!Q91</f>
        <v>560.75024997380069</v>
      </c>
      <c r="R110" s="2">
        <f>R11/'Output-Calculation-sheet'!R10*'Output-Calculation-sheet'!R91</f>
        <v>0</v>
      </c>
      <c r="S110" s="2">
        <f>S11/'Output-Calculation-sheet'!S10*'Output-Calculation-sheet'!S91</f>
        <v>576.52275448535113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122.46322048536759</v>
      </c>
      <c r="Y110" s="2">
        <f>Y11/'Output-Calculation-sheet'!Y10*'Output-Calculation-sheet'!Y91</f>
        <v>19.696558378533847</v>
      </c>
      <c r="AA110" s="2">
        <f t="shared" si="9"/>
        <v>20.423813477668855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2581.4565437104479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364.01970462941028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940.29925109718965</v>
      </c>
      <c r="Q111" s="2">
        <f>Q12/'Output-Calculation-sheet'!Q11*'Output-Calculation-sheet'!Q92</f>
        <v>891.77786929792546</v>
      </c>
      <c r="R111" s="2">
        <f>R12/'Output-Calculation-sheet'!R11*'Output-Calculation-sheet'!R92</f>
        <v>0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100.49791362391626</v>
      </c>
      <c r="AA111" s="2">
        <f t="shared" si="9"/>
        <v>30.372553624359021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9565883528.6406422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2943225976.5783782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2044324068.3040435</v>
      </c>
      <c r="N118" s="2">
        <f>N8/'Output-Calculation-sheet'!N7*'Output-Calculation-sheet'!N97</f>
        <v>1604211505.6107142</v>
      </c>
      <c r="O118" s="2">
        <f>O8/'Output-Calculation-sheet'!O7*'Output-Calculation-sheet'!O97</f>
        <v>1067460772.3334658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220339333.5333907</v>
      </c>
      <c r="Y118" s="2">
        <f>Y8/'Output-Calculation-sheet'!Y7*'Output-Calculation-sheet'!Y97</f>
        <v>0</v>
      </c>
      <c r="AA118" s="2">
        <f t="shared" si="10"/>
        <v>19657.596720360641</v>
      </c>
    </row>
    <row r="119" spans="1:27" x14ac:dyDescent="0.25">
      <c r="A119" s="2">
        <v>2032</v>
      </c>
      <c r="B119" s="2">
        <f>B9/'Output-Calculation-sheet'!B8*'Output-Calculation-sheet'!B98</f>
        <v>7007638039.3985701</v>
      </c>
      <c r="C119" s="2">
        <f>C9/'Output-Calculation-sheet'!C8*'Output-Calculation-sheet'!C98</f>
        <v>5569812257.3511381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3329646230.0140929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2324105537.8229151</v>
      </c>
      <c r="N119" s="2">
        <f>N9/'Output-Calculation-sheet'!N8*'Output-Calculation-sheet'!N98</f>
        <v>1571759196.3763251</v>
      </c>
      <c r="O119" s="2">
        <f>O9/'Output-Calculation-sheet'!O8*'Output-Calculation-sheet'!O98</f>
        <v>1088238394.7240784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652264381.81131053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248687624.56051227</v>
      </c>
      <c r="Y119" s="2">
        <f>Y9/'Output-Calculation-sheet'!Y8*'Output-Calculation-sheet'!Y98</f>
        <v>0</v>
      </c>
      <c r="AA119" s="2">
        <f t="shared" si="10"/>
        <v>21792.151662058939</v>
      </c>
    </row>
    <row r="120" spans="1:27" x14ac:dyDescent="0.25">
      <c r="A120" s="2">
        <v>2033</v>
      </c>
      <c r="B120" s="2">
        <f>B10/'Output-Calculation-sheet'!B9*'Output-Calculation-sheet'!B99</f>
        <v>6863634077.6452436</v>
      </c>
      <c r="C120" s="2">
        <f>C10/'Output-Calculation-sheet'!C9*'Output-Calculation-sheet'!C99</f>
        <v>5642333402.1122236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1849987463.2125444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1309436495.0000637</v>
      </c>
      <c r="N120" s="2">
        <f>N10/'Output-Calculation-sheet'!N9*'Output-Calculation-sheet'!N99</f>
        <v>1305369448.3105068</v>
      </c>
      <c r="O120" s="2">
        <f>O10/'Output-Calculation-sheet'!O9*'Output-Calculation-sheet'!O99</f>
        <v>1104647346.2082233</v>
      </c>
      <c r="P120" s="2">
        <f>P10/'Output-Calculation-sheet'!P9*'Output-Calculation-sheet'!P99</f>
        <v>0</v>
      </c>
      <c r="Q120" s="2">
        <f>Q10/'Output-Calculation-sheet'!Q9*'Output-Calculation-sheet'!Q99</f>
        <v>8294660.7897735927</v>
      </c>
      <c r="R120" s="2">
        <f>R10/'Output-Calculation-sheet'!R9*'Output-Calculation-sheet'!R99</f>
        <v>0</v>
      </c>
      <c r="S120" s="2">
        <f>S10/'Output-Calculation-sheet'!S9*'Output-Calculation-sheet'!S99</f>
        <v>546680206.42261195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130753043.6046304</v>
      </c>
      <c r="Y120" s="2">
        <f>Y10/'Output-Calculation-sheet'!Y9*'Output-Calculation-sheet'!Y99</f>
        <v>0</v>
      </c>
      <c r="AA120" s="2">
        <f t="shared" si="10"/>
        <v>18761.136143305819</v>
      </c>
    </row>
    <row r="121" spans="1:27" x14ac:dyDescent="0.25">
      <c r="A121" s="2">
        <v>2034</v>
      </c>
      <c r="B121" s="2">
        <f>B11/'Output-Calculation-sheet'!B10*'Output-Calculation-sheet'!B100</f>
        <v>6185226590.7115021</v>
      </c>
      <c r="C121" s="2">
        <f>C11/'Output-Calculation-sheet'!C10*'Output-Calculation-sheet'!C100</f>
        <v>749524804.7642467</v>
      </c>
      <c r="D121" s="2">
        <f>D11/'Output-Calculation-sheet'!D10*'Output-Calculation-sheet'!D100</f>
        <v>0</v>
      </c>
      <c r="E121" s="2">
        <f>E11/'Output-Calculation-sheet'!E10*'Output-Calculation-sheet'!E100</f>
        <v>865850678.78491306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1973568883.6238103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718975480.73464608</v>
      </c>
      <c r="M121" s="2">
        <f>M11/'Output-Calculation-sheet'!M10*'Output-Calculation-sheet'!M100</f>
        <v>1404581425.1559446</v>
      </c>
      <c r="N121" s="2">
        <f>N11/'Output-Calculation-sheet'!N10*'Output-Calculation-sheet'!N100</f>
        <v>936403051.66736102</v>
      </c>
      <c r="O121" s="2">
        <f>O11/'Output-Calculation-sheet'!O10*'Output-Calculation-sheet'!O100</f>
        <v>147021755.78876823</v>
      </c>
      <c r="P121" s="2">
        <f>P11/'Output-Calculation-sheet'!P10*'Output-Calculation-sheet'!P100</f>
        <v>0</v>
      </c>
      <c r="Q121" s="2">
        <f>Q11/'Output-Calculation-sheet'!Q10*'Output-Calculation-sheet'!Q100</f>
        <v>315713834.61790228</v>
      </c>
      <c r="R121" s="2">
        <f>R11/'Output-Calculation-sheet'!R10*'Output-Calculation-sheet'!R100</f>
        <v>0</v>
      </c>
      <c r="S121" s="2">
        <f>S11/'Output-Calculation-sheet'!S10*'Output-Calculation-sheet'!S100</f>
        <v>350114168.89248574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138009952.8331756</v>
      </c>
      <c r="Y121" s="2">
        <f>Y11/'Output-Calculation-sheet'!Y10*'Output-Calculation-sheet'!Y100</f>
        <v>20034686.894023001</v>
      </c>
      <c r="AA121" s="2">
        <f t="shared" si="10"/>
        <v>13805.025314468781</v>
      </c>
    </row>
    <row r="122" spans="1:27" x14ac:dyDescent="0.25">
      <c r="A122" s="2">
        <v>2035</v>
      </c>
      <c r="B122" s="2">
        <f>B12/'Output-Calculation-sheet'!B11*'Output-Calculation-sheet'!B101</f>
        <v>1558259007.7550209</v>
      </c>
      <c r="C122" s="2">
        <f>C12/'Output-Calculation-sheet'!C11*'Output-Calculation-sheet'!C101</f>
        <v>323384786.23879892</v>
      </c>
      <c r="D122" s="2">
        <f>D12/'Output-Calculation-sheet'!D11*'Output-Calculation-sheet'!D101</f>
        <v>0</v>
      </c>
      <c r="E122" s="2">
        <f>E12/'Output-Calculation-sheet'!E11*'Output-Calculation-sheet'!E101</f>
        <v>2672486226.0336237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560521616.16569829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1420839820.0980616</v>
      </c>
      <c r="M122" s="2">
        <f>M12/'Output-Calculation-sheet'!M11*'Output-Calculation-sheet'!M101</f>
        <v>499535170.63106632</v>
      </c>
      <c r="N122" s="2">
        <f>N12/'Output-Calculation-sheet'!N11*'Output-Calculation-sheet'!N101</f>
        <v>415915245.46018559</v>
      </c>
      <c r="O122" s="2">
        <f>O12/'Output-Calculation-sheet'!O11*'Output-Calculation-sheet'!O101</f>
        <v>55259935.880059198</v>
      </c>
      <c r="P122" s="2">
        <f>P12/'Output-Calculation-sheet'!P11*'Output-Calculation-sheet'!P101</f>
        <v>68015854.332995355</v>
      </c>
      <c r="Q122" s="2">
        <f>Q12/'Output-Calculation-sheet'!Q11*'Output-Calculation-sheet'!Q101</f>
        <v>632581569.94616282</v>
      </c>
      <c r="R122" s="2">
        <f>R12/'Output-Calculation-sheet'!R11*'Output-Calculation-sheet'!R101</f>
        <v>0</v>
      </c>
      <c r="S122" s="2">
        <f>S12/'Output-Calculation-sheet'!S11*'Output-Calculation-sheet'!S101</f>
        <v>186749250.55223933</v>
      </c>
      <c r="T122" s="2">
        <f>T12/'Output-Calculation-sheet'!T11*'Output-Calculation-sheet'!T101</f>
        <v>0</v>
      </c>
      <c r="U122" s="2">
        <f>U12/'Output-Calculation-sheet'!U11*'Output-Calculation-sheet'!U101</f>
        <v>78852280.596693099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16352585.016115155</v>
      </c>
      <c r="Y122" s="2">
        <f>Y12/'Output-Calculation-sheet'!Y11*'Output-Calculation-sheet'!Y101</f>
        <v>80300906.062206686</v>
      </c>
      <c r="AA122" s="2">
        <f t="shared" si="10"/>
        <v>8569.0542547689274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2662052502.4385109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174981.58796193739</v>
      </c>
    </row>
    <row r="130" spans="1:27" x14ac:dyDescent="0.25">
      <c r="A130" s="2">
        <v>2032</v>
      </c>
      <c r="B130" s="2">
        <f>B9/'Output-Calculation-sheet'!B8*'Output-Calculation-sheet'!B107</f>
        <v>63415110069.222618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2304821299.1370573</v>
      </c>
      <c r="O130" s="2">
        <f>O9/'Output-Calculation-sheet'!O8*'Output-Calculation-sheet'!O107</f>
        <v>0</v>
      </c>
      <c r="P130" s="2">
        <f>P9/'Output-Calculation-sheet'!P8*'Output-Calculation-sheet'!P107</f>
        <v>7039652372.5478926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2049027758.4624393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223328.94400501027</v>
      </c>
    </row>
    <row r="131" spans="1:27" x14ac:dyDescent="0.25">
      <c r="A131" s="2">
        <v>2033</v>
      </c>
      <c r="B131" s="2">
        <f>B10/'Output-Calculation-sheet'!B9*'Output-Calculation-sheet'!B108</f>
        <v>51200621563.3041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1876129566.0528793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7278730017.9290676</v>
      </c>
      <c r="R131" s="2">
        <f>R10/'Output-Calculation-sheet'!R9*'Output-Calculation-sheet'!R108</f>
        <v>8167275150.2934971</v>
      </c>
      <c r="S131" s="2">
        <f>S10/'Output-Calculation-sheet'!S9*'Output-Calculation-sheet'!S108</f>
        <v>1819745700.2736843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244372.26823407685</v>
      </c>
    </row>
    <row r="132" spans="1:27" x14ac:dyDescent="0.25">
      <c r="A132" s="2">
        <v>2034</v>
      </c>
      <c r="B132" s="2">
        <f>B11/'Output-Calculation-sheet'!B10*'Output-Calculation-sheet'!B109</f>
        <v>36382778166.469879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35036766606.663124</v>
      </c>
      <c r="F132" s="2">
        <f>F11/'Output-Calculation-sheet'!F10*'Output-Calculation-sheet'!F109</f>
        <v>23108135784.890907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14397633243.063169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10720269621.381607</v>
      </c>
      <c r="M132" s="2">
        <f>M11/'Output-Calculation-sheet'!M10*'Output-Calculation-sheet'!M109</f>
        <v>0</v>
      </c>
      <c r="N132" s="2">
        <f>N11/'Output-Calculation-sheet'!N10*'Output-Calculation-sheet'!N109</f>
        <v>1409465181.0059791</v>
      </c>
      <c r="O132" s="2">
        <f>O11/'Output-Calculation-sheet'!O10*'Output-Calculation-sheet'!O109</f>
        <v>0</v>
      </c>
      <c r="P132" s="2">
        <f>P11/'Output-Calculation-sheet'!P10*'Output-Calculation-sheet'!P109</f>
        <v>8009933410.9956102</v>
      </c>
      <c r="Q132" s="2">
        <f>Q11/'Output-Calculation-sheet'!Q10*'Output-Calculation-sheet'!Q109</f>
        <v>5159371498.9477196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967330308.94142103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1008288310.5517424</v>
      </c>
      <c r="AA132" s="2">
        <f t="shared" si="11"/>
        <v>246578.73067504054</v>
      </c>
    </row>
    <row r="133" spans="1:27" x14ac:dyDescent="0.25">
      <c r="A133" s="2">
        <v>2035</v>
      </c>
      <c r="B133" s="2">
        <f>B12/'Output-Calculation-sheet'!B11*'Output-Calculation-sheet'!B110</f>
        <v>521441316.1791625</v>
      </c>
      <c r="C133" s="2">
        <f>C12/'Output-Calculation-sheet'!C11*'Output-Calculation-sheet'!C110</f>
        <v>0</v>
      </c>
      <c r="D133" s="2">
        <f>D12/'Output-Calculation-sheet'!D11*'Output-Calculation-sheet'!D110</f>
        <v>44725062984.470474</v>
      </c>
      <c r="E133" s="2">
        <f>E12/'Output-Calculation-sheet'!E11*'Output-Calculation-sheet'!E110</f>
        <v>19157845771.344288</v>
      </c>
      <c r="F133" s="2">
        <f>F12/'Output-Calculation-sheet'!F11*'Output-Calculation-sheet'!F110</f>
        <v>23513251401.733803</v>
      </c>
      <c r="G133" s="2">
        <f>G12/'Output-Calculation-sheet'!G11*'Output-Calculation-sheet'!G110</f>
        <v>16299474225.470306</v>
      </c>
      <c r="H133" s="2">
        <f>H12/'Output-Calculation-sheet'!H11*'Output-Calculation-sheet'!H110</f>
        <v>0</v>
      </c>
      <c r="I133" s="2">
        <f>I12/'Output-Calculation-sheet'!I11*'Output-Calculation-sheet'!I110</f>
        <v>14801407527.898283</v>
      </c>
      <c r="J133" s="2">
        <f>J12/'Output-Calculation-sheet'!J11*'Output-Calculation-sheet'!J110</f>
        <v>14331139908.134975</v>
      </c>
      <c r="K133" s="2">
        <f>K12/'Output-Calculation-sheet'!K11*'Output-Calculation-sheet'!K110</f>
        <v>14403939172.724735</v>
      </c>
      <c r="L133" s="2">
        <f>L12/'Output-Calculation-sheet'!L11*'Output-Calculation-sheet'!L110</f>
        <v>8384769600.4437838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3178387520.4081111</v>
      </c>
      <c r="Q133" s="2">
        <f>Q12/'Output-Calculation-sheet'!Q11*'Output-Calculation-sheet'!Q110</f>
        <v>2674000766.7276506</v>
      </c>
      <c r="R133" s="2">
        <f>R12/'Output-Calculation-sheet'!R11*'Output-Calculation-sheet'!R110</f>
        <v>9402872347.2682495</v>
      </c>
      <c r="S133" s="2">
        <f>S12/'Output-Calculation-sheet'!S11*'Output-Calculation-sheet'!S110</f>
        <v>6325674.0103980079</v>
      </c>
      <c r="T133" s="2">
        <f>T12/'Output-Calculation-sheet'!T11*'Output-Calculation-sheet'!T110</f>
        <v>3506090221.1548901</v>
      </c>
      <c r="U133" s="2">
        <f>U12/'Output-Calculation-sheet'!U11*'Output-Calculation-sheet'!U110</f>
        <v>2840660267.7195554</v>
      </c>
      <c r="V133" s="2">
        <f>V12/'Output-Calculation-sheet'!V11*'Output-Calculation-sheet'!V110</f>
        <v>2361652140.6476669</v>
      </c>
      <c r="W133" s="2">
        <f>W12/'Output-Calculation-sheet'!W11*'Output-Calculation-sheet'!W110</f>
        <v>2060048643.2732749</v>
      </c>
      <c r="X133" s="2">
        <f>X12/'Output-Calculation-sheet'!X11*'Output-Calculation-sheet'!X110</f>
        <v>0</v>
      </c>
      <c r="Y133" s="2">
        <f>Y12/'Output-Calculation-sheet'!Y11*'Output-Calculation-sheet'!Y110</f>
        <v>472532172.33729839</v>
      </c>
      <c r="AA133" s="2">
        <f t="shared" si="11"/>
        <v>182640.90166194693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17314538931.084778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5443254904.6174765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3741612156.495306</v>
      </c>
      <c r="N140" s="2">
        <f>N8/'Output-Calculation-sheet'!N7*'Output-Calculation-sheet'!N115</f>
        <v>1412606892.7341683</v>
      </c>
      <c r="O140" s="2">
        <f>O8/'Output-Calculation-sheet'!O7*'Output-Calculation-sheet'!O115</f>
        <v>4155405036.8007331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406294157.40187448</v>
      </c>
      <c r="Y140" s="2">
        <f>Y8/'Output-Calculation-sheet'!Y7*'Output-Calculation-sheet'!Y115</f>
        <v>0</v>
      </c>
      <c r="AA140" s="2">
        <f t="shared" si="12"/>
        <v>32473.712079134337</v>
      </c>
    </row>
    <row r="141" spans="1:27" x14ac:dyDescent="0.25">
      <c r="A141" s="2">
        <v>2032</v>
      </c>
      <c r="B141" s="2">
        <f>B9/'Output-Calculation-sheet'!B8*'Output-Calculation-sheet'!B116</f>
        <v>7249810358.3428411</v>
      </c>
      <c r="C141" s="2">
        <f>C9/'Output-Calculation-sheet'!C8*'Output-Calculation-sheet'!C116</f>
        <v>31033475044.018654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8090292367.6951685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5554650444.9902763</v>
      </c>
      <c r="N141" s="2">
        <f>N9/'Output-Calculation-sheet'!N8*'Output-Calculation-sheet'!N116</f>
        <v>3856383173.4828768</v>
      </c>
      <c r="O141" s="2">
        <f>O9/'Output-Calculation-sheet'!O8*'Output-Calculation-sheet'!O116</f>
        <v>6023779897.8355446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1727312584.9977047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604604182.82636714</v>
      </c>
      <c r="Y141" s="2">
        <f>Y9/'Output-Calculation-sheet'!Y8*'Output-Calculation-sheet'!Y116</f>
        <v>0</v>
      </c>
      <c r="AA141" s="2">
        <f t="shared" si="12"/>
        <v>64140.308054189431</v>
      </c>
    </row>
    <row r="142" spans="1:27" x14ac:dyDescent="0.25">
      <c r="A142" s="2">
        <v>2033</v>
      </c>
      <c r="B142" s="2">
        <f>B10/'Output-Calculation-sheet'!B9*'Output-Calculation-sheet'!B117</f>
        <v>37147660486.120026</v>
      </c>
      <c r="C142" s="2">
        <f>C10/'Output-Calculation-sheet'!C9*'Output-Calculation-sheet'!C117</f>
        <v>39226394523.415901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12148704122.549467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8348432865.6112804</v>
      </c>
      <c r="N142" s="2">
        <f>N10/'Output-Calculation-sheet'!N9*'Output-Calculation-sheet'!N117</f>
        <v>6297655967.6694489</v>
      </c>
      <c r="O142" s="2">
        <f>O10/'Output-Calculation-sheet'!O9*'Output-Calculation-sheet'!O117</f>
        <v>7613345345.5176973</v>
      </c>
      <c r="P142" s="2">
        <f>P10/'Output-Calculation-sheet'!P9*'Output-Calculation-sheet'!P117</f>
        <v>0</v>
      </c>
      <c r="Q142" s="2">
        <f>Q10/'Output-Calculation-sheet'!Q9*'Output-Calculation-sheet'!Q117</f>
        <v>1202785478.6345654</v>
      </c>
      <c r="R142" s="2">
        <f>R10/'Output-Calculation-sheet'!R9*'Output-Calculation-sheet'!R117</f>
        <v>0</v>
      </c>
      <c r="S142" s="2">
        <f>S10/'Output-Calculation-sheet'!S9*'Output-Calculation-sheet'!S117</f>
        <v>3062208467.5574317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915221885.80191219</v>
      </c>
      <c r="Y142" s="2">
        <f>Y10/'Output-Calculation-sheet'!Y9*'Output-Calculation-sheet'!Y117</f>
        <v>0</v>
      </c>
      <c r="AA142" s="2">
        <f t="shared" si="12"/>
        <v>115962.40914287773</v>
      </c>
    </row>
    <row r="143" spans="1:27" x14ac:dyDescent="0.25">
      <c r="A143" s="2">
        <v>2034</v>
      </c>
      <c r="B143" s="2">
        <f>B11/'Output-Calculation-sheet'!B10*'Output-Calculation-sheet'!B118</f>
        <v>65153063679.7481</v>
      </c>
      <c r="C143" s="2">
        <f>C11/'Output-Calculation-sheet'!C10*'Output-Calculation-sheet'!C118</f>
        <v>50014368181.371902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13864231687.330696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9522108450.0231743</v>
      </c>
      <c r="N143" s="2">
        <f>N11/'Output-Calculation-sheet'!N10*'Output-Calculation-sheet'!N118</f>
        <v>8378691567.4561291</v>
      </c>
      <c r="O143" s="2">
        <f>O11/'Output-Calculation-sheet'!O10*'Output-Calculation-sheet'!O118</f>
        <v>9716402298.794939</v>
      </c>
      <c r="P143" s="2">
        <f>P11/'Output-Calculation-sheet'!P10*'Output-Calculation-sheet'!P118</f>
        <v>1752525777.1418345</v>
      </c>
      <c r="Q143" s="2">
        <f>Q11/'Output-Calculation-sheet'!Q10*'Output-Calculation-sheet'!Q118</f>
        <v>4130081644.0023036</v>
      </c>
      <c r="R143" s="2">
        <f>R11/'Output-Calculation-sheet'!R10*'Output-Calculation-sheet'!R118</f>
        <v>0</v>
      </c>
      <c r="S143" s="2">
        <f>S11/'Output-Calculation-sheet'!S10*'Output-Calculation-sheet'!S118</f>
        <v>4824441786.5371428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1045382629.9860998</v>
      </c>
      <c r="Y143" s="2">
        <f>Y11/'Output-Calculation-sheet'!Y10*'Output-Calculation-sheet'!Y118</f>
        <v>122503409.91388586</v>
      </c>
      <c r="AA143" s="2">
        <f t="shared" si="12"/>
        <v>168523.80111230619</v>
      </c>
    </row>
    <row r="144" spans="1:27" x14ac:dyDescent="0.25">
      <c r="A144" s="2">
        <v>2035</v>
      </c>
      <c r="B144" s="2">
        <f>B12/'Output-Calculation-sheet'!B11*'Output-Calculation-sheet'!B119</f>
        <v>111726818009.86066</v>
      </c>
      <c r="C144" s="2">
        <f>C12/'Output-Calculation-sheet'!C11*'Output-Calculation-sheet'!C119</f>
        <v>53449319549.716278</v>
      </c>
      <c r="D144" s="2">
        <f>D12/'Output-Calculation-sheet'!D11*'Output-Calculation-sheet'!D119</f>
        <v>0</v>
      </c>
      <c r="E144" s="2">
        <f>E12/'Output-Calculation-sheet'!E11*'Output-Calculation-sheet'!E119</f>
        <v>15920956293.6721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16160182160.035662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2052071261.804301</v>
      </c>
      <c r="M144" s="2">
        <f>M12/'Output-Calculation-sheet'!M11*'Output-Calculation-sheet'!M119</f>
        <v>11029559205.327831</v>
      </c>
      <c r="N144" s="2">
        <f>N12/'Output-Calculation-sheet'!N11*'Output-Calculation-sheet'!N119</f>
        <v>10896748920.438723</v>
      </c>
      <c r="O144" s="2">
        <f>O12/'Output-Calculation-sheet'!O11*'Output-Calculation-sheet'!O119</f>
        <v>10388549281.448473</v>
      </c>
      <c r="P144" s="2">
        <f>P12/'Output-Calculation-sheet'!P11*'Output-Calculation-sheet'!P119</f>
        <v>7051459782.8797922</v>
      </c>
      <c r="Q144" s="2">
        <f>Q12/'Output-Calculation-sheet'!Q11*'Output-Calculation-sheet'!Q119</f>
        <v>6678039969.1349478</v>
      </c>
      <c r="R144" s="2">
        <f>R12/'Output-Calculation-sheet'!R11*'Output-Calculation-sheet'!R119</f>
        <v>0</v>
      </c>
      <c r="S144" s="2">
        <f>S12/'Output-Calculation-sheet'!S11*'Output-Calculation-sheet'!S119</f>
        <v>6282525327.945426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1236632650.7102907</v>
      </c>
      <c r="Y144" s="2">
        <f>Y12/'Output-Calculation-sheet'!Y11*'Output-Calculation-sheet'!Y119</f>
        <v>660340347.74611819</v>
      </c>
      <c r="AA144" s="2">
        <f t="shared" si="12"/>
        <v>253533.20276072063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5222865809.1341991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227112.89645933273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4267210796.5656796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185556.87450163957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577202606.03853309</v>
      </c>
      <c r="C155" s="2">
        <f>C12/'Output-Calculation-sheet'!C11*'Output-Calculation-sheet'!C128</f>
        <v>62186807.558551334</v>
      </c>
      <c r="D155" s="2">
        <f>D12/'Output-Calculation-sheet'!D11*'Output-Calculation-sheet'!D128</f>
        <v>4147044041.6350427</v>
      </c>
      <c r="E155" s="2">
        <f>E12/'Output-Calculation-sheet'!E11*'Output-Calculation-sheet'!E128</f>
        <v>673119077.5748446</v>
      </c>
      <c r="F155" s="2">
        <f>F12/'Output-Calculation-sheet'!F11*'Output-Calculation-sheet'!F128</f>
        <v>1514835669.1269622</v>
      </c>
      <c r="G155" s="2">
        <f>G12/'Output-Calculation-sheet'!G11*'Output-Calculation-sheet'!G128</f>
        <v>1386232649.3353486</v>
      </c>
      <c r="H155" s="2">
        <f>H12/'Output-Calculation-sheet'!H11*'Output-Calculation-sheet'!H128</f>
        <v>107184978.57185137</v>
      </c>
      <c r="I155" s="2">
        <f>I12/'Output-Calculation-sheet'!I11*'Output-Calculation-sheet'!I128</f>
        <v>1271997046.3989103</v>
      </c>
      <c r="J155" s="2">
        <f>J12/'Output-Calculation-sheet'!J11*'Output-Calculation-sheet'!J128</f>
        <v>1153364616.2109554</v>
      </c>
      <c r="K155" s="2">
        <f>K12/'Output-Calculation-sheet'!K11*'Output-Calculation-sheet'!K128</f>
        <v>998794765.32604635</v>
      </c>
      <c r="L155" s="2">
        <f>L12/'Output-Calculation-sheet'!L11*'Output-Calculation-sheet'!L128</f>
        <v>376257857.99790579</v>
      </c>
      <c r="M155" s="2">
        <f>M12/'Output-Calculation-sheet'!M11*'Output-Calculation-sheet'!M128</f>
        <v>88406476.765238285</v>
      </c>
      <c r="N155" s="2">
        <f>N12/'Output-Calculation-sheet'!N11*'Output-Calculation-sheet'!N128</f>
        <v>78128470.948146239</v>
      </c>
      <c r="O155" s="2">
        <f>O12/'Output-Calculation-sheet'!O11*'Output-Calculation-sheet'!O128</f>
        <v>16089551.08381667</v>
      </c>
      <c r="P155" s="2">
        <f>P12/'Output-Calculation-sheet'!P11*'Output-Calculation-sheet'!P128</f>
        <v>102500148.9047215</v>
      </c>
      <c r="Q155" s="2">
        <f>Q12/'Output-Calculation-sheet'!Q11*'Output-Calculation-sheet'!Q128</f>
        <v>259835503.33751589</v>
      </c>
      <c r="R155" s="2">
        <f>R12/'Output-Calculation-sheet'!R11*'Output-Calculation-sheet'!R128</f>
        <v>577446863.44194353</v>
      </c>
      <c r="S155" s="2">
        <f>S12/'Output-Calculation-sheet'!S11*'Output-Calculation-sheet'!S128</f>
        <v>49874813.97142528</v>
      </c>
      <c r="T155" s="2">
        <f>T12/'Output-Calculation-sheet'!T11*'Output-Calculation-sheet'!T128</f>
        <v>147865392.46534771</v>
      </c>
      <c r="U155" s="2">
        <f>U12/'Output-Calculation-sheet'!U11*'Output-Calculation-sheet'!U128</f>
        <v>303081642.4344964</v>
      </c>
      <c r="V155" s="2">
        <f>V12/'Output-Calculation-sheet'!V11*'Output-Calculation-sheet'!V128</f>
        <v>66568889.375938915</v>
      </c>
      <c r="W155" s="2">
        <f>W12/'Output-Calculation-sheet'!W11*'Output-Calculation-sheet'!W128</f>
        <v>81004619.539250508</v>
      </c>
      <c r="X155" s="2">
        <f>X12/'Output-Calculation-sheet'!X11*'Output-Calculation-sheet'!X128</f>
        <v>2767316.2782530612</v>
      </c>
      <c r="Y155" s="2">
        <f>Y12/'Output-Calculation-sheet'!Y11*'Output-Calculation-sheet'!Y128</f>
        <v>16303371.92521802</v>
      </c>
      <c r="AA155" s="2">
        <f t="shared" si="13"/>
        <v>14058.093176246266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1082.1500000000001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2161.7919999999999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855.47900000000004</v>
      </c>
      <c r="O17" s="7">
        <v>0</v>
      </c>
      <c r="P17" s="7">
        <v>2314.6080000000002</v>
      </c>
      <c r="Q17" s="7">
        <v>2600.6390000000001</v>
      </c>
      <c r="R17" s="7">
        <v>1715.731</v>
      </c>
      <c r="S17" s="7">
        <v>1235.1880000000001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1645.5840000000001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1932.1479999999999</v>
      </c>
      <c r="L18" s="7">
        <v>2097.828</v>
      </c>
      <c r="M18" s="7">
        <v>0</v>
      </c>
      <c r="N18" s="7">
        <v>674.08699999999999</v>
      </c>
      <c r="O18" s="7">
        <v>0</v>
      </c>
      <c r="P18" s="7">
        <v>2904.78</v>
      </c>
      <c r="Q18" s="7">
        <v>2835.7049999999999</v>
      </c>
      <c r="R18" s="7">
        <v>2218.317</v>
      </c>
      <c r="S18" s="7">
        <v>1069.7539999999999</v>
      </c>
      <c r="T18" s="7">
        <v>1750.277</v>
      </c>
      <c r="U18" s="7">
        <v>2224.951</v>
      </c>
      <c r="V18" s="7">
        <v>2129.8429999999998</v>
      </c>
      <c r="W18" s="7">
        <v>1226.963</v>
      </c>
      <c r="X18" s="7">
        <v>0</v>
      </c>
      <c r="Y18" s="7">
        <v>2467.8470000000002</v>
      </c>
    </row>
    <row r="19" spans="1:25" ht="28.5" customHeight="1" x14ac:dyDescent="0.25">
      <c r="A19" s="4"/>
      <c r="B19" s="7">
        <v>1151.6559999999999</v>
      </c>
      <c r="C19" s="7">
        <v>0</v>
      </c>
      <c r="D19" s="7">
        <v>1815.5989999999999</v>
      </c>
      <c r="E19" s="7">
        <v>2832.248</v>
      </c>
      <c r="F19" s="7">
        <v>2061.9760000000001</v>
      </c>
      <c r="G19" s="7">
        <v>1722.914</v>
      </c>
      <c r="H19" s="7">
        <v>0</v>
      </c>
      <c r="I19" s="7">
        <v>2090.2849999999999</v>
      </c>
      <c r="J19" s="7">
        <v>1785.8620000000001</v>
      </c>
      <c r="K19" s="7">
        <v>2494.1379999999999</v>
      </c>
      <c r="L19" s="7">
        <v>2551.4589999999998</v>
      </c>
      <c r="M19" s="7">
        <v>0</v>
      </c>
      <c r="N19" s="7">
        <v>519.62699999999995</v>
      </c>
      <c r="O19" s="7">
        <v>0</v>
      </c>
      <c r="P19" s="7">
        <v>2793.4769999999999</v>
      </c>
      <c r="Q19" s="7">
        <v>1872.1389999999999</v>
      </c>
      <c r="R19" s="7">
        <v>2798.18</v>
      </c>
      <c r="S19" s="7">
        <v>576.25</v>
      </c>
      <c r="T19" s="7">
        <v>2219.261</v>
      </c>
      <c r="U19" s="7">
        <v>2935.0369999999998</v>
      </c>
      <c r="V19" s="7">
        <v>2595.7150000000001</v>
      </c>
      <c r="W19" s="7">
        <v>1866.4480000000001</v>
      </c>
      <c r="X19" s="7">
        <v>0</v>
      </c>
      <c r="Y19" s="7">
        <v>2648.0740000000001</v>
      </c>
    </row>
    <row r="20" spans="1:25" ht="28.5" customHeight="1" x14ac:dyDescent="0.25">
      <c r="A20" s="4"/>
      <c r="B20" s="7">
        <v>17.088000000000001</v>
      </c>
      <c r="C20" s="7">
        <v>0</v>
      </c>
      <c r="D20" s="7">
        <v>2004.682</v>
      </c>
      <c r="E20" s="7">
        <v>1178.4870000000001</v>
      </c>
      <c r="F20" s="7">
        <v>2545.7049999999999</v>
      </c>
      <c r="G20" s="7">
        <v>1904.9469999999999</v>
      </c>
      <c r="H20" s="7">
        <v>0</v>
      </c>
      <c r="I20" s="7">
        <v>2353.0650000000001</v>
      </c>
      <c r="J20" s="7">
        <v>2058.8969999999999</v>
      </c>
      <c r="K20" s="7">
        <v>2920.9960000000001</v>
      </c>
      <c r="L20" s="7">
        <v>2034.2919999999999</v>
      </c>
      <c r="M20" s="7">
        <v>0</v>
      </c>
      <c r="N20" s="7">
        <v>0</v>
      </c>
      <c r="O20" s="7">
        <v>0</v>
      </c>
      <c r="P20" s="7">
        <v>939.39800000000002</v>
      </c>
      <c r="Q20" s="7">
        <v>937.12599999999998</v>
      </c>
      <c r="R20" s="7">
        <v>3348.9229999999998</v>
      </c>
      <c r="S20" s="7">
        <v>4.0620000000000003</v>
      </c>
      <c r="T20" s="7">
        <v>2699.8159999999998</v>
      </c>
      <c r="U20" s="7">
        <v>2825.5639999999999</v>
      </c>
      <c r="V20" s="7">
        <v>3536.663</v>
      </c>
      <c r="W20" s="7">
        <v>2484.21</v>
      </c>
      <c r="X20" s="7">
        <v>0</v>
      </c>
      <c r="Y20" s="7">
        <v>925.99599999999998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1129.008</v>
      </c>
      <c r="D25" s="7">
        <v>0</v>
      </c>
      <c r="E25" s="7">
        <v>0</v>
      </c>
      <c r="F25" s="7">
        <v>0</v>
      </c>
      <c r="G25" s="7">
        <v>0</v>
      </c>
      <c r="H25" s="7">
        <v>1110.9670000000001</v>
      </c>
      <c r="I25" s="7">
        <v>0</v>
      </c>
      <c r="J25" s="7">
        <v>0</v>
      </c>
      <c r="K25" s="7">
        <v>0</v>
      </c>
      <c r="L25" s="7">
        <v>0</v>
      </c>
      <c r="M25" s="7">
        <v>1121.53</v>
      </c>
      <c r="N25" s="7">
        <v>949.27200000000005</v>
      </c>
      <c r="O25" s="7">
        <v>638.42899999999997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1106.4580000000001</v>
      </c>
      <c r="Y25" s="7">
        <v>0</v>
      </c>
    </row>
    <row r="26" spans="1:25" x14ac:dyDescent="0.25">
      <c r="B26" s="7">
        <v>514.17200000000003</v>
      </c>
      <c r="C26" s="7">
        <v>594.07000000000005</v>
      </c>
      <c r="D26" s="7">
        <v>0</v>
      </c>
      <c r="E26" s="7">
        <v>0</v>
      </c>
      <c r="F26" s="7">
        <v>0</v>
      </c>
      <c r="G26" s="7">
        <v>0</v>
      </c>
      <c r="H26" s="7">
        <v>1158.5029999999999</v>
      </c>
      <c r="I26" s="7">
        <v>0</v>
      </c>
      <c r="J26" s="7">
        <v>0</v>
      </c>
      <c r="K26" s="7">
        <v>0</v>
      </c>
      <c r="L26" s="7">
        <v>0</v>
      </c>
      <c r="M26" s="7">
        <v>1176.5340000000001</v>
      </c>
      <c r="N26" s="7">
        <v>829.60799999999995</v>
      </c>
      <c r="O26" s="7">
        <v>597.46199999999999</v>
      </c>
      <c r="P26" s="7">
        <v>0</v>
      </c>
      <c r="Q26" s="7">
        <v>0</v>
      </c>
      <c r="R26" s="7">
        <v>0</v>
      </c>
      <c r="S26" s="7">
        <v>686.50300000000004</v>
      </c>
      <c r="T26" s="7">
        <v>0</v>
      </c>
      <c r="U26" s="7">
        <v>0</v>
      </c>
      <c r="V26" s="7">
        <v>0</v>
      </c>
      <c r="W26" s="7">
        <v>0</v>
      </c>
      <c r="X26" s="7">
        <v>1167.0160000000001</v>
      </c>
      <c r="Y26" s="7">
        <v>0</v>
      </c>
    </row>
    <row r="27" spans="1:25" x14ac:dyDescent="0.25">
      <c r="B27" s="7">
        <v>454.92500000000001</v>
      </c>
      <c r="C27" s="7">
        <v>589.13300000000004</v>
      </c>
      <c r="D27" s="7">
        <v>0</v>
      </c>
      <c r="E27" s="7">
        <v>0</v>
      </c>
      <c r="F27" s="7">
        <v>0</v>
      </c>
      <c r="G27" s="7">
        <v>0</v>
      </c>
      <c r="H27" s="7">
        <v>627.49699999999996</v>
      </c>
      <c r="I27" s="7">
        <v>0</v>
      </c>
      <c r="J27" s="7">
        <v>0</v>
      </c>
      <c r="K27" s="7">
        <v>0</v>
      </c>
      <c r="L27" s="7">
        <v>0</v>
      </c>
      <c r="M27" s="7">
        <v>645.47199999999998</v>
      </c>
      <c r="N27" s="7">
        <v>665.08199999999999</v>
      </c>
      <c r="O27" s="7">
        <v>593.70100000000002</v>
      </c>
      <c r="P27" s="7">
        <v>0</v>
      </c>
      <c r="Q27" s="7">
        <v>9.1940000000000008</v>
      </c>
      <c r="R27" s="7">
        <v>0</v>
      </c>
      <c r="S27" s="7">
        <v>552.45699999999999</v>
      </c>
      <c r="T27" s="7">
        <v>0</v>
      </c>
      <c r="U27" s="7">
        <v>0</v>
      </c>
      <c r="V27" s="7">
        <v>0</v>
      </c>
      <c r="W27" s="7">
        <v>0</v>
      </c>
      <c r="X27" s="7">
        <v>587.529</v>
      </c>
      <c r="Y27" s="7">
        <v>0</v>
      </c>
    </row>
    <row r="28" spans="1:25" x14ac:dyDescent="0.25">
      <c r="B28" s="7">
        <v>376.84800000000001</v>
      </c>
      <c r="C28" s="7">
        <v>80.700999999999993</v>
      </c>
      <c r="D28" s="7">
        <v>0</v>
      </c>
      <c r="E28" s="7">
        <v>380.642</v>
      </c>
      <c r="F28" s="7">
        <v>0</v>
      </c>
      <c r="G28" s="7">
        <v>0</v>
      </c>
      <c r="H28" s="7">
        <v>690.28800000000001</v>
      </c>
      <c r="I28" s="7">
        <v>0</v>
      </c>
      <c r="J28" s="7">
        <v>0</v>
      </c>
      <c r="K28" s="7">
        <v>0</v>
      </c>
      <c r="L28" s="7">
        <v>727.58199999999999</v>
      </c>
      <c r="M28" s="7">
        <v>713.96199999999999</v>
      </c>
      <c r="N28" s="7">
        <v>485.62200000000001</v>
      </c>
      <c r="O28" s="7">
        <v>81.481999999999999</v>
      </c>
      <c r="P28" s="7">
        <v>0</v>
      </c>
      <c r="Q28" s="7">
        <v>283.089</v>
      </c>
      <c r="R28" s="7">
        <v>0</v>
      </c>
      <c r="S28" s="7">
        <v>317.20400000000001</v>
      </c>
      <c r="T28" s="7">
        <v>0</v>
      </c>
      <c r="U28" s="7">
        <v>0</v>
      </c>
      <c r="V28" s="7">
        <v>0</v>
      </c>
      <c r="W28" s="7">
        <v>0</v>
      </c>
      <c r="X28" s="7">
        <v>639.47500000000002</v>
      </c>
      <c r="Y28" s="7">
        <v>270.11700000000002</v>
      </c>
    </row>
    <row r="29" spans="1:25" x14ac:dyDescent="0.25">
      <c r="B29" s="7">
        <v>85.837000000000003</v>
      </c>
      <c r="C29" s="7">
        <v>37.531999999999996</v>
      </c>
      <c r="D29" s="7">
        <v>0</v>
      </c>
      <c r="E29" s="7">
        <v>657.06899999999996</v>
      </c>
      <c r="F29" s="7">
        <v>0</v>
      </c>
      <c r="G29" s="7">
        <v>0</v>
      </c>
      <c r="H29" s="7">
        <v>211.333</v>
      </c>
      <c r="I29" s="7">
        <v>0</v>
      </c>
      <c r="J29" s="7">
        <v>0</v>
      </c>
      <c r="K29" s="7">
        <v>0</v>
      </c>
      <c r="L29" s="7">
        <v>1194.0360000000001</v>
      </c>
      <c r="M29" s="7">
        <v>273.70999999999998</v>
      </c>
      <c r="N29" s="7">
        <v>231.87100000000001</v>
      </c>
      <c r="O29" s="7">
        <v>33.012999999999998</v>
      </c>
      <c r="P29" s="7">
        <v>52.232999999999997</v>
      </c>
      <c r="Q29" s="7">
        <v>451.13099999999997</v>
      </c>
      <c r="R29" s="7">
        <v>0</v>
      </c>
      <c r="S29" s="7">
        <v>181.62200000000001</v>
      </c>
      <c r="T29" s="7">
        <v>0</v>
      </c>
      <c r="U29" s="7">
        <v>501.43299999999999</v>
      </c>
      <c r="V29" s="7">
        <v>0</v>
      </c>
      <c r="W29" s="7">
        <v>0</v>
      </c>
      <c r="X29" s="7">
        <v>81.676000000000002</v>
      </c>
      <c r="Y29" s="7">
        <v>538.37800000000004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3</v>
      </c>
      <c r="E38" s="7">
        <v>2</v>
      </c>
      <c r="F38" s="7">
        <v>3</v>
      </c>
      <c r="G38" s="7">
        <v>4</v>
      </c>
      <c r="H38" s="7">
        <v>1</v>
      </c>
      <c r="I38" s="7">
        <v>3</v>
      </c>
      <c r="J38" s="7">
        <v>2</v>
      </c>
      <c r="K38" s="7">
        <v>3</v>
      </c>
      <c r="L38" s="7">
        <v>2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3</v>
      </c>
      <c r="S38" s="7">
        <v>1</v>
      </c>
      <c r="T38" s="7">
        <v>2</v>
      </c>
      <c r="U38" s="7">
        <v>4</v>
      </c>
      <c r="V38" s="7">
        <v>1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151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25"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174</v>
      </c>
      <c r="L45" s="7">
        <v>0</v>
      </c>
      <c r="M45" s="7">
        <v>0</v>
      </c>
      <c r="N45" s="7">
        <v>0</v>
      </c>
      <c r="O45" s="7">
        <v>0</v>
      </c>
      <c r="P45" s="7">
        <v>2110</v>
      </c>
      <c r="Q45" s="7">
        <v>195</v>
      </c>
      <c r="R45" s="7">
        <v>1471</v>
      </c>
      <c r="S45" s="7">
        <v>0</v>
      </c>
      <c r="T45" s="7">
        <v>191</v>
      </c>
      <c r="U45" s="7">
        <v>1654</v>
      </c>
      <c r="V45" s="7">
        <v>162</v>
      </c>
      <c r="W45" s="7">
        <v>0</v>
      </c>
      <c r="X45" s="7">
        <v>0</v>
      </c>
      <c r="Y45" s="7">
        <v>148</v>
      </c>
    </row>
    <row r="46" spans="1:25" x14ac:dyDescent="0.25">
      <c r="B46" s="7">
        <v>141</v>
      </c>
      <c r="C46" s="7">
        <v>0</v>
      </c>
      <c r="D46" s="7">
        <v>1585</v>
      </c>
      <c r="E46" s="7">
        <v>2475</v>
      </c>
      <c r="F46" s="7">
        <v>118</v>
      </c>
      <c r="G46" s="7">
        <v>1967</v>
      </c>
      <c r="H46" s="7">
        <v>350</v>
      </c>
      <c r="I46" s="7">
        <v>1181</v>
      </c>
      <c r="J46" s="7">
        <v>865</v>
      </c>
      <c r="K46" s="7">
        <v>2363</v>
      </c>
      <c r="L46" s="7">
        <v>1099</v>
      </c>
      <c r="M46" s="7">
        <v>377</v>
      </c>
      <c r="N46" s="7">
        <v>131</v>
      </c>
      <c r="O46" s="7">
        <v>0</v>
      </c>
      <c r="P46" s="7">
        <v>3024</v>
      </c>
      <c r="Q46" s="7">
        <v>697</v>
      </c>
      <c r="R46" s="7">
        <v>4065</v>
      </c>
      <c r="S46" s="7">
        <v>0</v>
      </c>
      <c r="T46" s="7">
        <v>2487</v>
      </c>
      <c r="U46" s="7">
        <v>4797</v>
      </c>
      <c r="V46" s="7">
        <v>2505</v>
      </c>
      <c r="W46" s="7">
        <v>386</v>
      </c>
      <c r="X46" s="7">
        <v>328</v>
      </c>
      <c r="Y46" s="7">
        <v>2364</v>
      </c>
    </row>
    <row r="47" spans="1:25" x14ac:dyDescent="0.25">
      <c r="B47" s="7">
        <v>42</v>
      </c>
      <c r="C47" s="7">
        <v>72</v>
      </c>
      <c r="D47" s="7">
        <v>3304</v>
      </c>
      <c r="E47" s="7">
        <v>2890</v>
      </c>
      <c r="F47" s="7">
        <v>1372</v>
      </c>
      <c r="G47" s="7">
        <v>4275</v>
      </c>
      <c r="H47" s="7">
        <v>88</v>
      </c>
      <c r="I47" s="7">
        <v>2793</v>
      </c>
      <c r="J47" s="7">
        <v>2990</v>
      </c>
      <c r="K47" s="7">
        <v>4161</v>
      </c>
      <c r="L47" s="7">
        <v>3503</v>
      </c>
      <c r="M47" s="7">
        <v>85</v>
      </c>
      <c r="N47" s="7">
        <v>95</v>
      </c>
      <c r="O47" s="7">
        <v>68</v>
      </c>
      <c r="P47" s="7">
        <v>1325</v>
      </c>
      <c r="Q47" s="7">
        <v>1032</v>
      </c>
      <c r="R47" s="7">
        <v>5877</v>
      </c>
      <c r="S47" s="7">
        <v>74</v>
      </c>
      <c r="T47" s="7">
        <v>5768</v>
      </c>
      <c r="U47" s="7">
        <v>6181</v>
      </c>
      <c r="V47" s="7">
        <v>4934</v>
      </c>
      <c r="W47" s="7">
        <v>3370</v>
      </c>
      <c r="X47" s="7">
        <v>87</v>
      </c>
      <c r="Y47" s="7">
        <v>1933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7.5471167492566896E-2</v>
      </c>
      <c r="C52" s="7">
        <v>8.5560852518186681E-2</v>
      </c>
      <c r="D52" s="7">
        <v>6.161899092835544E-2</v>
      </c>
      <c r="E52" s="7">
        <v>7.7219460035298046E-2</v>
      </c>
      <c r="F52" s="7">
        <v>5.0801012839134116E-2</v>
      </c>
      <c r="G52" s="7">
        <v>5.1981506751503419E-2</v>
      </c>
      <c r="H52" s="7">
        <v>8.6669660655053146E-2</v>
      </c>
      <c r="I52" s="7">
        <v>5.3074304690743049E-2</v>
      </c>
      <c r="J52" s="7">
        <v>7.5034952894424578E-2</v>
      </c>
      <c r="K52" s="7">
        <v>6.6562992597561266E-2</v>
      </c>
      <c r="L52" s="7">
        <v>0.11160430897333407</v>
      </c>
      <c r="M52" s="7">
        <v>0.10291538316464449</v>
      </c>
      <c r="N52" s="7">
        <v>9.2519790371571112E-2</v>
      </c>
      <c r="O52" s="7">
        <v>9.0092298356833744E-2</v>
      </c>
      <c r="P52" s="7">
        <v>6.7177993915147449E-2</v>
      </c>
      <c r="Q52" s="7">
        <v>7.7274686701357884E-2</v>
      </c>
      <c r="R52" s="7">
        <v>7.2114358262249559E-2</v>
      </c>
      <c r="S52" s="7">
        <v>8.0402010050251257E-2</v>
      </c>
      <c r="T52" s="7">
        <v>7.4585120231278501E-2</v>
      </c>
      <c r="U52" s="7">
        <v>5.8813169813727993E-2</v>
      </c>
      <c r="V52" s="7">
        <v>0.1355542424581184</v>
      </c>
      <c r="W52" s="7">
        <v>5.6670721091260493E-2</v>
      </c>
      <c r="X52" s="7">
        <v>9.7320767632707972E-2</v>
      </c>
      <c r="Y52" s="7">
        <v>6.3370093044563452E-2</v>
      </c>
    </row>
    <row r="53" spans="1:25" x14ac:dyDescent="0.25">
      <c r="B53" s="7">
        <v>7.1959135777998021E-2</v>
      </c>
      <c r="C53" s="7">
        <v>8.0950099417866475E-2</v>
      </c>
      <c r="D53" s="7">
        <v>5.0741358921244158E-2</v>
      </c>
      <c r="E53" s="7">
        <v>6.5492161289809683E-2</v>
      </c>
      <c r="F53" s="7">
        <v>4.2912293101975189E-2</v>
      </c>
      <c r="G53" s="7">
        <v>4.3470629770083938E-2</v>
      </c>
      <c r="H53" s="7">
        <v>8.1430180978719041E-2</v>
      </c>
      <c r="I53" s="7">
        <v>4.4604196527174039E-2</v>
      </c>
      <c r="J53" s="7">
        <v>6.0664765985235208E-2</v>
      </c>
      <c r="K53" s="7">
        <v>5.683348904806395E-2</v>
      </c>
      <c r="L53" s="7">
        <v>9.1143017706049503E-2</v>
      </c>
      <c r="M53" s="7">
        <v>9.3642735902432897E-2</v>
      </c>
      <c r="N53" s="7">
        <v>8.5898081553642536E-2</v>
      </c>
      <c r="O53" s="7">
        <v>8.4369161490187305E-2</v>
      </c>
      <c r="P53" s="7">
        <v>6.3290891087527654E-2</v>
      </c>
      <c r="Q53" s="7">
        <v>7.1094536133263539E-2</v>
      </c>
      <c r="R53" s="7">
        <v>6.3349160880777619E-2</v>
      </c>
      <c r="S53" s="7">
        <v>7.6694806320001266E-2</v>
      </c>
      <c r="T53" s="7">
        <v>6.1949990815943524E-2</v>
      </c>
      <c r="U53" s="7">
        <v>5.3536504848175556E-2</v>
      </c>
      <c r="V53" s="7">
        <v>0.10963875624830317</v>
      </c>
      <c r="W53" s="7">
        <v>4.7055593269069503E-2</v>
      </c>
      <c r="X53" s="7">
        <v>8.9914274115877199E-2</v>
      </c>
      <c r="Y53" s="7">
        <v>5.650221158554887E-2</v>
      </c>
    </row>
    <row r="54" spans="1:25" x14ac:dyDescent="0.25">
      <c r="B54" s="7">
        <v>6.97425728444004E-2</v>
      </c>
      <c r="C54" s="7">
        <v>7.6501137915339093E-2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7.7001709724947021E-2</v>
      </c>
      <c r="I54" s="7">
        <v>3.7666196730812909E-2</v>
      </c>
      <c r="J54" s="7">
        <v>4.6252976451194167E-2</v>
      </c>
      <c r="K54" s="7">
        <v>4.9824194076451937E-2</v>
      </c>
      <c r="L54" s="7">
        <v>7.3362218123966094E-2</v>
      </c>
      <c r="M54" s="7">
        <v>8.5110328786069028E-2</v>
      </c>
      <c r="N54" s="7">
        <v>7.9571457798901499E-2</v>
      </c>
      <c r="O54" s="7">
        <v>7.8904260415502289E-2</v>
      </c>
      <c r="P54" s="7">
        <v>6.1573820760367007E-2</v>
      </c>
      <c r="Q54" s="7">
        <v>6.817621701511839E-2</v>
      </c>
      <c r="R54" s="7">
        <v>5.7278381273556833E-2</v>
      </c>
      <c r="S54" s="7">
        <v>7.3292370945637272E-2</v>
      </c>
      <c r="T54" s="7">
        <v>5.2093062443597911E-2</v>
      </c>
      <c r="U54" s="7">
        <v>5.1645341605001276E-2</v>
      </c>
      <c r="V54" s="7">
        <v>8.5961480109235516E-2</v>
      </c>
      <c r="W54" s="7">
        <v>3.7801258655251455E-2</v>
      </c>
      <c r="X54" s="7">
        <v>8.2397140878590819E-2</v>
      </c>
      <c r="Y54" s="7">
        <v>5.3325379523877225E-2</v>
      </c>
    </row>
    <row r="55" spans="1:25" x14ac:dyDescent="0.25">
      <c r="B55" s="7">
        <v>6.8109684836471757E-2</v>
      </c>
      <c r="C55" s="7">
        <v>7.2704173953317519E-2</v>
      </c>
      <c r="D55" s="7">
        <v>3.6597291999015846E-2</v>
      </c>
      <c r="E55" s="7">
        <v>5.5856828263876744E-2</v>
      </c>
      <c r="F55" s="7">
        <v>3.3347107117059037E-2</v>
      </c>
      <c r="G55" s="7">
        <v>3.3923789727559779E-2</v>
      </c>
      <c r="H55" s="7">
        <v>7.257101661663555E-2</v>
      </c>
      <c r="I55" s="7">
        <v>3.6411076388073026E-2</v>
      </c>
      <c r="J55" s="7">
        <v>3.8468738303243634E-2</v>
      </c>
      <c r="K55" s="7">
        <v>4.6455796979932761E-2</v>
      </c>
      <c r="L55" s="7">
        <v>6.1328238655701632E-2</v>
      </c>
      <c r="M55" s="7">
        <v>7.6675276607782741E-2</v>
      </c>
      <c r="N55" s="7">
        <v>7.3801513983097533E-2</v>
      </c>
      <c r="O55" s="7">
        <v>7.3752822445427399E-2</v>
      </c>
      <c r="P55" s="7">
        <v>6.2220539970773543E-2</v>
      </c>
      <c r="Q55" s="7">
        <v>6.6896357422175687E-2</v>
      </c>
      <c r="R55" s="7">
        <v>5.3703201745685381E-2</v>
      </c>
      <c r="S55" s="7">
        <v>7.0482270285597268E-2</v>
      </c>
      <c r="T55" s="7">
        <v>4.5793454562878845E-2</v>
      </c>
      <c r="U55" s="7">
        <v>5.3681192587394747E-2</v>
      </c>
      <c r="V55" s="7">
        <v>6.4774222655189478E-2</v>
      </c>
      <c r="W55" s="7">
        <v>3.387671407920903E-2</v>
      </c>
      <c r="X55" s="7">
        <v>7.5640659699282825E-2</v>
      </c>
      <c r="Y55" s="7">
        <v>5.6761954409743617E-2</v>
      </c>
    </row>
    <row r="56" spans="1:25" x14ac:dyDescent="0.25">
      <c r="B56" s="7">
        <v>6.9079215064420219E-2</v>
      </c>
      <c r="C56" s="7">
        <v>6.8577438133339719E-2</v>
      </c>
      <c r="D56" s="7">
        <v>4.1968483376588331E-2</v>
      </c>
      <c r="E56" s="7">
        <v>6.4694258502536059E-2</v>
      </c>
      <c r="F56" s="7">
        <v>4.0673444818131683E-2</v>
      </c>
      <c r="G56" s="7">
        <v>4.2489908446122847E-2</v>
      </c>
      <c r="H56" s="7">
        <v>6.9466636726782799E-2</v>
      </c>
      <c r="I56" s="7">
        <v>4.4053282893551697E-2</v>
      </c>
      <c r="J56" s="7">
        <v>4.2041921174812258E-2</v>
      </c>
      <c r="K56" s="7">
        <v>5.2158725215405377E-2</v>
      </c>
      <c r="L56" s="7">
        <v>6.2076586381301396E-2</v>
      </c>
      <c r="M56" s="7">
        <v>7.0085826994404979E-2</v>
      </c>
      <c r="N56" s="7">
        <v>6.958382776475032E-2</v>
      </c>
      <c r="O56" s="7">
        <v>6.8602709866981776E-2</v>
      </c>
      <c r="P56" s="7">
        <v>6.7397136446030875E-2</v>
      </c>
      <c r="Q56" s="7">
        <v>6.9363926778951257E-2</v>
      </c>
      <c r="R56" s="7">
        <v>5.9351906367784167E-2</v>
      </c>
      <c r="S56" s="7">
        <v>6.946493438981742E-2</v>
      </c>
      <c r="T56" s="7">
        <v>4.948126053171694E-2</v>
      </c>
      <c r="U56" s="7">
        <v>6.1010573488134726E-2</v>
      </c>
      <c r="V56" s="7">
        <v>5.6639219381318169E-2</v>
      </c>
      <c r="W56" s="7">
        <v>4.3427631316237135E-2</v>
      </c>
      <c r="X56" s="7">
        <v>6.8912053361775971E-2</v>
      </c>
      <c r="Y56" s="7">
        <v>6.6188885202912981E-2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53.02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25"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63.735999999999997</v>
      </c>
      <c r="L63" s="7">
        <v>0</v>
      </c>
      <c r="M63" s="7">
        <v>0</v>
      </c>
      <c r="N63" s="7">
        <v>0</v>
      </c>
      <c r="O63" s="7">
        <v>0</v>
      </c>
      <c r="P63" s="7">
        <v>492.904</v>
      </c>
      <c r="Q63" s="7">
        <v>61.637999999999998</v>
      </c>
      <c r="R63" s="7">
        <v>399.93400000000003</v>
      </c>
      <c r="S63" s="7">
        <v>0</v>
      </c>
      <c r="T63" s="7">
        <v>70.843000000000004</v>
      </c>
      <c r="U63" s="7">
        <v>440.40499999999997</v>
      </c>
      <c r="V63" s="7">
        <v>44.505000000000003</v>
      </c>
      <c r="W63" s="7">
        <v>0</v>
      </c>
      <c r="X63" s="7">
        <v>0</v>
      </c>
      <c r="Y63" s="7">
        <v>54.212000000000003</v>
      </c>
    </row>
    <row r="64" spans="1:25" x14ac:dyDescent="0.25">
      <c r="B64" s="7">
        <v>42.933</v>
      </c>
      <c r="C64" s="7">
        <v>0</v>
      </c>
      <c r="D64" s="7">
        <v>363.221</v>
      </c>
      <c r="E64" s="7">
        <v>566.71</v>
      </c>
      <c r="F64" s="7">
        <v>58.628</v>
      </c>
      <c r="G64" s="7">
        <v>532.03</v>
      </c>
      <c r="H64" s="7">
        <v>85.695999999999998</v>
      </c>
      <c r="I64" s="7">
        <v>348.95800000000003</v>
      </c>
      <c r="J64" s="7">
        <v>248.125</v>
      </c>
      <c r="K64" s="7">
        <v>545.95399999999995</v>
      </c>
      <c r="L64" s="7">
        <v>283.07900000000001</v>
      </c>
      <c r="M64" s="7">
        <v>89.695999999999998</v>
      </c>
      <c r="N64" s="7">
        <v>30.183</v>
      </c>
      <c r="O64" s="7">
        <v>0</v>
      </c>
      <c r="P64" s="7">
        <v>677.57799999999997</v>
      </c>
      <c r="Q64" s="7">
        <v>171.37899999999999</v>
      </c>
      <c r="R64" s="7">
        <v>889.21199999999999</v>
      </c>
      <c r="S64" s="7">
        <v>0</v>
      </c>
      <c r="T64" s="7">
        <v>666.21100000000001</v>
      </c>
      <c r="U64" s="7">
        <v>1016.082</v>
      </c>
      <c r="V64" s="7">
        <v>514.70000000000005</v>
      </c>
      <c r="W64" s="7">
        <v>130.16399999999999</v>
      </c>
      <c r="X64" s="7">
        <v>81.509</v>
      </c>
      <c r="Y64" s="7">
        <v>476.08100000000002</v>
      </c>
    </row>
    <row r="65" spans="1:25" x14ac:dyDescent="0.25">
      <c r="B65" s="7">
        <v>7.9859999999999998</v>
      </c>
      <c r="C65" s="7">
        <v>13.477</v>
      </c>
      <c r="D65" s="7">
        <v>726.154</v>
      </c>
      <c r="E65" s="7">
        <v>443.089</v>
      </c>
      <c r="F65" s="7">
        <v>363.32299999999998</v>
      </c>
      <c r="G65" s="7">
        <v>939.56</v>
      </c>
      <c r="H65" s="7">
        <v>18.382000000000001</v>
      </c>
      <c r="I65" s="7">
        <v>694.22900000000004</v>
      </c>
      <c r="J65" s="7">
        <v>729.56899999999996</v>
      </c>
      <c r="K65" s="7">
        <v>914.505</v>
      </c>
      <c r="L65" s="7">
        <v>625.20000000000005</v>
      </c>
      <c r="M65" s="7">
        <v>18.681000000000001</v>
      </c>
      <c r="N65" s="7">
        <v>19.757999999999999</v>
      </c>
      <c r="O65" s="7">
        <v>12.089</v>
      </c>
      <c r="P65" s="7">
        <v>251.53</v>
      </c>
      <c r="Q65" s="7">
        <v>197.63200000000001</v>
      </c>
      <c r="R65" s="7">
        <v>1229.03</v>
      </c>
      <c r="S65" s="7">
        <v>14.122999999999999</v>
      </c>
      <c r="T65" s="7">
        <v>1205.55</v>
      </c>
      <c r="U65" s="7">
        <v>1140.3499999999999</v>
      </c>
      <c r="V65" s="7">
        <v>896.44399999999996</v>
      </c>
      <c r="W65" s="7">
        <v>740.65899999999999</v>
      </c>
      <c r="X65" s="7">
        <v>17.385999999999999</v>
      </c>
      <c r="Y65" s="7">
        <v>315.738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16</v>
      </c>
      <c r="E74" s="7">
        <v>15</v>
      </c>
      <c r="F74" s="7">
        <v>19</v>
      </c>
      <c r="G74" s="7">
        <v>23</v>
      </c>
      <c r="H74" s="7">
        <v>3</v>
      </c>
      <c r="I74" s="7">
        <v>22</v>
      </c>
      <c r="J74" s="7">
        <v>12</v>
      </c>
      <c r="K74" s="7">
        <v>17</v>
      </c>
      <c r="L74" s="7">
        <v>8</v>
      </c>
      <c r="M74" s="7">
        <v>4</v>
      </c>
      <c r="N74" s="7">
        <v>2</v>
      </c>
      <c r="O74" s="7">
        <v>1</v>
      </c>
      <c r="P74" s="7">
        <v>4</v>
      </c>
      <c r="Q74" s="7">
        <v>6</v>
      </c>
      <c r="R74" s="7">
        <v>17</v>
      </c>
      <c r="S74" s="7">
        <v>3</v>
      </c>
      <c r="T74" s="7">
        <v>12</v>
      </c>
      <c r="U74" s="7">
        <v>28</v>
      </c>
      <c r="V74" s="7">
        <v>5</v>
      </c>
      <c r="W74" s="7">
        <v>18</v>
      </c>
      <c r="X74" s="7">
        <v>1</v>
      </c>
      <c r="Y74" s="7">
        <v>18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385</v>
      </c>
      <c r="D88" s="7">
        <v>0</v>
      </c>
      <c r="E88" s="7">
        <v>0</v>
      </c>
      <c r="F88" s="7">
        <v>0</v>
      </c>
      <c r="G88" s="7">
        <v>0</v>
      </c>
      <c r="H88" s="7">
        <v>385</v>
      </c>
      <c r="I88" s="7">
        <v>0</v>
      </c>
      <c r="J88" s="7">
        <v>0</v>
      </c>
      <c r="K88" s="7">
        <v>0</v>
      </c>
      <c r="L88" s="7">
        <v>0</v>
      </c>
      <c r="M88" s="7">
        <v>385</v>
      </c>
      <c r="N88" s="7">
        <v>154</v>
      </c>
      <c r="O88" s="7">
        <v>462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385</v>
      </c>
      <c r="Y88" s="7">
        <v>0</v>
      </c>
    </row>
    <row r="89" spans="1:25" x14ac:dyDescent="0.25">
      <c r="B89" s="7">
        <v>77</v>
      </c>
      <c r="C89" s="7">
        <v>616</v>
      </c>
      <c r="D89" s="7">
        <v>0</v>
      </c>
      <c r="E89" s="7">
        <v>0</v>
      </c>
      <c r="F89" s="7">
        <v>0</v>
      </c>
      <c r="G89" s="7">
        <v>0</v>
      </c>
      <c r="H89" s="7">
        <v>539</v>
      </c>
      <c r="I89" s="7">
        <v>0</v>
      </c>
      <c r="J89" s="7">
        <v>0</v>
      </c>
      <c r="K89" s="7">
        <v>0</v>
      </c>
      <c r="L89" s="7">
        <v>0</v>
      </c>
      <c r="M89" s="7">
        <v>539</v>
      </c>
      <c r="N89" s="7">
        <v>385</v>
      </c>
      <c r="O89" s="7">
        <v>616</v>
      </c>
      <c r="P89" s="7">
        <v>0</v>
      </c>
      <c r="Q89" s="7">
        <v>0</v>
      </c>
      <c r="R89" s="7">
        <v>0</v>
      </c>
      <c r="S89" s="7">
        <v>308</v>
      </c>
      <c r="T89" s="7">
        <v>0</v>
      </c>
      <c r="U89" s="7">
        <v>0</v>
      </c>
      <c r="V89" s="7">
        <v>0</v>
      </c>
      <c r="W89" s="7">
        <v>0</v>
      </c>
      <c r="X89" s="7">
        <v>539</v>
      </c>
      <c r="Y89" s="7">
        <v>0</v>
      </c>
    </row>
    <row r="90" spans="1:25" x14ac:dyDescent="0.25">
      <c r="B90" s="7">
        <v>385</v>
      </c>
      <c r="C90" s="7">
        <v>770</v>
      </c>
      <c r="D90" s="7">
        <v>0</v>
      </c>
      <c r="E90" s="7">
        <v>0</v>
      </c>
      <c r="F90" s="7">
        <v>0</v>
      </c>
      <c r="G90" s="7">
        <v>0</v>
      </c>
      <c r="H90" s="7">
        <v>770</v>
      </c>
      <c r="I90" s="7">
        <v>0</v>
      </c>
      <c r="J90" s="7">
        <v>0</v>
      </c>
      <c r="K90" s="7">
        <v>0</v>
      </c>
      <c r="L90" s="7">
        <v>0</v>
      </c>
      <c r="M90" s="7">
        <v>770</v>
      </c>
      <c r="N90" s="7">
        <v>616</v>
      </c>
      <c r="O90" s="7">
        <v>770</v>
      </c>
      <c r="P90" s="7">
        <v>0</v>
      </c>
      <c r="Q90" s="7">
        <v>154</v>
      </c>
      <c r="R90" s="7">
        <v>0</v>
      </c>
      <c r="S90" s="7">
        <v>539</v>
      </c>
      <c r="T90" s="7">
        <v>0</v>
      </c>
      <c r="U90" s="7">
        <v>0</v>
      </c>
      <c r="V90" s="7">
        <v>0</v>
      </c>
      <c r="W90" s="7">
        <v>0</v>
      </c>
      <c r="X90" s="7">
        <v>770</v>
      </c>
      <c r="Y90" s="7">
        <v>0</v>
      </c>
    </row>
    <row r="91" spans="1:25" x14ac:dyDescent="0.25">
      <c r="B91" s="7">
        <v>693</v>
      </c>
      <c r="C91" s="7">
        <v>1001</v>
      </c>
      <c r="D91" s="7">
        <v>0</v>
      </c>
      <c r="E91" s="7">
        <v>0</v>
      </c>
      <c r="F91" s="7">
        <v>0</v>
      </c>
      <c r="G91" s="7">
        <v>0</v>
      </c>
      <c r="H91" s="7">
        <v>924</v>
      </c>
      <c r="I91" s="7">
        <v>0</v>
      </c>
      <c r="J91" s="7">
        <v>0</v>
      </c>
      <c r="K91" s="7">
        <v>0</v>
      </c>
      <c r="L91" s="7">
        <v>0</v>
      </c>
      <c r="M91" s="7">
        <v>924</v>
      </c>
      <c r="N91" s="7">
        <v>847</v>
      </c>
      <c r="O91" s="7">
        <v>1001</v>
      </c>
      <c r="P91" s="7">
        <v>231</v>
      </c>
      <c r="Q91" s="7">
        <v>539</v>
      </c>
      <c r="R91" s="7">
        <v>0</v>
      </c>
      <c r="S91" s="7">
        <v>847</v>
      </c>
      <c r="T91" s="7">
        <v>0</v>
      </c>
      <c r="U91" s="7">
        <v>0</v>
      </c>
      <c r="V91" s="7">
        <v>0</v>
      </c>
      <c r="W91" s="7">
        <v>0</v>
      </c>
      <c r="X91" s="7">
        <v>924</v>
      </c>
      <c r="Y91" s="7">
        <v>154</v>
      </c>
    </row>
    <row r="92" spans="1:25" x14ac:dyDescent="0.25">
      <c r="B92" s="7">
        <v>1155</v>
      </c>
      <c r="C92" s="7">
        <v>1155</v>
      </c>
      <c r="D92" s="7">
        <v>0</v>
      </c>
      <c r="E92" s="7">
        <v>693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308</v>
      </c>
      <c r="M92" s="7">
        <v>1155</v>
      </c>
      <c r="N92" s="7">
        <v>1155</v>
      </c>
      <c r="O92" s="7">
        <v>1155</v>
      </c>
      <c r="P92" s="7">
        <v>924</v>
      </c>
      <c r="Q92" s="7">
        <v>924</v>
      </c>
      <c r="R92" s="7">
        <v>0</v>
      </c>
      <c r="S92" s="7">
        <v>1155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847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1809878000</v>
      </c>
      <c r="D97" s="7">
        <v>0</v>
      </c>
      <c r="E97" s="7">
        <v>0</v>
      </c>
      <c r="F97" s="7">
        <v>0</v>
      </c>
      <c r="G97" s="7">
        <v>0</v>
      </c>
      <c r="H97" s="7">
        <v>1808987000</v>
      </c>
      <c r="I97" s="7">
        <v>0</v>
      </c>
      <c r="J97" s="7">
        <v>0</v>
      </c>
      <c r="K97" s="7">
        <v>0</v>
      </c>
      <c r="L97" s="7">
        <v>0</v>
      </c>
      <c r="M97" s="7">
        <v>1826046000</v>
      </c>
      <c r="N97" s="7">
        <v>1457947000</v>
      </c>
      <c r="O97" s="7">
        <v>1039598000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1794069000</v>
      </c>
      <c r="Y97" s="7">
        <v>0</v>
      </c>
    </row>
    <row r="98" spans="1:25" x14ac:dyDescent="0.25">
      <c r="B98" s="7">
        <v>577658000</v>
      </c>
      <c r="C98" s="7">
        <v>967365900</v>
      </c>
      <c r="D98" s="7">
        <v>0</v>
      </c>
      <c r="E98" s="7">
        <v>0</v>
      </c>
      <c r="F98" s="7">
        <v>0</v>
      </c>
      <c r="G98" s="7">
        <v>0</v>
      </c>
      <c r="H98" s="7">
        <v>1878607000</v>
      </c>
      <c r="I98" s="7">
        <v>0</v>
      </c>
      <c r="J98" s="7">
        <v>0</v>
      </c>
      <c r="K98" s="7">
        <v>0</v>
      </c>
      <c r="L98" s="7">
        <v>0</v>
      </c>
      <c r="M98" s="7">
        <v>1905653000</v>
      </c>
      <c r="N98" s="7">
        <v>1311270000</v>
      </c>
      <c r="O98" s="7">
        <v>972889600</v>
      </c>
      <c r="P98" s="7">
        <v>0</v>
      </c>
      <c r="Q98" s="7">
        <v>0</v>
      </c>
      <c r="R98" s="7">
        <v>0</v>
      </c>
      <c r="S98" s="7">
        <v>949286800</v>
      </c>
      <c r="T98" s="7">
        <v>0</v>
      </c>
      <c r="U98" s="7">
        <v>0</v>
      </c>
      <c r="V98" s="7">
        <v>0</v>
      </c>
      <c r="W98" s="7">
        <v>0</v>
      </c>
      <c r="X98" s="7">
        <v>1858777000</v>
      </c>
      <c r="Y98" s="7">
        <v>0</v>
      </c>
    </row>
    <row r="99" spans="1:25" x14ac:dyDescent="0.25">
      <c r="B99" s="7">
        <v>553873800</v>
      </c>
      <c r="C99" s="7">
        <v>959326700</v>
      </c>
      <c r="D99" s="7">
        <v>0</v>
      </c>
      <c r="E99" s="7">
        <v>0</v>
      </c>
      <c r="F99" s="7">
        <v>0</v>
      </c>
      <c r="G99" s="7">
        <v>0</v>
      </c>
      <c r="H99" s="7">
        <v>1021796000</v>
      </c>
      <c r="I99" s="7">
        <v>0</v>
      </c>
      <c r="J99" s="7">
        <v>0</v>
      </c>
      <c r="K99" s="7">
        <v>0</v>
      </c>
      <c r="L99" s="7">
        <v>0</v>
      </c>
      <c r="M99" s="7">
        <v>1051066000</v>
      </c>
      <c r="N99" s="7">
        <v>1066098000</v>
      </c>
      <c r="O99" s="7">
        <v>966764600</v>
      </c>
      <c r="P99" s="7">
        <v>0</v>
      </c>
      <c r="Q99" s="7">
        <v>7731830.2369999997</v>
      </c>
      <c r="R99" s="7">
        <v>0</v>
      </c>
      <c r="S99" s="7">
        <v>778869500</v>
      </c>
      <c r="T99" s="7">
        <v>0</v>
      </c>
      <c r="U99" s="7">
        <v>0</v>
      </c>
      <c r="V99" s="7">
        <v>0</v>
      </c>
      <c r="W99" s="7">
        <v>0</v>
      </c>
      <c r="X99" s="7">
        <v>956714800</v>
      </c>
      <c r="Y99" s="7">
        <v>0</v>
      </c>
    </row>
    <row r="100" spans="1:25" x14ac:dyDescent="0.25">
      <c r="B100" s="7">
        <v>514692600</v>
      </c>
      <c r="C100" s="7">
        <v>131410300</v>
      </c>
      <c r="D100" s="7">
        <v>0</v>
      </c>
      <c r="E100" s="7">
        <v>215633100</v>
      </c>
      <c r="F100" s="7">
        <v>0</v>
      </c>
      <c r="G100" s="7">
        <v>0</v>
      </c>
      <c r="H100" s="7">
        <v>1124044000</v>
      </c>
      <c r="I100" s="7">
        <v>0</v>
      </c>
      <c r="J100" s="7">
        <v>0</v>
      </c>
      <c r="K100" s="7">
        <v>0</v>
      </c>
      <c r="L100" s="7">
        <v>564344000</v>
      </c>
      <c r="M100" s="7">
        <v>1162594000</v>
      </c>
      <c r="N100" s="7">
        <v>788609700</v>
      </c>
      <c r="O100" s="7">
        <v>132682700</v>
      </c>
      <c r="P100" s="7">
        <v>0</v>
      </c>
      <c r="Q100" s="7">
        <v>303468000</v>
      </c>
      <c r="R100" s="7">
        <v>0</v>
      </c>
      <c r="S100" s="7">
        <v>514371200</v>
      </c>
      <c r="T100" s="7">
        <v>0</v>
      </c>
      <c r="U100" s="7">
        <v>0</v>
      </c>
      <c r="V100" s="7">
        <v>0</v>
      </c>
      <c r="W100" s="7">
        <v>0</v>
      </c>
      <c r="X100" s="7">
        <v>1041302000</v>
      </c>
      <c r="Y100" s="7">
        <v>156643700</v>
      </c>
    </row>
    <row r="101" spans="1:25" x14ac:dyDescent="0.25">
      <c r="B101" s="7">
        <v>139774500</v>
      </c>
      <c r="C101" s="7">
        <v>61116570</v>
      </c>
      <c r="D101" s="7">
        <v>0</v>
      </c>
      <c r="E101" s="7">
        <v>717437200</v>
      </c>
      <c r="F101" s="7">
        <v>0</v>
      </c>
      <c r="G101" s="7">
        <v>0</v>
      </c>
      <c r="H101" s="7">
        <v>344127500</v>
      </c>
      <c r="I101" s="7">
        <v>0</v>
      </c>
      <c r="J101" s="7">
        <v>0</v>
      </c>
      <c r="K101" s="7">
        <v>0</v>
      </c>
      <c r="L101" s="7">
        <v>1202184000</v>
      </c>
      <c r="M101" s="7">
        <v>445700600</v>
      </c>
      <c r="N101" s="7">
        <v>377572300</v>
      </c>
      <c r="O101" s="7">
        <v>53757500</v>
      </c>
      <c r="P101" s="7">
        <v>66836860</v>
      </c>
      <c r="Q101" s="7">
        <v>655438300</v>
      </c>
      <c r="R101" s="7">
        <v>0</v>
      </c>
      <c r="S101" s="7">
        <v>295748000</v>
      </c>
      <c r="T101" s="7">
        <v>0</v>
      </c>
      <c r="U101" s="7">
        <v>256069000</v>
      </c>
      <c r="V101" s="7">
        <v>0</v>
      </c>
      <c r="W101" s="7">
        <v>0</v>
      </c>
      <c r="X101" s="7">
        <v>132999100</v>
      </c>
      <c r="Y101" s="7">
        <v>676778900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2419339000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5227474000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1922841000</v>
      </c>
      <c r="O107" s="7">
        <v>0</v>
      </c>
      <c r="P107" s="7">
        <v>6357230000</v>
      </c>
      <c r="Q107" s="7">
        <v>6594829000</v>
      </c>
      <c r="R107" s="7">
        <v>6397716000</v>
      </c>
      <c r="S107" s="7">
        <v>2982096000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4131730000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1532239000</v>
      </c>
      <c r="O108" s="7">
        <v>0</v>
      </c>
      <c r="P108" s="7">
        <v>7628285000</v>
      </c>
      <c r="Q108" s="7">
        <v>6784835000</v>
      </c>
      <c r="R108" s="7">
        <v>7676895000</v>
      </c>
      <c r="S108" s="7">
        <v>2592639000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3027528000</v>
      </c>
      <c r="C109" s="7">
        <v>0</v>
      </c>
      <c r="D109" s="7">
        <v>8954817000</v>
      </c>
      <c r="E109" s="7">
        <v>8725623000</v>
      </c>
      <c r="F109" s="7">
        <v>9150276000</v>
      </c>
      <c r="G109" s="7">
        <v>8957774000</v>
      </c>
      <c r="H109" s="7">
        <v>0</v>
      </c>
      <c r="I109" s="7">
        <v>9073857000</v>
      </c>
      <c r="J109" s="7">
        <v>8924122000</v>
      </c>
      <c r="K109" s="7">
        <v>8900207000</v>
      </c>
      <c r="L109" s="7">
        <v>8414640000</v>
      </c>
      <c r="M109" s="7">
        <v>0</v>
      </c>
      <c r="N109" s="7">
        <v>1187008000</v>
      </c>
      <c r="O109" s="7">
        <v>0</v>
      </c>
      <c r="P109" s="7">
        <v>7301949000</v>
      </c>
      <c r="Q109" s="7">
        <v>4959251000</v>
      </c>
      <c r="R109" s="7">
        <v>8955993000</v>
      </c>
      <c r="S109" s="7">
        <v>1421156000</v>
      </c>
      <c r="T109" s="7">
        <v>8898734000</v>
      </c>
      <c r="U109" s="7">
        <v>8917717000</v>
      </c>
      <c r="V109" s="7">
        <v>8900544000</v>
      </c>
      <c r="W109" s="7">
        <v>8899306000</v>
      </c>
      <c r="X109" s="7">
        <v>0</v>
      </c>
      <c r="Y109" s="7">
        <v>7883428000</v>
      </c>
    </row>
    <row r="110" spans="1:25" x14ac:dyDescent="0.25">
      <c r="B110" s="7">
        <v>46772840</v>
      </c>
      <c r="C110" s="7">
        <v>0</v>
      </c>
      <c r="D110" s="7">
        <v>9542041000</v>
      </c>
      <c r="E110" s="7">
        <v>5142983000</v>
      </c>
      <c r="F110" s="7">
        <v>10036400000</v>
      </c>
      <c r="G110" s="7">
        <v>9694048000</v>
      </c>
      <c r="H110" s="7">
        <v>0</v>
      </c>
      <c r="I110" s="7">
        <v>9787308000</v>
      </c>
      <c r="J110" s="7">
        <v>9575272000</v>
      </c>
      <c r="K110" s="7">
        <v>9690771000</v>
      </c>
      <c r="L110" s="7">
        <v>7094421000</v>
      </c>
      <c r="M110" s="7">
        <v>0</v>
      </c>
      <c r="N110" s="7">
        <v>0</v>
      </c>
      <c r="O110" s="7">
        <v>0</v>
      </c>
      <c r="P110" s="7">
        <v>3123293000</v>
      </c>
      <c r="Q110" s="7">
        <v>2770619000</v>
      </c>
      <c r="R110" s="7">
        <v>9824276000</v>
      </c>
      <c r="S110" s="7">
        <v>10017740</v>
      </c>
      <c r="T110" s="7">
        <v>9901605000</v>
      </c>
      <c r="U110" s="7">
        <v>9224908000</v>
      </c>
      <c r="V110" s="7">
        <v>9946152000</v>
      </c>
      <c r="W110" s="7">
        <v>10019200000</v>
      </c>
      <c r="X110" s="7">
        <v>0</v>
      </c>
      <c r="Y110" s="7">
        <v>3982518000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3275934000</v>
      </c>
      <c r="D115" s="7">
        <v>0</v>
      </c>
      <c r="E115" s="7">
        <v>0</v>
      </c>
      <c r="F115" s="7">
        <v>0</v>
      </c>
      <c r="G115" s="7">
        <v>0</v>
      </c>
      <c r="H115" s="7">
        <v>3345573000</v>
      </c>
      <c r="I115" s="7">
        <v>0</v>
      </c>
      <c r="J115" s="7">
        <v>0</v>
      </c>
      <c r="K115" s="7">
        <v>0</v>
      </c>
      <c r="L115" s="7">
        <v>0</v>
      </c>
      <c r="M115" s="7">
        <v>3342110000</v>
      </c>
      <c r="N115" s="7">
        <v>1283812000</v>
      </c>
      <c r="O115" s="7">
        <v>4046941000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3308169000</v>
      </c>
      <c r="Y115" s="7">
        <v>0</v>
      </c>
    </row>
    <row r="116" spans="1:25" x14ac:dyDescent="0.25">
      <c r="B116" s="7">
        <v>597620900</v>
      </c>
      <c r="C116" s="7">
        <v>5389899000</v>
      </c>
      <c r="D116" s="7">
        <v>0</v>
      </c>
      <c r="E116" s="7">
        <v>0</v>
      </c>
      <c r="F116" s="7">
        <v>0</v>
      </c>
      <c r="G116" s="7">
        <v>0</v>
      </c>
      <c r="H116" s="7">
        <v>4564593000</v>
      </c>
      <c r="I116" s="7">
        <v>0</v>
      </c>
      <c r="J116" s="7">
        <v>0</v>
      </c>
      <c r="K116" s="7">
        <v>0</v>
      </c>
      <c r="L116" s="7">
        <v>0</v>
      </c>
      <c r="M116" s="7">
        <v>4554542000</v>
      </c>
      <c r="N116" s="7">
        <v>3217261000</v>
      </c>
      <c r="O116" s="7">
        <v>5385284000</v>
      </c>
      <c r="P116" s="7">
        <v>0</v>
      </c>
      <c r="Q116" s="7">
        <v>0</v>
      </c>
      <c r="R116" s="7">
        <v>0</v>
      </c>
      <c r="S116" s="7">
        <v>2513881000</v>
      </c>
      <c r="T116" s="7">
        <v>0</v>
      </c>
      <c r="U116" s="7">
        <v>0</v>
      </c>
      <c r="V116" s="7">
        <v>0</v>
      </c>
      <c r="W116" s="7">
        <v>0</v>
      </c>
      <c r="X116" s="7">
        <v>4519020000</v>
      </c>
      <c r="Y116" s="7">
        <v>0</v>
      </c>
    </row>
    <row r="117" spans="1:25" x14ac:dyDescent="0.25">
      <c r="B117" s="7">
        <v>2997700000</v>
      </c>
      <c r="C117" s="7">
        <v>6669391000</v>
      </c>
      <c r="D117" s="7">
        <v>0</v>
      </c>
      <c r="E117" s="7">
        <v>0</v>
      </c>
      <c r="F117" s="7">
        <v>0</v>
      </c>
      <c r="G117" s="7">
        <v>0</v>
      </c>
      <c r="H117" s="7">
        <v>6710044000</v>
      </c>
      <c r="I117" s="7">
        <v>0</v>
      </c>
      <c r="J117" s="7">
        <v>0</v>
      </c>
      <c r="K117" s="7">
        <v>0</v>
      </c>
      <c r="L117" s="7">
        <v>0</v>
      </c>
      <c r="M117" s="7">
        <v>6701168000</v>
      </c>
      <c r="N117" s="7">
        <v>5143309000</v>
      </c>
      <c r="O117" s="7">
        <v>6663043000</v>
      </c>
      <c r="P117" s="7">
        <v>0</v>
      </c>
      <c r="Q117" s="7">
        <v>1121171000</v>
      </c>
      <c r="R117" s="7">
        <v>0</v>
      </c>
      <c r="S117" s="7">
        <v>4362808000</v>
      </c>
      <c r="T117" s="7">
        <v>0</v>
      </c>
      <c r="U117" s="7">
        <v>0</v>
      </c>
      <c r="V117" s="7">
        <v>0</v>
      </c>
      <c r="W117" s="7">
        <v>0</v>
      </c>
      <c r="X117" s="7">
        <v>6696642000</v>
      </c>
      <c r="Y117" s="7">
        <v>0</v>
      </c>
    </row>
    <row r="118" spans="1:25" x14ac:dyDescent="0.25">
      <c r="B118" s="7">
        <v>5421596000</v>
      </c>
      <c r="C118" s="7">
        <v>8768760000</v>
      </c>
      <c r="D118" s="7">
        <v>0</v>
      </c>
      <c r="E118" s="7">
        <v>0</v>
      </c>
      <c r="F118" s="7">
        <v>0</v>
      </c>
      <c r="G118" s="7">
        <v>0</v>
      </c>
      <c r="H118" s="7">
        <v>7896358000</v>
      </c>
      <c r="I118" s="7">
        <v>0</v>
      </c>
      <c r="J118" s="7">
        <v>0</v>
      </c>
      <c r="K118" s="7">
        <v>0</v>
      </c>
      <c r="L118" s="7">
        <v>0</v>
      </c>
      <c r="M118" s="7">
        <v>7881598000</v>
      </c>
      <c r="N118" s="7">
        <v>7056275000</v>
      </c>
      <c r="O118" s="7">
        <v>8768760000</v>
      </c>
      <c r="P118" s="7">
        <v>1597623000</v>
      </c>
      <c r="Q118" s="7">
        <v>3969885000</v>
      </c>
      <c r="R118" s="7">
        <v>0</v>
      </c>
      <c r="S118" s="7">
        <v>7087842000</v>
      </c>
      <c r="T118" s="7">
        <v>0</v>
      </c>
      <c r="U118" s="7">
        <v>0</v>
      </c>
      <c r="V118" s="7">
        <v>0</v>
      </c>
      <c r="W118" s="7">
        <v>0</v>
      </c>
      <c r="X118" s="7">
        <v>7887540000</v>
      </c>
      <c r="Y118" s="7">
        <v>957808200</v>
      </c>
    </row>
    <row r="119" spans="1:25" x14ac:dyDescent="0.25">
      <c r="B119" s="7">
        <v>10021800000</v>
      </c>
      <c r="C119" s="7">
        <v>10101400000</v>
      </c>
      <c r="D119" s="7">
        <v>0</v>
      </c>
      <c r="E119" s="7">
        <v>4274030000</v>
      </c>
      <c r="F119" s="7">
        <v>0</v>
      </c>
      <c r="G119" s="7">
        <v>0</v>
      </c>
      <c r="H119" s="7">
        <v>9921407000</v>
      </c>
      <c r="I119" s="7">
        <v>0</v>
      </c>
      <c r="J119" s="7">
        <v>0</v>
      </c>
      <c r="K119" s="7">
        <v>0</v>
      </c>
      <c r="L119" s="7">
        <v>1736274000</v>
      </c>
      <c r="M119" s="7">
        <v>9840911000</v>
      </c>
      <c r="N119" s="7">
        <v>9892185000</v>
      </c>
      <c r="O119" s="7">
        <v>10106100000</v>
      </c>
      <c r="P119" s="7">
        <v>6929229000</v>
      </c>
      <c r="Q119" s="7">
        <v>6919334000</v>
      </c>
      <c r="R119" s="7">
        <v>0</v>
      </c>
      <c r="S119" s="7">
        <v>9949407000</v>
      </c>
      <c r="T119" s="7">
        <v>0</v>
      </c>
      <c r="U119" s="7">
        <v>0</v>
      </c>
      <c r="V119" s="7">
        <v>0</v>
      </c>
      <c r="W119" s="7">
        <v>0</v>
      </c>
      <c r="X119" s="7">
        <v>10057800000</v>
      </c>
      <c r="Y119" s="7">
        <v>5565372000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5086539000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3814904000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51774580</v>
      </c>
      <c r="C128" s="7">
        <v>11752700</v>
      </c>
      <c r="D128" s="7">
        <v>884767100</v>
      </c>
      <c r="E128" s="7">
        <v>180700900</v>
      </c>
      <c r="F128" s="7">
        <v>646592700</v>
      </c>
      <c r="G128" s="7">
        <v>824456400</v>
      </c>
      <c r="H128" s="7">
        <v>65805310</v>
      </c>
      <c r="I128" s="7">
        <v>841097500</v>
      </c>
      <c r="J128" s="7">
        <v>770614200</v>
      </c>
      <c r="K128" s="7">
        <v>671975300</v>
      </c>
      <c r="L128" s="7">
        <v>318354800</v>
      </c>
      <c r="M128" s="7">
        <v>78878970</v>
      </c>
      <c r="N128" s="7">
        <v>70925860</v>
      </c>
      <c r="O128" s="7">
        <v>15652100</v>
      </c>
      <c r="P128" s="7">
        <v>100723400</v>
      </c>
      <c r="Q128" s="7">
        <v>269224000</v>
      </c>
      <c r="R128" s="7">
        <v>603326000</v>
      </c>
      <c r="S128" s="7">
        <v>78984930</v>
      </c>
      <c r="T128" s="7">
        <v>417589000</v>
      </c>
      <c r="U128" s="7">
        <v>984243100</v>
      </c>
      <c r="V128" s="7">
        <v>280356400</v>
      </c>
      <c r="W128" s="7">
        <v>393972000</v>
      </c>
      <c r="X128" s="7">
        <v>22507180</v>
      </c>
      <c r="Y128" s="7">
        <v>137405400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73" zoomScaleNormal="100" workbookViewId="0">
      <selection activeCell="L105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5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5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5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7" spans="2:5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5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5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5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5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2026-02-12T22:10:51Z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