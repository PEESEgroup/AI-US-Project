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oorv\Desktop\US AI Project\Sensitivity\Electricity Prices\Industrial Prices\Without Nuclear-CC\Without Nuclear-LC\SSP2-45\"/>
    </mc:Choice>
  </mc:AlternateContent>
  <xr:revisionPtr revIDLastSave="0" documentId="13_ncr:1_{EE3FD31C-0D61-444C-9793-F0A2DC3C2F2F}" xr6:coauthVersionLast="47" xr6:coauthVersionMax="47" xr10:uidLastSave="{00000000-0000-0000-0000-000000000000}"/>
  <bookViews>
    <workbookView xWindow="-120" yWindow="-120" windowWidth="29040" windowHeight="15720" firstSheet="16" activeTab="19" xr2:uid="{00000000-000D-0000-FFFF-FFFF00000000}"/>
  </bookViews>
  <sheets>
    <sheet name="Low" sheetId="14" r:id="rId1"/>
    <sheet name="Peak 2035-Fast-Medium" sheetId="15" r:id="rId2"/>
    <sheet name="Peak 2035-Nominal-Medium" sheetId="16" r:id="rId3"/>
    <sheet name="Peak 2035-No Change-Medium" sheetId="17" r:id="rId4"/>
    <sheet name="Peak 2033-Fast-Medium" sheetId="18" r:id="rId5"/>
    <sheet name="Peak 2033-Nominal-Medium" sheetId="19" r:id="rId6"/>
    <sheet name="Peak 2033-No Change-Medium" sheetId="20" r:id="rId7"/>
    <sheet name="Peak 2031-Fast-Medium" sheetId="21" r:id="rId8"/>
    <sheet name="Peak 2031-Nominal-Medium" sheetId="22" r:id="rId9"/>
    <sheet name="Peak 2031-No Change-Medium" sheetId="23" r:id="rId10"/>
    <sheet name="Peak 2035-Fast-High" sheetId="24" r:id="rId11"/>
    <sheet name="Peak 2035-Nominal-High" sheetId="25" r:id="rId12"/>
    <sheet name="Peak 2035-No Change-High" sheetId="26" r:id="rId13"/>
    <sheet name="Peak 2033-Fast-High" sheetId="27" r:id="rId14"/>
    <sheet name="Peak 2033-Nominal-High" sheetId="28" r:id="rId15"/>
    <sheet name="Peak 2033-No Change-High" sheetId="29" r:id="rId16"/>
    <sheet name="Peak 2031-Fast-High" sheetId="30" r:id="rId17"/>
    <sheet name="Peak 2031-Nominal-High" sheetId="31" r:id="rId18"/>
    <sheet name="Peak 2031-No Change-High" sheetId="32" r:id="rId19"/>
    <sheet name="Output-Calculation-sheet" sheetId="3" r:id="rId20"/>
    <sheet name="Rough" sheetId="4" r:id="rId21"/>
    <sheet name="Template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4" l="1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C100" i="32"/>
  <c r="B100" i="32"/>
  <c r="Y99" i="32"/>
  <c r="X99" i="32"/>
  <c r="W99" i="32"/>
  <c r="V99" i="32"/>
  <c r="U99" i="32"/>
  <c r="T99" i="32"/>
  <c r="S99" i="32"/>
  <c r="R99" i="32"/>
  <c r="Q99" i="32"/>
  <c r="P99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C99" i="32"/>
  <c r="B99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B98" i="32"/>
  <c r="Y97" i="32"/>
  <c r="X97" i="32"/>
  <c r="W97" i="32"/>
  <c r="V97" i="32"/>
  <c r="U97" i="32"/>
  <c r="T97" i="32"/>
  <c r="S97" i="32"/>
  <c r="R97" i="32"/>
  <c r="Q97" i="32"/>
  <c r="P97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C97" i="32"/>
  <c r="B97" i="32"/>
  <c r="Y96" i="32"/>
  <c r="X96" i="32"/>
  <c r="W96" i="32"/>
  <c r="V96" i="32"/>
  <c r="U96" i="32"/>
  <c r="T96" i="32"/>
  <c r="S96" i="32"/>
  <c r="R96" i="32"/>
  <c r="Q96" i="32"/>
  <c r="P96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C96" i="32"/>
  <c r="B96" i="32"/>
  <c r="Y95" i="32"/>
  <c r="X95" i="32"/>
  <c r="W95" i="32"/>
  <c r="V95" i="32"/>
  <c r="U95" i="32"/>
  <c r="T95" i="32"/>
  <c r="S95" i="32"/>
  <c r="R95" i="32"/>
  <c r="Q95" i="32"/>
  <c r="P95" i="32"/>
  <c r="O95" i="32"/>
  <c r="N95" i="32"/>
  <c r="M95" i="32"/>
  <c r="L95" i="32"/>
  <c r="K95" i="32"/>
  <c r="J95" i="32"/>
  <c r="I95" i="32"/>
  <c r="H95" i="32"/>
  <c r="G95" i="32"/>
  <c r="F95" i="32"/>
  <c r="E95" i="32"/>
  <c r="D95" i="32"/>
  <c r="C95" i="32"/>
  <c r="B95" i="32"/>
  <c r="Y94" i="32"/>
  <c r="X94" i="32"/>
  <c r="W94" i="32"/>
  <c r="V94" i="32"/>
  <c r="U94" i="32"/>
  <c r="T94" i="32"/>
  <c r="S94" i="32"/>
  <c r="R94" i="32"/>
  <c r="Q94" i="32"/>
  <c r="P94" i="32"/>
  <c r="O94" i="32"/>
  <c r="N94" i="32"/>
  <c r="M94" i="32"/>
  <c r="L94" i="32"/>
  <c r="K94" i="32"/>
  <c r="J94" i="32"/>
  <c r="I94" i="32"/>
  <c r="H94" i="32"/>
  <c r="G94" i="32"/>
  <c r="F94" i="32"/>
  <c r="E94" i="32"/>
  <c r="D94" i="32"/>
  <c r="C94" i="32"/>
  <c r="B94" i="32"/>
  <c r="Y93" i="32"/>
  <c r="X93" i="32"/>
  <c r="W93" i="32"/>
  <c r="V93" i="32"/>
  <c r="U93" i="32"/>
  <c r="T93" i="32"/>
  <c r="S93" i="32"/>
  <c r="R93" i="32"/>
  <c r="Q93" i="32"/>
  <c r="P93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C93" i="32"/>
  <c r="B93" i="32"/>
  <c r="Y89" i="32"/>
  <c r="X89" i="32"/>
  <c r="W89" i="32"/>
  <c r="V89" i="32"/>
  <c r="U89" i="32"/>
  <c r="T89" i="32"/>
  <c r="S89" i="32"/>
  <c r="R89" i="32"/>
  <c r="Q89" i="32"/>
  <c r="P89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C89" i="32"/>
  <c r="B89" i="32"/>
  <c r="Y88" i="32"/>
  <c r="X88" i="32"/>
  <c r="W88" i="32"/>
  <c r="V88" i="32"/>
  <c r="U88" i="32"/>
  <c r="T88" i="32"/>
  <c r="S88" i="32"/>
  <c r="R88" i="32"/>
  <c r="Q88" i="32"/>
  <c r="P88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C88" i="32"/>
  <c r="B88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Y82" i="32"/>
  <c r="X82" i="32"/>
  <c r="W82" i="32"/>
  <c r="V82" i="32"/>
  <c r="U82" i="32"/>
  <c r="T82" i="32"/>
  <c r="S82" i="32"/>
  <c r="R82" i="32"/>
  <c r="Q82" i="32"/>
  <c r="P82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C82" i="32"/>
  <c r="B82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Y71" i="32"/>
  <c r="X71" i="32"/>
  <c r="W71" i="32"/>
  <c r="V71" i="32"/>
  <c r="U71" i="32"/>
  <c r="T71" i="32"/>
  <c r="S71" i="32"/>
  <c r="R71" i="32"/>
  <c r="Q71" i="32"/>
  <c r="P71" i="32"/>
  <c r="O71" i="32"/>
  <c r="N71" i="32"/>
  <c r="M71" i="32"/>
  <c r="L71" i="32"/>
  <c r="K71" i="32"/>
  <c r="J71" i="32"/>
  <c r="I71" i="32"/>
  <c r="H71" i="32"/>
  <c r="G71" i="32"/>
  <c r="F71" i="32"/>
  <c r="E71" i="32"/>
  <c r="D71" i="32"/>
  <c r="C71" i="32"/>
  <c r="B71" i="32"/>
  <c r="Y67" i="32"/>
  <c r="X67" i="32"/>
  <c r="W67" i="32"/>
  <c r="V67" i="32"/>
  <c r="U67" i="32"/>
  <c r="T67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C67" i="32"/>
  <c r="B67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C65" i="32"/>
  <c r="B65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C64" i="32"/>
  <c r="B64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B61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B55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B41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65" i="31"/>
  <c r="X65" i="31"/>
  <c r="W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B65" i="31"/>
  <c r="Y64" i="31"/>
  <c r="X64" i="31"/>
  <c r="W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B63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B64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B63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B61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B61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B60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B65" i="28"/>
  <c r="Y64" i="28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B64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Y61" i="28"/>
  <c r="X61" i="28"/>
  <c r="W61" i="28"/>
  <c r="V61" i="28"/>
  <c r="U61" i="28"/>
  <c r="T61" i="28"/>
  <c r="S61" i="28"/>
  <c r="R61" i="28"/>
  <c r="Q61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B61" i="28"/>
  <c r="Y60" i="28"/>
  <c r="X60" i="28"/>
  <c r="W60" i="28"/>
  <c r="V60" i="28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B60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B67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B65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B64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B61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B60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Y65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B65" i="26"/>
  <c r="Y64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B64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63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Y61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B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B60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B65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AA95" i="23" l="1"/>
  <c r="AA99" i="23"/>
  <c r="AA95" i="24"/>
  <c r="AA99" i="24"/>
  <c r="AA40" i="23"/>
  <c r="AA44" i="23"/>
  <c r="AA40" i="24"/>
  <c r="AA44" i="24"/>
  <c r="AA73" i="23"/>
  <c r="AA77" i="23"/>
  <c r="AA73" i="24"/>
  <c r="AA77" i="24"/>
  <c r="AA51" i="23"/>
  <c r="AA55" i="23"/>
  <c r="AA51" i="24"/>
  <c r="AA55" i="24"/>
  <c r="AA84" i="23"/>
  <c r="AA88" i="23"/>
  <c r="AA84" i="24"/>
  <c r="AA88" i="24"/>
  <c r="AA29" i="23"/>
  <c r="AA29" i="24"/>
  <c r="AA33" i="24"/>
  <c r="AA33" i="23"/>
  <c r="AA18" i="23"/>
  <c r="AA22" i="23"/>
  <c r="AA18" i="24"/>
  <c r="AA22" i="24"/>
  <c r="AA18" i="25"/>
  <c r="AA22" i="25"/>
  <c r="AA18" i="14"/>
  <c r="AA19" i="23"/>
  <c r="AA23" i="23"/>
  <c r="AA30" i="23"/>
  <c r="AA34" i="23"/>
  <c r="AA41" i="23"/>
  <c r="AA45" i="23"/>
  <c r="AA52" i="23"/>
  <c r="AA56" i="23"/>
  <c r="AA74" i="23"/>
  <c r="AA78" i="23"/>
  <c r="AA85" i="23"/>
  <c r="AA89" i="23"/>
  <c r="AA96" i="23"/>
  <c r="AA100" i="23"/>
  <c r="AA19" i="24"/>
  <c r="AA23" i="24"/>
  <c r="AA30" i="24"/>
  <c r="AA34" i="24"/>
  <c r="AA41" i="24"/>
  <c r="AA45" i="24"/>
  <c r="AA52" i="24"/>
  <c r="AA56" i="24"/>
  <c r="AA74" i="24"/>
  <c r="AA78" i="24"/>
  <c r="AA85" i="24"/>
  <c r="AA89" i="24"/>
  <c r="AA96" i="24"/>
  <c r="AA100" i="24"/>
  <c r="AA19" i="25"/>
  <c r="AA23" i="25"/>
  <c r="AA30" i="25"/>
  <c r="AA34" i="25"/>
  <c r="AA41" i="25"/>
  <c r="AA45" i="25"/>
  <c r="AA52" i="25"/>
  <c r="AA56" i="25"/>
  <c r="AA74" i="25"/>
  <c r="AA78" i="25"/>
  <c r="AA85" i="25"/>
  <c r="AA89" i="25"/>
  <c r="AA96" i="25"/>
  <c r="AA100" i="25"/>
  <c r="AA19" i="26"/>
  <c r="AA23" i="26"/>
  <c r="AA30" i="26"/>
  <c r="AA34" i="26"/>
  <c r="AA41" i="26"/>
  <c r="AA45" i="26"/>
  <c r="AA52" i="26"/>
  <c r="AA56" i="26"/>
  <c r="AA74" i="26"/>
  <c r="AA78" i="26"/>
  <c r="AA85" i="26"/>
  <c r="AA89" i="26"/>
  <c r="AA96" i="26"/>
  <c r="AA100" i="26"/>
  <c r="AA19" i="27"/>
  <c r="AA23" i="27"/>
  <c r="AA30" i="27"/>
  <c r="AA34" i="27"/>
  <c r="AA41" i="27"/>
  <c r="AA45" i="27"/>
  <c r="AA52" i="27"/>
  <c r="AA56" i="27"/>
  <c r="AA74" i="27"/>
  <c r="AA78" i="27"/>
  <c r="AA85" i="27"/>
  <c r="AA89" i="27"/>
  <c r="AA29" i="25"/>
  <c r="AA33" i="25"/>
  <c r="AA40" i="25"/>
  <c r="AA44" i="25"/>
  <c r="AA51" i="25"/>
  <c r="AA55" i="25"/>
  <c r="AA73" i="25"/>
  <c r="AA77" i="25"/>
  <c r="AA84" i="25"/>
  <c r="AA88" i="25"/>
  <c r="AA95" i="25"/>
  <c r="AA99" i="25"/>
  <c r="AA18" i="26"/>
  <c r="AA22" i="26"/>
  <c r="AA29" i="26"/>
  <c r="AA33" i="26"/>
  <c r="AA40" i="26"/>
  <c r="AA44" i="26"/>
  <c r="AA51" i="26"/>
  <c r="AA55" i="26"/>
  <c r="AA73" i="26"/>
  <c r="AA77" i="26"/>
  <c r="AA84" i="26"/>
  <c r="AA88" i="26"/>
  <c r="AA95" i="26"/>
  <c r="AA99" i="26"/>
  <c r="AA18" i="27"/>
  <c r="AA22" i="27"/>
  <c r="AA29" i="27"/>
  <c r="AA33" i="27"/>
  <c r="AA40" i="27"/>
  <c r="AA44" i="27"/>
  <c r="AA51" i="27"/>
  <c r="AA55" i="27"/>
  <c r="AA73" i="27"/>
  <c r="AA77" i="27"/>
  <c r="AA84" i="27"/>
  <c r="AA88" i="27"/>
  <c r="AA95" i="27"/>
  <c r="AA99" i="27"/>
  <c r="AA18" i="28"/>
  <c r="AA22" i="28"/>
  <c r="AA29" i="28"/>
  <c r="AA33" i="28"/>
  <c r="AA40" i="28"/>
  <c r="AA44" i="28"/>
  <c r="AA51" i="28"/>
  <c r="AA55" i="28"/>
  <c r="AA73" i="28"/>
  <c r="AA77" i="28"/>
  <c r="AA84" i="28"/>
  <c r="AA88" i="28"/>
  <c r="AA95" i="28"/>
  <c r="AA72" i="26"/>
  <c r="AA17" i="23"/>
  <c r="AA21" i="23"/>
  <c r="AA39" i="23"/>
  <c r="AA43" i="23"/>
  <c r="AA50" i="23"/>
  <c r="AA72" i="23"/>
  <c r="AA83" i="23"/>
  <c r="AA87" i="23"/>
  <c r="AA94" i="23"/>
  <c r="AA98" i="23"/>
  <c r="AA21" i="24"/>
  <c r="AA28" i="24"/>
  <c r="AA32" i="24"/>
  <c r="AA50" i="24"/>
  <c r="AA54" i="24"/>
  <c r="AA87" i="24"/>
  <c r="AA94" i="24"/>
  <c r="AA98" i="26"/>
  <c r="AA17" i="27"/>
  <c r="AA39" i="24"/>
  <c r="AA28" i="23"/>
  <c r="AA54" i="23"/>
  <c r="AA83" i="24"/>
  <c r="AA17" i="25"/>
  <c r="AA21" i="27"/>
  <c r="AA32" i="23"/>
  <c r="AA76" i="23"/>
  <c r="AA17" i="24"/>
  <c r="AA43" i="24"/>
  <c r="AA72" i="24"/>
  <c r="AA76" i="24"/>
  <c r="AA98" i="24"/>
  <c r="AA21" i="25"/>
  <c r="AA28" i="25"/>
  <c r="AA39" i="25"/>
  <c r="AA76" i="26"/>
  <c r="AA32" i="25"/>
  <c r="AA43" i="25"/>
  <c r="AA50" i="25"/>
  <c r="AA54" i="25"/>
  <c r="AA72" i="25"/>
  <c r="AA76" i="25"/>
  <c r="AA83" i="25"/>
  <c r="AA87" i="25"/>
  <c r="AA94" i="25"/>
  <c r="AA98" i="25"/>
  <c r="AA17" i="26"/>
  <c r="AA21" i="26"/>
  <c r="AA28" i="26"/>
  <c r="AA32" i="26"/>
  <c r="AA39" i="26"/>
  <c r="AA43" i="26"/>
  <c r="AA50" i="26"/>
  <c r="AA54" i="26"/>
  <c r="AA96" i="27"/>
  <c r="AA100" i="27"/>
  <c r="AA19" i="28"/>
  <c r="AA23" i="28"/>
  <c r="AA30" i="28"/>
  <c r="AA34" i="28"/>
  <c r="AA41" i="28"/>
  <c r="AA45" i="28"/>
  <c r="AA52" i="28"/>
  <c r="AA56" i="28"/>
  <c r="AA74" i="28"/>
  <c r="AA78" i="28"/>
  <c r="AA85" i="28"/>
  <c r="AA89" i="28"/>
  <c r="AA96" i="28"/>
  <c r="AA100" i="28"/>
  <c r="AA19" i="29"/>
  <c r="AA23" i="29"/>
  <c r="AA30" i="29"/>
  <c r="AA34" i="29"/>
  <c r="AA41" i="29"/>
  <c r="AA45" i="29"/>
  <c r="AA52" i="29"/>
  <c r="AA56" i="29"/>
  <c r="AA74" i="29"/>
  <c r="AA78" i="29"/>
  <c r="AA85" i="29"/>
  <c r="AA89" i="29"/>
  <c r="AA96" i="29"/>
  <c r="AA100" i="29"/>
  <c r="AA19" i="30"/>
  <c r="AA23" i="30"/>
  <c r="AA30" i="30"/>
  <c r="AA34" i="30"/>
  <c r="AA41" i="30"/>
  <c r="AA45" i="30"/>
  <c r="AA52" i="30"/>
  <c r="AA56" i="30"/>
  <c r="AA74" i="30"/>
  <c r="AA78" i="30"/>
  <c r="AA85" i="30"/>
  <c r="AA89" i="30"/>
  <c r="AA96" i="30"/>
  <c r="AA100" i="30"/>
  <c r="AA19" i="31"/>
  <c r="AA23" i="31"/>
  <c r="AA30" i="31"/>
  <c r="AA34" i="31"/>
  <c r="AA41" i="31"/>
  <c r="AA45" i="31"/>
  <c r="AA52" i="31"/>
  <c r="AA56" i="31"/>
  <c r="AA74" i="31"/>
  <c r="AA78" i="31"/>
  <c r="AA85" i="31"/>
  <c r="AA89" i="31"/>
  <c r="AA96" i="31"/>
  <c r="AA100" i="31"/>
  <c r="AA19" i="32"/>
  <c r="AA23" i="32"/>
  <c r="AA30" i="32"/>
  <c r="AA34" i="32"/>
  <c r="AA41" i="32"/>
  <c r="AA45" i="32"/>
  <c r="AA52" i="32"/>
  <c r="AA56" i="32"/>
  <c r="AA74" i="32"/>
  <c r="AA78" i="32"/>
  <c r="AA85" i="32"/>
  <c r="AA89" i="32"/>
  <c r="AA96" i="32"/>
  <c r="AA100" i="32"/>
  <c r="AA99" i="28"/>
  <c r="AA18" i="29"/>
  <c r="AA22" i="29"/>
  <c r="AA29" i="29"/>
  <c r="AA33" i="29"/>
  <c r="AA40" i="29"/>
  <c r="AA44" i="29"/>
  <c r="AA51" i="29"/>
  <c r="AA55" i="29"/>
  <c r="AA73" i="29"/>
  <c r="AA77" i="29"/>
  <c r="AA84" i="29"/>
  <c r="AA88" i="29"/>
  <c r="AA95" i="29"/>
  <c r="AA99" i="29"/>
  <c r="AA18" i="30"/>
  <c r="AA22" i="30"/>
  <c r="AA29" i="30"/>
  <c r="AA33" i="30"/>
  <c r="AA40" i="30"/>
  <c r="AA44" i="30"/>
  <c r="AA51" i="30"/>
  <c r="AA55" i="30"/>
  <c r="AA73" i="30"/>
  <c r="AA77" i="30"/>
  <c r="AA84" i="30"/>
  <c r="AA88" i="30"/>
  <c r="AA95" i="30"/>
  <c r="AA99" i="30"/>
  <c r="AA18" i="31"/>
  <c r="AA22" i="31"/>
  <c r="AA29" i="31"/>
  <c r="AA33" i="31"/>
  <c r="AA40" i="31"/>
  <c r="AA44" i="31"/>
  <c r="AA51" i="31"/>
  <c r="AA55" i="31"/>
  <c r="AA73" i="31"/>
  <c r="AA77" i="31"/>
  <c r="AA84" i="31"/>
  <c r="AA88" i="31"/>
  <c r="AA95" i="31"/>
  <c r="AA99" i="31"/>
  <c r="AA18" i="32"/>
  <c r="AA22" i="32"/>
  <c r="AA29" i="32"/>
  <c r="AA33" i="32"/>
  <c r="AA40" i="32"/>
  <c r="AA44" i="32"/>
  <c r="AA51" i="32"/>
  <c r="AA55" i="32"/>
  <c r="AA73" i="32"/>
  <c r="AA77" i="32"/>
  <c r="AA84" i="32"/>
  <c r="AA88" i="32"/>
  <c r="AA95" i="32"/>
  <c r="AA99" i="32"/>
  <c r="AA83" i="26"/>
  <c r="AA87" i="26"/>
  <c r="AA94" i="26"/>
  <c r="AA28" i="27"/>
  <c r="AA32" i="27"/>
  <c r="AA39" i="27"/>
  <c r="AA43" i="27"/>
  <c r="AA50" i="27"/>
  <c r="AA54" i="27"/>
  <c r="AA72" i="27"/>
  <c r="AA76" i="27"/>
  <c r="AA83" i="27"/>
  <c r="AA87" i="27"/>
  <c r="AA94" i="27"/>
  <c r="AA98" i="27"/>
  <c r="AA17" i="28"/>
  <c r="AA21" i="28"/>
  <c r="AA28" i="28"/>
  <c r="AA32" i="28"/>
  <c r="AA39" i="28"/>
  <c r="AA43" i="28"/>
  <c r="AA50" i="28"/>
  <c r="AA54" i="28"/>
  <c r="AA72" i="28"/>
  <c r="AA76" i="28"/>
  <c r="AA83" i="28"/>
  <c r="AA87" i="28"/>
  <c r="AA94" i="28"/>
  <c r="AA98" i="28"/>
  <c r="AA17" i="29"/>
  <c r="AA21" i="29"/>
  <c r="AA28" i="29"/>
  <c r="AA32" i="29"/>
  <c r="AA39" i="29"/>
  <c r="AA43" i="29"/>
  <c r="AA50" i="29"/>
  <c r="AA54" i="29"/>
  <c r="AA72" i="29"/>
  <c r="AA76" i="29"/>
  <c r="AA83" i="29"/>
  <c r="AA87" i="29"/>
  <c r="AA94" i="29"/>
  <c r="AA98" i="29"/>
  <c r="AA17" i="30"/>
  <c r="AA21" i="30"/>
  <c r="AA28" i="30"/>
  <c r="AA32" i="30"/>
  <c r="AA39" i="30"/>
  <c r="AA43" i="30"/>
  <c r="AA50" i="30"/>
  <c r="AA54" i="30"/>
  <c r="AA72" i="30"/>
  <c r="AA76" i="30"/>
  <c r="AA83" i="30"/>
  <c r="AA87" i="30"/>
  <c r="AA94" i="30"/>
  <c r="AA98" i="30"/>
  <c r="AA17" i="31"/>
  <c r="AA21" i="31"/>
  <c r="AA28" i="31"/>
  <c r="AA32" i="31"/>
  <c r="AA39" i="31"/>
  <c r="AA43" i="31"/>
  <c r="AA50" i="31"/>
  <c r="AA54" i="31"/>
  <c r="AA72" i="31"/>
  <c r="AA76" i="31"/>
  <c r="AA83" i="31"/>
  <c r="AA87" i="31"/>
  <c r="AA94" i="31"/>
  <c r="AA98" i="31"/>
  <c r="AA17" i="32"/>
  <c r="AA21" i="32"/>
  <c r="AA28" i="32"/>
  <c r="AA32" i="32"/>
  <c r="AA39" i="32"/>
  <c r="AA43" i="32"/>
  <c r="AA50" i="32"/>
  <c r="AA54" i="32"/>
  <c r="AA72" i="32"/>
  <c r="AA76" i="32"/>
  <c r="AA83" i="32"/>
  <c r="AA87" i="32"/>
  <c r="AA94" i="32"/>
  <c r="AA98" i="32"/>
  <c r="AA31" i="23"/>
  <c r="AA75" i="23"/>
  <c r="AA82" i="23"/>
  <c r="AA97" i="23"/>
  <c r="AA16" i="24"/>
  <c r="AA20" i="24"/>
  <c r="AA31" i="24"/>
  <c r="AA38" i="24"/>
  <c r="AA49" i="24"/>
  <c r="AA82" i="24"/>
  <c r="AA86" i="24"/>
  <c r="AA38" i="25"/>
  <c r="AA42" i="23"/>
  <c r="AA49" i="23"/>
  <c r="AA53" i="23"/>
  <c r="AA86" i="23"/>
  <c r="AA93" i="23"/>
  <c r="AA27" i="24"/>
  <c r="AA53" i="24"/>
  <c r="AA71" i="24"/>
  <c r="AA75" i="24"/>
  <c r="AA27" i="25"/>
  <c r="AA75" i="25"/>
  <c r="AA97" i="25"/>
  <c r="AA16" i="26"/>
  <c r="AA20" i="26"/>
  <c r="AA27" i="26"/>
  <c r="AA49" i="26"/>
  <c r="AA82" i="26"/>
  <c r="AA16" i="23"/>
  <c r="AA20" i="23"/>
  <c r="AA27" i="23"/>
  <c r="AA38" i="23"/>
  <c r="AA71" i="23"/>
  <c r="AA42" i="24"/>
  <c r="AA93" i="24"/>
  <c r="AA97" i="24"/>
  <c r="AA16" i="25"/>
  <c r="AA20" i="25"/>
  <c r="AA31" i="25"/>
  <c r="AA42" i="25"/>
  <c r="AA49" i="25"/>
  <c r="AA53" i="25"/>
  <c r="AA71" i="25"/>
  <c r="AA82" i="25"/>
  <c r="AA86" i="25"/>
  <c r="AA93" i="25"/>
  <c r="AA31" i="26"/>
  <c r="AA38" i="26"/>
  <c r="AA42" i="26"/>
  <c r="AA53" i="26"/>
  <c r="AA71" i="26"/>
  <c r="AA75" i="26"/>
  <c r="AA97" i="26"/>
  <c r="AA93" i="26"/>
  <c r="AA17" i="14"/>
  <c r="AA86" i="26"/>
  <c r="AA16" i="27"/>
  <c r="AA20" i="27"/>
  <c r="AA27" i="27"/>
  <c r="AA31" i="27"/>
  <c r="AA38" i="27"/>
  <c r="AA42" i="27"/>
  <c r="AA49" i="27"/>
  <c r="AA53" i="27"/>
  <c r="AA71" i="27"/>
  <c r="AA75" i="27"/>
  <c r="AA82" i="27"/>
  <c r="AA86" i="27"/>
  <c r="AA93" i="27"/>
  <c r="AA97" i="27"/>
  <c r="AA16" i="28"/>
  <c r="AA20" i="28"/>
  <c r="AA27" i="28"/>
  <c r="AA31" i="28"/>
  <c r="AA38" i="28"/>
  <c r="AA42" i="28"/>
  <c r="AA49" i="28"/>
  <c r="AA53" i="28"/>
  <c r="AA71" i="28"/>
  <c r="AA75" i="28"/>
  <c r="AA82" i="28"/>
  <c r="AA86" i="28"/>
  <c r="AA93" i="28"/>
  <c r="AA97" i="28"/>
  <c r="AA16" i="29"/>
  <c r="AA20" i="29"/>
  <c r="AA27" i="29"/>
  <c r="AA31" i="29"/>
  <c r="AA38" i="29"/>
  <c r="AA42" i="29"/>
  <c r="AA49" i="29"/>
  <c r="AA53" i="29"/>
  <c r="AA71" i="29"/>
  <c r="AA75" i="29"/>
  <c r="AA82" i="29"/>
  <c r="AA86" i="29"/>
  <c r="AA93" i="29"/>
  <c r="AA97" i="29"/>
  <c r="AA16" i="30"/>
  <c r="AA20" i="30"/>
  <c r="AA27" i="30"/>
  <c r="AA31" i="30"/>
  <c r="AA38" i="30"/>
  <c r="AA42" i="30"/>
  <c r="AA49" i="30"/>
  <c r="AA53" i="30"/>
  <c r="AA71" i="30"/>
  <c r="AA75" i="30"/>
  <c r="AA82" i="30"/>
  <c r="AA86" i="30"/>
  <c r="AA93" i="30"/>
  <c r="AA97" i="30"/>
  <c r="AA16" i="31"/>
  <c r="AA20" i="31"/>
  <c r="AA27" i="31"/>
  <c r="AA31" i="31"/>
  <c r="AA38" i="31"/>
  <c r="AA42" i="31"/>
  <c r="AA49" i="31"/>
  <c r="AA53" i="31"/>
  <c r="AA71" i="31"/>
  <c r="AA75" i="31"/>
  <c r="AA82" i="31"/>
  <c r="AA86" i="31"/>
  <c r="AA93" i="31"/>
  <c r="AA97" i="31"/>
  <c r="AA16" i="32"/>
  <c r="AA20" i="32"/>
  <c r="AA27" i="32"/>
  <c r="AA31" i="32"/>
  <c r="AA38" i="32"/>
  <c r="AA42" i="32"/>
  <c r="AA49" i="32"/>
  <c r="AA53" i="32"/>
  <c r="AA71" i="32"/>
  <c r="AA75" i="32"/>
  <c r="AA82" i="32"/>
  <c r="AA86" i="32"/>
  <c r="AA93" i="32"/>
  <c r="AA97" i="32"/>
  <c r="AA16" i="14"/>
  <c r="AA63" i="23"/>
  <c r="AA67" i="23"/>
  <c r="AA63" i="24"/>
  <c r="AA67" i="24"/>
  <c r="AA63" i="25"/>
  <c r="AA67" i="25"/>
  <c r="AA63" i="26"/>
  <c r="AA67" i="26"/>
  <c r="AA63" i="27"/>
  <c r="AA67" i="27"/>
  <c r="AA63" i="28"/>
  <c r="AA67" i="28"/>
  <c r="AA63" i="29"/>
  <c r="AA67" i="29"/>
  <c r="AA63" i="30"/>
  <c r="AA67" i="30"/>
  <c r="AA63" i="31"/>
  <c r="AA67" i="31"/>
  <c r="AA63" i="32"/>
  <c r="AA67" i="32"/>
  <c r="AA62" i="23"/>
  <c r="AA66" i="23"/>
  <c r="AA62" i="27"/>
  <c r="AA66" i="31"/>
  <c r="AA62" i="32"/>
  <c r="AA62" i="24"/>
  <c r="AA66" i="24"/>
  <c r="AA66" i="25"/>
  <c r="AA66" i="26"/>
  <c r="AA62" i="28"/>
  <c r="AA62" i="29"/>
  <c r="AA62" i="30"/>
  <c r="AA62" i="31"/>
  <c r="AA62" i="25"/>
  <c r="AA62" i="26"/>
  <c r="AA66" i="27"/>
  <c r="AA66" i="28"/>
  <c r="AA66" i="29"/>
  <c r="AA66" i="30"/>
  <c r="AA66" i="32"/>
  <c r="AA61" i="23"/>
  <c r="AA65" i="23"/>
  <c r="AA61" i="24"/>
  <c r="AA65" i="24"/>
  <c r="AA61" i="25"/>
  <c r="AA65" i="25"/>
  <c r="AA61" i="26"/>
  <c r="AA65" i="26"/>
  <c r="AA61" i="27"/>
  <c r="AA65" i="27"/>
  <c r="AA61" i="28"/>
  <c r="AA65" i="28"/>
  <c r="AA61" i="29"/>
  <c r="AA65" i="29"/>
  <c r="AA61" i="30"/>
  <c r="AA65" i="30"/>
  <c r="AA61" i="31"/>
  <c r="AA65" i="31"/>
  <c r="AA61" i="32"/>
  <c r="AA65" i="32"/>
  <c r="AA60" i="24"/>
  <c r="AA64" i="24"/>
  <c r="AA60" i="25"/>
  <c r="AA64" i="25"/>
  <c r="AA60" i="26"/>
  <c r="AA64" i="26"/>
  <c r="AA60" i="27"/>
  <c r="AA64" i="27"/>
  <c r="AA60" i="28"/>
  <c r="AA64" i="28"/>
  <c r="AA60" i="29"/>
  <c r="AA64" i="29"/>
  <c r="AA60" i="30"/>
  <c r="AA64" i="30"/>
  <c r="AA60" i="31"/>
  <c r="AA64" i="31"/>
  <c r="AA60" i="32"/>
  <c r="AA64" i="32"/>
  <c r="AA60" i="23"/>
  <c r="AA64" i="23"/>
  <c r="N68" i="29"/>
  <c r="B68" i="31"/>
  <c r="V68" i="31"/>
  <c r="S68" i="31"/>
  <c r="C68" i="32"/>
  <c r="W68" i="32"/>
  <c r="T68" i="31"/>
  <c r="D68" i="32"/>
  <c r="X68" i="32"/>
  <c r="L68" i="29"/>
  <c r="P68" i="30"/>
  <c r="M68" i="29"/>
  <c r="Q68" i="30"/>
  <c r="U68" i="31"/>
  <c r="E68" i="32"/>
  <c r="Y68" i="32"/>
  <c r="F68" i="32"/>
  <c r="G68" i="27"/>
  <c r="L68" i="28"/>
  <c r="I68" i="26"/>
  <c r="R68" i="23"/>
  <c r="B68" i="24"/>
  <c r="V68" i="24"/>
  <c r="F68" i="25"/>
  <c r="O68" i="29"/>
  <c r="S68" i="30"/>
  <c r="U68" i="23"/>
  <c r="E68" i="24"/>
  <c r="Y68" i="24"/>
  <c r="I68" i="25"/>
  <c r="M68" i="28"/>
  <c r="O68" i="28"/>
  <c r="F68" i="26"/>
  <c r="V68" i="30"/>
  <c r="H68" i="25"/>
  <c r="C68" i="23"/>
  <c r="W68" i="23"/>
  <c r="G68" i="24"/>
  <c r="I68" i="27"/>
  <c r="G68" i="25"/>
  <c r="D68" i="23"/>
  <c r="X68" i="23"/>
  <c r="H68" i="24"/>
  <c r="G68" i="30"/>
  <c r="H68" i="27"/>
  <c r="B68" i="30"/>
  <c r="N68" i="28"/>
  <c r="G68" i="26"/>
  <c r="H68" i="26"/>
  <c r="H68" i="32"/>
  <c r="K68" i="32"/>
  <c r="L68" i="32"/>
  <c r="M68" i="32"/>
  <c r="O68" i="32"/>
  <c r="P68" i="32"/>
  <c r="G68" i="32"/>
  <c r="N68" i="32"/>
  <c r="Q68" i="32"/>
  <c r="R68" i="32"/>
  <c r="S68" i="32"/>
  <c r="T68" i="32"/>
  <c r="U68" i="32"/>
  <c r="I68" i="32"/>
  <c r="J68" i="32"/>
  <c r="B68" i="32"/>
  <c r="V68" i="32"/>
  <c r="F68" i="31"/>
  <c r="G68" i="31"/>
  <c r="H68" i="31"/>
  <c r="I68" i="31"/>
  <c r="K68" i="31"/>
  <c r="L68" i="31"/>
  <c r="M68" i="31"/>
  <c r="W68" i="31"/>
  <c r="X68" i="31"/>
  <c r="N68" i="31"/>
  <c r="E68" i="31"/>
  <c r="J68" i="31"/>
  <c r="O68" i="31"/>
  <c r="C68" i="31"/>
  <c r="Y68" i="31"/>
  <c r="P68" i="31"/>
  <c r="Q68" i="31"/>
  <c r="D68" i="31"/>
  <c r="R68" i="31"/>
  <c r="R68" i="30"/>
  <c r="T68" i="30"/>
  <c r="U68" i="30"/>
  <c r="F68" i="30"/>
  <c r="H68" i="30"/>
  <c r="I68" i="30"/>
  <c r="J68" i="30"/>
  <c r="C68" i="30"/>
  <c r="D68" i="30"/>
  <c r="Y68" i="30"/>
  <c r="K68" i="30"/>
  <c r="W68" i="30"/>
  <c r="X68" i="30"/>
  <c r="E68" i="30"/>
  <c r="L68" i="30"/>
  <c r="M68" i="30"/>
  <c r="N68" i="30"/>
  <c r="O68" i="30"/>
  <c r="Q68" i="29"/>
  <c r="S68" i="29"/>
  <c r="T68" i="29"/>
  <c r="U68" i="29"/>
  <c r="B68" i="29"/>
  <c r="V68" i="29"/>
  <c r="C68" i="29"/>
  <c r="W68" i="29"/>
  <c r="D68" i="29"/>
  <c r="X68" i="29"/>
  <c r="E68" i="29"/>
  <c r="Y68" i="29"/>
  <c r="G68" i="29"/>
  <c r="P68" i="29"/>
  <c r="F68" i="29"/>
  <c r="H68" i="29"/>
  <c r="R68" i="29"/>
  <c r="I68" i="29"/>
  <c r="J68" i="29"/>
  <c r="K68" i="29"/>
  <c r="I68" i="28"/>
  <c r="J68" i="28"/>
  <c r="K68" i="28"/>
  <c r="Q68" i="28"/>
  <c r="R68" i="28"/>
  <c r="S68" i="28"/>
  <c r="U68" i="28"/>
  <c r="B68" i="28"/>
  <c r="V68" i="28"/>
  <c r="C68" i="28"/>
  <c r="W68" i="28"/>
  <c r="T68" i="28"/>
  <c r="D68" i="28"/>
  <c r="X68" i="28"/>
  <c r="P68" i="28"/>
  <c r="E68" i="28"/>
  <c r="Y68" i="28"/>
  <c r="F68" i="28"/>
  <c r="G68" i="28"/>
  <c r="H68" i="28"/>
  <c r="K68" i="27"/>
  <c r="O68" i="27"/>
  <c r="P68" i="27"/>
  <c r="Q68" i="27"/>
  <c r="J68" i="27"/>
  <c r="R68" i="27"/>
  <c r="S68" i="27"/>
  <c r="T68" i="27"/>
  <c r="U68" i="27"/>
  <c r="L68" i="27"/>
  <c r="M68" i="27"/>
  <c r="B68" i="27"/>
  <c r="V68" i="27"/>
  <c r="N68" i="27"/>
  <c r="C68" i="27"/>
  <c r="W68" i="27"/>
  <c r="D68" i="27"/>
  <c r="X68" i="27"/>
  <c r="E68" i="27"/>
  <c r="Y68" i="27"/>
  <c r="F68" i="27"/>
  <c r="K68" i="26"/>
  <c r="L68" i="26"/>
  <c r="M68" i="26"/>
  <c r="N68" i="26"/>
  <c r="O68" i="26"/>
  <c r="P68" i="26"/>
  <c r="S68" i="26"/>
  <c r="U68" i="26"/>
  <c r="J68" i="26"/>
  <c r="Q68" i="26"/>
  <c r="R68" i="26"/>
  <c r="T68" i="26"/>
  <c r="B68" i="26"/>
  <c r="V68" i="26"/>
  <c r="C68" i="26"/>
  <c r="W68" i="26"/>
  <c r="D68" i="26"/>
  <c r="X68" i="26"/>
  <c r="E68" i="26"/>
  <c r="Y68" i="26"/>
  <c r="B68" i="25"/>
  <c r="V68" i="25"/>
  <c r="C68" i="25"/>
  <c r="W68" i="25"/>
  <c r="D68" i="25"/>
  <c r="X68" i="25"/>
  <c r="E68" i="25"/>
  <c r="Y68" i="25"/>
  <c r="K68" i="25"/>
  <c r="L68" i="25"/>
  <c r="N68" i="25"/>
  <c r="O68" i="25"/>
  <c r="M68" i="25"/>
  <c r="P68" i="25"/>
  <c r="Q68" i="25"/>
  <c r="R68" i="25"/>
  <c r="S68" i="25"/>
  <c r="T68" i="25"/>
  <c r="J68" i="25"/>
  <c r="U68" i="25"/>
  <c r="C68" i="24"/>
  <c r="W68" i="24"/>
  <c r="D68" i="24"/>
  <c r="X68" i="24"/>
  <c r="I68" i="24"/>
  <c r="J68" i="24"/>
  <c r="K68" i="24"/>
  <c r="L68" i="24"/>
  <c r="M68" i="24"/>
  <c r="N68" i="24"/>
  <c r="F68" i="24"/>
  <c r="O68" i="24"/>
  <c r="P68" i="24"/>
  <c r="Q68" i="24"/>
  <c r="R68" i="24"/>
  <c r="S68" i="24"/>
  <c r="T68" i="24"/>
  <c r="U68" i="24"/>
  <c r="S68" i="23"/>
  <c r="T68" i="23"/>
  <c r="B68" i="23"/>
  <c r="E68" i="23"/>
  <c r="F68" i="23"/>
  <c r="G68" i="23"/>
  <c r="H68" i="23"/>
  <c r="I68" i="23"/>
  <c r="L68" i="23"/>
  <c r="V68" i="23"/>
  <c r="J68" i="23"/>
  <c r="K68" i="23"/>
  <c r="M68" i="23"/>
  <c r="Y68" i="23"/>
  <c r="N68" i="23"/>
  <c r="O68" i="23"/>
  <c r="P68" i="23"/>
  <c r="Q68" i="23"/>
  <c r="Y155" i="12" l="1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AA104" i="12" l="1"/>
  <c r="AA108" i="12"/>
  <c r="AA115" i="12"/>
  <c r="AA119" i="12"/>
  <c r="AA126" i="12"/>
  <c r="AA130" i="12"/>
  <c r="AA137" i="12"/>
  <c r="AA141" i="12"/>
  <c r="AA148" i="12"/>
  <c r="AA152" i="12"/>
  <c r="AA107" i="12"/>
  <c r="AA111" i="12"/>
  <c r="AA118" i="12"/>
  <c r="AA122" i="12"/>
  <c r="AA129" i="12"/>
  <c r="AA133" i="12"/>
  <c r="AA140" i="12"/>
  <c r="AA144" i="12"/>
  <c r="AA151" i="12"/>
  <c r="AA155" i="12"/>
  <c r="AA154" i="12"/>
  <c r="AA110" i="12"/>
  <c r="AA132" i="12"/>
  <c r="AA139" i="12"/>
  <c r="AA121" i="12"/>
  <c r="AA128" i="12"/>
  <c r="AA143" i="12"/>
  <c r="AA150" i="12"/>
  <c r="AA106" i="12"/>
  <c r="AA117" i="12"/>
  <c r="AA105" i="12"/>
  <c r="AA109" i="12"/>
  <c r="AA116" i="12"/>
  <c r="AA120" i="12"/>
  <c r="AA127" i="12"/>
  <c r="AA131" i="12"/>
  <c r="AA138" i="12"/>
  <c r="AA142" i="12"/>
  <c r="AA149" i="12"/>
  <c r="AA153" i="1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AA67" i="14" l="1"/>
  <c r="AA63" i="14"/>
  <c r="AA66" i="15"/>
  <c r="AA62" i="15"/>
  <c r="AA65" i="16"/>
  <c r="AA61" i="16"/>
  <c r="AA64" i="17"/>
  <c r="AA67" i="18"/>
  <c r="AA63" i="18"/>
  <c r="AA66" i="19"/>
  <c r="AA62" i="19"/>
  <c r="AA65" i="20"/>
  <c r="AA61" i="20"/>
  <c r="AA64" i="21"/>
  <c r="AA67" i="22"/>
  <c r="AA63" i="22"/>
  <c r="AA64" i="14"/>
  <c r="AA67" i="15"/>
  <c r="AA63" i="15"/>
  <c r="AA66" i="16"/>
  <c r="AA62" i="16"/>
  <c r="AA65" i="17"/>
  <c r="AA61" i="17"/>
  <c r="AA64" i="18"/>
  <c r="AA67" i="19"/>
  <c r="AA63" i="19"/>
  <c r="AA66" i="20"/>
  <c r="AA62" i="20"/>
  <c r="AA65" i="21"/>
  <c r="AA61" i="21"/>
  <c r="AA64" i="22"/>
  <c r="AA65" i="14"/>
  <c r="AA61" i="14"/>
  <c r="AA64" i="15"/>
  <c r="AA67" i="16"/>
  <c r="AA63" i="16"/>
  <c r="AA66" i="17"/>
  <c r="AA62" i="17"/>
  <c r="AA65" i="18"/>
  <c r="AA61" i="18"/>
  <c r="AA64" i="19"/>
  <c r="AA67" i="20"/>
  <c r="AA63" i="20"/>
  <c r="AA66" i="21"/>
  <c r="AA62" i="21"/>
  <c r="AA65" i="22"/>
  <c r="AA61" i="22"/>
  <c r="AA66" i="14"/>
  <c r="AA62" i="14"/>
  <c r="AA65" i="15"/>
  <c r="AA61" i="15"/>
  <c r="AA64" i="16"/>
  <c r="AA67" i="17"/>
  <c r="AA63" i="17"/>
  <c r="AA66" i="18"/>
  <c r="AA62" i="18"/>
  <c r="AA65" i="19"/>
  <c r="AA61" i="19"/>
  <c r="AA64" i="20"/>
  <c r="AA67" i="21"/>
  <c r="AA63" i="21"/>
  <c r="AA66" i="22"/>
  <c r="AA62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A39" i="14" l="1"/>
  <c r="AA32" i="14"/>
  <c r="AA43" i="14"/>
  <c r="AA50" i="14"/>
  <c r="AA54" i="14"/>
  <c r="AA71" i="14"/>
  <c r="AA75" i="14"/>
  <c r="AA82" i="14"/>
  <c r="AA86" i="14"/>
  <c r="AA93" i="14"/>
  <c r="AA97" i="14"/>
  <c r="AA16" i="15"/>
  <c r="AA20" i="15"/>
  <c r="AA27" i="15"/>
  <c r="AA31" i="15"/>
  <c r="AA38" i="15"/>
  <c r="AA42" i="15"/>
  <c r="AA49" i="15"/>
  <c r="AA53" i="15"/>
  <c r="AA74" i="15"/>
  <c r="AA78" i="15"/>
  <c r="AA85" i="15"/>
  <c r="AA89" i="15"/>
  <c r="AA96" i="15"/>
  <c r="AA100" i="15"/>
  <c r="AA19" i="16"/>
  <c r="AA23" i="16"/>
  <c r="AA30" i="16"/>
  <c r="AA34" i="16"/>
  <c r="AA41" i="16"/>
  <c r="AA45" i="16"/>
  <c r="AA52" i="16"/>
  <c r="AA56" i="16"/>
  <c r="AA73" i="16"/>
  <c r="AA77" i="16"/>
  <c r="AA84" i="16"/>
  <c r="AA88" i="16"/>
  <c r="AA95" i="16"/>
  <c r="AA21" i="14"/>
  <c r="AA28" i="14"/>
  <c r="AA99" i="16"/>
  <c r="AA18" i="17"/>
  <c r="AA22" i="17"/>
  <c r="AA29" i="17"/>
  <c r="AA33" i="17"/>
  <c r="AA40" i="17"/>
  <c r="AA44" i="17"/>
  <c r="AA51" i="17"/>
  <c r="AA55" i="17"/>
  <c r="AA72" i="17"/>
  <c r="AA76" i="17"/>
  <c r="AA83" i="17"/>
  <c r="AA87" i="17"/>
  <c r="AA94" i="17"/>
  <c r="AA98" i="17"/>
  <c r="AA17" i="18"/>
  <c r="AA21" i="18"/>
  <c r="AA28" i="18"/>
  <c r="AA32" i="18"/>
  <c r="AA39" i="18"/>
  <c r="AA43" i="18"/>
  <c r="AA50" i="18"/>
  <c r="AA54" i="18"/>
  <c r="AA71" i="18"/>
  <c r="AA75" i="18"/>
  <c r="AA82" i="18"/>
  <c r="AA86" i="18"/>
  <c r="AA93" i="18"/>
  <c r="AA97" i="18"/>
  <c r="AA16" i="19"/>
  <c r="AA20" i="19"/>
  <c r="AA27" i="19"/>
  <c r="AA31" i="19"/>
  <c r="AA38" i="19"/>
  <c r="AA42" i="19"/>
  <c r="AA49" i="19"/>
  <c r="AA53" i="19"/>
  <c r="AA74" i="19"/>
  <c r="AA78" i="19"/>
  <c r="AA85" i="19"/>
  <c r="AA89" i="19"/>
  <c r="AA96" i="19"/>
  <c r="AA100" i="19"/>
  <c r="AA19" i="20"/>
  <c r="AA23" i="20"/>
  <c r="AA30" i="20"/>
  <c r="AA34" i="20"/>
  <c r="AA41" i="20"/>
  <c r="AA45" i="20"/>
  <c r="AA52" i="20"/>
  <c r="AA56" i="20"/>
  <c r="AA73" i="20"/>
  <c r="AA77" i="20"/>
  <c r="AA84" i="20"/>
  <c r="AA88" i="20"/>
  <c r="AA95" i="20"/>
  <c r="AA99" i="20"/>
  <c r="AA18" i="21"/>
  <c r="AA22" i="21"/>
  <c r="AA29" i="21"/>
  <c r="AA33" i="21"/>
  <c r="AA40" i="21"/>
  <c r="AA44" i="21"/>
  <c r="AA51" i="21"/>
  <c r="AA55" i="21"/>
  <c r="AA72" i="21"/>
  <c r="AA76" i="21"/>
  <c r="AA83" i="21"/>
  <c r="AA87" i="21"/>
  <c r="AA94" i="21"/>
  <c r="AA98" i="21"/>
  <c r="AA17" i="22"/>
  <c r="AA21" i="22"/>
  <c r="AA28" i="22"/>
  <c r="AA32" i="22"/>
  <c r="AA39" i="22"/>
  <c r="AA43" i="22"/>
  <c r="AA50" i="22"/>
  <c r="AA54" i="22"/>
  <c r="AA71" i="22"/>
  <c r="AA75" i="22"/>
  <c r="AA82" i="22"/>
  <c r="AA86" i="22"/>
  <c r="AA93" i="22"/>
  <c r="AA97" i="22"/>
  <c r="AA31" i="14"/>
  <c r="AA38" i="14"/>
  <c r="AA42" i="14"/>
  <c r="AA53" i="14"/>
  <c r="AA74" i="14"/>
  <c r="AA78" i="14"/>
  <c r="AA85" i="14"/>
  <c r="AA89" i="14"/>
  <c r="AA96" i="14"/>
  <c r="AA30" i="15"/>
  <c r="AA34" i="15"/>
  <c r="AA41" i="15"/>
  <c r="AA45" i="15"/>
  <c r="AA52" i="15"/>
  <c r="AA56" i="15"/>
  <c r="AA73" i="15"/>
  <c r="AA77" i="15"/>
  <c r="AA84" i="15"/>
  <c r="AA88" i="15"/>
  <c r="AA95" i="15"/>
  <c r="AA99" i="15"/>
  <c r="AA18" i="16"/>
  <c r="AA22" i="16"/>
  <c r="AA29" i="16"/>
  <c r="AA33" i="16"/>
  <c r="AA40" i="16"/>
  <c r="AA44" i="16"/>
  <c r="AA51" i="16"/>
  <c r="AA55" i="16"/>
  <c r="AA72" i="16"/>
  <c r="AA76" i="16"/>
  <c r="AA83" i="16"/>
  <c r="AA87" i="16"/>
  <c r="AA94" i="16"/>
  <c r="AA27" i="14"/>
  <c r="AA20" i="14"/>
  <c r="AA100" i="14"/>
  <c r="AA23" i="15"/>
  <c r="AA49" i="14"/>
  <c r="AA19" i="15"/>
  <c r="AA98" i="16"/>
  <c r="AA17" i="17"/>
  <c r="AA21" i="17"/>
  <c r="AA28" i="17"/>
  <c r="AA32" i="17"/>
  <c r="AA39" i="17"/>
  <c r="AA43" i="17"/>
  <c r="AA50" i="17"/>
  <c r="AA54" i="17"/>
  <c r="AA71" i="17"/>
  <c r="AA75" i="17"/>
  <c r="AA82" i="17"/>
  <c r="AA86" i="17"/>
  <c r="AA93" i="17"/>
  <c r="AA97" i="17"/>
  <c r="AA16" i="18"/>
  <c r="AA20" i="18"/>
  <c r="AA27" i="18"/>
  <c r="AA31" i="18"/>
  <c r="AA38" i="18"/>
  <c r="AA42" i="18"/>
  <c r="AA49" i="18"/>
  <c r="AA53" i="18"/>
  <c r="AA74" i="18"/>
  <c r="AA78" i="18"/>
  <c r="AA85" i="18"/>
  <c r="AA89" i="18"/>
  <c r="AA96" i="18"/>
  <c r="AA100" i="18"/>
  <c r="AA19" i="19"/>
  <c r="AA23" i="19"/>
  <c r="AA30" i="19"/>
  <c r="AA34" i="19"/>
  <c r="AA41" i="19"/>
  <c r="AA45" i="19"/>
  <c r="AA52" i="19"/>
  <c r="AA56" i="19"/>
  <c r="AA73" i="19"/>
  <c r="AA77" i="19"/>
  <c r="AA84" i="19"/>
  <c r="AA88" i="19"/>
  <c r="AA95" i="19"/>
  <c r="AA99" i="19"/>
  <c r="AA18" i="20"/>
  <c r="AA22" i="20"/>
  <c r="AA29" i="20"/>
  <c r="AA33" i="20"/>
  <c r="AA40" i="20"/>
  <c r="AA44" i="20"/>
  <c r="AA51" i="20"/>
  <c r="AA55" i="20"/>
  <c r="AA72" i="20"/>
  <c r="AA76" i="20"/>
  <c r="AA83" i="20"/>
  <c r="AA87" i="20"/>
  <c r="AA94" i="20"/>
  <c r="AA98" i="20"/>
  <c r="AA17" i="21"/>
  <c r="AA21" i="21"/>
  <c r="AA28" i="21"/>
  <c r="AA32" i="21"/>
  <c r="AA39" i="21"/>
  <c r="AA43" i="21"/>
  <c r="AA50" i="21"/>
  <c r="AA54" i="21"/>
  <c r="AA71" i="21"/>
  <c r="AA75" i="21"/>
  <c r="AA82" i="21"/>
  <c r="AA86" i="21"/>
  <c r="AA93" i="21"/>
  <c r="AA97" i="21"/>
  <c r="AA16" i="22"/>
  <c r="AA20" i="22"/>
  <c r="AA27" i="22"/>
  <c r="AA31" i="22"/>
  <c r="AA38" i="22"/>
  <c r="AA42" i="22"/>
  <c r="AA49" i="22"/>
  <c r="AA53" i="22"/>
  <c r="AA74" i="22"/>
  <c r="AA78" i="22"/>
  <c r="AA85" i="22"/>
  <c r="AA89" i="22"/>
  <c r="AA96" i="22"/>
  <c r="AA100" i="22"/>
  <c r="AA30" i="14"/>
  <c r="AA45" i="14"/>
  <c r="AA52" i="14"/>
  <c r="AA73" i="14"/>
  <c r="AA77" i="14"/>
  <c r="AA84" i="14"/>
  <c r="AA88" i="14"/>
  <c r="AA95" i="14"/>
  <c r="AA99" i="14"/>
  <c r="AA18" i="15"/>
  <c r="AA22" i="15"/>
  <c r="AA29" i="15"/>
  <c r="AA33" i="15"/>
  <c r="AA40" i="15"/>
  <c r="AA44" i="15"/>
  <c r="AA51" i="15"/>
  <c r="AA55" i="15"/>
  <c r="AA72" i="15"/>
  <c r="AA76" i="15"/>
  <c r="AA83" i="15"/>
  <c r="AA87" i="15"/>
  <c r="AA94" i="15"/>
  <c r="AA98" i="15"/>
  <c r="AA17" i="16"/>
  <c r="AA21" i="16"/>
  <c r="AA28" i="16"/>
  <c r="AA32" i="16"/>
  <c r="AA39" i="16"/>
  <c r="AA43" i="16"/>
  <c r="AA50" i="16"/>
  <c r="AA54" i="16"/>
  <c r="AA71" i="16"/>
  <c r="AA75" i="16"/>
  <c r="AA82" i="16"/>
  <c r="AA86" i="16"/>
  <c r="AA93" i="16"/>
  <c r="AA97" i="16"/>
  <c r="AA19" i="14"/>
  <c r="AA23" i="14"/>
  <c r="AA34" i="14"/>
  <c r="AA41" i="14"/>
  <c r="AA56" i="14"/>
  <c r="AA22" i="14"/>
  <c r="AA29" i="14"/>
  <c r="AA33" i="14"/>
  <c r="AA40" i="14"/>
  <c r="AA44" i="14"/>
  <c r="AA51" i="14"/>
  <c r="AA55" i="14"/>
  <c r="AA72" i="14"/>
  <c r="AA76" i="14"/>
  <c r="AA83" i="14"/>
  <c r="AA87" i="14"/>
  <c r="AA94" i="14"/>
  <c r="AA98" i="14"/>
  <c r="AA17" i="15"/>
  <c r="AA21" i="15"/>
  <c r="AA28" i="15"/>
  <c r="AA32" i="15"/>
  <c r="AA39" i="15"/>
  <c r="AA43" i="15"/>
  <c r="AA50" i="15"/>
  <c r="AA54" i="15"/>
  <c r="AA71" i="15"/>
  <c r="AA75" i="15"/>
  <c r="AA82" i="15"/>
  <c r="AA86" i="15"/>
  <c r="AA93" i="15"/>
  <c r="AA97" i="15"/>
  <c r="AA16" i="16"/>
  <c r="AA20" i="16"/>
  <c r="AA27" i="16"/>
  <c r="AA31" i="16"/>
  <c r="AA38" i="16"/>
  <c r="AA42" i="16"/>
  <c r="AA49" i="16"/>
  <c r="AA53" i="16"/>
  <c r="AA74" i="16"/>
  <c r="AA78" i="16"/>
  <c r="AA85" i="16"/>
  <c r="AA89" i="16"/>
  <c r="AA96" i="16"/>
  <c r="AA16" i="17"/>
  <c r="AA20" i="17"/>
  <c r="AA27" i="17"/>
  <c r="AA31" i="17"/>
  <c r="AA38" i="17"/>
  <c r="AA42" i="17"/>
  <c r="AA49" i="17"/>
  <c r="AA53" i="17"/>
  <c r="AA74" i="17"/>
  <c r="AA78" i="17"/>
  <c r="AA85" i="17"/>
  <c r="AA89" i="17"/>
  <c r="AA96" i="17"/>
  <c r="AA100" i="17"/>
  <c r="AA19" i="18"/>
  <c r="AA23" i="18"/>
  <c r="AA30" i="18"/>
  <c r="AA34" i="18"/>
  <c r="AA41" i="18"/>
  <c r="AA45" i="18"/>
  <c r="AA52" i="18"/>
  <c r="AA56" i="18"/>
  <c r="AA73" i="18"/>
  <c r="AA77" i="18"/>
  <c r="AA84" i="18"/>
  <c r="AA88" i="18"/>
  <c r="AA95" i="18"/>
  <c r="AA99" i="18"/>
  <c r="AA18" i="19"/>
  <c r="AA22" i="19"/>
  <c r="AA29" i="19"/>
  <c r="AA33" i="19"/>
  <c r="AA40" i="19"/>
  <c r="AA44" i="19"/>
  <c r="AA51" i="19"/>
  <c r="AA55" i="19"/>
  <c r="AA72" i="19"/>
  <c r="AA76" i="19"/>
  <c r="AA83" i="19"/>
  <c r="AA87" i="19"/>
  <c r="AA94" i="19"/>
  <c r="AA98" i="19"/>
  <c r="AA17" i="20"/>
  <c r="AA21" i="20"/>
  <c r="AA28" i="20"/>
  <c r="AA32" i="20"/>
  <c r="AA39" i="20"/>
  <c r="AA43" i="20"/>
  <c r="AA50" i="20"/>
  <c r="AA54" i="20"/>
  <c r="AA71" i="20"/>
  <c r="AA75" i="20"/>
  <c r="AA82" i="20"/>
  <c r="AA86" i="20"/>
  <c r="AA93" i="20"/>
  <c r="AA97" i="20"/>
  <c r="AA16" i="21"/>
  <c r="AA20" i="21"/>
  <c r="AA27" i="21"/>
  <c r="AA31" i="21"/>
  <c r="AA38" i="21"/>
  <c r="AA42" i="21"/>
  <c r="AA49" i="21"/>
  <c r="AA53" i="21"/>
  <c r="AA74" i="21"/>
  <c r="AA78" i="21"/>
  <c r="AA85" i="21"/>
  <c r="AA89" i="21"/>
  <c r="AA96" i="21"/>
  <c r="AA100" i="21"/>
  <c r="AA19" i="22"/>
  <c r="AA23" i="22"/>
  <c r="AA30" i="22"/>
  <c r="AA34" i="22"/>
  <c r="AA41" i="22"/>
  <c r="AA45" i="22"/>
  <c r="AA52" i="22"/>
  <c r="AA56" i="22"/>
  <c r="AA73" i="22"/>
  <c r="AA77" i="22"/>
  <c r="AA84" i="22"/>
  <c r="AA88" i="22"/>
  <c r="AA95" i="22"/>
  <c r="AA99" i="22"/>
  <c r="AA100" i="16"/>
  <c r="AA19" i="17"/>
  <c r="AA23" i="17"/>
  <c r="AA30" i="17"/>
  <c r="AA34" i="17"/>
  <c r="AA41" i="17"/>
  <c r="AA45" i="17"/>
  <c r="AA52" i="17"/>
  <c r="AA56" i="17"/>
  <c r="AA73" i="17"/>
  <c r="AA77" i="17"/>
  <c r="AA84" i="17"/>
  <c r="AA88" i="17"/>
  <c r="AA95" i="17"/>
  <c r="AA99" i="17"/>
  <c r="AA18" i="18"/>
  <c r="AA22" i="18"/>
  <c r="AA29" i="18"/>
  <c r="AA33" i="18"/>
  <c r="AA40" i="18"/>
  <c r="AA44" i="18"/>
  <c r="AA51" i="18"/>
  <c r="AA55" i="18"/>
  <c r="AA72" i="18"/>
  <c r="AA76" i="18"/>
  <c r="AA83" i="18"/>
  <c r="AA87" i="18"/>
  <c r="AA94" i="18"/>
  <c r="AA98" i="18"/>
  <c r="AA17" i="19"/>
  <c r="AA21" i="19"/>
  <c r="AA28" i="19"/>
  <c r="AA32" i="19"/>
  <c r="AA39" i="19"/>
  <c r="AA43" i="19"/>
  <c r="AA50" i="19"/>
  <c r="AA54" i="19"/>
  <c r="AA71" i="19"/>
  <c r="AA75" i="19"/>
  <c r="AA82" i="19"/>
  <c r="AA86" i="19"/>
  <c r="AA93" i="19"/>
  <c r="AA97" i="19"/>
  <c r="AA16" i="20"/>
  <c r="AA20" i="20"/>
  <c r="AA27" i="20"/>
  <c r="AA31" i="20"/>
  <c r="AA38" i="20"/>
  <c r="AA42" i="20"/>
  <c r="AA49" i="20"/>
  <c r="AA53" i="20"/>
  <c r="AA74" i="20"/>
  <c r="AA78" i="20"/>
  <c r="AA85" i="20"/>
  <c r="AA89" i="20"/>
  <c r="AA96" i="20"/>
  <c r="AA100" i="20"/>
  <c r="AA19" i="21"/>
  <c r="AA23" i="21"/>
  <c r="AA30" i="21"/>
  <c r="AA34" i="21"/>
  <c r="AA41" i="21"/>
  <c r="AA45" i="21"/>
  <c r="AA52" i="21"/>
  <c r="AA56" i="21"/>
  <c r="AA73" i="21"/>
  <c r="AA77" i="21"/>
  <c r="AA84" i="21"/>
  <c r="AA88" i="21"/>
  <c r="AA95" i="21"/>
  <c r="AA99" i="21"/>
  <c r="AA18" i="22"/>
  <c r="AA22" i="22"/>
  <c r="AA29" i="22"/>
  <c r="AA33" i="22"/>
  <c r="AA40" i="22"/>
  <c r="AA44" i="22"/>
  <c r="AA51" i="22"/>
  <c r="AA55" i="22"/>
  <c r="AA72" i="22"/>
  <c r="AA76" i="22"/>
  <c r="AA83" i="22"/>
  <c r="AA87" i="22"/>
  <c r="AA94" i="22"/>
  <c r="AA98" i="22"/>
  <c r="AA60" i="15"/>
  <c r="AA60" i="19"/>
  <c r="AA60" i="14"/>
  <c r="AA60" i="18"/>
  <c r="AA60" i="22"/>
  <c r="AA60" i="17"/>
  <c r="AA60" i="21"/>
  <c r="AA60" i="16"/>
  <c r="AA60" i="20"/>
  <c r="B68" i="14"/>
  <c r="B68" i="20"/>
  <c r="B68" i="16"/>
  <c r="B68" i="15"/>
  <c r="B68" i="22"/>
  <c r="B68" i="19"/>
  <c r="B68" i="17"/>
  <c r="B68" i="18"/>
  <c r="B68" i="21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B38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AA17" i="12" l="1"/>
  <c r="AA44" i="12"/>
  <c r="AA40" i="12"/>
  <c r="AA42" i="12"/>
  <c r="AA18" i="12"/>
  <c r="AA45" i="12"/>
  <c r="AA41" i="12"/>
  <c r="AA16" i="12"/>
  <c r="AA43" i="12"/>
  <c r="AA39" i="12"/>
  <c r="AA38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Y60" i="12"/>
  <c r="Y61" i="12" s="1"/>
  <c r="Y62" i="12" s="1"/>
  <c r="Y63" i="12" s="1"/>
  <c r="Y64" i="12" s="1"/>
  <c r="Y65" i="12" s="1"/>
  <c r="Y66" i="12" s="1"/>
  <c r="Y67" i="12" s="1"/>
  <c r="X60" i="12"/>
  <c r="X61" i="12" s="1"/>
  <c r="X62" i="12" s="1"/>
  <c r="X63" i="12" s="1"/>
  <c r="X64" i="12" s="1"/>
  <c r="X65" i="12" s="1"/>
  <c r="X66" i="12" s="1"/>
  <c r="X67" i="12" s="1"/>
  <c r="W60" i="12"/>
  <c r="W61" i="12" s="1"/>
  <c r="W62" i="12" s="1"/>
  <c r="W63" i="12" s="1"/>
  <c r="W64" i="12" s="1"/>
  <c r="W65" i="12" s="1"/>
  <c r="W66" i="12" s="1"/>
  <c r="W67" i="12" s="1"/>
  <c r="V60" i="12"/>
  <c r="V61" i="12" s="1"/>
  <c r="V62" i="12" s="1"/>
  <c r="V63" i="12" s="1"/>
  <c r="V64" i="12" s="1"/>
  <c r="V65" i="12" s="1"/>
  <c r="V66" i="12" s="1"/>
  <c r="V67" i="12" s="1"/>
  <c r="U60" i="12"/>
  <c r="U61" i="12" s="1"/>
  <c r="U62" i="12" s="1"/>
  <c r="U63" i="12" s="1"/>
  <c r="U64" i="12" s="1"/>
  <c r="U65" i="12" s="1"/>
  <c r="U66" i="12" s="1"/>
  <c r="U67" i="12" s="1"/>
  <c r="T60" i="12"/>
  <c r="T61" i="12" s="1"/>
  <c r="T62" i="12" s="1"/>
  <c r="T63" i="12" s="1"/>
  <c r="T64" i="12" s="1"/>
  <c r="T65" i="12" s="1"/>
  <c r="T66" i="12" s="1"/>
  <c r="T67" i="12" s="1"/>
  <c r="S60" i="12"/>
  <c r="S61" i="12" s="1"/>
  <c r="S62" i="12" s="1"/>
  <c r="S63" i="12" s="1"/>
  <c r="S64" i="12" s="1"/>
  <c r="S65" i="12" s="1"/>
  <c r="S66" i="12" s="1"/>
  <c r="S67" i="12" s="1"/>
  <c r="R60" i="12"/>
  <c r="R61" i="12" s="1"/>
  <c r="R62" i="12" s="1"/>
  <c r="R63" i="12" s="1"/>
  <c r="R64" i="12" s="1"/>
  <c r="R65" i="12" s="1"/>
  <c r="R66" i="12" s="1"/>
  <c r="R67" i="12" s="1"/>
  <c r="Q60" i="12"/>
  <c r="Q61" i="12" s="1"/>
  <c r="Q62" i="12" s="1"/>
  <c r="Q63" i="12" s="1"/>
  <c r="Q64" i="12" s="1"/>
  <c r="Q65" i="12" s="1"/>
  <c r="Q66" i="12" s="1"/>
  <c r="Q67" i="12" s="1"/>
  <c r="P60" i="12"/>
  <c r="P61" i="12" s="1"/>
  <c r="P62" i="12" s="1"/>
  <c r="P63" i="12" s="1"/>
  <c r="P64" i="12" s="1"/>
  <c r="P65" i="12" s="1"/>
  <c r="P66" i="12" s="1"/>
  <c r="P67" i="12" s="1"/>
  <c r="O60" i="12"/>
  <c r="O61" i="12" s="1"/>
  <c r="O62" i="12" s="1"/>
  <c r="O63" i="12" s="1"/>
  <c r="O64" i="12" s="1"/>
  <c r="O65" i="12" s="1"/>
  <c r="O66" i="12" s="1"/>
  <c r="O67" i="12" s="1"/>
  <c r="N60" i="12"/>
  <c r="N61" i="12" s="1"/>
  <c r="N62" i="12" s="1"/>
  <c r="N63" i="12" s="1"/>
  <c r="N64" i="12" s="1"/>
  <c r="N65" i="12" s="1"/>
  <c r="N66" i="12" s="1"/>
  <c r="N67" i="12" s="1"/>
  <c r="M60" i="12"/>
  <c r="M61" i="12" s="1"/>
  <c r="M62" i="12" s="1"/>
  <c r="M63" i="12" s="1"/>
  <c r="M64" i="12" s="1"/>
  <c r="M65" i="12" s="1"/>
  <c r="M66" i="12" s="1"/>
  <c r="M67" i="12" s="1"/>
  <c r="L60" i="12"/>
  <c r="L61" i="12" s="1"/>
  <c r="L62" i="12" s="1"/>
  <c r="L63" i="12" s="1"/>
  <c r="L64" i="12" s="1"/>
  <c r="L65" i="12" s="1"/>
  <c r="L66" i="12" s="1"/>
  <c r="L67" i="12" s="1"/>
  <c r="K60" i="12"/>
  <c r="K61" i="12" s="1"/>
  <c r="K62" i="12" s="1"/>
  <c r="K63" i="12" s="1"/>
  <c r="K64" i="12" s="1"/>
  <c r="K65" i="12" s="1"/>
  <c r="K66" i="12" s="1"/>
  <c r="K67" i="12" s="1"/>
  <c r="J60" i="12"/>
  <c r="J61" i="12" s="1"/>
  <c r="J62" i="12" s="1"/>
  <c r="J63" i="12" s="1"/>
  <c r="J64" i="12" s="1"/>
  <c r="J65" i="12" s="1"/>
  <c r="J66" i="12" s="1"/>
  <c r="J67" i="12" s="1"/>
  <c r="I60" i="12"/>
  <c r="I61" i="12" s="1"/>
  <c r="I62" i="12" s="1"/>
  <c r="I63" i="12" s="1"/>
  <c r="I64" i="12" s="1"/>
  <c r="I65" i="12" s="1"/>
  <c r="I66" i="12" s="1"/>
  <c r="I67" i="12" s="1"/>
  <c r="H60" i="12"/>
  <c r="H61" i="12" s="1"/>
  <c r="H62" i="12" s="1"/>
  <c r="H63" i="12" s="1"/>
  <c r="H64" i="12" s="1"/>
  <c r="H65" i="12" s="1"/>
  <c r="H66" i="12" s="1"/>
  <c r="H67" i="12" s="1"/>
  <c r="G60" i="12"/>
  <c r="G61" i="12" s="1"/>
  <c r="G62" i="12" s="1"/>
  <c r="G63" i="12" s="1"/>
  <c r="G64" i="12" s="1"/>
  <c r="G65" i="12" s="1"/>
  <c r="G66" i="12" s="1"/>
  <c r="G67" i="12" s="1"/>
  <c r="F60" i="12"/>
  <c r="F61" i="12" s="1"/>
  <c r="F62" i="12" s="1"/>
  <c r="F63" i="12" s="1"/>
  <c r="F64" i="12" s="1"/>
  <c r="F65" i="12" s="1"/>
  <c r="F66" i="12" s="1"/>
  <c r="F67" i="12" s="1"/>
  <c r="E60" i="12"/>
  <c r="E61" i="12" s="1"/>
  <c r="E62" i="12" s="1"/>
  <c r="E63" i="12" s="1"/>
  <c r="E64" i="12" s="1"/>
  <c r="E65" i="12" s="1"/>
  <c r="E66" i="12" s="1"/>
  <c r="E67" i="12" s="1"/>
  <c r="D60" i="12"/>
  <c r="D61" i="12" s="1"/>
  <c r="D62" i="12" s="1"/>
  <c r="D63" i="12" s="1"/>
  <c r="D64" i="12" s="1"/>
  <c r="D65" i="12" s="1"/>
  <c r="D66" i="12" s="1"/>
  <c r="D67" i="12" s="1"/>
  <c r="C60" i="12"/>
  <c r="C61" i="12" s="1"/>
  <c r="C62" i="12" s="1"/>
  <c r="C63" i="12" s="1"/>
  <c r="C64" i="12" s="1"/>
  <c r="C65" i="12" s="1"/>
  <c r="C66" i="12" s="1"/>
  <c r="C67" i="12" s="1"/>
  <c r="B60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A27" i="12" l="1"/>
  <c r="AA31" i="12"/>
  <c r="AA20" i="12"/>
  <c r="AA96" i="12"/>
  <c r="AA100" i="12"/>
  <c r="AA85" i="12"/>
  <c r="AA89" i="12"/>
  <c r="AA74" i="12"/>
  <c r="AA78" i="12"/>
  <c r="AA60" i="12"/>
  <c r="AA53" i="12"/>
  <c r="AA49" i="12"/>
  <c r="AA99" i="12"/>
  <c r="AA19" i="12"/>
  <c r="AA94" i="12"/>
  <c r="AA29" i="12"/>
  <c r="AA56" i="12"/>
  <c r="AA77" i="12"/>
  <c r="AA83" i="12"/>
  <c r="AA28" i="12"/>
  <c r="AA50" i="12"/>
  <c r="AA82" i="12"/>
  <c r="AA93" i="12"/>
  <c r="AA34" i="12"/>
  <c r="AA33" i="12"/>
  <c r="AA55" i="12"/>
  <c r="AA87" i="12"/>
  <c r="AA21" i="12"/>
  <c r="AA54" i="12"/>
  <c r="AA30" i="12"/>
  <c r="AA52" i="12"/>
  <c r="AA88" i="12"/>
  <c r="AA22" i="12"/>
  <c r="AA72" i="12"/>
  <c r="AA32" i="12"/>
  <c r="AA75" i="12"/>
  <c r="AA97" i="12"/>
  <c r="AA23" i="12"/>
  <c r="AA73" i="12"/>
  <c r="AA84" i="12"/>
  <c r="AA95" i="12"/>
  <c r="AA51" i="12"/>
  <c r="AA76" i="12"/>
  <c r="AA98" i="12"/>
  <c r="AA71" i="12"/>
  <c r="AA86" i="12"/>
  <c r="B61" i="12"/>
  <c r="AA61" i="12" s="1"/>
  <c r="B62" i="12" l="1"/>
  <c r="AA62" i="12" s="1"/>
  <c r="B63" i="12" l="1"/>
  <c r="AA63" i="12" s="1"/>
  <c r="B64" i="12" l="1"/>
  <c r="AA64" i="12" s="1"/>
  <c r="B65" i="12" l="1"/>
  <c r="AA65" i="12" s="1"/>
  <c r="B66" i="12" l="1"/>
  <c r="AA66" i="12" s="1"/>
  <c r="B67" i="12" l="1"/>
  <c r="AA67" i="12" s="1"/>
</calcChain>
</file>

<file path=xl/sharedStrings.xml><?xml version="1.0" encoding="utf-8"?>
<sst xmlns="http://schemas.openxmlformats.org/spreadsheetml/2006/main" count="887" uniqueCount="55">
  <si>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</si>
  <si>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</si>
  <si>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</si>
  <si>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</si>
  <si>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</si>
  <si>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</si>
  <si>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</si>
  <si>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</si>
  <si>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</si>
  <si>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</si>
  <si>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</si>
  <si>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</si>
  <si>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</si>
  <si>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</si>
  <si>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</si>
  <si>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</si>
  <si>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</si>
  <si>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</si>
  <si>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</si>
  <si>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</si>
  <si>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</si>
  <si>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Virginia</t>
  </si>
  <si>
    <t>Oregon</t>
  </si>
  <si>
    <t>Iowa</t>
  </si>
  <si>
    <t>Ohio</t>
  </si>
  <si>
    <t>Texas</t>
  </si>
  <si>
    <t>Nebraska</t>
  </si>
  <si>
    <t>Georgia</t>
  </si>
  <si>
    <t>Oklahoma</t>
  </si>
  <si>
    <t>Illinois</t>
  </si>
  <si>
    <t>New Mexico</t>
  </si>
  <si>
    <t>New York</t>
  </si>
  <si>
    <t>Alabama</t>
  </si>
  <si>
    <t>Tennessee</t>
  </si>
  <si>
    <t>Washington</t>
  </si>
  <si>
    <t>Utah</t>
  </si>
  <si>
    <t>South Carolina</t>
  </si>
  <si>
    <t>Arizona</t>
  </si>
  <si>
    <t>North Carolina</t>
  </si>
  <si>
    <t>Colorado</t>
  </si>
  <si>
    <t>Nevada</t>
  </si>
  <si>
    <t>California</t>
  </si>
  <si>
    <t>Wyoming</t>
  </si>
  <si>
    <t>Pennsylvania</t>
  </si>
  <si>
    <t>Missouri</t>
  </si>
  <si>
    <t>Nuclear Capacity (MW)</t>
  </si>
  <si>
    <t>Solar Power Supplied (kWh)</t>
  </si>
  <si>
    <t>Wind Power Supplied (kWh)</t>
  </si>
  <si>
    <t>Nuclear Power Supplied (kWh)</t>
  </si>
  <si>
    <t>Grid Power Supplied (kWh)</t>
  </si>
  <si>
    <t>Total Nuclear Capacity (GW)</t>
  </si>
  <si>
    <t>Total Solar Power Supplied (GWh)</t>
  </si>
  <si>
    <t>Total Wind Power Supplied (GWh)</t>
  </si>
  <si>
    <t>Total Nuclear Power Supplied (GWh)</t>
  </si>
  <si>
    <t>Total Grid Power Supplied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</si>
</sst>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47482374016.820206</v>
      </c>
      <c r="C5" s="2">
        <v>22376083984.886803</v>
      </c>
      <c r="D5" s="2">
        <v>19943139966.144821</v>
      </c>
      <c r="E5" s="2">
        <v>15822857797.140764</v>
      </c>
      <c r="F5" s="2">
        <v>10185741361.774887</v>
      </c>
      <c r="G5" s="2">
        <v>7156781420.9095917</v>
      </c>
      <c r="H5" s="2">
        <v>6981165550.2798777</v>
      </c>
      <c r="I5" s="2">
        <v>6520391236.2514362</v>
      </c>
      <c r="J5" s="2">
        <v>6346498487.6791048</v>
      </c>
      <c r="K5" s="2">
        <v>6285657151.7463951</v>
      </c>
      <c r="L5" s="2">
        <v>5042435889.3677855</v>
      </c>
      <c r="M5" s="2">
        <v>4816395659.8444042</v>
      </c>
      <c r="N5" s="2">
        <v>4727278429.9693136</v>
      </c>
      <c r="O5" s="2">
        <v>4347692550.0726767</v>
      </c>
      <c r="P5" s="2">
        <v>4303458215.925952</v>
      </c>
      <c r="Q5" s="2">
        <v>4233907376.0726027</v>
      </c>
      <c r="R5" s="2">
        <v>4073213638.1334333</v>
      </c>
      <c r="S5" s="2">
        <v>2707266441.2915902</v>
      </c>
      <c r="T5" s="2">
        <v>1497278308.965919</v>
      </c>
      <c r="U5" s="2">
        <v>1304078247.2502892</v>
      </c>
      <c r="V5" s="2">
        <v>1004166331.9476683</v>
      </c>
      <c r="W5" s="2">
        <v>869385498.16685879</v>
      </c>
      <c r="X5" s="2">
        <v>521631298.90011561</v>
      </c>
      <c r="Y5" s="2">
        <v>507281221.86737269</v>
      </c>
    </row>
    <row r="6" spans="1:27" x14ac:dyDescent="0.25">
      <c r="A6" s="2">
        <v>2029</v>
      </c>
      <c r="B6" s="2">
        <v>59675573046.160248</v>
      </c>
      <c r="C6" s="2">
        <v>28122132938.300613</v>
      </c>
      <c r="D6" s="2">
        <v>25064422966.675678</v>
      </c>
      <c r="E6" s="2">
        <v>19886076166.659061</v>
      </c>
      <c r="F6" s="2">
        <v>12801380833.413492</v>
      </c>
      <c r="G6" s="2">
        <v>8994601497.9706326</v>
      </c>
      <c r="H6" s="2">
        <v>8773888487.4519062</v>
      </c>
      <c r="I6" s="2">
        <v>8194789994.5067539</v>
      </c>
      <c r="J6" s="2">
        <v>7976242593.8239288</v>
      </c>
      <c r="K6" s="2">
        <v>7899777554.7045231</v>
      </c>
      <c r="L6" s="2">
        <v>6337304262.4185677</v>
      </c>
      <c r="M6" s="2">
        <v>6053218209.2756681</v>
      </c>
      <c r="N6" s="2">
        <v>5941216190.1854153</v>
      </c>
      <c r="O6" s="2">
        <v>5464154851.6971903</v>
      </c>
      <c r="P6" s="2">
        <v>5408561396.3744621</v>
      </c>
      <c r="Q6" s="2">
        <v>5321150303.0997238</v>
      </c>
      <c r="R6" s="2">
        <v>5119191342.6431026</v>
      </c>
      <c r="S6" s="2">
        <v>3402476805.7191963</v>
      </c>
      <c r="T6" s="2">
        <v>1881770719.0772562</v>
      </c>
      <c r="U6" s="2">
        <v>1638957998.9013531</v>
      </c>
      <c r="V6" s="2">
        <v>1262030438.3140209</v>
      </c>
      <c r="W6" s="2">
        <v>1092638665.9342346</v>
      </c>
      <c r="X6" s="2">
        <v>655583199.56054127</v>
      </c>
      <c r="Y6" s="2">
        <v>637548105.74062967</v>
      </c>
    </row>
    <row r="7" spans="1:27" x14ac:dyDescent="0.25">
      <c r="A7" s="2">
        <v>2030</v>
      </c>
      <c r="B7" s="2">
        <v>69197025813.426071</v>
      </c>
      <c r="C7" s="2">
        <v>32609120608.778099</v>
      </c>
      <c r="D7" s="2">
        <v>29063541990.323341</v>
      </c>
      <c r="E7" s="2">
        <v>23058971294.128273</v>
      </c>
      <c r="F7" s="2">
        <v>14843887285.204849</v>
      </c>
      <c r="G7" s="2">
        <v>10429722586.075815</v>
      </c>
      <c r="H7" s="2">
        <v>10173794019.216312</v>
      </c>
      <c r="I7" s="2">
        <v>9502298274.4859619</v>
      </c>
      <c r="J7" s="2">
        <v>9248880848.3171558</v>
      </c>
      <c r="K7" s="2">
        <v>9160215536.6044827</v>
      </c>
      <c r="L7" s="2">
        <v>7348443998.9358234</v>
      </c>
      <c r="M7" s="2">
        <v>7019030992.0869789</v>
      </c>
      <c r="N7" s="2">
        <v>6889158647.1637192</v>
      </c>
      <c r="O7" s="2">
        <v>6335980452.6548462</v>
      </c>
      <c r="P7" s="2">
        <v>6271516861.1607399</v>
      </c>
      <c r="Q7" s="2">
        <v>6170159012.8995571</v>
      </c>
      <c r="R7" s="2">
        <v>5935976772.3845053</v>
      </c>
      <c r="S7" s="2">
        <v>3945354243.5665627</v>
      </c>
      <c r="T7" s="2">
        <v>2182014019.74332</v>
      </c>
      <c r="U7" s="2">
        <v>1900459654.8971953</v>
      </c>
      <c r="V7" s="2">
        <v>1463391943.4639392</v>
      </c>
      <c r="W7" s="2">
        <v>1266973103.264796</v>
      </c>
      <c r="X7" s="2">
        <v>760183861.95887816</v>
      </c>
      <c r="Y7" s="2">
        <v>739271203.91638815</v>
      </c>
    </row>
    <row r="8" spans="1:27" x14ac:dyDescent="0.25">
      <c r="A8" s="2">
        <v>2031</v>
      </c>
      <c r="B8" s="2">
        <v>74354273968.014771</v>
      </c>
      <c r="C8" s="2">
        <v>35039475455.75985</v>
      </c>
      <c r="D8" s="2">
        <v>31229645179.491394</v>
      </c>
      <c r="E8" s="2">
        <v>24777554365.516338</v>
      </c>
      <c r="F8" s="2">
        <v>15950200879.013847</v>
      </c>
      <c r="G8" s="2">
        <v>11207048879.043095</v>
      </c>
      <c r="H8" s="2">
        <v>10932045978.949944</v>
      </c>
      <c r="I8" s="2">
        <v>10210503716.329327</v>
      </c>
      <c r="J8" s="2">
        <v>9938199112.0183029</v>
      </c>
      <c r="K8" s="2">
        <v>9842925582.5414886</v>
      </c>
      <c r="L8" s="2">
        <v>7896122873.96136</v>
      </c>
      <c r="M8" s="2">
        <v>7542158745.1286116</v>
      </c>
      <c r="N8" s="2">
        <v>7402607025.9358072</v>
      </c>
      <c r="O8" s="2">
        <v>6808200509.9889326</v>
      </c>
      <c r="P8" s="2">
        <v>6738932452.7773619</v>
      </c>
      <c r="Q8" s="2">
        <v>6630020413.1365166</v>
      </c>
      <c r="R8" s="2">
        <v>6378384591.1483231</v>
      </c>
      <c r="S8" s="2">
        <v>4239401143.0199275</v>
      </c>
      <c r="T8" s="2">
        <v>2344639329.7812047</v>
      </c>
      <c r="U8" s="2">
        <v>2042100743.2658684</v>
      </c>
      <c r="V8" s="2">
        <v>1572458414.3295853</v>
      </c>
      <c r="W8" s="2">
        <v>1361400495.5105782</v>
      </c>
      <c r="X8" s="2">
        <v>816840297.30634737</v>
      </c>
      <c r="Y8" s="2">
        <v>794369020.72744846</v>
      </c>
    </row>
    <row r="9" spans="1:27" x14ac:dyDescent="0.25">
      <c r="A9" s="2">
        <v>2032</v>
      </c>
      <c r="B9" s="2">
        <v>74577219289.632523</v>
      </c>
      <c r="C9" s="2">
        <v>35144538510.079529</v>
      </c>
      <c r="D9" s="2">
        <v>31323284763.566212</v>
      </c>
      <c r="E9" s="2">
        <v>24851847873.234505</v>
      </c>
      <c r="F9" s="2">
        <v>15998026275.928745</v>
      </c>
      <c r="G9" s="2">
        <v>11240652315.448095</v>
      </c>
      <c r="H9" s="2">
        <v>10964824841.235189</v>
      </c>
      <c r="I9" s="2">
        <v>10241119092.062746</v>
      </c>
      <c r="J9" s="2">
        <v>9967998004.2552624</v>
      </c>
      <c r="K9" s="2">
        <v>9872438804.7485027</v>
      </c>
      <c r="L9" s="2">
        <v>7919798764.5285378</v>
      </c>
      <c r="M9" s="2">
        <v>7564773302.6703634</v>
      </c>
      <c r="N9" s="2">
        <v>7424803148.850235</v>
      </c>
      <c r="O9" s="2">
        <v>6828614352.6819639</v>
      </c>
      <c r="P9" s="2">
        <v>6759138600.7614174</v>
      </c>
      <c r="Q9" s="2">
        <v>6649899997.1127481</v>
      </c>
      <c r="R9" s="2">
        <v>6397509665.3126812</v>
      </c>
      <c r="S9" s="2">
        <v>4252112647.0244422</v>
      </c>
      <c r="T9" s="2">
        <v>2351669542.5929193</v>
      </c>
      <c r="U9" s="2">
        <v>2048223818.4125521</v>
      </c>
      <c r="V9" s="2">
        <v>1577173304.6540346</v>
      </c>
      <c r="W9" s="2">
        <v>1365482545.608367</v>
      </c>
      <c r="X9" s="2">
        <v>819289527.36502075</v>
      </c>
      <c r="Y9" s="2">
        <v>796750872.46720779</v>
      </c>
    </row>
    <row r="10" spans="1:27" x14ac:dyDescent="0.25">
      <c r="A10" s="2">
        <v>2033</v>
      </c>
      <c r="B10" s="2">
        <v>74420939184.705917</v>
      </c>
      <c r="C10" s="2">
        <v>35070891460.507713</v>
      </c>
      <c r="D10" s="2">
        <v>31257645332.703491</v>
      </c>
      <c r="E10" s="2">
        <v>24799769645.724232</v>
      </c>
      <c r="F10" s="2">
        <v>15964501652.071281</v>
      </c>
      <c r="G10" s="2">
        <v>11217096994.66737</v>
      </c>
      <c r="H10" s="2">
        <v>10941847530.026588</v>
      </c>
      <c r="I10" s="2">
        <v>10219658340.622581</v>
      </c>
      <c r="J10" s="2">
        <v>9947109591.0259724</v>
      </c>
      <c r="K10" s="2">
        <v>9851750640.3601856</v>
      </c>
      <c r="L10" s="2">
        <v>7903202450.0814772</v>
      </c>
      <c r="M10" s="2">
        <v>7548920960.9398966</v>
      </c>
      <c r="N10" s="2">
        <v>7409244121.2247171</v>
      </c>
      <c r="O10" s="2">
        <v>6814304666.9936857</v>
      </c>
      <c r="P10" s="2">
        <v>6744974504.8109093</v>
      </c>
      <c r="Q10" s="2">
        <v>6635964815.8442688</v>
      </c>
      <c r="R10" s="2">
        <v>6384103379.9712934</v>
      </c>
      <c r="S10" s="2">
        <v>4243202143.0264869</v>
      </c>
      <c r="T10" s="2">
        <v>2346741507.3782816</v>
      </c>
      <c r="U10" s="2">
        <v>2043931668.1245193</v>
      </c>
      <c r="V10" s="2">
        <v>1573868263.0892437</v>
      </c>
      <c r="W10" s="2">
        <v>1362621112.0830121</v>
      </c>
      <c r="X10" s="2">
        <v>817572667.24980772</v>
      </c>
      <c r="Y10" s="2">
        <v>795081243.17376411</v>
      </c>
    </row>
    <row r="11" spans="1:27" x14ac:dyDescent="0.25">
      <c r="A11" s="2">
        <v>2034</v>
      </c>
      <c r="B11" s="2">
        <v>74360558532.438553</v>
      </c>
      <c r="C11" s="2">
        <v>35042437058.760262</v>
      </c>
      <c r="D11" s="2">
        <v>31232284768.402542</v>
      </c>
      <c r="E11" s="2">
        <v>24779648611.460304</v>
      </c>
      <c r="F11" s="2">
        <v>15951549020.279264</v>
      </c>
      <c r="G11" s="2">
        <v>11207996120.094915</v>
      </c>
      <c r="H11" s="2">
        <v>10932969976.234459</v>
      </c>
      <c r="I11" s="2">
        <v>10211366727.491701</v>
      </c>
      <c r="J11" s="2">
        <v>9939039107.4784546</v>
      </c>
      <c r="K11" s="2">
        <v>9843757525.3020153</v>
      </c>
      <c r="L11" s="2">
        <v>7896790269.2602625</v>
      </c>
      <c r="M11" s="2">
        <v>7542796222.7072182</v>
      </c>
      <c r="N11" s="2">
        <v>7403232708.3381186</v>
      </c>
      <c r="O11" s="2">
        <v>6808775952.0238237</v>
      </c>
      <c r="P11" s="2">
        <v>6739502040.1445274</v>
      </c>
      <c r="Q11" s="2">
        <v>6630580795.0512838</v>
      </c>
      <c r="R11" s="2">
        <v>6378923704.3255959</v>
      </c>
      <c r="S11" s="2">
        <v>4239759465.2545447</v>
      </c>
      <c r="T11" s="2">
        <v>2344837503.1494884</v>
      </c>
      <c r="U11" s="2">
        <v>2042273345.498343</v>
      </c>
      <c r="V11" s="2">
        <v>1572591321.5006354</v>
      </c>
      <c r="W11" s="2">
        <v>1361515563.6655612</v>
      </c>
      <c r="X11" s="2">
        <v>816909338.19933724</v>
      </c>
      <c r="Y11" s="2">
        <v>794436162.30547214</v>
      </c>
    </row>
    <row r="12" spans="1:27" x14ac:dyDescent="0.25">
      <c r="A12" s="2">
        <v>2035</v>
      </c>
      <c r="B12" s="2">
        <v>74350086702.879089</v>
      </c>
      <c r="C12" s="2">
        <v>35037502205.721634</v>
      </c>
      <c r="D12" s="2">
        <v>31227886480.26025</v>
      </c>
      <c r="E12" s="2">
        <v>24776159016.143593</v>
      </c>
      <c r="F12" s="2">
        <v>15949302642.550983</v>
      </c>
      <c r="G12" s="2">
        <v>11206417753.452852</v>
      </c>
      <c r="H12" s="2">
        <v>10931430340.163544</v>
      </c>
      <c r="I12" s="2">
        <v>10209928711.236177</v>
      </c>
      <c r="J12" s="2">
        <v>9937639441.7743149</v>
      </c>
      <c r="K12" s="2">
        <v>9842371277.631691</v>
      </c>
      <c r="L12" s="2">
        <v>7895678203.3559914</v>
      </c>
      <c r="M12" s="2">
        <v>7541734008.0331373</v>
      </c>
      <c r="N12" s="2">
        <v>7402190147.7032776</v>
      </c>
      <c r="O12" s="2">
        <v>6807817105.792902</v>
      </c>
      <c r="P12" s="2">
        <v>6738552949.4158821</v>
      </c>
      <c r="Q12" s="2">
        <v>6629647043.1626968</v>
      </c>
      <c r="R12" s="2">
        <v>6378025392.0600224</v>
      </c>
      <c r="S12" s="2">
        <v>4239162400.9052505</v>
      </c>
      <c r="T12" s="2">
        <v>2344507291.284997</v>
      </c>
      <c r="U12" s="2">
        <v>2041985742.2472382</v>
      </c>
      <c r="V12" s="2">
        <v>1572369861.2452195</v>
      </c>
      <c r="W12" s="2">
        <v>1361323828.1648245</v>
      </c>
      <c r="X12" s="2">
        <v>816794296.89889526</v>
      </c>
      <c r="Y12" s="2">
        <v>794324285.79120541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1717.6897117981662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535.89590283840755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369.72735539137568</v>
      </c>
      <c r="N16" s="2">
        <f>N5/'Output-Calculation-sheet'!N4*'Output-Calculation-sheet'!N22</f>
        <v>0</v>
      </c>
      <c r="O16" s="2">
        <f>O5/'Output-Calculation-sheet'!O4*'Output-Calculation-sheet'!O22</f>
        <v>333.74363847429015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40.042689274825726</v>
      </c>
      <c r="Y16" s="2">
        <f>Y5/'Output-Calculation-sheet'!Y4*'Output-Calculation-sheet'!Y22</f>
        <v>0</v>
      </c>
      <c r="AA16" s="2">
        <f t="shared" ref="AA16:AA23" si="0">SUM(B16:Y16)/1000</f>
        <v>2.9970992977770647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4616.1594293206508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1361.2688260627315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939.68456778777102</v>
      </c>
      <c r="N17" s="2">
        <f>N6/'Output-Calculation-sheet'!N5*'Output-Calculation-sheet'!N23</f>
        <v>0</v>
      </c>
      <c r="O17" s="2">
        <f>O6/'Output-Calculation-sheet'!O5*'Output-Calculation-sheet'!O23</f>
        <v>902.56425141878651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104.48753231084714</v>
      </c>
      <c r="Y17" s="2">
        <f>Y6/'Output-Calculation-sheet'!Y5*'Output-Calculation-sheet'!Y23</f>
        <v>0</v>
      </c>
      <c r="AA17" s="2">
        <f t="shared" si="0"/>
        <v>7.9241646069007867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8180.0880530922122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2591.1539542400064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1787.082615274719</v>
      </c>
      <c r="N18" s="2">
        <f>N7/'Output-Calculation-sheet'!N6*'Output-Calculation-sheet'!N24</f>
        <v>553.84537548532228</v>
      </c>
      <c r="O18" s="2">
        <f>O7/'Output-Calculation-sheet'!O6*'Output-Calculation-sheet'!O24</f>
        <v>1179.6679289949896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121.07977262799619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200.36808649788145</v>
      </c>
      <c r="Y18" s="2">
        <f>Y7/'Output-Calculation-sheet'!Y6*'Output-Calculation-sheet'!Y24</f>
        <v>0</v>
      </c>
      <c r="AA18" s="2">
        <f t="shared" si="0"/>
        <v>14.613285786213128</v>
      </c>
    </row>
    <row r="19" spans="1:27" x14ac:dyDescent="0.25">
      <c r="A19" s="2">
        <v>2031</v>
      </c>
      <c r="B19" s="2">
        <f>B8/'Output-Calculation-sheet'!B7*'Output-Calculation-sheet'!B25</f>
        <v>826.69037179480028</v>
      </c>
      <c r="C19" s="2">
        <f>C8/'Output-Calculation-sheet'!C7*'Output-Calculation-sheet'!C25</f>
        <v>10913.553449418971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3708.9628073875274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2577.1864279488132</v>
      </c>
      <c r="N19" s="2">
        <f>N8/'Output-Calculation-sheet'!N7*'Output-Calculation-sheet'!N25</f>
        <v>882.343766091769</v>
      </c>
      <c r="O19" s="2">
        <f>O8/'Output-Calculation-sheet'!O7*'Output-Calculation-sheet'!O25</f>
        <v>1408.5699472071387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314.83418457568757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287.94918926579714</v>
      </c>
      <c r="Y19" s="2">
        <f>Y8/'Output-Calculation-sheet'!Y7*'Output-Calculation-sheet'!Y25</f>
        <v>0</v>
      </c>
      <c r="AA19" s="2">
        <f t="shared" si="0"/>
        <v>20.920090143690508</v>
      </c>
    </row>
    <row r="20" spans="1:27" x14ac:dyDescent="0.25">
      <c r="A20" s="2">
        <v>2032</v>
      </c>
      <c r="B20" s="2">
        <f>B9/'Output-Calculation-sheet'!B8*'Output-Calculation-sheet'!B26</f>
        <v>4283.433888701773</v>
      </c>
      <c r="C20" s="2">
        <f>C9/'Output-Calculation-sheet'!C8*'Output-Calculation-sheet'!C26</f>
        <v>14542.540494675592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4654.332620557836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3237.8535848966253</v>
      </c>
      <c r="N20" s="2">
        <f>N9/'Output-Calculation-sheet'!N8*'Output-Calculation-sheet'!N26</f>
        <v>1461.310752837835</v>
      </c>
      <c r="O20" s="2">
        <f>O9/'Output-Calculation-sheet'!O8*'Output-Calculation-sheet'!O26</f>
        <v>1533.4561957258113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531.08000131952338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362.24331961254995</v>
      </c>
      <c r="Y20" s="2">
        <f>Y9/'Output-Calculation-sheet'!Y8*'Output-Calculation-sheet'!Y26</f>
        <v>0</v>
      </c>
      <c r="AA20" s="2">
        <f t="shared" si="0"/>
        <v>30.606250858327545</v>
      </c>
    </row>
    <row r="21" spans="1:27" x14ac:dyDescent="0.25">
      <c r="A21" s="2">
        <v>2033</v>
      </c>
      <c r="B21" s="2">
        <f>B10/'Output-Calculation-sheet'!B9*'Output-Calculation-sheet'!B27</f>
        <v>9665.621218451799</v>
      </c>
      <c r="C21" s="2">
        <f>C10/'Output-Calculation-sheet'!C9*'Output-Calculation-sheet'!C27</f>
        <v>16599.088651412465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5594.6376948249463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3885.824152910172</v>
      </c>
      <c r="N21" s="2">
        <f>N10/'Output-Calculation-sheet'!N9*'Output-Calculation-sheet'!N27</f>
        <v>2126.2451326732894</v>
      </c>
      <c r="O21" s="2">
        <f>O10/'Output-Calculation-sheet'!O9*'Output-Calculation-sheet'!O27</f>
        <v>1656.1587361316356</v>
      </c>
      <c r="P21" s="2">
        <f>P10/'Output-Calculation-sheet'!P9*'Output-Calculation-sheet'!P27</f>
        <v>0</v>
      </c>
      <c r="Q21" s="2">
        <f>Q10/'Output-Calculation-sheet'!Q9*'Output-Calculation-sheet'!Q27</f>
        <v>145.02399764111465</v>
      </c>
      <c r="R21" s="2">
        <f>R10/'Output-Calculation-sheet'!R9*'Output-Calculation-sheet'!R27</f>
        <v>0</v>
      </c>
      <c r="S21" s="2">
        <f>S10/'Output-Calculation-sheet'!S9*'Output-Calculation-sheet'!S27</f>
        <v>923.50881469885235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456.93963023864609</v>
      </c>
      <c r="Y21" s="2">
        <f>Y10/'Output-Calculation-sheet'!Y9*'Output-Calculation-sheet'!Y27</f>
        <v>0</v>
      </c>
      <c r="AA21" s="2">
        <f t="shared" si="0"/>
        <v>41.053048028982921</v>
      </c>
    </row>
    <row r="22" spans="1:27" x14ac:dyDescent="0.25">
      <c r="A22" s="2">
        <v>2034</v>
      </c>
      <c r="B22" s="2">
        <f>B11/'Output-Calculation-sheet'!B10*'Output-Calculation-sheet'!B28</f>
        <v>18392.403116686783</v>
      </c>
      <c r="C22" s="2">
        <f>C11/'Output-Calculation-sheet'!C10*'Output-Calculation-sheet'!C28</f>
        <v>17645.201408109293</v>
      </c>
      <c r="D22" s="2">
        <f>D11/'Output-Calculation-sheet'!D10*'Output-Calculation-sheet'!D28</f>
        <v>0</v>
      </c>
      <c r="E22" s="2">
        <f>E11/'Output-Calculation-sheet'!E10*'Output-Calculation-sheet'!E28</f>
        <v>942.39853314130642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6733.375463115065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561.94851700596075</v>
      </c>
      <c r="M22" s="2">
        <f>M11/'Output-Calculation-sheet'!M10*'Output-Calculation-sheet'!M28</f>
        <v>4909.2225982261452</v>
      </c>
      <c r="N22" s="2">
        <f>N11/'Output-Calculation-sheet'!N10*'Output-Calculation-sheet'!N28</f>
        <v>2929.7660318091821</v>
      </c>
      <c r="O22" s="2">
        <f>O11/'Output-Calculation-sheet'!O10*'Output-Calculation-sheet'!O28</f>
        <v>1810.7872085242536</v>
      </c>
      <c r="P22" s="2">
        <f>P11/'Output-Calculation-sheet'!P10*'Output-Calculation-sheet'!P28</f>
        <v>0</v>
      </c>
      <c r="Q22" s="2">
        <f>Q11/'Output-Calculation-sheet'!Q10*'Output-Calculation-sheet'!Q28</f>
        <v>665.55114710812404</v>
      </c>
      <c r="R22" s="2">
        <f>R11/'Output-Calculation-sheet'!R10*'Output-Calculation-sheet'!R28</f>
        <v>0</v>
      </c>
      <c r="S22" s="2">
        <f>S11/'Output-Calculation-sheet'!S10*'Output-Calculation-sheet'!S28</f>
        <v>1494.5938383077371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492.9694604855743</v>
      </c>
      <c r="Y22" s="2">
        <f>Y11/'Output-Calculation-sheet'!Y10*'Output-Calculation-sheet'!Y28</f>
        <v>51.13416796275736</v>
      </c>
      <c r="AA22" s="2">
        <f t="shared" si="0"/>
        <v>56.629351490482186</v>
      </c>
    </row>
    <row r="23" spans="1:27" x14ac:dyDescent="0.25">
      <c r="A23" s="2">
        <v>2035</v>
      </c>
      <c r="B23" s="2">
        <f>B12/'Output-Calculation-sheet'!B11*'Output-Calculation-sheet'!B29</f>
        <v>22244.194025414679</v>
      </c>
      <c r="C23" s="2">
        <f>C12/'Output-Calculation-sheet'!C11*'Output-Calculation-sheet'!C29</f>
        <v>18168.780730994662</v>
      </c>
      <c r="D23" s="2">
        <f>D12/'Output-Calculation-sheet'!D11*'Output-Calculation-sheet'!D29</f>
        <v>0</v>
      </c>
      <c r="E23" s="2">
        <f>E12/'Output-Calculation-sheet'!E11*'Output-Calculation-sheet'!E29</f>
        <v>3429.5119613536522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6994.0192881129633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777.44268741238568</v>
      </c>
      <c r="M23" s="2">
        <f>M12/'Output-Calculation-sheet'!M11*'Output-Calculation-sheet'!M29</f>
        <v>5124.225926850575</v>
      </c>
      <c r="N23" s="2">
        <f>N12/'Output-Calculation-sheet'!N11*'Output-Calculation-sheet'!N29</f>
        <v>2989.2468112198094</v>
      </c>
      <c r="O23" s="2">
        <f>O12/'Output-Calculation-sheet'!O11*'Output-Calculation-sheet'!O29</f>
        <v>2015.1198272192369</v>
      </c>
      <c r="P23" s="2">
        <f>P12/'Output-Calculation-sheet'!P11*'Output-Calculation-sheet'!P29</f>
        <v>365.0817664641138</v>
      </c>
      <c r="Q23" s="2">
        <f>Q12/'Output-Calculation-sheet'!Q11*'Output-Calculation-sheet'!Q29</f>
        <v>819.60448696875517</v>
      </c>
      <c r="R23" s="2">
        <f>R12/'Output-Calculation-sheet'!R11*'Output-Calculation-sheet'!R29</f>
        <v>0</v>
      </c>
      <c r="S23" s="2">
        <f>S12/'Output-Calculation-sheet'!S11*'Output-Calculation-sheet'!S29</f>
        <v>1600.1443270808522</v>
      </c>
      <c r="T23" s="2">
        <f>T12/'Output-Calculation-sheet'!T11*'Output-Calculation-sheet'!T29</f>
        <v>0</v>
      </c>
      <c r="U23" s="2">
        <f>U12/'Output-Calculation-sheet'!U11*'Output-Calculation-sheet'!U29</f>
        <v>69.778211288869883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507.6343070143601</v>
      </c>
      <c r="Y23" s="2">
        <f>Y12/'Output-Calculation-sheet'!Y11*'Output-Calculation-sheet'!Y29</f>
        <v>150.28810182120381</v>
      </c>
      <c r="AA23" s="2">
        <f t="shared" si="0"/>
        <v>65.255072459216123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2168.4179502480833</v>
      </c>
      <c r="C27" s="2">
        <f>C5/'Output-Calculation-sheet'!C4*'Output-Calculation-sheet'!C13</f>
        <v>0</v>
      </c>
      <c r="D27" s="2">
        <f>D5/'Output-Calculation-sheet'!D4*'Output-Calculation-sheet'!D13</f>
        <v>387.3625095680614</v>
      </c>
      <c r="E27" s="2">
        <f>E5/'Output-Calculation-sheet'!E4*'Output-Calculation-sheet'!E13</f>
        <v>416.75420472560523</v>
      </c>
      <c r="F27" s="2">
        <f>F5/'Output-Calculation-sheet'!F4*'Output-Calculation-sheet'!F13</f>
        <v>210.27226744087841</v>
      </c>
      <c r="G27" s="2">
        <f>G5/'Output-Calculation-sheet'!G4*'Output-Calculation-sheet'!G13</f>
        <v>137.6969820975693</v>
      </c>
      <c r="H27" s="2">
        <f>H5/'Output-Calculation-sheet'!H4*'Output-Calculation-sheet'!H13</f>
        <v>0</v>
      </c>
      <c r="I27" s="2">
        <f>I5/'Output-Calculation-sheet'!I4*'Output-Calculation-sheet'!I13</f>
        <v>134.23708372142337</v>
      </c>
      <c r="J27" s="2">
        <f>J5/'Output-Calculation-sheet'!J4*'Output-Calculation-sheet'!J13</f>
        <v>119.49712886588522</v>
      </c>
      <c r="K27" s="2">
        <f>K5/'Output-Calculation-sheet'!K4*'Output-Calculation-sheet'!K13</f>
        <v>159.54426378509521</v>
      </c>
      <c r="L27" s="2">
        <f>L5/'Output-Calculation-sheet'!L4*'Output-Calculation-sheet'!L13</f>
        <v>134.76318599199658</v>
      </c>
      <c r="M27" s="2">
        <f>M5/'Output-Calculation-sheet'!M4*'Output-Calculation-sheet'!M13</f>
        <v>0</v>
      </c>
      <c r="N27" s="2">
        <f>N5/'Output-Calculation-sheet'!N4*'Output-Calculation-sheet'!N13</f>
        <v>258.66272783157029</v>
      </c>
      <c r="O27" s="2">
        <f>O5/'Output-Calculation-sheet'!O4*'Output-Calculation-sheet'!O13</f>
        <v>0</v>
      </c>
      <c r="P27" s="2">
        <f>P5/'Output-Calculation-sheet'!P4*'Output-Calculation-sheet'!P13</f>
        <v>158.02181472811503</v>
      </c>
      <c r="Q27" s="2">
        <f>Q5/'Output-Calculation-sheet'!Q4*'Output-Calculation-sheet'!Q13</f>
        <v>175.86098471331613</v>
      </c>
      <c r="R27" s="2">
        <f>R5/'Output-Calculation-sheet'!R4*'Output-Calculation-sheet'!R13</f>
        <v>118.88956965713226</v>
      </c>
      <c r="S27" s="2">
        <f>S5/'Output-Calculation-sheet'!S4*'Output-Calculation-sheet'!S13</f>
        <v>137.21645831932483</v>
      </c>
      <c r="T27" s="2">
        <f>T5/'Output-Calculation-sheet'!T4*'Output-Calculation-sheet'!T13</f>
        <v>36.035341649726895</v>
      </c>
      <c r="U27" s="2">
        <f>U5/'Output-Calculation-sheet'!U4*'Output-Calculation-sheet'!U13</f>
        <v>35.972209631230882</v>
      </c>
      <c r="V27" s="2">
        <f>V5/'Output-Calculation-sheet'!V4*'Output-Calculation-sheet'!V13</f>
        <v>27.996477773935315</v>
      </c>
      <c r="W27" s="2">
        <f>W5/'Output-Calculation-sheet'!W4*'Output-Calculation-sheet'!W13</f>
        <v>16.980248955133693</v>
      </c>
      <c r="X27" s="2">
        <f>X5/'Output-Calculation-sheet'!X4*'Output-Calculation-sheet'!X13</f>
        <v>0</v>
      </c>
      <c r="Y27" s="2">
        <f>Y5/'Output-Calculation-sheet'!Y4*'Output-Calculation-sheet'!Y13</f>
        <v>14.356919846048267</v>
      </c>
      <c r="AA27" s="2">
        <f t="shared" ref="AA27:AA34" si="1">SUM(B27:Y27)/1000</f>
        <v>4.8485383295501316</v>
      </c>
    </row>
    <row r="28" spans="1:27" x14ac:dyDescent="0.25">
      <c r="A28" s="2">
        <v>2029</v>
      </c>
      <c r="B28" s="2">
        <f>B6/'Output-Calculation-sheet'!B5*'Output-Calculation-sheet'!B14</f>
        <v>5450.6267810248974</v>
      </c>
      <c r="C28" s="2">
        <f>C6/'Output-Calculation-sheet'!C5*'Output-Calculation-sheet'!C14</f>
        <v>0</v>
      </c>
      <c r="D28" s="2">
        <f>D6/'Output-Calculation-sheet'!D5*'Output-Calculation-sheet'!D14</f>
        <v>973.62094107687381</v>
      </c>
      <c r="E28" s="2">
        <f>E6/'Output-Calculation-sheet'!E5*'Output-Calculation-sheet'!E14</f>
        <v>1047.5874761883697</v>
      </c>
      <c r="F28" s="2">
        <f>F6/'Output-Calculation-sheet'!F5*'Output-Calculation-sheet'!F14</f>
        <v>528.5134562351293</v>
      </c>
      <c r="G28" s="2">
        <f>G6/'Output-Calculation-sheet'!G5*'Output-Calculation-sheet'!G14</f>
        <v>346.11354143701686</v>
      </c>
      <c r="H28" s="2">
        <f>H6/'Output-Calculation-sheet'!H5*'Output-Calculation-sheet'!H14</f>
        <v>0</v>
      </c>
      <c r="I28" s="2">
        <f>I6/'Output-Calculation-sheet'!I5*'Output-Calculation-sheet'!I14</f>
        <v>337.41678089994491</v>
      </c>
      <c r="J28" s="2">
        <f>J6/'Output-Calculation-sheet'!J5*'Output-Calculation-sheet'!J14</f>
        <v>300.35096003923604</v>
      </c>
      <c r="K28" s="2">
        <f>K6/'Output-Calculation-sheet'!K5*'Output-Calculation-sheet'!K14</f>
        <v>401.0286159757141</v>
      </c>
      <c r="L28" s="2">
        <f>L6/'Output-Calculation-sheet'!L5*'Output-Calculation-sheet'!L14</f>
        <v>338.73918548174697</v>
      </c>
      <c r="M28" s="2">
        <f>M6/'Output-Calculation-sheet'!M5*'Output-Calculation-sheet'!M14</f>
        <v>0</v>
      </c>
      <c r="N28" s="2">
        <f>N6/'Output-Calculation-sheet'!N5*'Output-Calculation-sheet'!N14</f>
        <v>650.18315222105377</v>
      </c>
      <c r="O28" s="2">
        <f>O6/'Output-Calculation-sheet'!O5*'Output-Calculation-sheet'!O14</f>
        <v>0</v>
      </c>
      <c r="P28" s="2">
        <f>P6/'Output-Calculation-sheet'!P5*'Output-Calculation-sheet'!P14</f>
        <v>397.20180563650507</v>
      </c>
      <c r="Q28" s="2">
        <f>Q6/'Output-Calculation-sheet'!Q5*'Output-Calculation-sheet'!Q14</f>
        <v>442.052222801384</v>
      </c>
      <c r="R28" s="2">
        <f>R6/'Output-Calculation-sheet'!R5*'Output-Calculation-sheet'!R14</f>
        <v>298.83944707513916</v>
      </c>
      <c r="S28" s="2">
        <f>S6/'Output-Calculation-sheet'!S5*'Output-Calculation-sheet'!S14</f>
        <v>344.9123012191252</v>
      </c>
      <c r="T28" s="2">
        <f>T6/'Output-Calculation-sheet'!T5*'Output-Calculation-sheet'!T14</f>
        <v>90.578017944083726</v>
      </c>
      <c r="U28" s="2">
        <f>U6/'Output-Calculation-sheet'!U5*'Output-Calculation-sheet'!U14</f>
        <v>90.416112033859392</v>
      </c>
      <c r="V28" s="2">
        <f>V6/'Output-Calculation-sheet'!V5*'Output-Calculation-sheet'!V14</f>
        <v>70.36914132381834</v>
      </c>
      <c r="W28" s="2">
        <f>W6/'Output-Calculation-sheet'!W5*'Output-Calculation-sheet'!W14</f>
        <v>42.683506039201419</v>
      </c>
      <c r="X28" s="2">
        <f>X6/'Output-Calculation-sheet'!X5*'Output-Calculation-sheet'!X14</f>
        <v>0</v>
      </c>
      <c r="Y28" s="2">
        <f>Y6/'Output-Calculation-sheet'!Y5*'Output-Calculation-sheet'!Y14</f>
        <v>36.087387656195219</v>
      </c>
      <c r="AA28" s="2">
        <f t="shared" si="1"/>
        <v>12.187320832309293</v>
      </c>
    </row>
    <row r="29" spans="1:27" x14ac:dyDescent="0.25">
      <c r="A29" s="2">
        <v>2030</v>
      </c>
      <c r="B29" s="2">
        <f>B7/'Output-Calculation-sheet'!B6*'Output-Calculation-sheet'!B15</f>
        <v>9680.8503427449596</v>
      </c>
      <c r="C29" s="2">
        <f>C7/'Output-Calculation-sheet'!C6*'Output-Calculation-sheet'!C15</f>
        <v>0</v>
      </c>
      <c r="D29" s="2">
        <f>D7/'Output-Calculation-sheet'!D6*'Output-Calculation-sheet'!D15</f>
        <v>1693.4769059434007</v>
      </c>
      <c r="E29" s="2">
        <f>E7/'Output-Calculation-sheet'!E6*'Output-Calculation-sheet'!E15</f>
        <v>1822.0781812598548</v>
      </c>
      <c r="F29" s="2">
        <f>F7/'Output-Calculation-sheet'!F6*'Output-Calculation-sheet'!F15</f>
        <v>919.27371928240984</v>
      </c>
      <c r="G29" s="2">
        <f>G7/'Output-Calculation-sheet'!G6*'Output-Calculation-sheet'!G15</f>
        <v>602.00580669751787</v>
      </c>
      <c r="H29" s="2">
        <f>H7/'Output-Calculation-sheet'!H6*'Output-Calculation-sheet'!H15</f>
        <v>0</v>
      </c>
      <c r="I29" s="2">
        <f>I7/'Output-Calculation-sheet'!I6*'Output-Calculation-sheet'!I15</f>
        <v>586.87926665797454</v>
      </c>
      <c r="J29" s="2">
        <f>J7/'Output-Calculation-sheet'!J6*'Output-Calculation-sheet'!J15</f>
        <v>522.4186255892356</v>
      </c>
      <c r="K29" s="2">
        <f>K7/'Output-Calculation-sheet'!K6*'Output-Calculation-sheet'!K15</f>
        <v>697.53927685320855</v>
      </c>
      <c r="L29" s="2">
        <f>L7/'Output-Calculation-sheet'!L6*'Output-Calculation-sheet'!L15</f>
        <v>589.19368683115022</v>
      </c>
      <c r="M29" s="2">
        <f>M7/'Output-Calculation-sheet'!M6*'Output-Calculation-sheet'!M15</f>
        <v>0</v>
      </c>
      <c r="N29" s="2">
        <f>N7/'Output-Calculation-sheet'!N6*'Output-Calculation-sheet'!N15</f>
        <v>760.16919619477528</v>
      </c>
      <c r="O29" s="2">
        <f>O7/'Output-Calculation-sheet'!O6*'Output-Calculation-sheet'!O15</f>
        <v>0</v>
      </c>
      <c r="P29" s="2">
        <f>P7/'Output-Calculation-sheet'!P6*'Output-Calculation-sheet'!P15</f>
        <v>690.86517803126105</v>
      </c>
      <c r="Q29" s="2">
        <f>Q7/'Output-Calculation-sheet'!Q6*'Output-Calculation-sheet'!Q15</f>
        <v>778.47067775385005</v>
      </c>
      <c r="R29" s="2">
        <f>R7/'Output-Calculation-sheet'!R6*'Output-Calculation-sheet'!R15</f>
        <v>519.78053693760717</v>
      </c>
      <c r="S29" s="2">
        <f>S7/'Output-Calculation-sheet'!S6*'Output-Calculation-sheet'!S15</f>
        <v>536.87830172164774</v>
      </c>
      <c r="T29" s="2">
        <f>T7/'Output-Calculation-sheet'!T6*'Output-Calculation-sheet'!T15</f>
        <v>157.54510076403079</v>
      </c>
      <c r="U29" s="2">
        <f>U7/'Output-Calculation-sheet'!U6*'Output-Calculation-sheet'!U15</f>
        <v>157.26535861244582</v>
      </c>
      <c r="V29" s="2">
        <f>V7/'Output-Calculation-sheet'!V6*'Output-Calculation-sheet'!V15</f>
        <v>122.39662581881235</v>
      </c>
      <c r="W29" s="2">
        <f>W7/'Output-Calculation-sheet'!W6*'Output-Calculation-sheet'!W15</f>
        <v>74.239474152718984</v>
      </c>
      <c r="X29" s="2">
        <f>X7/'Output-Calculation-sheet'!X6*'Output-Calculation-sheet'!X15</f>
        <v>0</v>
      </c>
      <c r="Y29" s="2">
        <f>Y7/'Output-Calculation-sheet'!Y6*'Output-Calculation-sheet'!Y15</f>
        <v>62.767890638936969</v>
      </c>
      <c r="AA29" s="2">
        <f t="shared" si="1"/>
        <v>20.974094152485797</v>
      </c>
    </row>
    <row r="30" spans="1:27" x14ac:dyDescent="0.25">
      <c r="A30" s="2">
        <v>2031</v>
      </c>
      <c r="B30" s="2">
        <f>B8/'Output-Calculation-sheet'!B7*'Output-Calculation-sheet'!B16</f>
        <v>14408.944633028175</v>
      </c>
      <c r="C30" s="2">
        <f>C8/'Output-Calculation-sheet'!C7*'Output-Calculation-sheet'!C16</f>
        <v>0</v>
      </c>
      <c r="D30" s="2">
        <f>D8/'Output-Calculation-sheet'!D7*'Output-Calculation-sheet'!D16</f>
        <v>2426.2757949240959</v>
      </c>
      <c r="E30" s="2">
        <f>E8/'Output-Calculation-sheet'!E7*'Output-Calculation-sheet'!E16</f>
        <v>2610.5356759530309</v>
      </c>
      <c r="F30" s="2">
        <f>F8/'Output-Calculation-sheet'!F7*'Output-Calculation-sheet'!F16</f>
        <v>1317.0291398891804</v>
      </c>
      <c r="G30" s="2">
        <f>G8/'Output-Calculation-sheet'!G7*'Output-Calculation-sheet'!G16</f>
        <v>862.49766094885206</v>
      </c>
      <c r="H30" s="2">
        <f>H8/'Output-Calculation-sheet'!H7*'Output-Calculation-sheet'!H16</f>
        <v>0</v>
      </c>
      <c r="I30" s="2">
        <f>I8/'Output-Calculation-sheet'!I7*'Output-Calculation-sheet'!I16</f>
        <v>840.80607652168567</v>
      </c>
      <c r="J30" s="2">
        <f>J8/'Output-Calculation-sheet'!J7*'Output-Calculation-sheet'!J16</f>
        <v>748.47908150005264</v>
      </c>
      <c r="K30" s="2">
        <f>K8/'Output-Calculation-sheet'!K7*'Output-Calculation-sheet'!K16</f>
        <v>999.36263795074433</v>
      </c>
      <c r="L30" s="2">
        <f>L8/'Output-Calculation-sheet'!L7*'Output-Calculation-sheet'!L16</f>
        <v>844.13652323847998</v>
      </c>
      <c r="M30" s="2">
        <f>M8/'Output-Calculation-sheet'!M7*'Output-Calculation-sheet'!M16</f>
        <v>0</v>
      </c>
      <c r="N30" s="2">
        <f>N8/'Output-Calculation-sheet'!N7*'Output-Calculation-sheet'!N16</f>
        <v>1199.024813794683</v>
      </c>
      <c r="O30" s="2">
        <f>O8/'Output-Calculation-sheet'!O7*'Output-Calculation-sheet'!O16</f>
        <v>0</v>
      </c>
      <c r="P30" s="2">
        <f>P8/'Output-Calculation-sheet'!P7*'Output-Calculation-sheet'!P16</f>
        <v>1077.6441594926641</v>
      </c>
      <c r="Q30" s="2">
        <f>Q8/'Output-Calculation-sheet'!Q7*'Output-Calculation-sheet'!Q16</f>
        <v>1185.0526728597515</v>
      </c>
      <c r="R30" s="2">
        <f>R8/'Output-Calculation-sheet'!R7*'Output-Calculation-sheet'!R16</f>
        <v>751.92107162365403</v>
      </c>
      <c r="S30" s="2">
        <f>S8/'Output-Calculation-sheet'!S7*'Output-Calculation-sheet'!S16</f>
        <v>756.21211026712785</v>
      </c>
      <c r="T30" s="2">
        <f>T8/'Output-Calculation-sheet'!T7*'Output-Calculation-sheet'!T16</f>
        <v>225.71589740695438</v>
      </c>
      <c r="U30" s="2">
        <f>U8/'Output-Calculation-sheet'!U7*'Output-Calculation-sheet'!U16</f>
        <v>225.31243596397678</v>
      </c>
      <c r="V30" s="2">
        <f>V8/'Output-Calculation-sheet'!V7*'Output-Calculation-sheet'!V16</f>
        <v>175.35638606563165</v>
      </c>
      <c r="W30" s="2">
        <f>W8/'Output-Calculation-sheet'!W7*'Output-Calculation-sheet'!W16</f>
        <v>106.36248830891378</v>
      </c>
      <c r="X30" s="2">
        <f>X8/'Output-Calculation-sheet'!X7*'Output-Calculation-sheet'!X16</f>
        <v>0</v>
      </c>
      <c r="Y30" s="2">
        <f>Y8/'Output-Calculation-sheet'!Y7*'Output-Calculation-sheet'!Y16</f>
        <v>90.0237542843726</v>
      </c>
      <c r="AA30" s="2">
        <f t="shared" si="1"/>
        <v>30.850693014022028</v>
      </c>
    </row>
    <row r="31" spans="1:27" x14ac:dyDescent="0.25">
      <c r="A31" s="2">
        <v>2032</v>
      </c>
      <c r="B31" s="2">
        <f>B9/'Output-Calculation-sheet'!B8*'Output-Calculation-sheet'!B17</f>
        <v>18137.47427774081</v>
      </c>
      <c r="C31" s="2">
        <f>C9/'Output-Calculation-sheet'!C8*'Output-Calculation-sheet'!C17</f>
        <v>0</v>
      </c>
      <c r="D31" s="2">
        <f>D9/'Output-Calculation-sheet'!D8*'Output-Calculation-sheet'!D17</f>
        <v>3041.8925748761212</v>
      </c>
      <c r="E31" s="2">
        <f>E9/'Output-Calculation-sheet'!E8*'Output-Calculation-sheet'!E17</f>
        <v>3575.3291134201008</v>
      </c>
      <c r="F31" s="2">
        <f>F9/'Output-Calculation-sheet'!F8*'Output-Calculation-sheet'!F17</f>
        <v>1651.237980855102</v>
      </c>
      <c r="G31" s="2">
        <f>G9/'Output-Calculation-sheet'!G8*'Output-Calculation-sheet'!G17</f>
        <v>1081.3547386840125</v>
      </c>
      <c r="H31" s="2">
        <f>H9/'Output-Calculation-sheet'!H8*'Output-Calculation-sheet'!H17</f>
        <v>0</v>
      </c>
      <c r="I31" s="2">
        <f>I9/'Output-Calculation-sheet'!I8*'Output-Calculation-sheet'!I17</f>
        <v>1054.1638951851369</v>
      </c>
      <c r="J31" s="2">
        <f>J9/'Output-Calculation-sheet'!J8*'Output-Calculation-sheet'!J17</f>
        <v>938.40905655705978</v>
      </c>
      <c r="K31" s="2">
        <f>K9/'Output-Calculation-sheet'!K8*'Output-Calculation-sheet'!K17</f>
        <v>1336.0453353746086</v>
      </c>
      <c r="L31" s="2">
        <f>L9/'Output-Calculation-sheet'!L8*'Output-Calculation-sheet'!L17</f>
        <v>1139.4118002429004</v>
      </c>
      <c r="M31" s="2">
        <f>M9/'Output-Calculation-sheet'!M8*'Output-Calculation-sheet'!M17</f>
        <v>0</v>
      </c>
      <c r="N31" s="2">
        <f>N9/'Output-Calculation-sheet'!N8*'Output-Calculation-sheet'!N17</f>
        <v>1238.6571612956586</v>
      </c>
      <c r="O31" s="2">
        <f>O9/'Output-Calculation-sheet'!O8*'Output-Calculation-sheet'!O17</f>
        <v>0</v>
      </c>
      <c r="P31" s="2">
        <f>P9/'Output-Calculation-sheet'!P8*'Output-Calculation-sheet'!P17</f>
        <v>1537.3657904666709</v>
      </c>
      <c r="Q31" s="2">
        <f>Q9/'Output-Calculation-sheet'!Q8*'Output-Calculation-sheet'!Q17</f>
        <v>1638.9731811166532</v>
      </c>
      <c r="R31" s="2">
        <f>R9/'Output-Calculation-sheet'!R8*'Output-Calculation-sheet'!R17</f>
        <v>1072.3028738148926</v>
      </c>
      <c r="S31" s="2">
        <f>S9/'Output-Calculation-sheet'!S8*'Output-Calculation-sheet'!S17</f>
        <v>922.66903645395757</v>
      </c>
      <c r="T31" s="2">
        <f>T9/'Output-Calculation-sheet'!T8*'Output-Calculation-sheet'!T17</f>
        <v>290.97721913279247</v>
      </c>
      <c r="U31" s="2">
        <f>U9/'Output-Calculation-sheet'!U8*'Output-Calculation-sheet'!U17</f>
        <v>334.42558877545628</v>
      </c>
      <c r="V31" s="2">
        <f>V9/'Output-Calculation-sheet'!V8*'Output-Calculation-sheet'!V17</f>
        <v>239.5331811084221</v>
      </c>
      <c r="W31" s="2">
        <f>W9/'Output-Calculation-sheet'!W8*'Output-Calculation-sheet'!W17</f>
        <v>133.35377353537737</v>
      </c>
      <c r="X31" s="2">
        <f>X9/'Output-Calculation-sheet'!X8*'Output-Calculation-sheet'!X17</f>
        <v>0</v>
      </c>
      <c r="Y31" s="2">
        <f>Y9/'Output-Calculation-sheet'!Y8*'Output-Calculation-sheet'!Y17</f>
        <v>128.8486366709657</v>
      </c>
      <c r="AA31" s="2">
        <f t="shared" si="1"/>
        <v>39.492425215306703</v>
      </c>
    </row>
    <row r="32" spans="1:27" x14ac:dyDescent="0.25">
      <c r="A32" s="2">
        <v>2033</v>
      </c>
      <c r="B32" s="2">
        <f>B10/'Output-Calculation-sheet'!B9*'Output-Calculation-sheet'!B18</f>
        <v>19622.405364507507</v>
      </c>
      <c r="C32" s="2">
        <f>C10/'Output-Calculation-sheet'!C9*'Output-Calculation-sheet'!C18</f>
        <v>0</v>
      </c>
      <c r="D32" s="2">
        <f>D10/'Output-Calculation-sheet'!D9*'Output-Calculation-sheet'!D18</f>
        <v>3769.3984694761589</v>
      </c>
      <c r="E32" s="2">
        <f>E10/'Output-Calculation-sheet'!E9*'Output-Calculation-sheet'!E18</f>
        <v>5265.6578292590157</v>
      </c>
      <c r="F32" s="2">
        <f>F10/'Output-Calculation-sheet'!F9*'Output-Calculation-sheet'!F18</f>
        <v>2125.672357479084</v>
      </c>
      <c r="G32" s="2">
        <f>G10/'Output-Calculation-sheet'!G9*'Output-Calculation-sheet'!G18</f>
        <v>1326.0881586071926</v>
      </c>
      <c r="H32" s="2">
        <f>H10/'Output-Calculation-sheet'!H9*'Output-Calculation-sheet'!H18</f>
        <v>0</v>
      </c>
      <c r="I32" s="2">
        <f>I10/'Output-Calculation-sheet'!I9*'Output-Calculation-sheet'!I18</f>
        <v>1400.0377035944032</v>
      </c>
      <c r="J32" s="2">
        <f>J10/'Output-Calculation-sheet'!J9*'Output-Calculation-sheet'!J18</f>
        <v>1123.7154865228501</v>
      </c>
      <c r="K32" s="2">
        <f>K10/'Output-Calculation-sheet'!K9*'Output-Calculation-sheet'!K18</f>
        <v>1870.2862954356076</v>
      </c>
      <c r="L32" s="2">
        <f>L10/'Output-Calculation-sheet'!L9*'Output-Calculation-sheet'!L18</f>
        <v>1615.6219372490057</v>
      </c>
      <c r="M32" s="2">
        <f>M10/'Output-Calculation-sheet'!M9*'Output-Calculation-sheet'!M18</f>
        <v>0</v>
      </c>
      <c r="N32" s="2">
        <f>N10/'Output-Calculation-sheet'!N9*'Output-Calculation-sheet'!N18</f>
        <v>1195.721281930814</v>
      </c>
      <c r="O32" s="2">
        <f>O10/'Output-Calculation-sheet'!O9*'Output-Calculation-sheet'!O18</f>
        <v>0</v>
      </c>
      <c r="P32" s="2">
        <f>P10/'Output-Calculation-sheet'!P9*'Output-Calculation-sheet'!P18</f>
        <v>1925.0905246896716</v>
      </c>
      <c r="Q32" s="2">
        <f>Q10/'Output-Calculation-sheet'!Q9*'Output-Calculation-sheet'!Q18</f>
        <v>2095.5150091071105</v>
      </c>
      <c r="R32" s="2">
        <f>R10/'Output-Calculation-sheet'!R9*'Output-Calculation-sheet'!R18</f>
        <v>1382.314979723817</v>
      </c>
      <c r="S32" s="2">
        <f>S10/'Output-Calculation-sheet'!S9*'Output-Calculation-sheet'!S18</f>
        <v>907.0831263833802</v>
      </c>
      <c r="T32" s="2">
        <f>T10/'Output-Calculation-sheet'!T9*'Output-Calculation-sheet'!T18</f>
        <v>403.48811366642701</v>
      </c>
      <c r="U32" s="2">
        <f>U10/'Output-Calculation-sheet'!U9*'Output-Calculation-sheet'!U18</f>
        <v>446.25325932749814</v>
      </c>
      <c r="V32" s="2">
        <f>V10/'Output-Calculation-sheet'!V9*'Output-Calculation-sheet'!V18</f>
        <v>329.54832246732764</v>
      </c>
      <c r="W32" s="2">
        <f>W10/'Output-Calculation-sheet'!W9*'Output-Calculation-sheet'!W18</f>
        <v>164.38813683345302</v>
      </c>
      <c r="X32" s="2">
        <f>X10/'Output-Calculation-sheet'!X9*'Output-Calculation-sheet'!X18</f>
        <v>0</v>
      </c>
      <c r="Y32" s="2">
        <f>Y10/'Output-Calculation-sheet'!Y9*'Output-Calculation-sheet'!Y18</f>
        <v>190.90488034792764</v>
      </c>
      <c r="AA32" s="2">
        <f t="shared" si="1"/>
        <v>47.159191236608258</v>
      </c>
    </row>
    <row r="33" spans="1:27" x14ac:dyDescent="0.25">
      <c r="A33" s="2">
        <v>2034</v>
      </c>
      <c r="B33" s="2">
        <f>B11/'Output-Calculation-sheet'!B10*'Output-Calculation-sheet'!B19</f>
        <v>18551.657899658261</v>
      </c>
      <c r="C33" s="2">
        <f>C11/'Output-Calculation-sheet'!C10*'Output-Calculation-sheet'!C19</f>
        <v>0</v>
      </c>
      <c r="D33" s="2">
        <f>D11/'Output-Calculation-sheet'!D10*'Output-Calculation-sheet'!D19</f>
        <v>5533.7557904444875</v>
      </c>
      <c r="E33" s="2">
        <f>E11/'Output-Calculation-sheet'!E10*'Output-Calculation-sheet'!E19</f>
        <v>6853.9265769645444</v>
      </c>
      <c r="F33" s="2">
        <f>F11/'Output-Calculation-sheet'!F10*'Output-Calculation-sheet'!F19</f>
        <v>3145.071731227637</v>
      </c>
      <c r="G33" s="2">
        <f>G11/'Output-Calculation-sheet'!G10*'Output-Calculation-sheet'!G19</f>
        <v>1883.6381339180157</v>
      </c>
      <c r="H33" s="2">
        <f>H11/'Output-Calculation-sheet'!H10*'Output-Calculation-sheet'!H19</f>
        <v>0</v>
      </c>
      <c r="I33" s="2">
        <f>I11/'Output-Calculation-sheet'!I10*'Output-Calculation-sheet'!I19</f>
        <v>2055.3133513308085</v>
      </c>
      <c r="J33" s="2">
        <f>J11/'Output-Calculation-sheet'!J10*'Output-Calculation-sheet'!J19</f>
        <v>1737.8998840775096</v>
      </c>
      <c r="K33" s="2">
        <f>K11/'Output-Calculation-sheet'!K10*'Output-Calculation-sheet'!K19</f>
        <v>2411.5868779461102</v>
      </c>
      <c r="L33" s="2">
        <f>L11/'Output-Calculation-sheet'!L10*'Output-Calculation-sheet'!L19</f>
        <v>1961.1946299145397</v>
      </c>
      <c r="M33" s="2">
        <f>M11/'Output-Calculation-sheet'!M10*'Output-Calculation-sheet'!M19</f>
        <v>0</v>
      </c>
      <c r="N33" s="2">
        <f>N11/'Output-Calculation-sheet'!N10*'Output-Calculation-sheet'!N19</f>
        <v>1108.9722280250271</v>
      </c>
      <c r="O33" s="2">
        <f>O11/'Output-Calculation-sheet'!O10*'Output-Calculation-sheet'!O19</f>
        <v>0</v>
      </c>
      <c r="P33" s="2">
        <f>P11/'Output-Calculation-sheet'!P10*'Output-Calculation-sheet'!P19</f>
        <v>2440.1005130853828</v>
      </c>
      <c r="Q33" s="2">
        <f>Q11/'Output-Calculation-sheet'!Q10*'Output-Calculation-sheet'!Q19</f>
        <v>2009.3971553407935</v>
      </c>
      <c r="R33" s="2">
        <f>R11/'Output-Calculation-sheet'!R10*'Output-Calculation-sheet'!R19</f>
        <v>1742.192436505874</v>
      </c>
      <c r="S33" s="2">
        <f>S11/'Output-Calculation-sheet'!S10*'Output-Calculation-sheet'!S19</f>
        <v>812.14877045022274</v>
      </c>
      <c r="T33" s="2">
        <f>T11/'Output-Calculation-sheet'!T10*'Output-Calculation-sheet'!T19</f>
        <v>511.20976481637496</v>
      </c>
      <c r="U33" s="2">
        <f>U11/'Output-Calculation-sheet'!U10*'Output-Calculation-sheet'!U19</f>
        <v>588.35840190150589</v>
      </c>
      <c r="V33" s="2">
        <f>V11/'Output-Calculation-sheet'!V10*'Output-Calculation-sheet'!V19</f>
        <v>400.88822842562388</v>
      </c>
      <c r="W33" s="2">
        <f>W11/'Output-Calculation-sheet'!W10*'Output-Calculation-sheet'!W19</f>
        <v>249.99934658195841</v>
      </c>
      <c r="X33" s="2">
        <f>X11/'Output-Calculation-sheet'!X10*'Output-Calculation-sheet'!X19</f>
        <v>72.287180077373648</v>
      </c>
      <c r="Y33" s="2">
        <f>Y11/'Output-Calculation-sheet'!Y10*'Output-Calculation-sheet'!Y19</f>
        <v>224.99033903613238</v>
      </c>
      <c r="AA33" s="2">
        <f t="shared" si="1"/>
        <v>54.294589239728175</v>
      </c>
    </row>
    <row r="34" spans="1:27" x14ac:dyDescent="0.25">
      <c r="A34" s="2">
        <v>2035</v>
      </c>
      <c r="B34" s="2">
        <f>B12/'Output-Calculation-sheet'!B11*'Output-Calculation-sheet'!B20</f>
        <v>17703.967169939882</v>
      </c>
      <c r="C34" s="2">
        <f>C12/'Output-Calculation-sheet'!C11*'Output-Calculation-sheet'!C20</f>
        <v>0</v>
      </c>
      <c r="D34" s="2">
        <f>D12/'Output-Calculation-sheet'!D11*'Output-Calculation-sheet'!D20</f>
        <v>5556.0448074371416</v>
      </c>
      <c r="E34" s="2">
        <f>E12/'Output-Calculation-sheet'!E11*'Output-Calculation-sheet'!E20</f>
        <v>6070.7953812368178</v>
      </c>
      <c r="F34" s="2">
        <f>F12/'Output-Calculation-sheet'!F11*'Output-Calculation-sheet'!F20</f>
        <v>3824.8857591052465</v>
      </c>
      <c r="G34" s="2">
        <f>G12/'Output-Calculation-sheet'!G11*'Output-Calculation-sheet'!G20</f>
        <v>2043.9053908404296</v>
      </c>
      <c r="H34" s="2">
        <f>H12/'Output-Calculation-sheet'!H11*'Output-Calculation-sheet'!H20</f>
        <v>0</v>
      </c>
      <c r="I34" s="2">
        <f>I12/'Output-Calculation-sheet'!I11*'Output-Calculation-sheet'!I20</f>
        <v>2221.446843316</v>
      </c>
      <c r="J34" s="2">
        <f>J12/'Output-Calculation-sheet'!J11*'Output-Calculation-sheet'!J20</f>
        <v>1907.1140332590699</v>
      </c>
      <c r="K34" s="2">
        <f>K12/'Output-Calculation-sheet'!K11*'Output-Calculation-sheet'!K20</f>
        <v>2507.3906127375249</v>
      </c>
      <c r="L34" s="2">
        <f>L12/'Output-Calculation-sheet'!L11*'Output-Calculation-sheet'!L20</f>
        <v>1981.6309630303112</v>
      </c>
      <c r="M34" s="2">
        <f>M12/'Output-Calculation-sheet'!M11*'Output-Calculation-sheet'!M20</f>
        <v>0</v>
      </c>
      <c r="N34" s="2">
        <f>N12/'Output-Calculation-sheet'!N11*'Output-Calculation-sheet'!N20</f>
        <v>1102.7779568120984</v>
      </c>
      <c r="O34" s="2">
        <f>O12/'Output-Calculation-sheet'!O11*'Output-Calculation-sheet'!O20</f>
        <v>0</v>
      </c>
      <c r="P34" s="2">
        <f>P12/'Output-Calculation-sheet'!P11*'Output-Calculation-sheet'!P20</f>
        <v>2464.507293719877</v>
      </c>
      <c r="Q34" s="2">
        <f>Q12/'Output-Calculation-sheet'!Q11*'Output-Calculation-sheet'!Q20</f>
        <v>1950.0917012711143</v>
      </c>
      <c r="R34" s="2">
        <f>R12/'Output-Calculation-sheet'!R11*'Output-Calculation-sheet'!R20</f>
        <v>1957.3072115383432</v>
      </c>
      <c r="S34" s="2">
        <f>S12/'Output-Calculation-sheet'!S11*'Output-Calculation-sheet'!S20</f>
        <v>747.6438617688874</v>
      </c>
      <c r="T34" s="2">
        <f>T12/'Output-Calculation-sheet'!T11*'Output-Calculation-sheet'!T20</f>
        <v>614.9254631876837</v>
      </c>
      <c r="U34" s="2">
        <f>U12/'Output-Calculation-sheet'!U11*'Output-Calculation-sheet'!U20</f>
        <v>561.02419591194916</v>
      </c>
      <c r="V34" s="2">
        <f>V12/'Output-Calculation-sheet'!V11*'Output-Calculation-sheet'!V20</f>
        <v>515.35822867507898</v>
      </c>
      <c r="W34" s="2">
        <f>W12/'Output-Calculation-sheet'!W11*'Output-Calculation-sheet'!W20</f>
        <v>331.56328538705463</v>
      </c>
      <c r="X34" s="2">
        <f>X12/'Output-Calculation-sheet'!X11*'Output-Calculation-sheet'!X20</f>
        <v>67.010187439101927</v>
      </c>
      <c r="Y34" s="2">
        <f>Y12/'Output-Calculation-sheet'!Y11*'Output-Calculation-sheet'!Y20</f>
        <v>185.85374720763059</v>
      </c>
      <c r="AA34" s="2">
        <f t="shared" si="1"/>
        <v>54.315244093821249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0.73094321013059538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0.1420026016909833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0.87294581182157871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0.78542034230848945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0.30517208582839467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1.0905924281368842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0.78777536215437505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0.4591306797445634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1.2469060418989384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0.78612454146906718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0.45816854959960807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1.2442930910686751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1.5709734550544416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0.24179727800059136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0.16638018848282113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0.61039575910513288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0.14327252444497637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1.8252316837184868E-2</v>
      </c>
      <c r="Y44" s="2">
        <f>Y11/'Output-Calculation-sheet'!Y10*'Output-Calculation-sheet'!Y37*0.0114</f>
        <v>0</v>
      </c>
      <c r="AA44" s="2">
        <f t="shared" si="2"/>
        <v>2.7510715219251485</v>
      </c>
    </row>
    <row r="45" spans="1:27" x14ac:dyDescent="0.25">
      <c r="A45" s="2">
        <v>2035</v>
      </c>
      <c r="B45" s="2">
        <f>B12/'Output-Calculation-sheet'!B11*'Output-Calculation-sheet'!B38*0.0114</f>
        <v>1.6547391589377105</v>
      </c>
      <c r="C45" s="2">
        <f>C12/'Output-Calculation-sheet'!C11*'Output-Calculation-sheet'!C38*0.0114</f>
        <v>1.5707522226351529</v>
      </c>
      <c r="D45" s="2">
        <f>D12/'Output-Calculation-sheet'!D11*'Output-Calculation-sheet'!D38*0.0114</f>
        <v>0.69571088953212157</v>
      </c>
      <c r="E45" s="2">
        <f>E12/'Output-Calculation-sheet'!E11*'Output-Calculation-sheet'!E38*0.0114</f>
        <v>0.55290458852839919</v>
      </c>
      <c r="F45" s="2">
        <f>F12/'Output-Calculation-sheet'!F11*'Output-Calculation-sheet'!F38*0.0114</f>
        <v>0.34773907150216771</v>
      </c>
      <c r="G45" s="2">
        <f>G12/'Output-Calculation-sheet'!G11*'Output-Calculation-sheet'!G38*0.0114</f>
        <v>0.24956644376398715</v>
      </c>
      <c r="H45" s="2">
        <f>H12/'Output-Calculation-sheet'!H11*'Output-Calculation-sheet'!H38*0.0114</f>
        <v>0.2417632268862219</v>
      </c>
      <c r="I45" s="2">
        <f>I12/'Output-Calculation-sheet'!I11*'Output-Calculation-sheet'!I38*0.0114</f>
        <v>0.22447011597162184</v>
      </c>
      <c r="J45" s="2">
        <f>J12/'Output-Calculation-sheet'!J11*'Output-Calculation-sheet'!J38*0.0114</f>
        <v>0.22215171744174073</v>
      </c>
      <c r="K45" s="2">
        <f>K12/'Output-Calculation-sheet'!K11*'Output-Calculation-sheet'!K38*0.0114</f>
        <v>0.22061879059930062</v>
      </c>
      <c r="L45" s="2">
        <f>L12/'Output-Calculation-sheet'!L11*'Output-Calculation-sheet'!L38*0.0114</f>
        <v>0.17542549060807563</v>
      </c>
      <c r="M45" s="2">
        <f>M12/'Output-Calculation-sheet'!M11*'Output-Calculation-sheet'!M38*0.0114</f>
        <v>0.16635675798404259</v>
      </c>
      <c r="N45" s="2">
        <f>N12/'Output-Calculation-sheet'!N11*'Output-Calculation-sheet'!N38*0.0114</f>
        <v>0.16350199905914842</v>
      </c>
      <c r="O45" s="2">
        <f>O12/'Output-Calculation-sheet'!O11*'Output-Calculation-sheet'!O38*0.0114</f>
        <v>0.61030980009030966</v>
      </c>
      <c r="P45" s="2">
        <f>P12/'Output-Calculation-sheet'!P11*'Output-Calculation-sheet'!P38*0.0114</f>
        <v>0.15104638664770623</v>
      </c>
      <c r="Q45" s="2">
        <f>Q12/'Output-Calculation-sheet'!Q11*'Output-Calculation-sheet'!Q38*0.0114</f>
        <v>0.1432523480841992</v>
      </c>
      <c r="R45" s="2">
        <f>R12/'Output-Calculation-sheet'!R11*'Output-Calculation-sheet'!R38*0.0114</f>
        <v>0.14206141423801863</v>
      </c>
      <c r="S45" s="2">
        <f>S12/'Output-Calculation-sheet'!S11*'Output-Calculation-sheet'!S38*0.0114</f>
        <v>9.3724735799834133E-2</v>
      </c>
      <c r="T45" s="2">
        <f>T12/'Output-Calculation-sheet'!T11*'Output-Calculation-sheet'!T38*0.0114</f>
        <v>5.2557731896383228E-2</v>
      </c>
      <c r="U45" s="2">
        <f>U12/'Output-Calculation-sheet'!U11*'Output-Calculation-sheet'!U38*0.0114</f>
        <v>4.5706251935940974E-2</v>
      </c>
      <c r="V45" s="2">
        <f>V12/'Output-Calculation-sheet'!V11*'Output-Calculation-sheet'!V38*0.0114</f>
        <v>3.5243665570254774E-2</v>
      </c>
      <c r="W45" s="2">
        <f>W12/'Output-Calculation-sheet'!W11*'Output-Calculation-sheet'!W38*0.0114</f>
        <v>3.0518363988344527E-2</v>
      </c>
      <c r="X45" s="2">
        <f>X12/'Output-Calculation-sheet'!X11*'Output-Calculation-sheet'!X38*0.0114</f>
        <v>1.8249746453707971E-2</v>
      </c>
      <c r="Y45" s="2">
        <f>Y12/'Output-Calculation-sheet'!Y11*'Output-Calculation-sheet'!Y38*0.0114</f>
        <v>1.7611343819184479E-2</v>
      </c>
      <c r="AA45" s="2">
        <f t="shared" si="2"/>
        <v>7.8259822619735715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6668.2538468054308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1460.5723037892799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1032.1792828982143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146.01047319229338</v>
      </c>
      <c r="Y51" s="2">
        <f>Y7/'Output-Calculation-sheet'!Y6*'Output-Calculation-sheet'!Y42</f>
        <v>0</v>
      </c>
      <c r="AA51" s="2">
        <f t="shared" si="3"/>
        <v>9.3070159066852174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16121.785973700573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5259.7067504880843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3590.0058963035144</v>
      </c>
      <c r="N52" s="2">
        <f>N8/'Output-Calculation-sheet'!N7*'Output-Calculation-sheet'!N43</f>
        <v>114.7447068084294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464.27408172421735</v>
      </c>
      <c r="Y52" s="2">
        <f>Y8/'Output-Calculation-sheet'!Y7*'Output-Calculation-sheet'!Y43</f>
        <v>0</v>
      </c>
      <c r="AA52" s="2">
        <f t="shared" si="3"/>
        <v>25.550517409024817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33791.416850306086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9338.4461628194222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6381.8529470942412</v>
      </c>
      <c r="N53" s="2">
        <f>N9/'Output-Calculation-sheet'!N8*'Output-Calculation-sheet'!N44</f>
        <v>2273.0030021104758</v>
      </c>
      <c r="O53" s="2">
        <f>O9/'Output-Calculation-sheet'!O8*'Output-Calculation-sheet'!O44</f>
        <v>0</v>
      </c>
      <c r="P53" s="2">
        <f>P9/'Output-Calculation-sheet'!P8*'Output-Calculation-sheet'!P44</f>
        <v>106.32127669055531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709.20621294222053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798.05547114896501</v>
      </c>
      <c r="Y53" s="2">
        <f>Y9/'Output-Calculation-sheet'!Y8*'Output-Calculation-sheet'!Y44</f>
        <v>0</v>
      </c>
      <c r="AA53" s="2">
        <f t="shared" si="3"/>
        <v>53.398301923111966</v>
      </c>
    </row>
    <row r="54" spans="1:27" x14ac:dyDescent="0.25">
      <c r="A54" s="2">
        <v>2033</v>
      </c>
      <c r="B54" s="2">
        <f>B10/'Output-Calculation-sheet'!B9*'Output-Calculation-sheet'!B45</f>
        <v>18597.232900848245</v>
      </c>
      <c r="C54" s="2">
        <f>C10/'Output-Calculation-sheet'!C9*'Output-Calculation-sheet'!C45</f>
        <v>42616.2251427968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13479.469016883853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174.33870865056258</v>
      </c>
      <c r="L54" s="2">
        <f>L10/'Output-Calculation-sheet'!L9*'Output-Calculation-sheet'!L45</f>
        <v>0</v>
      </c>
      <c r="M54" s="2">
        <f>M10/'Output-Calculation-sheet'!M9*'Output-Calculation-sheet'!M45</f>
        <v>9245.9805166000297</v>
      </c>
      <c r="N54" s="2">
        <f>N10/'Output-Calculation-sheet'!N9*'Output-Calculation-sheet'!N45</f>
        <v>5182.4973019536792</v>
      </c>
      <c r="O54" s="2">
        <f>O10/'Output-Calculation-sheet'!O9*'Output-Calculation-sheet'!O45</f>
        <v>0</v>
      </c>
      <c r="P54" s="2">
        <f>P10/'Output-Calculation-sheet'!P9*'Output-Calculation-sheet'!P45</f>
        <v>1405.8047991257979</v>
      </c>
      <c r="Q54" s="2">
        <f>Q10/'Output-Calculation-sheet'!Q9*'Output-Calculation-sheet'!Q45</f>
        <v>553.43069351336044</v>
      </c>
      <c r="R54" s="2">
        <f>R10/'Output-Calculation-sheet'!R9*'Output-Calculation-sheet'!R45</f>
        <v>923.03181255865275</v>
      </c>
      <c r="S54" s="2">
        <f>S10/'Output-Calculation-sheet'!S9*'Output-Calculation-sheet'!S45</f>
        <v>2205.4531405543694</v>
      </c>
      <c r="T54" s="2">
        <f>T10/'Output-Calculation-sheet'!T9*'Output-Calculation-sheet'!T45</f>
        <v>46.147208059292844</v>
      </c>
      <c r="U54" s="2">
        <f>U10/'Output-Calculation-sheet'!U9*'Output-Calculation-sheet'!U45</f>
        <v>333.09070778415395</v>
      </c>
      <c r="V54" s="2">
        <f>V10/'Output-Calculation-sheet'!V9*'Output-Calculation-sheet'!V45</f>
        <v>24.75596581753717</v>
      </c>
      <c r="W54" s="2">
        <f>W10/'Output-Calculation-sheet'!W9*'Output-Calculation-sheet'!W45</f>
        <v>0</v>
      </c>
      <c r="X54" s="2">
        <f>X10/'Output-Calculation-sheet'!X9*'Output-Calculation-sheet'!X45</f>
        <v>1062.3782708423687</v>
      </c>
      <c r="Y54" s="2">
        <f>Y10/'Output-Calculation-sheet'!Y9*'Output-Calculation-sheet'!Y45</f>
        <v>10.824288314437364</v>
      </c>
      <c r="AA54" s="2">
        <f t="shared" si="3"/>
        <v>95.860660474303145</v>
      </c>
    </row>
    <row r="55" spans="1:27" x14ac:dyDescent="0.25">
      <c r="A55" s="2">
        <v>2034</v>
      </c>
      <c r="B55" s="2">
        <f>B11/'Output-Calculation-sheet'!B10*'Output-Calculation-sheet'!B46</f>
        <v>52842.97265416391</v>
      </c>
      <c r="C55" s="2">
        <f>C11/'Output-Calculation-sheet'!C10*'Output-Calculation-sheet'!C46</f>
        <v>43477.379392076866</v>
      </c>
      <c r="D55" s="2">
        <f>D11/'Output-Calculation-sheet'!D10*'Output-Calculation-sheet'!D46</f>
        <v>4882.8693112542906</v>
      </c>
      <c r="E55" s="2">
        <f>E11/'Output-Calculation-sheet'!E10*'Output-Calculation-sheet'!E46</f>
        <v>6014.8969584888819</v>
      </c>
      <c r="F55" s="2">
        <f>F11/'Output-Calculation-sheet'!F10*'Output-Calculation-sheet'!F46</f>
        <v>183.04634145915571</v>
      </c>
      <c r="G55" s="2">
        <f>G11/'Output-Calculation-sheet'!G10*'Output-Calculation-sheet'!G46</f>
        <v>2167.592789318775</v>
      </c>
      <c r="H55" s="2">
        <f>H11/'Output-Calculation-sheet'!H10*'Output-Calculation-sheet'!H46</f>
        <v>15674.402494950615</v>
      </c>
      <c r="I55" s="2">
        <f>I11/'Output-Calculation-sheet'!I10*'Output-Calculation-sheet'!I46</f>
        <v>1181.5880602091515</v>
      </c>
      <c r="J55" s="2">
        <f>J11/'Output-Calculation-sheet'!J10*'Output-Calculation-sheet'!J46</f>
        <v>857.54844565897065</v>
      </c>
      <c r="K55" s="2">
        <f>K11/'Output-Calculation-sheet'!K10*'Output-Calculation-sheet'!K46</f>
        <v>2303.2748922564697</v>
      </c>
      <c r="L55" s="2">
        <f>L11/'Output-Calculation-sheet'!L10*'Output-Calculation-sheet'!L46</f>
        <v>846.47025539747062</v>
      </c>
      <c r="M55" s="2">
        <f>M11/'Output-Calculation-sheet'!M10*'Output-Calculation-sheet'!M46</f>
        <v>11077.417812145721</v>
      </c>
      <c r="N55" s="2">
        <f>N11/'Output-Calculation-sheet'!N10*'Output-Calculation-sheet'!N46</f>
        <v>8448.7930864526516</v>
      </c>
      <c r="O55" s="2">
        <f>O11/'Output-Calculation-sheet'!O10*'Output-Calculation-sheet'!O46</f>
        <v>187.40220674280397</v>
      </c>
      <c r="P55" s="2">
        <f>P11/'Output-Calculation-sheet'!P10*'Output-Calculation-sheet'!P46</f>
        <v>3140.6171578837266</v>
      </c>
      <c r="Q55" s="2">
        <f>Q11/'Output-Calculation-sheet'!Q10*'Output-Calculation-sheet'!Q46</f>
        <v>1847.4614994220638</v>
      </c>
      <c r="R55" s="2">
        <f>R11/'Output-Calculation-sheet'!R10*'Output-Calculation-sheet'!R46</f>
        <v>2542.5096722647349</v>
      </c>
      <c r="S55" s="2">
        <f>S11/'Output-Calculation-sheet'!S10*'Output-Calculation-sheet'!S46</f>
        <v>4152.426132199681</v>
      </c>
      <c r="T55" s="2">
        <f>T11/'Output-Calculation-sheet'!T10*'Output-Calculation-sheet'!T46</f>
        <v>576.37208754597248</v>
      </c>
      <c r="U55" s="2">
        <f>U11/'Output-Calculation-sheet'!U10*'Output-Calculation-sheet'!U46</f>
        <v>962.37240900694087</v>
      </c>
      <c r="V55" s="2">
        <f>V11/'Output-Calculation-sheet'!V10*'Output-Calculation-sheet'!V46</f>
        <v>389.59011508806987</v>
      </c>
      <c r="W55" s="2">
        <f>W11/'Output-Calculation-sheet'!W10*'Output-Calculation-sheet'!W46</f>
        <v>50.871103906452717</v>
      </c>
      <c r="X55" s="2">
        <f>X11/'Output-Calculation-sheet'!X10*'Output-Calculation-sheet'!X46</f>
        <v>1133.5649404146391</v>
      </c>
      <c r="Y55" s="2">
        <f>Y11/'Output-Calculation-sheet'!Y10*'Output-Calculation-sheet'!Y46</f>
        <v>295.1088104211106</v>
      </c>
      <c r="AA55" s="2">
        <f t="shared" si="3"/>
        <v>165.23654862872914</v>
      </c>
    </row>
    <row r="56" spans="1:27" x14ac:dyDescent="0.25">
      <c r="A56" s="2">
        <v>2035</v>
      </c>
      <c r="B56" s="2">
        <f>B12/'Output-Calculation-sheet'!B11*'Output-Calculation-sheet'!B47</f>
        <v>67205.634262119289</v>
      </c>
      <c r="C56" s="2">
        <f>C12/'Output-Calculation-sheet'!C11*'Output-Calculation-sheet'!C47</f>
        <v>44160.183101277762</v>
      </c>
      <c r="D56" s="2">
        <f>D12/'Output-Calculation-sheet'!D11*'Output-Calculation-sheet'!D47</f>
        <v>5370.3998490198856</v>
      </c>
      <c r="E56" s="2">
        <f>E12/'Output-Calculation-sheet'!E11*'Output-Calculation-sheet'!E47</f>
        <v>15083.625178274749</v>
      </c>
      <c r="F56" s="2">
        <f>F12/'Output-Calculation-sheet'!F11*'Output-Calculation-sheet'!F47</f>
        <v>1860.7090668098447</v>
      </c>
      <c r="G56" s="2">
        <f>G12/'Output-Calculation-sheet'!G11*'Output-Calculation-sheet'!G47</f>
        <v>4203.2243160250464</v>
      </c>
      <c r="H56" s="2">
        <f>H12/'Output-Calculation-sheet'!H11*'Output-Calculation-sheet'!H47</f>
        <v>16053.926557269297</v>
      </c>
      <c r="I56" s="2">
        <f>I12/'Output-Calculation-sheet'!I11*'Output-Calculation-sheet'!I47</f>
        <v>2126.5589934153645</v>
      </c>
      <c r="J56" s="2">
        <f>J12/'Output-Calculation-sheet'!J11*'Output-Calculation-sheet'!J47</f>
        <v>1929.2122830466958</v>
      </c>
      <c r="K56" s="2">
        <f>K12/'Output-Calculation-sheet'!K11*'Output-Calculation-sheet'!K47</f>
        <v>2786.7636707280076</v>
      </c>
      <c r="L56" s="2">
        <f>L12/'Output-Calculation-sheet'!L11*'Output-Calculation-sheet'!L47</f>
        <v>1538.8200930532951</v>
      </c>
      <c r="M56" s="2">
        <f>M12/'Output-Calculation-sheet'!M11*'Output-Calculation-sheet'!M47</f>
        <v>11192.599418750937</v>
      </c>
      <c r="N56" s="2">
        <f>N12/'Output-Calculation-sheet'!N11*'Output-Calculation-sheet'!N47</f>
        <v>8547.9992490572331</v>
      </c>
      <c r="O56" s="2">
        <f>O12/'Output-Calculation-sheet'!O11*'Output-Calculation-sheet'!O47</f>
        <v>803.03921064514418</v>
      </c>
      <c r="P56" s="2">
        <f>P12/'Output-Calculation-sheet'!P11*'Output-Calculation-sheet'!P47</f>
        <v>4438.6438181562798</v>
      </c>
      <c r="Q56" s="2">
        <f>Q12/'Output-Calculation-sheet'!Q11*'Output-Calculation-sheet'!Q47</f>
        <v>2249.3131848308471</v>
      </c>
      <c r="R56" s="2">
        <f>R12/'Output-Calculation-sheet'!R11*'Output-Calculation-sheet'!R47</f>
        <v>3277.3817495262192</v>
      </c>
      <c r="S56" s="2">
        <f>S12/'Output-Calculation-sheet'!S11*'Output-Calculation-sheet'!S47</f>
        <v>4340.9351317817909</v>
      </c>
      <c r="T56" s="2">
        <f>T12/'Output-Calculation-sheet'!T11*'Output-Calculation-sheet'!T47</f>
        <v>1147.9715124736335</v>
      </c>
      <c r="U56" s="2">
        <f>U12/'Output-Calculation-sheet'!U11*'Output-Calculation-sheet'!U47</f>
        <v>1098.5537746006867</v>
      </c>
      <c r="V56" s="2">
        <f>V12/'Output-Calculation-sheet'!V11*'Output-Calculation-sheet'!V47</f>
        <v>766.70430363361254</v>
      </c>
      <c r="W56" s="2">
        <f>W12/'Output-Calculation-sheet'!W11*'Output-Calculation-sheet'!W47</f>
        <v>436.3590640438735</v>
      </c>
      <c r="X56" s="2">
        <f>X12/'Output-Calculation-sheet'!X11*'Output-Calculation-sheet'!X47</f>
        <v>1155.817275401505</v>
      </c>
      <c r="Y56" s="2">
        <f>Y12/'Output-Calculation-sheet'!Y11*'Output-Calculation-sheet'!Y47</f>
        <v>591.67935813575923</v>
      </c>
      <c r="AA56" s="2">
        <f t="shared" si="3"/>
        <v>202.36605442207673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4.3924947508533476</v>
      </c>
      <c r="C60" s="2">
        <f>C5*'Output-Calculation-sheet'!C49/10^9</f>
        <v>1.7716786863773759</v>
      </c>
      <c r="D60" s="2">
        <f>D5*'Output-Calculation-sheet'!D49/10^9</f>
        <v>1.158248926737087</v>
      </c>
      <c r="E60" s="2">
        <f>E5*'Output-Calculation-sheet'!E49/10^9</f>
        <v>1.3438285586082417</v>
      </c>
      <c r="F60" s="2">
        <f>F5*'Output-Calculation-sheet'!F49/10^9</f>
        <v>0.61718044962998364</v>
      </c>
      <c r="G60" s="2">
        <f>G5*'Output-Calculation-sheet'!G49/10^9</f>
        <v>0.48687388145476684</v>
      </c>
      <c r="H60" s="2">
        <f>H5*'Output-Calculation-sheet'!H49/10^9</f>
        <v>0.46552166781305193</v>
      </c>
      <c r="I60" s="2">
        <f>I5*'Output-Calculation-sheet'!I49/10^9</f>
        <v>0.3665150125928629</v>
      </c>
      <c r="J60" s="2">
        <f>J5*'Output-Calculation-sheet'!J49/10^9</f>
        <v>0.56803241572670149</v>
      </c>
      <c r="K60" s="2">
        <f>K5*'Output-Calculation-sheet'!K49/10^9</f>
        <v>0.3152884799327661</v>
      </c>
      <c r="L60" s="2">
        <f>L5*'Output-Calculation-sheet'!L49/10^9</f>
        <v>0.41172953054763534</v>
      </c>
      <c r="M60" s="2">
        <f>M5*'Output-Calculation-sheet'!M49/10^9</f>
        <v>0.35635026637135486</v>
      </c>
      <c r="N60" s="2">
        <f>N5*'Output-Calculation-sheet'!N49/10^9</f>
        <v>0.29829807143154169</v>
      </c>
      <c r="O60" s="2">
        <f>O5*'Output-Calculation-sheet'!O49/10^9</f>
        <v>0.29900151945401643</v>
      </c>
      <c r="P60" s="2">
        <f>P5*'Output-Calculation-sheet'!P49/10^9</f>
        <v>0.31195535916554101</v>
      </c>
      <c r="Q60" s="2">
        <f>Q5*'Output-Calculation-sheet'!Q49/10^9</f>
        <v>0.27056393196688339</v>
      </c>
      <c r="R60" s="2">
        <f>R5*'Output-Calculation-sheet'!R49/10^9</f>
        <v>0.28287688976206216</v>
      </c>
      <c r="S60" s="2">
        <f>S5*'Output-Calculation-sheet'!S49/10^9</f>
        <v>0.19931550239551979</v>
      </c>
      <c r="T60" s="2">
        <f>T5*'Output-Calculation-sheet'!T49/10^9</f>
        <v>0.12398672094321092</v>
      </c>
      <c r="U60" s="2">
        <f>U5*'Output-Calculation-sheet'!U49/10^9</f>
        <v>9.110297611564544E-2</v>
      </c>
      <c r="V60" s="2">
        <f>V5*'Output-Calculation-sheet'!V49/10^9</f>
        <v>0.17325343530320958</v>
      </c>
      <c r="W60" s="2">
        <f>W5*'Output-Calculation-sheet'!W49/10^9</f>
        <v>6.8988976164848836E-2</v>
      </c>
      <c r="X60" s="2">
        <f>X5*'Output-Calculation-sheet'!X49/10^9</f>
        <v>5.060056527907756E-2</v>
      </c>
      <c r="Y60" s="2">
        <f>Y5*'Output-Calculation-sheet'!Y49/10^9</f>
        <v>3.659389222653435E-2</v>
      </c>
      <c r="AA60" s="2">
        <f t="shared" ref="AA60:AA67" si="4">SUM(B60:Y60)</f>
        <v>14.460280466853265</v>
      </c>
    </row>
    <row r="61" spans="1:27" x14ac:dyDescent="0.25">
      <c r="A61" s="2">
        <v>2029</v>
      </c>
      <c r="B61" s="2">
        <f>B6*'Output-Calculation-sheet'!B50/10^9</f>
        <v>5.1086322882055644</v>
      </c>
      <c r="C61" s="2">
        <f>C6*'Output-Calculation-sheet'!C50/10^9</f>
        <v>2.1894917807859104</v>
      </c>
      <c r="D61" s="2">
        <f>D6*'Output-Calculation-sheet'!D50/10^9</f>
        <v>1.3150352497549949</v>
      </c>
      <c r="E61" s="2">
        <f>E6*'Output-Calculation-sheet'!E50/10^9</f>
        <v>1.5200631923526531</v>
      </c>
      <c r="F61" s="2">
        <f>F6*'Output-Calculation-sheet'!F50/10^9</f>
        <v>0.70139623743239332</v>
      </c>
      <c r="G61" s="2">
        <f>G6*'Output-Calculation-sheet'!G50/10^9</f>
        <v>0.54841320821842221</v>
      </c>
      <c r="H61" s="2">
        <f>H6*'Output-Calculation-sheet'!H50/10^9</f>
        <v>0.56771270530329887</v>
      </c>
      <c r="I61" s="2">
        <f>I6*'Output-Calculation-sheet'!I50/10^9</f>
        <v>0.41815489985068349</v>
      </c>
      <c r="J61" s="2">
        <f>J6*'Output-Calculation-sheet'!J50/10^9</f>
        <v>0.6326784292165355</v>
      </c>
      <c r="K61" s="2">
        <f>K6*'Output-Calculation-sheet'!K50/10^9</f>
        <v>0.3673693499151352</v>
      </c>
      <c r="L61" s="2">
        <f>L6*'Output-Calculation-sheet'!L50/10^9</f>
        <v>0.46695450941460631</v>
      </c>
      <c r="M61" s="2">
        <f>M6*'Output-Calculation-sheet'!M50/10^9</f>
        <v>0.42989386616794445</v>
      </c>
      <c r="N61" s="2">
        <f>N6*'Output-Calculation-sheet'!N50/10^9</f>
        <v>0.36629019999273721</v>
      </c>
      <c r="O61" s="2">
        <f>O6*'Output-Calculation-sheet'!O50/10^9</f>
        <v>0.38138930449317793</v>
      </c>
      <c r="P61" s="2">
        <f>P6*'Output-Calculation-sheet'!P50/10^9</f>
        <v>0.363513745596732</v>
      </c>
      <c r="Q61" s="2">
        <f>Q6*'Output-Calculation-sheet'!Q50/10^9</f>
        <v>0.32202540528629192</v>
      </c>
      <c r="R61" s="2">
        <f>R6*'Output-Calculation-sheet'!R50/10^9</f>
        <v>0.32538880505250561</v>
      </c>
      <c r="S61" s="2">
        <f>S6*'Output-Calculation-sheet'!S50/10^9</f>
        <v>0.23855723175829452</v>
      </c>
      <c r="T61" s="2">
        <f>T6*'Output-Calculation-sheet'!T50/10^9</f>
        <v>0.1398267648958153</v>
      </c>
      <c r="U61" s="2">
        <f>U6*'Output-Calculation-sheet'!U50/10^9</f>
        <v>0.10439150252555282</v>
      </c>
      <c r="V61" s="2">
        <f>V6*'Output-Calculation-sheet'!V50/10^9</f>
        <v>0.19150233504115036</v>
      </c>
      <c r="W61" s="2">
        <f>W6*'Output-Calculation-sheet'!W50/10^9</f>
        <v>7.7269250438458031E-2</v>
      </c>
      <c r="X61" s="2">
        <f>X6*'Output-Calculation-sheet'!X50/10^9</f>
        <v>6.0323454215091631E-2</v>
      </c>
      <c r="Y61" s="2">
        <f>Y6*'Output-Calculation-sheet'!Y50/10^9</f>
        <v>4.1915611559863772E-2</v>
      </c>
      <c r="AA61" s="2">
        <f t="shared" si="4"/>
        <v>16.878189327473812</v>
      </c>
    </row>
    <row r="62" spans="1:27" x14ac:dyDescent="0.25">
      <c r="A62" s="2">
        <v>2030</v>
      </c>
      <c r="B62" s="2">
        <f>B7*'Output-Calculation-sheet'!B51/10^9</f>
        <v>5.4558657872574976</v>
      </c>
      <c r="C62" s="2">
        <f>C7*'Output-Calculation-sheet'!C51/10^9</f>
        <v>2.7114501750979465</v>
      </c>
      <c r="D62" s="2">
        <f>D7*'Output-Calculation-sheet'!D51/10^9</f>
        <v>1.3591841563476317</v>
      </c>
      <c r="E62" s="2">
        <f>E7*'Output-Calculation-sheet'!E51/10^9</f>
        <v>1.5640203302639195</v>
      </c>
      <c r="F62" s="2">
        <f>F7*'Output-Calculation-sheet'!F51/10^9</f>
        <v>0.72578104298649726</v>
      </c>
      <c r="G62" s="2">
        <f>G7*'Output-Calculation-sheet'!G51/10^9</f>
        <v>0.56137921100925359</v>
      </c>
      <c r="H62" s="2">
        <f>H7*'Output-Calculation-sheet'!H51/10^9</f>
        <v>0.683514469490211</v>
      </c>
      <c r="I62" s="2">
        <f>I7*'Output-Calculation-sheet'!I51/10^9</f>
        <v>0.43472081097963583</v>
      </c>
      <c r="J62" s="2">
        <f>J7*'Output-Calculation-sheet'!J51/10^9</f>
        <v>0.63864670435728899</v>
      </c>
      <c r="K62" s="2">
        <f>K7*'Output-Calculation-sheet'!K51/10^9</f>
        <v>0.39142831816170404</v>
      </c>
      <c r="L62" s="2">
        <f>L7*'Output-Calculation-sheet'!L51/10^9</f>
        <v>0.48199657264019946</v>
      </c>
      <c r="M62" s="2">
        <f>M7*'Output-Calculation-sheet'!M51/10^9</f>
        <v>0.5092900743609271</v>
      </c>
      <c r="N62" s="2">
        <f>N7*'Output-Calculation-sheet'!N51/10^9</f>
        <v>0.41608333990936347</v>
      </c>
      <c r="O62" s="2">
        <f>O7*'Output-Calculation-sheet'!O51/10^9</f>
        <v>0.47343983836913089</v>
      </c>
      <c r="P62" s="2">
        <f>P7*'Output-Calculation-sheet'!P51/10^9</f>
        <v>0.38735428776746711</v>
      </c>
      <c r="Q62" s="2">
        <f>Q7*'Output-Calculation-sheet'!Q51/10^9</f>
        <v>0.35249480454128695</v>
      </c>
      <c r="R62" s="2">
        <f>R7*'Output-Calculation-sheet'!R51/10^9</f>
        <v>0.34157620570217989</v>
      </c>
      <c r="S62" s="2">
        <f>S7*'Output-Calculation-sheet'!S51/10^9</f>
        <v>0.26482336082564195</v>
      </c>
      <c r="T62" s="2">
        <f>T7*'Output-Calculation-sheet'!T51/10^9</f>
        <v>0.14334449014105322</v>
      </c>
      <c r="U62" s="2">
        <f>U7*'Output-Calculation-sheet'!U51/10^9</f>
        <v>0.10908889057844076</v>
      </c>
      <c r="V62" s="2">
        <f>V7*'Output-Calculation-sheet'!V51/10^9</f>
        <v>0.19144199624069383</v>
      </c>
      <c r="W62" s="2">
        <f>W7*'Output-Calculation-sheet'!W51/10^9</f>
        <v>7.8543355202541174E-2</v>
      </c>
      <c r="X62" s="2">
        <f>X7*'Output-Calculation-sheet'!X51/10^9</f>
        <v>7.0452022415135318E-2</v>
      </c>
      <c r="Y62" s="2">
        <f>Y7*'Output-Calculation-sheet'!Y51/10^9</f>
        <v>4.3781990643355292E-2</v>
      </c>
      <c r="AA62" s="2">
        <f t="shared" si="4"/>
        <v>18.389702235289004</v>
      </c>
    </row>
    <row r="63" spans="1:27" x14ac:dyDescent="0.25">
      <c r="A63" s="2">
        <v>2031</v>
      </c>
      <c r="B63" s="2">
        <f>B8*'Output-Calculation-sheet'!B52/10^9</f>
        <v>5.4777835438401734</v>
      </c>
      <c r="C63" s="2">
        <f>C8*'Output-Calculation-sheet'!C52/10^9</f>
        <v>3.1171450560800262</v>
      </c>
      <c r="D63" s="2">
        <f>D8*'Output-Calculation-sheet'!D52/10^9</f>
        <v>1.2825631438225171</v>
      </c>
      <c r="E63" s="2">
        <f>E8*'Output-Calculation-sheet'!E52/10^9</f>
        <v>1.467316081198601</v>
      </c>
      <c r="F63" s="2">
        <f>F8*'Output-Calculation-sheet'!F52/10^9</f>
        <v>0.68587671309046316</v>
      </c>
      <c r="G63" s="2">
        <f>G8*'Output-Calculation-sheet'!G52/10^9</f>
        <v>0.52316266313247139</v>
      </c>
      <c r="H63" s="2">
        <f>H8*'Output-Calculation-sheet'!H52/10^9</f>
        <v>0.78200271562053336</v>
      </c>
      <c r="I63" s="2">
        <f>I8*'Output-Calculation-sheet'!I52/10^9</f>
        <v>0.41326373228419566</v>
      </c>
      <c r="J63" s="2">
        <f>J8*'Output-Calculation-sheet'!J52/10^9</f>
        <v>0.58421820574183736</v>
      </c>
      <c r="K63" s="2">
        <f>K8*'Output-Calculation-sheet'!K52/10^9</f>
        <v>0.38350960570327969</v>
      </c>
      <c r="L63" s="2">
        <f>L8*'Output-Calculation-sheet'!L52/10^9</f>
        <v>0.45405943320496311</v>
      </c>
      <c r="M63" s="2">
        <f>M8*'Output-Calculation-sheet'!M52/10^9</f>
        <v>0.57256260479933507</v>
      </c>
      <c r="N63" s="2">
        <f>N8*'Output-Calculation-sheet'!N52/10^9</f>
        <v>0.4565340694814779</v>
      </c>
      <c r="O63" s="2">
        <f>O8*'Output-Calculation-sheet'!O52/10^9</f>
        <v>0.54179498240031032</v>
      </c>
      <c r="P63" s="2">
        <f>P8*'Output-Calculation-sheet'!P52/10^9</f>
        <v>0.39003655208274879</v>
      </c>
      <c r="Q63" s="2">
        <f>Q8*'Output-Calculation-sheet'!Q52/10^9</f>
        <v>0.36381821697215189</v>
      </c>
      <c r="R63" s="2">
        <f>R8*'Output-Calculation-sheet'!R52/10^9</f>
        <v>0.32953386368155729</v>
      </c>
      <c r="S63" s="2">
        <f>S8*'Output-Calculation-sheet'!S52/10^9</f>
        <v>0.27959803583872161</v>
      </c>
      <c r="T63" s="2">
        <f>T8*'Output-Calculation-sheet'!T52/10^9</f>
        <v>0.13384421449680134</v>
      </c>
      <c r="U63" s="2">
        <f>U8*'Output-Calculation-sheet'!U52/10^9</f>
        <v>0.10437830213860669</v>
      </c>
      <c r="V63" s="2">
        <f>V8*'Output-Calculation-sheet'!V52/10^9</f>
        <v>0.17282015567454723</v>
      </c>
      <c r="W63" s="2">
        <f>W8*'Output-Calculation-sheet'!W52/10^9</f>
        <v>7.2523030815977885E-2</v>
      </c>
      <c r="X63" s="2">
        <f>X8*'Output-Calculation-sheet'!X52/10^9</f>
        <v>7.7282260959700533E-2</v>
      </c>
      <c r="Y63" s="2">
        <f>Y8*'Output-Calculation-sheet'!Y52/10^9</f>
        <v>4.1879332389814748E-2</v>
      </c>
      <c r="AA63" s="2">
        <f t="shared" si="4"/>
        <v>18.707506515450813</v>
      </c>
    </row>
    <row r="64" spans="1:27" x14ac:dyDescent="0.25">
      <c r="A64" s="2">
        <v>2032</v>
      </c>
      <c r="B64" s="2">
        <f>B9*'Output-Calculation-sheet'!B53/10^9</f>
        <v>5.2699431111682404</v>
      </c>
      <c r="C64" s="2">
        <f>C9*'Output-Calculation-sheet'!C53/10^9</f>
        <v>3.3107197955798036</v>
      </c>
      <c r="D64" s="2">
        <f>D9*'Output-Calculation-sheet'!D53/10^9</f>
        <v>1.1066104932520582</v>
      </c>
      <c r="E64" s="2">
        <f>E9*'Output-Calculation-sheet'!E53/10^9</f>
        <v>1.2921035271224679</v>
      </c>
      <c r="F64" s="2">
        <f>F9*'Output-Calculation-sheet'!F53/10^9</f>
        <v>0.59292503854310941</v>
      </c>
      <c r="G64" s="2">
        <f>G9*'Output-Calculation-sheet'!G53/10^9</f>
        <v>0.44395719239775405</v>
      </c>
      <c r="H64" s="2">
        <f>H9*'Output-Calculation-sheet'!H53/10^9</f>
        <v>0.82681992616299982</v>
      </c>
      <c r="I64" s="2">
        <f>I9*'Output-Calculation-sheet'!I53/10^9</f>
        <v>0.36001889673106696</v>
      </c>
      <c r="J64" s="2">
        <f>J9*'Output-Calculation-sheet'!J53/10^9</f>
        <v>0.48322270052136257</v>
      </c>
      <c r="K64" s="2">
        <f>K9*'Output-Calculation-sheet'!K53/10^9</f>
        <v>0.35672543332941081</v>
      </c>
      <c r="L64" s="2">
        <f>L9*'Output-Calculation-sheet'!L53/10^9</f>
        <v>0.40048526634141429</v>
      </c>
      <c r="M64" s="2">
        <f>M9*'Output-Calculation-sheet'!M53/10^9</f>
        <v>0.59625320974772378</v>
      </c>
      <c r="N64" s="2">
        <f>N9*'Output-Calculation-sheet'!N53/10^9</f>
        <v>0.48730786364173556</v>
      </c>
      <c r="O64" s="2">
        <f>O9*'Output-Calculation-sheet'!O53/10^9</f>
        <v>0.57567111475378896</v>
      </c>
      <c r="P64" s="2">
        <f>P9*'Output-Calculation-sheet'!P53/10^9</f>
        <v>0.3806370110599675</v>
      </c>
      <c r="Q64" s="2">
        <f>Q9*'Output-Calculation-sheet'!Q53/10^9</f>
        <v>0.36105249993214727</v>
      </c>
      <c r="R64" s="2">
        <f>R9*'Output-Calculation-sheet'!R53/10^9</f>
        <v>0.30715390475027798</v>
      </c>
      <c r="S64" s="2">
        <f>S9*'Output-Calculation-sheet'!S53/10^9</f>
        <v>0.28876552259670946</v>
      </c>
      <c r="T64" s="2">
        <f>T9*'Output-Calculation-sheet'!T53/10^9</f>
        <v>0.11482039332356028</v>
      </c>
      <c r="U64" s="2">
        <f>U9*'Output-Calculation-sheet'!U53/10^9</f>
        <v>9.7826333837400539E-2</v>
      </c>
      <c r="V64" s="2">
        <f>V9*'Output-Calculation-sheet'!V53/10^9</f>
        <v>0.14257871207001319</v>
      </c>
      <c r="W64" s="2">
        <f>W9*'Output-Calculation-sheet'!W53/10^9</f>
        <v>6.0771817470932118E-2</v>
      </c>
      <c r="X64" s="2">
        <f>X9*'Output-Calculation-sheet'!X53/10^9</f>
        <v>7.8550166806370225E-2</v>
      </c>
      <c r="Y64" s="2">
        <f>Y9*'Output-Calculation-sheet'!Y53/10^9</f>
        <v>3.8654245637573519E-2</v>
      </c>
      <c r="AA64" s="2">
        <f t="shared" si="4"/>
        <v>17.973574176777884</v>
      </c>
    </row>
    <row r="65" spans="1:27" x14ac:dyDescent="0.25">
      <c r="A65" s="2">
        <v>2033</v>
      </c>
      <c r="B65" s="2">
        <f>B10*'Output-Calculation-sheet'!B54/10^9</f>
        <v>5.2644462484878263</v>
      </c>
      <c r="C65" s="2">
        <f>C10*'Output-Calculation-sheet'!C54/10^9</f>
        <v>3.4599217057726874</v>
      </c>
      <c r="D65" s="2">
        <f>D10*'Output-Calculation-sheet'!D54/10^9</f>
        <v>0.93836762429752241</v>
      </c>
      <c r="E65" s="2">
        <f>E10*'Output-Calculation-sheet'!E54/10^9</f>
        <v>1.1950297908246188</v>
      </c>
      <c r="F65" s="2">
        <f>F10*'Output-Calculation-sheet'!F54/10^9</f>
        <v>0.51351461246519903</v>
      </c>
      <c r="G65" s="2">
        <f>G10*'Output-Calculation-sheet'!G54/10^9</f>
        <v>0.36559705688594346</v>
      </c>
      <c r="H65" s="2">
        <f>H10*'Output-Calculation-sheet'!H54/10^9</f>
        <v>0.85905217367619546</v>
      </c>
      <c r="I65" s="2">
        <f>I10*'Output-Calculation-sheet'!I54/10^9</f>
        <v>0.32055222374192188</v>
      </c>
      <c r="J65" s="2">
        <f>J10*'Output-Calculation-sheet'!J54/10^9</f>
        <v>0.37926417428080417</v>
      </c>
      <c r="K65" s="2">
        <f>K10*'Output-Calculation-sheet'!K54/10^9</f>
        <v>0.35489508650620161</v>
      </c>
      <c r="L65" s="2">
        <f>L10*'Output-Calculation-sheet'!L54/10^9</f>
        <v>0.36601448200177833</v>
      </c>
      <c r="M65" s="2">
        <f>M10*'Output-Calculation-sheet'!M54/10^9</f>
        <v>0.61083974719136891</v>
      </c>
      <c r="N65" s="2">
        <f>N10*'Output-Calculation-sheet'!N54/10^9</f>
        <v>0.52049837484568151</v>
      </c>
      <c r="O65" s="2">
        <f>O10*'Output-Calculation-sheet'!O54/10^9</f>
        <v>0.6056316997344664</v>
      </c>
      <c r="P65" s="2">
        <f>P10*'Output-Calculation-sheet'!P54/10^9</f>
        <v>0.38395738068138691</v>
      </c>
      <c r="Q65" s="2">
        <f>Q10*'Output-Calculation-sheet'!Q54/10^9</f>
        <v>0.37888727978948189</v>
      </c>
      <c r="R65" s="2">
        <f>R10*'Output-Calculation-sheet'!R54/10^9</f>
        <v>0.30036592497182429</v>
      </c>
      <c r="S65" s="2">
        <f>S10*'Output-Calculation-sheet'!S54/10^9</f>
        <v>0.30146384851972735</v>
      </c>
      <c r="T65" s="2">
        <f>T10*'Output-Calculation-sheet'!T54/10^9</f>
        <v>0.10171529762840362</v>
      </c>
      <c r="U65" s="2">
        <f>U10*'Output-Calculation-sheet'!U54/10^9</f>
        <v>9.7690829915991609E-2</v>
      </c>
      <c r="V65" s="2">
        <f>V10*'Output-Calculation-sheet'!V54/10^9</f>
        <v>0.11510241104979803</v>
      </c>
      <c r="W65" s="2">
        <f>W10*'Output-Calculation-sheet'!W54/10^9</f>
        <v>4.9192506335322642E-2</v>
      </c>
      <c r="X65" s="2">
        <f>X10*'Output-Calculation-sheet'!X54/10^9</f>
        <v>7.9075187419615112E-2</v>
      </c>
      <c r="Y65" s="2">
        <f>Y10*'Output-Calculation-sheet'!Y54/10^9</f>
        <v>3.8160812434253101E-2</v>
      </c>
      <c r="AA65" s="2">
        <f t="shared" si="4"/>
        <v>17.599236479458018</v>
      </c>
    </row>
    <row r="66" spans="1:27" x14ac:dyDescent="0.25">
      <c r="A66" s="2">
        <v>2034</v>
      </c>
      <c r="B66" s="2">
        <f>B11*'Output-Calculation-sheet'!B55/10^9</f>
        <v>5.431089559091955</v>
      </c>
      <c r="C66" s="2">
        <f>C11*'Output-Calculation-sheet'!C55/10^9</f>
        <v>3.6094992845566551</v>
      </c>
      <c r="D66" s="2">
        <f>D11*'Output-Calculation-sheet'!D55/10^9</f>
        <v>0.98257425696251799</v>
      </c>
      <c r="E66" s="2">
        <f>E11*'Output-Calculation-sheet'!E55/10^9</f>
        <v>1.2725906133774341</v>
      </c>
      <c r="F66" s="2">
        <f>F11*'Output-Calculation-sheet'!F55/10^9</f>
        <v>0.50082630690300678</v>
      </c>
      <c r="G66" s="2">
        <f>G11*'Output-Calculation-sheet'!G55/10^9</f>
        <v>0.36537299224979558</v>
      </c>
      <c r="H66" s="2">
        <f>H11*'Output-Calculation-sheet'!H55/10^9</f>
        <v>0.91181902012690286</v>
      </c>
      <c r="I66" s="2">
        <f>I11*'Output-Calculation-sheet'!I55/10^9</f>
        <v>0.33965631433481125</v>
      </c>
      <c r="J66" s="2">
        <f>J11*'Output-Calculation-sheet'!J55/10^9</f>
        <v>0.34198574102023566</v>
      </c>
      <c r="K66" s="2">
        <f>K11*'Output-Calculation-sheet'!K55/10^9</f>
        <v>0.38938150439854502</v>
      </c>
      <c r="L66" s="2">
        <f>L11*'Output-Calculation-sheet'!L55/10^9</f>
        <v>0.37750047540021558</v>
      </c>
      <c r="M66" s="2">
        <f>M11*'Output-Calculation-sheet'!M55/10^9</f>
        <v>0.64083727373297306</v>
      </c>
      <c r="N66" s="2">
        <f>N11*'Output-Calculation-sheet'!N55/10^9</f>
        <v>0.55709215008031476</v>
      </c>
      <c r="O66" s="2">
        <f>O11*'Output-Calculation-sheet'!O55/10^9</f>
        <v>0.63516057037467422</v>
      </c>
      <c r="P66" s="2">
        <f>P11*'Output-Calculation-sheet'!P55/10^9</f>
        <v>0.40729026043361677</v>
      </c>
      <c r="Q66" s="2">
        <f>Q11*'Output-Calculation-sheet'!Q55/10^9</f>
        <v>0.41894046937320917</v>
      </c>
      <c r="R66" s="2">
        <f>R11*'Output-Calculation-sheet'!R55/10^9</f>
        <v>0.30996626552208639</v>
      </c>
      <c r="S66" s="2">
        <f>S11*'Output-Calculation-sheet'!S55/10^9</f>
        <v>0.32176407291435144</v>
      </c>
      <c r="T66" s="2">
        <f>T11*'Output-Calculation-sheet'!T55/10^9</f>
        <v>9.711863124769303E-2</v>
      </c>
      <c r="U66" s="2">
        <f>U11*'Output-Calculation-sheet'!U55/10^9</f>
        <v>0.10570080622403306</v>
      </c>
      <c r="V66" s="2">
        <f>V11*'Output-Calculation-sheet'!V55/10^9</f>
        <v>9.1786081011629619E-2</v>
      </c>
      <c r="W66" s="2">
        <f>W11*'Output-Calculation-sheet'!W55/10^9</f>
        <v>4.4966355449282965E-2</v>
      </c>
      <c r="X66" s="2">
        <f>X11*'Output-Calculation-sheet'!X55/10^9</f>
        <v>8.4027838253425038E-2</v>
      </c>
      <c r="Y66" s="2">
        <f>Y11*'Output-Calculation-sheet'!Y55/10^9</f>
        <v>4.3144952207985601E-2</v>
      </c>
      <c r="AA66" s="2">
        <f t="shared" si="4"/>
        <v>18.280091795247344</v>
      </c>
    </row>
    <row r="67" spans="1:27" x14ac:dyDescent="0.25">
      <c r="A67" s="2">
        <v>2035</v>
      </c>
      <c r="B67" s="2">
        <f>B12*'Output-Calculation-sheet'!B56/10^9</f>
        <v>5.95092494690532</v>
      </c>
      <c r="C67" s="2">
        <f>C12*'Output-Calculation-sheet'!C56/10^9</f>
        <v>3.7605406423036287</v>
      </c>
      <c r="D67" s="2">
        <f>D12*'Output-Calculation-sheet'!D56/10^9</f>
        <v>1.1803637388365942</v>
      </c>
      <c r="E67" s="2">
        <f>E12*'Output-Calculation-sheet'!E56/10^9</f>
        <v>1.6142132109822687</v>
      </c>
      <c r="F67" s="2">
        <f>F12*'Output-Calculation-sheet'!F56/10^9</f>
        <v>0.63266428949375797</v>
      </c>
      <c r="G67" s="2">
        <f>G12*'Output-Calculation-sheet'!G56/10^9</f>
        <v>0.46679786680415858</v>
      </c>
      <c r="H67" s="2">
        <f>H12*'Output-Calculation-sheet'!H56/10^9</f>
        <v>0.99260163622374298</v>
      </c>
      <c r="I67" s="2">
        <f>I12*'Output-Calculation-sheet'!I56/10^9</f>
        <v>0.4277018442289916</v>
      </c>
      <c r="J67" s="2">
        <f>J12*'Output-Calculation-sheet'!J56/10^9</f>
        <v>0.39127442349563174</v>
      </c>
      <c r="K67" s="2">
        <f>K12*'Output-Calculation-sheet'!K56/10^9</f>
        <v>0.46879574927670475</v>
      </c>
      <c r="L67" s="2">
        <f>L12*'Output-Calculation-sheet'!L56/10^9</f>
        <v>0.43705823730344651</v>
      </c>
      <c r="M67" s="2">
        <f>M12*'Output-Calculation-sheet'!M56/10^9</f>
        <v>0.70231424979564971</v>
      </c>
      <c r="N67" s="2">
        <f>N12*'Output-Calculation-sheet'!N56/10^9</f>
        <v>0.5998414773660683</v>
      </c>
      <c r="O67" s="2">
        <f>O12*'Output-Calculation-sheet'!O56/10^9</f>
        <v>0.66344962984904543</v>
      </c>
      <c r="P67" s="2">
        <f>P12*'Output-Calculation-sheet'!P56/10^9</f>
        <v>0.48678507364549406</v>
      </c>
      <c r="Q67" s="2">
        <f>Q12*'Output-Calculation-sheet'!Q56/10^9</f>
        <v>0.45984163939622896</v>
      </c>
      <c r="R67" s="2">
        <f>R12*'Output-Calculation-sheet'!R56/10^9</f>
        <v>0.36108615046665643</v>
      </c>
      <c r="S67" s="2">
        <f>S12*'Output-Calculation-sheet'!S56/10^9</f>
        <v>0.34857091124495126</v>
      </c>
      <c r="T67" s="2">
        <f>T12*'Output-Calculation-sheet'!T56/10^9</f>
        <v>0.11228322072629904</v>
      </c>
      <c r="U67" s="2">
        <f>U12*'Output-Calculation-sheet'!U56/10^9</f>
        <v>0.12139421496601771</v>
      </c>
      <c r="V67" s="2">
        <f>V12*'Output-Calculation-sheet'!V56/10^9</f>
        <v>8.6660615164730573E-2</v>
      </c>
      <c r="W67" s="2">
        <f>W12*'Output-Calculation-sheet'!W56/10^9</f>
        <v>5.8765740988611141E-2</v>
      </c>
      <c r="X67" s="2">
        <f>X12*'Output-Calculation-sheet'!X56/10^9</f>
        <v>9.1225702063730346E-2</v>
      </c>
      <c r="Y67" s="2">
        <f>Y12*'Output-Calculation-sheet'!Y56/10^9</f>
        <v>5.4834404667456205E-2</v>
      </c>
      <c r="AA67" s="2">
        <f t="shared" si="4"/>
        <v>20.469989616195186</v>
      </c>
    </row>
    <row r="68" spans="1:27" x14ac:dyDescent="0.25">
      <c r="B68" s="2">
        <f>SUM(B60:B67)</f>
        <v>42.35118023580992</v>
      </c>
      <c r="C68" s="2">
        <f t="shared" ref="C68:Y68" si="5">SUM(C60:C67)</f>
        <v>23.930447126554032</v>
      </c>
      <c r="D68" s="2">
        <f t="shared" si="5"/>
        <v>9.3229475900109229</v>
      </c>
      <c r="E68" s="2">
        <f t="shared" si="5"/>
        <v>11.269165304730205</v>
      </c>
      <c r="F68" s="2">
        <f t="shared" si="5"/>
        <v>4.9701646905444106</v>
      </c>
      <c r="G68" s="2">
        <f t="shared" si="5"/>
        <v>3.7615540721525651</v>
      </c>
      <c r="H68" s="2">
        <f t="shared" si="5"/>
        <v>6.0890443144169364</v>
      </c>
      <c r="I68" s="2">
        <f t="shared" si="5"/>
        <v>3.0805837347441694</v>
      </c>
      <c r="J68" s="2">
        <f t="shared" si="5"/>
        <v>4.0193227943603977</v>
      </c>
      <c r="K68" s="2">
        <f t="shared" si="5"/>
        <v>3.0273935272237469</v>
      </c>
      <c r="L68" s="2">
        <f t="shared" si="5"/>
        <v>3.3957985068542591</v>
      </c>
      <c r="M68" s="2">
        <f t="shared" si="5"/>
        <v>4.4183412921672769</v>
      </c>
      <c r="N68" s="2">
        <f t="shared" si="5"/>
        <v>3.7019455467489202</v>
      </c>
      <c r="O68" s="2">
        <f t="shared" si="5"/>
        <v>4.1755386594286108</v>
      </c>
      <c r="P68" s="2">
        <f t="shared" si="5"/>
        <v>3.1115296704329536</v>
      </c>
      <c r="Q68" s="2">
        <f t="shared" si="5"/>
        <v>2.9276242472576812</v>
      </c>
      <c r="R68" s="2">
        <f t="shared" si="5"/>
        <v>2.5579480099091496</v>
      </c>
      <c r="S68" s="2">
        <f t="shared" si="5"/>
        <v>2.2428584860939171</v>
      </c>
      <c r="T68" s="2">
        <f t="shared" si="5"/>
        <v>0.96693973340283668</v>
      </c>
      <c r="U68" s="2">
        <f t="shared" si="5"/>
        <v>0.83157385630168879</v>
      </c>
      <c r="V68" s="2">
        <f t="shared" si="5"/>
        <v>1.1651457415557724</v>
      </c>
      <c r="W68" s="2">
        <f t="shared" si="5"/>
        <v>0.51102103286597478</v>
      </c>
      <c r="X68" s="2">
        <f t="shared" si="5"/>
        <v>0.59153719741214583</v>
      </c>
      <c r="Y68" s="2">
        <f t="shared" si="5"/>
        <v>0.33896524176683657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1609.6138900981109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381.26858367969623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260.72033807627656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34.754962328128855</v>
      </c>
      <c r="Y73" s="2">
        <f>Y7/'Output-Calculation-sheet'!Y6*'Output-Calculation-sheet'!Y60</f>
        <v>0</v>
      </c>
      <c r="AA73" s="2">
        <f t="shared" si="6"/>
        <v>2.2863577741822128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3377.4452649690147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1129.9886115564725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754.57254013930697</v>
      </c>
      <c r="N74" s="2">
        <f>N8/'Output-Calculation-sheet'!N7*'Output-Calculation-sheet'!N61</f>
        <v>31.54045128396703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93.512804784804345</v>
      </c>
      <c r="Y74" s="2">
        <f>Y8/'Output-Calculation-sheet'!Y7*'Output-Calculation-sheet'!Y61</f>
        <v>0</v>
      </c>
      <c r="AA74" s="2">
        <f t="shared" si="6"/>
        <v>5.3870596727335647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6172.0817562756411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1777.4530398015156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1206.6825117098672</v>
      </c>
      <c r="N75" s="2">
        <f>N9/'Output-Calculation-sheet'!N8*'Output-Calculation-sheet'!N62</f>
        <v>466.10947638214822</v>
      </c>
      <c r="O75" s="2">
        <f>O9/'Output-Calculation-sheet'!O8*'Output-Calculation-sheet'!O62</f>
        <v>0</v>
      </c>
      <c r="P75" s="2">
        <f>P9/'Output-Calculation-sheet'!P8*'Output-Calculation-sheet'!P62</f>
        <v>31.205294708677982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156.18205194084553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145.68928148359277</v>
      </c>
      <c r="Y75" s="2">
        <f>Y9/'Output-Calculation-sheet'!Y8*'Output-Calculation-sheet'!Y62</f>
        <v>0</v>
      </c>
      <c r="AA75" s="2">
        <f t="shared" si="6"/>
        <v>9.955403412302287</v>
      </c>
    </row>
    <row r="76" spans="1:27" x14ac:dyDescent="0.25">
      <c r="A76" s="2">
        <v>2033</v>
      </c>
      <c r="B76" s="2">
        <f>B10/'Output-Calculation-sheet'!B9*'Output-Calculation-sheet'!B63</f>
        <v>3741.8213760034823</v>
      </c>
      <c r="C76" s="2">
        <f>C10/'Output-Calculation-sheet'!C9*'Output-Calculation-sheet'!C63</f>
        <v>7642.5097089415594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2436.7059030678702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63.866080268989428</v>
      </c>
      <c r="L76" s="2">
        <f>L10/'Output-Calculation-sheet'!L9*'Output-Calculation-sheet'!L63</f>
        <v>0</v>
      </c>
      <c r="M76" s="2">
        <f>M10/'Output-Calculation-sheet'!M9*'Output-Calculation-sheet'!M63</f>
        <v>1659.1495748816442</v>
      </c>
      <c r="N76" s="2">
        <f>N10/'Output-Calculation-sheet'!N9*'Output-Calculation-sheet'!N63</f>
        <v>947.77970048471434</v>
      </c>
      <c r="O76" s="2">
        <f>O10/'Output-Calculation-sheet'!O9*'Output-Calculation-sheet'!O63</f>
        <v>0</v>
      </c>
      <c r="P76" s="2">
        <f>P10/'Output-Calculation-sheet'!P9*'Output-Calculation-sheet'!P63</f>
        <v>329.11747070854528</v>
      </c>
      <c r="Q76" s="2">
        <f>Q10/'Output-Calculation-sheet'!Q9*'Output-Calculation-sheet'!Q63</f>
        <v>148.44520556465179</v>
      </c>
      <c r="R76" s="2">
        <f>R10/'Output-Calculation-sheet'!R9*'Output-Calculation-sheet'!R63</f>
        <v>250.84013176425009</v>
      </c>
      <c r="S76" s="2">
        <f>S10/'Output-Calculation-sheet'!S9*'Output-Calculation-sheet'!S63</f>
        <v>421.45551171772934</v>
      </c>
      <c r="T76" s="2">
        <f>T10/'Output-Calculation-sheet'!T9*'Output-Calculation-sheet'!T63</f>
        <v>17.060622819520564</v>
      </c>
      <c r="U76" s="2">
        <f>U10/'Output-Calculation-sheet'!U9*'Output-Calculation-sheet'!U63</f>
        <v>88.638246540103708</v>
      </c>
      <c r="V76" s="2">
        <f>V10/'Output-Calculation-sheet'!V9*'Output-Calculation-sheet'!V63</f>
        <v>6.8017016083683375</v>
      </c>
      <c r="W76" s="2">
        <f>W10/'Output-Calculation-sheet'!W9*'Output-Calculation-sheet'!W63</f>
        <v>0</v>
      </c>
      <c r="X76" s="2">
        <f>X10/'Output-Calculation-sheet'!X9*'Output-Calculation-sheet'!X63</f>
        <v>195.37665186355832</v>
      </c>
      <c r="Y76" s="2">
        <f>Y10/'Output-Calculation-sheet'!Y9*'Output-Calculation-sheet'!Y63</f>
        <v>3.7065455842437656</v>
      </c>
      <c r="AA76" s="2">
        <f t="shared" si="6"/>
        <v>17.953274431819228</v>
      </c>
    </row>
    <row r="77" spans="1:27" x14ac:dyDescent="0.25">
      <c r="A77" s="2">
        <v>2034</v>
      </c>
      <c r="B77" s="2">
        <f>B11/'Output-Calculation-sheet'!B10*'Output-Calculation-sheet'!B64</f>
        <v>9049.794586030961</v>
      </c>
      <c r="C77" s="2">
        <f>C11/'Output-Calculation-sheet'!C10*'Output-Calculation-sheet'!C64</f>
        <v>7949.883608365194</v>
      </c>
      <c r="D77" s="2">
        <f>D11/'Output-Calculation-sheet'!D10*'Output-Calculation-sheet'!D64</f>
        <v>1115.4304582896521</v>
      </c>
      <c r="E77" s="2">
        <f>E11/'Output-Calculation-sheet'!E10*'Output-Calculation-sheet'!E64</f>
        <v>1378.2845336976056</v>
      </c>
      <c r="F77" s="2">
        <f>F11/'Output-Calculation-sheet'!F10*'Output-Calculation-sheet'!F64</f>
        <v>85.818226420767516</v>
      </c>
      <c r="G77" s="2">
        <f>G11/'Output-Calculation-sheet'!G10*'Output-Calculation-sheet'!G64</f>
        <v>588.95028727157307</v>
      </c>
      <c r="H77" s="2">
        <f>H11/'Output-Calculation-sheet'!H10*'Output-Calculation-sheet'!H64</f>
        <v>2917.9416779909961</v>
      </c>
      <c r="I77" s="2">
        <f>I11/'Output-Calculation-sheet'!I10*'Output-Calculation-sheet'!I64</f>
        <v>347.44596910450099</v>
      </c>
      <c r="J77" s="2">
        <f>J11/'Output-Calculation-sheet'!J10*'Output-Calculation-sheet'!J64</f>
        <v>247.67558289623182</v>
      </c>
      <c r="K77" s="2">
        <f>K11/'Output-Calculation-sheet'!K10*'Output-Calculation-sheet'!K64</f>
        <v>525.12732018327972</v>
      </c>
      <c r="L77" s="2">
        <f>L11/'Output-Calculation-sheet'!L10*'Output-Calculation-sheet'!L64</f>
        <v>228.00830606751867</v>
      </c>
      <c r="M77" s="2">
        <f>M11/'Output-Calculation-sheet'!M10*'Output-Calculation-sheet'!M64</f>
        <v>2075.3885247759335</v>
      </c>
      <c r="N77" s="2">
        <f>N11/'Output-Calculation-sheet'!N10*'Output-Calculation-sheet'!N64</f>
        <v>1476.5879652399819</v>
      </c>
      <c r="O77" s="2">
        <f>O11/'Output-Calculation-sheet'!O10*'Output-Calculation-sheet'!O64</f>
        <v>51.482063366630292</v>
      </c>
      <c r="P77" s="2">
        <f>P11/'Output-Calculation-sheet'!P10*'Output-Calculation-sheet'!P64</f>
        <v>651.71118913384669</v>
      </c>
      <c r="Q77" s="2">
        <f>Q11/'Output-Calculation-sheet'!Q10*'Output-Calculation-sheet'!Q64</f>
        <v>371.880175291829</v>
      </c>
      <c r="R77" s="2">
        <f>R11/'Output-Calculation-sheet'!R10*'Output-Calculation-sheet'!R64</f>
        <v>557.69451129818674</v>
      </c>
      <c r="S77" s="2">
        <f>S11/'Output-Calculation-sheet'!S10*'Output-Calculation-sheet'!S64</f>
        <v>745.66883920500618</v>
      </c>
      <c r="T77" s="2">
        <f>T11/'Output-Calculation-sheet'!T10*'Output-Calculation-sheet'!T64</f>
        <v>153.43024970473786</v>
      </c>
      <c r="U77" s="2">
        <f>U11/'Output-Calculation-sheet'!U10*'Output-Calculation-sheet'!U64</f>
        <v>203.92671346857077</v>
      </c>
      <c r="V77" s="2">
        <f>V11/'Output-Calculation-sheet'!V10*'Output-Calculation-sheet'!V64</f>
        <v>81.291378696670193</v>
      </c>
      <c r="W77" s="2">
        <f>W11/'Output-Calculation-sheet'!W10*'Output-Calculation-sheet'!W64</f>
        <v>17.17569113473127</v>
      </c>
      <c r="X77" s="2">
        <f>X11/'Output-Calculation-sheet'!X10*'Output-Calculation-sheet'!X64</f>
        <v>210.88150484730642</v>
      </c>
      <c r="Y77" s="2">
        <f>Y11/'Output-Calculation-sheet'!Y10*'Output-Calculation-sheet'!Y64</f>
        <v>51.060004492075613</v>
      </c>
      <c r="AA77" s="2">
        <f t="shared" si="6"/>
        <v>31.082539366973794</v>
      </c>
    </row>
    <row r="78" spans="1:27" x14ac:dyDescent="0.25">
      <c r="A78" s="2">
        <v>2035</v>
      </c>
      <c r="B78" s="2">
        <f>B12/'Output-Calculation-sheet'!B11*'Output-Calculation-sheet'!B65</f>
        <v>11516.694241090861</v>
      </c>
      <c r="C78" s="2">
        <f>C12/'Output-Calculation-sheet'!C11*'Output-Calculation-sheet'!C65</f>
        <v>8132.8452032588784</v>
      </c>
      <c r="D78" s="2">
        <f>D12/'Output-Calculation-sheet'!D11*'Output-Calculation-sheet'!D65</f>
        <v>1222.681374717198</v>
      </c>
      <c r="E78" s="2">
        <f>E12/'Output-Calculation-sheet'!E11*'Output-Calculation-sheet'!E65</f>
        <v>2324.2847891268839</v>
      </c>
      <c r="F78" s="2">
        <f>F12/'Output-Calculation-sheet'!F11*'Output-Calculation-sheet'!F65</f>
        <v>492.32531702149009</v>
      </c>
      <c r="G78" s="2">
        <f>G12/'Output-Calculation-sheet'!G11*'Output-Calculation-sheet'!G65</f>
        <v>923.78989420637981</v>
      </c>
      <c r="H78" s="2">
        <f>H12/'Output-Calculation-sheet'!H11*'Output-Calculation-sheet'!H65</f>
        <v>2974.2390805162349</v>
      </c>
      <c r="I78" s="2">
        <f>I12/'Output-Calculation-sheet'!I11*'Output-Calculation-sheet'!I65</f>
        <v>543.21768065132483</v>
      </c>
      <c r="J78" s="2">
        <f>J12/'Output-Calculation-sheet'!J11*'Output-Calculation-sheet'!J65</f>
        <v>487.17481895118578</v>
      </c>
      <c r="K78" s="2">
        <f>K12/'Output-Calculation-sheet'!K11*'Output-Calculation-sheet'!K65</f>
        <v>614.79102980338439</v>
      </c>
      <c r="L78" s="2">
        <f>L12/'Output-Calculation-sheet'!L11*'Output-Calculation-sheet'!L65</f>
        <v>365.54671310481018</v>
      </c>
      <c r="M78" s="2">
        <f>M12/'Output-Calculation-sheet'!M11*'Output-Calculation-sheet'!M65</f>
        <v>2117.1524139121798</v>
      </c>
      <c r="N78" s="2">
        <f>N12/'Output-Calculation-sheet'!N11*'Output-Calculation-sheet'!N65</f>
        <v>1488.7000437141655</v>
      </c>
      <c r="O78" s="2">
        <f>O12/'Output-Calculation-sheet'!O11*'Output-Calculation-sheet'!O65</f>
        <v>208.6965068598289</v>
      </c>
      <c r="P78" s="2">
        <f>P12/'Output-Calculation-sheet'!P11*'Output-Calculation-sheet'!P65</f>
        <v>846.31025445049022</v>
      </c>
      <c r="Q78" s="2">
        <f>Q12/'Output-Calculation-sheet'!Q11*'Output-Calculation-sheet'!Q65</f>
        <v>425.68566172809926</v>
      </c>
      <c r="R78" s="2">
        <f>R12/'Output-Calculation-sheet'!R11*'Output-Calculation-sheet'!R65</f>
        <v>701.65877106016467</v>
      </c>
      <c r="S78" s="2">
        <f>S12/'Output-Calculation-sheet'!S11*'Output-Calculation-sheet'!S65</f>
        <v>791.57938704207277</v>
      </c>
      <c r="T78" s="2">
        <f>T12/'Output-Calculation-sheet'!T11*'Output-Calculation-sheet'!T65</f>
        <v>252.30016473943616</v>
      </c>
      <c r="U78" s="2">
        <f>U12/'Output-Calculation-sheet'!U11*'Output-Calculation-sheet'!U65</f>
        <v>216.17453437561977</v>
      </c>
      <c r="V78" s="2">
        <f>V12/'Output-Calculation-sheet'!V11*'Output-Calculation-sheet'!V65</f>
        <v>136.16111953602902</v>
      </c>
      <c r="W78" s="2">
        <f>W12/'Output-Calculation-sheet'!W11*'Output-Calculation-sheet'!W65</f>
        <v>95.902620308636344</v>
      </c>
      <c r="X78" s="2">
        <f>X12/'Output-Calculation-sheet'!X11*'Output-Calculation-sheet'!X65</f>
        <v>218.20933680807246</v>
      </c>
      <c r="Y78" s="2">
        <f>Y12/'Output-Calculation-sheet'!Y11*'Output-Calculation-sheet'!Y65</f>
        <v>93.610471817849429</v>
      </c>
      <c r="AA78" s="2">
        <f t="shared" si="6"/>
        <v>37.189731428801281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64.117825450052223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74.738211416306996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0.13885603686635919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206.68956376539194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147.23214667159391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0.35392171043698584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138.20620388673245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214.7979788278659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0.35300418271459838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275.83317244528672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267.93482432725614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0.54376799677254284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551.21875615945316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21.210287543911523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14.594753375686063</v>
      </c>
      <c r="N88" s="2">
        <f>N11/'Output-Calculation-sheet'!N10*'Output-Calculation-sheet'!N73</f>
        <v>0</v>
      </c>
      <c r="O88" s="2">
        <f>O11/'Output-Calculation-sheet'!O10*'Output-Calculation-sheet'!O73</f>
        <v>307.87505393460651</v>
      </c>
      <c r="P88" s="2">
        <f>P11/'Output-Calculation-sheet'!P10*'Output-Calculation-sheet'!P73</f>
        <v>0</v>
      </c>
      <c r="Q88" s="2">
        <f>Q11/'Output-Calculation-sheet'!Q10*'Output-Calculation-sheet'!Q73</f>
        <v>12.56776530219091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1.6010804243144621</v>
      </c>
      <c r="Y88" s="2">
        <f>Y11/'Output-Calculation-sheet'!Y10*'Output-Calculation-sheet'!Y73</f>
        <v>0</v>
      </c>
      <c r="AA88" s="2">
        <f t="shared" si="7"/>
        <v>0.90906769674016252</v>
      </c>
    </row>
    <row r="89" spans="1:27" x14ac:dyDescent="0.25">
      <c r="A89" s="2">
        <v>2035</v>
      </c>
      <c r="B89" s="2">
        <f>B12/'Output-Calculation-sheet'!B11*'Output-Calculation-sheet'!B74</f>
        <v>290.30511560310708</v>
      </c>
      <c r="C89" s="2">
        <f>C12/'Output-Calculation-sheet'!C11*'Output-Calculation-sheet'!C74</f>
        <v>895.60433746741171</v>
      </c>
      <c r="D89" s="2">
        <f>D12/'Output-Calculation-sheet'!D11*'Output-Calculation-sheet'!D74</f>
        <v>122.05454202317922</v>
      </c>
      <c r="E89" s="2">
        <f>E12/'Output-Calculation-sheet'!E11*'Output-Calculation-sheet'!E74</f>
        <v>97.000805004982311</v>
      </c>
      <c r="F89" s="2">
        <f>F12/'Output-Calculation-sheet'!F11*'Output-Calculation-sheet'!F74</f>
        <v>30.503427324751552</v>
      </c>
      <c r="G89" s="2">
        <f>G12/'Output-Calculation-sheet'!G11*'Output-Calculation-sheet'!G74</f>
        <v>43.783586625260902</v>
      </c>
      <c r="H89" s="2">
        <f>H12/'Output-Calculation-sheet'!H11*'Output-Calculation-sheet'!H74</f>
        <v>106.03650302027276</v>
      </c>
      <c r="I89" s="2">
        <f>I12/'Output-Calculation-sheet'!I11*'Output-Calculation-sheet'!I74</f>
        <v>39.38072210028453</v>
      </c>
      <c r="J89" s="2">
        <f>J12/'Output-Calculation-sheet'!J11*'Output-Calculation-sheet'!J74</f>
        <v>19.486992758047432</v>
      </c>
      <c r="K89" s="2">
        <f>K12/'Output-Calculation-sheet'!K11*'Output-Calculation-sheet'!K74</f>
        <v>38.705050982333439</v>
      </c>
      <c r="L89" s="2">
        <f>L12/'Output-Calculation-sheet'!L11*'Output-Calculation-sheet'!L74</f>
        <v>30.776401861065899</v>
      </c>
      <c r="M89" s="2">
        <f>M12/'Output-Calculation-sheet'!M11*'Output-Calculation-sheet'!M74</f>
        <v>58.370792275102666</v>
      </c>
      <c r="N89" s="2">
        <f>N12/'Output-Calculation-sheet'!N11*'Output-Calculation-sheet'!N74</f>
        <v>43.026841857670632</v>
      </c>
      <c r="O89" s="2">
        <f>O12/'Output-Calculation-sheet'!O11*'Output-Calculation-sheet'!O74</f>
        <v>347.98365794622913</v>
      </c>
      <c r="P89" s="2">
        <f>P12/'Output-Calculation-sheet'!P11*'Output-Calculation-sheet'!P74</f>
        <v>26.499366078544952</v>
      </c>
      <c r="Q89" s="2">
        <f>Q12/'Output-Calculation-sheet'!Q11*'Output-Calculation-sheet'!Q74</f>
        <v>37.697986337947157</v>
      </c>
      <c r="R89" s="2">
        <f>R12/'Output-Calculation-sheet'!R11*'Output-Calculation-sheet'!R74</f>
        <v>24.923055129476953</v>
      </c>
      <c r="S89" s="2">
        <f>S12/'Output-Calculation-sheet'!S11*'Output-Calculation-sheet'!S74</f>
        <v>24.664404157851088</v>
      </c>
      <c r="T89" s="2">
        <f>T12/'Output-Calculation-sheet'!T11*'Output-Calculation-sheet'!T74</f>
        <v>4.6103273593318619</v>
      </c>
      <c r="U89" s="2">
        <f>U12/'Output-Calculation-sheet'!U11*'Output-Calculation-sheet'!U74</f>
        <v>8.0186406905159604</v>
      </c>
      <c r="V89" s="2">
        <f>V12/'Output-Calculation-sheet'!V11*'Output-Calculation-sheet'!V74</f>
        <v>3.0915496114258572</v>
      </c>
      <c r="W89" s="2">
        <f>W12/'Output-Calculation-sheet'!W11*'Output-Calculation-sheet'!W74</f>
        <v>2.6770494726618006</v>
      </c>
      <c r="X89" s="2">
        <f>X12/'Output-Calculation-sheet'!X11*'Output-Calculation-sheet'!X74</f>
        <v>9.6051297124778792</v>
      </c>
      <c r="Y89" s="2">
        <f>Y12/'Output-Calculation-sheet'!Y11*'Output-Calculation-sheet'!Y74</f>
        <v>3.0897094419621891</v>
      </c>
      <c r="AA89" s="2">
        <f t="shared" si="7"/>
        <v>2.307895994841894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1512185079.9993777</v>
      </c>
      <c r="C93" s="2">
        <f>C5/'Output-Calculation-sheet'!C4*'Output-Calculation-sheet'!C76</f>
        <v>500978386.9022913</v>
      </c>
      <c r="D93" s="2">
        <f>D5/'Output-Calculation-sheet'!D4*'Output-Calculation-sheet'!D76</f>
        <v>554538331.66197765</v>
      </c>
      <c r="E93" s="2">
        <f>E5/'Output-Calculation-sheet'!E4*'Output-Calculation-sheet'!E76</f>
        <v>927913225.91342366</v>
      </c>
      <c r="F93" s="2">
        <f>F5/'Output-Calculation-sheet'!F4*'Output-Calculation-sheet'!F76</f>
        <v>398703998.22793609</v>
      </c>
      <c r="G93" s="2">
        <f>G5/'Output-Calculation-sheet'!G4*'Output-Calculation-sheet'!G76</f>
        <v>310093352.02917457</v>
      </c>
      <c r="H93" s="2">
        <f>H5/'Output-Calculation-sheet'!H4*'Output-Calculation-sheet'!H76</f>
        <v>262303762.71750346</v>
      </c>
      <c r="I93" s="2">
        <f>I5/'Output-Calculation-sheet'!I4*'Output-Calculation-sheet'!I76</f>
        <v>215239449.63515487</v>
      </c>
      <c r="J93" s="2">
        <f>J5/'Output-Calculation-sheet'!J4*'Output-Calculation-sheet'!J76</f>
        <v>146059043.26117927</v>
      </c>
      <c r="K93" s="2">
        <f>K5/'Output-Calculation-sheet'!K4*'Output-Calculation-sheet'!K76</f>
        <v>213473907.97107509</v>
      </c>
      <c r="L93" s="2">
        <f>L5/'Output-Calculation-sheet'!L4*'Output-Calculation-sheet'!L76</f>
        <v>142495387.16887274</v>
      </c>
      <c r="M93" s="2">
        <f>M5/'Output-Calculation-sheet'!M4*'Output-Calculation-sheet'!M76</f>
        <v>191630472.05834448</v>
      </c>
      <c r="N93" s="2">
        <f>N5/'Output-Calculation-sheet'!N4*'Output-Calculation-sheet'!N76</f>
        <v>144703477.33169055</v>
      </c>
      <c r="O93" s="2">
        <f>O5/'Output-Calculation-sheet'!O4*'Output-Calculation-sheet'!O76</f>
        <v>70627991.05585213</v>
      </c>
      <c r="P93" s="2">
        <f>P5/'Output-Calculation-sheet'!P4*'Output-Calculation-sheet'!P76</f>
        <v>250721176.69381493</v>
      </c>
      <c r="Q93" s="2">
        <f>Q5/'Output-Calculation-sheet'!Q4*'Output-Calculation-sheet'!Q76</f>
        <v>115105163.44663581</v>
      </c>
      <c r="R93" s="2">
        <f>R5/'Output-Calculation-sheet'!R4*'Output-Calculation-sheet'!R76</f>
        <v>144028120.15889674</v>
      </c>
      <c r="S93" s="2">
        <f>S5/'Output-Calculation-sheet'!S4*'Output-Calculation-sheet'!S76</f>
        <v>84852108.183889881</v>
      </c>
      <c r="T93" s="2">
        <f>T5/'Output-Calculation-sheet'!T4*'Output-Calculation-sheet'!T76</f>
        <v>65248494.441724457</v>
      </c>
      <c r="U93" s="2">
        <f>U5/'Output-Calculation-sheet'!U4*'Output-Calculation-sheet'!U76</f>
        <v>42300235.706169784</v>
      </c>
      <c r="V93" s="2">
        <f>V5/'Output-Calculation-sheet'!V4*'Output-Calculation-sheet'!V76</f>
        <v>21681791.263111036</v>
      </c>
      <c r="W93" s="2">
        <f>W5/'Output-Calculation-sheet'!W4*'Output-Calculation-sheet'!W76</f>
        <v>60733590.845468201</v>
      </c>
      <c r="X93" s="2">
        <f>X5/'Output-Calculation-sheet'!X4*'Output-Calculation-sheet'!X76</f>
        <v>21079076.052219581</v>
      </c>
      <c r="Y93" s="2">
        <f>Y5/'Output-Calculation-sheet'!Y4*'Output-Calculation-sheet'!Y76</f>
        <v>33201965.560764529</v>
      </c>
      <c r="AA93" s="2">
        <f t="shared" ref="AA93:AA100" si="8">SUM(B93:Y93)/10^9</f>
        <v>6.4298975882865506</v>
      </c>
    </row>
    <row r="94" spans="1:27" x14ac:dyDescent="0.25">
      <c r="A94" s="2">
        <v>2029</v>
      </c>
      <c r="B94" s="2">
        <f>B6/'Output-Calculation-sheet'!B5*'Output-Calculation-sheet'!B77</f>
        <v>3727707946.5696206</v>
      </c>
      <c r="C94" s="2">
        <f>C6/'Output-Calculation-sheet'!C5*'Output-Calculation-sheet'!C77</f>
        <v>1243357195.2352567</v>
      </c>
      <c r="D94" s="2">
        <f>D6/'Output-Calculation-sheet'!D5*'Output-Calculation-sheet'!D77</f>
        <v>1368019957.3684998</v>
      </c>
      <c r="E94" s="2">
        <f>E6/'Output-Calculation-sheet'!E5*'Output-Calculation-sheet'!E77</f>
        <v>2326692524.2435932</v>
      </c>
      <c r="F94" s="2">
        <f>F6/'Output-Calculation-sheet'!F5*'Output-Calculation-sheet'!F77</f>
        <v>982371050.97501707</v>
      </c>
      <c r="G94" s="2">
        <f>G6/'Output-Calculation-sheet'!G5*'Output-Calculation-sheet'!G77</f>
        <v>774684443.43810356</v>
      </c>
      <c r="H94" s="2">
        <f>H6/'Output-Calculation-sheet'!H5*'Output-Calculation-sheet'!H77</f>
        <v>651114864.57237291</v>
      </c>
      <c r="I94" s="2">
        <f>I6/'Output-Calculation-sheet'!I5*'Output-Calculation-sheet'!I77</f>
        <v>529052918.18320042</v>
      </c>
      <c r="J94" s="2">
        <f>J6/'Output-Calculation-sheet'!J5*'Output-Calculation-sheet'!J77</f>
        <v>363455317.68464047</v>
      </c>
      <c r="K94" s="2">
        <f>K6/'Output-Calculation-sheet'!K5*'Output-Calculation-sheet'!K77</f>
        <v>523663719.7126084</v>
      </c>
      <c r="L94" s="2">
        <f>L6/'Output-Calculation-sheet'!L5*'Output-Calculation-sheet'!L77</f>
        <v>353910318.84799778</v>
      </c>
      <c r="M94" s="2">
        <f>M6/'Output-Calculation-sheet'!M5*'Output-Calculation-sheet'!M77</f>
        <v>479904049.89874363</v>
      </c>
      <c r="N94" s="2">
        <f>N6/'Output-Calculation-sheet'!N5*'Output-Calculation-sheet'!N77</f>
        <v>363050410.7119475</v>
      </c>
      <c r="O94" s="2">
        <f>O6/'Output-Calculation-sheet'!O5*'Output-Calculation-sheet'!O77</f>
        <v>178309909.86506093</v>
      </c>
      <c r="P94" s="2">
        <f>P6/'Output-Calculation-sheet'!P5*'Output-Calculation-sheet'!P77</f>
        <v>620880339.56339359</v>
      </c>
      <c r="Q94" s="2">
        <f>Q6/'Output-Calculation-sheet'!Q5*'Output-Calculation-sheet'!Q77</f>
        <v>286822794.51741165</v>
      </c>
      <c r="R94" s="2">
        <f>R6/'Output-Calculation-sheet'!R5*'Output-Calculation-sheet'!R77</f>
        <v>356105538.81639683</v>
      </c>
      <c r="S94" s="2">
        <f>S6/'Output-Calculation-sheet'!S5*'Output-Calculation-sheet'!S77</f>
        <v>209091724.44197592</v>
      </c>
      <c r="T94" s="2">
        <f>T6/'Output-Calculation-sheet'!T5*'Output-Calculation-sheet'!T77</f>
        <v>161293702.68131304</v>
      </c>
      <c r="U94" s="2">
        <f>U6/'Output-Calculation-sheet'!U5*'Output-Calculation-sheet'!U77</f>
        <v>102101534.50405879</v>
      </c>
      <c r="V94" s="2">
        <f>V6/'Output-Calculation-sheet'!V5*'Output-Calculation-sheet'!V77</f>
        <v>52370482.204133481</v>
      </c>
      <c r="W94" s="2">
        <f>W6/'Output-Calculation-sheet'!W5*'Output-Calculation-sheet'!W77</f>
        <v>151963895.97324616</v>
      </c>
      <c r="X94" s="2">
        <f>X6/'Output-Calculation-sheet'!X5*'Output-Calculation-sheet'!X77</f>
        <v>52552217.668047063</v>
      </c>
      <c r="Y94" s="2">
        <f>Y6/'Output-Calculation-sheet'!Y5*'Output-Calculation-sheet'!Y77</f>
        <v>83322447.603265926</v>
      </c>
      <c r="AA94" s="2">
        <f t="shared" si="8"/>
        <v>15.941799305279906</v>
      </c>
    </row>
    <row r="95" spans="1:27" x14ac:dyDescent="0.25">
      <c r="A95" s="2">
        <v>2030</v>
      </c>
      <c r="B95" s="2">
        <f>B7/'Output-Calculation-sheet'!B6*'Output-Calculation-sheet'!B78</f>
        <v>6352098713.1286945</v>
      </c>
      <c r="C95" s="2">
        <f>C7/'Output-Calculation-sheet'!C6*'Output-Calculation-sheet'!C78</f>
        <v>2132900622.4783857</v>
      </c>
      <c r="D95" s="2">
        <f>D7/'Output-Calculation-sheet'!D6*'Output-Calculation-sheet'!D78</f>
        <v>2334976136.0426636</v>
      </c>
      <c r="E95" s="2">
        <f>E7/'Output-Calculation-sheet'!E6*'Output-Calculation-sheet'!E78</f>
        <v>4036587477.7192836</v>
      </c>
      <c r="F95" s="2">
        <f>F7/'Output-Calculation-sheet'!F6*'Output-Calculation-sheet'!F78</f>
        <v>1673644819.3962274</v>
      </c>
      <c r="G95" s="2">
        <f>G7/'Output-Calculation-sheet'!G6*'Output-Calculation-sheet'!G78</f>
        <v>1338978312.0530484</v>
      </c>
      <c r="H95" s="2">
        <f>H7/'Output-Calculation-sheet'!H6*'Output-Calculation-sheet'!H78</f>
        <v>1117490382.9921544</v>
      </c>
      <c r="I95" s="2">
        <f>I7/'Output-Calculation-sheet'!I6*'Output-Calculation-sheet'!I78</f>
        <v>899338186.38511896</v>
      </c>
      <c r="J95" s="2">
        <f>J7/'Output-Calculation-sheet'!J6*'Output-Calculation-sheet'!J78</f>
        <v>625808907.93892527</v>
      </c>
      <c r="K95" s="2">
        <f>K7/'Output-Calculation-sheet'!K6*'Output-Calculation-sheet'!K78</f>
        <v>888317025.54461288</v>
      </c>
      <c r="L95" s="2">
        <f>L7/'Output-Calculation-sheet'!L6*'Output-Calculation-sheet'!L78</f>
        <v>607939899.38440168</v>
      </c>
      <c r="M95" s="2">
        <f>M7/'Output-Calculation-sheet'!M6*'Output-Calculation-sheet'!M78</f>
        <v>831443364.78224981</v>
      </c>
      <c r="N95" s="2">
        <f>N7/'Output-Calculation-sheet'!N6*'Output-Calculation-sheet'!N78</f>
        <v>630245389.73211181</v>
      </c>
      <c r="O95" s="2">
        <f>O7/'Output-Calculation-sheet'!O6*'Output-Calculation-sheet'!O78</f>
        <v>311397380.68447161</v>
      </c>
      <c r="P95" s="2">
        <f>P7/'Output-Calculation-sheet'!P6*'Output-Calculation-sheet'!P78</f>
        <v>1062896292.2001245</v>
      </c>
      <c r="Q95" s="2">
        <f>Q7/'Output-Calculation-sheet'!Q6*'Output-Calculation-sheet'!Q78</f>
        <v>494450509.10767478</v>
      </c>
      <c r="R95" s="2">
        <f>R7/'Output-Calculation-sheet'!R6*'Output-Calculation-sheet'!R78</f>
        <v>608772063.27317905</v>
      </c>
      <c r="S95" s="2">
        <f>S7/'Output-Calculation-sheet'!S6*'Output-Calculation-sheet'!S78</f>
        <v>356202015.19922531</v>
      </c>
      <c r="T95" s="2">
        <f>T7/'Output-Calculation-sheet'!T6*'Output-Calculation-sheet'!T78</f>
        <v>275730143.09130037</v>
      </c>
      <c r="U95" s="2">
        <f>U7/'Output-Calculation-sheet'!U6*'Output-Calculation-sheet'!U78</f>
        <v>170216074.69786829</v>
      </c>
      <c r="V95" s="2">
        <f>V7/'Output-Calculation-sheet'!V6*'Output-Calculation-sheet'!V78</f>
        <v>87357768.346902832</v>
      </c>
      <c r="W95" s="2">
        <f>W7/'Output-Calculation-sheet'!W6*'Output-Calculation-sheet'!W78</f>
        <v>263069396.70700568</v>
      </c>
      <c r="X95" s="2">
        <f>X7/'Output-Calculation-sheet'!X6*'Output-Calculation-sheet'!X78</f>
        <v>90645968.683765665</v>
      </c>
      <c r="Y95" s="2">
        <f>Y7/'Output-Calculation-sheet'!Y6*'Output-Calculation-sheet'!Y78</f>
        <v>144676997.33239493</v>
      </c>
      <c r="AA95" s="2">
        <f t="shared" si="8"/>
        <v>27.335183846901788</v>
      </c>
    </row>
    <row r="96" spans="1:27" x14ac:dyDescent="0.25">
      <c r="A96" s="2">
        <v>2031</v>
      </c>
      <c r="B96" s="2">
        <f>B8/'Output-Calculation-sheet'!B7*'Output-Calculation-sheet'!B79</f>
        <v>9089901200.707077</v>
      </c>
      <c r="C96" s="2">
        <f>C8/'Output-Calculation-sheet'!C7*'Output-Calculation-sheet'!C79</f>
        <v>3075154888.3100033</v>
      </c>
      <c r="D96" s="2">
        <f>D8/'Output-Calculation-sheet'!D7*'Output-Calculation-sheet'!D79</f>
        <v>3210259180.7717209</v>
      </c>
      <c r="E96" s="2">
        <f>E8/'Output-Calculation-sheet'!E7*'Output-Calculation-sheet'!E79</f>
        <v>5707567486.1438093</v>
      </c>
      <c r="F96" s="2">
        <f>F8/'Output-Calculation-sheet'!F7*'Output-Calculation-sheet'!F79</f>
        <v>2362305939.015861</v>
      </c>
      <c r="G96" s="2">
        <f>G8/'Output-Calculation-sheet'!G7*'Output-Calculation-sheet'!G79</f>
        <v>1840042080.0305898</v>
      </c>
      <c r="H96" s="2">
        <f>H8/'Output-Calculation-sheet'!H7*'Output-Calculation-sheet'!H79</f>
        <v>1574972103.5748422</v>
      </c>
      <c r="I96" s="2">
        <f>I8/'Output-Calculation-sheet'!I7*'Output-Calculation-sheet'!I79</f>
        <v>1281784928.6755536</v>
      </c>
      <c r="J96" s="2">
        <f>J8/'Output-Calculation-sheet'!J7*'Output-Calculation-sheet'!J79</f>
        <v>866776076.58176303</v>
      </c>
      <c r="K96" s="2">
        <f>K8/'Output-Calculation-sheet'!K7*'Output-Calculation-sheet'!K79</f>
        <v>1240098002.0053749</v>
      </c>
      <c r="L96" s="2">
        <f>L8/'Output-Calculation-sheet'!L7*'Output-Calculation-sheet'!L79</f>
        <v>875012071.16966081</v>
      </c>
      <c r="M96" s="2">
        <f>M8/'Output-Calculation-sheet'!M7*'Output-Calculation-sheet'!M79</f>
        <v>1175686215.1188698</v>
      </c>
      <c r="N96" s="2">
        <f>N8/'Output-Calculation-sheet'!N7*'Output-Calculation-sheet'!N79</f>
        <v>874804178.26915407</v>
      </c>
      <c r="O96" s="2">
        <f>O8/'Output-Calculation-sheet'!O7*'Output-Calculation-sheet'!O79</f>
        <v>442243474.3633697</v>
      </c>
      <c r="P96" s="2">
        <f>P8/'Output-Calculation-sheet'!P7*'Output-Calculation-sheet'!P79</f>
        <v>1479211667.9777641</v>
      </c>
      <c r="Q96" s="2">
        <f>Q8/'Output-Calculation-sheet'!Q7*'Output-Calculation-sheet'!Q79</f>
        <v>689375906.86181653</v>
      </c>
      <c r="R96" s="2">
        <f>R8/'Output-Calculation-sheet'!R7*'Output-Calculation-sheet'!R79</f>
        <v>860078392.55341554</v>
      </c>
      <c r="S96" s="2">
        <f>S8/'Output-Calculation-sheet'!S7*'Output-Calculation-sheet'!S79</f>
        <v>501153748.93856186</v>
      </c>
      <c r="T96" s="2">
        <f>T8/'Output-Calculation-sheet'!T7*'Output-Calculation-sheet'!T79</f>
        <v>382766092.02208257</v>
      </c>
      <c r="U96" s="2">
        <f>U8/'Output-Calculation-sheet'!U7*'Output-Calculation-sheet'!U79</f>
        <v>240443821.5805603</v>
      </c>
      <c r="V96" s="2">
        <f>V8/'Output-Calculation-sheet'!V7*'Output-Calculation-sheet'!V79</f>
        <v>124754793.1692827</v>
      </c>
      <c r="W96" s="2">
        <f>W8/'Output-Calculation-sheet'!W7*'Output-Calculation-sheet'!W79</f>
        <v>368640299.59681481</v>
      </c>
      <c r="X96" s="2">
        <f>X8/'Output-Calculation-sheet'!X7*'Output-Calculation-sheet'!X79</f>
        <v>129566632.96969111</v>
      </c>
      <c r="Y96" s="2">
        <f>Y8/'Output-Calculation-sheet'!Y7*'Output-Calculation-sheet'!Y79</f>
        <v>202640427.35892552</v>
      </c>
      <c r="AA96" s="2">
        <f t="shared" si="8"/>
        <v>38.595239607766551</v>
      </c>
    </row>
    <row r="97" spans="1:27" x14ac:dyDescent="0.25">
      <c r="A97" s="2">
        <v>2032</v>
      </c>
      <c r="B97" s="2">
        <f>B9/'Output-Calculation-sheet'!B8*'Output-Calculation-sheet'!B80</f>
        <v>11390054010.937407</v>
      </c>
      <c r="C97" s="2">
        <f>C9/'Output-Calculation-sheet'!C8*'Output-Calculation-sheet'!C80</f>
        <v>3879513791.0474262</v>
      </c>
      <c r="D97" s="2">
        <f>D9/'Output-Calculation-sheet'!D8*'Output-Calculation-sheet'!D80</f>
        <v>3865557849.1345859</v>
      </c>
      <c r="E97" s="2">
        <f>E9/'Output-Calculation-sheet'!E8*'Output-Calculation-sheet'!E80</f>
        <v>7069527012.1333494</v>
      </c>
      <c r="F97" s="2">
        <f>F9/'Output-Calculation-sheet'!F8*'Output-Calculation-sheet'!F80</f>
        <v>2920422181.3340278</v>
      </c>
      <c r="G97" s="2">
        <f>G9/'Output-Calculation-sheet'!G8*'Output-Calculation-sheet'!G80</f>
        <v>2210599142.3004236</v>
      </c>
      <c r="H97" s="2">
        <f>H9/'Output-Calculation-sheet'!H8*'Output-Calculation-sheet'!H80</f>
        <v>1944880743.4574022</v>
      </c>
      <c r="I97" s="2">
        <f>I9/'Output-Calculation-sheet'!I8*'Output-Calculation-sheet'!I80</f>
        <v>1599844901.1225145</v>
      </c>
      <c r="J97" s="2">
        <f>J9/'Output-Calculation-sheet'!J8*'Output-Calculation-sheet'!J80</f>
        <v>1051750356.1218991</v>
      </c>
      <c r="K97" s="2">
        <f>K9/'Output-Calculation-sheet'!K8*'Output-Calculation-sheet'!K80</f>
        <v>1516319735.6244693</v>
      </c>
      <c r="L97" s="2">
        <f>L9/'Output-Calculation-sheet'!L8*'Output-Calculation-sheet'!L80</f>
        <v>1103629586.6724226</v>
      </c>
      <c r="M97" s="2">
        <f>M9/'Output-Calculation-sheet'!M8*'Output-Calculation-sheet'!M80</f>
        <v>1456115770.4193056</v>
      </c>
      <c r="N97" s="2">
        <f>N9/'Output-Calculation-sheet'!N8*'Output-Calculation-sheet'!N80</f>
        <v>1063887255.2119298</v>
      </c>
      <c r="O97" s="2">
        <f>O9/'Output-Calculation-sheet'!O8*'Output-Calculation-sheet'!O80</f>
        <v>550385587.31853068</v>
      </c>
      <c r="P97" s="2">
        <f>P9/'Output-Calculation-sheet'!P8*'Output-Calculation-sheet'!P80</f>
        <v>1800758147.2441008</v>
      </c>
      <c r="Q97" s="2">
        <f>Q9/'Output-Calculation-sheet'!Q8*'Output-Calculation-sheet'!Q80</f>
        <v>842325607.21923745</v>
      </c>
      <c r="R97" s="2">
        <f>R9/'Output-Calculation-sheet'!R8*'Output-Calculation-sheet'!R80</f>
        <v>1064276258.0057344</v>
      </c>
      <c r="S97" s="2">
        <f>S9/'Output-Calculation-sheet'!S8*'Output-Calculation-sheet'!S80</f>
        <v>617702860.49747968</v>
      </c>
      <c r="T97" s="2">
        <f>T9/'Output-Calculation-sheet'!T8*'Output-Calculation-sheet'!T80</f>
        <v>465151977.99076462</v>
      </c>
      <c r="U97" s="2">
        <f>U9/'Output-Calculation-sheet'!U8*'Output-Calculation-sheet'!U80</f>
        <v>297368323.53220868</v>
      </c>
      <c r="V97" s="2">
        <f>V9/'Output-Calculation-sheet'!V8*'Output-Calculation-sheet'!V80</f>
        <v>155922227.05439362</v>
      </c>
      <c r="W97" s="2">
        <f>W9/'Output-Calculation-sheet'!W8*'Output-Calculation-sheet'!W80</f>
        <v>451553782.28848684</v>
      </c>
      <c r="X97" s="2">
        <f>X9/'Output-Calculation-sheet'!X8*'Output-Calculation-sheet'!X80</f>
        <v>162151383.47598547</v>
      </c>
      <c r="Y97" s="2">
        <f>Y9/'Output-Calculation-sheet'!Y8*'Output-Calculation-sheet'!Y80</f>
        <v>248203187.73839882</v>
      </c>
      <c r="AA97" s="2">
        <f t="shared" si="8"/>
        <v>47.727901677882485</v>
      </c>
    </row>
    <row r="98" spans="1:27" x14ac:dyDescent="0.25">
      <c r="A98" s="2">
        <v>2033</v>
      </c>
      <c r="B98" s="2">
        <f>B10/'Output-Calculation-sheet'!B9*'Output-Calculation-sheet'!B81</f>
        <v>13633391709.656487</v>
      </c>
      <c r="C98" s="2">
        <f>C10/'Output-Calculation-sheet'!C9*'Output-Calculation-sheet'!C81</f>
        <v>4674202740.296442</v>
      </c>
      <c r="D98" s="2">
        <f>D10/'Output-Calculation-sheet'!D9*'Output-Calculation-sheet'!D81</f>
        <v>4448417361.2204561</v>
      </c>
      <c r="E98" s="2">
        <f>E10/'Output-Calculation-sheet'!E9*'Output-Calculation-sheet'!E81</f>
        <v>8367752949.6577644</v>
      </c>
      <c r="F98" s="2">
        <f>F10/'Output-Calculation-sheet'!F9*'Output-Calculation-sheet'!F81</f>
        <v>3451063574.0875449</v>
      </c>
      <c r="G98" s="2">
        <f>G10/'Output-Calculation-sheet'!G9*'Output-Calculation-sheet'!G81</f>
        <v>2533876465.2410111</v>
      </c>
      <c r="H98" s="2">
        <f>H10/'Output-Calculation-sheet'!H9*'Output-Calculation-sheet'!H81</f>
        <v>2295712779.9022913</v>
      </c>
      <c r="I98" s="2">
        <f>I10/'Output-Calculation-sheet'!I9*'Output-Calculation-sheet'!I81</f>
        <v>1908415074.2833745</v>
      </c>
      <c r="J98" s="2">
        <f>J10/'Output-Calculation-sheet'!J9*'Output-Calculation-sheet'!J81</f>
        <v>1220288699.4494917</v>
      </c>
      <c r="K98" s="2">
        <f>K10/'Output-Calculation-sheet'!K9*'Output-Calculation-sheet'!K81</f>
        <v>1772517728.7534008</v>
      </c>
      <c r="L98" s="2">
        <f>L10/'Output-Calculation-sheet'!L9*'Output-Calculation-sheet'!L81</f>
        <v>1329414829.1345115</v>
      </c>
      <c r="M98" s="2">
        <f>M10/'Output-Calculation-sheet'!M9*'Output-Calculation-sheet'!M81</f>
        <v>1723983909.3508899</v>
      </c>
      <c r="N98" s="2">
        <f>N10/'Output-Calculation-sheet'!N9*'Output-Calculation-sheet'!N81</f>
        <v>1236823940.7956247</v>
      </c>
      <c r="O98" s="2">
        <f>O10/'Output-Calculation-sheet'!O9*'Output-Calculation-sheet'!O81</f>
        <v>654968151.7095114</v>
      </c>
      <c r="P98" s="2">
        <f>P10/'Output-Calculation-sheet'!P9*'Output-Calculation-sheet'!P81</f>
        <v>2093088176.8780322</v>
      </c>
      <c r="Q98" s="2">
        <f>Q10/'Output-Calculation-sheet'!Q9*'Output-Calculation-sheet'!Q81</f>
        <v>984116999.75001717</v>
      </c>
      <c r="R98" s="2">
        <f>R10/'Output-Calculation-sheet'!R9*'Output-Calculation-sheet'!R81</f>
        <v>1258834527.9883523</v>
      </c>
      <c r="S98" s="2">
        <f>S10/'Output-Calculation-sheet'!S9*'Output-Calculation-sheet'!S81</f>
        <v>727830478.56133175</v>
      </c>
      <c r="T98" s="2">
        <f>T10/'Output-Calculation-sheet'!T9*'Output-Calculation-sheet'!T81</f>
        <v>540080157.74528909</v>
      </c>
      <c r="U98" s="2">
        <f>U10/'Output-Calculation-sheet'!U9*'Output-Calculation-sheet'!U81</f>
        <v>351411178.28920931</v>
      </c>
      <c r="V98" s="2">
        <f>V10/'Output-Calculation-sheet'!V9*'Output-Calculation-sheet'!V81</f>
        <v>186113277.70410722</v>
      </c>
      <c r="W98" s="2">
        <f>W10/'Output-Calculation-sheet'!W9*'Output-Calculation-sheet'!W81</f>
        <v>527695351.42945176</v>
      </c>
      <c r="X98" s="2">
        <f>X10/'Output-Calculation-sheet'!X9*'Output-Calculation-sheet'!X81</f>
        <v>193912076.0874649</v>
      </c>
      <c r="Y98" s="2">
        <f>Y10/'Output-Calculation-sheet'!Y9*'Output-Calculation-sheet'!Y81</f>
        <v>290159583.74137294</v>
      </c>
      <c r="AA98" s="2">
        <f t="shared" si="8"/>
        <v>56.404071721713422</v>
      </c>
    </row>
    <row r="99" spans="1:27" x14ac:dyDescent="0.25">
      <c r="A99" s="2">
        <v>2034</v>
      </c>
      <c r="B99" s="2">
        <f>B11/'Output-Calculation-sheet'!B10*'Output-Calculation-sheet'!B82</f>
        <v>15887326832.275457</v>
      </c>
      <c r="C99" s="2">
        <f>C11/'Output-Calculation-sheet'!C10*'Output-Calculation-sheet'!C82</f>
        <v>5481779578.9109955</v>
      </c>
      <c r="D99" s="2">
        <f>D11/'Output-Calculation-sheet'!D10*'Output-Calculation-sheet'!D82</f>
        <v>4986877479.377327</v>
      </c>
      <c r="E99" s="2">
        <f>E11/'Output-Calculation-sheet'!E10*'Output-Calculation-sheet'!E82</f>
        <v>9646677189.8544083</v>
      </c>
      <c r="F99" s="2">
        <f>F11/'Output-Calculation-sheet'!F10*'Output-Calculation-sheet'!F82</f>
        <v>3972972029.0132527</v>
      </c>
      <c r="G99" s="2">
        <f>G11/'Output-Calculation-sheet'!G10*'Output-Calculation-sheet'!G82</f>
        <v>2824500394.7669907</v>
      </c>
      <c r="H99" s="2">
        <f>H11/'Output-Calculation-sheet'!H10*'Output-Calculation-sheet'!H82</f>
        <v>2640008433.1018424</v>
      </c>
      <c r="I99" s="2">
        <f>I11/'Output-Calculation-sheet'!I10*'Output-Calculation-sheet'!I82</f>
        <v>2217423294.5646367</v>
      </c>
      <c r="J99" s="2">
        <f>J11/'Output-Calculation-sheet'!J10*'Output-Calculation-sheet'!J82</f>
        <v>1379901668.1341212</v>
      </c>
      <c r="K99" s="2">
        <f>K11/'Output-Calculation-sheet'!K10*'Output-Calculation-sheet'!K82</f>
        <v>2018977220.5974789</v>
      </c>
      <c r="L99" s="2">
        <f>L11/'Output-Calculation-sheet'!L10*'Output-Calculation-sheet'!L82</f>
        <v>1558798060.8668621</v>
      </c>
      <c r="M99" s="2">
        <f>M11/'Output-Calculation-sheet'!M10*'Output-Calculation-sheet'!M82</f>
        <v>1988669419.1682823</v>
      </c>
      <c r="N99" s="2">
        <f>N11/'Output-Calculation-sheet'!N10*'Output-Calculation-sheet'!N82</f>
        <v>1401019463.9664354</v>
      </c>
      <c r="O99" s="2">
        <f>O11/'Output-Calculation-sheet'!O10*'Output-Calculation-sheet'!O82</f>
        <v>759562962.89979804</v>
      </c>
      <c r="P99" s="2">
        <f>P11/'Output-Calculation-sheet'!P10*'Output-Calculation-sheet'!P82</f>
        <v>2367729827.4974065</v>
      </c>
      <c r="Q99" s="2">
        <f>Q11/'Output-Calculation-sheet'!Q10*'Output-Calculation-sheet'!Q82</f>
        <v>1120558543.7935405</v>
      </c>
      <c r="R99" s="2">
        <f>R11/'Output-Calculation-sheet'!R10*'Output-Calculation-sheet'!R82</f>
        <v>1450557852.7992136</v>
      </c>
      <c r="S99" s="2">
        <f>S11/'Output-Calculation-sheet'!S10*'Output-Calculation-sheet'!S82</f>
        <v>835561875.73502553</v>
      </c>
      <c r="T99" s="2">
        <f>T11/'Output-Calculation-sheet'!T10*'Output-Calculation-sheet'!T82</f>
        <v>610698042.49419034</v>
      </c>
      <c r="U99" s="2">
        <f>U11/'Output-Calculation-sheet'!U10*'Output-Calculation-sheet'!U82</f>
        <v>404416554.47147548</v>
      </c>
      <c r="V99" s="2">
        <f>V11/'Output-Calculation-sheet'!V10*'Output-Calculation-sheet'!V82</f>
        <v>216236489.6462613</v>
      </c>
      <c r="W99" s="2">
        <f>W11/'Output-Calculation-sheet'!W10*'Output-Calculation-sheet'!W82</f>
        <v>599631356.62061727</v>
      </c>
      <c r="X99" s="2">
        <f>X11/'Output-Calculation-sheet'!X10*'Output-Calculation-sheet'!X82</f>
        <v>225837677.41495511</v>
      </c>
      <c r="Y99" s="2">
        <f>Y11/'Output-Calculation-sheet'!Y10*'Output-Calculation-sheet'!Y82</f>
        <v>329987427.16104358</v>
      </c>
      <c r="AA99" s="2">
        <f t="shared" si="8"/>
        <v>64.925709675131628</v>
      </c>
    </row>
    <row r="100" spans="1:27" x14ac:dyDescent="0.25">
      <c r="A100" s="2">
        <v>2035</v>
      </c>
      <c r="B100" s="2">
        <f>B12/'Output-Calculation-sheet'!B11*'Output-Calculation-sheet'!B83</f>
        <v>18149817766.483135</v>
      </c>
      <c r="C100" s="2">
        <f>C12/'Output-Calculation-sheet'!C11*'Output-Calculation-sheet'!C83</f>
        <v>6301321932.4625797</v>
      </c>
      <c r="D100" s="2">
        <f>D12/'Output-Calculation-sheet'!D11*'Output-Calculation-sheet'!D83</f>
        <v>5484492773.2668934</v>
      </c>
      <c r="E100" s="2">
        <f>E12/'Output-Calculation-sheet'!E11*'Output-Calculation-sheet'!E83</f>
        <v>10907240968.664486</v>
      </c>
      <c r="F100" s="2">
        <f>F12/'Output-Calculation-sheet'!F11*'Output-Calculation-sheet'!F83</f>
        <v>4486804031.36689</v>
      </c>
      <c r="G100" s="2">
        <f>G12/'Output-Calculation-sheet'!G11*'Output-Calculation-sheet'!G83</f>
        <v>3083308034.7101417</v>
      </c>
      <c r="H100" s="2">
        <f>H12/'Output-Calculation-sheet'!H11*'Output-Calculation-sheet'!H83</f>
        <v>2978245139.6003408</v>
      </c>
      <c r="I100" s="2">
        <f>I12/'Output-Calculation-sheet'!I11*'Output-Calculation-sheet'!I83</f>
        <v>2526982175.7310576</v>
      </c>
      <c r="J100" s="2">
        <f>J12/'Output-Calculation-sheet'!J11*'Output-Calculation-sheet'!J83</f>
        <v>1531459961.0734208</v>
      </c>
      <c r="K100" s="2">
        <f>K12/'Output-Calculation-sheet'!K11*'Output-Calculation-sheet'!K83</f>
        <v>2256492860.754745</v>
      </c>
      <c r="L100" s="2">
        <f>L12/'Output-Calculation-sheet'!L11*'Output-Calculation-sheet'!L83</f>
        <v>1791526667.5546002</v>
      </c>
      <c r="M100" s="2">
        <f>M12/'Output-Calculation-sheet'!M11*'Output-Calculation-sheet'!M83</f>
        <v>2250554481.8475065</v>
      </c>
      <c r="N100" s="2">
        <f>N12/'Output-Calculation-sheet'!N11*'Output-Calculation-sheet'!N83</f>
        <v>1557205947.0918868</v>
      </c>
      <c r="O100" s="2">
        <f>O12/'Output-Calculation-sheet'!O11*'Output-Calculation-sheet'!O83</f>
        <v>864348176.0609268</v>
      </c>
      <c r="P100" s="2">
        <f>P12/'Output-Calculation-sheet'!P11*'Output-Calculation-sheet'!P83</f>
        <v>2625086827.3143396</v>
      </c>
      <c r="Q100" s="2">
        <f>Q12/'Output-Calculation-sheet'!Q11*'Output-Calculation-sheet'!Q83</f>
        <v>1252178450.4204786</v>
      </c>
      <c r="R100" s="2">
        <f>R12/'Output-Calculation-sheet'!R11*'Output-Calculation-sheet'!R83</f>
        <v>1639657889.3021333</v>
      </c>
      <c r="S100" s="2">
        <f>S12/'Output-Calculation-sheet'!S11*'Output-Calculation-sheet'!S83</f>
        <v>941079384.25766611</v>
      </c>
      <c r="T100" s="2">
        <f>T12/'Output-Calculation-sheet'!T11*'Output-Calculation-sheet'!T83</f>
        <v>677251095.66028333</v>
      </c>
      <c r="U100" s="2">
        <f>U12/'Output-Calculation-sheet'!U11*'Output-Calculation-sheet'!U83</f>
        <v>456390557.26954448</v>
      </c>
      <c r="V100" s="2">
        <f>V12/'Output-Calculation-sheet'!V11*'Output-Calculation-sheet'!V83</f>
        <v>246249222.60715249</v>
      </c>
      <c r="W100" s="2">
        <f>W12/'Output-Calculation-sheet'!W11*'Output-Calculation-sheet'!W83</f>
        <v>667149640.72162545</v>
      </c>
      <c r="X100" s="2">
        <f>X12/'Output-Calculation-sheet'!X11*'Output-Calculation-sheet'!X83</f>
        <v>257926388.0836733</v>
      </c>
      <c r="Y100" s="2">
        <f>Y12/'Output-Calculation-sheet'!Y11*'Output-Calculation-sheet'!Y83</f>
        <v>367639273.99302953</v>
      </c>
      <c r="AA100" s="2">
        <f t="shared" si="8"/>
        <v>73.300409646298519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94207140886.089371</v>
      </c>
      <c r="C8" s="2">
        <v>44395145358.495842</v>
      </c>
      <c r="D8" s="2">
        <v>39568076268.386688</v>
      </c>
      <c r="E8" s="2">
        <v>31393253277.263615</v>
      </c>
      <c r="F8" s="2">
        <v>20208963670.562801</v>
      </c>
      <c r="G8" s="2">
        <v>14199372494.975513</v>
      </c>
      <c r="H8" s="2">
        <v>13850942800.613852</v>
      </c>
      <c r="I8" s="2">
        <v>12936746077.783787</v>
      </c>
      <c r="J8" s="2">
        <v>12591735134.185644</v>
      </c>
      <c r="K8" s="2">
        <v>12471023218.983589</v>
      </c>
      <c r="L8" s="2">
        <v>10004416966.819479</v>
      </c>
      <c r="M8" s="2">
        <v>9555943102.7896423</v>
      </c>
      <c r="N8" s="2">
        <v>9379130556.9964046</v>
      </c>
      <c r="O8" s="2">
        <v>8626015296.728981</v>
      </c>
      <c r="P8" s="2">
        <v>8538252411.3373051</v>
      </c>
      <c r="Q8" s="2">
        <v>8400260453.1742783</v>
      </c>
      <c r="R8" s="2">
        <v>8081436933.436512</v>
      </c>
      <c r="S8" s="2">
        <v>5371336971.4958153</v>
      </c>
      <c r="T8" s="2">
        <v>2970666726.7409744</v>
      </c>
      <c r="U8" s="2">
        <v>2587349215.5567608</v>
      </c>
      <c r="V8" s="2">
        <v>1992310642.9630184</v>
      </c>
      <c r="W8" s="2">
        <v>1724899477.0378394</v>
      </c>
      <c r="X8" s="2">
        <v>1034939686.2227043</v>
      </c>
      <c r="Y8" s="2">
        <v>1006468495.4547161</v>
      </c>
    </row>
    <row r="9" spans="1:27" x14ac:dyDescent="0.25">
      <c r="A9" s="2">
        <v>2032</v>
      </c>
      <c r="B9" s="2">
        <v>99380644319.444046</v>
      </c>
      <c r="C9" s="2">
        <v>46833160510.809753</v>
      </c>
      <c r="D9" s="2">
        <v>41741006860.487541</v>
      </c>
      <c r="E9" s="2">
        <v>33117253200.055855</v>
      </c>
      <c r="F9" s="2">
        <v>21318764286.002502</v>
      </c>
      <c r="G9" s="2">
        <v>14979148865.039249</v>
      </c>
      <c r="H9" s="2">
        <v>14611584716.504498</v>
      </c>
      <c r="I9" s="2">
        <v>13647183732.725233</v>
      </c>
      <c r="J9" s="2">
        <v>13283226079.94495</v>
      </c>
      <c r="K9" s="2">
        <v>13155885118.347147</v>
      </c>
      <c r="L9" s="2">
        <v>10553822086.640865</v>
      </c>
      <c r="M9" s="2">
        <v>10080719717.239727</v>
      </c>
      <c r="N9" s="2">
        <v>9894197288.4788322</v>
      </c>
      <c r="O9" s="2">
        <v>9099723758.04146</v>
      </c>
      <c r="P9" s="2">
        <v>9007141263.5986614</v>
      </c>
      <c r="Q9" s="2">
        <v>8861571303.7829247</v>
      </c>
      <c r="R9" s="2">
        <v>8525239190.1266584</v>
      </c>
      <c r="S9" s="2">
        <v>5666310685.8275042</v>
      </c>
      <c r="T9" s="2">
        <v>3133804620.1702003</v>
      </c>
      <c r="U9" s="2">
        <v>2729436746.5450511</v>
      </c>
      <c r="V9" s="2">
        <v>2101720883.5746212</v>
      </c>
      <c r="W9" s="2">
        <v>1819624497.6966991</v>
      </c>
      <c r="X9" s="2">
        <v>1091774698.6180203</v>
      </c>
      <c r="Y9" s="2">
        <v>1061739976.6590368</v>
      </c>
    </row>
    <row r="10" spans="1:27" x14ac:dyDescent="0.25">
      <c r="A10" s="2">
        <v>2033</v>
      </c>
      <c r="B10" s="2">
        <v>100059653533.55692</v>
      </c>
      <c r="C10" s="2">
        <v>47153143820.745338</v>
      </c>
      <c r="D10" s="2">
        <v>42026198493.714592</v>
      </c>
      <c r="E10" s="2">
        <v>33343523820.687645</v>
      </c>
      <c r="F10" s="2">
        <v>21464422804.145798</v>
      </c>
      <c r="G10" s="2">
        <v>15081492537.376862</v>
      </c>
      <c r="H10" s="2">
        <v>14711417040.225468</v>
      </c>
      <c r="I10" s="2">
        <v>13740426874.432243</v>
      </c>
      <c r="J10" s="2">
        <v>13373982514.089565</v>
      </c>
      <c r="K10" s="2">
        <v>13245771506.952703</v>
      </c>
      <c r="L10" s="2">
        <v>10625930116.227619</v>
      </c>
      <c r="M10" s="2">
        <v>10149595317.913971</v>
      </c>
      <c r="N10" s="2">
        <v>9961798491.6219006</v>
      </c>
      <c r="O10" s="2">
        <v>9161896793.0414276</v>
      </c>
      <c r="P10" s="2">
        <v>9068681737.1252861</v>
      </c>
      <c r="Q10" s="2">
        <v>8922117183.7980118</v>
      </c>
      <c r="R10" s="2">
        <v>8583487111.5630026</v>
      </c>
      <c r="S10" s="2">
        <v>5705025238.2642536</v>
      </c>
      <c r="T10" s="2">
        <v>3155216055.2328</v>
      </c>
      <c r="U10" s="2">
        <v>2748085374.8864527</v>
      </c>
      <c r="V10" s="2">
        <v>2116080700.3700678</v>
      </c>
      <c r="W10" s="2">
        <v>1832056916.5909669</v>
      </c>
      <c r="X10" s="2">
        <v>1099234149.954581</v>
      </c>
      <c r="Y10" s="2">
        <v>1068994218.4893286</v>
      </c>
    </row>
    <row r="11" spans="1:27" x14ac:dyDescent="0.25">
      <c r="A11" s="2">
        <v>2034</v>
      </c>
      <c r="B11" s="2">
        <v>96236313831.443115</v>
      </c>
      <c r="C11" s="2">
        <v>45351393759.829163</v>
      </c>
      <c r="D11" s="2">
        <v>40420352105.529305</v>
      </c>
      <c r="E11" s="2">
        <v>32069447667.812908</v>
      </c>
      <c r="F11" s="2">
        <v>20644254264.760185</v>
      </c>
      <c r="G11" s="2">
        <v>14505219612.686512</v>
      </c>
      <c r="H11" s="2">
        <v>14149284923.453903</v>
      </c>
      <c r="I11" s="2">
        <v>13215396877.447594</v>
      </c>
      <c r="J11" s="2">
        <v>12862954577.096498</v>
      </c>
      <c r="K11" s="2">
        <v>12739642589.859501</v>
      </c>
      <c r="L11" s="2">
        <v>10219906918.559492</v>
      </c>
      <c r="M11" s="2">
        <v>9761773160.1413097</v>
      </c>
      <c r="N11" s="2">
        <v>9581152163.8320274</v>
      </c>
      <c r="O11" s="2">
        <v>8811815191.5320148</v>
      </c>
      <c r="P11" s="2">
        <v>8722161939.1154175</v>
      </c>
      <c r="Q11" s="2">
        <v>8581197705.7559795</v>
      </c>
      <c r="R11" s="2">
        <v>8255506892.790658</v>
      </c>
      <c r="S11" s="2">
        <v>5487032783.5162277</v>
      </c>
      <c r="T11" s="2">
        <v>3034653347.021215</v>
      </c>
      <c r="U11" s="2">
        <v>2643079375.4895229</v>
      </c>
      <c r="V11" s="2">
        <v>2035223980.7144437</v>
      </c>
      <c r="W11" s="2">
        <v>1762052916.9930139</v>
      </c>
      <c r="X11" s="2">
        <v>1057231750.195809</v>
      </c>
      <c r="Y11" s="2">
        <v>1028147304.7479206</v>
      </c>
    </row>
    <row r="12" spans="1:27" x14ac:dyDescent="0.25">
      <c r="A12" s="2">
        <v>2035</v>
      </c>
      <c r="B12" s="2">
        <v>88070102034.673233</v>
      </c>
      <c r="C12" s="2">
        <v>41503063831.376846</v>
      </c>
      <c r="D12" s="2">
        <v>36990449784.333801</v>
      </c>
      <c r="E12" s="2">
        <v>29348168231.450893</v>
      </c>
      <c r="F12" s="2">
        <v>18892469039.406723</v>
      </c>
      <c r="G12" s="2">
        <v>13274367236.905298</v>
      </c>
      <c r="H12" s="2">
        <v>12948635679.342735</v>
      </c>
      <c r="I12" s="2">
        <v>12093993473.856842</v>
      </c>
      <c r="J12" s="2">
        <v>11771457955.636333</v>
      </c>
      <c r="K12" s="2">
        <v>11658609708.798014</v>
      </c>
      <c r="L12" s="2">
        <v>9352688286.4493084</v>
      </c>
      <c r="M12" s="2">
        <v>8933429846.0222721</v>
      </c>
      <c r="N12" s="2">
        <v>8768135593.3514519</v>
      </c>
      <c r="O12" s="2">
        <v>8064081344.4721575</v>
      </c>
      <c r="P12" s="2">
        <v>7982035692.7455215</v>
      </c>
      <c r="Q12" s="2">
        <v>7853033095.6910496</v>
      </c>
      <c r="R12" s="2">
        <v>7554979045.3265419</v>
      </c>
      <c r="S12" s="2">
        <v>5021426090.3453493</v>
      </c>
      <c r="T12" s="2">
        <v>2777145333.934216</v>
      </c>
      <c r="U12" s="2">
        <v>2418798694.7713718</v>
      </c>
      <c r="V12" s="2">
        <v>1862523370.9478531</v>
      </c>
      <c r="W12" s="2">
        <v>1612532463.1809134</v>
      </c>
      <c r="X12" s="2">
        <v>967519477.90854859</v>
      </c>
      <c r="Y12" s="2">
        <v>940903017.07128298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1850.6595340831959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577.38068467895425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398.34869509122126</v>
      </c>
      <c r="N16" s="2">
        <f>N5/'Output-Calculation-sheet'!N4*'Output-Calculation-sheet'!N22</f>
        <v>0</v>
      </c>
      <c r="O16" s="2">
        <f>O5/'Output-Calculation-sheet'!O4*'Output-Calculation-sheet'!O22</f>
        <v>359.57940612887347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43.142474550429625</v>
      </c>
      <c r="Y16" s="2">
        <f>Y5/'Output-Calculation-sheet'!Y4*'Output-Calculation-sheet'!Y22</f>
        <v>0</v>
      </c>
      <c r="AA16" s="2">
        <f t="shared" ref="AA16:AA23" si="0">SUM(B16:Y16)/1000</f>
        <v>3.2291107945326742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5261.6838008287832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1551.6288465196244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1071.0901873996486</v>
      </c>
      <c r="N17" s="2">
        <f>N6/'Output-Calculation-sheet'!N5*'Output-Calculation-sheet'!N23</f>
        <v>0</v>
      </c>
      <c r="O17" s="2">
        <f>O6/'Output-Calculation-sheet'!O5*'Output-Calculation-sheet'!O23</f>
        <v>1028.7789608679711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119.09908324580296</v>
      </c>
      <c r="Y17" s="2">
        <f>Y6/'Output-Calculation-sheet'!Y5*'Output-Calculation-sheet'!Y23</f>
        <v>0</v>
      </c>
      <c r="AA17" s="2">
        <f t="shared" si="0"/>
        <v>9.0322808788618296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9815.8604256411891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3109.3070625998366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2144.4455618048505</v>
      </c>
      <c r="N18" s="2">
        <f>N7/'Output-Calculation-sheet'!N6*'Output-Calculation-sheet'!N24</f>
        <v>664.59784636372979</v>
      </c>
      <c r="O18" s="2">
        <f>O7/'Output-Calculation-sheet'!O6*'Output-Calculation-sheet'!O24</f>
        <v>1415.5661484894149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145.29209719637518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240.43569678599329</v>
      </c>
      <c r="Y18" s="2">
        <f>Y7/'Output-Calculation-sheet'!Y6*'Output-Calculation-sheet'!Y24</f>
        <v>0</v>
      </c>
      <c r="AA18" s="2">
        <f t="shared" si="0"/>
        <v>17.535504838881387</v>
      </c>
    </row>
    <row r="19" spans="1:27" x14ac:dyDescent="0.25">
      <c r="A19" s="2">
        <v>2031</v>
      </c>
      <c r="B19" s="2">
        <f>B8/'Output-Calculation-sheet'!B7*'Output-Calculation-sheet'!B25</f>
        <v>1047.4197671319919</v>
      </c>
      <c r="C19" s="2">
        <f>C8/'Output-Calculation-sheet'!C7*'Output-Calculation-sheet'!C25</f>
        <v>13827.51269711215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4699.2696329350147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3265.304762600907</v>
      </c>
      <c r="N19" s="2">
        <f>N8/'Output-Calculation-sheet'!N7*'Output-Calculation-sheet'!N25</f>
        <v>1117.9328241161672</v>
      </c>
      <c r="O19" s="2">
        <f>O8/'Output-Calculation-sheet'!O7*'Output-Calculation-sheet'!O25</f>
        <v>1784.6633472816538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398.89607952916936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364.83269075920811</v>
      </c>
      <c r="Y19" s="2">
        <f>Y8/'Output-Calculation-sheet'!Y7*'Output-Calculation-sheet'!Y25</f>
        <v>0</v>
      </c>
      <c r="AA19" s="2">
        <f t="shared" si="0"/>
        <v>26.505831801466261</v>
      </c>
    </row>
    <row r="20" spans="1:27" x14ac:dyDescent="0.25">
      <c r="A20" s="2">
        <v>2032</v>
      </c>
      <c r="B20" s="2">
        <f>B9/'Output-Calculation-sheet'!B8*'Output-Calculation-sheet'!B26</f>
        <v>5708.0489700975231</v>
      </c>
      <c r="C20" s="2">
        <f>C9/'Output-Calculation-sheet'!C8*'Output-Calculation-sheet'!C26</f>
        <v>19379.202632772074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6202.3038551713125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4314.7220899905706</v>
      </c>
      <c r="N20" s="2">
        <f>N9/'Output-Calculation-sheet'!N8*'Output-Calculation-sheet'!N26</f>
        <v>1947.3239355297972</v>
      </c>
      <c r="O20" s="2">
        <f>O9/'Output-Calculation-sheet'!O8*'Output-Calculation-sheet'!O26</f>
        <v>2043.4640258578293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707.71038688543058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482.72079391560425</v>
      </c>
      <c r="Y20" s="2">
        <f>Y9/'Output-Calculation-sheet'!Y8*'Output-Calculation-sheet'!Y26</f>
        <v>0</v>
      </c>
      <c r="AA20" s="2">
        <f t="shared" si="0"/>
        <v>40.78549669022015</v>
      </c>
    </row>
    <row r="21" spans="1:27" x14ac:dyDescent="0.25">
      <c r="A21" s="2">
        <v>2033</v>
      </c>
      <c r="B21" s="2">
        <f>B10/'Output-Calculation-sheet'!B9*'Output-Calculation-sheet'!B27</f>
        <v>12995.518746471795</v>
      </c>
      <c r="C21" s="2">
        <f>C10/'Output-Calculation-sheet'!C9*'Output-Calculation-sheet'!C27</f>
        <v>22317.631000475933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7522.0430637215659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5224.5271652312531</v>
      </c>
      <c r="N21" s="2">
        <f>N10/'Output-Calculation-sheet'!N9*'Output-Calculation-sheet'!N27</f>
        <v>2858.7566030935441</v>
      </c>
      <c r="O21" s="2">
        <f>O10/'Output-Calculation-sheet'!O9*'Output-Calculation-sheet'!O27</f>
        <v>2226.7210162803303</v>
      </c>
      <c r="P21" s="2">
        <f>P10/'Output-Calculation-sheet'!P9*'Output-Calculation-sheet'!P27</f>
        <v>0</v>
      </c>
      <c r="Q21" s="2">
        <f>Q10/'Output-Calculation-sheet'!Q9*'Output-Calculation-sheet'!Q27</f>
        <v>194.9861304760777</v>
      </c>
      <c r="R21" s="2">
        <f>R10/'Output-Calculation-sheet'!R9*'Output-Calculation-sheet'!R27</f>
        <v>0</v>
      </c>
      <c r="S21" s="2">
        <f>S10/'Output-Calculation-sheet'!S9*'Output-Calculation-sheet'!S27</f>
        <v>1241.6662977688288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614.35963571965522</v>
      </c>
      <c r="Y21" s="2">
        <f>Y10/'Output-Calculation-sheet'!Y9*'Output-Calculation-sheet'!Y27</f>
        <v>0</v>
      </c>
      <c r="AA21" s="2">
        <f t="shared" si="0"/>
        <v>55.196209659238988</v>
      </c>
    </row>
    <row r="22" spans="1:27" x14ac:dyDescent="0.25">
      <c r="A22" s="2">
        <v>2034</v>
      </c>
      <c r="B22" s="2">
        <f>B11/'Output-Calculation-sheet'!B10*'Output-Calculation-sheet'!B28</f>
        <v>23803.170839279548</v>
      </c>
      <c r="C22" s="2">
        <f>C11/'Output-Calculation-sheet'!C10*'Output-Calculation-sheet'!C28</f>
        <v>22836.153652464247</v>
      </c>
      <c r="D22" s="2">
        <f>D11/'Output-Calculation-sheet'!D10*'Output-Calculation-sheet'!D28</f>
        <v>0</v>
      </c>
      <c r="E22" s="2">
        <f>E11/'Output-Calculation-sheet'!E10*'Output-Calculation-sheet'!E28</f>
        <v>1219.6379744796443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8714.2330154849878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727.26529906453368</v>
      </c>
      <c r="M22" s="2">
        <f>M11/'Output-Calculation-sheet'!M10*'Output-Calculation-sheet'!M28</f>
        <v>6353.4418777288693</v>
      </c>
      <c r="N22" s="2">
        <f>N11/'Output-Calculation-sheet'!N10*'Output-Calculation-sheet'!N28</f>
        <v>3791.6590307332649</v>
      </c>
      <c r="O22" s="2">
        <f>O11/'Output-Calculation-sheet'!O10*'Output-Calculation-sheet'!O28</f>
        <v>2343.4935067826768</v>
      </c>
      <c r="P22" s="2">
        <f>P11/'Output-Calculation-sheet'!P10*'Output-Calculation-sheet'!P28</f>
        <v>0</v>
      </c>
      <c r="Q22" s="2">
        <f>Q11/'Output-Calculation-sheet'!Q10*'Output-Calculation-sheet'!Q28</f>
        <v>861.34626108319981</v>
      </c>
      <c r="R22" s="2">
        <f>R11/'Output-Calculation-sheet'!R10*'Output-Calculation-sheet'!R28</f>
        <v>0</v>
      </c>
      <c r="S22" s="2">
        <f>S11/'Output-Calculation-sheet'!S10*'Output-Calculation-sheet'!S28</f>
        <v>1934.2808138158246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637.99364400835316</v>
      </c>
      <c r="Y22" s="2">
        <f>Y11/'Output-Calculation-sheet'!Y10*'Output-Calculation-sheet'!Y28</f>
        <v>66.177069305187544</v>
      </c>
      <c r="AA22" s="2">
        <f t="shared" si="0"/>
        <v>73.288852984230346</v>
      </c>
    </row>
    <row r="23" spans="1:27" x14ac:dyDescent="0.25">
      <c r="A23" s="2">
        <v>2035</v>
      </c>
      <c r="B23" s="2">
        <f>B12/'Output-Calculation-sheet'!B11*'Output-Calculation-sheet'!B29</f>
        <v>26348.973140087517</v>
      </c>
      <c r="C23" s="2">
        <f>C12/'Output-Calculation-sheet'!C11*'Output-Calculation-sheet'!C29</f>
        <v>21521.513205745101</v>
      </c>
      <c r="D23" s="2">
        <f>D12/'Output-Calculation-sheet'!D11*'Output-Calculation-sheet'!D29</f>
        <v>0</v>
      </c>
      <c r="E23" s="2">
        <f>E12/'Output-Calculation-sheet'!E11*'Output-Calculation-sheet'!E29</f>
        <v>4062.3687444046054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8284.6439009294281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920.90621333287595</v>
      </c>
      <c r="M23" s="2">
        <f>M12/'Output-Calculation-sheet'!M11*'Output-Calculation-sheet'!M29</f>
        <v>6069.8126961158305</v>
      </c>
      <c r="N23" s="2">
        <f>N12/'Output-Calculation-sheet'!N11*'Output-Calculation-sheet'!N29</f>
        <v>3540.860318334448</v>
      </c>
      <c r="O23" s="2">
        <f>O12/'Output-Calculation-sheet'!O11*'Output-Calculation-sheet'!O29</f>
        <v>2386.9751424031488</v>
      </c>
      <c r="P23" s="2">
        <f>P12/'Output-Calculation-sheet'!P11*'Output-Calculation-sheet'!P29</f>
        <v>432.45125660691639</v>
      </c>
      <c r="Q23" s="2">
        <f>Q12/'Output-Calculation-sheet'!Q11*'Output-Calculation-sheet'!Q29</f>
        <v>970.84823967823468</v>
      </c>
      <c r="R23" s="2">
        <f>R12/'Output-Calculation-sheet'!R11*'Output-Calculation-sheet'!R29</f>
        <v>0</v>
      </c>
      <c r="S23" s="2">
        <f>S12/'Output-Calculation-sheet'!S11*'Output-Calculation-sheet'!S29</f>
        <v>1895.4231313728537</v>
      </c>
      <c r="T23" s="2">
        <f>T12/'Output-Calculation-sheet'!T11*'Output-Calculation-sheet'!T29</f>
        <v>0</v>
      </c>
      <c r="U23" s="2">
        <f>U12/'Output-Calculation-sheet'!U11*'Output-Calculation-sheet'!U29</f>
        <v>82.654566531524836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601.30938910289274</v>
      </c>
      <c r="Y23" s="2">
        <f>Y12/'Output-Calculation-sheet'!Y11*'Output-Calculation-sheet'!Y29</f>
        <v>178.02115705506293</v>
      </c>
      <c r="AA23" s="2">
        <f t="shared" si="0"/>
        <v>77.29676110170044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2336.2795538332343</v>
      </c>
      <c r="C27" s="2">
        <f>C5/'Output-Calculation-sheet'!C4*'Output-Calculation-sheet'!C13</f>
        <v>0</v>
      </c>
      <c r="D27" s="2">
        <f>D5/'Output-Calculation-sheet'!D4*'Output-Calculation-sheet'!D13</f>
        <v>417.3490220932062</v>
      </c>
      <c r="E27" s="2">
        <f>E5/'Output-Calculation-sheet'!E4*'Output-Calculation-sheet'!E13</f>
        <v>449.01598760657197</v>
      </c>
      <c r="F27" s="2">
        <f>F5/'Output-Calculation-sheet'!F4*'Output-Calculation-sheet'!F13</f>
        <v>226.54986742942003</v>
      </c>
      <c r="G27" s="2">
        <f>G5/'Output-Calculation-sheet'!G4*'Output-Calculation-sheet'!G13</f>
        <v>148.35638298524847</v>
      </c>
      <c r="H27" s="2">
        <f>H5/'Output-Calculation-sheet'!H4*'Output-Calculation-sheet'!H13</f>
        <v>0</v>
      </c>
      <c r="I27" s="2">
        <f>I5/'Output-Calculation-sheet'!I4*'Output-Calculation-sheet'!I13</f>
        <v>144.62864690300205</v>
      </c>
      <c r="J27" s="2">
        <f>J5/'Output-Calculation-sheet'!J4*'Output-Calculation-sheet'!J13</f>
        <v>128.74764243636827</v>
      </c>
      <c r="K27" s="2">
        <f>K5/'Output-Calculation-sheet'!K4*'Output-Calculation-sheet'!K13</f>
        <v>171.89490677747332</v>
      </c>
      <c r="L27" s="2">
        <f>L5/'Output-Calculation-sheet'!L4*'Output-Calculation-sheet'!L13</f>
        <v>145.19547581060485</v>
      </c>
      <c r="M27" s="2">
        <f>M5/'Output-Calculation-sheet'!M4*'Output-Calculation-sheet'!M13</f>
        <v>0</v>
      </c>
      <c r="N27" s="2">
        <f>N5/'Output-Calculation-sheet'!N4*'Output-Calculation-sheet'!N13</f>
        <v>278.68633088122652</v>
      </c>
      <c r="O27" s="2">
        <f>O5/'Output-Calculation-sheet'!O4*'Output-Calculation-sheet'!O13</f>
        <v>0</v>
      </c>
      <c r="P27" s="2">
        <f>P5/'Output-Calculation-sheet'!P4*'Output-Calculation-sheet'!P13</f>
        <v>170.25460187077002</v>
      </c>
      <c r="Q27" s="2">
        <f>Q5/'Output-Calculation-sheet'!Q4*'Output-Calculation-sheet'!Q13</f>
        <v>189.47473795616474</v>
      </c>
      <c r="R27" s="2">
        <f>R5/'Output-Calculation-sheet'!R4*'Output-Calculation-sheet'!R13</f>
        <v>128.09305084483944</v>
      </c>
      <c r="S27" s="2">
        <f>S5/'Output-Calculation-sheet'!S4*'Output-Calculation-sheet'!S13</f>
        <v>147.83866089292081</v>
      </c>
      <c r="T27" s="2">
        <f>T5/'Output-Calculation-sheet'!T4*'Output-Calculation-sheet'!T13</f>
        <v>38.824910069583346</v>
      </c>
      <c r="U27" s="2">
        <f>U5/'Output-Calculation-sheet'!U4*'Output-Calculation-sheet'!U13</f>
        <v>38.756890874304347</v>
      </c>
      <c r="V27" s="2">
        <f>V5/'Output-Calculation-sheet'!V4*'Output-Calculation-sheet'!V13</f>
        <v>30.163741540282189</v>
      </c>
      <c r="W27" s="2">
        <f>W5/'Output-Calculation-sheet'!W4*'Output-Calculation-sheet'!W13</f>
        <v>18.294724247388917</v>
      </c>
      <c r="X27" s="2">
        <f>X5/'Output-Calculation-sheet'!X4*'Output-Calculation-sheet'!X13</f>
        <v>0</v>
      </c>
      <c r="Y27" s="2">
        <f>Y5/'Output-Calculation-sheet'!Y4*'Output-Calculation-sheet'!Y13</f>
        <v>15.468317945121104</v>
      </c>
      <c r="AA27" s="2">
        <f t="shared" ref="AA27:AA34" si="1">SUM(B27:Y27)/1000</f>
        <v>5.2238734529977293</v>
      </c>
    </row>
    <row r="28" spans="1:27" x14ac:dyDescent="0.25">
      <c r="A28" s="2">
        <v>2029</v>
      </c>
      <c r="B28" s="2">
        <f>B6/'Output-Calculation-sheet'!B5*'Output-Calculation-sheet'!B14</f>
        <v>6212.843182130503</v>
      </c>
      <c r="C28" s="2">
        <f>C6/'Output-Calculation-sheet'!C5*'Output-Calculation-sheet'!C14</f>
        <v>0</v>
      </c>
      <c r="D28" s="2">
        <f>D6/'Output-Calculation-sheet'!D5*'Output-Calculation-sheet'!D14</f>
        <v>1109.7722278118511</v>
      </c>
      <c r="E28" s="2">
        <f>E6/'Output-Calculation-sheet'!E5*'Output-Calculation-sheet'!E14</f>
        <v>1194.0822533988289</v>
      </c>
      <c r="F28" s="2">
        <f>F6/'Output-Calculation-sheet'!F5*'Output-Calculation-sheet'!F14</f>
        <v>602.42085087638884</v>
      </c>
      <c r="G28" s="2">
        <f>G6/'Output-Calculation-sheet'!G5*'Output-Calculation-sheet'!G14</f>
        <v>394.51410682638539</v>
      </c>
      <c r="H28" s="2">
        <f>H6/'Output-Calculation-sheet'!H5*'Output-Calculation-sheet'!H14</f>
        <v>0</v>
      </c>
      <c r="I28" s="2">
        <f>I6/'Output-Calculation-sheet'!I5*'Output-Calculation-sheet'!I14</f>
        <v>384.60119009587874</v>
      </c>
      <c r="J28" s="2">
        <f>J6/'Output-Calculation-sheet'!J5*'Output-Calculation-sheet'!J14</f>
        <v>342.35207973187318</v>
      </c>
      <c r="K28" s="2">
        <f>K6/'Output-Calculation-sheet'!K5*'Output-Calculation-sheet'!K14</f>
        <v>457.10851296544973</v>
      </c>
      <c r="L28" s="2">
        <f>L6/'Output-Calculation-sheet'!L5*'Output-Calculation-sheet'!L14</f>
        <v>386.10851991685803</v>
      </c>
      <c r="M28" s="2">
        <f>M6/'Output-Calculation-sheet'!M5*'Output-Calculation-sheet'!M14</f>
        <v>0</v>
      </c>
      <c r="N28" s="2">
        <f>N6/'Output-Calculation-sheet'!N5*'Output-Calculation-sheet'!N14</f>
        <v>741.10485393629119</v>
      </c>
      <c r="O28" s="2">
        <f>O6/'Output-Calculation-sheet'!O5*'Output-Calculation-sheet'!O14</f>
        <v>0</v>
      </c>
      <c r="P28" s="2">
        <f>P6/'Output-Calculation-sheet'!P5*'Output-Calculation-sheet'!P14</f>
        <v>452.74656094040381</v>
      </c>
      <c r="Q28" s="2">
        <f>Q6/'Output-Calculation-sheet'!Q5*'Output-Calculation-sheet'!Q14</f>
        <v>503.86886662982977</v>
      </c>
      <c r="R28" s="2">
        <f>R6/'Output-Calculation-sheet'!R5*'Output-Calculation-sheet'!R14</f>
        <v>340.62919658632683</v>
      </c>
      <c r="S28" s="2">
        <f>S6/'Output-Calculation-sheet'!S5*'Output-Calculation-sheet'!S14</f>
        <v>393.14488501068331</v>
      </c>
      <c r="T28" s="2">
        <f>T6/'Output-Calculation-sheet'!T5*'Output-Calculation-sheet'!T14</f>
        <v>103.24446047083413</v>
      </c>
      <c r="U28" s="2">
        <f>U6/'Output-Calculation-sheet'!U5*'Output-Calculation-sheet'!U14</f>
        <v>103.05991361578518</v>
      </c>
      <c r="V28" s="2">
        <f>V6/'Output-Calculation-sheet'!V5*'Output-Calculation-sheet'!V14</f>
        <v>80.209571755682759</v>
      </c>
      <c r="W28" s="2">
        <f>W6/'Output-Calculation-sheet'!W5*'Output-Calculation-sheet'!W14</f>
        <v>48.652373412955463</v>
      </c>
      <c r="X28" s="2">
        <f>X6/'Output-Calculation-sheet'!X5*'Output-Calculation-sheet'!X14</f>
        <v>0</v>
      </c>
      <c r="Y28" s="2">
        <f>Y6/'Output-Calculation-sheet'!Y5*'Output-Calculation-sheet'!Y14</f>
        <v>41.13385292517404</v>
      </c>
      <c r="AA28" s="2">
        <f t="shared" si="1"/>
        <v>13.891597459037982</v>
      </c>
    </row>
    <row r="29" spans="1:27" x14ac:dyDescent="0.25">
      <c r="A29" s="2">
        <v>2030</v>
      </c>
      <c r="B29" s="2">
        <f>B7/'Output-Calculation-sheet'!B6*'Output-Calculation-sheet'!B15</f>
        <v>11616.730180549072</v>
      </c>
      <c r="C29" s="2">
        <f>C7/'Output-Calculation-sheet'!C6*'Output-Calculation-sheet'!C15</f>
        <v>0</v>
      </c>
      <c r="D29" s="2">
        <f>D7/'Output-Calculation-sheet'!D6*'Output-Calculation-sheet'!D15</f>
        <v>2032.1215168953299</v>
      </c>
      <c r="E29" s="2">
        <f>E7/'Output-Calculation-sheet'!E6*'Output-Calculation-sheet'!E15</f>
        <v>2186.4391918240967</v>
      </c>
      <c r="F29" s="2">
        <f>F7/'Output-Calculation-sheet'!F6*'Output-Calculation-sheet'!F15</f>
        <v>1103.1009034218368</v>
      </c>
      <c r="G29" s="2">
        <f>G7/'Output-Calculation-sheet'!G6*'Output-Calculation-sheet'!G15</f>
        <v>722.38891997434996</v>
      </c>
      <c r="H29" s="2">
        <f>H7/'Output-Calculation-sheet'!H6*'Output-Calculation-sheet'!H15</f>
        <v>0</v>
      </c>
      <c r="I29" s="2">
        <f>I7/'Output-Calculation-sheet'!I6*'Output-Calculation-sheet'!I15</f>
        <v>704.23752541877388</v>
      </c>
      <c r="J29" s="2">
        <f>J7/'Output-Calculation-sheet'!J6*'Output-Calculation-sheet'!J15</f>
        <v>626.88668865865975</v>
      </c>
      <c r="K29" s="2">
        <f>K7/'Output-Calculation-sheet'!K6*'Output-Calculation-sheet'!K15</f>
        <v>837.0262200790761</v>
      </c>
      <c r="L29" s="2">
        <f>L7/'Output-Calculation-sheet'!L6*'Output-Calculation-sheet'!L15</f>
        <v>707.01476024054239</v>
      </c>
      <c r="M29" s="2">
        <f>M7/'Output-Calculation-sheet'!M6*'Output-Calculation-sheet'!M15</f>
        <v>0</v>
      </c>
      <c r="N29" s="2">
        <f>N7/'Output-Calculation-sheet'!N6*'Output-Calculation-sheet'!N15</f>
        <v>912.18024565140388</v>
      </c>
      <c r="O29" s="2">
        <f>O7/'Output-Calculation-sheet'!O6*'Output-Calculation-sheet'!O15</f>
        <v>0</v>
      </c>
      <c r="P29" s="2">
        <f>P7/'Output-Calculation-sheet'!P6*'Output-Calculation-sheet'!P15</f>
        <v>829.01750158143022</v>
      </c>
      <c r="Q29" s="2">
        <f>Q7/'Output-Calculation-sheet'!Q6*'Output-Calculation-sheet'!Q15</f>
        <v>934.14147484604746</v>
      </c>
      <c r="R29" s="2">
        <f>R7/'Output-Calculation-sheet'!R6*'Output-Calculation-sheet'!R15</f>
        <v>623.72106136629043</v>
      </c>
      <c r="S29" s="2">
        <f>S7/'Output-Calculation-sheet'!S6*'Output-Calculation-sheet'!S15</f>
        <v>644.23786651817909</v>
      </c>
      <c r="T29" s="2">
        <f>T7/'Output-Calculation-sheet'!T6*'Output-Calculation-sheet'!T15</f>
        <v>189.0493977334049</v>
      </c>
      <c r="U29" s="2">
        <f>U7/'Output-Calculation-sheet'!U6*'Output-Calculation-sheet'!U15</f>
        <v>188.71371553813944</v>
      </c>
      <c r="V29" s="2">
        <f>V7/'Output-Calculation-sheet'!V6*'Output-Calculation-sheet'!V15</f>
        <v>146.87228154625217</v>
      </c>
      <c r="W29" s="2">
        <f>W7/'Output-Calculation-sheet'!W6*'Output-Calculation-sheet'!W15</f>
        <v>89.085143292634385</v>
      </c>
      <c r="X29" s="2">
        <f>X7/'Output-Calculation-sheet'!X6*'Output-Calculation-sheet'!X15</f>
        <v>0</v>
      </c>
      <c r="Y29" s="2">
        <f>Y7/'Output-Calculation-sheet'!Y6*'Output-Calculation-sheet'!Y15</f>
        <v>75.31958699280888</v>
      </c>
      <c r="AA29" s="2">
        <f t="shared" si="1"/>
        <v>25.168284182128328</v>
      </c>
    </row>
    <row r="30" spans="1:27" x14ac:dyDescent="0.25">
      <c r="A30" s="2">
        <v>2031</v>
      </c>
      <c r="B30" s="2">
        <f>B8/'Output-Calculation-sheet'!B7*'Output-Calculation-sheet'!B16</f>
        <v>18256.186290615587</v>
      </c>
      <c r="C30" s="2">
        <f>C8/'Output-Calculation-sheet'!C7*'Output-Calculation-sheet'!C16</f>
        <v>0</v>
      </c>
      <c r="D30" s="2">
        <f>D8/'Output-Calculation-sheet'!D7*'Output-Calculation-sheet'!D16</f>
        <v>3074.1004308541637</v>
      </c>
      <c r="E30" s="2">
        <f>E8/'Output-Calculation-sheet'!E7*'Output-Calculation-sheet'!E16</f>
        <v>3307.558383509504</v>
      </c>
      <c r="F30" s="2">
        <f>F8/'Output-Calculation-sheet'!F7*'Output-Calculation-sheet'!F16</f>
        <v>1668.6808048989658</v>
      </c>
      <c r="G30" s="2">
        <f>G8/'Output-Calculation-sheet'!G7*'Output-Calculation-sheet'!G16</f>
        <v>1092.787735293927</v>
      </c>
      <c r="H30" s="2">
        <f>H8/'Output-Calculation-sheet'!H7*'Output-Calculation-sheet'!H16</f>
        <v>0</v>
      </c>
      <c r="I30" s="2">
        <f>I8/'Output-Calculation-sheet'!I7*'Output-Calculation-sheet'!I16</f>
        <v>1065.3044173739431</v>
      </c>
      <c r="J30" s="2">
        <f>J8/'Output-Calculation-sheet'!J7*'Output-Calculation-sheet'!J16</f>
        <v>948.3257722548492</v>
      </c>
      <c r="K30" s="2">
        <f>K8/'Output-Calculation-sheet'!K7*'Output-Calculation-sheet'!K16</f>
        <v>1266.196168766563</v>
      </c>
      <c r="L30" s="2">
        <f>L8/'Output-Calculation-sheet'!L7*'Output-Calculation-sheet'!L16</f>
        <v>1069.524105716238</v>
      </c>
      <c r="M30" s="2">
        <f>M8/'Output-Calculation-sheet'!M7*'Output-Calculation-sheet'!M16</f>
        <v>0</v>
      </c>
      <c r="N30" s="2">
        <f>N8/'Output-Calculation-sheet'!N7*'Output-Calculation-sheet'!N16</f>
        <v>1519.1688860772651</v>
      </c>
      <c r="O30" s="2">
        <f>O8/'Output-Calculation-sheet'!O7*'Output-Calculation-sheet'!O16</f>
        <v>0</v>
      </c>
      <c r="P30" s="2">
        <f>P8/'Output-Calculation-sheet'!P7*'Output-Calculation-sheet'!P16</f>
        <v>1365.3791468943498</v>
      </c>
      <c r="Q30" s="2">
        <f>Q8/'Output-Calculation-sheet'!Q7*'Output-Calculation-sheet'!Q16</f>
        <v>1501.4661316921756</v>
      </c>
      <c r="R30" s="2">
        <f>R8/'Output-Calculation-sheet'!R7*'Output-Calculation-sheet'!R16</f>
        <v>952.68678650726611</v>
      </c>
      <c r="S30" s="2">
        <f>S8/'Output-Calculation-sheet'!S7*'Output-Calculation-sheet'!S16</f>
        <v>958.12354838335284</v>
      </c>
      <c r="T30" s="2">
        <f>T8/'Output-Calculation-sheet'!T7*'Output-Calculation-sheet'!T16</f>
        <v>285.98287916030586</v>
      </c>
      <c r="U30" s="2">
        <f>U8/'Output-Calculation-sheet'!U7*'Output-Calculation-sheet'!U16</f>
        <v>285.47169201567652</v>
      </c>
      <c r="V30" s="2">
        <f>V8/'Output-Calculation-sheet'!V7*'Output-Calculation-sheet'!V16</f>
        <v>222.17719151513506</v>
      </c>
      <c r="W30" s="2">
        <f>W8/'Output-Calculation-sheet'!W7*'Output-Calculation-sheet'!W16</f>
        <v>134.76166716957329</v>
      </c>
      <c r="X30" s="2">
        <f>X8/'Output-Calculation-sheet'!X7*'Output-Calculation-sheet'!X16</f>
        <v>0</v>
      </c>
      <c r="Y30" s="2">
        <f>Y8/'Output-Calculation-sheet'!Y7*'Output-Calculation-sheet'!Y16</f>
        <v>114.06043056261743</v>
      </c>
      <c r="AA30" s="2">
        <f t="shared" si="1"/>
        <v>39.087942469261463</v>
      </c>
    </row>
    <row r="31" spans="1:27" x14ac:dyDescent="0.25">
      <c r="A31" s="2">
        <v>2032</v>
      </c>
      <c r="B31" s="2">
        <f>B9/'Output-Calculation-sheet'!B8*'Output-Calculation-sheet'!B17</f>
        <v>24169.765207373512</v>
      </c>
      <c r="C31" s="2">
        <f>C9/'Output-Calculation-sheet'!C8*'Output-Calculation-sheet'!C17</f>
        <v>0</v>
      </c>
      <c r="D31" s="2">
        <f>D9/'Output-Calculation-sheet'!D8*'Output-Calculation-sheet'!D17</f>
        <v>4053.5869655808833</v>
      </c>
      <c r="E31" s="2">
        <f>E9/'Output-Calculation-sheet'!E8*'Output-Calculation-sheet'!E17</f>
        <v>4764.4376436967987</v>
      </c>
      <c r="F31" s="2">
        <f>F9/'Output-Calculation-sheet'!F8*'Output-Calculation-sheet'!F17</f>
        <v>2200.4185195589703</v>
      </c>
      <c r="G31" s="2">
        <f>G9/'Output-Calculation-sheet'!G8*'Output-Calculation-sheet'!G17</f>
        <v>1440.9994324264208</v>
      </c>
      <c r="H31" s="2">
        <f>H9/'Output-Calculation-sheet'!H8*'Output-Calculation-sheet'!H17</f>
        <v>0</v>
      </c>
      <c r="I31" s="2">
        <f>I9/'Output-Calculation-sheet'!I8*'Output-Calculation-sheet'!I17</f>
        <v>1404.7652637051012</v>
      </c>
      <c r="J31" s="2">
        <f>J9/'Output-Calculation-sheet'!J8*'Output-Calculation-sheet'!J17</f>
        <v>1250.5118528709593</v>
      </c>
      <c r="K31" s="2">
        <f>K9/'Output-Calculation-sheet'!K8*'Output-Calculation-sheet'!K17</f>
        <v>1780.3968495239208</v>
      </c>
      <c r="L31" s="2">
        <f>L9/'Output-Calculation-sheet'!L8*'Output-Calculation-sheet'!L17</f>
        <v>1518.3655267910847</v>
      </c>
      <c r="M31" s="2">
        <f>M9/'Output-Calculation-sheet'!M8*'Output-Calculation-sheet'!M17</f>
        <v>0</v>
      </c>
      <c r="N31" s="2">
        <f>N9/'Output-Calculation-sheet'!N8*'Output-Calculation-sheet'!N17</f>
        <v>1650.6186199083565</v>
      </c>
      <c r="O31" s="2">
        <f>O9/'Output-Calculation-sheet'!O8*'Output-Calculation-sheet'!O17</f>
        <v>0</v>
      </c>
      <c r="P31" s="2">
        <f>P9/'Output-Calculation-sheet'!P8*'Output-Calculation-sheet'!P17</f>
        <v>2048.6739015822859</v>
      </c>
      <c r="Q31" s="2">
        <f>Q9/'Output-Calculation-sheet'!Q8*'Output-Calculation-sheet'!Q17</f>
        <v>2184.0746049954319</v>
      </c>
      <c r="R31" s="2">
        <f>R9/'Output-Calculation-sheet'!R8*'Output-Calculation-sheet'!R17</f>
        <v>1428.9370335926426</v>
      </c>
      <c r="S31" s="2">
        <f>S9/'Output-Calculation-sheet'!S8*'Output-Calculation-sheet'!S17</f>
        <v>1229.5369042962175</v>
      </c>
      <c r="T31" s="2">
        <f>T9/'Output-Calculation-sheet'!T8*'Output-Calculation-sheet'!T17</f>
        <v>387.75250398370633</v>
      </c>
      <c r="U31" s="2">
        <f>U9/'Output-Calculation-sheet'!U8*'Output-Calculation-sheet'!U17</f>
        <v>445.65124318110054</v>
      </c>
      <c r="V31" s="2">
        <f>V9/'Output-Calculation-sheet'!V8*'Output-Calculation-sheet'!V17</f>
        <v>319.19883982252941</v>
      </c>
      <c r="W31" s="2">
        <f>W9/'Output-Calculation-sheet'!W8*'Output-Calculation-sheet'!W17</f>
        <v>177.70552539517101</v>
      </c>
      <c r="X31" s="2">
        <f>X9/'Output-Calculation-sheet'!X8*'Output-Calculation-sheet'!X17</f>
        <v>0</v>
      </c>
      <c r="Y31" s="2">
        <f>Y9/'Output-Calculation-sheet'!Y8*'Output-Calculation-sheet'!Y17</f>
        <v>171.7020378878974</v>
      </c>
      <c r="AA31" s="2">
        <f t="shared" si="1"/>
        <v>52.627098476172982</v>
      </c>
    </row>
    <row r="32" spans="1:27" x14ac:dyDescent="0.25">
      <c r="A32" s="2">
        <v>2033</v>
      </c>
      <c r="B32" s="2">
        <f>B10/'Output-Calculation-sheet'!B9*'Output-Calculation-sheet'!B18</f>
        <v>26382.508790901225</v>
      </c>
      <c r="C32" s="2">
        <f>C10/'Output-Calculation-sheet'!C9*'Output-Calculation-sheet'!C18</f>
        <v>0</v>
      </c>
      <c r="D32" s="2">
        <f>D10/'Output-Calculation-sheet'!D9*'Output-Calculation-sheet'!D18</f>
        <v>5067.9917375083915</v>
      </c>
      <c r="E32" s="2">
        <f>E10/'Output-Calculation-sheet'!E9*'Output-Calculation-sheet'!E18</f>
        <v>7079.7265365631993</v>
      </c>
      <c r="F32" s="2">
        <f>F10/'Output-Calculation-sheet'!F9*'Output-Calculation-sheet'!F18</f>
        <v>2857.9865014512816</v>
      </c>
      <c r="G32" s="2">
        <f>G10/'Output-Calculation-sheet'!G9*'Output-Calculation-sheet'!G18</f>
        <v>1782.9380166228345</v>
      </c>
      <c r="H32" s="2">
        <f>H10/'Output-Calculation-sheet'!H9*'Output-Calculation-sheet'!H18</f>
        <v>0</v>
      </c>
      <c r="I32" s="2">
        <f>I10/'Output-Calculation-sheet'!I9*'Output-Calculation-sheet'!I18</f>
        <v>1882.3638762188812</v>
      </c>
      <c r="J32" s="2">
        <f>J10/'Output-Calculation-sheet'!J9*'Output-Calculation-sheet'!J18</f>
        <v>1510.846053322527</v>
      </c>
      <c r="K32" s="2">
        <f>K10/'Output-Calculation-sheet'!K9*'Output-Calculation-sheet'!K18</f>
        <v>2514.6175361396854</v>
      </c>
      <c r="L32" s="2">
        <f>L10/'Output-Calculation-sheet'!L9*'Output-Calculation-sheet'!L18</f>
        <v>2172.2189084597262</v>
      </c>
      <c r="M32" s="2">
        <f>M10/'Output-Calculation-sheet'!M9*'Output-Calculation-sheet'!M18</f>
        <v>0</v>
      </c>
      <c r="N32" s="2">
        <f>N10/'Output-Calculation-sheet'!N9*'Output-Calculation-sheet'!N18</f>
        <v>1607.658523305568</v>
      </c>
      <c r="O32" s="2">
        <f>O10/'Output-Calculation-sheet'!O9*'Output-Calculation-sheet'!O18</f>
        <v>0</v>
      </c>
      <c r="P32" s="2">
        <f>P10/'Output-Calculation-sheet'!P9*'Output-Calculation-sheet'!P18</f>
        <v>2588.3023384468056</v>
      </c>
      <c r="Q32" s="2">
        <f>Q10/'Output-Calculation-sheet'!Q9*'Output-Calculation-sheet'!Q18</f>
        <v>2817.439662582437</v>
      </c>
      <c r="R32" s="2">
        <f>R10/'Output-Calculation-sheet'!R9*'Output-Calculation-sheet'!R18</f>
        <v>1858.5355070852891</v>
      </c>
      <c r="S32" s="2">
        <f>S10/'Output-Calculation-sheet'!S9*'Output-Calculation-sheet'!S18</f>
        <v>1219.5818051528838</v>
      </c>
      <c r="T32" s="2">
        <f>T10/'Output-Calculation-sheet'!T9*'Output-Calculation-sheet'!T18</f>
        <v>542.49356835136598</v>
      </c>
      <c r="U32" s="2">
        <f>U10/'Output-Calculation-sheet'!U9*'Output-Calculation-sheet'!U18</f>
        <v>599.99170939925887</v>
      </c>
      <c r="V32" s="2">
        <f>V10/'Output-Calculation-sheet'!V9*'Output-Calculation-sheet'!V18</f>
        <v>443.0808228152838</v>
      </c>
      <c r="W32" s="2">
        <f>W10/'Output-Calculation-sheet'!W9*'Output-Calculation-sheet'!W18</f>
        <v>221.0213979664822</v>
      </c>
      <c r="X32" s="2">
        <f>X10/'Output-Calculation-sheet'!X9*'Output-Calculation-sheet'!X18</f>
        <v>0</v>
      </c>
      <c r="Y32" s="2">
        <f>Y10/'Output-Calculation-sheet'!Y9*'Output-Calculation-sheet'!Y18</f>
        <v>256.673409321934</v>
      </c>
      <c r="AA32" s="2">
        <f t="shared" si="1"/>
        <v>63.40597670161506</v>
      </c>
    </row>
    <row r="33" spans="1:27" x14ac:dyDescent="0.25">
      <c r="A33" s="2">
        <v>2034</v>
      </c>
      <c r="B33" s="2">
        <f>B11/'Output-Calculation-sheet'!B10*'Output-Calculation-sheet'!B19</f>
        <v>24009.275978558671</v>
      </c>
      <c r="C33" s="2">
        <f>C11/'Output-Calculation-sheet'!C10*'Output-Calculation-sheet'!C19</f>
        <v>0</v>
      </c>
      <c r="D33" s="2">
        <f>D11/'Output-Calculation-sheet'!D10*'Output-Calculation-sheet'!D19</f>
        <v>7161.7033199591424</v>
      </c>
      <c r="E33" s="2">
        <f>E11/'Output-Calculation-sheet'!E10*'Output-Calculation-sheet'!E19</f>
        <v>8870.2484496628731</v>
      </c>
      <c r="F33" s="2">
        <f>F11/'Output-Calculation-sheet'!F10*'Output-Calculation-sheet'!F19</f>
        <v>4070.3044210834987</v>
      </c>
      <c r="G33" s="2">
        <f>G11/'Output-Calculation-sheet'!G10*'Output-Calculation-sheet'!G19</f>
        <v>2437.7760761644909</v>
      </c>
      <c r="H33" s="2">
        <f>H11/'Output-Calculation-sheet'!H10*'Output-Calculation-sheet'!H19</f>
        <v>0</v>
      </c>
      <c r="I33" s="2">
        <f>I11/'Output-Calculation-sheet'!I10*'Output-Calculation-sheet'!I19</f>
        <v>2659.9555544535301</v>
      </c>
      <c r="J33" s="2">
        <f>J11/'Output-Calculation-sheet'!J10*'Output-Calculation-sheet'!J19</f>
        <v>2249.1638302952251</v>
      </c>
      <c r="K33" s="2">
        <f>K11/'Output-Calculation-sheet'!K10*'Output-Calculation-sheet'!K19</f>
        <v>3121.0393816040255</v>
      </c>
      <c r="L33" s="2">
        <f>L11/'Output-Calculation-sheet'!L10*'Output-Calculation-sheet'!L19</f>
        <v>2538.1485240816569</v>
      </c>
      <c r="M33" s="2">
        <f>M11/'Output-Calculation-sheet'!M10*'Output-Calculation-sheet'!M19</f>
        <v>0</v>
      </c>
      <c r="N33" s="2">
        <f>N11/'Output-Calculation-sheet'!N10*'Output-Calculation-sheet'!N19</f>
        <v>1435.215139219468</v>
      </c>
      <c r="O33" s="2">
        <f>O11/'Output-Calculation-sheet'!O10*'Output-Calculation-sheet'!O19</f>
        <v>0</v>
      </c>
      <c r="P33" s="2">
        <f>P11/'Output-Calculation-sheet'!P10*'Output-Calculation-sheet'!P19</f>
        <v>3157.9412983444868</v>
      </c>
      <c r="Q33" s="2">
        <f>Q11/'Output-Calculation-sheet'!Q10*'Output-Calculation-sheet'!Q19</f>
        <v>2600.5315058120245</v>
      </c>
      <c r="R33" s="2">
        <f>R11/'Output-Calculation-sheet'!R10*'Output-Calculation-sheet'!R19</f>
        <v>2254.7191869357193</v>
      </c>
      <c r="S33" s="2">
        <f>S11/'Output-Calculation-sheet'!S10*'Output-Calculation-sheet'!S19</f>
        <v>1051.0706951827569</v>
      </c>
      <c r="T33" s="2">
        <f>T11/'Output-Calculation-sheet'!T10*'Output-Calculation-sheet'!T19</f>
        <v>661.59997089190142</v>
      </c>
      <c r="U33" s="2">
        <f>U11/'Output-Calculation-sheet'!U10*'Output-Calculation-sheet'!U19</f>
        <v>761.444573954612</v>
      </c>
      <c r="V33" s="2">
        <f>V11/'Output-Calculation-sheet'!V10*'Output-Calculation-sheet'!V19</f>
        <v>518.82350164529362</v>
      </c>
      <c r="W33" s="2">
        <f>W11/'Output-Calculation-sheet'!W10*'Output-Calculation-sheet'!W19</f>
        <v>323.54538548579779</v>
      </c>
      <c r="X33" s="2">
        <f>X11/'Output-Calculation-sheet'!X10*'Output-Calculation-sheet'!X19</f>
        <v>93.552978692077048</v>
      </c>
      <c r="Y33" s="2">
        <f>Y11/'Output-Calculation-sheet'!Y10*'Output-Calculation-sheet'!Y19</f>
        <v>291.17910494282518</v>
      </c>
      <c r="AA33" s="2">
        <f t="shared" si="1"/>
        <v>70.267238876970069</v>
      </c>
    </row>
    <row r="34" spans="1:27" x14ac:dyDescent="0.25">
      <c r="A34" s="2">
        <v>2035</v>
      </c>
      <c r="B34" s="2">
        <f>B12/'Output-Calculation-sheet'!B11*'Output-Calculation-sheet'!B20</f>
        <v>20970.926386488441</v>
      </c>
      <c r="C34" s="2">
        <f>C12/'Output-Calculation-sheet'!C11*'Output-Calculation-sheet'!C20</f>
        <v>0</v>
      </c>
      <c r="D34" s="2">
        <f>D12/'Output-Calculation-sheet'!D11*'Output-Calculation-sheet'!D20</f>
        <v>6581.3162404995201</v>
      </c>
      <c r="E34" s="2">
        <f>E12/'Output-Calculation-sheet'!E11*'Output-Calculation-sheet'!E20</f>
        <v>7191.0550796499056</v>
      </c>
      <c r="F34" s="2">
        <f>F12/'Output-Calculation-sheet'!F11*'Output-Calculation-sheet'!F20</f>
        <v>4530.7018998045542</v>
      </c>
      <c r="G34" s="2">
        <f>G12/'Output-Calculation-sheet'!G11*'Output-Calculation-sheet'!G20</f>
        <v>2421.0725811240359</v>
      </c>
      <c r="H34" s="2">
        <f>H12/'Output-Calculation-sheet'!H11*'Output-Calculation-sheet'!H20</f>
        <v>0</v>
      </c>
      <c r="I34" s="2">
        <f>I12/'Output-Calculation-sheet'!I11*'Output-Calculation-sheet'!I20</f>
        <v>2631.3762206798738</v>
      </c>
      <c r="J34" s="2">
        <f>J12/'Output-Calculation-sheet'!J11*'Output-Calculation-sheet'!J20</f>
        <v>2259.0387577097413</v>
      </c>
      <c r="K34" s="2">
        <f>K12/'Output-Calculation-sheet'!K11*'Output-Calculation-sheet'!K20</f>
        <v>2970.0859393352193</v>
      </c>
      <c r="L34" s="2">
        <f>L12/'Output-Calculation-sheet'!L11*'Output-Calculation-sheet'!L20</f>
        <v>2347.3064907991456</v>
      </c>
      <c r="M34" s="2">
        <f>M12/'Output-Calculation-sheet'!M11*'Output-Calculation-sheet'!M20</f>
        <v>0</v>
      </c>
      <c r="N34" s="2">
        <f>N12/'Output-Calculation-sheet'!N11*'Output-Calculation-sheet'!N20</f>
        <v>1306.2764481519978</v>
      </c>
      <c r="O34" s="2">
        <f>O12/'Output-Calculation-sheet'!O11*'Output-Calculation-sheet'!O20</f>
        <v>0</v>
      </c>
      <c r="P34" s="2">
        <f>P12/'Output-Calculation-sheet'!P11*'Output-Calculation-sheet'!P20</f>
        <v>2919.2892496613736</v>
      </c>
      <c r="Q34" s="2">
        <f>Q12/'Output-Calculation-sheet'!Q11*'Output-Calculation-sheet'!Q20</f>
        <v>2309.9472068438899</v>
      </c>
      <c r="R34" s="2">
        <f>R12/'Output-Calculation-sheet'!R11*'Output-Calculation-sheet'!R20</f>
        <v>2318.4942140317439</v>
      </c>
      <c r="S34" s="2">
        <f>S12/'Output-Calculation-sheet'!S11*'Output-Calculation-sheet'!S20</f>
        <v>885.60853270710879</v>
      </c>
      <c r="T34" s="2">
        <f>T12/'Output-Calculation-sheet'!T11*'Output-Calculation-sheet'!T20</f>
        <v>728.39926203557309</v>
      </c>
      <c r="U34" s="2">
        <f>U12/'Output-Calculation-sheet'!U11*'Output-Calculation-sheet'!U20</f>
        <v>664.55145338751265</v>
      </c>
      <c r="V34" s="2">
        <f>V12/'Output-Calculation-sheet'!V11*'Output-Calculation-sheet'!V20</f>
        <v>610.45862616411875</v>
      </c>
      <c r="W34" s="2">
        <f>W12/'Output-Calculation-sheet'!W11*'Output-Calculation-sheet'!W20</f>
        <v>392.74752283319981</v>
      </c>
      <c r="X34" s="2">
        <f>X12/'Output-Calculation-sheet'!X11*'Output-Calculation-sheet'!X20</f>
        <v>79.37575202445268</v>
      </c>
      <c r="Y34" s="2">
        <f>Y12/'Output-Calculation-sheet'!Y11*'Output-Calculation-sheet'!Y20</f>
        <v>220.14982370516273</v>
      </c>
      <c r="AA34" s="2">
        <f t="shared" si="1"/>
        <v>64.338177687636559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0.87710993856598318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0.17039886480802641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1.0475088033740096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0.99513048670861726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0.38665416458110469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1.3817846512897218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1.0497793269260272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0.61183164529952083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1.6616109722255481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1.0569518487047826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0.61601192937283455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1.6729637780776172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2.0331301623498961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0.31293039197792732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0.21532673167298147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0.78996498942377102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0.18542114123436898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2.3621873288216313E-2</v>
      </c>
      <c r="Y44" s="2">
        <f>Y11/'Output-Calculation-sheet'!Y10*'Output-Calculation-sheet'!Y37*0.0114</f>
        <v>0</v>
      </c>
      <c r="AA44" s="2">
        <f t="shared" si="2"/>
        <v>3.5603952899471611</v>
      </c>
    </row>
    <row r="45" spans="1:27" x14ac:dyDescent="0.25">
      <c r="A45" s="2">
        <v>2035</v>
      </c>
      <c r="B45" s="2">
        <f>B12/'Output-Calculation-sheet'!B11*'Output-Calculation-sheet'!B38*0.0114</f>
        <v>1.9600924898823315</v>
      </c>
      <c r="C45" s="2">
        <f>C12/'Output-Calculation-sheet'!C11*'Output-Calculation-sheet'!C38*0.0114</f>
        <v>1.8606072252678472</v>
      </c>
      <c r="D45" s="2">
        <f>D12/'Output-Calculation-sheet'!D11*'Output-Calculation-sheet'!D38*0.0114</f>
        <v>0.82409223371295148</v>
      </c>
      <c r="E45" s="2">
        <f>E12/'Output-Calculation-sheet'!E11*'Output-Calculation-sheet'!E38*0.0114</f>
        <v>0.65493351368545916</v>
      </c>
      <c r="F45" s="2">
        <f>F12/'Output-Calculation-sheet'!F11*'Output-Calculation-sheet'!F38*0.0114</f>
        <v>0.4119082689308084</v>
      </c>
      <c r="G45" s="2">
        <f>G12/'Output-Calculation-sheet'!G11*'Output-Calculation-sheet'!G38*0.0114</f>
        <v>0.29561959025763684</v>
      </c>
      <c r="H45" s="2">
        <f>H12/'Output-Calculation-sheet'!H11*'Output-Calculation-sheet'!H38*0.0114</f>
        <v>0.28637642542623853</v>
      </c>
      <c r="I45" s="2">
        <f>I12/'Output-Calculation-sheet'!I11*'Output-Calculation-sheet'!I38*0.0114</f>
        <v>0.2658921716710001</v>
      </c>
      <c r="J45" s="2">
        <f>J12/'Output-Calculation-sheet'!J11*'Output-Calculation-sheet'!J38*0.0114</f>
        <v>0.26314595301627786</v>
      </c>
      <c r="K45" s="2">
        <f>K12/'Output-Calculation-sheet'!K11*'Output-Calculation-sheet'!K38*0.0114</f>
        <v>0.26133015118722414</v>
      </c>
      <c r="L45" s="2">
        <f>L12/'Output-Calculation-sheet'!L11*'Output-Calculation-sheet'!L38*0.0114</f>
        <v>0.20779721372856946</v>
      </c>
      <c r="M45" s="2">
        <f>M12/'Output-Calculation-sheet'!M11*'Output-Calculation-sheet'!M38*0.0114</f>
        <v>0.19705500423101374</v>
      </c>
      <c r="N45" s="2">
        <f>N12/'Output-Calculation-sheet'!N11*'Output-Calculation-sheet'!N38*0.0114</f>
        <v>0.19367344919928178</v>
      </c>
      <c r="O45" s="2">
        <f>O12/'Output-Calculation-sheet'!O11*'Output-Calculation-sheet'!O38*0.0114</f>
        <v>0.72293185859369291</v>
      </c>
      <c r="P45" s="2">
        <f>P12/'Output-Calculation-sheet'!P11*'Output-Calculation-sheet'!P38*0.0114</f>
        <v>0.17891937015746706</v>
      </c>
      <c r="Q45" s="2">
        <f>Q12/'Output-Calculation-sheet'!Q11*'Output-Calculation-sheet'!Q38*0.0114</f>
        <v>0.1696870773385851</v>
      </c>
      <c r="R45" s="2">
        <f>R12/'Output-Calculation-sheet'!R11*'Output-Calculation-sheet'!R38*0.0114</f>
        <v>0.16827637736497492</v>
      </c>
      <c r="S45" s="2">
        <f>S12/'Output-Calculation-sheet'!S11*'Output-Calculation-sheet'!S38*0.0114</f>
        <v>0.11102000563967802</v>
      </c>
      <c r="T45" s="2">
        <f>T12/'Output-Calculation-sheet'!T11*'Output-Calculation-sheet'!T38*0.0114</f>
        <v>6.2256347182527622E-2</v>
      </c>
      <c r="U45" s="2">
        <f>U12/'Output-Calculation-sheet'!U11*'Output-Calculation-sheet'!U38*0.0114</f>
        <v>5.4140545763007537E-2</v>
      </c>
      <c r="V45" s="2">
        <f>V12/'Output-Calculation-sheet'!V11*'Output-Calculation-sheet'!V38*0.0114</f>
        <v>4.1747271059040268E-2</v>
      </c>
      <c r="W45" s="2">
        <f>W12/'Output-Calculation-sheet'!W11*'Output-Calculation-sheet'!W38*0.0114</f>
        <v>3.6149997257242217E-2</v>
      </c>
      <c r="X45" s="2">
        <f>X12/'Output-Calculation-sheet'!X11*'Output-Calculation-sheet'!X38*0.0114</f>
        <v>2.161741974435033E-2</v>
      </c>
      <c r="Y45" s="2">
        <f>Y12/'Output-Calculation-sheet'!Y11*'Output-Calculation-sheet'!Y38*0.0114</f>
        <v>2.0861211007346784E-2</v>
      </c>
      <c r="AA45" s="2">
        <f t="shared" si="2"/>
        <v>9.2701311713045556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8001.704702707214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1752.6429767627296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1238.5841948653988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175.20819045408629</v>
      </c>
      <c r="Y51" s="2">
        <f>Y7/'Output-Calculation-sheet'!Y6*'Output-Calculation-sheet'!Y42</f>
        <v>0</v>
      </c>
      <c r="AA51" s="2">
        <f t="shared" si="3"/>
        <v>11.16814006478943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20426.362621913722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6664.0679603152066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4548.5507853986064</v>
      </c>
      <c r="N52" s="2">
        <f>N8/'Output-Calculation-sheet'!N7*'Output-Calculation-sheet'!N43</f>
        <v>145.38196909682426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588.23698346604817</v>
      </c>
      <c r="Y52" s="2">
        <f>Y8/'Output-Calculation-sheet'!Y7*'Output-Calculation-sheet'!Y43</f>
        <v>0</v>
      </c>
      <c r="AA52" s="2">
        <f t="shared" si="3"/>
        <v>32.372600320190408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45030.007970774321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12444.293384004599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8504.3752485732257</v>
      </c>
      <c r="N53" s="2">
        <f>N9/'Output-Calculation-sheet'!N8*'Output-Calculation-sheet'!N44</f>
        <v>3028.9745989654052</v>
      </c>
      <c r="O53" s="2">
        <f>O9/'Output-Calculation-sheet'!O8*'Output-Calculation-sheet'!O44</f>
        <v>0</v>
      </c>
      <c r="P53" s="2">
        <f>P9/'Output-Calculation-sheet'!P8*'Output-Calculation-sheet'!P44</f>
        <v>141.68236739073703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945.07908807681724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1063.4784681019507</v>
      </c>
      <c r="Y53" s="2">
        <f>Y9/'Output-Calculation-sheet'!Y8*'Output-Calculation-sheet'!Y44</f>
        <v>0</v>
      </c>
      <c r="AA53" s="2">
        <f t="shared" si="3"/>
        <v>71.157891125887048</v>
      </c>
    </row>
    <row r="54" spans="1:27" x14ac:dyDescent="0.25">
      <c r="A54" s="2">
        <v>2033</v>
      </c>
      <c r="B54" s="2">
        <f>B10/'Output-Calculation-sheet'!B9*'Output-Calculation-sheet'!B45</f>
        <v>25004.154759768961</v>
      </c>
      <c r="C54" s="2">
        <f>C10/'Output-Calculation-sheet'!C9*'Output-Calculation-sheet'!C45</f>
        <v>57297.916008732958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18123.273025327424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234.40003547614387</v>
      </c>
      <c r="L54" s="2">
        <f>L10/'Output-Calculation-sheet'!L9*'Output-Calculation-sheet'!L45</f>
        <v>0</v>
      </c>
      <c r="M54" s="2">
        <f>M10/'Output-Calculation-sheet'!M9*'Output-Calculation-sheet'!M45</f>
        <v>12431.307871201147</v>
      </c>
      <c r="N54" s="2">
        <f>N10/'Output-Calculation-sheet'!N9*'Output-Calculation-sheet'!N45</f>
        <v>6967.9164245033689</v>
      </c>
      <c r="O54" s="2">
        <f>O10/'Output-Calculation-sheet'!O9*'Output-Calculation-sheet'!O45</f>
        <v>0</v>
      </c>
      <c r="P54" s="2">
        <f>P10/'Output-Calculation-sheet'!P9*'Output-Calculation-sheet'!P45</f>
        <v>1890.1177904678543</v>
      </c>
      <c r="Q54" s="2">
        <f>Q10/'Output-Calculation-sheet'!Q9*'Output-Calculation-sheet'!Q45</f>
        <v>744.09277891998431</v>
      </c>
      <c r="R54" s="2">
        <f>R10/'Output-Calculation-sheet'!R9*'Output-Calculation-sheet'!R45</f>
        <v>1241.0249638995442</v>
      </c>
      <c r="S54" s="2">
        <f>S10/'Output-Calculation-sheet'!S9*'Output-Calculation-sheet'!S45</f>
        <v>2965.2525155677686</v>
      </c>
      <c r="T54" s="2">
        <f>T10/'Output-Calculation-sheet'!T9*'Output-Calculation-sheet'!T45</f>
        <v>62.045355790171669</v>
      </c>
      <c r="U54" s="2">
        <f>U10/'Output-Calculation-sheet'!U9*'Output-Calculation-sheet'!U45</f>
        <v>447.84359323133953</v>
      </c>
      <c r="V54" s="2">
        <f>V10/'Output-Calculation-sheet'!V9*'Output-Calculation-sheet'!V45</f>
        <v>33.284629161202595</v>
      </c>
      <c r="W54" s="2">
        <f>W10/'Output-Calculation-sheet'!W9*'Output-Calculation-sheet'!W45</f>
        <v>0</v>
      </c>
      <c r="X54" s="2">
        <f>X10/'Output-Calculation-sheet'!X9*'Output-Calculation-sheet'!X45</f>
        <v>1428.3775892459098</v>
      </c>
      <c r="Y54" s="2">
        <f>Y10/'Output-Calculation-sheet'!Y9*'Output-Calculation-sheet'!Y45</f>
        <v>14.553357567845794</v>
      </c>
      <c r="AA54" s="2">
        <f t="shared" si="3"/>
        <v>128.88556069886161</v>
      </c>
    </row>
    <row r="55" spans="1:27" x14ac:dyDescent="0.25">
      <c r="A55" s="2">
        <v>2034</v>
      </c>
      <c r="B55" s="2">
        <f>B11/'Output-Calculation-sheet'!B10*'Output-Calculation-sheet'!B46</f>
        <v>68388.578575752064</v>
      </c>
      <c r="C55" s="2">
        <f>C11/'Output-Calculation-sheet'!C10*'Output-Calculation-sheet'!C46</f>
        <v>56267.76896678879</v>
      </c>
      <c r="D55" s="2">
        <f>D11/'Output-Calculation-sheet'!D10*'Output-Calculation-sheet'!D46</f>
        <v>6319.3358510183907</v>
      </c>
      <c r="E55" s="2">
        <f>E11/'Output-Calculation-sheet'!E10*'Output-Calculation-sheet'!E46</f>
        <v>7784.3889662073243</v>
      </c>
      <c r="F55" s="2">
        <f>F11/'Output-Calculation-sheet'!F10*'Output-Calculation-sheet'!F46</f>
        <v>236.89581560466959</v>
      </c>
      <c r="G55" s="2">
        <f>G11/'Output-Calculation-sheet'!G10*'Output-Calculation-sheet'!G46</f>
        <v>2805.2659104309446</v>
      </c>
      <c r="H55" s="2">
        <f>H11/'Output-Calculation-sheet'!H10*'Output-Calculation-sheet'!H46</f>
        <v>20285.575409797217</v>
      </c>
      <c r="I55" s="2">
        <f>I11/'Output-Calculation-sheet'!I10*'Output-Calculation-sheet'!I46</f>
        <v>1529.1934545135127</v>
      </c>
      <c r="J55" s="2">
        <f>J11/'Output-Calculation-sheet'!J10*'Output-Calculation-sheet'!J46</f>
        <v>1109.8262704159461</v>
      </c>
      <c r="K55" s="2">
        <f>K11/'Output-Calculation-sheet'!K10*'Output-Calculation-sheet'!K46</f>
        <v>2980.86364257985</v>
      </c>
      <c r="L55" s="2">
        <f>L11/'Output-Calculation-sheet'!L10*'Output-Calculation-sheet'!L46</f>
        <v>1095.4890435885673</v>
      </c>
      <c r="M55" s="2">
        <f>M11/'Output-Calculation-sheet'!M10*'Output-Calculation-sheet'!M46</f>
        <v>14336.227135069556</v>
      </c>
      <c r="N55" s="2">
        <f>N11/'Output-Calculation-sheet'!N10*'Output-Calculation-sheet'!N46</f>
        <v>10934.300642861515</v>
      </c>
      <c r="O55" s="2">
        <f>O11/'Output-Calculation-sheet'!O10*'Output-Calculation-sheet'!O46</f>
        <v>242.53311078799987</v>
      </c>
      <c r="P55" s="2">
        <f>P11/'Output-Calculation-sheet'!P10*'Output-Calculation-sheet'!P46</f>
        <v>4064.5393794166484</v>
      </c>
      <c r="Q55" s="2">
        <f>Q11/'Output-Calculation-sheet'!Q10*'Output-Calculation-sheet'!Q46</f>
        <v>2390.9568211800211</v>
      </c>
      <c r="R55" s="2">
        <f>R11/'Output-Calculation-sheet'!R10*'Output-Calculation-sheet'!R46</f>
        <v>3290.477688287001</v>
      </c>
      <c r="S55" s="2">
        <f>S11/'Output-Calculation-sheet'!S10*'Output-Calculation-sheet'!S46</f>
        <v>5374.0073004686874</v>
      </c>
      <c r="T55" s="2">
        <f>T11/'Output-Calculation-sheet'!T10*'Output-Calculation-sheet'!T46</f>
        <v>745.93206661514307</v>
      </c>
      <c r="U55" s="2">
        <f>U11/'Output-Calculation-sheet'!U10*'Output-Calculation-sheet'!U46</f>
        <v>1245.4878635091488</v>
      </c>
      <c r="V55" s="2">
        <f>V11/'Output-Calculation-sheet'!V10*'Output-Calculation-sheet'!V46</f>
        <v>504.20165368833204</v>
      </c>
      <c r="W55" s="2">
        <f>W11/'Output-Calculation-sheet'!W10*'Output-Calculation-sheet'!W46</f>
        <v>65.836615769335438</v>
      </c>
      <c r="X55" s="2">
        <f>X11/'Output-Calculation-sheet'!X10*'Output-Calculation-sheet'!X46</f>
        <v>1467.0426568471182</v>
      </c>
      <c r="Y55" s="2">
        <f>Y11/'Output-Calculation-sheet'!Y10*'Output-Calculation-sheet'!Y46</f>
        <v>381.9253735395323</v>
      </c>
      <c r="AA55" s="2">
        <f t="shared" si="3"/>
        <v>213.84665021473734</v>
      </c>
    </row>
    <row r="56" spans="1:27" x14ac:dyDescent="0.25">
      <c r="A56" s="2">
        <v>2035</v>
      </c>
      <c r="B56" s="2">
        <f>B12/'Output-Calculation-sheet'!B11*'Output-Calculation-sheet'!B47</f>
        <v>79607.265159256101</v>
      </c>
      <c r="C56" s="2">
        <f>C12/'Output-Calculation-sheet'!C11*'Output-Calculation-sheet'!C47</f>
        <v>52309.176815644299</v>
      </c>
      <c r="D56" s="2">
        <f>D12/'Output-Calculation-sheet'!D11*'Output-Calculation-sheet'!D47</f>
        <v>6361.4137339245372</v>
      </c>
      <c r="E56" s="2">
        <f>E12/'Output-Calculation-sheet'!E11*'Output-Calculation-sheet'!E47</f>
        <v>17867.04585580507</v>
      </c>
      <c r="F56" s="2">
        <f>F12/'Output-Calculation-sheet'!F11*'Output-Calculation-sheet'!F47</f>
        <v>2204.0705618227466</v>
      </c>
      <c r="G56" s="2">
        <f>G12/'Output-Calculation-sheet'!G11*'Output-Calculation-sheet'!G47</f>
        <v>4978.8562569707265</v>
      </c>
      <c r="H56" s="2">
        <f>H12/'Output-Calculation-sheet'!H11*'Output-Calculation-sheet'!H47</f>
        <v>19016.399477865136</v>
      </c>
      <c r="I56" s="2">
        <f>I12/'Output-Calculation-sheet'!I11*'Output-Calculation-sheet'!I47</f>
        <v>2518.9784684621063</v>
      </c>
      <c r="J56" s="2">
        <f>J12/'Output-Calculation-sheet'!J11*'Output-Calculation-sheet'!J47</f>
        <v>2285.2148551413602</v>
      </c>
      <c r="K56" s="2">
        <f>K12/'Output-Calculation-sheet'!K11*'Output-Calculation-sheet'!K47</f>
        <v>3301.0124360491463</v>
      </c>
      <c r="L56" s="2">
        <f>L12/'Output-Calculation-sheet'!L11*'Output-Calculation-sheet'!L47</f>
        <v>1822.7825765663986</v>
      </c>
      <c r="M56" s="2">
        <f>M12/'Output-Calculation-sheet'!M11*'Output-Calculation-sheet'!M47</f>
        <v>13257.998968876098</v>
      </c>
      <c r="N56" s="2">
        <f>N12/'Output-Calculation-sheet'!N11*'Output-Calculation-sheet'!N47</f>
        <v>10125.383835330871</v>
      </c>
      <c r="O56" s="2">
        <f>O12/'Output-Calculation-sheet'!O11*'Output-Calculation-sheet'!O47</f>
        <v>951.22612972854324</v>
      </c>
      <c r="P56" s="2">
        <f>P12/'Output-Calculation-sheet'!P11*'Output-Calculation-sheet'!P47</f>
        <v>5257.7183335746904</v>
      </c>
      <c r="Q56" s="2">
        <f>Q12/'Output-Calculation-sheet'!Q11*'Output-Calculation-sheet'!Q47</f>
        <v>2664.384810842696</v>
      </c>
      <c r="R56" s="2">
        <f>R12/'Output-Calculation-sheet'!R11*'Output-Calculation-sheet'!R47</f>
        <v>3882.1655479814385</v>
      </c>
      <c r="S56" s="2">
        <f>S12/'Output-Calculation-sheet'!S11*'Output-Calculation-sheet'!S47</f>
        <v>5141.9792085745612</v>
      </c>
      <c r="T56" s="2">
        <f>T12/'Output-Calculation-sheet'!T11*'Output-Calculation-sheet'!T47</f>
        <v>1359.8096884604718</v>
      </c>
      <c r="U56" s="2">
        <f>U12/'Output-Calculation-sheet'!U11*'Output-Calculation-sheet'!U47</f>
        <v>1301.2727665845671</v>
      </c>
      <c r="V56" s="2">
        <f>V12/'Output-Calculation-sheet'!V11*'Output-Calculation-sheet'!V47</f>
        <v>908.18624760017417</v>
      </c>
      <c r="W56" s="2">
        <f>W12/'Output-Calculation-sheet'!W11*'Output-Calculation-sheet'!W47</f>
        <v>516.88153973074395</v>
      </c>
      <c r="X56" s="2">
        <f>X12/'Output-Calculation-sheet'!X11*'Output-Calculation-sheet'!X47</f>
        <v>1369.1032504755208</v>
      </c>
      <c r="Y56" s="2">
        <f>Y12/'Output-Calculation-sheet'!Y11*'Output-Calculation-sheet'!Y47</f>
        <v>700.8634926152472</v>
      </c>
      <c r="AA56" s="2">
        <f t="shared" si="3"/>
        <v>239.70919001788323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4.7325266218002033</v>
      </c>
      <c r="C60" s="2">
        <f>C5*'Output-Calculation-sheet'!C49/10^9</f>
        <v>1.9088279039896519</v>
      </c>
      <c r="D60" s="2">
        <f>D5*'Output-Calculation-sheet'!D49/10^9</f>
        <v>1.2479113103982364</v>
      </c>
      <c r="E60" s="2">
        <f>E5*'Output-Calculation-sheet'!E49/10^9</f>
        <v>1.4478570355749143</v>
      </c>
      <c r="F60" s="2">
        <f>F5*'Output-Calculation-sheet'!F49/10^9</f>
        <v>0.66495763205205372</v>
      </c>
      <c r="G60" s="2">
        <f>G5*'Output-Calculation-sheet'!G49/10^9</f>
        <v>0.52456376982493724</v>
      </c>
      <c r="H60" s="2">
        <f>H5*'Output-Calculation-sheet'!H49/10^9</f>
        <v>0.5015586382936702</v>
      </c>
      <c r="I60" s="2">
        <f>I5*'Output-Calculation-sheet'!I49/10^9</f>
        <v>0.39488767836277638</v>
      </c>
      <c r="J60" s="2">
        <f>J5*'Output-Calculation-sheet'!J49/10^9</f>
        <v>0.61200494979529396</v>
      </c>
      <c r="K60" s="2">
        <f>K5*'Output-Calculation-sheet'!K49/10^9</f>
        <v>0.33969559657159665</v>
      </c>
      <c r="L60" s="2">
        <f>L5*'Output-Calculation-sheet'!L49/10^9</f>
        <v>0.44360234327415821</v>
      </c>
      <c r="M60" s="2">
        <f>M5*'Output-Calculation-sheet'!M49/10^9</f>
        <v>0.38393605865104324</v>
      </c>
      <c r="N60" s="2">
        <f>N5*'Output-Calculation-sheet'!N49/10^9</f>
        <v>0.32138992630717933</v>
      </c>
      <c r="O60" s="2">
        <f>O5*'Output-Calculation-sheet'!O49/10^9</f>
        <v>0.32214782965874689</v>
      </c>
      <c r="P60" s="2">
        <f>P5*'Output-Calculation-sheet'!P49/10^9</f>
        <v>0.33610445220847507</v>
      </c>
      <c r="Q60" s="2">
        <f>Q5*'Output-Calculation-sheet'!Q49/10^9</f>
        <v>0.291508831213391</v>
      </c>
      <c r="R60" s="2">
        <f>R5*'Output-Calculation-sheet'!R49/10^9</f>
        <v>0.30477495988604686</v>
      </c>
      <c r="S60" s="2">
        <f>S5*'Output-Calculation-sheet'!S49/10^9</f>
        <v>0.2147449171205105</v>
      </c>
      <c r="T60" s="2">
        <f>T5*'Output-Calculation-sheet'!T49/10^9</f>
        <v>0.13358478288436523</v>
      </c>
      <c r="U60" s="2">
        <f>U5*'Output-Calculation-sheet'!U49/10^9</f>
        <v>9.8155441098423488E-2</v>
      </c>
      <c r="V60" s="2">
        <f>V5*'Output-Calculation-sheet'!V49/10^9</f>
        <v>0.1866653328911749</v>
      </c>
      <c r="W60" s="2">
        <f>W5*'Output-Calculation-sheet'!W49/10^9</f>
        <v>7.4329551844645445E-2</v>
      </c>
      <c r="X60" s="2">
        <f>X5*'Output-Calculation-sheet'!X49/10^9</f>
        <v>5.4517657013671124E-2</v>
      </c>
      <c r="Y60" s="2">
        <f>Y5*'Output-Calculation-sheet'!Y49/10^9</f>
        <v>3.9426699172199708E-2</v>
      </c>
      <c r="AA60" s="2">
        <f t="shared" ref="AA60:AA67" si="4">SUM(B60:Y60)</f>
        <v>15.579679919887363</v>
      </c>
    </row>
    <row r="61" spans="1:27" x14ac:dyDescent="0.25">
      <c r="A61" s="2">
        <v>2029</v>
      </c>
      <c r="B61" s="2">
        <f>B6*'Output-Calculation-sheet'!B50/10^9</f>
        <v>5.8230241322488219</v>
      </c>
      <c r="C61" s="2">
        <f>C6*'Output-Calculation-sheet'!C50/10^9</f>
        <v>2.4956706135048767</v>
      </c>
      <c r="D61" s="2">
        <f>D6*'Output-Calculation-sheet'!D50/10^9</f>
        <v>1.4989299605219628</v>
      </c>
      <c r="E61" s="2">
        <f>E6*'Output-Calculation-sheet'!E50/10^9</f>
        <v>1.7326290389010897</v>
      </c>
      <c r="F61" s="2">
        <f>F6*'Output-Calculation-sheet'!F50/10^9</f>
        <v>0.79947958404968023</v>
      </c>
      <c r="G61" s="2">
        <f>G6*'Output-Calculation-sheet'!G50/10^9</f>
        <v>0.62510338692268219</v>
      </c>
      <c r="H61" s="2">
        <f>H6*'Output-Calculation-sheet'!H50/10^9</f>
        <v>0.64710172834274493</v>
      </c>
      <c r="I61" s="2">
        <f>I6*'Output-Calculation-sheet'!I50/10^9</f>
        <v>0.47662973874048392</v>
      </c>
      <c r="J61" s="2">
        <f>J6*'Output-Calculation-sheet'!J50/10^9</f>
        <v>0.72115226805161692</v>
      </c>
      <c r="K61" s="2">
        <f>K6*'Output-Calculation-sheet'!K50/10^9</f>
        <v>0.41874233049484172</v>
      </c>
      <c r="L61" s="2">
        <f>L6*'Output-Calculation-sheet'!L50/10^9</f>
        <v>0.53225349243892373</v>
      </c>
      <c r="M61" s="2">
        <f>M6*'Output-Calculation-sheet'!M50/10^9</f>
        <v>0.49001028372722777</v>
      </c>
      <c r="N61" s="2">
        <f>N6*'Output-Calculation-sheet'!N50/10^9</f>
        <v>0.41751227209840053</v>
      </c>
      <c r="O61" s="2">
        <f>O6*'Output-Calculation-sheet'!O50/10^9</f>
        <v>0.43472283745547308</v>
      </c>
      <c r="P61" s="2">
        <f>P6*'Output-Calculation-sheet'!P50/10^9</f>
        <v>0.41434755793657824</v>
      </c>
      <c r="Q61" s="2">
        <f>Q6*'Output-Calculation-sheet'!Q50/10^9</f>
        <v>0.36705748239279634</v>
      </c>
      <c r="R61" s="2">
        <f>R6*'Output-Calculation-sheet'!R50/10^9</f>
        <v>0.37089122044638057</v>
      </c>
      <c r="S61" s="2">
        <f>S6*'Output-Calculation-sheet'!S50/10^9</f>
        <v>0.27191710796217078</v>
      </c>
      <c r="T61" s="2">
        <f>T6*'Output-Calculation-sheet'!T50/10^9</f>
        <v>0.15938015899136332</v>
      </c>
      <c r="U61" s="2">
        <f>U6*'Output-Calculation-sheet'!U50/10^9</f>
        <v>0.11898962464208346</v>
      </c>
      <c r="V61" s="2">
        <f>V6*'Output-Calculation-sheet'!V50/10^9</f>
        <v>0.21828204799572898</v>
      </c>
      <c r="W61" s="2">
        <f>W6*'Output-Calculation-sheet'!W50/10^9</f>
        <v>8.8074593080952224E-2</v>
      </c>
      <c r="X61" s="2">
        <f>X6*'Output-Calculation-sheet'!X50/10^9</f>
        <v>6.8759094375623803E-2</v>
      </c>
      <c r="Y61" s="2">
        <f>Y6*'Output-Calculation-sheet'!Y50/10^9</f>
        <v>4.7777096463677435E-2</v>
      </c>
      <c r="AA61" s="2">
        <f t="shared" si="4"/>
        <v>19.238437651786185</v>
      </c>
    </row>
    <row r="62" spans="1:27" x14ac:dyDescent="0.25">
      <c r="A62" s="2">
        <v>2030</v>
      </c>
      <c r="B62" s="2">
        <f>B7*'Output-Calculation-sheet'!B51/10^9</f>
        <v>6.5468753784999008</v>
      </c>
      <c r="C62" s="2">
        <f>C7*'Output-Calculation-sheet'!C51/10^9</f>
        <v>3.2536589211629336</v>
      </c>
      <c r="D62" s="2">
        <f>D7*'Output-Calculation-sheet'!D51/10^9</f>
        <v>1.6309802394373847</v>
      </c>
      <c r="E62" s="2">
        <f>E7*'Output-Calculation-sheet'!E51/10^9</f>
        <v>1.8767775071727353</v>
      </c>
      <c r="F62" s="2">
        <f>F7*'Output-Calculation-sheet'!F51/10^9</f>
        <v>0.87091549275422409</v>
      </c>
      <c r="G62" s="2">
        <f>G7*'Output-Calculation-sheet'!G51/10^9</f>
        <v>0.67363822312895216</v>
      </c>
      <c r="H62" s="2">
        <f>H7*'Output-Calculation-sheet'!H51/10^9</f>
        <v>0.82019687170554023</v>
      </c>
      <c r="I62" s="2">
        <f>I7*'Output-Calculation-sheet'!I51/10^9</f>
        <v>0.52165194029721884</v>
      </c>
      <c r="J62" s="2">
        <f>J7*'Output-Calculation-sheet'!J51/10^9</f>
        <v>0.76635689867630996</v>
      </c>
      <c r="K62" s="2">
        <f>K7*'Output-Calculation-sheet'!K51/10^9</f>
        <v>0.46970224681949979</v>
      </c>
      <c r="L62" s="2">
        <f>L7*'Output-Calculation-sheet'!L51/10^9</f>
        <v>0.57838143696816857</v>
      </c>
      <c r="M62" s="2">
        <f>M7*'Output-Calculation-sheet'!M51/10^9</f>
        <v>0.61113282077709796</v>
      </c>
      <c r="N62" s="2">
        <f>N7*'Output-Calculation-sheet'!N51/10^9</f>
        <v>0.49928753376206381</v>
      </c>
      <c r="O62" s="2">
        <f>O7*'Output-Calculation-sheet'!O51/10^9</f>
        <v>0.56811361237276481</v>
      </c>
      <c r="P62" s="2">
        <f>P7*'Output-Calculation-sheet'!P51/10^9</f>
        <v>0.46481353248536339</v>
      </c>
      <c r="Q62" s="2">
        <f>Q7*'Output-Calculation-sheet'!Q51/10^9</f>
        <v>0.42298319769711906</v>
      </c>
      <c r="R62" s="2">
        <f>R7*'Output-Calculation-sheet'!R51/10^9</f>
        <v>0.40988120642848858</v>
      </c>
      <c r="S62" s="2">
        <f>S7*'Output-Calculation-sheet'!S51/10^9</f>
        <v>0.31778009361782761</v>
      </c>
      <c r="T62" s="2">
        <f>T7*'Output-Calculation-sheet'!T51/10^9</f>
        <v>0.17200909071845374</v>
      </c>
      <c r="U62" s="2">
        <f>U7*'Output-Calculation-sheet'!U51/10^9</f>
        <v>0.13090339822213007</v>
      </c>
      <c r="V62" s="2">
        <f>V7*'Output-Calculation-sheet'!V51/10^9</f>
        <v>0.22972465608049525</v>
      </c>
      <c r="W62" s="2">
        <f>W7*'Output-Calculation-sheet'!W51/10^9</f>
        <v>9.4249671522577669E-2</v>
      </c>
      <c r="X62" s="2">
        <f>X7*'Output-Calculation-sheet'!X51/10^9</f>
        <v>8.4540314754887769E-2</v>
      </c>
      <c r="Y62" s="2">
        <f>Y7*'Output-Calculation-sheet'!Y51/10^9</f>
        <v>5.2537076193140519E-2</v>
      </c>
      <c r="AA62" s="2">
        <f t="shared" si="4"/>
        <v>22.067091361255276</v>
      </c>
    </row>
    <row r="63" spans="1:27" x14ac:dyDescent="0.25">
      <c r="A63" s="2">
        <v>2031</v>
      </c>
      <c r="B63" s="2">
        <f>B8*'Output-Calculation-sheet'!B52/10^9</f>
        <v>6.9403720663057316</v>
      </c>
      <c r="C63" s="2">
        <f>C8*'Output-Calculation-sheet'!C52/10^9</f>
        <v>3.9494343470670104</v>
      </c>
      <c r="D63" s="2">
        <f>D8*'Output-Calculation-sheet'!D52/10^9</f>
        <v>1.6250122600534029</v>
      </c>
      <c r="E63" s="2">
        <f>E8*'Output-Calculation-sheet'!E52/10^9</f>
        <v>1.8590949169292508</v>
      </c>
      <c r="F63" s="2">
        <f>F8*'Output-Calculation-sheet'!F52/10^9</f>
        <v>0.86900833929730226</v>
      </c>
      <c r="G63" s="2">
        <f>G8*'Output-Calculation-sheet'!G52/10^9</f>
        <v>0.66284903451903554</v>
      </c>
      <c r="H63" s="2">
        <f>H8*'Output-Calculation-sheet'!H52/10^9</f>
        <v>0.99080034101952275</v>
      </c>
      <c r="I63" s="2">
        <f>I8*'Output-Calculation-sheet'!I52/10^9</f>
        <v>0.5236066815359669</v>
      </c>
      <c r="J63" s="2">
        <f>J8*'Output-Calculation-sheet'!J52/10^9</f>
        <v>0.7402066334507591</v>
      </c>
      <c r="K63" s="2">
        <f>K8*'Output-Calculation-sheet'!K52/10^9</f>
        <v>0.48590809280444769</v>
      </c>
      <c r="L63" s="2">
        <f>L8*'Output-Calculation-sheet'!L52/10^9</f>
        <v>0.5752949859075861</v>
      </c>
      <c r="M63" s="2">
        <f>M8*'Output-Calculation-sheet'!M52/10^9</f>
        <v>0.72543894382776986</v>
      </c>
      <c r="N63" s="2">
        <f>N8*'Output-Calculation-sheet'!N52/10^9</f>
        <v>0.57843035924797725</v>
      </c>
      <c r="O63" s="2">
        <f>O8*'Output-Calculation-sheet'!O52/10^9</f>
        <v>0.68645625213580597</v>
      </c>
      <c r="P63" s="2">
        <f>P8*'Output-Calculation-sheet'!P52/10^9</f>
        <v>0.49417775807467956</v>
      </c>
      <c r="Q63" s="2">
        <f>Q8*'Output-Calculation-sheet'!Q52/10^9</f>
        <v>0.4609590302497637</v>
      </c>
      <c r="R63" s="2">
        <f>R8*'Output-Calculation-sheet'!R52/10^9</f>
        <v>0.41752062747516472</v>
      </c>
      <c r="S63" s="2">
        <f>S8*'Output-Calculation-sheet'!S52/10^9</f>
        <v>0.35425174839395429</v>
      </c>
      <c r="T63" s="2">
        <f>T8*'Output-Calculation-sheet'!T52/10^9</f>
        <v>0.16958111617514035</v>
      </c>
      <c r="U63" s="2">
        <f>U8*'Output-Calculation-sheet'!U52/10^9</f>
        <v>0.13224769593275157</v>
      </c>
      <c r="V63" s="2">
        <f>V8*'Output-Calculation-sheet'!V52/10^9</f>
        <v>0.218963778203141</v>
      </c>
      <c r="W63" s="2">
        <f>W8*'Output-Calculation-sheet'!W52/10^9</f>
        <v>9.1886949020658235E-2</v>
      </c>
      <c r="X63" s="2">
        <f>X8*'Output-Calculation-sheet'!X52/10^9</f>
        <v>9.7916911264010559E-2</v>
      </c>
      <c r="Y63" s="2">
        <f>Y8*'Output-Calculation-sheet'!Y52/10^9</f>
        <v>5.3061269461925221E-2</v>
      </c>
      <c r="AA63" s="2">
        <f t="shared" si="4"/>
        <v>23.702480138352758</v>
      </c>
    </row>
    <row r="64" spans="1:27" x14ac:dyDescent="0.25">
      <c r="A64" s="2">
        <v>2032</v>
      </c>
      <c r="B64" s="2">
        <f>B9*'Output-Calculation-sheet'!B53/10^9</f>
        <v>7.0226584861085399</v>
      </c>
      <c r="C64" s="2">
        <f>C9*'Output-Calculation-sheet'!C53/10^9</f>
        <v>4.4118226662226645</v>
      </c>
      <c r="D64" s="2">
        <f>D9*'Output-Calculation-sheet'!D53/10^9</f>
        <v>1.4746549264989262</v>
      </c>
      <c r="E64" s="2">
        <f>E9*'Output-Calculation-sheet'!E53/10^9</f>
        <v>1.7218405603748252</v>
      </c>
      <c r="F64" s="2">
        <f>F9*'Output-Calculation-sheet'!F53/10^9</f>
        <v>0.79012428895611841</v>
      </c>
      <c r="G64" s="2">
        <f>G9*'Output-Calculation-sheet'!G53/10^9</f>
        <v>0.59161165099747426</v>
      </c>
      <c r="H64" s="2">
        <f>H9*'Output-Calculation-sheet'!H53/10^9</f>
        <v>1.1018096113119233</v>
      </c>
      <c r="I64" s="2">
        <f>I9*'Output-Calculation-sheet'!I53/10^9</f>
        <v>0.47975655656126992</v>
      </c>
      <c r="J64" s="2">
        <f>J9*'Output-Calculation-sheet'!J53/10^9</f>
        <v>0.64393636267249177</v>
      </c>
      <c r="K64" s="2">
        <f>K9*'Output-Calculation-sheet'!K53/10^9</f>
        <v>0.47536772954389422</v>
      </c>
      <c r="L64" s="2">
        <f>L9*'Output-Calculation-sheet'!L53/10^9</f>
        <v>0.53368152082584874</v>
      </c>
      <c r="M64" s="2">
        <f>M9*'Output-Calculation-sheet'!M53/10^9</f>
        <v>0.79455936714581943</v>
      </c>
      <c r="N64" s="2">
        <f>N9*'Output-Calculation-sheet'!N53/10^9</f>
        <v>0.64938019856393192</v>
      </c>
      <c r="O64" s="2">
        <f>O9*'Output-Calculation-sheet'!O53/10^9</f>
        <v>0.76713193177849404</v>
      </c>
      <c r="P64" s="2">
        <f>P9*'Output-Calculation-sheet'!P53/10^9</f>
        <v>0.50723199083162429</v>
      </c>
      <c r="Q64" s="2">
        <f>Q9*'Output-Calculation-sheet'!Q53/10^9</f>
        <v>0.48113392290815765</v>
      </c>
      <c r="R64" s="2">
        <f>R9*'Output-Calculation-sheet'!R53/10^9</f>
        <v>0.40930934741300107</v>
      </c>
      <c r="S64" s="2">
        <f>S9*'Output-Calculation-sheet'!S53/10^9</f>
        <v>0.3848052255937548</v>
      </c>
      <c r="T64" s="2">
        <f>T9*'Output-Calculation-sheet'!T53/10^9</f>
        <v>0.15300818102631672</v>
      </c>
      <c r="U64" s="2">
        <f>U9*'Output-Calculation-sheet'!U53/10^9</f>
        <v>0.13036211568056447</v>
      </c>
      <c r="V64" s="2">
        <f>V9*'Output-Calculation-sheet'!V53/10^9</f>
        <v>0.18999855997210946</v>
      </c>
      <c r="W64" s="2">
        <f>W9*'Output-Calculation-sheet'!W53/10^9</f>
        <v>8.0983743216133539E-2</v>
      </c>
      <c r="X64" s="2">
        <f>X9*'Output-Calculation-sheet'!X53/10^9</f>
        <v>0.10467494313913223</v>
      </c>
      <c r="Y64" s="2">
        <f>Y9*'Output-Calculation-sheet'!Y53/10^9</f>
        <v>5.1510151139117971E-2</v>
      </c>
      <c r="AA64" s="2">
        <f t="shared" si="4"/>
        <v>23.951354038482133</v>
      </c>
    </row>
    <row r="65" spans="1:27" x14ac:dyDescent="0.25">
      <c r="A65" s="2">
        <v>2033</v>
      </c>
      <c r="B65" s="2">
        <f>B10*'Output-Calculation-sheet'!B54/10^9</f>
        <v>7.0780975548072416</v>
      </c>
      <c r="C65" s="2">
        <f>C10*'Output-Calculation-sheet'!C54/10^9</f>
        <v>4.651897314458977</v>
      </c>
      <c r="D65" s="2">
        <f>D10*'Output-Calculation-sheet'!D54/10^9</f>
        <v>1.2616441071952054</v>
      </c>
      <c r="E65" s="2">
        <f>E10*'Output-Calculation-sheet'!E54/10^9</f>
        <v>1.6067288070017238</v>
      </c>
      <c r="F65" s="2">
        <f>F10*'Output-Calculation-sheet'!F54/10^9</f>
        <v>0.69042523207293749</v>
      </c>
      <c r="G65" s="2">
        <f>G10*'Output-Calculation-sheet'!G54/10^9</f>
        <v>0.49154868570126015</v>
      </c>
      <c r="H65" s="2">
        <f>H10*'Output-Calculation-sheet'!H54/10^9</f>
        <v>1.1550037369449619</v>
      </c>
      <c r="I65" s="2">
        <f>I10*'Output-Calculation-sheet'!I54/10^9</f>
        <v>0.43098548336540543</v>
      </c>
      <c r="J65" s="2">
        <f>J10*'Output-Calculation-sheet'!J54/10^9</f>
        <v>0.50992425373780603</v>
      </c>
      <c r="K65" s="2">
        <f>K10*'Output-Calculation-sheet'!K54/10^9</f>
        <v>0.47715978574844381</v>
      </c>
      <c r="L65" s="2">
        <f>L10*'Output-Calculation-sheet'!L54/10^9</f>
        <v>0.49210991770026741</v>
      </c>
      <c r="M65" s="2">
        <f>M10*'Output-Calculation-sheet'!M54/10^9</f>
        <v>0.82127979219394998</v>
      </c>
      <c r="N65" s="2">
        <f>N10*'Output-Calculation-sheet'!N54/10^9</f>
        <v>0.6998149663574974</v>
      </c>
      <c r="O65" s="2">
        <f>O10*'Output-Calculation-sheet'!O54/10^9</f>
        <v>0.81427752334552006</v>
      </c>
      <c r="P65" s="2">
        <f>P10*'Output-Calculation-sheet'!P54/10^9</f>
        <v>0.51623431393791008</v>
      </c>
      <c r="Q65" s="2">
        <f>Q10*'Output-Calculation-sheet'!Q54/10^9</f>
        <v>0.5094175155451206</v>
      </c>
      <c r="R65" s="2">
        <f>R10*'Output-Calculation-sheet'!R54/10^9</f>
        <v>0.40384481458067278</v>
      </c>
      <c r="S65" s="2">
        <f>S10*'Output-Calculation-sheet'!S54/10^9</f>
        <v>0.40532098312964598</v>
      </c>
      <c r="T65" s="2">
        <f>T10*'Output-Calculation-sheet'!T54/10^9</f>
        <v>0.13675717548391628</v>
      </c>
      <c r="U65" s="2">
        <f>U10*'Output-Calculation-sheet'!U54/10^9</f>
        <v>0.13134624074736989</v>
      </c>
      <c r="V65" s="2">
        <f>V10*'Output-Calculation-sheet'!V54/10^9</f>
        <v>0.15475627554142316</v>
      </c>
      <c r="W65" s="2">
        <f>W10*'Output-Calculation-sheet'!W54/10^9</f>
        <v>6.6139787998956534E-2</v>
      </c>
      <c r="X65" s="2">
        <f>X10*'Output-Calculation-sheet'!X54/10^9</f>
        <v>0.10631733411305554</v>
      </c>
      <c r="Y65" s="2">
        <f>Y10*'Output-Calculation-sheet'!Y54/10^9</f>
        <v>5.1307571666807439E-2</v>
      </c>
      <c r="AA65" s="2">
        <f t="shared" si="4"/>
        <v>23.662339173376076</v>
      </c>
    </row>
    <row r="66" spans="1:27" x14ac:dyDescent="0.25">
      <c r="A66" s="2">
        <v>2034</v>
      </c>
      <c r="B66" s="2">
        <f>B11*'Output-Calculation-sheet'!B55/10^9</f>
        <v>7.0288342310855842</v>
      </c>
      <c r="C66" s="2">
        <f>C11*'Output-Calculation-sheet'!C55/10^9</f>
        <v>4.6713595591328367</v>
      </c>
      <c r="D66" s="2">
        <f>D11*'Output-Calculation-sheet'!D55/10^9</f>
        <v>1.2716327905806675</v>
      </c>
      <c r="E66" s="2">
        <f>E11*'Output-Calculation-sheet'!E55/10^9</f>
        <v>1.6469675869165796</v>
      </c>
      <c r="F66" s="2">
        <f>F11*'Output-Calculation-sheet'!F55/10^9</f>
        <v>0.64816185619604993</v>
      </c>
      <c r="G66" s="2">
        <f>G11*'Output-Calculation-sheet'!G55/10^9</f>
        <v>0.47286021839582948</v>
      </c>
      <c r="H66" s="2">
        <f>H11*'Output-Calculation-sheet'!H55/10^9</f>
        <v>1.1800624297372919</v>
      </c>
      <c r="I66" s="2">
        <f>I11*'Output-Calculation-sheet'!I55/10^9</f>
        <v>0.4395780815295639</v>
      </c>
      <c r="J66" s="2">
        <f>J11*'Output-Calculation-sheet'!J55/10^9</f>
        <v>0.44259279042861072</v>
      </c>
      <c r="K66" s="2">
        <f>K11*'Output-Calculation-sheet'!K55/10^9</f>
        <v>0.50393167287885565</v>
      </c>
      <c r="L66" s="2">
        <f>L11*'Output-Calculation-sheet'!L55/10^9</f>
        <v>0.48855542426145288</v>
      </c>
      <c r="M66" s="2">
        <f>M11*'Output-Calculation-sheet'!M55/10^9</f>
        <v>0.82936193873462527</v>
      </c>
      <c r="N66" s="2">
        <f>N11*'Output-Calculation-sheet'!N55/10^9</f>
        <v>0.72098026220143341</v>
      </c>
      <c r="O66" s="2">
        <f>O11*'Output-Calculation-sheet'!O55/10^9</f>
        <v>0.8220152348273525</v>
      </c>
      <c r="P66" s="2">
        <f>P11*'Output-Calculation-sheet'!P55/10^9</f>
        <v>0.52710891495632162</v>
      </c>
      <c r="Q66" s="2">
        <f>Q11*'Output-Calculation-sheet'!Q55/10^9</f>
        <v>0.54218643973343061</v>
      </c>
      <c r="R66" s="2">
        <f>R11*'Output-Calculation-sheet'!R55/10^9</f>
        <v>0.40115366794792279</v>
      </c>
      <c r="S66" s="2">
        <f>S11*'Output-Calculation-sheet'!S55/10^9</f>
        <v>0.41642221241736277</v>
      </c>
      <c r="T66" s="2">
        <f>T11*'Output-Calculation-sheet'!T55/10^9</f>
        <v>0.12568946845061685</v>
      </c>
      <c r="U66" s="2">
        <f>U11*'Output-Calculation-sheet'!U55/10^9</f>
        <v>0.13679638992457441</v>
      </c>
      <c r="V66" s="2">
        <f>V11*'Output-Calculation-sheet'!V55/10^9</f>
        <v>0.11878816232586706</v>
      </c>
      <c r="W66" s="2">
        <f>W11*'Output-Calculation-sheet'!W55/10^9</f>
        <v>5.8194779332993614E-2</v>
      </c>
      <c r="X66" s="2">
        <f>X11*'Output-Calculation-sheet'!X55/10^9</f>
        <v>0.10874756150744534</v>
      </c>
      <c r="Y66" s="2">
        <f>Y11*'Output-Calculation-sheet'!Y55/10^9</f>
        <v>5.5837546716637793E-2</v>
      </c>
      <c r="AA66" s="2">
        <f t="shared" si="4"/>
        <v>23.657819220219903</v>
      </c>
    </row>
    <row r="67" spans="1:27" x14ac:dyDescent="0.25">
      <c r="A67" s="2">
        <v>2035</v>
      </c>
      <c r="B67" s="2">
        <f>B12*'Output-Calculation-sheet'!B56/10^9</f>
        <v>7.0490646415660336</v>
      </c>
      <c r="C67" s="2">
        <f>C12*'Output-Calculation-sheet'!C56/10^9</f>
        <v>4.454483010850228</v>
      </c>
      <c r="D67" s="2">
        <f>D12*'Output-Calculation-sheet'!D56/10^9</f>
        <v>1.3981793368015234</v>
      </c>
      <c r="E67" s="2">
        <f>E12*'Output-Calculation-sheet'!E56/10^9</f>
        <v>1.9120881830985255</v>
      </c>
      <c r="F67" s="2">
        <f>F12*'Output-Calculation-sheet'!F56/10^9</f>
        <v>0.74941148020546555</v>
      </c>
      <c r="G67" s="2">
        <f>G12*'Output-Calculation-sheet'!G56/10^9</f>
        <v>0.55293729411909487</v>
      </c>
      <c r="H67" s="2">
        <f>H12*'Output-Calculation-sheet'!H56/10^9</f>
        <v>1.175769003893085</v>
      </c>
      <c r="I67" s="2">
        <f>I12*'Output-Calculation-sheet'!I56/10^9</f>
        <v>0.50662678057383614</v>
      </c>
      <c r="J67" s="2">
        <f>J12*'Output-Calculation-sheet'!J56/10^9</f>
        <v>0.46347731292536404</v>
      </c>
      <c r="K67" s="2">
        <f>K12*'Output-Calculation-sheet'!K56/10^9</f>
        <v>0.55530385105282876</v>
      </c>
      <c r="L67" s="2">
        <f>L12*'Output-Calculation-sheet'!L56/10^9</f>
        <v>0.51770973325466796</v>
      </c>
      <c r="M67" s="2">
        <f>M12*'Output-Calculation-sheet'!M56/10^9</f>
        <v>0.83191412926103192</v>
      </c>
      <c r="N67" s="2">
        <f>N12*'Output-Calculation-sheet'!N56/10^9</f>
        <v>0.71053178898597147</v>
      </c>
      <c r="O67" s="2">
        <f>O12*'Output-Calculation-sheet'!O56/10^9</f>
        <v>0.78587771967465647</v>
      </c>
      <c r="P67" s="2">
        <f>P12*'Output-Calculation-sheet'!P56/10^9</f>
        <v>0.5766127923460036</v>
      </c>
      <c r="Q67" s="2">
        <f>Q12*'Output-Calculation-sheet'!Q56/10^9</f>
        <v>0.54469741593252341</v>
      </c>
      <c r="R67" s="2">
        <f>R12*'Output-Calculation-sheet'!R56/10^9</f>
        <v>0.42771831917277886</v>
      </c>
      <c r="S67" s="2">
        <f>S12*'Output-Calculation-sheet'!S56/10^9</f>
        <v>0.41289361022995458</v>
      </c>
      <c r="T67" s="2">
        <f>T12*'Output-Calculation-sheet'!T56/10^9</f>
        <v>0.13300313617205189</v>
      </c>
      <c r="U67" s="2">
        <f>U12*'Output-Calculation-sheet'!U56/10^9</f>
        <v>0.14379540593141285</v>
      </c>
      <c r="V67" s="2">
        <f>V12*'Output-Calculation-sheet'!V56/10^9</f>
        <v>0.10265232440744189</v>
      </c>
      <c r="W67" s="2">
        <f>W12*'Output-Calculation-sheet'!W56/10^9</f>
        <v>6.9609936376977349E-2</v>
      </c>
      <c r="X67" s="2">
        <f>X12*'Output-Calculation-sheet'!X56/10^9</f>
        <v>0.10805981869320831</v>
      </c>
      <c r="Y67" s="2">
        <f>Y12*'Output-Calculation-sheet'!Y56/10^9</f>
        <v>6.4953140315388833E-2</v>
      </c>
      <c r="AA67" s="2">
        <f t="shared" si="4"/>
        <v>24.24737016584006</v>
      </c>
    </row>
    <row r="68" spans="1:27" x14ac:dyDescent="0.25">
      <c r="B68" s="2">
        <f>SUM(B60:B67)</f>
        <v>52.221453112422054</v>
      </c>
      <c r="C68" s="2">
        <f t="shared" ref="C68:Y68" si="5">SUM(C60:C67)</f>
        <v>29.79715433638918</v>
      </c>
      <c r="D68" s="2">
        <f t="shared" si="5"/>
        <v>11.408944931487309</v>
      </c>
      <c r="E68" s="2">
        <f t="shared" si="5"/>
        <v>13.803983635969646</v>
      </c>
      <c r="F68" s="2">
        <f t="shared" si="5"/>
        <v>6.0824839055838318</v>
      </c>
      <c r="G68" s="2">
        <f t="shared" si="5"/>
        <v>4.5951122636092663</v>
      </c>
      <c r="H68" s="2">
        <f t="shared" si="5"/>
        <v>7.572302361248739</v>
      </c>
      <c r="I68" s="2">
        <f t="shared" si="5"/>
        <v>3.7737229409665218</v>
      </c>
      <c r="J68" s="2">
        <f t="shared" si="5"/>
        <v>4.8996514697382523</v>
      </c>
      <c r="K68" s="2">
        <f t="shared" si="5"/>
        <v>3.7258113059144078</v>
      </c>
      <c r="L68" s="2">
        <f t="shared" si="5"/>
        <v>4.1615888546310735</v>
      </c>
      <c r="M68" s="2">
        <f t="shared" si="5"/>
        <v>5.4876333343185664</v>
      </c>
      <c r="N68" s="2">
        <f t="shared" si="5"/>
        <v>4.5973273075244547</v>
      </c>
      <c r="O68" s="2">
        <f t="shared" si="5"/>
        <v>5.200742941248814</v>
      </c>
      <c r="P68" s="2">
        <f t="shared" si="5"/>
        <v>3.836631312776956</v>
      </c>
      <c r="Q68" s="2">
        <f t="shared" si="5"/>
        <v>3.6199438356723026</v>
      </c>
      <c r="R68" s="2">
        <f t="shared" si="5"/>
        <v>3.1450941633504557</v>
      </c>
      <c r="S68" s="2">
        <f t="shared" si="5"/>
        <v>2.7781358984651812</v>
      </c>
      <c r="T68" s="2">
        <f t="shared" si="5"/>
        <v>1.1830131099022243</v>
      </c>
      <c r="U68" s="2">
        <f t="shared" si="5"/>
        <v>1.0225963121793102</v>
      </c>
      <c r="V68" s="2">
        <f t="shared" si="5"/>
        <v>1.4198311374173818</v>
      </c>
      <c r="W68" s="2">
        <f t="shared" si="5"/>
        <v>0.62346901239389463</v>
      </c>
      <c r="X68" s="2">
        <f t="shared" si="5"/>
        <v>0.73353363486103473</v>
      </c>
      <c r="Y68" s="2">
        <f t="shared" si="5"/>
        <v>0.41641055112889497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1931.4884120842491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457.51087002872498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312.85658932672447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41.70491284410685</v>
      </c>
      <c r="Y73" s="2">
        <f>Y7/'Output-Calculation-sheet'!Y6*'Output-Calculation-sheet'!Y60</f>
        <v>0</v>
      </c>
      <c r="AA73" s="2">
        <f t="shared" si="6"/>
        <v>2.7435607842838055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4279.2356771429677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1431.6997617967509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956.04620695048914</v>
      </c>
      <c r="N74" s="2">
        <f>N8/'Output-Calculation-sheet'!N7*'Output-Calculation-sheet'!N61</f>
        <v>39.961868755489569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118.48107048701841</v>
      </c>
      <c r="Y74" s="2">
        <f>Y8/'Output-Calculation-sheet'!Y7*'Output-Calculation-sheet'!Y61</f>
        <v>0</v>
      </c>
      <c r="AA74" s="2">
        <f t="shared" si="6"/>
        <v>6.8254245851327155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8224.8368546536803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2368.6110856051396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1608.0096126539636</v>
      </c>
      <c r="N75" s="2">
        <f>N9/'Output-Calculation-sheet'!N8*'Output-Calculation-sheet'!N62</f>
        <v>621.13150004100714</v>
      </c>
      <c r="O75" s="2">
        <f>O9/'Output-Calculation-sheet'!O8*'Output-Calculation-sheet'!O62</f>
        <v>0</v>
      </c>
      <c r="P75" s="2">
        <f>P9/'Output-Calculation-sheet'!P8*'Output-Calculation-sheet'!P62</f>
        <v>41.583774829181316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208.12619591961442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194.14366481064386</v>
      </c>
      <c r="Y75" s="2">
        <f>Y9/'Output-Calculation-sheet'!Y8*'Output-Calculation-sheet'!Y62</f>
        <v>0</v>
      </c>
      <c r="AA75" s="2">
        <f t="shared" si="6"/>
        <v>13.26644268851323</v>
      </c>
    </row>
    <row r="76" spans="1:27" x14ac:dyDescent="0.25">
      <c r="A76" s="2">
        <v>2033</v>
      </c>
      <c r="B76" s="2">
        <f>B10/'Output-Calculation-sheet'!B9*'Output-Calculation-sheet'!B63</f>
        <v>5030.9140756491397</v>
      </c>
      <c r="C76" s="2">
        <f>C10/'Output-Calculation-sheet'!C9*'Output-Calculation-sheet'!C63</f>
        <v>10275.426270899445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3276.1740324052521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85.868546329427375</v>
      </c>
      <c r="L76" s="2">
        <f>L10/'Output-Calculation-sheet'!L9*'Output-Calculation-sheet'!L63</f>
        <v>0</v>
      </c>
      <c r="M76" s="2">
        <f>M10/'Output-Calculation-sheet'!M9*'Output-Calculation-sheet'!M63</f>
        <v>2230.7422271435498</v>
      </c>
      <c r="N76" s="2">
        <f>N10/'Output-Calculation-sheet'!N9*'Output-Calculation-sheet'!N63</f>
        <v>1274.2987322595911</v>
      </c>
      <c r="O76" s="2">
        <f>O10/'Output-Calculation-sheet'!O9*'Output-Calculation-sheet'!O63</f>
        <v>0</v>
      </c>
      <c r="P76" s="2">
        <f>P10/'Output-Calculation-sheet'!P9*'Output-Calculation-sheet'!P63</f>
        <v>442.50153856839876</v>
      </c>
      <c r="Q76" s="2">
        <f>Q10/'Output-Calculation-sheet'!Q9*'Output-Calculation-sheet'!Q63</f>
        <v>199.58597674576487</v>
      </c>
      <c r="R76" s="2">
        <f>R10/'Output-Calculation-sheet'!R9*'Output-Calculation-sheet'!R63</f>
        <v>337.25691924351128</v>
      </c>
      <c r="S76" s="2">
        <f>S10/'Output-Calculation-sheet'!S9*'Output-Calculation-sheet'!S63</f>
        <v>566.65090422495416</v>
      </c>
      <c r="T76" s="2">
        <f>T10/'Output-Calculation-sheet'!T9*'Output-Calculation-sheet'!T63</f>
        <v>22.938168035626465</v>
      </c>
      <c r="U76" s="2">
        <f>U10/'Output-Calculation-sheet'!U9*'Output-Calculation-sheet'!U63</f>
        <v>119.17495715301922</v>
      </c>
      <c r="V76" s="2">
        <f>V10/'Output-Calculation-sheet'!V9*'Output-Calculation-sheet'!V63</f>
        <v>9.1449518620404131</v>
      </c>
      <c r="W76" s="2">
        <f>W10/'Output-Calculation-sheet'!W9*'Output-Calculation-sheet'!W63</f>
        <v>0</v>
      </c>
      <c r="X76" s="2">
        <f>X10/'Output-Calculation-sheet'!X9*'Output-Calculation-sheet'!X63</f>
        <v>262.68574823403401</v>
      </c>
      <c r="Y76" s="2">
        <f>Y10/'Output-Calculation-sheet'!Y9*'Output-Calculation-sheet'!Y63</f>
        <v>4.9834854414466232</v>
      </c>
      <c r="AA76" s="2">
        <f t="shared" si="6"/>
        <v>24.138346534195204</v>
      </c>
    </row>
    <row r="77" spans="1:27" x14ac:dyDescent="0.25">
      <c r="A77" s="2">
        <v>2034</v>
      </c>
      <c r="B77" s="2">
        <f>B11/'Output-Calculation-sheet'!B10*'Output-Calculation-sheet'!B64</f>
        <v>11712.107723228661</v>
      </c>
      <c r="C77" s="2">
        <f>C11/'Output-Calculation-sheet'!C10*'Output-Calculation-sheet'!C64</f>
        <v>10288.619517621433</v>
      </c>
      <c r="D77" s="2">
        <f>D11/'Output-Calculation-sheet'!D10*'Output-Calculation-sheet'!D64</f>
        <v>1443.5732834670134</v>
      </c>
      <c r="E77" s="2">
        <f>E11/'Output-Calculation-sheet'!E10*'Output-Calculation-sheet'!E64</f>
        <v>1783.7550652081848</v>
      </c>
      <c r="F77" s="2">
        <f>F11/'Output-Calculation-sheet'!F10*'Output-Calculation-sheet'!F64</f>
        <v>111.06465488265593</v>
      </c>
      <c r="G77" s="2">
        <f>G11/'Output-Calculation-sheet'!G10*'Output-Calculation-sheet'!G64</f>
        <v>762.21058307759574</v>
      </c>
      <c r="H77" s="2">
        <f>H11/'Output-Calculation-sheet'!H10*'Output-Calculation-sheet'!H64</f>
        <v>3776.3561302795979</v>
      </c>
      <c r="I77" s="2">
        <f>I11/'Output-Calculation-sheet'!I10*'Output-Calculation-sheet'!I64</f>
        <v>449.65933529969845</v>
      </c>
      <c r="J77" s="2">
        <f>J11/'Output-Calculation-sheet'!J10*'Output-Calculation-sheet'!J64</f>
        <v>320.53800555558735</v>
      </c>
      <c r="K77" s="2">
        <f>K11/'Output-Calculation-sheet'!K10*'Output-Calculation-sheet'!K64</f>
        <v>679.61186123389848</v>
      </c>
      <c r="L77" s="2">
        <f>L11/'Output-Calculation-sheet'!L10*'Output-Calculation-sheet'!L64</f>
        <v>295.08491237753861</v>
      </c>
      <c r="M77" s="2">
        <f>M11/'Output-Calculation-sheet'!M10*'Output-Calculation-sheet'!M64</f>
        <v>2685.9365412833013</v>
      </c>
      <c r="N77" s="2">
        <f>N11/'Output-Calculation-sheet'!N10*'Output-Calculation-sheet'!N64</f>
        <v>1910.977884338746</v>
      </c>
      <c r="O77" s="2">
        <f>O11/'Output-Calculation-sheet'!O10*'Output-Calculation-sheet'!O64</f>
        <v>66.627310292189108</v>
      </c>
      <c r="P77" s="2">
        <f>P11/'Output-Calculation-sheet'!P10*'Output-Calculation-sheet'!P64</f>
        <v>843.43479611692305</v>
      </c>
      <c r="Q77" s="2">
        <f>Q11/'Output-Calculation-sheet'!Q10*'Output-Calculation-sheet'!Q64</f>
        <v>481.28171658991033</v>
      </c>
      <c r="R77" s="2">
        <f>R11/'Output-Calculation-sheet'!R10*'Output-Calculation-sheet'!R64</f>
        <v>721.75982900871782</v>
      </c>
      <c r="S77" s="2">
        <f>S11/'Output-Calculation-sheet'!S10*'Output-Calculation-sheet'!S64</f>
        <v>965.03337038218399</v>
      </c>
      <c r="T77" s="2">
        <f>T11/'Output-Calculation-sheet'!T10*'Output-Calculation-sheet'!T64</f>
        <v>198.5671161329511</v>
      </c>
      <c r="U77" s="2">
        <f>U11/'Output-Calculation-sheet'!U10*'Output-Calculation-sheet'!U64</f>
        <v>263.91887827758865</v>
      </c>
      <c r="V77" s="2">
        <f>V11/'Output-Calculation-sheet'!V10*'Output-Calculation-sheet'!V64</f>
        <v>105.20607680253919</v>
      </c>
      <c r="W77" s="2">
        <f>W11/'Output-Calculation-sheet'!W10*'Output-Calculation-sheet'!W64</f>
        <v>22.22852053475194</v>
      </c>
      <c r="X77" s="2">
        <f>X11/'Output-Calculation-sheet'!X10*'Output-Calculation-sheet'!X64</f>
        <v>272.9196644331181</v>
      </c>
      <c r="Y77" s="2">
        <f>Y11/'Output-Calculation-sheet'!Y10*'Output-Calculation-sheet'!Y64</f>
        <v>66.081088059481274</v>
      </c>
      <c r="AA77" s="2">
        <f t="shared" si="6"/>
        <v>40.226553864484259</v>
      </c>
    </row>
    <row r="78" spans="1:27" x14ac:dyDescent="0.25">
      <c r="A78" s="2">
        <v>2035</v>
      </c>
      <c r="B78" s="2">
        <f>B12/'Output-Calculation-sheet'!B11*'Output-Calculation-sheet'!B65</f>
        <v>13641.899853705609</v>
      </c>
      <c r="C78" s="2">
        <f>C12/'Output-Calculation-sheet'!C11*'Output-Calculation-sheet'!C65</f>
        <v>9633.6203311445006</v>
      </c>
      <c r="D78" s="2">
        <f>D12/'Output-Calculation-sheet'!D11*'Output-Calculation-sheet'!D65</f>
        <v>1448.3059563542968</v>
      </c>
      <c r="E78" s="2">
        <f>E12/'Output-Calculation-sheet'!E11*'Output-Calculation-sheet'!E65</f>
        <v>2753.1911207323037</v>
      </c>
      <c r="F78" s="2">
        <f>F12/'Output-Calculation-sheet'!F11*'Output-Calculation-sheet'!F65</f>
        <v>583.17539127572343</v>
      </c>
      <c r="G78" s="2">
        <f>G12/'Output-Calculation-sheet'!G11*'Output-Calculation-sheet'!G65</f>
        <v>1094.2592517273474</v>
      </c>
      <c r="H78" s="2">
        <f>H12/'Output-Calculation-sheet'!H11*'Output-Calculation-sheet'!H65</f>
        <v>3523.0831719586181</v>
      </c>
      <c r="I78" s="2">
        <f>I12/'Output-Calculation-sheet'!I11*'Output-Calculation-sheet'!I65</f>
        <v>643.45905544382026</v>
      </c>
      <c r="J78" s="2">
        <f>J12/'Output-Calculation-sheet'!J11*'Output-Calculation-sheet'!J65</f>
        <v>577.07445836903037</v>
      </c>
      <c r="K78" s="2">
        <f>K12/'Output-Calculation-sheet'!K11*'Output-Calculation-sheet'!K65</f>
        <v>728.2400213083979</v>
      </c>
      <c r="L78" s="2">
        <f>L12/'Output-Calculation-sheet'!L11*'Output-Calculation-sheet'!L65</f>
        <v>433.00200106334796</v>
      </c>
      <c r="M78" s="2">
        <f>M12/'Output-Calculation-sheet'!M11*'Output-Calculation-sheet'!M65</f>
        <v>2507.8360683200144</v>
      </c>
      <c r="N78" s="2">
        <f>N12/'Output-Calculation-sheet'!N11*'Output-Calculation-sheet'!N65</f>
        <v>1763.4137438585133</v>
      </c>
      <c r="O78" s="2">
        <f>O12/'Output-Calculation-sheet'!O11*'Output-Calculation-sheet'!O65</f>
        <v>247.20781734761957</v>
      </c>
      <c r="P78" s="2">
        <f>P12/'Output-Calculation-sheet'!P11*'Output-Calculation-sheet'!P65</f>
        <v>1002.4820920559695</v>
      </c>
      <c r="Q78" s="2">
        <f>Q12/'Output-Calculation-sheet'!Q11*'Output-Calculation-sheet'!Q65</f>
        <v>504.23854665981656</v>
      </c>
      <c r="R78" s="2">
        <f>R12/'Output-Calculation-sheet'!R11*'Output-Calculation-sheet'!R65</f>
        <v>831.13769332563834</v>
      </c>
      <c r="S78" s="2">
        <f>S12/'Output-Calculation-sheet'!S11*'Output-Calculation-sheet'!S65</f>
        <v>937.65159499995434</v>
      </c>
      <c r="T78" s="2">
        <f>T12/'Output-Calculation-sheet'!T11*'Output-Calculation-sheet'!T65</f>
        <v>298.85777189156352</v>
      </c>
      <c r="U78" s="2">
        <f>U12/'Output-Calculation-sheet'!U11*'Output-Calculation-sheet'!U65</f>
        <v>256.06578477630177</v>
      </c>
      <c r="V78" s="2">
        <f>V12/'Output-Calculation-sheet'!V11*'Output-Calculation-sheet'!V65</f>
        <v>161.28728589941318</v>
      </c>
      <c r="W78" s="2">
        <f>W12/'Output-Calculation-sheet'!W11*'Output-Calculation-sheet'!W65</f>
        <v>113.59978085468816</v>
      </c>
      <c r="X78" s="2">
        <f>X12/'Output-Calculation-sheet'!X11*'Output-Calculation-sheet'!X65</f>
        <v>258.47607460639512</v>
      </c>
      <c r="Y78" s="2">
        <f>Y12/'Output-Calculation-sheet'!Y11*'Output-Calculation-sheet'!Y65</f>
        <v>110.88465622720862</v>
      </c>
      <c r="AA78" s="2">
        <f t="shared" si="6"/>
        <v>44.052449523906091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76.939468295261676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89.683613056855989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0.16662308135211765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261.87644387068872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186.54367589439261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0.44842011976508134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184.17181174140828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286.2370270407115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0.47040883878211981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370.86029779115182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360.24089437007865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0.73110119216123048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713.37900433329685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27.450034384028712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18.888309795875568</v>
      </c>
      <c r="N88" s="2">
        <f>N11/'Output-Calculation-sheet'!N10*'Output-Calculation-sheet'!N73</f>
        <v>0</v>
      </c>
      <c r="O88" s="2">
        <f>O11/'Output-Calculation-sheet'!O10*'Output-Calculation-sheet'!O73</f>
        <v>398.4472534374284</v>
      </c>
      <c r="P88" s="2">
        <f>P11/'Output-Calculation-sheet'!P10*'Output-Calculation-sheet'!P73</f>
        <v>0</v>
      </c>
      <c r="Q88" s="2">
        <f>Q11/'Output-Calculation-sheet'!Q10*'Output-Calculation-sheet'!Q73</f>
        <v>16.265012388979734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2.0720941480891502</v>
      </c>
      <c r="Y88" s="2">
        <f>Y11/'Output-Calculation-sheet'!Y10*'Output-Calculation-sheet'!Y73</f>
        <v>0</v>
      </c>
      <c r="AA88" s="2">
        <f t="shared" si="7"/>
        <v>1.1765017084876985</v>
      </c>
    </row>
    <row r="89" spans="1:27" x14ac:dyDescent="0.25">
      <c r="A89" s="2">
        <v>2035</v>
      </c>
      <c r="B89" s="2">
        <f>B12/'Output-Calculation-sheet'!B11*'Output-Calculation-sheet'!B74</f>
        <v>343.8758754179529</v>
      </c>
      <c r="C89" s="2">
        <f>C12/'Output-Calculation-sheet'!C11*'Output-Calculation-sheet'!C74</f>
        <v>1060.8725407228953</v>
      </c>
      <c r="D89" s="2">
        <f>D12/'Output-Calculation-sheet'!D11*'Output-Calculation-sheet'!D74</f>
        <v>144.57758486192131</v>
      </c>
      <c r="E89" s="2">
        <f>E12/'Output-Calculation-sheet'!E11*'Output-Calculation-sheet'!E74</f>
        <v>114.90061643604547</v>
      </c>
      <c r="F89" s="2">
        <f>F12/'Output-Calculation-sheet'!F11*'Output-Calculation-sheet'!F74</f>
        <v>36.132304292176173</v>
      </c>
      <c r="G89" s="2">
        <f>G12/'Output-Calculation-sheet'!G11*'Output-Calculation-sheet'!G74</f>
        <v>51.863086010111729</v>
      </c>
      <c r="H89" s="2">
        <f>H12/'Output-Calculation-sheet'!H11*'Output-Calculation-sheet'!H74</f>
        <v>125.60369536238531</v>
      </c>
      <c r="I89" s="2">
        <f>I12/'Output-Calculation-sheet'!I11*'Output-Calculation-sheet'!I74</f>
        <v>46.647749415964931</v>
      </c>
      <c r="J89" s="2">
        <f>J12/'Output-Calculation-sheet'!J11*'Output-Calculation-sheet'!J74</f>
        <v>23.082978334761215</v>
      </c>
      <c r="K89" s="2">
        <f>K12/'Output-Calculation-sheet'!K11*'Output-Calculation-sheet'!K74</f>
        <v>45.847394945127036</v>
      </c>
      <c r="L89" s="2">
        <f>L12/'Output-Calculation-sheet'!L11*'Output-Calculation-sheet'!L74</f>
        <v>36.455651531327973</v>
      </c>
      <c r="M89" s="2">
        <f>M12/'Output-Calculation-sheet'!M11*'Output-Calculation-sheet'!M74</f>
        <v>69.142106747724114</v>
      </c>
      <c r="N89" s="2">
        <f>N12/'Output-Calculation-sheet'!N11*'Output-Calculation-sheet'!N74</f>
        <v>50.966697157705731</v>
      </c>
      <c r="O89" s="2">
        <f>O12/'Output-Calculation-sheet'!O11*'Output-Calculation-sheet'!O74</f>
        <v>412.19798954903541</v>
      </c>
      <c r="P89" s="2">
        <f>P12/'Output-Calculation-sheet'!P11*'Output-Calculation-sheet'!P74</f>
        <v>31.389363185520537</v>
      </c>
      <c r="Q89" s="2">
        <f>Q12/'Output-Calculation-sheet'!Q11*'Output-Calculation-sheet'!Q74</f>
        <v>44.654494036469764</v>
      </c>
      <c r="R89" s="2">
        <f>R12/'Output-Calculation-sheet'!R11*'Output-Calculation-sheet'!R74</f>
        <v>29.522171467539458</v>
      </c>
      <c r="S89" s="2">
        <f>S12/'Output-Calculation-sheet'!S11*'Output-Calculation-sheet'!S74</f>
        <v>29.215790957810007</v>
      </c>
      <c r="T89" s="2">
        <f>T12/'Output-Calculation-sheet'!T11*'Output-Calculation-sheet'!T74</f>
        <v>5.4610830861866333</v>
      </c>
      <c r="U89" s="2">
        <f>U12/'Output-Calculation-sheet'!U11*'Output-Calculation-sheet'!U74</f>
        <v>9.4983413619311463</v>
      </c>
      <c r="V89" s="2">
        <f>V12/'Output-Calculation-sheet'!V11*'Output-Calculation-sheet'!V74</f>
        <v>3.6620413209684441</v>
      </c>
      <c r="W89" s="2">
        <f>W12/'Output-Calculation-sheet'!W11*'Output-Calculation-sheet'!W74</f>
        <v>3.1710523909861594</v>
      </c>
      <c r="X89" s="2">
        <f>X12/'Output-Calculation-sheet'!X11*'Output-Calculation-sheet'!X74</f>
        <v>11.377589339131752</v>
      </c>
      <c r="Y89" s="2">
        <f>Y12/'Output-Calculation-sheet'!Y11*'Output-Calculation-sheet'!Y74</f>
        <v>3.6598615802362779</v>
      </c>
      <c r="AA89" s="2">
        <f t="shared" si="7"/>
        <v>2.7337780595119141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1629246374.5792322</v>
      </c>
      <c r="C93" s="2">
        <f>C5/'Output-Calculation-sheet'!C4*'Output-Calculation-sheet'!C76</f>
        <v>539760133.46424901</v>
      </c>
      <c r="D93" s="2">
        <f>D5/'Output-Calculation-sheet'!D4*'Output-Calculation-sheet'!D76</f>
        <v>597466261.48821986</v>
      </c>
      <c r="E93" s="2">
        <f>E5/'Output-Calculation-sheet'!E4*'Output-Calculation-sheet'!E76</f>
        <v>999744858.77362835</v>
      </c>
      <c r="F93" s="2">
        <f>F5/'Output-Calculation-sheet'!F4*'Output-Calculation-sheet'!F76</f>
        <v>429568478.24697286</v>
      </c>
      <c r="G93" s="2">
        <f>G5/'Output-Calculation-sheet'!G4*'Output-Calculation-sheet'!G76</f>
        <v>334098303.34714204</v>
      </c>
      <c r="H93" s="2">
        <f>H5/'Output-Calculation-sheet'!H4*'Output-Calculation-sheet'!H76</f>
        <v>282609225.61553085</v>
      </c>
      <c r="I93" s="2">
        <f>I5/'Output-Calculation-sheet'!I4*'Output-Calculation-sheet'!I76</f>
        <v>231901569.20781788</v>
      </c>
      <c r="J93" s="2">
        <f>J5/'Output-Calculation-sheet'!J4*'Output-Calculation-sheet'!J76</f>
        <v>157365768.15576404</v>
      </c>
      <c r="K93" s="2">
        <f>K5/'Output-Calculation-sheet'!K4*'Output-Calculation-sheet'!K76</f>
        <v>229999353.40538996</v>
      </c>
      <c r="L93" s="2">
        <f>L5/'Output-Calculation-sheet'!L4*'Output-Calculation-sheet'!L76</f>
        <v>153526242.26344407</v>
      </c>
      <c r="M93" s="2">
        <f>M5/'Output-Calculation-sheet'!M4*'Output-Calculation-sheet'!M76</f>
        <v>206464973.09713775</v>
      </c>
      <c r="N93" s="2">
        <f>N5/'Output-Calculation-sheet'!N4*'Output-Calculation-sheet'!N76</f>
        <v>155905265.13577422</v>
      </c>
      <c r="O93" s="2">
        <f>O5/'Output-Calculation-sheet'!O4*'Output-Calculation-sheet'!O76</f>
        <v>76095446.181501076</v>
      </c>
      <c r="P93" s="2">
        <f>P5/'Output-Calculation-sheet'!P4*'Output-Calculation-sheet'!P76</f>
        <v>270130008.26512927</v>
      </c>
      <c r="Q93" s="2">
        <f>Q5/'Output-Calculation-sheet'!Q4*'Output-Calculation-sheet'!Q76</f>
        <v>124015686.12279825</v>
      </c>
      <c r="R93" s="2">
        <f>R5/'Output-Calculation-sheet'!R4*'Output-Calculation-sheet'!R76</f>
        <v>155177627.20317355</v>
      </c>
      <c r="S93" s="2">
        <f>S5/'Output-Calculation-sheet'!S4*'Output-Calculation-sheet'!S76</f>
        <v>91420680.882570475</v>
      </c>
      <c r="T93" s="2">
        <f>T5/'Output-Calculation-sheet'!T4*'Output-Calculation-sheet'!T76</f>
        <v>70299511.893065676</v>
      </c>
      <c r="U93" s="2">
        <f>U5/'Output-Calculation-sheet'!U4*'Output-Calculation-sheet'!U76</f>
        <v>45574782.200702898</v>
      </c>
      <c r="V93" s="2">
        <f>V5/'Output-Calculation-sheet'!V4*'Output-Calculation-sheet'!V76</f>
        <v>23360222.420539867</v>
      </c>
      <c r="W93" s="2">
        <f>W5/'Output-Calculation-sheet'!W4*'Output-Calculation-sheet'!W76</f>
        <v>65435100.510446936</v>
      </c>
      <c r="X93" s="2">
        <f>X5/'Output-Calculation-sheet'!X4*'Output-Calculation-sheet'!X76</f>
        <v>22710849.810509179</v>
      </c>
      <c r="Y93" s="2">
        <f>Y5/'Output-Calculation-sheet'!Y4*'Output-Calculation-sheet'!Y76</f>
        <v>35772196.627414413</v>
      </c>
      <c r="AA93" s="2">
        <f t="shared" ref="AA93:AA100" si="8">SUM(B93:Y93)/10^9</f>
        <v>6.9276489188981536</v>
      </c>
    </row>
    <row r="94" spans="1:27" x14ac:dyDescent="0.25">
      <c r="A94" s="2">
        <v>2029</v>
      </c>
      <c r="B94" s="2">
        <f>B6/'Output-Calculation-sheet'!B5*'Output-Calculation-sheet'!B77</f>
        <v>4248991140.1462688</v>
      </c>
      <c r="C94" s="2">
        <f>C6/'Output-Calculation-sheet'!C5*'Output-Calculation-sheet'!C77</f>
        <v>1417228436.9684463</v>
      </c>
      <c r="D94" s="2">
        <f>D6/'Output-Calculation-sheet'!D5*'Output-Calculation-sheet'!D77</f>
        <v>1559324056.9586747</v>
      </c>
      <c r="E94" s="2">
        <f>E6/'Output-Calculation-sheet'!E5*'Output-Calculation-sheet'!E77</f>
        <v>2652057527.8578758</v>
      </c>
      <c r="F94" s="2">
        <f>F6/'Output-Calculation-sheet'!F5*'Output-Calculation-sheet'!F77</f>
        <v>1119745954.2854421</v>
      </c>
      <c r="G94" s="2">
        <f>G6/'Output-Calculation-sheet'!G5*'Output-Calculation-sheet'!G77</f>
        <v>883016422.89512682</v>
      </c>
      <c r="H94" s="2">
        <f>H6/'Output-Calculation-sheet'!H5*'Output-Calculation-sheet'!H77</f>
        <v>742166857.0713712</v>
      </c>
      <c r="I94" s="2">
        <f>I6/'Output-Calculation-sheet'!I5*'Output-Calculation-sheet'!I77</f>
        <v>603035751.25771022</v>
      </c>
      <c r="J94" s="2">
        <f>J6/'Output-Calculation-sheet'!J5*'Output-Calculation-sheet'!J77</f>
        <v>414280959.45719826</v>
      </c>
      <c r="K94" s="2">
        <f>K6/'Output-Calculation-sheet'!K5*'Output-Calculation-sheet'!K77</f>
        <v>596892926.52941906</v>
      </c>
      <c r="L94" s="2">
        <f>L6/'Output-Calculation-sheet'!L5*'Output-Calculation-sheet'!L77</f>
        <v>403401186.66627371</v>
      </c>
      <c r="M94" s="2">
        <f>M6/'Output-Calculation-sheet'!M5*'Output-Calculation-sheet'!M77</f>
        <v>547013898.45106816</v>
      </c>
      <c r="N94" s="2">
        <f>N6/'Output-Calculation-sheet'!N5*'Output-Calculation-sheet'!N77</f>
        <v>413819430.23757708</v>
      </c>
      <c r="O94" s="2">
        <f>O6/'Output-Calculation-sheet'!O5*'Output-Calculation-sheet'!O77</f>
        <v>203244792.26279789</v>
      </c>
      <c r="P94" s="2">
        <f>P6/'Output-Calculation-sheet'!P5*'Output-Calculation-sheet'!P77</f>
        <v>707704331.91354501</v>
      </c>
      <c r="Q94" s="2">
        <f>Q6/'Output-Calculation-sheet'!Q5*'Output-Calculation-sheet'!Q77</f>
        <v>326932133.67693597</v>
      </c>
      <c r="R94" s="2">
        <f>R6/'Output-Calculation-sheet'!R5*'Output-Calculation-sheet'!R77</f>
        <v>405903386.49793798</v>
      </c>
      <c r="S94" s="2">
        <f>S6/'Output-Calculation-sheet'!S5*'Output-Calculation-sheet'!S77</f>
        <v>238331140.03725183</v>
      </c>
      <c r="T94" s="2">
        <f>T6/'Output-Calculation-sheet'!T5*'Output-Calculation-sheet'!T77</f>
        <v>183849036.31867337</v>
      </c>
      <c r="U94" s="2">
        <f>U6/'Output-Calculation-sheet'!U5*'Output-Calculation-sheet'!U77</f>
        <v>116379427.17650668</v>
      </c>
      <c r="V94" s="2">
        <f>V6/'Output-Calculation-sheet'!V5*'Output-Calculation-sheet'!V77</f>
        <v>59693977.66134657</v>
      </c>
      <c r="W94" s="2">
        <f>W6/'Output-Calculation-sheet'!W5*'Output-Calculation-sheet'!W77</f>
        <v>173214548.15327573</v>
      </c>
      <c r="X94" s="2">
        <f>X6/'Output-Calculation-sheet'!X5*'Output-Calculation-sheet'!X77</f>
        <v>59901127.037608653</v>
      </c>
      <c r="Y94" s="2">
        <f>Y6/'Output-Calculation-sheet'!Y5*'Output-Calculation-sheet'!Y77</f>
        <v>94974270.172473267</v>
      </c>
      <c r="AA94" s="2">
        <f t="shared" si="8"/>
        <v>18.171102719690804</v>
      </c>
    </row>
    <row r="95" spans="1:27" x14ac:dyDescent="0.25">
      <c r="A95" s="2">
        <v>2030</v>
      </c>
      <c r="B95" s="2">
        <f>B7/'Output-Calculation-sheet'!B6*'Output-Calculation-sheet'!B78</f>
        <v>7622328020.5885344</v>
      </c>
      <c r="C95" s="2">
        <f>C7/'Output-Calculation-sheet'!C6*'Output-Calculation-sheet'!C78</f>
        <v>2559416802.8664169</v>
      </c>
      <c r="D95" s="2">
        <f>D7/'Output-Calculation-sheet'!D6*'Output-Calculation-sheet'!D78</f>
        <v>2801901360.943625</v>
      </c>
      <c r="E95" s="2">
        <f>E7/'Output-Calculation-sheet'!E6*'Output-Calculation-sheet'!E78</f>
        <v>4843783956.8494005</v>
      </c>
      <c r="F95" s="2">
        <f>F7/'Output-Calculation-sheet'!F6*'Output-Calculation-sheet'!F78</f>
        <v>2008323607.602324</v>
      </c>
      <c r="G95" s="2">
        <f>G7/'Output-Calculation-sheet'!G6*'Output-Calculation-sheet'!G78</f>
        <v>1606733832.0526998</v>
      </c>
      <c r="H95" s="2">
        <f>H7/'Output-Calculation-sheet'!H6*'Output-Calculation-sheet'!H78</f>
        <v>1340954957.3614662</v>
      </c>
      <c r="I95" s="2">
        <f>I7/'Output-Calculation-sheet'!I6*'Output-Calculation-sheet'!I78</f>
        <v>1079178861.6099992</v>
      </c>
      <c r="J95" s="2">
        <f>J7/'Output-Calculation-sheet'!J6*'Output-Calculation-sheet'!J78</f>
        <v>750951927.84988725</v>
      </c>
      <c r="K95" s="2">
        <f>K7/'Output-Calculation-sheet'!K6*'Output-Calculation-sheet'!K78</f>
        <v>1065953799.0144868</v>
      </c>
      <c r="L95" s="2">
        <f>L7/'Output-Calculation-sheet'!L6*'Output-Calculation-sheet'!L78</f>
        <v>729509653.29521561</v>
      </c>
      <c r="M95" s="2">
        <f>M7/'Output-Calculation-sheet'!M6*'Output-Calculation-sheet'!M78</f>
        <v>997707111.165254</v>
      </c>
      <c r="N95" s="2">
        <f>N7/'Output-Calculation-sheet'!N6*'Output-Calculation-sheet'!N78</f>
        <v>756275572.99651313</v>
      </c>
      <c r="O95" s="2">
        <f>O7/'Output-Calculation-sheet'!O6*'Output-Calculation-sheet'!O78</f>
        <v>373667521.16483265</v>
      </c>
      <c r="P95" s="2">
        <f>P7/'Output-Calculation-sheet'!P6*'Output-Calculation-sheet'!P78</f>
        <v>1275443685.135396</v>
      </c>
      <c r="Q95" s="2">
        <f>Q7/'Output-Calculation-sheet'!Q6*'Output-Calculation-sheet'!Q78</f>
        <v>593325787.36160111</v>
      </c>
      <c r="R95" s="2">
        <f>R7/'Output-Calculation-sheet'!R6*'Output-Calculation-sheet'!R78</f>
        <v>730508225.01357377</v>
      </c>
      <c r="S95" s="2">
        <f>S7/'Output-Calculation-sheet'!S6*'Output-Calculation-sheet'!S78</f>
        <v>427431739.34490931</v>
      </c>
      <c r="T95" s="2">
        <f>T7/'Output-Calculation-sheet'!T6*'Output-Calculation-sheet'!T78</f>
        <v>330867905.35257918</v>
      </c>
      <c r="U95" s="2">
        <f>U7/'Output-Calculation-sheet'!U6*'Output-Calculation-sheet'!U78</f>
        <v>204254186.57971448</v>
      </c>
      <c r="V95" s="2">
        <f>V7/'Output-Calculation-sheet'!V6*'Output-Calculation-sheet'!V78</f>
        <v>104826703.04075125</v>
      </c>
      <c r="W95" s="2">
        <f>W7/'Output-Calculation-sheet'!W6*'Output-Calculation-sheet'!W78</f>
        <v>315675389.25910026</v>
      </c>
      <c r="X95" s="2">
        <f>X7/'Output-Calculation-sheet'!X6*'Output-Calculation-sheet'!X78</f>
        <v>108772444.86513057</v>
      </c>
      <c r="Y95" s="2">
        <f>Y7/'Output-Calculation-sheet'!Y6*'Output-Calculation-sheet'!Y78</f>
        <v>173608059.39965627</v>
      </c>
      <c r="AA95" s="2">
        <f t="shared" si="8"/>
        <v>32.80140111071308</v>
      </c>
    </row>
    <row r="96" spans="1:27" x14ac:dyDescent="0.25">
      <c r="A96" s="2">
        <v>2031</v>
      </c>
      <c r="B96" s="2">
        <f>B8/'Output-Calculation-sheet'!B7*'Output-Calculation-sheet'!B79</f>
        <v>11516938534.347284</v>
      </c>
      <c r="C96" s="2">
        <f>C8/'Output-Calculation-sheet'!C7*'Output-Calculation-sheet'!C79</f>
        <v>3896232648.7672896</v>
      </c>
      <c r="D96" s="2">
        <f>D8/'Output-Calculation-sheet'!D7*'Output-Calculation-sheet'!D79</f>
        <v>4067410288.3974147</v>
      </c>
      <c r="E96" s="2">
        <f>E8/'Output-Calculation-sheet'!E7*'Output-Calculation-sheet'!E79</f>
        <v>7231509173.4378891</v>
      </c>
      <c r="F96" s="2">
        <f>F8/'Output-Calculation-sheet'!F7*'Output-Calculation-sheet'!F79</f>
        <v>2993050386.1640315</v>
      </c>
      <c r="G96" s="2">
        <f>G8/'Output-Calculation-sheet'!G7*'Output-Calculation-sheet'!G79</f>
        <v>2331340139.8330264</v>
      </c>
      <c r="H96" s="2">
        <f>H8/'Output-Calculation-sheet'!H7*'Output-Calculation-sheet'!H79</f>
        <v>1995495496.5596471</v>
      </c>
      <c r="I96" s="2">
        <f>I8/'Output-Calculation-sheet'!I7*'Output-Calculation-sheet'!I79</f>
        <v>1624026258.5759199</v>
      </c>
      <c r="J96" s="2">
        <f>J8/'Output-Calculation-sheet'!J7*'Output-Calculation-sheet'!J79</f>
        <v>1098208503.7688136</v>
      </c>
      <c r="K96" s="2">
        <f>K8/'Output-Calculation-sheet'!K7*'Output-Calculation-sheet'!K79</f>
        <v>1571208767.8743763</v>
      </c>
      <c r="L96" s="2">
        <f>L8/'Output-Calculation-sheet'!L7*'Output-Calculation-sheet'!L79</f>
        <v>1108643539.4577227</v>
      </c>
      <c r="M96" s="2">
        <f>M8/'Output-Calculation-sheet'!M7*'Output-Calculation-sheet'!M79</f>
        <v>1489598794.9957213</v>
      </c>
      <c r="N96" s="2">
        <f>N8/'Output-Calculation-sheet'!N7*'Output-Calculation-sheet'!N79</f>
        <v>1108380138.3817377</v>
      </c>
      <c r="O96" s="2">
        <f>O8/'Output-Calculation-sheet'!O7*'Output-Calculation-sheet'!O79</f>
        <v>560324122.23170543</v>
      </c>
      <c r="P96" s="2">
        <f>P8/'Output-Calculation-sheet'!P7*'Output-Calculation-sheet'!P79</f>
        <v>1874166669.4973598</v>
      </c>
      <c r="Q96" s="2">
        <f>Q8/'Output-Calculation-sheet'!Q7*'Output-Calculation-sheet'!Q79</f>
        <v>873441830.78358078</v>
      </c>
      <c r="R96" s="2">
        <f>R8/'Output-Calculation-sheet'!R7*'Output-Calculation-sheet'!R79</f>
        <v>1089722513.2642126</v>
      </c>
      <c r="S96" s="2">
        <f>S8/'Output-Calculation-sheet'!S7*'Output-Calculation-sheet'!S79</f>
        <v>634963658.60766017</v>
      </c>
      <c r="T96" s="2">
        <f>T8/'Output-Calculation-sheet'!T7*'Output-Calculation-sheet'!T79</f>
        <v>484966058.21279258</v>
      </c>
      <c r="U96" s="2">
        <f>U8/'Output-Calculation-sheet'!U7*'Output-Calculation-sheet'!U79</f>
        <v>304643213.71187967</v>
      </c>
      <c r="V96" s="2">
        <f>V8/'Output-Calculation-sheet'!V7*'Output-Calculation-sheet'!V79</f>
        <v>158064785.64190263</v>
      </c>
      <c r="W96" s="2">
        <f>W8/'Output-Calculation-sheet'!W7*'Output-Calculation-sheet'!W79</f>
        <v>467068626.81957757</v>
      </c>
      <c r="X96" s="2">
        <f>X8/'Output-Calculation-sheet'!X7*'Output-Calculation-sheet'!X79</f>
        <v>164161404.51539698</v>
      </c>
      <c r="Y96" s="2">
        <f>Y8/'Output-Calculation-sheet'!Y7*'Output-Calculation-sheet'!Y79</f>
        <v>256746173.02606896</v>
      </c>
      <c r="AA96" s="2">
        <f t="shared" si="8"/>
        <v>48.900311726872999</v>
      </c>
    </row>
    <row r="97" spans="1:27" x14ac:dyDescent="0.25">
      <c r="A97" s="2">
        <v>2032</v>
      </c>
      <c r="B97" s="2">
        <f>B9/'Output-Calculation-sheet'!B8*'Output-Calculation-sheet'!B80</f>
        <v>15178239645.059916</v>
      </c>
      <c r="C97" s="2">
        <f>C9/'Output-Calculation-sheet'!C8*'Output-Calculation-sheet'!C80</f>
        <v>5169790237.1919079</v>
      </c>
      <c r="D97" s="2">
        <f>D9/'Output-Calculation-sheet'!D8*'Output-Calculation-sheet'!D80</f>
        <v>5151192728.2931604</v>
      </c>
      <c r="E97" s="2">
        <f>E9/'Output-Calculation-sheet'!E8*'Output-Calculation-sheet'!E80</f>
        <v>9420760872.9814339</v>
      </c>
      <c r="F97" s="2">
        <f>F9/'Output-Calculation-sheet'!F8*'Output-Calculation-sheet'!F80</f>
        <v>3891717079.6970062</v>
      </c>
      <c r="G97" s="2">
        <f>G9/'Output-Calculation-sheet'!G8*'Output-Calculation-sheet'!G80</f>
        <v>2945816017.0952783</v>
      </c>
      <c r="H97" s="2">
        <f>H9/'Output-Calculation-sheet'!H8*'Output-Calculation-sheet'!H80</f>
        <v>2591723092.5254626</v>
      </c>
      <c r="I97" s="2">
        <f>I9/'Output-Calculation-sheet'!I8*'Output-Calculation-sheet'!I80</f>
        <v>2131932761.7627535</v>
      </c>
      <c r="J97" s="2">
        <f>J9/'Output-Calculation-sheet'!J8*'Output-Calculation-sheet'!J80</f>
        <v>1401549012.5565677</v>
      </c>
      <c r="K97" s="2">
        <f>K9/'Output-Calculation-sheet'!K8*'Output-Calculation-sheet'!K80</f>
        <v>2020628199.2817295</v>
      </c>
      <c r="L97" s="2">
        <f>L9/'Output-Calculation-sheet'!L8*'Output-Calculation-sheet'!L80</f>
        <v>1470682608.6871054</v>
      </c>
      <c r="M97" s="2">
        <f>M9/'Output-Calculation-sheet'!M8*'Output-Calculation-sheet'!M80</f>
        <v>1940401168.6996665</v>
      </c>
      <c r="N97" s="2">
        <f>N9/'Output-Calculation-sheet'!N8*'Output-Calculation-sheet'!N80</f>
        <v>1417722488.3591845</v>
      </c>
      <c r="O97" s="2">
        <f>O9/'Output-Calculation-sheet'!O8*'Output-Calculation-sheet'!O80</f>
        <v>733436762.76563859</v>
      </c>
      <c r="P97" s="2">
        <f>P9/'Output-Calculation-sheet'!P8*'Output-Calculation-sheet'!P80</f>
        <v>2399667172.3785434</v>
      </c>
      <c r="Q97" s="2">
        <f>Q9/'Output-Calculation-sheet'!Q8*'Output-Calculation-sheet'!Q80</f>
        <v>1122472282.6834061</v>
      </c>
      <c r="R97" s="2">
        <f>R9/'Output-Calculation-sheet'!R8*'Output-Calculation-sheet'!R80</f>
        <v>1418240868.4846249</v>
      </c>
      <c r="S97" s="2">
        <f>S9/'Output-Calculation-sheet'!S8*'Output-Calculation-sheet'!S80</f>
        <v>823142896.16771913</v>
      </c>
      <c r="T97" s="2">
        <f>T9/'Output-Calculation-sheet'!T8*'Output-Calculation-sheet'!T80</f>
        <v>619855549.98579013</v>
      </c>
      <c r="U97" s="2">
        <f>U9/'Output-Calculation-sheet'!U8*'Output-Calculation-sheet'!U80</f>
        <v>396269207.59878898</v>
      </c>
      <c r="V97" s="2">
        <f>V9/'Output-Calculation-sheet'!V8*'Output-Calculation-sheet'!V80</f>
        <v>207779956.61394203</v>
      </c>
      <c r="W97" s="2">
        <f>W9/'Output-Calculation-sheet'!W8*'Output-Calculation-sheet'!W80</f>
        <v>601734769.09121311</v>
      </c>
      <c r="X97" s="2">
        <f>X9/'Output-Calculation-sheet'!X8*'Output-Calculation-sheet'!X80</f>
        <v>216080850.43434849</v>
      </c>
      <c r="Y97" s="2">
        <f>Y9/'Output-Calculation-sheet'!Y8*'Output-Calculation-sheet'!Y80</f>
        <v>330752379.27262157</v>
      </c>
      <c r="AA97" s="2">
        <f t="shared" si="8"/>
        <v>63.601588607667786</v>
      </c>
    </row>
    <row r="98" spans="1:27" x14ac:dyDescent="0.25">
      <c r="A98" s="2">
        <v>2033</v>
      </c>
      <c r="B98" s="2">
        <f>B10/'Output-Calculation-sheet'!B9*'Output-Calculation-sheet'!B81</f>
        <v>18330223535.204174</v>
      </c>
      <c r="C98" s="2">
        <f>C10/'Output-Calculation-sheet'!C9*'Output-Calculation-sheet'!C81</f>
        <v>6284509599.8973885</v>
      </c>
      <c r="D98" s="2">
        <f>D10/'Output-Calculation-sheet'!D9*'Output-Calculation-sheet'!D81</f>
        <v>5980939031.5763607</v>
      </c>
      <c r="E98" s="2">
        <f>E10/'Output-Calculation-sheet'!E9*'Output-Calculation-sheet'!E81</f>
        <v>11250522637.441013</v>
      </c>
      <c r="F98" s="2">
        <f>F10/'Output-Calculation-sheet'!F9*'Output-Calculation-sheet'!F81</f>
        <v>4639987472.993927</v>
      </c>
      <c r="G98" s="2">
        <f>G10/'Output-Calculation-sheet'!G9*'Output-Calculation-sheet'!G81</f>
        <v>3406820768.2731538</v>
      </c>
      <c r="H98" s="2">
        <f>H10/'Output-Calculation-sheet'!H9*'Output-Calculation-sheet'!H81</f>
        <v>3086607450.619071</v>
      </c>
      <c r="I98" s="2">
        <f>I10/'Output-Calculation-sheet'!I9*'Output-Calculation-sheet'!I81</f>
        <v>2565882038.3478117</v>
      </c>
      <c r="J98" s="2">
        <f>J10/'Output-Calculation-sheet'!J9*'Output-Calculation-sheet'!J81</f>
        <v>1640689647.5034509</v>
      </c>
      <c r="K98" s="2">
        <f>K10/'Output-Calculation-sheet'!K9*'Output-Calculation-sheet'!K81</f>
        <v>2383166777.5781155</v>
      </c>
      <c r="L98" s="2">
        <f>L10/'Output-Calculation-sheet'!L9*'Output-Calculation-sheet'!L81</f>
        <v>1787410756.4730759</v>
      </c>
      <c r="M98" s="2">
        <f>M10/'Output-Calculation-sheet'!M9*'Output-Calculation-sheet'!M81</f>
        <v>2317912600.3629823</v>
      </c>
      <c r="N98" s="2">
        <f>N10/'Output-Calculation-sheet'!N9*'Output-Calculation-sheet'!N81</f>
        <v>1662921435.2007477</v>
      </c>
      <c r="O98" s="2">
        <f>O10/'Output-Calculation-sheet'!O9*'Output-Calculation-sheet'!O81</f>
        <v>880610847.61257637</v>
      </c>
      <c r="P98" s="2">
        <f>P10/'Output-Calculation-sheet'!P9*'Output-Calculation-sheet'!P81</f>
        <v>2814176763.7976871</v>
      </c>
      <c r="Q98" s="2">
        <f>Q10/'Output-Calculation-sheet'!Q9*'Output-Calculation-sheet'!Q81</f>
        <v>1323154573.2992671</v>
      </c>
      <c r="R98" s="2">
        <f>R10/'Output-Calculation-sheet'!R9*'Output-Calculation-sheet'!R81</f>
        <v>1692514876.9484847</v>
      </c>
      <c r="S98" s="2">
        <f>S10/'Output-Calculation-sheet'!S9*'Output-Calculation-sheet'!S81</f>
        <v>978574932.18758214</v>
      </c>
      <c r="T98" s="2">
        <f>T10/'Output-Calculation-sheet'!T9*'Output-Calculation-sheet'!T81</f>
        <v>726142857.86181092</v>
      </c>
      <c r="U98" s="2">
        <f>U10/'Output-Calculation-sheet'!U9*'Output-Calculation-sheet'!U81</f>
        <v>472475638.34377629</v>
      </c>
      <c r="V98" s="2">
        <f>V10/'Output-Calculation-sheet'!V9*'Output-Calculation-sheet'!V81</f>
        <v>250231054.44622886</v>
      </c>
      <c r="W98" s="2">
        <f>W10/'Output-Calculation-sheet'!W9*'Output-Calculation-sheet'!W81</f>
        <v>709491369.14615178</v>
      </c>
      <c r="X98" s="2">
        <f>X10/'Output-Calculation-sheet'!X9*'Output-Calculation-sheet'!X81</f>
        <v>260716612.31160447</v>
      </c>
      <c r="Y98" s="2">
        <f>Y10/'Output-Calculation-sheet'!Y9*'Output-Calculation-sheet'!Y81</f>
        <v>390122292.68626904</v>
      </c>
      <c r="AA98" s="2">
        <f t="shared" si="8"/>
        <v>75.835805570112711</v>
      </c>
    </row>
    <row r="99" spans="1:27" x14ac:dyDescent="0.25">
      <c r="A99" s="2">
        <v>2034</v>
      </c>
      <c r="B99" s="2">
        <f>B11/'Output-Calculation-sheet'!B10*'Output-Calculation-sheet'!B82</f>
        <v>20561138877.226082</v>
      </c>
      <c r="C99" s="2">
        <f>C11/'Output-Calculation-sheet'!C10*'Output-Calculation-sheet'!C82</f>
        <v>7094436490.5589218</v>
      </c>
      <c r="D99" s="2">
        <f>D11/'Output-Calculation-sheet'!D10*'Output-Calculation-sheet'!D82</f>
        <v>6453941654.2299891</v>
      </c>
      <c r="E99" s="2">
        <f>E11/'Output-Calculation-sheet'!E10*'Output-Calculation-sheet'!E82</f>
        <v>12484584190.804195</v>
      </c>
      <c r="F99" s="2">
        <f>F11/'Output-Calculation-sheet'!F10*'Output-Calculation-sheet'!F82</f>
        <v>5141760505.4818592</v>
      </c>
      <c r="G99" s="2">
        <f>G11/'Output-Calculation-sheet'!G10*'Output-Calculation-sheet'!G82</f>
        <v>3655425830.203445</v>
      </c>
      <c r="H99" s="2">
        <f>H11/'Output-Calculation-sheet'!H10*'Output-Calculation-sheet'!H82</f>
        <v>3416659114.721601</v>
      </c>
      <c r="I99" s="2">
        <f>I11/'Output-Calculation-sheet'!I10*'Output-Calculation-sheet'!I82</f>
        <v>2869755799.1012688</v>
      </c>
      <c r="J99" s="2">
        <f>J11/'Output-Calculation-sheet'!J10*'Output-Calculation-sheet'!J82</f>
        <v>1785847936.2168427</v>
      </c>
      <c r="K99" s="2">
        <f>K11/'Output-Calculation-sheet'!K10*'Output-Calculation-sheet'!K82</f>
        <v>2612929881.8431287</v>
      </c>
      <c r="L99" s="2">
        <f>L11/'Output-Calculation-sheet'!L10*'Output-Calculation-sheet'!L82</f>
        <v>2017372950.7422626</v>
      </c>
      <c r="M99" s="2">
        <f>M11/'Output-Calculation-sheet'!M10*'Output-Calculation-sheet'!M82</f>
        <v>2573705982.1381683</v>
      </c>
      <c r="N99" s="2">
        <f>N11/'Output-Calculation-sheet'!N10*'Output-Calculation-sheet'!N82</f>
        <v>1813178269.2220795</v>
      </c>
      <c r="O99" s="2">
        <f>O11/'Output-Calculation-sheet'!O10*'Output-Calculation-sheet'!O82</f>
        <v>983014935.80737674</v>
      </c>
      <c r="P99" s="2">
        <f>P11/'Output-Calculation-sheet'!P10*'Output-Calculation-sheet'!P82</f>
        <v>3064280248.0794735</v>
      </c>
      <c r="Q99" s="2">
        <f>Q11/'Output-Calculation-sheet'!Q10*'Output-Calculation-sheet'!Q82</f>
        <v>1450209974.4177866</v>
      </c>
      <c r="R99" s="2">
        <f>R11/'Output-Calculation-sheet'!R10*'Output-Calculation-sheet'!R82</f>
        <v>1877290105.2343874</v>
      </c>
      <c r="S99" s="2">
        <f>S11/'Output-Calculation-sheet'!S10*'Output-Calculation-sheet'!S82</f>
        <v>1081371583.0785084</v>
      </c>
      <c r="T99" s="2">
        <f>T11/'Output-Calculation-sheet'!T10*'Output-Calculation-sheet'!T82</f>
        <v>790356200.02882123</v>
      </c>
      <c r="U99" s="2">
        <f>U11/'Output-Calculation-sheet'!U10*'Output-Calculation-sheet'!U82</f>
        <v>523389808.0226202</v>
      </c>
      <c r="V99" s="2">
        <f>V11/'Output-Calculation-sheet'!V10*'Output-Calculation-sheet'!V82</f>
        <v>279850005.03095025</v>
      </c>
      <c r="W99" s="2">
        <f>W11/'Output-Calculation-sheet'!W10*'Output-Calculation-sheet'!W82</f>
        <v>776033862.00686336</v>
      </c>
      <c r="X99" s="2">
        <f>X11/'Output-Calculation-sheet'!X10*'Output-Calculation-sheet'!X82</f>
        <v>292275717.49866331</v>
      </c>
      <c r="Y99" s="2">
        <f>Y11/'Output-Calculation-sheet'!Y10*'Output-Calculation-sheet'!Y82</f>
        <v>427064753.5124054</v>
      </c>
      <c r="AA99" s="2">
        <f t="shared" si="8"/>
        <v>84.025874675207675</v>
      </c>
    </row>
    <row r="100" spans="1:27" x14ac:dyDescent="0.25">
      <c r="A100" s="2">
        <v>2035</v>
      </c>
      <c r="B100" s="2">
        <f>B12/'Output-Calculation-sheet'!B11*'Output-Calculation-sheet'!B83</f>
        <v>21499050955.95533</v>
      </c>
      <c r="C100" s="2">
        <f>C12/'Output-Calculation-sheet'!C11*'Output-Calculation-sheet'!C83</f>
        <v>7464121296.3617706</v>
      </c>
      <c r="D100" s="2">
        <f>D12/'Output-Calculation-sheet'!D11*'Output-Calculation-sheet'!D83</f>
        <v>6496560522.9259157</v>
      </c>
      <c r="E100" s="2">
        <f>E12/'Output-Calculation-sheet'!E11*'Output-Calculation-sheet'!E83</f>
        <v>12919982580.058668</v>
      </c>
      <c r="F100" s="2">
        <f>F12/'Output-Calculation-sheet'!F11*'Output-Calculation-sheet'!F83</f>
        <v>5314765676.4839191</v>
      </c>
      <c r="G100" s="2">
        <f>G12/'Output-Calculation-sheet'!G11*'Output-Calculation-sheet'!G83</f>
        <v>3652278904.6153836</v>
      </c>
      <c r="H100" s="2">
        <f>H12/'Output-Calculation-sheet'!H11*'Output-Calculation-sheet'!H83</f>
        <v>3527828479.5694089</v>
      </c>
      <c r="I100" s="2">
        <f>I12/'Output-Calculation-sheet'!I11*'Output-Calculation-sheet'!I83</f>
        <v>2993292784.5236378</v>
      </c>
      <c r="J100" s="2">
        <f>J12/'Output-Calculation-sheet'!J11*'Output-Calculation-sheet'!J83</f>
        <v>1814064260.2442322</v>
      </c>
      <c r="K100" s="2">
        <f>K12/'Output-Calculation-sheet'!K11*'Output-Calculation-sheet'!K83</f>
        <v>2672889371.0824227</v>
      </c>
      <c r="L100" s="2">
        <f>L12/'Output-Calculation-sheet'!L11*'Output-Calculation-sheet'!L83</f>
        <v>2122121754.0727093</v>
      </c>
      <c r="M100" s="2">
        <f>M12/'Output-Calculation-sheet'!M11*'Output-Calculation-sheet'!M83</f>
        <v>2665855167.6339316</v>
      </c>
      <c r="N100" s="2">
        <f>N12/'Output-Calculation-sheet'!N11*'Output-Calculation-sheet'!N83</f>
        <v>1844561220.1831069</v>
      </c>
      <c r="O100" s="2">
        <f>O12/'Output-Calculation-sheet'!O11*'Output-Calculation-sheet'!O83</f>
        <v>1023848598.3664869</v>
      </c>
      <c r="P100" s="2">
        <f>P12/'Output-Calculation-sheet'!P11*'Output-Calculation-sheet'!P83</f>
        <v>3109500943.2248321</v>
      </c>
      <c r="Q100" s="2">
        <f>Q12/'Output-Calculation-sheet'!Q11*'Output-Calculation-sheet'!Q83</f>
        <v>1483246204.3367083</v>
      </c>
      <c r="R100" s="2">
        <f>R12/'Output-Calculation-sheet'!R11*'Output-Calculation-sheet'!R83</f>
        <v>1942228234.24366</v>
      </c>
      <c r="S100" s="2">
        <f>S12/'Output-Calculation-sheet'!S11*'Output-Calculation-sheet'!S83</f>
        <v>1114739216.4519253</v>
      </c>
      <c r="T100" s="2">
        <f>T12/'Output-Calculation-sheet'!T11*'Output-Calculation-sheet'!T83</f>
        <v>802226005.95280445</v>
      </c>
      <c r="U100" s="2">
        <f>U12/'Output-Calculation-sheet'!U11*'Output-Calculation-sheet'!U83</f>
        <v>540609496.62394547</v>
      </c>
      <c r="V100" s="2">
        <f>V12/'Output-Calculation-sheet'!V11*'Output-Calculation-sheet'!V83</f>
        <v>291690233.63265407</v>
      </c>
      <c r="W100" s="2">
        <f>W12/'Output-Calculation-sheet'!W11*'Output-Calculation-sheet'!W83</f>
        <v>790260503.19957364</v>
      </c>
      <c r="X100" s="2">
        <f>X12/'Output-Calculation-sheet'!X11*'Output-Calculation-sheet'!X83</f>
        <v>305522216.89721596</v>
      </c>
      <c r="Y100" s="2">
        <f>Y12/'Output-Calculation-sheet'!Y11*'Output-Calculation-sheet'!Y83</f>
        <v>435480707.66762829</v>
      </c>
      <c r="AA100" s="2">
        <f t="shared" si="8"/>
        <v>86.826725334307895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95717261888.128738</v>
      </c>
      <c r="C8" s="2">
        <v>45106790365.061943</v>
      </c>
      <c r="D8" s="2">
        <v>40202344354.873215</v>
      </c>
      <c r="E8" s="2">
        <v>31896480640.395882</v>
      </c>
      <c r="F8" s="2">
        <v>20532909182.350151</v>
      </c>
      <c r="G8" s="2">
        <v>14426985502.001913</v>
      </c>
      <c r="H8" s="2">
        <v>14072970551.636932</v>
      </c>
      <c r="I8" s="2">
        <v>13144119444.243698</v>
      </c>
      <c r="J8" s="2">
        <v>12793578046.510546</v>
      </c>
      <c r="K8" s="2">
        <v>12670931144.250944</v>
      </c>
      <c r="L8" s="2">
        <v>10164785703.548477</v>
      </c>
      <c r="M8" s="2">
        <v>9709122896.1480312</v>
      </c>
      <c r="N8" s="2">
        <v>9529476081.781147</v>
      </c>
      <c r="O8" s="2">
        <v>8764288539.5105858</v>
      </c>
      <c r="P8" s="2">
        <v>8675118833.2008457</v>
      </c>
      <c r="Q8" s="2">
        <v>8534914892.4622488</v>
      </c>
      <c r="R8" s="2">
        <v>8210980697.5827503</v>
      </c>
      <c r="S8" s="2">
        <v>5457438393.2499704</v>
      </c>
      <c r="T8" s="2">
        <v>3018285900.5309463</v>
      </c>
      <c r="U8" s="2">
        <v>2628823888.848743</v>
      </c>
      <c r="V8" s="2">
        <v>2024246970.8913107</v>
      </c>
      <c r="W8" s="2">
        <v>1752549259.2324944</v>
      </c>
      <c r="X8" s="2">
        <v>1051529555.5394973</v>
      </c>
      <c r="Y8" s="2">
        <v>1022601977.466604</v>
      </c>
    </row>
    <row r="9" spans="1:27" x14ac:dyDescent="0.25">
      <c r="A9" s="2">
        <v>2032</v>
      </c>
      <c r="B9" s="2">
        <v>105051615904.83611</v>
      </c>
      <c r="C9" s="2">
        <v>49505607689.328857</v>
      </c>
      <c r="D9" s="2">
        <v>44122879764.134705</v>
      </c>
      <c r="E9" s="2">
        <v>35007027644.263268</v>
      </c>
      <c r="F9" s="2">
        <v>22535279909.638256</v>
      </c>
      <c r="G9" s="2">
        <v>15833906128.575884</v>
      </c>
      <c r="H9" s="2">
        <v>15445367615.702646</v>
      </c>
      <c r="I9" s="2">
        <v>14425934883.906567</v>
      </c>
      <c r="J9" s="2">
        <v>14041208664.758686</v>
      </c>
      <c r="K9" s="2">
        <v>13906601228.085955</v>
      </c>
      <c r="L9" s="2">
        <v>11156056310.221098</v>
      </c>
      <c r="M9" s="2">
        <v>10655957234.245672</v>
      </c>
      <c r="N9" s="2">
        <v>10458791250.084379</v>
      </c>
      <c r="O9" s="2">
        <v>9618982565.6307545</v>
      </c>
      <c r="P9" s="2">
        <v>9521117023.3783417</v>
      </c>
      <c r="Q9" s="2">
        <v>9367240384.6166725</v>
      </c>
      <c r="R9" s="2">
        <v>9011716104.5897713</v>
      </c>
      <c r="S9" s="2">
        <v>5989648163.7979927</v>
      </c>
      <c r="T9" s="2">
        <v>3312629350.8494573</v>
      </c>
      <c r="U9" s="2">
        <v>2885186976.7813182</v>
      </c>
      <c r="V9" s="2">
        <v>2221651675.8611522</v>
      </c>
      <c r="W9" s="2">
        <v>1923457984.5208771</v>
      </c>
      <c r="X9" s="2">
        <v>1154074790.712527</v>
      </c>
      <c r="Y9" s="2">
        <v>1122326193.2200234</v>
      </c>
    </row>
    <row r="10" spans="1:27" x14ac:dyDescent="0.25">
      <c r="A10" s="2">
        <v>2033</v>
      </c>
      <c r="B10" s="2">
        <v>112844557527.96516</v>
      </c>
      <c r="C10" s="2">
        <v>53178033928.730553</v>
      </c>
      <c r="D10" s="2">
        <v>47396004344.700195</v>
      </c>
      <c r="E10" s="2">
        <v>37603919852.738564</v>
      </c>
      <c r="F10" s="2">
        <v>24206992612.808578</v>
      </c>
      <c r="G10" s="2">
        <v>17008497352.74016</v>
      </c>
      <c r="H10" s="2">
        <v>16591136266.096128</v>
      </c>
      <c r="I10" s="2">
        <v>15496079949.653904</v>
      </c>
      <c r="J10" s="2">
        <v>15082813960.404604</v>
      </c>
      <c r="K10" s="2">
        <v>14938221071.466389</v>
      </c>
      <c r="L10" s="2">
        <v>11983635161.065706</v>
      </c>
      <c r="M10" s="2">
        <v>11446437722.811041</v>
      </c>
      <c r="N10" s="2">
        <v>11234645566.635149</v>
      </c>
      <c r="O10" s="2">
        <v>10332538173.150026</v>
      </c>
      <c r="P10" s="2">
        <v>10227412766.771584</v>
      </c>
      <c r="Q10" s="2">
        <v>10062121247.308611</v>
      </c>
      <c r="R10" s="2">
        <v>9680223456.1653786</v>
      </c>
      <c r="S10" s="2">
        <v>6433972395.0962858</v>
      </c>
      <c r="T10" s="2">
        <v>3558366904.9830275</v>
      </c>
      <c r="U10" s="2">
        <v>3099215989.9307852</v>
      </c>
      <c r="V10" s="2">
        <v>2386458296.566505</v>
      </c>
      <c r="W10" s="2">
        <v>2066143993.2871888</v>
      </c>
      <c r="X10" s="2">
        <v>1239686395.9723141</v>
      </c>
      <c r="Y10" s="2">
        <v>1205582623.2191138</v>
      </c>
    </row>
    <row r="11" spans="1:27" x14ac:dyDescent="0.25">
      <c r="A11" s="2">
        <v>2034</v>
      </c>
      <c r="B11" s="2">
        <v>119624550102.04453</v>
      </c>
      <c r="C11" s="2">
        <v>56373107603.875069</v>
      </c>
      <c r="D11" s="2">
        <v>50243678743.338921</v>
      </c>
      <c r="E11" s="2">
        <v>39863260515.177338</v>
      </c>
      <c r="F11" s="2">
        <v>25661411272.875217</v>
      </c>
      <c r="G11" s="2">
        <v>18030411818.745747</v>
      </c>
      <c r="H11" s="2">
        <v>17587974599.675434</v>
      </c>
      <c r="I11" s="2">
        <v>16427124470.431583</v>
      </c>
      <c r="J11" s="2">
        <v>15989028392.788029</v>
      </c>
      <c r="K11" s="2">
        <v>15835747989.496073</v>
      </c>
      <c r="L11" s="2">
        <v>12703642923.800446</v>
      </c>
      <c r="M11" s="2">
        <v>12134169275.492155</v>
      </c>
      <c r="N11" s="2">
        <v>11909652099.36335</v>
      </c>
      <c r="O11" s="2">
        <v>10953343762.89225</v>
      </c>
      <c r="P11" s="2">
        <v>10841902150.484854</v>
      </c>
      <c r="Q11" s="2">
        <v>10666679489.466917</v>
      </c>
      <c r="R11" s="2">
        <v>10261836292.318024</v>
      </c>
      <c r="S11" s="2">
        <v>6820542080.1231775</v>
      </c>
      <c r="T11" s="2">
        <v>3772162782.4284759</v>
      </c>
      <c r="U11" s="2">
        <v>3285424894.0863218</v>
      </c>
      <c r="V11" s="2">
        <v>2529842876.9443512</v>
      </c>
      <c r="W11" s="2">
        <v>2190283262.7242126</v>
      </c>
      <c r="X11" s="2">
        <v>1314169957.6345284</v>
      </c>
      <c r="Y11" s="2">
        <v>1278017142.1000006</v>
      </c>
    </row>
    <row r="12" spans="1:27" x14ac:dyDescent="0.25">
      <c r="A12" s="2">
        <v>2035</v>
      </c>
      <c r="B12" s="2">
        <v>125545401740.44113</v>
      </c>
      <c r="C12" s="2">
        <v>59163310837.518898</v>
      </c>
      <c r="D12" s="2">
        <v>52730504126.195564</v>
      </c>
      <c r="E12" s="2">
        <v>41836304101.395889</v>
      </c>
      <c r="F12" s="2">
        <v>26931530231.307777</v>
      </c>
      <c r="G12" s="2">
        <v>18922832256.414433</v>
      </c>
      <c r="H12" s="2">
        <v>18458496479.471298</v>
      </c>
      <c r="I12" s="2">
        <v>17240189737.986874</v>
      </c>
      <c r="J12" s="2">
        <v>16780409968.518538</v>
      </c>
      <c r="K12" s="2">
        <v>16619542907.419373</v>
      </c>
      <c r="L12" s="2">
        <v>13332413397.376537</v>
      </c>
      <c r="M12" s="2">
        <v>12734753486.459663</v>
      </c>
      <c r="N12" s="2">
        <v>12499123767.888721</v>
      </c>
      <c r="O12" s="2">
        <v>11495482674.253836</v>
      </c>
      <c r="P12" s="2">
        <v>11378525227.071344</v>
      </c>
      <c r="Q12" s="2">
        <v>11194629869.866154</v>
      </c>
      <c r="R12" s="2">
        <v>10769748841.811413</v>
      </c>
      <c r="S12" s="2">
        <v>7158126779.2121334</v>
      </c>
      <c r="T12" s="2">
        <v>3958867068.2258997</v>
      </c>
      <c r="U12" s="2">
        <v>3448037947.5973797</v>
      </c>
      <c r="V12" s="2">
        <v>2655058180.408936</v>
      </c>
      <c r="W12" s="2">
        <v>2298691965.064918</v>
      </c>
      <c r="X12" s="2">
        <v>1379215179.0389516</v>
      </c>
      <c r="Y12" s="2">
        <v>1341272969.4635878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1850.6595340831959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577.38068467895425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398.34869509122126</v>
      </c>
      <c r="N16" s="2">
        <f>N5/'Output-Calculation-sheet'!N4*'Output-Calculation-sheet'!N22</f>
        <v>0</v>
      </c>
      <c r="O16" s="2">
        <f>O5/'Output-Calculation-sheet'!O4*'Output-Calculation-sheet'!O22</f>
        <v>359.57940612887347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43.142474550429625</v>
      </c>
      <c r="Y16" s="2">
        <f>Y5/'Output-Calculation-sheet'!Y4*'Output-Calculation-sheet'!Y22</f>
        <v>0</v>
      </c>
      <c r="AA16" s="2">
        <f t="shared" ref="AA16:AA23" si="0">SUM(B16:Y16)/1000</f>
        <v>3.2291107945326742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5261.6838008287832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1551.6288465196244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1071.0901873996486</v>
      </c>
      <c r="N17" s="2">
        <f>N6/'Output-Calculation-sheet'!N5*'Output-Calculation-sheet'!N23</f>
        <v>0</v>
      </c>
      <c r="O17" s="2">
        <f>O6/'Output-Calculation-sheet'!O5*'Output-Calculation-sheet'!O23</f>
        <v>1028.7789608679711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119.09908324580296</v>
      </c>
      <c r="Y17" s="2">
        <f>Y6/'Output-Calculation-sheet'!Y5*'Output-Calculation-sheet'!Y23</f>
        <v>0</v>
      </c>
      <c r="AA17" s="2">
        <f t="shared" si="0"/>
        <v>9.0322808788618296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9815.8604256411891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3109.3070625998366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2144.4455618048505</v>
      </c>
      <c r="N18" s="2">
        <f>N7/'Output-Calculation-sheet'!N6*'Output-Calculation-sheet'!N24</f>
        <v>664.59784636372979</v>
      </c>
      <c r="O18" s="2">
        <f>O7/'Output-Calculation-sheet'!O6*'Output-Calculation-sheet'!O24</f>
        <v>1415.5661484894149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145.29209719637518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240.43569678599329</v>
      </c>
      <c r="Y18" s="2">
        <f>Y7/'Output-Calculation-sheet'!Y6*'Output-Calculation-sheet'!Y24</f>
        <v>0</v>
      </c>
      <c r="AA18" s="2">
        <f t="shared" si="0"/>
        <v>17.535504838881387</v>
      </c>
    </row>
    <row r="19" spans="1:27" x14ac:dyDescent="0.25">
      <c r="A19" s="2">
        <v>2031</v>
      </c>
      <c r="B19" s="2">
        <f>B8/'Output-Calculation-sheet'!B7*'Output-Calculation-sheet'!B25</f>
        <v>1064.2096895669563</v>
      </c>
      <c r="C19" s="2">
        <f>C8/'Output-Calculation-sheet'!C7*'Output-Calculation-sheet'!C25</f>
        <v>14049.164868417545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4774.597954123763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3317.6469232235831</v>
      </c>
      <c r="N19" s="2">
        <f>N8/'Output-Calculation-sheet'!N7*'Output-Calculation-sheet'!N25</f>
        <v>1135.8530562842179</v>
      </c>
      <c r="O19" s="2">
        <f>O8/'Output-Calculation-sheet'!O7*'Output-Calculation-sheet'!O25</f>
        <v>1813.2711319670909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405.29030125867206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370.68088340537042</v>
      </c>
      <c r="Y19" s="2">
        <f>Y8/'Output-Calculation-sheet'!Y7*'Output-Calculation-sheet'!Y25</f>
        <v>0</v>
      </c>
      <c r="AA19" s="2">
        <f t="shared" si="0"/>
        <v>26.930714808247203</v>
      </c>
    </row>
    <row r="20" spans="1:27" x14ac:dyDescent="0.25">
      <c r="A20" s="2">
        <v>2032</v>
      </c>
      <c r="B20" s="2">
        <f>B9/'Output-Calculation-sheet'!B8*'Output-Calculation-sheet'!B26</f>
        <v>6033.7681656120976</v>
      </c>
      <c r="C20" s="2">
        <f>C9/'Output-Calculation-sheet'!C8*'Output-Calculation-sheet'!C26</f>
        <v>20485.040778928105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6556.2267862159706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4560.9336791663181</v>
      </c>
      <c r="N20" s="2">
        <f>N9/'Output-Calculation-sheet'!N8*'Output-Calculation-sheet'!N26</f>
        <v>2058.4443532083801</v>
      </c>
      <c r="O20" s="2">
        <f>O9/'Output-Calculation-sheet'!O8*'Output-Calculation-sheet'!O26</f>
        <v>2160.0704989368464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748.09456352463235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510.26635799118043</v>
      </c>
      <c r="Y20" s="2">
        <f>Y9/'Output-Calculation-sheet'!Y8*'Output-Calculation-sheet'!Y26</f>
        <v>0</v>
      </c>
      <c r="AA20" s="2">
        <f t="shared" si="0"/>
        <v>43.112845183583531</v>
      </c>
    </row>
    <row r="21" spans="1:27" x14ac:dyDescent="0.25">
      <c r="A21" s="2">
        <v>2033</v>
      </c>
      <c r="B21" s="2">
        <f>B10/'Output-Calculation-sheet'!B9*'Output-Calculation-sheet'!B27</f>
        <v>14655.992810330652</v>
      </c>
      <c r="C21" s="2">
        <f>C10/'Output-Calculation-sheet'!C9*'Output-Calculation-sheet'!C27</f>
        <v>25169.2176255288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8483.155710181336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5892.0797287753439</v>
      </c>
      <c r="N21" s="2">
        <f>N10/'Output-Calculation-sheet'!N9*'Output-Calculation-sheet'!N27</f>
        <v>3224.0279929417438</v>
      </c>
      <c r="O21" s="2">
        <f>O10/'Output-Calculation-sheet'!O9*'Output-Calculation-sheet'!O27</f>
        <v>2511.2354375293276</v>
      </c>
      <c r="P21" s="2">
        <f>P10/'Output-Calculation-sheet'!P9*'Output-Calculation-sheet'!P27</f>
        <v>0</v>
      </c>
      <c r="Q21" s="2">
        <f>Q10/'Output-Calculation-sheet'!Q9*'Output-Calculation-sheet'!Q27</f>
        <v>219.90005802172703</v>
      </c>
      <c r="R21" s="2">
        <f>R10/'Output-Calculation-sheet'!R9*'Output-Calculation-sheet'!R27</f>
        <v>0</v>
      </c>
      <c r="S21" s="2">
        <f>S10/'Output-Calculation-sheet'!S9*'Output-Calculation-sheet'!S27</f>
        <v>1400.3175008208457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692.85809822013994</v>
      </c>
      <c r="Y21" s="2">
        <f>Y10/'Output-Calculation-sheet'!Y9*'Output-Calculation-sheet'!Y27</f>
        <v>0</v>
      </c>
      <c r="AA21" s="2">
        <f t="shared" si="0"/>
        <v>62.248784962349923</v>
      </c>
    </row>
    <row r="22" spans="1:27" x14ac:dyDescent="0.25">
      <c r="A22" s="2">
        <v>2034</v>
      </c>
      <c r="B22" s="2">
        <f>B11/'Output-Calculation-sheet'!B10*'Output-Calculation-sheet'!B28</f>
        <v>29588.036878035342</v>
      </c>
      <c r="C22" s="2">
        <f>C11/'Output-Calculation-sheet'!C10*'Output-Calculation-sheet'!C28</f>
        <v>28386.006258737769</v>
      </c>
      <c r="D22" s="2">
        <f>D11/'Output-Calculation-sheet'!D10*'Output-Calculation-sheet'!D28</f>
        <v>0</v>
      </c>
      <c r="E22" s="2">
        <f>E11/'Output-Calculation-sheet'!E10*'Output-Calculation-sheet'!E28</f>
        <v>1516.0456399030024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10832.04626673036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904.0120173118969</v>
      </c>
      <c r="M22" s="2">
        <f>M11/'Output-Calculation-sheet'!M10*'Output-Calculation-sheet'!M28</f>
        <v>7897.5139005634137</v>
      </c>
      <c r="N22" s="2">
        <f>N11/'Output-Calculation-sheet'!N10*'Output-Calculation-sheet'!N28</f>
        <v>4713.1429668664759</v>
      </c>
      <c r="O22" s="2">
        <f>O11/'Output-Calculation-sheet'!O10*'Output-Calculation-sheet'!O28</f>
        <v>2913.0309054329714</v>
      </c>
      <c r="P22" s="2">
        <f>P11/'Output-Calculation-sheet'!P10*'Output-Calculation-sheet'!P28</f>
        <v>0</v>
      </c>
      <c r="Q22" s="2">
        <f>Q11/'Output-Calculation-sheet'!Q10*'Output-Calculation-sheet'!Q28</f>
        <v>1070.6785709251728</v>
      </c>
      <c r="R22" s="2">
        <f>R11/'Output-Calculation-sheet'!R10*'Output-Calculation-sheet'!R28</f>
        <v>0</v>
      </c>
      <c r="S22" s="2">
        <f>S11/'Output-Calculation-sheet'!S10*'Output-Calculation-sheet'!S28</f>
        <v>2404.3675709463196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793.04474157370953</v>
      </c>
      <c r="Y22" s="2">
        <f>Y11/'Output-Calculation-sheet'!Y10*'Output-Calculation-sheet'!Y28</f>
        <v>82.260030829634388</v>
      </c>
      <c r="AA22" s="2">
        <f t="shared" si="0"/>
        <v>91.100185747856059</v>
      </c>
    </row>
    <row r="23" spans="1:27" x14ac:dyDescent="0.25">
      <c r="A23" s="2">
        <v>2035</v>
      </c>
      <c r="B23" s="2">
        <f>B12/'Output-Calculation-sheet'!B11*'Output-Calculation-sheet'!B29</f>
        <v>37560.901394414439</v>
      </c>
      <c r="C23" s="2">
        <f>C12/'Output-Calculation-sheet'!C11*'Output-Calculation-sheet'!C29</f>
        <v>30679.276610963025</v>
      </c>
      <c r="D23" s="2">
        <f>D12/'Output-Calculation-sheet'!D11*'Output-Calculation-sheet'!D29</f>
        <v>0</v>
      </c>
      <c r="E23" s="2">
        <f>E12/'Output-Calculation-sheet'!E11*'Output-Calculation-sheet'!E29</f>
        <v>5790.9745106607897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11809.898283178929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1312.7671916699537</v>
      </c>
      <c r="M23" s="2">
        <f>M12/'Output-Calculation-sheet'!M11*'Output-Calculation-sheet'!M29</f>
        <v>8652.6193999761435</v>
      </c>
      <c r="N23" s="2">
        <f>N12/'Output-Calculation-sheet'!N11*'Output-Calculation-sheet'!N29</f>
        <v>5047.5555370319589</v>
      </c>
      <c r="O23" s="2">
        <f>O12/'Output-Calculation-sheet'!O11*'Output-Calculation-sheet'!O29</f>
        <v>3402.6729420555039</v>
      </c>
      <c r="P23" s="2">
        <f>P12/'Output-Calculation-sheet'!P11*'Output-Calculation-sheet'!P29</f>
        <v>616.46649077911854</v>
      </c>
      <c r="Q23" s="2">
        <f>Q12/'Output-Calculation-sheet'!Q11*'Output-Calculation-sheet'!Q29</f>
        <v>1383.9603845515892</v>
      </c>
      <c r="R23" s="2">
        <f>R12/'Output-Calculation-sheet'!R11*'Output-Calculation-sheet'!R29</f>
        <v>0</v>
      </c>
      <c r="S23" s="2">
        <f>S12/'Output-Calculation-sheet'!S11*'Output-Calculation-sheet'!S29</f>
        <v>2701.9573385147687</v>
      </c>
      <c r="T23" s="2">
        <f>T12/'Output-Calculation-sheet'!T11*'Output-Calculation-sheet'!T29</f>
        <v>0</v>
      </c>
      <c r="U23" s="2">
        <f>U12/'Output-Calculation-sheet'!U11*'Output-Calculation-sheet'!U29</f>
        <v>117.82546540932717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857.1765795786273</v>
      </c>
      <c r="Y23" s="2">
        <f>Y12/'Output-Calculation-sheet'!Y11*'Output-Calculation-sheet'!Y29</f>
        <v>253.77213338502702</v>
      </c>
      <c r="AA23" s="2">
        <f t="shared" si="0"/>
        <v>110.18782426216922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2336.2795538332343</v>
      </c>
      <c r="C27" s="2">
        <f>C5/'Output-Calculation-sheet'!C4*'Output-Calculation-sheet'!C13</f>
        <v>0</v>
      </c>
      <c r="D27" s="2">
        <f>D5/'Output-Calculation-sheet'!D4*'Output-Calculation-sheet'!D13</f>
        <v>417.3490220932062</v>
      </c>
      <c r="E27" s="2">
        <f>E5/'Output-Calculation-sheet'!E4*'Output-Calculation-sheet'!E13</f>
        <v>449.01598760657197</v>
      </c>
      <c r="F27" s="2">
        <f>F5/'Output-Calculation-sheet'!F4*'Output-Calculation-sheet'!F13</f>
        <v>226.54986742942003</v>
      </c>
      <c r="G27" s="2">
        <f>G5/'Output-Calculation-sheet'!G4*'Output-Calculation-sheet'!G13</f>
        <v>148.35638298524847</v>
      </c>
      <c r="H27" s="2">
        <f>H5/'Output-Calculation-sheet'!H4*'Output-Calculation-sheet'!H13</f>
        <v>0</v>
      </c>
      <c r="I27" s="2">
        <f>I5/'Output-Calculation-sheet'!I4*'Output-Calculation-sheet'!I13</f>
        <v>144.62864690300205</v>
      </c>
      <c r="J27" s="2">
        <f>J5/'Output-Calculation-sheet'!J4*'Output-Calculation-sheet'!J13</f>
        <v>128.74764243636827</v>
      </c>
      <c r="K27" s="2">
        <f>K5/'Output-Calculation-sheet'!K4*'Output-Calculation-sheet'!K13</f>
        <v>171.89490677747332</v>
      </c>
      <c r="L27" s="2">
        <f>L5/'Output-Calculation-sheet'!L4*'Output-Calculation-sheet'!L13</f>
        <v>145.19547581060485</v>
      </c>
      <c r="M27" s="2">
        <f>M5/'Output-Calculation-sheet'!M4*'Output-Calculation-sheet'!M13</f>
        <v>0</v>
      </c>
      <c r="N27" s="2">
        <f>N5/'Output-Calculation-sheet'!N4*'Output-Calculation-sheet'!N13</f>
        <v>278.68633088122652</v>
      </c>
      <c r="O27" s="2">
        <f>O5/'Output-Calculation-sheet'!O4*'Output-Calculation-sheet'!O13</f>
        <v>0</v>
      </c>
      <c r="P27" s="2">
        <f>P5/'Output-Calculation-sheet'!P4*'Output-Calculation-sheet'!P13</f>
        <v>170.25460187077002</v>
      </c>
      <c r="Q27" s="2">
        <f>Q5/'Output-Calculation-sheet'!Q4*'Output-Calculation-sheet'!Q13</f>
        <v>189.47473795616474</v>
      </c>
      <c r="R27" s="2">
        <f>R5/'Output-Calculation-sheet'!R4*'Output-Calculation-sheet'!R13</f>
        <v>128.09305084483944</v>
      </c>
      <c r="S27" s="2">
        <f>S5/'Output-Calculation-sheet'!S4*'Output-Calculation-sheet'!S13</f>
        <v>147.83866089292081</v>
      </c>
      <c r="T27" s="2">
        <f>T5/'Output-Calculation-sheet'!T4*'Output-Calculation-sheet'!T13</f>
        <v>38.824910069583346</v>
      </c>
      <c r="U27" s="2">
        <f>U5/'Output-Calculation-sheet'!U4*'Output-Calculation-sheet'!U13</f>
        <v>38.756890874304347</v>
      </c>
      <c r="V27" s="2">
        <f>V5/'Output-Calculation-sheet'!V4*'Output-Calculation-sheet'!V13</f>
        <v>30.163741540282189</v>
      </c>
      <c r="W27" s="2">
        <f>W5/'Output-Calculation-sheet'!W4*'Output-Calculation-sheet'!W13</f>
        <v>18.294724247388917</v>
      </c>
      <c r="X27" s="2">
        <f>X5/'Output-Calculation-sheet'!X4*'Output-Calculation-sheet'!X13</f>
        <v>0</v>
      </c>
      <c r="Y27" s="2">
        <f>Y5/'Output-Calculation-sheet'!Y4*'Output-Calculation-sheet'!Y13</f>
        <v>15.468317945121104</v>
      </c>
      <c r="AA27" s="2">
        <f t="shared" ref="AA27:AA34" si="1">SUM(B27:Y27)/1000</f>
        <v>5.2238734529977293</v>
      </c>
    </row>
    <row r="28" spans="1:27" x14ac:dyDescent="0.25">
      <c r="A28" s="2">
        <v>2029</v>
      </c>
      <c r="B28" s="2">
        <f>B6/'Output-Calculation-sheet'!B5*'Output-Calculation-sheet'!B14</f>
        <v>6212.843182130503</v>
      </c>
      <c r="C28" s="2">
        <f>C6/'Output-Calculation-sheet'!C5*'Output-Calculation-sheet'!C14</f>
        <v>0</v>
      </c>
      <c r="D28" s="2">
        <f>D6/'Output-Calculation-sheet'!D5*'Output-Calculation-sheet'!D14</f>
        <v>1109.7722278118511</v>
      </c>
      <c r="E28" s="2">
        <f>E6/'Output-Calculation-sheet'!E5*'Output-Calculation-sheet'!E14</f>
        <v>1194.0822533988289</v>
      </c>
      <c r="F28" s="2">
        <f>F6/'Output-Calculation-sheet'!F5*'Output-Calculation-sheet'!F14</f>
        <v>602.42085087638884</v>
      </c>
      <c r="G28" s="2">
        <f>G6/'Output-Calculation-sheet'!G5*'Output-Calculation-sheet'!G14</f>
        <v>394.51410682638539</v>
      </c>
      <c r="H28" s="2">
        <f>H6/'Output-Calculation-sheet'!H5*'Output-Calculation-sheet'!H14</f>
        <v>0</v>
      </c>
      <c r="I28" s="2">
        <f>I6/'Output-Calculation-sheet'!I5*'Output-Calculation-sheet'!I14</f>
        <v>384.60119009587874</v>
      </c>
      <c r="J28" s="2">
        <f>J6/'Output-Calculation-sheet'!J5*'Output-Calculation-sheet'!J14</f>
        <v>342.35207973187318</v>
      </c>
      <c r="K28" s="2">
        <f>K6/'Output-Calculation-sheet'!K5*'Output-Calculation-sheet'!K14</f>
        <v>457.10851296544973</v>
      </c>
      <c r="L28" s="2">
        <f>L6/'Output-Calculation-sheet'!L5*'Output-Calculation-sheet'!L14</f>
        <v>386.10851991685803</v>
      </c>
      <c r="M28" s="2">
        <f>M6/'Output-Calculation-sheet'!M5*'Output-Calculation-sheet'!M14</f>
        <v>0</v>
      </c>
      <c r="N28" s="2">
        <f>N6/'Output-Calculation-sheet'!N5*'Output-Calculation-sheet'!N14</f>
        <v>741.10485393629119</v>
      </c>
      <c r="O28" s="2">
        <f>O6/'Output-Calculation-sheet'!O5*'Output-Calculation-sheet'!O14</f>
        <v>0</v>
      </c>
      <c r="P28" s="2">
        <f>P6/'Output-Calculation-sheet'!P5*'Output-Calculation-sheet'!P14</f>
        <v>452.74656094040381</v>
      </c>
      <c r="Q28" s="2">
        <f>Q6/'Output-Calculation-sheet'!Q5*'Output-Calculation-sheet'!Q14</f>
        <v>503.86886662982977</v>
      </c>
      <c r="R28" s="2">
        <f>R6/'Output-Calculation-sheet'!R5*'Output-Calculation-sheet'!R14</f>
        <v>340.62919658632683</v>
      </c>
      <c r="S28" s="2">
        <f>S6/'Output-Calculation-sheet'!S5*'Output-Calculation-sheet'!S14</f>
        <v>393.14488501068331</v>
      </c>
      <c r="T28" s="2">
        <f>T6/'Output-Calculation-sheet'!T5*'Output-Calculation-sheet'!T14</f>
        <v>103.24446047083413</v>
      </c>
      <c r="U28" s="2">
        <f>U6/'Output-Calculation-sheet'!U5*'Output-Calculation-sheet'!U14</f>
        <v>103.05991361578518</v>
      </c>
      <c r="V28" s="2">
        <f>V6/'Output-Calculation-sheet'!V5*'Output-Calculation-sheet'!V14</f>
        <v>80.209571755682759</v>
      </c>
      <c r="W28" s="2">
        <f>W6/'Output-Calculation-sheet'!W5*'Output-Calculation-sheet'!W14</f>
        <v>48.652373412955463</v>
      </c>
      <c r="X28" s="2">
        <f>X6/'Output-Calculation-sheet'!X5*'Output-Calculation-sheet'!X14</f>
        <v>0</v>
      </c>
      <c r="Y28" s="2">
        <f>Y6/'Output-Calculation-sheet'!Y5*'Output-Calculation-sheet'!Y14</f>
        <v>41.13385292517404</v>
      </c>
      <c r="AA28" s="2">
        <f t="shared" si="1"/>
        <v>13.891597459037982</v>
      </c>
    </row>
    <row r="29" spans="1:27" x14ac:dyDescent="0.25">
      <c r="A29" s="2">
        <v>2030</v>
      </c>
      <c r="B29" s="2">
        <f>B7/'Output-Calculation-sheet'!B6*'Output-Calculation-sheet'!B15</f>
        <v>11616.730180549072</v>
      </c>
      <c r="C29" s="2">
        <f>C7/'Output-Calculation-sheet'!C6*'Output-Calculation-sheet'!C15</f>
        <v>0</v>
      </c>
      <c r="D29" s="2">
        <f>D7/'Output-Calculation-sheet'!D6*'Output-Calculation-sheet'!D15</f>
        <v>2032.1215168953299</v>
      </c>
      <c r="E29" s="2">
        <f>E7/'Output-Calculation-sheet'!E6*'Output-Calculation-sheet'!E15</f>
        <v>2186.4391918240967</v>
      </c>
      <c r="F29" s="2">
        <f>F7/'Output-Calculation-sheet'!F6*'Output-Calculation-sheet'!F15</f>
        <v>1103.1009034218368</v>
      </c>
      <c r="G29" s="2">
        <f>G7/'Output-Calculation-sheet'!G6*'Output-Calculation-sheet'!G15</f>
        <v>722.38891997434996</v>
      </c>
      <c r="H29" s="2">
        <f>H7/'Output-Calculation-sheet'!H6*'Output-Calculation-sheet'!H15</f>
        <v>0</v>
      </c>
      <c r="I29" s="2">
        <f>I7/'Output-Calculation-sheet'!I6*'Output-Calculation-sheet'!I15</f>
        <v>704.23752541877388</v>
      </c>
      <c r="J29" s="2">
        <f>J7/'Output-Calculation-sheet'!J6*'Output-Calculation-sheet'!J15</f>
        <v>626.88668865865975</v>
      </c>
      <c r="K29" s="2">
        <f>K7/'Output-Calculation-sheet'!K6*'Output-Calculation-sheet'!K15</f>
        <v>837.0262200790761</v>
      </c>
      <c r="L29" s="2">
        <f>L7/'Output-Calculation-sheet'!L6*'Output-Calculation-sheet'!L15</f>
        <v>707.01476024054239</v>
      </c>
      <c r="M29" s="2">
        <f>M7/'Output-Calculation-sheet'!M6*'Output-Calculation-sheet'!M15</f>
        <v>0</v>
      </c>
      <c r="N29" s="2">
        <f>N7/'Output-Calculation-sheet'!N6*'Output-Calculation-sheet'!N15</f>
        <v>912.18024565140388</v>
      </c>
      <c r="O29" s="2">
        <f>O7/'Output-Calculation-sheet'!O6*'Output-Calculation-sheet'!O15</f>
        <v>0</v>
      </c>
      <c r="P29" s="2">
        <f>P7/'Output-Calculation-sheet'!P6*'Output-Calculation-sheet'!P15</f>
        <v>829.01750158143022</v>
      </c>
      <c r="Q29" s="2">
        <f>Q7/'Output-Calculation-sheet'!Q6*'Output-Calculation-sheet'!Q15</f>
        <v>934.14147484604746</v>
      </c>
      <c r="R29" s="2">
        <f>R7/'Output-Calculation-sheet'!R6*'Output-Calculation-sheet'!R15</f>
        <v>623.72106136629043</v>
      </c>
      <c r="S29" s="2">
        <f>S7/'Output-Calculation-sheet'!S6*'Output-Calculation-sheet'!S15</f>
        <v>644.23786651817909</v>
      </c>
      <c r="T29" s="2">
        <f>T7/'Output-Calculation-sheet'!T6*'Output-Calculation-sheet'!T15</f>
        <v>189.0493977334049</v>
      </c>
      <c r="U29" s="2">
        <f>U7/'Output-Calculation-sheet'!U6*'Output-Calculation-sheet'!U15</f>
        <v>188.71371553813944</v>
      </c>
      <c r="V29" s="2">
        <f>V7/'Output-Calculation-sheet'!V6*'Output-Calculation-sheet'!V15</f>
        <v>146.87228154625217</v>
      </c>
      <c r="W29" s="2">
        <f>W7/'Output-Calculation-sheet'!W6*'Output-Calculation-sheet'!W15</f>
        <v>89.085143292634385</v>
      </c>
      <c r="X29" s="2">
        <f>X7/'Output-Calculation-sheet'!X6*'Output-Calculation-sheet'!X15</f>
        <v>0</v>
      </c>
      <c r="Y29" s="2">
        <f>Y7/'Output-Calculation-sheet'!Y6*'Output-Calculation-sheet'!Y15</f>
        <v>75.31958699280888</v>
      </c>
      <c r="AA29" s="2">
        <f t="shared" si="1"/>
        <v>25.168284182128328</v>
      </c>
    </row>
    <row r="30" spans="1:27" x14ac:dyDescent="0.25">
      <c r="A30" s="2">
        <v>2031</v>
      </c>
      <c r="B30" s="2">
        <f>B8/'Output-Calculation-sheet'!B7*'Output-Calculation-sheet'!B16</f>
        <v>18548.829184511887</v>
      </c>
      <c r="C30" s="2">
        <f>C8/'Output-Calculation-sheet'!C7*'Output-Calculation-sheet'!C16</f>
        <v>0</v>
      </c>
      <c r="D30" s="2">
        <f>D8/'Output-Calculation-sheet'!D7*'Output-Calculation-sheet'!D16</f>
        <v>3123.3776255481876</v>
      </c>
      <c r="E30" s="2">
        <f>E8/'Output-Calculation-sheet'!E7*'Output-Calculation-sheet'!E16</f>
        <v>3360.577860944325</v>
      </c>
      <c r="F30" s="2">
        <f>F8/'Output-Calculation-sheet'!F7*'Output-Calculation-sheet'!F16</f>
        <v>1695.4294133959036</v>
      </c>
      <c r="G30" s="2">
        <f>G8/'Output-Calculation-sheet'!G7*'Output-Calculation-sheet'!G16</f>
        <v>1110.3048968839785</v>
      </c>
      <c r="H30" s="2">
        <f>H8/'Output-Calculation-sheet'!H7*'Output-Calculation-sheet'!H16</f>
        <v>0</v>
      </c>
      <c r="I30" s="2">
        <f>I8/'Output-Calculation-sheet'!I7*'Output-Calculation-sheet'!I16</f>
        <v>1082.3810270567153</v>
      </c>
      <c r="J30" s="2">
        <f>J8/'Output-Calculation-sheet'!J7*'Output-Calculation-sheet'!J16</f>
        <v>963.52723842808598</v>
      </c>
      <c r="K30" s="2">
        <f>K8/'Output-Calculation-sheet'!K7*'Output-Calculation-sheet'!K16</f>
        <v>1286.4930317131648</v>
      </c>
      <c r="L30" s="2">
        <f>L8/'Output-Calculation-sheet'!L7*'Output-Calculation-sheet'!L16</f>
        <v>1086.6683561312077</v>
      </c>
      <c r="M30" s="2">
        <f>M8/'Output-Calculation-sheet'!M7*'Output-Calculation-sheet'!M16</f>
        <v>0</v>
      </c>
      <c r="N30" s="2">
        <f>N8/'Output-Calculation-sheet'!N7*'Output-Calculation-sheet'!N16</f>
        <v>1543.5208494096833</v>
      </c>
      <c r="O30" s="2">
        <f>O8/'Output-Calculation-sheet'!O7*'Output-Calculation-sheet'!O16</f>
        <v>0</v>
      </c>
      <c r="P30" s="2">
        <f>P8/'Output-Calculation-sheet'!P7*'Output-Calculation-sheet'!P16</f>
        <v>1387.2658924857997</v>
      </c>
      <c r="Q30" s="2">
        <f>Q8/'Output-Calculation-sheet'!Q7*'Output-Calculation-sheet'!Q16</f>
        <v>1525.5343235297855</v>
      </c>
      <c r="R30" s="2">
        <f>R8/'Output-Calculation-sheet'!R7*'Output-Calculation-sheet'!R16</f>
        <v>967.95815883783678</v>
      </c>
      <c r="S30" s="2">
        <f>S8/'Output-Calculation-sheet'!S7*'Output-Calculation-sheet'!S16</f>
        <v>973.48207088337927</v>
      </c>
      <c r="T30" s="2">
        <f>T8/'Output-Calculation-sheet'!T7*'Output-Calculation-sheet'!T16</f>
        <v>290.56712561956158</v>
      </c>
      <c r="U30" s="2">
        <f>U8/'Output-Calculation-sheet'!U7*'Output-Calculation-sheet'!U16</f>
        <v>290.04774425063232</v>
      </c>
      <c r="V30" s="2">
        <f>V8/'Output-Calculation-sheet'!V7*'Output-Calculation-sheet'!V16</f>
        <v>225.73864598584035</v>
      </c>
      <c r="W30" s="2">
        <f>W8/'Output-Calculation-sheet'!W7*'Output-Calculation-sheet'!W16</f>
        <v>136.92186884800742</v>
      </c>
      <c r="X30" s="2">
        <f>X8/'Output-Calculation-sheet'!X7*'Output-Calculation-sheet'!X16</f>
        <v>0</v>
      </c>
      <c r="Y30" s="2">
        <f>Y8/'Output-Calculation-sheet'!Y7*'Output-Calculation-sheet'!Y16</f>
        <v>115.88879569581397</v>
      </c>
      <c r="AA30" s="2">
        <f t="shared" si="1"/>
        <v>39.714514110159797</v>
      </c>
    </row>
    <row r="31" spans="1:27" x14ac:dyDescent="0.25">
      <c r="A31" s="2">
        <v>2032</v>
      </c>
      <c r="B31" s="2">
        <f>B9/'Output-Calculation-sheet'!B8*'Output-Calculation-sheet'!B17</f>
        <v>25548.967894730162</v>
      </c>
      <c r="C31" s="2">
        <f>C9/'Output-Calculation-sheet'!C8*'Output-Calculation-sheet'!C17</f>
        <v>0</v>
      </c>
      <c r="D31" s="2">
        <f>D9/'Output-Calculation-sheet'!D8*'Output-Calculation-sheet'!D17</f>
        <v>4284.897364684698</v>
      </c>
      <c r="E31" s="2">
        <f>E9/'Output-Calculation-sheet'!E8*'Output-Calculation-sheet'!E17</f>
        <v>5036.311414316845</v>
      </c>
      <c r="F31" s="2">
        <f>F9/'Output-Calculation-sheet'!F8*'Output-Calculation-sheet'!F17</f>
        <v>2325.9813088308842</v>
      </c>
      <c r="G31" s="2">
        <f>G9/'Output-Calculation-sheet'!G8*'Output-Calculation-sheet'!G17</f>
        <v>1523.2273842757681</v>
      </c>
      <c r="H31" s="2">
        <f>H9/'Output-Calculation-sheet'!H8*'Output-Calculation-sheet'!H17</f>
        <v>0</v>
      </c>
      <c r="I31" s="2">
        <f>I9/'Output-Calculation-sheet'!I8*'Output-Calculation-sheet'!I17</f>
        <v>1484.9255801245711</v>
      </c>
      <c r="J31" s="2">
        <f>J9/'Output-Calculation-sheet'!J8*'Output-Calculation-sheet'!J17</f>
        <v>1321.8699853663802</v>
      </c>
      <c r="K31" s="2">
        <f>K9/'Output-Calculation-sheet'!K8*'Output-Calculation-sheet'!K17</f>
        <v>1881.9918835822411</v>
      </c>
      <c r="L31" s="2">
        <f>L9/'Output-Calculation-sheet'!L8*'Output-Calculation-sheet'!L17</f>
        <v>1605.0082308874034</v>
      </c>
      <c r="M31" s="2">
        <f>M9/'Output-Calculation-sheet'!M8*'Output-Calculation-sheet'!M17</f>
        <v>0</v>
      </c>
      <c r="N31" s="2">
        <f>N9/'Output-Calculation-sheet'!N8*'Output-Calculation-sheet'!N17</f>
        <v>1744.8081007264834</v>
      </c>
      <c r="O31" s="2">
        <f>O9/'Output-Calculation-sheet'!O8*'Output-Calculation-sheet'!O17</f>
        <v>0</v>
      </c>
      <c r="P31" s="2">
        <f>P9/'Output-Calculation-sheet'!P8*'Output-Calculation-sheet'!P17</f>
        <v>2165.5776665273311</v>
      </c>
      <c r="Q31" s="2">
        <f>Q9/'Output-Calculation-sheet'!Q8*'Output-Calculation-sheet'!Q17</f>
        <v>2308.7047591881656</v>
      </c>
      <c r="R31" s="2">
        <f>R9/'Output-Calculation-sheet'!R8*'Output-Calculation-sheet'!R17</f>
        <v>1510.4766670928138</v>
      </c>
      <c r="S31" s="2">
        <f>S9/'Output-Calculation-sheet'!S8*'Output-Calculation-sheet'!S17</f>
        <v>1299.6981403719485</v>
      </c>
      <c r="T31" s="2">
        <f>T9/'Output-Calculation-sheet'!T8*'Output-Calculation-sheet'!T17</f>
        <v>409.87887926849606</v>
      </c>
      <c r="U31" s="2">
        <f>U9/'Output-Calculation-sheet'!U8*'Output-Calculation-sheet'!U17</f>
        <v>471.08150230631941</v>
      </c>
      <c r="V31" s="2">
        <f>V9/'Output-Calculation-sheet'!V8*'Output-Calculation-sheet'!V17</f>
        <v>337.41332779571241</v>
      </c>
      <c r="W31" s="2">
        <f>W9/'Output-Calculation-sheet'!W8*'Output-Calculation-sheet'!W17</f>
        <v>187.84596060752366</v>
      </c>
      <c r="X31" s="2">
        <f>X9/'Output-Calculation-sheet'!X8*'Output-Calculation-sheet'!X17</f>
        <v>0</v>
      </c>
      <c r="Y31" s="2">
        <f>Y9/'Output-Calculation-sheet'!Y8*'Output-Calculation-sheet'!Y17</f>
        <v>181.49989525423035</v>
      </c>
      <c r="AA31" s="2">
        <f t="shared" si="1"/>
        <v>55.630165945937982</v>
      </c>
    </row>
    <row r="32" spans="1:27" x14ac:dyDescent="0.25">
      <c r="A32" s="2">
        <v>2033</v>
      </c>
      <c r="B32" s="2">
        <f>B10/'Output-Calculation-sheet'!B9*'Output-Calculation-sheet'!B18</f>
        <v>29753.476309894129</v>
      </c>
      <c r="C32" s="2">
        <f>C10/'Output-Calculation-sheet'!C9*'Output-Calculation-sheet'!C18</f>
        <v>0</v>
      </c>
      <c r="D32" s="2">
        <f>D10/'Output-Calculation-sheet'!D9*'Output-Calculation-sheet'!D18</f>
        <v>5715.5433281879377</v>
      </c>
      <c r="E32" s="2">
        <f>E10/'Output-Calculation-sheet'!E9*'Output-Calculation-sheet'!E18</f>
        <v>7984.3231534830193</v>
      </c>
      <c r="F32" s="2">
        <f>F10/'Output-Calculation-sheet'!F9*'Output-Calculation-sheet'!F18</f>
        <v>3223.159493241777</v>
      </c>
      <c r="G32" s="2">
        <f>G10/'Output-Calculation-sheet'!G9*'Output-Calculation-sheet'!G18</f>
        <v>2010.7490330067653</v>
      </c>
      <c r="H32" s="2">
        <f>H10/'Output-Calculation-sheet'!H9*'Output-Calculation-sheet'!H18</f>
        <v>0</v>
      </c>
      <c r="I32" s="2">
        <f>I10/'Output-Calculation-sheet'!I9*'Output-Calculation-sheet'!I18</f>
        <v>2122.8788149591956</v>
      </c>
      <c r="J32" s="2">
        <f>J10/'Output-Calculation-sheet'!J9*'Output-Calculation-sheet'!J18</f>
        <v>1703.8911125439354</v>
      </c>
      <c r="K32" s="2">
        <f>K10/'Output-Calculation-sheet'!K9*'Output-Calculation-sheet'!K18</f>
        <v>2835.9173072948938</v>
      </c>
      <c r="L32" s="2">
        <f>L10/'Output-Calculation-sheet'!L9*'Output-Calculation-sheet'!L18</f>
        <v>2449.7694417541684</v>
      </c>
      <c r="M32" s="2">
        <f>M10/'Output-Calculation-sheet'!M9*'Output-Calculation-sheet'!M18</f>
        <v>0</v>
      </c>
      <c r="N32" s="2">
        <f>N10/'Output-Calculation-sheet'!N9*'Output-Calculation-sheet'!N18</f>
        <v>1813.0735847255114</v>
      </c>
      <c r="O32" s="2">
        <f>O10/'Output-Calculation-sheet'!O9*'Output-Calculation-sheet'!O18</f>
        <v>0</v>
      </c>
      <c r="P32" s="2">
        <f>P10/'Output-Calculation-sheet'!P9*'Output-Calculation-sheet'!P18</f>
        <v>2919.0170245060272</v>
      </c>
      <c r="Q32" s="2">
        <f>Q10/'Output-Calculation-sheet'!Q9*'Output-Calculation-sheet'!Q18</f>
        <v>3177.431870471446</v>
      </c>
      <c r="R32" s="2">
        <f>R10/'Output-Calculation-sheet'!R9*'Output-Calculation-sheet'!R18</f>
        <v>2096.0058279305981</v>
      </c>
      <c r="S32" s="2">
        <f>S10/'Output-Calculation-sheet'!S9*'Output-Calculation-sheet'!S18</f>
        <v>1375.4112103284431</v>
      </c>
      <c r="T32" s="2">
        <f>T10/'Output-Calculation-sheet'!T9*'Output-Calculation-sheet'!T18</f>
        <v>611.80950083788139</v>
      </c>
      <c r="U32" s="2">
        <f>U10/'Output-Calculation-sheet'!U9*'Output-Calculation-sheet'!U18</f>
        <v>676.65434145142615</v>
      </c>
      <c r="V32" s="2">
        <f>V10/'Output-Calculation-sheet'!V9*'Output-Calculation-sheet'!V18</f>
        <v>499.69450856582489</v>
      </c>
      <c r="W32" s="2">
        <f>W10/'Output-Calculation-sheet'!W9*'Output-Calculation-sheet'!W18</f>
        <v>249.26192503130665</v>
      </c>
      <c r="X32" s="2">
        <f>X10/'Output-Calculation-sheet'!X9*'Output-Calculation-sheet'!X18</f>
        <v>0</v>
      </c>
      <c r="Y32" s="2">
        <f>Y10/'Output-Calculation-sheet'!Y9*'Output-Calculation-sheet'!Y18</f>
        <v>289.4692943786203</v>
      </c>
      <c r="AA32" s="2">
        <f t="shared" si="1"/>
        <v>71.507537082592918</v>
      </c>
    </row>
    <row r="33" spans="1:27" x14ac:dyDescent="0.25">
      <c r="A33" s="2">
        <v>2034</v>
      </c>
      <c r="B33" s="2">
        <f>B11/'Output-Calculation-sheet'!B10*'Output-Calculation-sheet'!B19</f>
        <v>29844.231588518203</v>
      </c>
      <c r="C33" s="2">
        <f>C11/'Output-Calculation-sheet'!C10*'Output-Calculation-sheet'!C19</f>
        <v>0</v>
      </c>
      <c r="D33" s="2">
        <f>D11/'Output-Calculation-sheet'!D10*'Output-Calculation-sheet'!D19</f>
        <v>8902.206490524557</v>
      </c>
      <c r="E33" s="2">
        <f>E11/'Output-Calculation-sheet'!E10*'Output-Calculation-sheet'!E19</f>
        <v>11025.978010159281</v>
      </c>
      <c r="F33" s="2">
        <f>F11/'Output-Calculation-sheet'!F10*'Output-Calculation-sheet'!F19</f>
        <v>5059.5073290451592</v>
      </c>
      <c r="G33" s="2">
        <f>G11/'Output-Calculation-sheet'!G10*'Output-Calculation-sheet'!G19</f>
        <v>3030.2268940960298</v>
      </c>
      <c r="H33" s="2">
        <f>H11/'Output-Calculation-sheet'!H10*'Output-Calculation-sheet'!H19</f>
        <v>0</v>
      </c>
      <c r="I33" s="2">
        <f>I11/'Output-Calculation-sheet'!I10*'Output-Calculation-sheet'!I19</f>
        <v>3306.4024776578085</v>
      </c>
      <c r="J33" s="2">
        <f>J11/'Output-Calculation-sheet'!J10*'Output-Calculation-sheet'!J19</f>
        <v>2795.7763612611443</v>
      </c>
      <c r="K33" s="2">
        <f>K11/'Output-Calculation-sheet'!K10*'Output-Calculation-sheet'!K19</f>
        <v>3879.5431476008998</v>
      </c>
      <c r="L33" s="2">
        <f>L11/'Output-Calculation-sheet'!L10*'Output-Calculation-sheet'!L19</f>
        <v>3154.9927797237979</v>
      </c>
      <c r="M33" s="2">
        <f>M11/'Output-Calculation-sheet'!M10*'Output-Calculation-sheet'!M19</f>
        <v>0</v>
      </c>
      <c r="N33" s="2">
        <f>N11/'Output-Calculation-sheet'!N10*'Output-Calculation-sheet'!N19</f>
        <v>1784.0143548045696</v>
      </c>
      <c r="O33" s="2">
        <f>O11/'Output-Calculation-sheet'!O10*'Output-Calculation-sheet'!O19</f>
        <v>0</v>
      </c>
      <c r="P33" s="2">
        <f>P11/'Output-Calculation-sheet'!P10*'Output-Calculation-sheet'!P19</f>
        <v>3925.4133083773468</v>
      </c>
      <c r="Q33" s="2">
        <f>Q11/'Output-Calculation-sheet'!Q10*'Output-Calculation-sheet'!Q19</f>
        <v>3232.5366488353052</v>
      </c>
      <c r="R33" s="2">
        <f>R11/'Output-Calculation-sheet'!R10*'Output-Calculation-sheet'!R19</f>
        <v>2802.6818318919022</v>
      </c>
      <c r="S33" s="2">
        <f>S11/'Output-Calculation-sheet'!S10*'Output-Calculation-sheet'!S19</f>
        <v>1306.5115862282714</v>
      </c>
      <c r="T33" s="2">
        <f>T11/'Output-Calculation-sheet'!T10*'Output-Calculation-sheet'!T19</f>
        <v>822.38809566302234</v>
      </c>
      <c r="U33" s="2">
        <f>U11/'Output-Calculation-sheet'!U10*'Output-Calculation-sheet'!U19</f>
        <v>946.49785471316125</v>
      </c>
      <c r="V33" s="2">
        <f>V11/'Output-Calculation-sheet'!V10*'Output-Calculation-sheet'!V19</f>
        <v>644.91277248409699</v>
      </c>
      <c r="W33" s="2">
        <f>W11/'Output-Calculation-sheet'!W10*'Output-Calculation-sheet'!W19</f>
        <v>402.17636810280084</v>
      </c>
      <c r="X33" s="2">
        <f>X11/'Output-Calculation-sheet'!X10*'Output-Calculation-sheet'!X19</f>
        <v>116.28908611719274</v>
      </c>
      <c r="Y33" s="2">
        <f>Y11/'Output-Calculation-sheet'!Y10*'Output-Calculation-sheet'!Y19</f>
        <v>361.94413565039133</v>
      </c>
      <c r="AA33" s="2">
        <f t="shared" si="1"/>
        <v>87.344231121454925</v>
      </c>
    </row>
    <row r="34" spans="1:27" x14ac:dyDescent="0.25">
      <c r="A34" s="2">
        <v>2035</v>
      </c>
      <c r="B34" s="2">
        <f>B12/'Output-Calculation-sheet'!B11*'Output-Calculation-sheet'!B20</f>
        <v>29894.40590206621</v>
      </c>
      <c r="C34" s="2">
        <f>C12/'Output-Calculation-sheet'!C11*'Output-Calculation-sheet'!C20</f>
        <v>0</v>
      </c>
      <c r="D34" s="2">
        <f>D12/'Output-Calculation-sheet'!D11*'Output-Calculation-sheet'!D20</f>
        <v>9381.7762476203934</v>
      </c>
      <c r="E34" s="2">
        <f>E12/'Output-Calculation-sheet'!E11*'Output-Calculation-sheet'!E20</f>
        <v>10250.969149063245</v>
      </c>
      <c r="F34" s="2">
        <f>F12/'Output-Calculation-sheet'!F11*'Output-Calculation-sheet'!F20</f>
        <v>6458.591247608666</v>
      </c>
      <c r="G34" s="2">
        <f>G12/'Output-Calculation-sheet'!G11*'Output-Calculation-sheet'!G20</f>
        <v>3451.2794105804119</v>
      </c>
      <c r="H34" s="2">
        <f>H12/'Output-Calculation-sheet'!H11*'Output-Calculation-sheet'!H20</f>
        <v>0</v>
      </c>
      <c r="I34" s="2">
        <f>I12/'Output-Calculation-sheet'!I11*'Output-Calculation-sheet'!I20</f>
        <v>3751.0707620781077</v>
      </c>
      <c r="J34" s="2">
        <f>J12/'Output-Calculation-sheet'!J11*'Output-Calculation-sheet'!J20</f>
        <v>3220.2974883830434</v>
      </c>
      <c r="K34" s="2">
        <f>K12/'Output-Calculation-sheet'!K11*'Output-Calculation-sheet'!K20</f>
        <v>4233.9071244708266</v>
      </c>
      <c r="L34" s="2">
        <f>L12/'Output-Calculation-sheet'!L11*'Output-Calculation-sheet'!L20</f>
        <v>3346.1246164936065</v>
      </c>
      <c r="M34" s="2">
        <f>M12/'Output-Calculation-sheet'!M11*'Output-Calculation-sheet'!M20</f>
        <v>0</v>
      </c>
      <c r="N34" s="2">
        <f>N12/'Output-Calculation-sheet'!N11*'Output-Calculation-sheet'!N20</f>
        <v>1862.1188993598917</v>
      </c>
      <c r="O34" s="2">
        <f>O12/'Output-Calculation-sheet'!O11*'Output-Calculation-sheet'!O20</f>
        <v>0</v>
      </c>
      <c r="P34" s="2">
        <f>P12/'Output-Calculation-sheet'!P11*'Output-Calculation-sheet'!P20</f>
        <v>4161.4955947365152</v>
      </c>
      <c r="Q34" s="2">
        <f>Q12/'Output-Calculation-sheet'!Q11*'Output-Calculation-sheet'!Q20</f>
        <v>3292.8683330950571</v>
      </c>
      <c r="R34" s="2">
        <f>R12/'Output-Calculation-sheet'!R11*'Output-Calculation-sheet'!R20</f>
        <v>3305.0522346267603</v>
      </c>
      <c r="S34" s="2">
        <f>S12/'Output-Calculation-sheet'!S11*'Output-Calculation-sheet'!S20</f>
        <v>1262.4497582585216</v>
      </c>
      <c r="T34" s="2">
        <f>T12/'Output-Calculation-sheet'!T11*'Output-Calculation-sheet'!T20</f>
        <v>1038.3453165944338</v>
      </c>
      <c r="U34" s="2">
        <f>U12/'Output-Calculation-sheet'!U11*'Output-Calculation-sheet'!U20</f>
        <v>947.32919873173705</v>
      </c>
      <c r="V34" s="2">
        <f>V12/'Output-Calculation-sheet'!V11*'Output-Calculation-sheet'!V20</f>
        <v>870.21896985561261</v>
      </c>
      <c r="W34" s="2">
        <f>W12/'Output-Calculation-sheet'!W11*'Output-Calculation-sheet'!W20</f>
        <v>559.86815499821614</v>
      </c>
      <c r="X34" s="2">
        <f>X12/'Output-Calculation-sheet'!X11*'Output-Calculation-sheet'!X20</f>
        <v>113.15146055395982</v>
      </c>
      <c r="Y34" s="2">
        <f>Y12/'Output-Calculation-sheet'!Y11*'Output-Calculation-sheet'!Y20</f>
        <v>313.82725149189145</v>
      </c>
      <c r="AA34" s="2">
        <f t="shared" si="1"/>
        <v>91.715147120667098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0.87710993856598318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0.17039886480802641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1.0475088033740096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1.0110822227831193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0.39285215094358139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1.4039343737267007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1.1096830312609844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0.64674467991805784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1.7564277111790423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1.1920015659004468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0.69472151009110694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1.8867230759915539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2.5272401995361835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0.38898162100412054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0.26765741928186876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0.98194956450326365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0.23048389653014656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2.9362678724578557E-2</v>
      </c>
      <c r="Y44" s="2">
        <f>Y11/'Output-Calculation-sheet'!Y10*'Output-Calculation-sheet'!Y37*0.0114</f>
        <v>0</v>
      </c>
      <c r="AA44" s="2">
        <f t="shared" si="2"/>
        <v>4.4256753795801611</v>
      </c>
    </row>
    <row r="45" spans="1:27" x14ac:dyDescent="0.25">
      <c r="A45" s="2">
        <v>2035</v>
      </c>
      <c r="B45" s="2">
        <f>B12/'Output-Calculation-sheet'!B11*'Output-Calculation-sheet'!B38*0.0114</f>
        <v>2.7941445894296435</v>
      </c>
      <c r="C45" s="2">
        <f>C12/'Output-Calculation-sheet'!C11*'Output-Calculation-sheet'!C38*0.0114</f>
        <v>2.6523266827311565</v>
      </c>
      <c r="D45" s="2">
        <f>D12/'Output-Calculation-sheet'!D11*'Output-Calculation-sheet'!D38*0.0114</f>
        <v>1.174757246357423</v>
      </c>
      <c r="E45" s="2">
        <f>E12/'Output-Calculation-sheet'!E11*'Output-Calculation-sheet'!E38*0.0114</f>
        <v>0.93361866501015411</v>
      </c>
      <c r="F45" s="2">
        <f>F12/'Output-Calculation-sheet'!F11*'Output-Calculation-sheet'!F38*0.0114</f>
        <v>0.58718211865779946</v>
      </c>
      <c r="G45" s="2">
        <f>G12/'Output-Calculation-sheet'!G11*'Output-Calculation-sheet'!G38*0.0114</f>
        <v>0.4214106645025566</v>
      </c>
      <c r="H45" s="2">
        <f>H12/'Output-Calculation-sheet'!H11*'Output-Calculation-sheet'!H38*0.0114</f>
        <v>0.40823437862004286</v>
      </c>
      <c r="I45" s="2">
        <f>I12/'Output-Calculation-sheet'!I11*'Output-Calculation-sheet'!I38*0.0114</f>
        <v>0.37903373268412616</v>
      </c>
      <c r="J45" s="2">
        <f>J12/'Output-Calculation-sheet'!J11*'Output-Calculation-sheet'!J38*0.0114</f>
        <v>0.37511895211377488</v>
      </c>
      <c r="K45" s="2">
        <f>K12/'Output-Calculation-sheet'!K11*'Output-Calculation-sheet'!K38*0.0114</f>
        <v>0.37253049627186119</v>
      </c>
      <c r="L45" s="2">
        <f>L12/'Output-Calculation-sheet'!L11*'Output-Calculation-sheet'!L38*0.0114</f>
        <v>0.29621839960883328</v>
      </c>
      <c r="M45" s="2">
        <f>M12/'Output-Calculation-sheet'!M11*'Output-Calculation-sheet'!M38*0.0114</f>
        <v>0.28090520051182699</v>
      </c>
      <c r="N45" s="2">
        <f>N12/'Output-Calculation-sheet'!N11*'Output-Calculation-sheet'!N38*0.0114</f>
        <v>0.27608473732218447</v>
      </c>
      <c r="O45" s="2">
        <f>O12/'Output-Calculation-sheet'!O11*'Output-Calculation-sheet'!O38*0.0114</f>
        <v>1.0305514416501573</v>
      </c>
      <c r="P45" s="2">
        <f>P12/'Output-Calculation-sheet'!P11*'Output-Calculation-sheet'!P38*0.0114</f>
        <v>0.25505255116795933</v>
      </c>
      <c r="Q45" s="2">
        <f>Q12/'Output-Calculation-sheet'!Q11*'Output-Calculation-sheet'!Q38*0.0114</f>
        <v>0.24189176352091435</v>
      </c>
      <c r="R45" s="2">
        <f>R12/'Output-Calculation-sheet'!R11*'Output-Calculation-sheet'!R38*0.0114</f>
        <v>0.23988078714152514</v>
      </c>
      <c r="S45" s="2">
        <f>S12/'Output-Calculation-sheet'!S11*'Output-Calculation-sheet'!S38*0.0114</f>
        <v>0.15826087272809108</v>
      </c>
      <c r="T45" s="2">
        <f>T12/'Output-Calculation-sheet'!T11*'Output-Calculation-sheet'!T38*0.0114</f>
        <v>8.874746295678923E-2</v>
      </c>
      <c r="U45" s="2">
        <f>U12/'Output-Calculation-sheet'!U11*'Output-Calculation-sheet'!U38*0.0114</f>
        <v>7.7178252451524348E-2</v>
      </c>
      <c r="V45" s="2">
        <f>V12/'Output-Calculation-sheet'!V11*'Output-Calculation-sheet'!V38*0.0114</f>
        <v>5.9511432320253771E-2</v>
      </c>
      <c r="W45" s="2">
        <f>W12/'Output-Calculation-sheet'!W11*'Output-Calculation-sheet'!W38*0.0114</f>
        <v>5.153242500831353E-2</v>
      </c>
      <c r="X45" s="2">
        <f>X12/'Output-Calculation-sheet'!X11*'Output-Calculation-sheet'!X38*0.0114</f>
        <v>3.0815992983949495E-2</v>
      </c>
      <c r="Y45" s="2">
        <f>Y12/'Output-Calculation-sheet'!Y11*'Output-Calculation-sheet'!Y38*0.0114</f>
        <v>2.9738004796205999E-2</v>
      </c>
      <c r="AA45" s="2">
        <f t="shared" si="2"/>
        <v>13.214726850547066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8001.704702707214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1752.6429767627296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1238.5841948653988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175.20819045408629</v>
      </c>
      <c r="Y51" s="2">
        <f>Y7/'Output-Calculation-sheet'!Y6*'Output-Calculation-sheet'!Y42</f>
        <v>0</v>
      </c>
      <c r="AA51" s="2">
        <f t="shared" si="3"/>
        <v>11.16814006478943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20753.792993969291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6770.8915926984246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4621.4631146049296</v>
      </c>
      <c r="N52" s="2">
        <f>N8/'Output-Calculation-sheet'!N7*'Output-Calculation-sheet'!N43</f>
        <v>147.71241202064053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597.66630076145839</v>
      </c>
      <c r="Y52" s="2">
        <f>Y8/'Output-Calculation-sheet'!Y7*'Output-Calculation-sheet'!Y43</f>
        <v>0</v>
      </c>
      <c r="AA52" s="2">
        <f t="shared" si="3"/>
        <v>32.891526414054745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47599.561604089598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13154.403835232226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8989.6616010258076</v>
      </c>
      <c r="N53" s="2">
        <f>N9/'Output-Calculation-sheet'!N8*'Output-Calculation-sheet'!N44</f>
        <v>3201.8173995050506</v>
      </c>
      <c r="O53" s="2">
        <f>O9/'Output-Calculation-sheet'!O8*'Output-Calculation-sheet'!O44</f>
        <v>0</v>
      </c>
      <c r="P53" s="2">
        <f>P9/'Output-Calculation-sheet'!P8*'Output-Calculation-sheet'!P44</f>
        <v>149.76720810721793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999.00826806084433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1124.1638884429265</v>
      </c>
      <c r="Y53" s="2">
        <f>Y9/'Output-Calculation-sheet'!Y8*'Output-Calculation-sheet'!Y44</f>
        <v>0</v>
      </c>
      <c r="AA53" s="2">
        <f t="shared" si="3"/>
        <v>75.218383804463684</v>
      </c>
    </row>
    <row r="54" spans="1:27" x14ac:dyDescent="0.25">
      <c r="A54" s="2">
        <v>2033</v>
      </c>
      <c r="B54" s="2">
        <f>B10/'Output-Calculation-sheet'!B9*'Output-Calculation-sheet'!B45</f>
        <v>28199.006098703117</v>
      </c>
      <c r="C54" s="2">
        <f>C10/'Output-Calculation-sheet'!C9*'Output-Calculation-sheet'!C45</f>
        <v>64619.032256708429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20438.93470824094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264.34998876918979</v>
      </c>
      <c r="L54" s="2">
        <f>L10/'Output-Calculation-sheet'!L9*'Output-Calculation-sheet'!L45</f>
        <v>0</v>
      </c>
      <c r="M54" s="2">
        <f>M10/'Output-Calculation-sheet'!M9*'Output-Calculation-sheet'!M45</f>
        <v>14019.691121048569</v>
      </c>
      <c r="N54" s="2">
        <f>N10/'Output-Calculation-sheet'!N9*'Output-Calculation-sheet'!N45</f>
        <v>7858.2267482190109</v>
      </c>
      <c r="O54" s="2">
        <f>O10/'Output-Calculation-sheet'!O9*'Output-Calculation-sheet'!O45</f>
        <v>0</v>
      </c>
      <c r="P54" s="2">
        <f>P10/'Output-Calculation-sheet'!P9*'Output-Calculation-sheet'!P45</f>
        <v>2131.6234686896</v>
      </c>
      <c r="Q54" s="2">
        <f>Q10/'Output-Calculation-sheet'!Q9*'Output-Calculation-sheet'!Q45</f>
        <v>839.16761083746667</v>
      </c>
      <c r="R54" s="2">
        <f>R10/'Output-Calculation-sheet'!R9*'Output-Calculation-sheet'!R45</f>
        <v>1399.5942219151989</v>
      </c>
      <c r="S54" s="2">
        <f>S10/'Output-Calculation-sheet'!S9*'Output-Calculation-sheet'!S45</f>
        <v>3344.13118835867</v>
      </c>
      <c r="T54" s="2">
        <f>T10/'Output-Calculation-sheet'!T9*'Output-Calculation-sheet'!T45</f>
        <v>69.973065801782056</v>
      </c>
      <c r="U54" s="2">
        <f>U10/'Output-Calculation-sheet'!U9*'Output-Calculation-sheet'!U45</f>
        <v>505.06583158391675</v>
      </c>
      <c r="V54" s="2">
        <f>V10/'Output-Calculation-sheet'!V9*'Output-Calculation-sheet'!V45</f>
        <v>37.537500056590439</v>
      </c>
      <c r="W54" s="2">
        <f>W10/'Output-Calculation-sheet'!W9*'Output-Calculation-sheet'!W45</f>
        <v>0</v>
      </c>
      <c r="X54" s="2">
        <f>X10/'Output-Calculation-sheet'!X9*'Output-Calculation-sheet'!X45</f>
        <v>1610.8854203383776</v>
      </c>
      <c r="Y54" s="2">
        <f>Y10/'Output-Calculation-sheet'!Y9*'Output-Calculation-sheet'!Y45</f>
        <v>16.412881089369918</v>
      </c>
      <c r="AA54" s="2">
        <f t="shared" si="3"/>
        <v>145.35363211036022</v>
      </c>
    </row>
    <row r="55" spans="1:27" x14ac:dyDescent="0.25">
      <c r="A55" s="2">
        <v>2034</v>
      </c>
      <c r="B55" s="2">
        <f>B11/'Output-Calculation-sheet'!B10*'Output-Calculation-sheet'!B46</f>
        <v>85009.001472890086</v>
      </c>
      <c r="C55" s="2">
        <f>C11/'Output-Calculation-sheet'!C10*'Output-Calculation-sheet'!C46</f>
        <v>69942.480960847883</v>
      </c>
      <c r="D55" s="2">
        <f>D11/'Output-Calculation-sheet'!D10*'Output-Calculation-sheet'!D46</f>
        <v>7855.1191127896909</v>
      </c>
      <c r="E55" s="2">
        <f>E11/'Output-Calculation-sheet'!E10*'Output-Calculation-sheet'!E46</f>
        <v>9676.2229435851496</v>
      </c>
      <c r="F55" s="2">
        <f>F11/'Output-Calculation-sheet'!F10*'Output-Calculation-sheet'!F46</f>
        <v>294.46842085410901</v>
      </c>
      <c r="G55" s="2">
        <f>G11/'Output-Calculation-sheet'!G10*'Output-Calculation-sheet'!G46</f>
        <v>3487.0274960828879</v>
      </c>
      <c r="H55" s="2">
        <f>H11/'Output-Calculation-sheet'!H10*'Output-Calculation-sheet'!H46</f>
        <v>25215.562975617988</v>
      </c>
      <c r="I55" s="2">
        <f>I11/'Output-Calculation-sheet'!I10*'Output-Calculation-sheet'!I46</f>
        <v>1900.8321467462752</v>
      </c>
      <c r="J55" s="2">
        <f>J11/'Output-Calculation-sheet'!J10*'Output-Calculation-sheet'!J46</f>
        <v>1379.5464830715528</v>
      </c>
      <c r="K55" s="2">
        <f>K11/'Output-Calculation-sheet'!K10*'Output-Calculation-sheet'!K46</f>
        <v>3705.3006080813757</v>
      </c>
      <c r="L55" s="2">
        <f>L11/'Output-Calculation-sheet'!L10*'Output-Calculation-sheet'!L46</f>
        <v>1361.7248911936661</v>
      </c>
      <c r="M55" s="2">
        <f>M11/'Output-Calculation-sheet'!M10*'Output-Calculation-sheet'!M46</f>
        <v>17820.349231134944</v>
      </c>
      <c r="N55" s="2">
        <f>N11/'Output-Calculation-sheet'!N10*'Output-Calculation-sheet'!N46</f>
        <v>13591.655197577205</v>
      </c>
      <c r="O55" s="2">
        <f>O11/'Output-Calculation-sheet'!O10*'Output-Calculation-sheet'!O46</f>
        <v>301.47574348784411</v>
      </c>
      <c r="P55" s="2">
        <f>P11/'Output-Calculation-sheet'!P10*'Output-Calculation-sheet'!P46</f>
        <v>5052.3412137996775</v>
      </c>
      <c r="Q55" s="2">
        <f>Q11/'Output-Calculation-sheet'!Q10*'Output-Calculation-sheet'!Q46</f>
        <v>2972.0291920992581</v>
      </c>
      <c r="R55" s="2">
        <f>R11/'Output-Calculation-sheet'!R10*'Output-Calculation-sheet'!R46</f>
        <v>4090.1599137678172</v>
      </c>
      <c r="S55" s="2">
        <f>S11/'Output-Calculation-sheet'!S10*'Output-Calculation-sheet'!S46</f>
        <v>6680.048102108708</v>
      </c>
      <c r="T55" s="2">
        <f>T11/'Output-Calculation-sheet'!T10*'Output-Calculation-sheet'!T46</f>
        <v>927.21535481724027</v>
      </c>
      <c r="U55" s="2">
        <f>U11/'Output-Calculation-sheet'!U10*'Output-Calculation-sheet'!U46</f>
        <v>1548.1778072962625</v>
      </c>
      <c r="V55" s="2">
        <f>V11/'Output-Calculation-sheet'!V10*'Output-Calculation-sheet'!V46</f>
        <v>626.73738822555583</v>
      </c>
      <c r="W55" s="2">
        <f>W11/'Output-Calculation-sheet'!W10*'Output-Calculation-sheet'!W46</f>
        <v>81.836837136572839</v>
      </c>
      <c r="X55" s="2">
        <f>X11/'Output-Calculation-sheet'!X10*'Output-Calculation-sheet'!X46</f>
        <v>1823.576889210668</v>
      </c>
      <c r="Y55" s="2">
        <f>Y11/'Output-Calculation-sheet'!Y10*'Output-Calculation-sheet'!Y46</f>
        <v>474.74439910742313</v>
      </c>
      <c r="AA55" s="2">
        <f t="shared" si="3"/>
        <v>265.81763478152988</v>
      </c>
    </row>
    <row r="56" spans="1:27" x14ac:dyDescent="0.25">
      <c r="A56" s="2">
        <v>2035</v>
      </c>
      <c r="B56" s="2">
        <f>B12/'Output-Calculation-sheet'!B11*'Output-Calculation-sheet'!B47</f>
        <v>113481.48639525658</v>
      </c>
      <c r="C56" s="2">
        <f>C12/'Output-Calculation-sheet'!C11*'Output-Calculation-sheet'!C47</f>
        <v>74567.605422397872</v>
      </c>
      <c r="D56" s="2">
        <f>D12/'Output-Calculation-sheet'!D11*'Output-Calculation-sheet'!D47</f>
        <v>9068.3015508292283</v>
      </c>
      <c r="E56" s="2">
        <f>E12/'Output-Calculation-sheet'!E11*'Output-Calculation-sheet'!E47</f>
        <v>25469.772352469994</v>
      </c>
      <c r="F56" s="2">
        <f>F12/'Output-Calculation-sheet'!F11*'Output-Calculation-sheet'!F47</f>
        <v>3141.9394068531374</v>
      </c>
      <c r="G56" s="2">
        <f>G12/'Output-Calculation-sheet'!G11*'Output-Calculation-sheet'!G47</f>
        <v>7097.4427705693743</v>
      </c>
      <c r="H56" s="2">
        <f>H12/'Output-Calculation-sheet'!H11*'Output-Calculation-sheet'!H47</f>
        <v>27108.195141699336</v>
      </c>
      <c r="I56" s="2">
        <f>I12/'Output-Calculation-sheet'!I11*'Output-Calculation-sheet'!I47</f>
        <v>3590.8458885864584</v>
      </c>
      <c r="J56" s="2">
        <f>J12/'Output-Calculation-sheet'!J11*'Output-Calculation-sheet'!J47</f>
        <v>3257.6119525669924</v>
      </c>
      <c r="K56" s="2">
        <f>K12/'Output-Calculation-sheet'!K11*'Output-Calculation-sheet'!K47</f>
        <v>4705.6483739603518</v>
      </c>
      <c r="L56" s="2">
        <f>L12/'Output-Calculation-sheet'!L11*'Output-Calculation-sheet'!L47</f>
        <v>2598.4070141125721</v>
      </c>
      <c r="M56" s="2">
        <f>M12/'Output-Calculation-sheet'!M11*'Output-Calculation-sheet'!M47</f>
        <v>18899.49901689222</v>
      </c>
      <c r="N56" s="2">
        <f>N12/'Output-Calculation-sheet'!N11*'Output-Calculation-sheet'!N47</f>
        <v>14433.903810879117</v>
      </c>
      <c r="O56" s="2">
        <f>O12/'Output-Calculation-sheet'!O11*'Output-Calculation-sheet'!O47</f>
        <v>1355.9887390133647</v>
      </c>
      <c r="P56" s="2">
        <f>P12/'Output-Calculation-sheet'!P11*'Output-Calculation-sheet'!P47</f>
        <v>7494.9653194093316</v>
      </c>
      <c r="Q56" s="2">
        <f>Q12/'Output-Calculation-sheet'!Q11*'Output-Calculation-sheet'!Q47</f>
        <v>3798.1250587933041</v>
      </c>
      <c r="R56" s="2">
        <f>R12/'Output-Calculation-sheet'!R11*'Output-Calculation-sheet'!R47</f>
        <v>5534.0918437036062</v>
      </c>
      <c r="S56" s="2">
        <f>S12/'Output-Calculation-sheet'!S11*'Output-Calculation-sheet'!S47</f>
        <v>7329.9772631957967</v>
      </c>
      <c r="T56" s="2">
        <f>T12/'Output-Calculation-sheet'!T11*'Output-Calculation-sheet'!T47</f>
        <v>1938.4314277403962</v>
      </c>
      <c r="U56" s="2">
        <f>U12/'Output-Calculation-sheet'!U11*'Output-Calculation-sheet'!U47</f>
        <v>1854.9860676945325</v>
      </c>
      <c r="V56" s="2">
        <f>V12/'Output-Calculation-sheet'!V11*'Output-Calculation-sheet'!V47</f>
        <v>1294.6346680195556</v>
      </c>
      <c r="W56" s="2">
        <f>W12/'Output-Calculation-sheet'!W11*'Output-Calculation-sheet'!W47</f>
        <v>736.82326985571092</v>
      </c>
      <c r="X56" s="2">
        <f>X12/'Output-Calculation-sheet'!X11*'Output-Calculation-sheet'!X47</f>
        <v>1951.6795556501345</v>
      </c>
      <c r="Y56" s="2">
        <f>Y12/'Output-Calculation-sheet'!Y11*'Output-Calculation-sheet'!Y47</f>
        <v>999.0926172760436</v>
      </c>
      <c r="AA56" s="2">
        <f t="shared" si="3"/>
        <v>341.70945492742504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4.7325266218002033</v>
      </c>
      <c r="C60" s="2">
        <f>C5*'Output-Calculation-sheet'!C49/10^9</f>
        <v>1.9088279039896519</v>
      </c>
      <c r="D60" s="2">
        <f>D5*'Output-Calculation-sheet'!D49/10^9</f>
        <v>1.2479113103982364</v>
      </c>
      <c r="E60" s="2">
        <f>E5*'Output-Calculation-sheet'!E49/10^9</f>
        <v>1.4478570355749143</v>
      </c>
      <c r="F60" s="2">
        <f>F5*'Output-Calculation-sheet'!F49/10^9</f>
        <v>0.66495763205205372</v>
      </c>
      <c r="G60" s="2">
        <f>G5*'Output-Calculation-sheet'!G49/10^9</f>
        <v>0.52456376982493724</v>
      </c>
      <c r="H60" s="2">
        <f>H5*'Output-Calculation-sheet'!H49/10^9</f>
        <v>0.5015586382936702</v>
      </c>
      <c r="I60" s="2">
        <f>I5*'Output-Calculation-sheet'!I49/10^9</f>
        <v>0.39488767836277638</v>
      </c>
      <c r="J60" s="2">
        <f>J5*'Output-Calculation-sheet'!J49/10^9</f>
        <v>0.61200494979529396</v>
      </c>
      <c r="K60" s="2">
        <f>K5*'Output-Calculation-sheet'!K49/10^9</f>
        <v>0.33969559657159665</v>
      </c>
      <c r="L60" s="2">
        <f>L5*'Output-Calculation-sheet'!L49/10^9</f>
        <v>0.44360234327415821</v>
      </c>
      <c r="M60" s="2">
        <f>M5*'Output-Calculation-sheet'!M49/10^9</f>
        <v>0.38393605865104324</v>
      </c>
      <c r="N60" s="2">
        <f>N5*'Output-Calculation-sheet'!N49/10^9</f>
        <v>0.32138992630717933</v>
      </c>
      <c r="O60" s="2">
        <f>O5*'Output-Calculation-sheet'!O49/10^9</f>
        <v>0.32214782965874689</v>
      </c>
      <c r="P60" s="2">
        <f>P5*'Output-Calculation-sheet'!P49/10^9</f>
        <v>0.33610445220847507</v>
      </c>
      <c r="Q60" s="2">
        <f>Q5*'Output-Calculation-sheet'!Q49/10^9</f>
        <v>0.291508831213391</v>
      </c>
      <c r="R60" s="2">
        <f>R5*'Output-Calculation-sheet'!R49/10^9</f>
        <v>0.30477495988604686</v>
      </c>
      <c r="S60" s="2">
        <f>S5*'Output-Calculation-sheet'!S49/10^9</f>
        <v>0.2147449171205105</v>
      </c>
      <c r="T60" s="2">
        <f>T5*'Output-Calculation-sheet'!T49/10^9</f>
        <v>0.13358478288436523</v>
      </c>
      <c r="U60" s="2">
        <f>U5*'Output-Calculation-sheet'!U49/10^9</f>
        <v>9.8155441098423488E-2</v>
      </c>
      <c r="V60" s="2">
        <f>V5*'Output-Calculation-sheet'!V49/10^9</f>
        <v>0.1866653328911749</v>
      </c>
      <c r="W60" s="2">
        <f>W5*'Output-Calculation-sheet'!W49/10^9</f>
        <v>7.4329551844645445E-2</v>
      </c>
      <c r="X60" s="2">
        <f>X5*'Output-Calculation-sheet'!X49/10^9</f>
        <v>5.4517657013671124E-2</v>
      </c>
      <c r="Y60" s="2">
        <f>Y5*'Output-Calculation-sheet'!Y49/10^9</f>
        <v>3.9426699172199708E-2</v>
      </c>
      <c r="AA60" s="2">
        <f t="shared" ref="AA60:AA67" si="4">SUM(B60:Y60)</f>
        <v>15.579679919887363</v>
      </c>
    </row>
    <row r="61" spans="1:27" x14ac:dyDescent="0.25">
      <c r="A61" s="2">
        <v>2029</v>
      </c>
      <c r="B61" s="2">
        <f>B6*'Output-Calculation-sheet'!B50/10^9</f>
        <v>5.8230241322488219</v>
      </c>
      <c r="C61" s="2">
        <f>C6*'Output-Calculation-sheet'!C50/10^9</f>
        <v>2.4956706135048767</v>
      </c>
      <c r="D61" s="2">
        <f>D6*'Output-Calculation-sheet'!D50/10^9</f>
        <v>1.4989299605219628</v>
      </c>
      <c r="E61" s="2">
        <f>E6*'Output-Calculation-sheet'!E50/10^9</f>
        <v>1.7326290389010897</v>
      </c>
      <c r="F61" s="2">
        <f>F6*'Output-Calculation-sheet'!F50/10^9</f>
        <v>0.79947958404968023</v>
      </c>
      <c r="G61" s="2">
        <f>G6*'Output-Calculation-sheet'!G50/10^9</f>
        <v>0.62510338692268219</v>
      </c>
      <c r="H61" s="2">
        <f>H6*'Output-Calculation-sheet'!H50/10^9</f>
        <v>0.64710172834274493</v>
      </c>
      <c r="I61" s="2">
        <f>I6*'Output-Calculation-sheet'!I50/10^9</f>
        <v>0.47662973874048392</v>
      </c>
      <c r="J61" s="2">
        <f>J6*'Output-Calculation-sheet'!J50/10^9</f>
        <v>0.72115226805161692</v>
      </c>
      <c r="K61" s="2">
        <f>K6*'Output-Calculation-sheet'!K50/10^9</f>
        <v>0.41874233049484172</v>
      </c>
      <c r="L61" s="2">
        <f>L6*'Output-Calculation-sheet'!L50/10^9</f>
        <v>0.53225349243892373</v>
      </c>
      <c r="M61" s="2">
        <f>M6*'Output-Calculation-sheet'!M50/10^9</f>
        <v>0.49001028372722777</v>
      </c>
      <c r="N61" s="2">
        <f>N6*'Output-Calculation-sheet'!N50/10^9</f>
        <v>0.41751227209840053</v>
      </c>
      <c r="O61" s="2">
        <f>O6*'Output-Calculation-sheet'!O50/10^9</f>
        <v>0.43472283745547308</v>
      </c>
      <c r="P61" s="2">
        <f>P6*'Output-Calculation-sheet'!P50/10^9</f>
        <v>0.41434755793657824</v>
      </c>
      <c r="Q61" s="2">
        <f>Q6*'Output-Calculation-sheet'!Q50/10^9</f>
        <v>0.36705748239279634</v>
      </c>
      <c r="R61" s="2">
        <f>R6*'Output-Calculation-sheet'!R50/10^9</f>
        <v>0.37089122044638057</v>
      </c>
      <c r="S61" s="2">
        <f>S6*'Output-Calculation-sheet'!S50/10^9</f>
        <v>0.27191710796217078</v>
      </c>
      <c r="T61" s="2">
        <f>T6*'Output-Calculation-sheet'!T50/10^9</f>
        <v>0.15938015899136332</v>
      </c>
      <c r="U61" s="2">
        <f>U6*'Output-Calculation-sheet'!U50/10^9</f>
        <v>0.11898962464208346</v>
      </c>
      <c r="V61" s="2">
        <f>V6*'Output-Calculation-sheet'!V50/10^9</f>
        <v>0.21828204799572898</v>
      </c>
      <c r="W61" s="2">
        <f>W6*'Output-Calculation-sheet'!W50/10^9</f>
        <v>8.8074593080952224E-2</v>
      </c>
      <c r="X61" s="2">
        <f>X6*'Output-Calculation-sheet'!X50/10^9</f>
        <v>6.8759094375623803E-2</v>
      </c>
      <c r="Y61" s="2">
        <f>Y6*'Output-Calculation-sheet'!Y50/10^9</f>
        <v>4.7777096463677435E-2</v>
      </c>
      <c r="AA61" s="2">
        <f t="shared" si="4"/>
        <v>19.238437651786185</v>
      </c>
    </row>
    <row r="62" spans="1:27" x14ac:dyDescent="0.25">
      <c r="A62" s="2">
        <v>2030</v>
      </c>
      <c r="B62" s="2">
        <f>B7*'Output-Calculation-sheet'!B51/10^9</f>
        <v>6.5468753784999008</v>
      </c>
      <c r="C62" s="2">
        <f>C7*'Output-Calculation-sheet'!C51/10^9</f>
        <v>3.2536589211629336</v>
      </c>
      <c r="D62" s="2">
        <f>D7*'Output-Calculation-sheet'!D51/10^9</f>
        <v>1.6309802394373847</v>
      </c>
      <c r="E62" s="2">
        <f>E7*'Output-Calculation-sheet'!E51/10^9</f>
        <v>1.8767775071727353</v>
      </c>
      <c r="F62" s="2">
        <f>F7*'Output-Calculation-sheet'!F51/10^9</f>
        <v>0.87091549275422409</v>
      </c>
      <c r="G62" s="2">
        <f>G7*'Output-Calculation-sheet'!G51/10^9</f>
        <v>0.67363822312895216</v>
      </c>
      <c r="H62" s="2">
        <f>H7*'Output-Calculation-sheet'!H51/10^9</f>
        <v>0.82019687170554023</v>
      </c>
      <c r="I62" s="2">
        <f>I7*'Output-Calculation-sheet'!I51/10^9</f>
        <v>0.52165194029721884</v>
      </c>
      <c r="J62" s="2">
        <f>J7*'Output-Calculation-sheet'!J51/10^9</f>
        <v>0.76635689867630996</v>
      </c>
      <c r="K62" s="2">
        <f>K7*'Output-Calculation-sheet'!K51/10^9</f>
        <v>0.46970224681949979</v>
      </c>
      <c r="L62" s="2">
        <f>L7*'Output-Calculation-sheet'!L51/10^9</f>
        <v>0.57838143696816857</v>
      </c>
      <c r="M62" s="2">
        <f>M7*'Output-Calculation-sheet'!M51/10^9</f>
        <v>0.61113282077709796</v>
      </c>
      <c r="N62" s="2">
        <f>N7*'Output-Calculation-sheet'!N51/10^9</f>
        <v>0.49928753376206381</v>
      </c>
      <c r="O62" s="2">
        <f>O7*'Output-Calculation-sheet'!O51/10^9</f>
        <v>0.56811361237276481</v>
      </c>
      <c r="P62" s="2">
        <f>P7*'Output-Calculation-sheet'!P51/10^9</f>
        <v>0.46481353248536339</v>
      </c>
      <c r="Q62" s="2">
        <f>Q7*'Output-Calculation-sheet'!Q51/10^9</f>
        <v>0.42298319769711906</v>
      </c>
      <c r="R62" s="2">
        <f>R7*'Output-Calculation-sheet'!R51/10^9</f>
        <v>0.40988120642848858</v>
      </c>
      <c r="S62" s="2">
        <f>S7*'Output-Calculation-sheet'!S51/10^9</f>
        <v>0.31778009361782761</v>
      </c>
      <c r="T62" s="2">
        <f>T7*'Output-Calculation-sheet'!T51/10^9</f>
        <v>0.17200909071845374</v>
      </c>
      <c r="U62" s="2">
        <f>U7*'Output-Calculation-sheet'!U51/10^9</f>
        <v>0.13090339822213007</v>
      </c>
      <c r="V62" s="2">
        <f>V7*'Output-Calculation-sheet'!V51/10^9</f>
        <v>0.22972465608049525</v>
      </c>
      <c r="W62" s="2">
        <f>W7*'Output-Calculation-sheet'!W51/10^9</f>
        <v>9.4249671522577669E-2</v>
      </c>
      <c r="X62" s="2">
        <f>X7*'Output-Calculation-sheet'!X51/10^9</f>
        <v>8.4540314754887769E-2</v>
      </c>
      <c r="Y62" s="2">
        <f>Y7*'Output-Calculation-sheet'!Y51/10^9</f>
        <v>5.2537076193140519E-2</v>
      </c>
      <c r="AA62" s="2">
        <f t="shared" si="4"/>
        <v>22.067091361255276</v>
      </c>
    </row>
    <row r="63" spans="1:27" x14ac:dyDescent="0.25">
      <c r="A63" s="2">
        <v>2031</v>
      </c>
      <c r="B63" s="2">
        <f>B8*'Output-Calculation-sheet'!B52/10^9</f>
        <v>7.051624796414254</v>
      </c>
      <c r="C63" s="2">
        <f>C8*'Output-Calculation-sheet'!C52/10^9</f>
        <v>4.0127429635644898</v>
      </c>
      <c r="D63" s="2">
        <f>D8*'Output-Calculation-sheet'!D52/10^9</f>
        <v>1.6510608707998571</v>
      </c>
      <c r="E63" s="2">
        <f>E8*'Output-Calculation-sheet'!E52/10^9</f>
        <v>1.8888958242960725</v>
      </c>
      <c r="F63" s="2">
        <f>F8*'Output-Calculation-sheet'!F52/10^9</f>
        <v>0.88293836340987963</v>
      </c>
      <c r="G63" s="2">
        <f>G8*'Output-Calculation-sheet'!G52/10^9</f>
        <v>0.6734743675754653</v>
      </c>
      <c r="H63" s="2">
        <f>H8*'Output-Calculation-sheet'!H52/10^9</f>
        <v>1.0066826657533825</v>
      </c>
      <c r="I63" s="2">
        <f>I8*'Output-Calculation-sheet'!I52/10^9</f>
        <v>0.53199998844623275</v>
      </c>
      <c r="J63" s="2">
        <f>J8*'Output-Calculation-sheet'!J52/10^9</f>
        <v>0.752071992833382</v>
      </c>
      <c r="K63" s="2">
        <f>K8*'Output-Calculation-sheet'!K52/10^9</f>
        <v>0.49369709912714393</v>
      </c>
      <c r="L63" s="2">
        <f>L8*'Output-Calculation-sheet'!L52/10^9</f>
        <v>0.58451684565638629</v>
      </c>
      <c r="M63" s="2">
        <f>M8*'Output-Calculation-sheet'!M52/10^9</f>
        <v>0.73706758019723773</v>
      </c>
      <c r="N63" s="2">
        <f>N8*'Output-Calculation-sheet'!N52/10^9</f>
        <v>0.58770247838355028</v>
      </c>
      <c r="O63" s="2">
        <f>O8*'Output-Calculation-sheet'!O52/10^9</f>
        <v>0.69746000401258712</v>
      </c>
      <c r="P63" s="2">
        <f>P8*'Output-Calculation-sheet'!P52/10^9</f>
        <v>0.5020993254228665</v>
      </c>
      <c r="Q63" s="2">
        <f>Q8*'Output-Calculation-sheet'!Q52/10^9</f>
        <v>0.4683481082550241</v>
      </c>
      <c r="R63" s="2">
        <f>R8*'Output-Calculation-sheet'!R52/10^9</f>
        <v>0.4242133968597836</v>
      </c>
      <c r="S63" s="2">
        <f>S8*'Output-Calculation-sheet'!S52/10^9</f>
        <v>0.35993033072038033</v>
      </c>
      <c r="T63" s="2">
        <f>T8*'Output-Calculation-sheet'!T52/10^9</f>
        <v>0.17229946642626418</v>
      </c>
      <c r="U63" s="2">
        <f>U8*'Output-Calculation-sheet'!U52/10^9</f>
        <v>0.1343675991717305</v>
      </c>
      <c r="V63" s="2">
        <f>V8*'Output-Calculation-sheet'!V52/10^9</f>
        <v>0.22247372232245433</v>
      </c>
      <c r="W63" s="2">
        <f>W8*'Output-Calculation-sheet'!W52/10^9</f>
        <v>9.335987782652444E-2</v>
      </c>
      <c r="X63" s="2">
        <f>X8*'Output-Calculation-sheet'!X52/10^9</f>
        <v>9.9486499118644642E-2</v>
      </c>
      <c r="Y63" s="2">
        <f>Y8*'Output-Calculation-sheet'!Y52/10^9</f>
        <v>5.391183064715651E-2</v>
      </c>
      <c r="AA63" s="2">
        <f t="shared" si="4"/>
        <v>24.082425997240751</v>
      </c>
    </row>
    <row r="64" spans="1:27" x14ac:dyDescent="0.25">
      <c r="A64" s="2">
        <v>2032</v>
      </c>
      <c r="B64" s="2">
        <f>B9*'Output-Calculation-sheet'!B53/10^9</f>
        <v>7.4233934280215905</v>
      </c>
      <c r="C64" s="2">
        <f>C9*'Output-Calculation-sheet'!C53/10^9</f>
        <v>4.6635751191401225</v>
      </c>
      <c r="D64" s="2">
        <f>D9*'Output-Calculation-sheet'!D53/10^9</f>
        <v>1.558803366506551</v>
      </c>
      <c r="E64" s="2">
        <f>E9*'Output-Calculation-sheet'!E53/10^9</f>
        <v>1.8200941887279951</v>
      </c>
      <c r="F64" s="2">
        <f>F9*'Output-Calculation-sheet'!F53/10^9</f>
        <v>0.83521126159835146</v>
      </c>
      <c r="G64" s="2">
        <f>G9*'Output-Calculation-sheet'!G53/10^9</f>
        <v>0.62537086925741425</v>
      </c>
      <c r="H64" s="2">
        <f>H9*'Output-Calculation-sheet'!H53/10^9</f>
        <v>1.1646823270308664</v>
      </c>
      <c r="I64" s="2">
        <f>I9*'Output-Calculation-sheet'!I53/10^9</f>
        <v>0.50713297194673757</v>
      </c>
      <c r="J64" s="2">
        <f>J9*'Output-Calculation-sheet'!J53/10^9</f>
        <v>0.68068139326193378</v>
      </c>
      <c r="K64" s="2">
        <f>K9*'Output-Calculation-sheet'!K53/10^9</f>
        <v>0.50249370468036592</v>
      </c>
      <c r="L64" s="2">
        <f>L9*'Output-Calculation-sheet'!L53/10^9</f>
        <v>0.5641350639778131</v>
      </c>
      <c r="M64" s="2">
        <f>M9*'Output-Calculation-sheet'!M53/10^9</f>
        <v>0.83989941927415368</v>
      </c>
      <c r="N64" s="2">
        <f>N9*'Output-Calculation-sheet'!N53/10^9</f>
        <v>0.68643587152108343</v>
      </c>
      <c r="O64" s="2">
        <f>O9*'Output-Calculation-sheet'!O53/10^9</f>
        <v>0.81090688833219793</v>
      </c>
      <c r="P64" s="2">
        <f>P9*'Output-Calculation-sheet'!P53/10^9</f>
        <v>0.53617624075982884</v>
      </c>
      <c r="Q64" s="2">
        <f>Q9*'Output-Calculation-sheet'!Q53/10^9</f>
        <v>0.50858893514182812</v>
      </c>
      <c r="R64" s="2">
        <f>R9*'Output-Calculation-sheet'!R53/10^9</f>
        <v>0.43266582386482821</v>
      </c>
      <c r="S64" s="2">
        <f>S9*'Output-Calculation-sheet'!S53/10^9</f>
        <v>0.40676341992018872</v>
      </c>
      <c r="T64" s="2">
        <f>T9*'Output-Calculation-sheet'!T53/10^9</f>
        <v>0.16173930822794425</v>
      </c>
      <c r="U64" s="2">
        <f>U9*'Output-Calculation-sheet'!U53/10^9</f>
        <v>0.137800987292825</v>
      </c>
      <c r="V64" s="2">
        <f>V9*'Output-Calculation-sheet'!V53/10^9</f>
        <v>0.20084047433325874</v>
      </c>
      <c r="W64" s="2">
        <f>W9*'Output-Calculation-sheet'!W53/10^9</f>
        <v>8.5604929864724483E-2</v>
      </c>
      <c r="X64" s="2">
        <f>X9*'Output-Calculation-sheet'!X53/10^9</f>
        <v>0.1106480240374255</v>
      </c>
      <c r="Y64" s="2">
        <f>Y9*'Output-Calculation-sheet'!Y53/10^9</f>
        <v>5.4449482087005945E-2</v>
      </c>
      <c r="AA64" s="2">
        <f t="shared" si="4"/>
        <v>25.318093498807031</v>
      </c>
    </row>
    <row r="65" spans="1:27" x14ac:dyDescent="0.25">
      <c r="A65" s="2">
        <v>2033</v>
      </c>
      <c r="B65" s="2">
        <f>B10*'Output-Calculation-sheet'!B54/10^9</f>
        <v>7.9824860321360971</v>
      </c>
      <c r="C65" s="2">
        <f>C10*'Output-Calculation-sheet'!C54/10^9</f>
        <v>5.2462833477591806</v>
      </c>
      <c r="D65" s="2">
        <f>D10*'Output-Calculation-sheet'!D54/10^9</f>
        <v>1.4228479312739299</v>
      </c>
      <c r="E65" s="2">
        <f>E10*'Output-Calculation-sheet'!E54/10^9</f>
        <v>1.8120250759487073</v>
      </c>
      <c r="F65" s="2">
        <f>F10*'Output-Calculation-sheet'!F54/10^9</f>
        <v>0.77864281024403559</v>
      </c>
      <c r="G65" s="2">
        <f>G10*'Output-Calculation-sheet'!G54/10^9</f>
        <v>0.55435524692086868</v>
      </c>
      <c r="H65" s="2">
        <f>H10*'Output-Calculation-sheet'!H54/10^9</f>
        <v>1.3025818203037238</v>
      </c>
      <c r="I65" s="2">
        <f>I10*'Output-Calculation-sheet'!I54/10^9</f>
        <v>0.48605371349836723</v>
      </c>
      <c r="J65" s="2">
        <f>J10*'Output-Calculation-sheet'!J54/10^9</f>
        <v>0.57507871308511671</v>
      </c>
      <c r="K65" s="2">
        <f>K10*'Output-Calculation-sheet'!K54/10^9</f>
        <v>0.53812783665959718</v>
      </c>
      <c r="L65" s="2">
        <f>L10*'Output-Calculation-sheet'!L54/10^9</f>
        <v>0.55498818911447001</v>
      </c>
      <c r="M65" s="2">
        <f>M10*'Output-Calculation-sheet'!M54/10^9</f>
        <v>0.92621702638321124</v>
      </c>
      <c r="N65" s="2">
        <f>N10*'Output-Calculation-sheet'!N54/10^9</f>
        <v>0.7892322973472562</v>
      </c>
      <c r="O65" s="2">
        <f>O10*'Output-Calculation-sheet'!O54/10^9</f>
        <v>0.91832005790502291</v>
      </c>
      <c r="P65" s="2">
        <f>P10*'Output-Calculation-sheet'!P54/10^9</f>
        <v>0.58219502746468577</v>
      </c>
      <c r="Q65" s="2">
        <f>Q10*'Output-Calculation-sheet'!Q54/10^9</f>
        <v>0.57450722752508587</v>
      </c>
      <c r="R65" s="2">
        <f>R10*'Output-Calculation-sheet'!R54/10^9</f>
        <v>0.45544520495502033</v>
      </c>
      <c r="S65" s="2">
        <f>S10*'Output-Calculation-sheet'!S54/10^9</f>
        <v>0.45710998772073036</v>
      </c>
      <c r="T65" s="2">
        <f>T10*'Output-Calculation-sheet'!T54/10^9</f>
        <v>0.154231025306132</v>
      </c>
      <c r="U65" s="2">
        <f>U10*'Output-Calculation-sheet'!U54/10^9</f>
        <v>0.14812872018518233</v>
      </c>
      <c r="V65" s="2">
        <f>V10*'Output-Calculation-sheet'!V54/10^9</f>
        <v>0.17452992111641746</v>
      </c>
      <c r="W65" s="2">
        <f>W10*'Output-Calculation-sheet'!W54/10^9</f>
        <v>7.4590655155852989E-2</v>
      </c>
      <c r="X65" s="2">
        <f>X10*'Output-Calculation-sheet'!X54/10^9</f>
        <v>0.11990179959514906</v>
      </c>
      <c r="Y65" s="2">
        <f>Y10*'Output-Calculation-sheet'!Y54/10^9</f>
        <v>5.7863284731777868E-2</v>
      </c>
      <c r="AA65" s="2">
        <f t="shared" si="4"/>
        <v>26.685742952335612</v>
      </c>
    </row>
    <row r="66" spans="1:27" x14ac:dyDescent="0.25">
      <c r="A66" s="2">
        <v>2034</v>
      </c>
      <c r="B66" s="2">
        <f>B11*'Output-Calculation-sheet'!B55/10^9</f>
        <v>8.7370463306413875</v>
      </c>
      <c r="C66" s="2">
        <f>C11*'Output-Calculation-sheet'!C55/10^9</f>
        <v>5.8066364283746283</v>
      </c>
      <c r="D66" s="2">
        <f>D11*'Output-Calculation-sheet'!D55/10^9</f>
        <v>1.5806767155967105</v>
      </c>
      <c r="E66" s="2">
        <f>E11*'Output-Calculation-sheet'!E55/10^9</f>
        <v>2.0472288346644314</v>
      </c>
      <c r="F66" s="2">
        <f>F11*'Output-Calculation-sheet'!F55/10^9</f>
        <v>0.80568412643653597</v>
      </c>
      <c r="G66" s="2">
        <f>G11*'Output-Calculation-sheet'!G55/10^9</f>
        <v>0.58777906836529326</v>
      </c>
      <c r="H66" s="2">
        <f>H11*'Output-Calculation-sheet'!H55/10^9</f>
        <v>1.4668520813972272</v>
      </c>
      <c r="I66" s="2">
        <f>I11*'Output-Calculation-sheet'!I55/10^9</f>
        <v>0.54640839974185673</v>
      </c>
      <c r="J66" s="2">
        <f>J11*'Output-Calculation-sheet'!J55/10^9</f>
        <v>0.55015577099267943</v>
      </c>
      <c r="K66" s="2">
        <f>K11*'Output-Calculation-sheet'!K55/10^9</f>
        <v>0.62640179419058095</v>
      </c>
      <c r="L66" s="2">
        <f>L11*'Output-Calculation-sheet'!L55/10^9</f>
        <v>0.60728866786764579</v>
      </c>
      <c r="M66" s="2">
        <f>M11*'Output-Calculation-sheet'!M55/10^9</f>
        <v>1.0309211236691569</v>
      </c>
      <c r="N66" s="2">
        <f>N11*'Output-Calculation-sheet'!N55/10^9</f>
        <v>0.89619953284330045</v>
      </c>
      <c r="O66" s="2">
        <f>O11*'Output-Calculation-sheet'!O55/10^9</f>
        <v>1.0217889560429143</v>
      </c>
      <c r="P66" s="2">
        <f>P11*'Output-Calculation-sheet'!P55/10^9</f>
        <v>0.65521178332814478</v>
      </c>
      <c r="Q66" s="2">
        <f>Q11*'Output-Calculation-sheet'!Q55/10^9</f>
        <v>0.67395358718893195</v>
      </c>
      <c r="R66" s="2">
        <f>R11*'Output-Calculation-sheet'!R55/10^9</f>
        <v>0.4986457309047122</v>
      </c>
      <c r="S66" s="2">
        <f>S11*'Output-Calculation-sheet'!S55/10^9</f>
        <v>0.51762497782463179</v>
      </c>
      <c r="T66" s="2">
        <f>T11*'Output-Calculation-sheet'!T55/10^9</f>
        <v>0.1562356819101027</v>
      </c>
      <c r="U66" s="2">
        <f>U11*'Output-Calculation-sheet'!U55/10^9</f>
        <v>0.17004190984468509</v>
      </c>
      <c r="V66" s="2">
        <f>V11*'Output-Calculation-sheet'!V55/10^9</f>
        <v>0.14765715674198737</v>
      </c>
      <c r="W66" s="2">
        <f>W11*'Output-Calculation-sheet'!W55/10^9</f>
        <v>7.2337811152972428E-2</v>
      </c>
      <c r="X66" s="2">
        <f>X11*'Output-Calculation-sheet'!X55/10^9</f>
        <v>0.13517639653995348</v>
      </c>
      <c r="Y66" s="2">
        <f>Y11*'Output-Calculation-sheet'!Y55/10^9</f>
        <v>6.9407702132885468E-2</v>
      </c>
      <c r="AA66" s="2">
        <f t="shared" si="4"/>
        <v>29.407360568393358</v>
      </c>
    </row>
    <row r="67" spans="1:27" x14ac:dyDescent="0.25">
      <c r="A67" s="2">
        <v>2035</v>
      </c>
      <c r="B67" s="2">
        <f>B12*'Output-Calculation-sheet'!B56/10^9</f>
        <v>10.048559407497114</v>
      </c>
      <c r="C67" s="2">
        <f>C12*'Output-Calculation-sheet'!C56/10^9</f>
        <v>6.3499399480993981</v>
      </c>
      <c r="D67" s="2">
        <f>D12*'Output-Calculation-sheet'!D56/10^9</f>
        <v>1.9931280024499416</v>
      </c>
      <c r="E67" s="2">
        <f>E12*'Output-Calculation-sheet'!E56/10^9</f>
        <v>2.7257136481543447</v>
      </c>
      <c r="F67" s="2">
        <f>F12*'Output-Calculation-sheet'!F56/10^9</f>
        <v>1.0682985846235586</v>
      </c>
      <c r="G67" s="2">
        <f>G12*'Output-Calculation-sheet'!G56/10^9</f>
        <v>0.78822135008000815</v>
      </c>
      <c r="H67" s="2">
        <f>H12*'Output-Calculation-sheet'!H56/10^9</f>
        <v>1.676078357324948</v>
      </c>
      <c r="I67" s="2">
        <f>I12*'Output-Calculation-sheet'!I56/10^9</f>
        <v>0.72220493936259322</v>
      </c>
      <c r="J67" s="2">
        <f>J12*'Output-Calculation-sheet'!J56/10^9</f>
        <v>0.66069465237915315</v>
      </c>
      <c r="K67" s="2">
        <f>K12*'Output-Calculation-sheet'!K56/10^9</f>
        <v>0.79159491652450142</v>
      </c>
      <c r="L67" s="2">
        <f>L12*'Output-Calculation-sheet'!L56/10^9</f>
        <v>0.73800387355977981</v>
      </c>
      <c r="M67" s="2">
        <f>M12*'Output-Calculation-sheet'!M56/10^9</f>
        <v>1.1859074891329895</v>
      </c>
      <c r="N67" s="2">
        <f>N12*'Output-Calculation-sheet'!N56/10^9</f>
        <v>1.0128749352700701</v>
      </c>
      <c r="O67" s="2">
        <f>O12*'Output-Calculation-sheet'!O56/10^9</f>
        <v>1.1202818181881149</v>
      </c>
      <c r="P67" s="2">
        <f>P12*'Output-Calculation-sheet'!P56/10^9</f>
        <v>0.82197116832289108</v>
      </c>
      <c r="Q67" s="2">
        <f>Q12*'Output-Calculation-sheet'!Q56/10^9</f>
        <v>0.77647526607049799</v>
      </c>
      <c r="R67" s="2">
        <f>R12*'Output-Calculation-sheet'!R56/10^9</f>
        <v>0.60971960939879211</v>
      </c>
      <c r="S67" s="2">
        <f>S12*'Output-Calculation-sheet'!S56/10^9</f>
        <v>0.58858673914074222</v>
      </c>
      <c r="T67" s="2">
        <f>T12*'Output-Calculation-sheet'!T56/10^9</f>
        <v>0.18959819254989474</v>
      </c>
      <c r="U67" s="2">
        <f>U12*'Output-Calculation-sheet'!U56/10^9</f>
        <v>0.20498275338640601</v>
      </c>
      <c r="V67" s="2">
        <f>V12*'Output-Calculation-sheet'!V56/10^9</f>
        <v>0.14633260334192136</v>
      </c>
      <c r="W67" s="2">
        <f>W12*'Output-Calculation-sheet'!W56/10^9</f>
        <v>9.9230127201777721E-2</v>
      </c>
      <c r="X67" s="2">
        <f>X12*'Output-Calculation-sheet'!X56/10^9</f>
        <v>0.1540410767833216</v>
      </c>
      <c r="Y67" s="2">
        <f>Y12*'Output-Calculation-sheet'!Y56/10^9</f>
        <v>9.2591786620029967E-2</v>
      </c>
      <c r="AA67" s="2">
        <f t="shared" si="4"/>
        <v>34.565031245462784</v>
      </c>
    </row>
    <row r="68" spans="1:27" x14ac:dyDescent="0.25">
      <c r="B68" s="2">
        <f>SUM(B60:B67)</f>
        <v>58.345536127259372</v>
      </c>
      <c r="C68" s="2">
        <f t="shared" ref="C68:Y68" si="5">SUM(C60:C67)</f>
        <v>33.737335245595283</v>
      </c>
      <c r="D68" s="2">
        <f t="shared" si="5"/>
        <v>12.584338396984574</v>
      </c>
      <c r="E68" s="2">
        <f t="shared" si="5"/>
        <v>15.35122115344029</v>
      </c>
      <c r="F68" s="2">
        <f t="shared" si="5"/>
        <v>6.7061278551683206</v>
      </c>
      <c r="G68" s="2">
        <f t="shared" si="5"/>
        <v>5.0525062820756208</v>
      </c>
      <c r="H68" s="2">
        <f t="shared" si="5"/>
        <v>8.5857344901521024</v>
      </c>
      <c r="I68" s="2">
        <f t="shared" si="5"/>
        <v>4.1869693703962669</v>
      </c>
      <c r="J68" s="2">
        <f t="shared" si="5"/>
        <v>5.3181966390754862</v>
      </c>
      <c r="K68" s="2">
        <f t="shared" si="5"/>
        <v>4.180455525068127</v>
      </c>
      <c r="L68" s="2">
        <f t="shared" si="5"/>
        <v>4.6031699128573456</v>
      </c>
      <c r="M68" s="2">
        <f t="shared" si="5"/>
        <v>6.2050918018121175</v>
      </c>
      <c r="N68" s="2">
        <f t="shared" si="5"/>
        <v>5.2106348475329041</v>
      </c>
      <c r="O68" s="2">
        <f t="shared" si="5"/>
        <v>5.8937420039678221</v>
      </c>
      <c r="P68" s="2">
        <f t="shared" si="5"/>
        <v>4.3129190879288339</v>
      </c>
      <c r="Q68" s="2">
        <f t="shared" si="5"/>
        <v>4.0834226354846743</v>
      </c>
      <c r="R68" s="2">
        <f t="shared" si="5"/>
        <v>3.5062371527440521</v>
      </c>
      <c r="S68" s="2">
        <f t="shared" si="5"/>
        <v>3.1344575740271821</v>
      </c>
      <c r="T68" s="2">
        <f t="shared" si="5"/>
        <v>1.2990777070145199</v>
      </c>
      <c r="U68" s="2">
        <f t="shared" si="5"/>
        <v>1.1433704338434658</v>
      </c>
      <c r="V68" s="2">
        <f t="shared" si="5"/>
        <v>1.5265059148234383</v>
      </c>
      <c r="W68" s="2">
        <f t="shared" si="5"/>
        <v>0.68177721765002741</v>
      </c>
      <c r="X68" s="2">
        <f t="shared" si="5"/>
        <v>0.82707086221867698</v>
      </c>
      <c r="Y68" s="2">
        <f t="shared" si="5"/>
        <v>0.46796495804787341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1931.4884120842491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457.51087002872498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312.85658932672447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41.70491284410685</v>
      </c>
      <c r="Y73" s="2">
        <f>Y7/'Output-Calculation-sheet'!Y6*'Output-Calculation-sheet'!Y60</f>
        <v>0</v>
      </c>
      <c r="AA73" s="2">
        <f t="shared" si="6"/>
        <v>2.7435607842838055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4347.8309408135156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1454.6496131410165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971.37143009659565</v>
      </c>
      <c r="N74" s="2">
        <f>N8/'Output-Calculation-sheet'!N7*'Output-Calculation-sheet'!N61</f>
        <v>40.602449254173564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120.38029756475017</v>
      </c>
      <c r="Y74" s="2">
        <f>Y8/'Output-Calculation-sheet'!Y7*'Output-Calculation-sheet'!Y61</f>
        <v>0</v>
      </c>
      <c r="AA74" s="2">
        <f t="shared" si="6"/>
        <v>6.934834730870052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8694.1718686962577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2503.7714707615819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1699.7676897407489</v>
      </c>
      <c r="N75" s="2">
        <f>N9/'Output-Calculation-sheet'!N8*'Output-Calculation-sheet'!N62</f>
        <v>656.57521356939014</v>
      </c>
      <c r="O75" s="2">
        <f>O9/'Output-Calculation-sheet'!O8*'Output-Calculation-sheet'!O62</f>
        <v>0</v>
      </c>
      <c r="P75" s="2">
        <f>P9/'Output-Calculation-sheet'!P8*'Output-Calculation-sheet'!P62</f>
        <v>43.95667557946846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220.00253010237594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205.2221118680618</v>
      </c>
      <c r="Y75" s="2">
        <f>Y9/'Output-Calculation-sheet'!Y8*'Output-Calculation-sheet'!Y62</f>
        <v>0</v>
      </c>
      <c r="AA75" s="2">
        <f t="shared" si="6"/>
        <v>14.023467560317885</v>
      </c>
    </row>
    <row r="76" spans="1:27" x14ac:dyDescent="0.25">
      <c r="A76" s="2">
        <v>2033</v>
      </c>
      <c r="B76" s="2">
        <f>B10/'Output-Calculation-sheet'!B9*'Output-Calculation-sheet'!B63</f>
        <v>5673.728148953126</v>
      </c>
      <c r="C76" s="2">
        <f>C10/'Output-Calculation-sheet'!C9*'Output-Calculation-sheet'!C63</f>
        <v>11588.346451369713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3694.7800238724058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96.840212552446545</v>
      </c>
      <c r="L76" s="2">
        <f>L10/'Output-Calculation-sheet'!L9*'Output-Calculation-sheet'!L63</f>
        <v>0</v>
      </c>
      <c r="M76" s="2">
        <f>M10/'Output-Calculation-sheet'!M9*'Output-Calculation-sheet'!M63</f>
        <v>2515.770449840104</v>
      </c>
      <c r="N76" s="2">
        <f>N10/'Output-Calculation-sheet'!N9*'Output-Calculation-sheet'!N63</f>
        <v>1437.1194734554545</v>
      </c>
      <c r="O76" s="2">
        <f>O10/'Output-Calculation-sheet'!O9*'Output-Calculation-sheet'!O63</f>
        <v>0</v>
      </c>
      <c r="P76" s="2">
        <f>P10/'Output-Calculation-sheet'!P9*'Output-Calculation-sheet'!P63</f>
        <v>499.04120753774629</v>
      </c>
      <c r="Q76" s="2">
        <f>Q10/'Output-Calculation-sheet'!Q9*'Output-Calculation-sheet'!Q63</f>
        <v>225.08763961599502</v>
      </c>
      <c r="R76" s="2">
        <f>R10/'Output-Calculation-sheet'!R9*'Output-Calculation-sheet'!R63</f>
        <v>380.34918652317094</v>
      </c>
      <c r="S76" s="2">
        <f>S10/'Output-Calculation-sheet'!S9*'Output-Calculation-sheet'!S63</f>
        <v>639.05348761418259</v>
      </c>
      <c r="T76" s="2">
        <f>T10/'Output-Calculation-sheet'!T9*'Output-Calculation-sheet'!T63</f>
        <v>25.869042426918824</v>
      </c>
      <c r="U76" s="2">
        <f>U10/'Output-Calculation-sheet'!U9*'Output-Calculation-sheet'!U63</f>
        <v>134.40227737583095</v>
      </c>
      <c r="V76" s="2">
        <f>V10/'Output-Calculation-sheet'!V9*'Output-Calculation-sheet'!V63</f>
        <v>10.313428140548222</v>
      </c>
      <c r="W76" s="2">
        <f>W10/'Output-Calculation-sheet'!W9*'Output-Calculation-sheet'!W63</f>
        <v>0</v>
      </c>
      <c r="X76" s="2">
        <f>X10/'Output-Calculation-sheet'!X9*'Output-Calculation-sheet'!X63</f>
        <v>296.24984678195784</v>
      </c>
      <c r="Y76" s="2">
        <f>Y10/'Output-Calculation-sheet'!Y9*'Output-Calculation-sheet'!Y63</f>
        <v>5.6202394244599558</v>
      </c>
      <c r="AA76" s="2">
        <f t="shared" si="6"/>
        <v>27.222571115484058</v>
      </c>
    </row>
    <row r="77" spans="1:27" x14ac:dyDescent="0.25">
      <c r="A77" s="2">
        <v>2034</v>
      </c>
      <c r="B77" s="2">
        <f>B11/'Output-Calculation-sheet'!B10*'Output-Calculation-sheet'!B64</f>
        <v>14558.492125870942</v>
      </c>
      <c r="C77" s="2">
        <f>C11/'Output-Calculation-sheet'!C10*'Output-Calculation-sheet'!C64</f>
        <v>12789.054692205496</v>
      </c>
      <c r="D77" s="2">
        <f>D11/'Output-Calculation-sheet'!D10*'Output-Calculation-sheet'!D64</f>
        <v>1794.403772327895</v>
      </c>
      <c r="E77" s="2">
        <f>E11/'Output-Calculation-sheet'!E10*'Output-Calculation-sheet'!E64</f>
        <v>2217.2596670889393</v>
      </c>
      <c r="F77" s="2">
        <f>F11/'Output-Calculation-sheet'!F10*'Output-Calculation-sheet'!F64</f>
        <v>138.05661131043479</v>
      </c>
      <c r="G77" s="2">
        <f>G11/'Output-Calculation-sheet'!G10*'Output-Calculation-sheet'!G64</f>
        <v>947.45002643569296</v>
      </c>
      <c r="H77" s="2">
        <f>H11/'Output-Calculation-sheet'!H10*'Output-Calculation-sheet'!H64</f>
        <v>4694.1210144542865</v>
      </c>
      <c r="I77" s="2">
        <f>I11/'Output-Calculation-sheet'!I10*'Output-Calculation-sheet'!I64</f>
        <v>558.93969275074221</v>
      </c>
      <c r="J77" s="2">
        <f>J11/'Output-Calculation-sheet'!J10*'Output-Calculation-sheet'!J64</f>
        <v>398.43810697439301</v>
      </c>
      <c r="K77" s="2">
        <f>K11/'Output-Calculation-sheet'!K10*'Output-Calculation-sheet'!K64</f>
        <v>844.7774016626538</v>
      </c>
      <c r="L77" s="2">
        <f>L11/'Output-Calculation-sheet'!L10*'Output-Calculation-sheet'!L64</f>
        <v>366.79916841880299</v>
      </c>
      <c r="M77" s="2">
        <f>M11/'Output-Calculation-sheet'!M10*'Output-Calculation-sheet'!M64</f>
        <v>3338.6976034474574</v>
      </c>
      <c r="N77" s="2">
        <f>N11/'Output-Calculation-sheet'!N10*'Output-Calculation-sheet'!N64</f>
        <v>2375.4013486984718</v>
      </c>
      <c r="O77" s="2">
        <f>O11/'Output-Calculation-sheet'!O10*'Output-Calculation-sheet'!O64</f>
        <v>82.819693532446308</v>
      </c>
      <c r="P77" s="2">
        <f>P11/'Output-Calculation-sheet'!P10*'Output-Calculation-sheet'!P64</f>
        <v>1048.4140966019752</v>
      </c>
      <c r="Q77" s="2">
        <f>Q11/'Output-Calculation-sheet'!Q10*'Output-Calculation-sheet'!Q64</f>
        <v>598.2472366953541</v>
      </c>
      <c r="R77" s="2">
        <f>R11/'Output-Calculation-sheet'!R10*'Output-Calculation-sheet'!R64</f>
        <v>897.16855716357111</v>
      </c>
      <c r="S77" s="2">
        <f>S11/'Output-Calculation-sheet'!S10*'Output-Calculation-sheet'!S64</f>
        <v>1199.5646775044124</v>
      </c>
      <c r="T77" s="2">
        <f>T11/'Output-Calculation-sheet'!T10*'Output-Calculation-sheet'!T64</f>
        <v>246.82472745234935</v>
      </c>
      <c r="U77" s="2">
        <f>U11/'Output-Calculation-sheet'!U10*'Output-Calculation-sheet'!U64</f>
        <v>328.05887736607804</v>
      </c>
      <c r="V77" s="2">
        <f>V11/'Output-Calculation-sheet'!V10*'Output-Calculation-sheet'!V64</f>
        <v>130.77422757014355</v>
      </c>
      <c r="W77" s="2">
        <f>W11/'Output-Calculation-sheet'!W10*'Output-Calculation-sheet'!W64</f>
        <v>27.630700538479722</v>
      </c>
      <c r="X77" s="2">
        <f>X11/'Output-Calculation-sheet'!X10*'Output-Calculation-sheet'!X64</f>
        <v>339.24711755892019</v>
      </c>
      <c r="Y77" s="2">
        <f>Y11/'Output-Calculation-sheet'!Y10*'Output-Calculation-sheet'!Y64</f>
        <v>82.140723336664976</v>
      </c>
      <c r="AA77" s="2">
        <f t="shared" si="6"/>
        <v>50.002781866966608</v>
      </c>
    </row>
    <row r="78" spans="1:27" x14ac:dyDescent="0.25">
      <c r="A78" s="2">
        <v>2035</v>
      </c>
      <c r="B78" s="2">
        <f>B12/'Output-Calculation-sheet'!B11*'Output-Calculation-sheet'!B65</f>
        <v>19446.756141625156</v>
      </c>
      <c r="C78" s="2">
        <f>C12/'Output-Calculation-sheet'!C11*'Output-Calculation-sheet'!C65</f>
        <v>13732.886720311217</v>
      </c>
      <c r="D78" s="2">
        <f>D12/'Output-Calculation-sheet'!D11*'Output-Calculation-sheet'!D65</f>
        <v>2064.5843360325407</v>
      </c>
      <c r="E78" s="2">
        <f>E12/'Output-Calculation-sheet'!E11*'Output-Calculation-sheet'!E65</f>
        <v>3924.7199371299662</v>
      </c>
      <c r="F78" s="2">
        <f>F12/'Output-Calculation-sheet'!F11*'Output-Calculation-sheet'!F65</f>
        <v>831.32626273130563</v>
      </c>
      <c r="G78" s="2">
        <f>G12/'Output-Calculation-sheet'!G11*'Output-Calculation-sheet'!G65</f>
        <v>1559.8848439192002</v>
      </c>
      <c r="H78" s="2">
        <f>H12/'Output-Calculation-sheet'!H11*'Output-Calculation-sheet'!H65</f>
        <v>5022.213917890047</v>
      </c>
      <c r="I78" s="2">
        <f>I12/'Output-Calculation-sheet'!I11*'Output-Calculation-sheet'!I65</f>
        <v>917.26163309558535</v>
      </c>
      <c r="J78" s="2">
        <f>J12/'Output-Calculation-sheet'!J11*'Output-Calculation-sheet'!J65</f>
        <v>822.62928095126074</v>
      </c>
      <c r="K78" s="2">
        <f>K12/'Output-Calculation-sheet'!K11*'Output-Calculation-sheet'!K65</f>
        <v>1038.1183162775865</v>
      </c>
      <c r="L78" s="2">
        <f>L12/'Output-Calculation-sheet'!L11*'Output-Calculation-sheet'!L65</f>
        <v>617.25158620244156</v>
      </c>
      <c r="M78" s="2">
        <f>M12/'Output-Calculation-sheet'!M11*'Output-Calculation-sheet'!M65</f>
        <v>3574.9622110401224</v>
      </c>
      <c r="N78" s="2">
        <f>N12/'Output-Calculation-sheet'!N11*'Output-Calculation-sheet'!N65</f>
        <v>2513.775751277904</v>
      </c>
      <c r="O78" s="2">
        <f>O12/'Output-Calculation-sheet'!O11*'Output-Calculation-sheet'!O65</f>
        <v>352.39887345725663</v>
      </c>
      <c r="P78" s="2">
        <f>P12/'Output-Calculation-sheet'!P11*'Output-Calculation-sheet'!P65</f>
        <v>1429.0549695879154</v>
      </c>
      <c r="Q78" s="2">
        <f>Q12/'Output-Calculation-sheet'!Q11*'Output-Calculation-sheet'!Q65</f>
        <v>718.8004720205696</v>
      </c>
      <c r="R78" s="2">
        <f>R12/'Output-Calculation-sheet'!R11*'Output-Calculation-sheet'!R65</f>
        <v>1184.8006667360273</v>
      </c>
      <c r="S78" s="2">
        <f>S12/'Output-Calculation-sheet'!S11*'Output-Calculation-sheet'!S65</f>
        <v>1336.6380129829881</v>
      </c>
      <c r="T78" s="2">
        <f>T12/'Output-Calculation-sheet'!T11*'Output-Calculation-sheet'!T65</f>
        <v>426.02674651844654</v>
      </c>
      <c r="U78" s="2">
        <f>U12/'Output-Calculation-sheet'!U11*'Output-Calculation-sheet'!U65</f>
        <v>365.02605400713065</v>
      </c>
      <c r="V78" s="2">
        <f>V12/'Output-Calculation-sheet'!V11*'Output-Calculation-sheet'!V65</f>
        <v>229.91772049832778</v>
      </c>
      <c r="W78" s="2">
        <f>W12/'Output-Calculation-sheet'!W11*'Output-Calculation-sheet'!W65</f>
        <v>161.93838539454595</v>
      </c>
      <c r="X78" s="2">
        <f>X12/'Output-Calculation-sheet'!X11*'Output-Calculation-sheet'!X65</f>
        <v>368.46196242598137</v>
      </c>
      <c r="Y78" s="2">
        <f>Y12/'Output-Calculation-sheet'!Y11*'Output-Calculation-sheet'!Y65</f>
        <v>158.06792987948265</v>
      </c>
      <c r="AA78" s="2">
        <f t="shared" si="6"/>
        <v>62.797502731993006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76.939468295261676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89.683613056855989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0.16662308135211765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266.07426915345246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189.53393247278049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0.45560820162623294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194.68123355455867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302.57061048798028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0.49725184404253897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418.24616347384097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406.26988894216777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0.82451605241600878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886.75094720567836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34.121194824922853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23.478720989637608</v>
      </c>
      <c r="N88" s="2">
        <f>N11/'Output-Calculation-sheet'!N10*'Output-Calculation-sheet'!N73</f>
        <v>0</v>
      </c>
      <c r="O88" s="2">
        <f>O11/'Output-Calculation-sheet'!O10*'Output-Calculation-sheet'!O73</f>
        <v>495.28157858717242</v>
      </c>
      <c r="P88" s="2">
        <f>P11/'Output-Calculation-sheet'!P10*'Output-Calculation-sheet'!P73</f>
        <v>0</v>
      </c>
      <c r="Q88" s="2">
        <f>Q11/'Output-Calculation-sheet'!Q10*'Output-Calculation-sheet'!Q73</f>
        <v>20.217885660539171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2.5756735723314521</v>
      </c>
      <c r="Y88" s="2">
        <f>Y11/'Output-Calculation-sheet'!Y10*'Output-Calculation-sheet'!Y73</f>
        <v>0</v>
      </c>
      <c r="AA88" s="2">
        <f t="shared" si="7"/>
        <v>1.4624260008402818</v>
      </c>
    </row>
    <row r="89" spans="1:27" x14ac:dyDescent="0.25">
      <c r="A89" s="2">
        <v>2035</v>
      </c>
      <c r="B89" s="2">
        <f>B12/'Output-Calculation-sheet'!B11*'Output-Calculation-sheet'!B74</f>
        <v>490.20080516309537</v>
      </c>
      <c r="C89" s="2">
        <f>C12/'Output-Calculation-sheet'!C11*'Output-Calculation-sheet'!C74</f>
        <v>1512.2915296274139</v>
      </c>
      <c r="D89" s="2">
        <f>D12/'Output-Calculation-sheet'!D11*'Output-Calculation-sheet'!D74</f>
        <v>206.09776251884611</v>
      </c>
      <c r="E89" s="2">
        <f>E12/'Output-Calculation-sheet'!E11*'Output-Calculation-sheet'!E74</f>
        <v>163.79274824739545</v>
      </c>
      <c r="F89" s="2">
        <f>F12/'Output-Calculation-sheet'!F11*'Output-Calculation-sheet'!F74</f>
        <v>51.507203391035041</v>
      </c>
      <c r="G89" s="2">
        <f>G12/'Output-Calculation-sheet'!G11*'Output-Calculation-sheet'!G74</f>
        <v>73.931695526764315</v>
      </c>
      <c r="H89" s="2">
        <f>H12/'Output-Calculation-sheet'!H11*'Output-Calculation-sheet'!H74</f>
        <v>179.05016606142229</v>
      </c>
      <c r="I89" s="2">
        <f>I12/'Output-Calculation-sheet'!I11*'Output-Calculation-sheet'!I74</f>
        <v>66.497146084934414</v>
      </c>
      <c r="J89" s="2">
        <f>J12/'Output-Calculation-sheet'!J11*'Output-Calculation-sheet'!J74</f>
        <v>32.905171238050428</v>
      </c>
      <c r="K89" s="2">
        <f>K12/'Output-Calculation-sheet'!K11*'Output-Calculation-sheet'!K74</f>
        <v>65.356227416115999</v>
      </c>
      <c r="L89" s="2">
        <f>L12/'Output-Calculation-sheet'!L11*'Output-Calculation-sheet'!L74</f>
        <v>51.968140282251447</v>
      </c>
      <c r="M89" s="2">
        <f>M12/'Output-Calculation-sheet'!M11*'Output-Calculation-sheet'!M74</f>
        <v>98.563228249763853</v>
      </c>
      <c r="N89" s="2">
        <f>N12/'Output-Calculation-sheet'!N11*'Output-Calculation-sheet'!N74</f>
        <v>72.653878242680122</v>
      </c>
      <c r="O89" s="2">
        <f>O12/'Output-Calculation-sheet'!O11*'Output-Calculation-sheet'!O74</f>
        <v>587.59512023912475</v>
      </c>
      <c r="P89" s="2">
        <f>P12/'Output-Calculation-sheet'!P11*'Output-Calculation-sheet'!P74</f>
        <v>44.746061608413918</v>
      </c>
      <c r="Q89" s="2">
        <f>Q12/'Output-Calculation-sheet'!Q11*'Output-Calculation-sheet'!Q74</f>
        <v>63.655727242345876</v>
      </c>
      <c r="R89" s="2">
        <f>R12/'Output-Calculation-sheet'!R11*'Output-Calculation-sheet'!R74</f>
        <v>42.084348621320196</v>
      </c>
      <c r="S89" s="2">
        <f>S12/'Output-Calculation-sheet'!S11*'Output-Calculation-sheet'!S74</f>
        <v>41.647598086339755</v>
      </c>
      <c r="T89" s="2">
        <f>T12/'Output-Calculation-sheet'!T11*'Output-Calculation-sheet'!T74</f>
        <v>7.7848651716481774</v>
      </c>
      <c r="U89" s="2">
        <f>U12/'Output-Calculation-sheet'!U11*'Output-Calculation-sheet'!U74</f>
        <v>13.540044289741113</v>
      </c>
      <c r="V89" s="2">
        <f>V12/'Output-Calculation-sheet'!V11*'Output-Calculation-sheet'!V74</f>
        <v>5.2203010807240151</v>
      </c>
      <c r="W89" s="2">
        <f>W12/'Output-Calculation-sheet'!W11*'Output-Calculation-sheet'!W74</f>
        <v>4.5203881586239936</v>
      </c>
      <c r="X89" s="2">
        <f>X12/'Output-Calculation-sheet'!X11*'Output-Calculation-sheet'!X74</f>
        <v>16.21894367576289</v>
      </c>
      <c r="Y89" s="2">
        <f>Y12/'Output-Calculation-sheet'!Y11*'Output-Calculation-sheet'!Y74</f>
        <v>5.2171938238957889</v>
      </c>
      <c r="AA89" s="2">
        <f t="shared" si="7"/>
        <v>3.8970462940477102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1629246374.5792322</v>
      </c>
      <c r="C93" s="2">
        <f>C5/'Output-Calculation-sheet'!C4*'Output-Calculation-sheet'!C76</f>
        <v>539760133.46424901</v>
      </c>
      <c r="D93" s="2">
        <f>D5/'Output-Calculation-sheet'!D4*'Output-Calculation-sheet'!D76</f>
        <v>597466261.48821986</v>
      </c>
      <c r="E93" s="2">
        <f>E5/'Output-Calculation-sheet'!E4*'Output-Calculation-sheet'!E76</f>
        <v>999744858.77362835</v>
      </c>
      <c r="F93" s="2">
        <f>F5/'Output-Calculation-sheet'!F4*'Output-Calculation-sheet'!F76</f>
        <v>429568478.24697286</v>
      </c>
      <c r="G93" s="2">
        <f>G5/'Output-Calculation-sheet'!G4*'Output-Calculation-sheet'!G76</f>
        <v>334098303.34714204</v>
      </c>
      <c r="H93" s="2">
        <f>H5/'Output-Calculation-sheet'!H4*'Output-Calculation-sheet'!H76</f>
        <v>282609225.61553085</v>
      </c>
      <c r="I93" s="2">
        <f>I5/'Output-Calculation-sheet'!I4*'Output-Calculation-sheet'!I76</f>
        <v>231901569.20781788</v>
      </c>
      <c r="J93" s="2">
        <f>J5/'Output-Calculation-sheet'!J4*'Output-Calculation-sheet'!J76</f>
        <v>157365768.15576404</v>
      </c>
      <c r="K93" s="2">
        <f>K5/'Output-Calculation-sheet'!K4*'Output-Calculation-sheet'!K76</f>
        <v>229999353.40538996</v>
      </c>
      <c r="L93" s="2">
        <f>L5/'Output-Calculation-sheet'!L4*'Output-Calculation-sheet'!L76</f>
        <v>153526242.26344407</v>
      </c>
      <c r="M93" s="2">
        <f>M5/'Output-Calculation-sheet'!M4*'Output-Calculation-sheet'!M76</f>
        <v>206464973.09713775</v>
      </c>
      <c r="N93" s="2">
        <f>N5/'Output-Calculation-sheet'!N4*'Output-Calculation-sheet'!N76</f>
        <v>155905265.13577422</v>
      </c>
      <c r="O93" s="2">
        <f>O5/'Output-Calculation-sheet'!O4*'Output-Calculation-sheet'!O76</f>
        <v>76095446.181501076</v>
      </c>
      <c r="P93" s="2">
        <f>P5/'Output-Calculation-sheet'!P4*'Output-Calculation-sheet'!P76</f>
        <v>270130008.26512927</v>
      </c>
      <c r="Q93" s="2">
        <f>Q5/'Output-Calculation-sheet'!Q4*'Output-Calculation-sheet'!Q76</f>
        <v>124015686.12279825</v>
      </c>
      <c r="R93" s="2">
        <f>R5/'Output-Calculation-sheet'!R4*'Output-Calculation-sheet'!R76</f>
        <v>155177627.20317355</v>
      </c>
      <c r="S93" s="2">
        <f>S5/'Output-Calculation-sheet'!S4*'Output-Calculation-sheet'!S76</f>
        <v>91420680.882570475</v>
      </c>
      <c r="T93" s="2">
        <f>T5/'Output-Calculation-sheet'!T4*'Output-Calculation-sheet'!T76</f>
        <v>70299511.893065676</v>
      </c>
      <c r="U93" s="2">
        <f>U5/'Output-Calculation-sheet'!U4*'Output-Calculation-sheet'!U76</f>
        <v>45574782.200702898</v>
      </c>
      <c r="V93" s="2">
        <f>V5/'Output-Calculation-sheet'!V4*'Output-Calculation-sheet'!V76</f>
        <v>23360222.420539867</v>
      </c>
      <c r="W93" s="2">
        <f>W5/'Output-Calculation-sheet'!W4*'Output-Calculation-sheet'!W76</f>
        <v>65435100.510446936</v>
      </c>
      <c r="X93" s="2">
        <f>X5/'Output-Calculation-sheet'!X4*'Output-Calculation-sheet'!X76</f>
        <v>22710849.810509179</v>
      </c>
      <c r="Y93" s="2">
        <f>Y5/'Output-Calculation-sheet'!Y4*'Output-Calculation-sheet'!Y76</f>
        <v>35772196.627414413</v>
      </c>
      <c r="AA93" s="2">
        <f t="shared" ref="AA93:AA100" si="8">SUM(B93:Y93)/10^9</f>
        <v>6.9276489188981536</v>
      </c>
    </row>
    <row r="94" spans="1:27" x14ac:dyDescent="0.25">
      <c r="A94" s="2">
        <v>2029</v>
      </c>
      <c r="B94" s="2">
        <f>B6/'Output-Calculation-sheet'!B5*'Output-Calculation-sheet'!B77</f>
        <v>4248991140.1462688</v>
      </c>
      <c r="C94" s="2">
        <f>C6/'Output-Calculation-sheet'!C5*'Output-Calculation-sheet'!C77</f>
        <v>1417228436.9684463</v>
      </c>
      <c r="D94" s="2">
        <f>D6/'Output-Calculation-sheet'!D5*'Output-Calculation-sheet'!D77</f>
        <v>1559324056.9586747</v>
      </c>
      <c r="E94" s="2">
        <f>E6/'Output-Calculation-sheet'!E5*'Output-Calculation-sheet'!E77</f>
        <v>2652057527.8578758</v>
      </c>
      <c r="F94" s="2">
        <f>F6/'Output-Calculation-sheet'!F5*'Output-Calculation-sheet'!F77</f>
        <v>1119745954.2854421</v>
      </c>
      <c r="G94" s="2">
        <f>G6/'Output-Calculation-sheet'!G5*'Output-Calculation-sheet'!G77</f>
        <v>883016422.89512682</v>
      </c>
      <c r="H94" s="2">
        <f>H6/'Output-Calculation-sheet'!H5*'Output-Calculation-sheet'!H77</f>
        <v>742166857.0713712</v>
      </c>
      <c r="I94" s="2">
        <f>I6/'Output-Calculation-sheet'!I5*'Output-Calculation-sheet'!I77</f>
        <v>603035751.25771022</v>
      </c>
      <c r="J94" s="2">
        <f>J6/'Output-Calculation-sheet'!J5*'Output-Calculation-sheet'!J77</f>
        <v>414280959.45719826</v>
      </c>
      <c r="K94" s="2">
        <f>K6/'Output-Calculation-sheet'!K5*'Output-Calculation-sheet'!K77</f>
        <v>596892926.52941906</v>
      </c>
      <c r="L94" s="2">
        <f>L6/'Output-Calculation-sheet'!L5*'Output-Calculation-sheet'!L77</f>
        <v>403401186.66627371</v>
      </c>
      <c r="M94" s="2">
        <f>M6/'Output-Calculation-sheet'!M5*'Output-Calculation-sheet'!M77</f>
        <v>547013898.45106816</v>
      </c>
      <c r="N94" s="2">
        <f>N6/'Output-Calculation-sheet'!N5*'Output-Calculation-sheet'!N77</f>
        <v>413819430.23757708</v>
      </c>
      <c r="O94" s="2">
        <f>O6/'Output-Calculation-sheet'!O5*'Output-Calculation-sheet'!O77</f>
        <v>203244792.26279789</v>
      </c>
      <c r="P94" s="2">
        <f>P6/'Output-Calculation-sheet'!P5*'Output-Calculation-sheet'!P77</f>
        <v>707704331.91354501</v>
      </c>
      <c r="Q94" s="2">
        <f>Q6/'Output-Calculation-sheet'!Q5*'Output-Calculation-sheet'!Q77</f>
        <v>326932133.67693597</v>
      </c>
      <c r="R94" s="2">
        <f>R6/'Output-Calculation-sheet'!R5*'Output-Calculation-sheet'!R77</f>
        <v>405903386.49793798</v>
      </c>
      <c r="S94" s="2">
        <f>S6/'Output-Calculation-sheet'!S5*'Output-Calculation-sheet'!S77</f>
        <v>238331140.03725183</v>
      </c>
      <c r="T94" s="2">
        <f>T6/'Output-Calculation-sheet'!T5*'Output-Calculation-sheet'!T77</f>
        <v>183849036.31867337</v>
      </c>
      <c r="U94" s="2">
        <f>U6/'Output-Calculation-sheet'!U5*'Output-Calculation-sheet'!U77</f>
        <v>116379427.17650668</v>
      </c>
      <c r="V94" s="2">
        <f>V6/'Output-Calculation-sheet'!V5*'Output-Calculation-sheet'!V77</f>
        <v>59693977.66134657</v>
      </c>
      <c r="W94" s="2">
        <f>W6/'Output-Calculation-sheet'!W5*'Output-Calculation-sheet'!W77</f>
        <v>173214548.15327573</v>
      </c>
      <c r="X94" s="2">
        <f>X6/'Output-Calculation-sheet'!X5*'Output-Calculation-sheet'!X77</f>
        <v>59901127.037608653</v>
      </c>
      <c r="Y94" s="2">
        <f>Y6/'Output-Calculation-sheet'!Y5*'Output-Calculation-sheet'!Y77</f>
        <v>94974270.172473267</v>
      </c>
      <c r="AA94" s="2">
        <f t="shared" si="8"/>
        <v>18.171102719690804</v>
      </c>
    </row>
    <row r="95" spans="1:27" x14ac:dyDescent="0.25">
      <c r="A95" s="2">
        <v>2030</v>
      </c>
      <c r="B95" s="2">
        <f>B7/'Output-Calculation-sheet'!B6*'Output-Calculation-sheet'!B78</f>
        <v>7622328020.5885344</v>
      </c>
      <c r="C95" s="2">
        <f>C7/'Output-Calculation-sheet'!C6*'Output-Calculation-sheet'!C78</f>
        <v>2559416802.8664169</v>
      </c>
      <c r="D95" s="2">
        <f>D7/'Output-Calculation-sheet'!D6*'Output-Calculation-sheet'!D78</f>
        <v>2801901360.943625</v>
      </c>
      <c r="E95" s="2">
        <f>E7/'Output-Calculation-sheet'!E6*'Output-Calculation-sheet'!E78</f>
        <v>4843783956.8494005</v>
      </c>
      <c r="F95" s="2">
        <f>F7/'Output-Calculation-sheet'!F6*'Output-Calculation-sheet'!F78</f>
        <v>2008323607.602324</v>
      </c>
      <c r="G95" s="2">
        <f>G7/'Output-Calculation-sheet'!G6*'Output-Calculation-sheet'!G78</f>
        <v>1606733832.0526998</v>
      </c>
      <c r="H95" s="2">
        <f>H7/'Output-Calculation-sheet'!H6*'Output-Calculation-sheet'!H78</f>
        <v>1340954957.3614662</v>
      </c>
      <c r="I95" s="2">
        <f>I7/'Output-Calculation-sheet'!I6*'Output-Calculation-sheet'!I78</f>
        <v>1079178861.6099992</v>
      </c>
      <c r="J95" s="2">
        <f>J7/'Output-Calculation-sheet'!J6*'Output-Calculation-sheet'!J78</f>
        <v>750951927.84988725</v>
      </c>
      <c r="K95" s="2">
        <f>K7/'Output-Calculation-sheet'!K6*'Output-Calculation-sheet'!K78</f>
        <v>1065953799.0144868</v>
      </c>
      <c r="L95" s="2">
        <f>L7/'Output-Calculation-sheet'!L6*'Output-Calculation-sheet'!L78</f>
        <v>729509653.29521561</v>
      </c>
      <c r="M95" s="2">
        <f>M7/'Output-Calculation-sheet'!M6*'Output-Calculation-sheet'!M78</f>
        <v>997707111.165254</v>
      </c>
      <c r="N95" s="2">
        <f>N7/'Output-Calculation-sheet'!N6*'Output-Calculation-sheet'!N78</f>
        <v>756275572.99651313</v>
      </c>
      <c r="O95" s="2">
        <f>O7/'Output-Calculation-sheet'!O6*'Output-Calculation-sheet'!O78</f>
        <v>373667521.16483265</v>
      </c>
      <c r="P95" s="2">
        <f>P7/'Output-Calculation-sheet'!P6*'Output-Calculation-sheet'!P78</f>
        <v>1275443685.135396</v>
      </c>
      <c r="Q95" s="2">
        <f>Q7/'Output-Calculation-sheet'!Q6*'Output-Calculation-sheet'!Q78</f>
        <v>593325787.36160111</v>
      </c>
      <c r="R95" s="2">
        <f>R7/'Output-Calculation-sheet'!R6*'Output-Calculation-sheet'!R78</f>
        <v>730508225.01357377</v>
      </c>
      <c r="S95" s="2">
        <f>S7/'Output-Calculation-sheet'!S6*'Output-Calculation-sheet'!S78</f>
        <v>427431739.34490931</v>
      </c>
      <c r="T95" s="2">
        <f>T7/'Output-Calculation-sheet'!T6*'Output-Calculation-sheet'!T78</f>
        <v>330867905.35257918</v>
      </c>
      <c r="U95" s="2">
        <f>U7/'Output-Calculation-sheet'!U6*'Output-Calculation-sheet'!U78</f>
        <v>204254186.57971448</v>
      </c>
      <c r="V95" s="2">
        <f>V7/'Output-Calculation-sheet'!V6*'Output-Calculation-sheet'!V78</f>
        <v>104826703.04075125</v>
      </c>
      <c r="W95" s="2">
        <f>W7/'Output-Calculation-sheet'!W6*'Output-Calculation-sheet'!W78</f>
        <v>315675389.25910026</v>
      </c>
      <c r="X95" s="2">
        <f>X7/'Output-Calculation-sheet'!X6*'Output-Calculation-sheet'!X78</f>
        <v>108772444.86513057</v>
      </c>
      <c r="Y95" s="2">
        <f>Y7/'Output-Calculation-sheet'!Y6*'Output-Calculation-sheet'!Y78</f>
        <v>173608059.39965627</v>
      </c>
      <c r="AA95" s="2">
        <f t="shared" si="8"/>
        <v>32.80140111071308</v>
      </c>
    </row>
    <row r="96" spans="1:27" x14ac:dyDescent="0.25">
      <c r="A96" s="2">
        <v>2031</v>
      </c>
      <c r="B96" s="2">
        <f>B8/'Output-Calculation-sheet'!B7*'Output-Calculation-sheet'!B79</f>
        <v>11701552679.265915</v>
      </c>
      <c r="C96" s="2">
        <f>C8/'Output-Calculation-sheet'!C7*'Output-Calculation-sheet'!C79</f>
        <v>3958688453.034286</v>
      </c>
      <c r="D96" s="2">
        <f>D8/'Output-Calculation-sheet'!D7*'Output-Calculation-sheet'!D79</f>
        <v>4132610034.8566232</v>
      </c>
      <c r="E96" s="2">
        <f>E8/'Output-Calculation-sheet'!E7*'Output-Calculation-sheet'!E79</f>
        <v>7347428771.2150183</v>
      </c>
      <c r="F96" s="2">
        <f>F8/'Output-Calculation-sheet'!F7*'Output-Calculation-sheet'!F79</f>
        <v>3041028365.389338</v>
      </c>
      <c r="G96" s="2">
        <f>G8/'Output-Calculation-sheet'!G7*'Output-Calculation-sheet'!G79</f>
        <v>2368711040.541245</v>
      </c>
      <c r="H96" s="2">
        <f>H8/'Output-Calculation-sheet'!H7*'Output-Calculation-sheet'!H79</f>
        <v>2027482877.0329957</v>
      </c>
      <c r="I96" s="2">
        <f>I8/'Output-Calculation-sheet'!I7*'Output-Calculation-sheet'!I79</f>
        <v>1650059063.9224305</v>
      </c>
      <c r="J96" s="2">
        <f>J8/'Output-Calculation-sheet'!J7*'Output-Calculation-sheet'!J79</f>
        <v>1115812559.1574047</v>
      </c>
      <c r="K96" s="2">
        <f>K8/'Output-Calculation-sheet'!K7*'Output-Calculation-sheet'!K79</f>
        <v>1596394919.758812</v>
      </c>
      <c r="L96" s="2">
        <f>L8/'Output-Calculation-sheet'!L7*'Output-Calculation-sheet'!L79</f>
        <v>1126414866.3121774</v>
      </c>
      <c r="M96" s="2">
        <f>M8/'Output-Calculation-sheet'!M7*'Output-Calculation-sheet'!M79</f>
        <v>1513476755.8782783</v>
      </c>
      <c r="N96" s="2">
        <f>N8/'Output-Calculation-sheet'!N7*'Output-Calculation-sheet'!N79</f>
        <v>1126147242.9713717</v>
      </c>
      <c r="O96" s="2">
        <f>O8/'Output-Calculation-sheet'!O7*'Output-Calculation-sheet'!O79</f>
        <v>569306002.12926531</v>
      </c>
      <c r="P96" s="2">
        <f>P8/'Output-Calculation-sheet'!P7*'Output-Calculation-sheet'!P79</f>
        <v>1904209173.9435165</v>
      </c>
      <c r="Q96" s="2">
        <f>Q8/'Output-Calculation-sheet'!Q7*'Output-Calculation-sheet'!Q79</f>
        <v>887442922.84857476</v>
      </c>
      <c r="R96" s="2">
        <f>R8/'Output-Calculation-sheet'!R7*'Output-Calculation-sheet'!R79</f>
        <v>1107190539.9785058</v>
      </c>
      <c r="S96" s="2">
        <f>S8/'Output-Calculation-sheet'!S7*'Output-Calculation-sheet'!S79</f>
        <v>645141994.85028732</v>
      </c>
      <c r="T96" s="2">
        <f>T8/'Output-Calculation-sheet'!T7*'Output-Calculation-sheet'!T79</f>
        <v>492739963.91564059</v>
      </c>
      <c r="U96" s="2">
        <f>U8/'Output-Calculation-sheet'!U7*'Output-Calculation-sheet'!U79</f>
        <v>309526581.47814423</v>
      </c>
      <c r="V96" s="2">
        <f>V8/'Output-Calculation-sheet'!V7*'Output-Calculation-sheet'!V79</f>
        <v>160598531.49423993</v>
      </c>
      <c r="W96" s="2">
        <f>W8/'Output-Calculation-sheet'!W7*'Output-Calculation-sheet'!W79</f>
        <v>474555640.39540386</v>
      </c>
      <c r="X96" s="2">
        <f>X8/'Output-Calculation-sheet'!X7*'Output-Calculation-sheet'!X79</f>
        <v>166792877.90850982</v>
      </c>
      <c r="Y96" s="2">
        <f>Y8/'Output-Calculation-sheet'!Y7*'Output-Calculation-sheet'!Y79</f>
        <v>260861761.12727997</v>
      </c>
      <c r="AA96" s="2">
        <f t="shared" si="8"/>
        <v>49.684173619405271</v>
      </c>
    </row>
    <row r="97" spans="1:27" x14ac:dyDescent="0.25">
      <c r="A97" s="2">
        <v>2032</v>
      </c>
      <c r="B97" s="2">
        <f>B9/'Output-Calculation-sheet'!B8*'Output-Calculation-sheet'!B80</f>
        <v>16044357653.580063</v>
      </c>
      <c r="C97" s="2">
        <f>C9/'Output-Calculation-sheet'!C8*'Output-Calculation-sheet'!C80</f>
        <v>5464794699.4624004</v>
      </c>
      <c r="D97" s="2">
        <f>D9/'Output-Calculation-sheet'!D8*'Output-Calculation-sheet'!D80</f>
        <v>5445135958.316205</v>
      </c>
      <c r="E97" s="2">
        <f>E9/'Output-Calculation-sheet'!E8*'Output-Calculation-sheet'!E80</f>
        <v>9958339066.2936554</v>
      </c>
      <c r="F97" s="2">
        <f>F9/'Output-Calculation-sheet'!F8*'Output-Calculation-sheet'!F80</f>
        <v>4113790674.8973618</v>
      </c>
      <c r="G97" s="2">
        <f>G9/'Output-Calculation-sheet'!G8*'Output-Calculation-sheet'!G80</f>
        <v>3113913527.8645024</v>
      </c>
      <c r="H97" s="2">
        <f>H9/'Output-Calculation-sheet'!H8*'Output-Calculation-sheet'!H80</f>
        <v>2739614949.2905807</v>
      </c>
      <c r="I97" s="2">
        <f>I9/'Output-Calculation-sheet'!I8*'Output-Calculation-sheet'!I80</f>
        <v>2253587538.6734476</v>
      </c>
      <c r="J97" s="2">
        <f>J9/'Output-Calculation-sheet'!J8*'Output-Calculation-sheet'!J80</f>
        <v>1481525799.5875964</v>
      </c>
      <c r="K97" s="2">
        <f>K9/'Output-Calculation-sheet'!K8*'Output-Calculation-sheet'!K80</f>
        <v>2135931588.3997922</v>
      </c>
      <c r="L97" s="2">
        <f>L9/'Output-Calculation-sheet'!L8*'Output-Calculation-sheet'!L80</f>
        <v>1554604375.768697</v>
      </c>
      <c r="M97" s="2">
        <f>M9/'Output-Calculation-sheet'!M8*'Output-Calculation-sheet'!M80</f>
        <v>2051126551.5678515</v>
      </c>
      <c r="N97" s="2">
        <f>N9/'Output-Calculation-sheet'!N8*'Output-Calculation-sheet'!N80</f>
        <v>1498622184.6985776</v>
      </c>
      <c r="O97" s="2">
        <f>O9/'Output-Calculation-sheet'!O8*'Output-Calculation-sheet'!O80</f>
        <v>775288967.18440294</v>
      </c>
      <c r="P97" s="2">
        <f>P9/'Output-Calculation-sheet'!P8*'Output-Calculation-sheet'!P80</f>
        <v>2536599715.3515449</v>
      </c>
      <c r="Q97" s="2">
        <f>Q9/'Output-Calculation-sheet'!Q8*'Output-Calculation-sheet'!Q80</f>
        <v>1186524075.3043799</v>
      </c>
      <c r="R97" s="2">
        <f>R9/'Output-Calculation-sheet'!R8*'Output-Calculation-sheet'!R80</f>
        <v>1499170145.2215085</v>
      </c>
      <c r="S97" s="2">
        <f>S9/'Output-Calculation-sheet'!S8*'Output-Calculation-sheet'!S80</f>
        <v>870114014.20434427</v>
      </c>
      <c r="T97" s="2">
        <f>T9/'Output-Calculation-sheet'!T8*'Output-Calculation-sheet'!T80</f>
        <v>655226453.79798484</v>
      </c>
      <c r="U97" s="2">
        <f>U9/'Output-Calculation-sheet'!U8*'Output-Calculation-sheet'!U80</f>
        <v>418881572.73133111</v>
      </c>
      <c r="V97" s="2">
        <f>V9/'Output-Calculation-sheet'!V8*'Output-Calculation-sheet'!V80</f>
        <v>219636533.29485139</v>
      </c>
      <c r="W97" s="2">
        <f>W9/'Output-Calculation-sheet'!W8*'Output-Calculation-sheet'!W80</f>
        <v>636071644.2526381</v>
      </c>
      <c r="X97" s="2">
        <f>X9/'Output-Calculation-sheet'!X8*'Output-Calculation-sheet'!X80</f>
        <v>228411102.17855853</v>
      </c>
      <c r="Y97" s="2">
        <f>Y9/'Output-Calculation-sheet'!Y8*'Output-Calculation-sheet'!Y80</f>
        <v>349626148.48090672</v>
      </c>
      <c r="AA97" s="2">
        <f t="shared" si="8"/>
        <v>67.230894940403189</v>
      </c>
    </row>
    <row r="98" spans="1:27" x14ac:dyDescent="0.25">
      <c r="A98" s="2">
        <v>2033</v>
      </c>
      <c r="B98" s="2">
        <f>B10/'Output-Calculation-sheet'!B9*'Output-Calculation-sheet'!B81</f>
        <v>20672327868.146263</v>
      </c>
      <c r="C98" s="2">
        <f>C10/'Output-Calculation-sheet'!C9*'Output-Calculation-sheet'!C81</f>
        <v>7087499107.1484756</v>
      </c>
      <c r="D98" s="2">
        <f>D10/'Output-Calculation-sheet'!D9*'Output-Calculation-sheet'!D81</f>
        <v>6745140471.5650434</v>
      </c>
      <c r="E98" s="2">
        <f>E10/'Output-Calculation-sheet'!E9*'Output-Calculation-sheet'!E81</f>
        <v>12688033629.405037</v>
      </c>
      <c r="F98" s="2">
        <f>F10/'Output-Calculation-sheet'!F9*'Output-Calculation-sheet'!F81</f>
        <v>5232851752.2769814</v>
      </c>
      <c r="G98" s="2">
        <f>G10/'Output-Calculation-sheet'!G9*'Output-Calculation-sheet'!G81</f>
        <v>3842119861.4678059</v>
      </c>
      <c r="H98" s="2">
        <f>H10/'Output-Calculation-sheet'!H9*'Output-Calculation-sheet'!H81</f>
        <v>3480991985.5540805</v>
      </c>
      <c r="I98" s="2">
        <f>I10/'Output-Calculation-sheet'!I9*'Output-Calculation-sheet'!I81</f>
        <v>2893732019.4618444</v>
      </c>
      <c r="J98" s="2">
        <f>J10/'Output-Calculation-sheet'!J9*'Output-Calculation-sheet'!J81</f>
        <v>1850325188.7750025</v>
      </c>
      <c r="K98" s="2">
        <f>K10/'Output-Calculation-sheet'!K9*'Output-Calculation-sheet'!K81</f>
        <v>2687670714.7597613</v>
      </c>
      <c r="L98" s="2">
        <f>L10/'Output-Calculation-sheet'!L9*'Output-Calculation-sheet'!L81</f>
        <v>2015793267.4360693</v>
      </c>
      <c r="M98" s="2">
        <f>M10/'Output-Calculation-sheet'!M9*'Output-Calculation-sheet'!M81</f>
        <v>2614078827.3740668</v>
      </c>
      <c r="N98" s="2">
        <f>N10/'Output-Calculation-sheet'!N9*'Output-Calculation-sheet'!N81</f>
        <v>1875397594.6565177</v>
      </c>
      <c r="O98" s="2">
        <f>O10/'Output-Calculation-sheet'!O9*'Output-Calculation-sheet'!O81</f>
        <v>993128978.00351834</v>
      </c>
      <c r="P98" s="2">
        <f>P10/'Output-Calculation-sheet'!P9*'Output-Calculation-sheet'!P81</f>
        <v>3173752061.9110436</v>
      </c>
      <c r="Q98" s="2">
        <f>Q10/'Output-Calculation-sheet'!Q9*'Output-Calculation-sheet'!Q81</f>
        <v>1492217763.0265839</v>
      </c>
      <c r="R98" s="2">
        <f>R10/'Output-Calculation-sheet'!R9*'Output-Calculation-sheet'!R81</f>
        <v>1908772273.8785777</v>
      </c>
      <c r="S98" s="2">
        <f>S10/'Output-Calculation-sheet'!S9*'Output-Calculation-sheet'!S81</f>
        <v>1103610209.8198097</v>
      </c>
      <c r="T98" s="2">
        <f>T10/'Output-Calculation-sheet'!T9*'Output-Calculation-sheet'!T81</f>
        <v>818924177.76589203</v>
      </c>
      <c r="U98" s="2">
        <f>U10/'Output-Calculation-sheet'!U9*'Output-Calculation-sheet'!U81</f>
        <v>532845182.53669232</v>
      </c>
      <c r="V98" s="2">
        <f>V10/'Output-Calculation-sheet'!V9*'Output-Calculation-sheet'!V81</f>
        <v>282203781.65981716</v>
      </c>
      <c r="W98" s="2">
        <f>W10/'Output-Calculation-sheet'!W9*'Output-Calculation-sheet'!W81</f>
        <v>800145081.39744151</v>
      </c>
      <c r="X98" s="2">
        <f>X10/'Output-Calculation-sheet'!X9*'Output-Calculation-sheet'!X81</f>
        <v>294029108.81183827</v>
      </c>
      <c r="Y98" s="2">
        <f>Y10/'Output-Calculation-sheet'!Y9*'Output-Calculation-sheet'!Y81</f>
        <v>439969317.75516641</v>
      </c>
      <c r="AA98" s="2">
        <f t="shared" si="8"/>
        <v>85.525560224593349</v>
      </c>
    </row>
    <row r="99" spans="1:27" x14ac:dyDescent="0.25">
      <c r="A99" s="2">
        <v>2034</v>
      </c>
      <c r="B99" s="2">
        <f>B11/'Output-Calculation-sheet'!B10*'Output-Calculation-sheet'!B82</f>
        <v>25558096417.552109</v>
      </c>
      <c r="C99" s="2">
        <f>C11/'Output-Calculation-sheet'!C10*'Output-Calculation-sheet'!C82</f>
        <v>8818591856.0541821</v>
      </c>
      <c r="D99" s="2">
        <f>D11/'Output-Calculation-sheet'!D10*'Output-Calculation-sheet'!D82</f>
        <v>8022438059.3415575</v>
      </c>
      <c r="E99" s="2">
        <f>E11/'Output-Calculation-sheet'!E10*'Output-Calculation-sheet'!E82</f>
        <v>15518702946.705063</v>
      </c>
      <c r="F99" s="2">
        <f>F11/'Output-Calculation-sheet'!F10*'Output-Calculation-sheet'!F82</f>
        <v>6391358549.7262087</v>
      </c>
      <c r="G99" s="2">
        <f>G11/'Output-Calculation-sheet'!G10*'Output-Calculation-sheet'!G82</f>
        <v>4543801117.8957739</v>
      </c>
      <c r="H99" s="2">
        <f>H11/'Output-Calculation-sheet'!H10*'Output-Calculation-sheet'!H82</f>
        <v>4247007113.8269453</v>
      </c>
      <c r="I99" s="2">
        <f>I11/'Output-Calculation-sheet'!I10*'Output-Calculation-sheet'!I82</f>
        <v>3567190312.0842419</v>
      </c>
      <c r="J99" s="2">
        <f>J11/'Output-Calculation-sheet'!J10*'Output-Calculation-sheet'!J82</f>
        <v>2219861166.906054</v>
      </c>
      <c r="K99" s="2">
        <f>K11/'Output-Calculation-sheet'!K10*'Output-Calculation-sheet'!K82</f>
        <v>3247948192.5205145</v>
      </c>
      <c r="L99" s="2">
        <f>L11/'Output-Calculation-sheet'!L10*'Output-Calculation-sheet'!L82</f>
        <v>2507653525.0847144</v>
      </c>
      <c r="M99" s="2">
        <f>M11/'Output-Calculation-sheet'!M10*'Output-Calculation-sheet'!M82</f>
        <v>3199191739.071229</v>
      </c>
      <c r="N99" s="2">
        <f>N11/'Output-Calculation-sheet'!N10*'Output-Calculation-sheet'!N82</f>
        <v>2253833569.4194837</v>
      </c>
      <c r="O99" s="2">
        <f>O11/'Output-Calculation-sheet'!O10*'Output-Calculation-sheet'!O82</f>
        <v>1221916288.7463667</v>
      </c>
      <c r="P99" s="2">
        <f>P11/'Output-Calculation-sheet'!P10*'Output-Calculation-sheet'!P82</f>
        <v>3808989886.1371603</v>
      </c>
      <c r="Q99" s="2">
        <f>Q11/'Output-Calculation-sheet'!Q10*'Output-Calculation-sheet'!Q82</f>
        <v>1802653373.1027443</v>
      </c>
      <c r="R99" s="2">
        <f>R11/'Output-Calculation-sheet'!R10*'Output-Calculation-sheet'!R82</f>
        <v>2333526454.9202847</v>
      </c>
      <c r="S99" s="2">
        <f>S11/'Output-Calculation-sheet'!S10*'Output-Calculation-sheet'!S82</f>
        <v>1344176475.2697456</v>
      </c>
      <c r="T99" s="2">
        <f>T11/'Output-Calculation-sheet'!T10*'Output-Calculation-sheet'!T82</f>
        <v>982435850.716452</v>
      </c>
      <c r="U99" s="2">
        <f>U11/'Output-Calculation-sheet'!U10*'Output-Calculation-sheet'!U82</f>
        <v>650588824.73784924</v>
      </c>
      <c r="V99" s="2">
        <f>V11/'Output-Calculation-sheet'!V10*'Output-Calculation-sheet'!V82</f>
        <v>347861733.4254595</v>
      </c>
      <c r="W99" s="2">
        <f>W11/'Output-Calculation-sheet'!W10*'Output-Calculation-sheet'!W82</f>
        <v>964632766.0587523</v>
      </c>
      <c r="X99" s="2">
        <f>X11/'Output-Calculation-sheet'!X10*'Output-Calculation-sheet'!X82</f>
        <v>363307257.10014004</v>
      </c>
      <c r="Y99" s="2">
        <f>Y11/'Output-Calculation-sheet'!Y10*'Output-Calculation-sheet'!Y82</f>
        <v>530853967.37910312</v>
      </c>
      <c r="AA99" s="2">
        <f t="shared" si="8"/>
        <v>104.44661744378213</v>
      </c>
    </row>
    <row r="100" spans="1:27" x14ac:dyDescent="0.25">
      <c r="A100" s="2">
        <v>2035</v>
      </c>
      <c r="B100" s="2">
        <f>B12/'Output-Calculation-sheet'!B11*'Output-Calculation-sheet'!B83</f>
        <v>30647256298.635689</v>
      </c>
      <c r="C100" s="2">
        <f>C12/'Output-Calculation-sheet'!C11*'Output-Calculation-sheet'!C83</f>
        <v>10640229602.801977</v>
      </c>
      <c r="D100" s="2">
        <f>D12/'Output-Calculation-sheet'!D11*'Output-Calculation-sheet'!D83</f>
        <v>9260955556.2989712</v>
      </c>
      <c r="E100" s="2">
        <f>E12/'Output-Calculation-sheet'!E11*'Output-Calculation-sheet'!E83</f>
        <v>18417651007.766144</v>
      </c>
      <c r="F100" s="2">
        <f>F12/'Output-Calculation-sheet'!F11*'Output-Calculation-sheet'!F83</f>
        <v>7576287259.7534485</v>
      </c>
      <c r="G100" s="2">
        <f>G12/'Output-Calculation-sheet'!G11*'Output-Calculation-sheet'!G83</f>
        <v>5206384593.1228094</v>
      </c>
      <c r="H100" s="2">
        <f>H12/'Output-Calculation-sheet'!H11*'Output-Calculation-sheet'!H83</f>
        <v>5028978433.163847</v>
      </c>
      <c r="I100" s="2">
        <f>I12/'Output-Calculation-sheet'!I11*'Output-Calculation-sheet'!I83</f>
        <v>4266988869.9780717</v>
      </c>
      <c r="J100" s="2">
        <f>J12/'Output-Calculation-sheet'!J11*'Output-Calculation-sheet'!J83</f>
        <v>2585978908.5480347</v>
      </c>
      <c r="K100" s="2">
        <f>K12/'Output-Calculation-sheet'!K11*'Output-Calculation-sheet'!K83</f>
        <v>3810248451.4913378</v>
      </c>
      <c r="L100" s="2">
        <f>L12/'Output-Calculation-sheet'!L11*'Output-Calculation-sheet'!L83</f>
        <v>3025120012.3771529</v>
      </c>
      <c r="M100" s="2">
        <f>M12/'Output-Calculation-sheet'!M11*'Output-Calculation-sheet'!M83</f>
        <v>3800221076.9628386</v>
      </c>
      <c r="N100" s="2">
        <f>N12/'Output-Calculation-sheet'!N11*'Output-Calculation-sheet'!N83</f>
        <v>2629452834.4199576</v>
      </c>
      <c r="O100" s="2">
        <f>O12/'Output-Calculation-sheet'!O11*'Output-Calculation-sheet'!O83</f>
        <v>1459513281.2802022</v>
      </c>
      <c r="P100" s="2">
        <f>P12/'Output-Calculation-sheet'!P11*'Output-Calculation-sheet'!P83</f>
        <v>4432645541.5681019</v>
      </c>
      <c r="Q100" s="2">
        <f>Q12/'Output-Calculation-sheet'!Q11*'Output-Calculation-sheet'!Q83</f>
        <v>2114392243.2396376</v>
      </c>
      <c r="R100" s="2">
        <f>R12/'Output-Calculation-sheet'!R11*'Output-Calculation-sheet'!R83</f>
        <v>2768678794.57831</v>
      </c>
      <c r="S100" s="2">
        <f>S12/'Output-Calculation-sheet'!S11*'Output-Calculation-sheet'!S83</f>
        <v>1589079375.7702584</v>
      </c>
      <c r="T100" s="2">
        <f>T12/'Output-Calculation-sheet'!T11*'Output-Calculation-sheet'!T83</f>
        <v>1143586573.3903942</v>
      </c>
      <c r="U100" s="2">
        <f>U12/'Output-Calculation-sheet'!U11*'Output-Calculation-sheet'!U83</f>
        <v>770647868.80376315</v>
      </c>
      <c r="V100" s="2">
        <f>V12/'Output-Calculation-sheet'!V11*'Output-Calculation-sheet'!V83</f>
        <v>415809300.99021834</v>
      </c>
      <c r="W100" s="2">
        <f>W12/'Output-Calculation-sheet'!W11*'Output-Calculation-sheet'!W83</f>
        <v>1126529549.3212123</v>
      </c>
      <c r="X100" s="2">
        <f>X12/'Output-Calculation-sheet'!X11*'Output-Calculation-sheet'!X83</f>
        <v>435527024.20953298</v>
      </c>
      <c r="Y100" s="2">
        <f>Y12/'Output-Calculation-sheet'!Y11*'Output-Calculation-sheet'!Y83</f>
        <v>620785023.87585926</v>
      </c>
      <c r="AA100" s="2">
        <f t="shared" si="8"/>
        <v>123.77294748234775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95890563804.70253</v>
      </c>
      <c r="C8" s="2">
        <v>45188458948.832062</v>
      </c>
      <c r="D8" s="2">
        <v>40275133141.242821</v>
      </c>
      <c r="E8" s="2">
        <v>31954231156.007164</v>
      </c>
      <c r="F8" s="2">
        <v>20570085261.606327</v>
      </c>
      <c r="G8" s="2">
        <v>14453106435.557259</v>
      </c>
      <c r="H8" s="2">
        <v>14098450519.621555</v>
      </c>
      <c r="I8" s="2">
        <v>13167917670.879398</v>
      </c>
      <c r="J8" s="2">
        <v>12816741596.653549</v>
      </c>
      <c r="K8" s="2">
        <v>12693872634.727758</v>
      </c>
      <c r="L8" s="2">
        <v>10183189665.480083</v>
      </c>
      <c r="M8" s="2">
        <v>9726701852.8896008</v>
      </c>
      <c r="N8" s="2">
        <v>9546729777.0534477</v>
      </c>
      <c r="O8" s="2">
        <v>8780156816.2596455</v>
      </c>
      <c r="P8" s="2">
        <v>8690825662.7804089</v>
      </c>
      <c r="Q8" s="2">
        <v>8550367874.291029</v>
      </c>
      <c r="R8" s="2">
        <v>8225847176.875741</v>
      </c>
      <c r="S8" s="2">
        <v>5467319416.9491129</v>
      </c>
      <c r="T8" s="2">
        <v>3023750690.4863987</v>
      </c>
      <c r="U8" s="2">
        <v>2633583534.1758833</v>
      </c>
      <c r="V8" s="2">
        <v>2027911992.9861152</v>
      </c>
      <c r="W8" s="2">
        <v>1755722356.117254</v>
      </c>
      <c r="X8" s="2">
        <v>1053433413.6703532</v>
      </c>
      <c r="Y8" s="2">
        <v>1024453460.4602802</v>
      </c>
    </row>
    <row r="9" spans="1:27" x14ac:dyDescent="0.25">
      <c r="A9" s="2">
        <v>2032</v>
      </c>
      <c r="B9" s="2">
        <v>105449872296.12009</v>
      </c>
      <c r="C9" s="2">
        <v>49693286141.457878</v>
      </c>
      <c r="D9" s="2">
        <v>44290152001.849152</v>
      </c>
      <c r="E9" s="2">
        <v>35139741190.638527</v>
      </c>
      <c r="F9" s="2">
        <v>22620712381.819519</v>
      </c>
      <c r="G9" s="2">
        <v>15893933328.161354</v>
      </c>
      <c r="H9" s="2">
        <v>15503921844.647169</v>
      </c>
      <c r="I9" s="2">
        <v>14480624387.902077</v>
      </c>
      <c r="J9" s="2">
        <v>14094439650.726171</v>
      </c>
      <c r="K9" s="2">
        <v>13959321909.937624</v>
      </c>
      <c r="L9" s="2">
        <v>11198349526.644291</v>
      </c>
      <c r="M9" s="2">
        <v>10696354547.863688</v>
      </c>
      <c r="N9" s="2">
        <v>10498441096.729521</v>
      </c>
      <c r="O9" s="2">
        <v>9655448651.862896</v>
      </c>
      <c r="P9" s="2">
        <v>9557212096.015379</v>
      </c>
      <c r="Q9" s="2">
        <v>9402752102.5444221</v>
      </c>
      <c r="R9" s="2">
        <v>9045880010.6294537</v>
      </c>
      <c r="S9" s="2">
        <v>6012355245.8569279</v>
      </c>
      <c r="T9" s="2">
        <v>3325187708.9438796</v>
      </c>
      <c r="U9" s="2">
        <v>2896124877.58042</v>
      </c>
      <c r="V9" s="2">
        <v>2230074078.2344766</v>
      </c>
      <c r="W9" s="2">
        <v>1930749918.386945</v>
      </c>
      <c r="X9" s="2">
        <v>1158449951.0321677</v>
      </c>
      <c r="Y9" s="2">
        <v>1126580992.879271</v>
      </c>
    </row>
    <row r="10" spans="1:27" x14ac:dyDescent="0.25">
      <c r="A10" s="2">
        <v>2033</v>
      </c>
      <c r="B10" s="2">
        <v>113453675266.20583</v>
      </c>
      <c r="C10" s="2">
        <v>53465080858.244415</v>
      </c>
      <c r="D10" s="2">
        <v>47651840758.972397</v>
      </c>
      <c r="E10" s="2">
        <v>37806900086.003311</v>
      </c>
      <c r="F10" s="2">
        <v>24337658272.836246</v>
      </c>
      <c r="G10" s="2">
        <v>17100306631.497854</v>
      </c>
      <c r="H10" s="2">
        <v>16680692693.26137</v>
      </c>
      <c r="I10" s="2">
        <v>15579725429.571627</v>
      </c>
      <c r="J10" s="2">
        <v>15164228693.442034</v>
      </c>
      <c r="K10" s="2">
        <v>15018855314.107071</v>
      </c>
      <c r="L10" s="2">
        <v>12048320998.868744</v>
      </c>
      <c r="M10" s="2">
        <v>11508223850.643597</v>
      </c>
      <c r="N10" s="2">
        <v>11295288472.659111</v>
      </c>
      <c r="O10" s="2">
        <v>10388311640.831484</v>
      </c>
      <c r="P10" s="2">
        <v>10282618783.517281</v>
      </c>
      <c r="Q10" s="2">
        <v>10116435045.601851</v>
      </c>
      <c r="R10" s="2">
        <v>9732475828.335144</v>
      </c>
      <c r="S10" s="2">
        <v>6468701998.3581247</v>
      </c>
      <c r="T10" s="2">
        <v>3577574427.6892648</v>
      </c>
      <c r="U10" s="2">
        <v>3115945085.91433</v>
      </c>
      <c r="V10" s="2">
        <v>2399340035.0557537</v>
      </c>
      <c r="W10" s="2">
        <v>2077296723.9428847</v>
      </c>
      <c r="X10" s="2">
        <v>1246378034.3657317</v>
      </c>
      <c r="Y10" s="2">
        <v>1212090174.6403286</v>
      </c>
    </row>
    <row r="11" spans="1:27" x14ac:dyDescent="0.25">
      <c r="A11" s="2">
        <v>2034</v>
      </c>
      <c r="B11" s="2">
        <v>120554896829.21654</v>
      </c>
      <c r="C11" s="2">
        <v>56811533797.453575</v>
      </c>
      <c r="D11" s="2">
        <v>50634435005.661926</v>
      </c>
      <c r="E11" s="2">
        <v>40173285956.636162</v>
      </c>
      <c r="F11" s="2">
        <v>25860985774.697533</v>
      </c>
      <c r="G11" s="2">
        <v>18170638340.900471</v>
      </c>
      <c r="H11" s="2">
        <v>17724760189.192249</v>
      </c>
      <c r="I11" s="2">
        <v>16554881870.353891</v>
      </c>
      <c r="J11" s="2">
        <v>16113378622.09465</v>
      </c>
      <c r="K11" s="2">
        <v>15958906123.021177</v>
      </c>
      <c r="L11" s="2">
        <v>12802441979.740366</v>
      </c>
      <c r="M11" s="2">
        <v>12228539408.234766</v>
      </c>
      <c r="N11" s="2">
        <v>12002276112.101103</v>
      </c>
      <c r="O11" s="2">
        <v>11038530353.042048</v>
      </c>
      <c r="P11" s="2">
        <v>10926222034.433577</v>
      </c>
      <c r="Q11" s="2">
        <v>10749636627.816469</v>
      </c>
      <c r="R11" s="2">
        <v>10341644875.097971</v>
      </c>
      <c r="S11" s="2">
        <v>6873586952.57092</v>
      </c>
      <c r="T11" s="2">
        <v>3801499731.2069554</v>
      </c>
      <c r="U11" s="2">
        <v>3310976374.0707836</v>
      </c>
      <c r="V11" s="2">
        <v>2549518027.5619864</v>
      </c>
      <c r="W11" s="2">
        <v>2207317582.7138538</v>
      </c>
      <c r="X11" s="2">
        <v>1324390549.6283133</v>
      </c>
      <c r="Y11" s="2">
        <v>1287956565.6080363</v>
      </c>
    </row>
    <row r="12" spans="1:27" x14ac:dyDescent="0.25">
      <c r="A12" s="2">
        <v>2035</v>
      </c>
      <c r="B12" s="2">
        <v>127067087414.75555</v>
      </c>
      <c r="C12" s="2">
        <v>59880405699.603859</v>
      </c>
      <c r="D12" s="2">
        <v>53369629507.259689</v>
      </c>
      <c r="E12" s="2">
        <v>42343385234.872787</v>
      </c>
      <c r="F12" s="2">
        <v>27257956553.357178</v>
      </c>
      <c r="G12" s="2">
        <v>19152188348.814949</v>
      </c>
      <c r="H12" s="2">
        <v>18682224543.365383</v>
      </c>
      <c r="I12" s="2">
        <v>17449151192.433403</v>
      </c>
      <c r="J12" s="2">
        <v>16983798616.005672</v>
      </c>
      <c r="K12" s="2">
        <v>16820981749.505829</v>
      </c>
      <c r="L12" s="2">
        <v>13494010255.481857</v>
      </c>
      <c r="M12" s="2">
        <v>12889106347.477501</v>
      </c>
      <c r="N12" s="2">
        <v>12650620655.193295</v>
      </c>
      <c r="O12" s="2">
        <v>11634814828.695513</v>
      </c>
      <c r="P12" s="2">
        <v>11516439787.006058</v>
      </c>
      <c r="Q12" s="2">
        <v>11330315507.620102</v>
      </c>
      <c r="R12" s="2">
        <v>10900284666.312817</v>
      </c>
      <c r="S12" s="2">
        <v>7244887575.0983324</v>
      </c>
      <c r="T12" s="2">
        <v>4006850914.8719845</v>
      </c>
      <c r="U12" s="2">
        <v>3489830238.4866862</v>
      </c>
      <c r="V12" s="2">
        <v>2687239080.2395201</v>
      </c>
      <c r="W12" s="2">
        <v>2326553492.3244557</v>
      </c>
      <c r="X12" s="2">
        <v>1395932095.3946743</v>
      </c>
      <c r="Y12" s="2">
        <v>1357530003.4503646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1850.6595340831959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577.38068467895425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398.34869509122126</v>
      </c>
      <c r="N16" s="2">
        <f>N5/'Output-Calculation-sheet'!N4*'Output-Calculation-sheet'!N22</f>
        <v>0</v>
      </c>
      <c r="O16" s="2">
        <f>O5/'Output-Calculation-sheet'!O4*'Output-Calculation-sheet'!O22</f>
        <v>359.57940612887347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43.142474550429625</v>
      </c>
      <c r="Y16" s="2">
        <f>Y5/'Output-Calculation-sheet'!Y4*'Output-Calculation-sheet'!Y22</f>
        <v>0</v>
      </c>
      <c r="AA16" s="2">
        <f t="shared" ref="AA16:AA23" si="0">SUM(B16:Y16)/1000</f>
        <v>3.2291107945326742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5261.6838008287832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1551.6288465196244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1071.0901873996486</v>
      </c>
      <c r="N17" s="2">
        <f>N6/'Output-Calculation-sheet'!N5*'Output-Calculation-sheet'!N23</f>
        <v>0</v>
      </c>
      <c r="O17" s="2">
        <f>O6/'Output-Calculation-sheet'!O5*'Output-Calculation-sheet'!O23</f>
        <v>1028.7789608679711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119.09908324580296</v>
      </c>
      <c r="Y17" s="2">
        <f>Y6/'Output-Calculation-sheet'!Y5*'Output-Calculation-sheet'!Y23</f>
        <v>0</v>
      </c>
      <c r="AA17" s="2">
        <f t="shared" si="0"/>
        <v>9.0322808788618296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9815.8604256411891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3109.3070625998366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2144.4455618048505</v>
      </c>
      <c r="N18" s="2">
        <f>N7/'Output-Calculation-sheet'!N6*'Output-Calculation-sheet'!N24</f>
        <v>664.59784636372979</v>
      </c>
      <c r="O18" s="2">
        <f>O7/'Output-Calculation-sheet'!O6*'Output-Calculation-sheet'!O24</f>
        <v>1415.5661484894149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145.29209719637518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240.43569678599329</v>
      </c>
      <c r="Y18" s="2">
        <f>Y7/'Output-Calculation-sheet'!Y6*'Output-Calculation-sheet'!Y24</f>
        <v>0</v>
      </c>
      <c r="AA18" s="2">
        <f t="shared" si="0"/>
        <v>17.535504838881387</v>
      </c>
    </row>
    <row r="19" spans="1:27" x14ac:dyDescent="0.25">
      <c r="A19" s="2">
        <v>2031</v>
      </c>
      <c r="B19" s="2">
        <f>B8/'Output-Calculation-sheet'!B7*'Output-Calculation-sheet'!B25</f>
        <v>1066.1365058506681</v>
      </c>
      <c r="C19" s="2">
        <f>C8/'Output-Calculation-sheet'!C7*'Output-Calculation-sheet'!C25</f>
        <v>14074.601734766726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4783.2426537317197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3323.6537244939932</v>
      </c>
      <c r="N19" s="2">
        <f>N8/'Output-Calculation-sheet'!N7*'Output-Calculation-sheet'!N25</f>
        <v>1137.9095872350333</v>
      </c>
      <c r="O19" s="2">
        <f>O8/'Output-Calculation-sheet'!O7*'Output-Calculation-sheet'!O25</f>
        <v>1816.5541694907211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406.02410396668296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371.35202366016063</v>
      </c>
      <c r="Y19" s="2">
        <f>Y8/'Output-Calculation-sheet'!Y7*'Output-Calculation-sheet'!Y25</f>
        <v>0</v>
      </c>
      <c r="AA19" s="2">
        <f t="shared" si="0"/>
        <v>26.979474503195707</v>
      </c>
    </row>
    <row r="20" spans="1:27" x14ac:dyDescent="0.25">
      <c r="A20" s="2">
        <v>2032</v>
      </c>
      <c r="B20" s="2">
        <f>B9/'Output-Calculation-sheet'!B8*'Output-Calculation-sheet'!B26</f>
        <v>6056.6425089982822</v>
      </c>
      <c r="C20" s="2">
        <f>C9/'Output-Calculation-sheet'!C8*'Output-Calculation-sheet'!C26</f>
        <v>20562.700683020499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6581.0817986575003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4578.2244268840468</v>
      </c>
      <c r="N20" s="2">
        <f>N9/'Output-Calculation-sheet'!N8*'Output-Calculation-sheet'!N26</f>
        <v>2066.2480277421473</v>
      </c>
      <c r="O20" s="2">
        <f>O9/'Output-Calculation-sheet'!O8*'Output-Calculation-sheet'!O26</f>
        <v>2168.2594437180946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750.93063071543463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512.20080551563603</v>
      </c>
      <c r="Y20" s="2">
        <f>Y9/'Output-Calculation-sheet'!Y8*'Output-Calculation-sheet'!Y26</f>
        <v>0</v>
      </c>
      <c r="AA20" s="2">
        <f t="shared" si="0"/>
        <v>43.276288325251635</v>
      </c>
    </row>
    <row r="21" spans="1:27" x14ac:dyDescent="0.25">
      <c r="A21" s="2">
        <v>2033</v>
      </c>
      <c r="B21" s="2">
        <f>B10/'Output-Calculation-sheet'!B9*'Output-Calculation-sheet'!B27</f>
        <v>14735.103627793762</v>
      </c>
      <c r="C21" s="2">
        <f>C10/'Output-Calculation-sheet'!C9*'Output-Calculation-sheet'!C27</f>
        <v>25305.07722965326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8528.9464929406058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5923.8842779405604</v>
      </c>
      <c r="N21" s="2">
        <f>N10/'Output-Calculation-sheet'!N9*'Output-Calculation-sheet'!N27</f>
        <v>3241.4308051119142</v>
      </c>
      <c r="O21" s="2">
        <f>O10/'Output-Calculation-sheet'!O9*'Output-Calculation-sheet'!O27</f>
        <v>2524.7907040251757</v>
      </c>
      <c r="P21" s="2">
        <f>P10/'Output-Calculation-sheet'!P9*'Output-Calculation-sheet'!P27</f>
        <v>0</v>
      </c>
      <c r="Q21" s="2">
        <f>Q10/'Output-Calculation-sheet'!Q9*'Output-Calculation-sheet'!Q27</f>
        <v>221.08704504986073</v>
      </c>
      <c r="R21" s="2">
        <f>R10/'Output-Calculation-sheet'!R9*'Output-Calculation-sheet'!R27</f>
        <v>0</v>
      </c>
      <c r="S21" s="2">
        <f>S10/'Output-Calculation-sheet'!S9*'Output-Calculation-sheet'!S27</f>
        <v>1407.8762014582906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696.59804073003886</v>
      </c>
      <c r="Y21" s="2">
        <f>Y10/'Output-Calculation-sheet'!Y9*'Output-Calculation-sheet'!Y27</f>
        <v>0</v>
      </c>
      <c r="AA21" s="2">
        <f t="shared" si="0"/>
        <v>62.584794424703468</v>
      </c>
    </row>
    <row r="22" spans="1:27" x14ac:dyDescent="0.25">
      <c r="A22" s="2">
        <v>2034</v>
      </c>
      <c r="B22" s="2">
        <f>B11/'Output-Calculation-sheet'!B10*'Output-Calculation-sheet'!B28</f>
        <v>29818.149620356573</v>
      </c>
      <c r="C22" s="2">
        <f>C11/'Output-Calculation-sheet'!C10*'Output-Calculation-sheet'!C28</f>
        <v>28606.770541635997</v>
      </c>
      <c r="D22" s="2">
        <f>D11/'Output-Calculation-sheet'!D10*'Output-Calculation-sheet'!D28</f>
        <v>0</v>
      </c>
      <c r="E22" s="2">
        <f>E11/'Output-Calculation-sheet'!E10*'Output-Calculation-sheet'!E28</f>
        <v>1527.8362639690822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10916.289499279459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911.0427197965696</v>
      </c>
      <c r="M22" s="2">
        <f>M11/'Output-Calculation-sheet'!M10*'Output-Calculation-sheet'!M28</f>
        <v>7958.9346223459979</v>
      </c>
      <c r="N22" s="2">
        <f>N11/'Output-Calculation-sheet'!N10*'Output-Calculation-sheet'!N28</f>
        <v>4749.7981277860154</v>
      </c>
      <c r="O22" s="2">
        <f>O11/'Output-Calculation-sheet'!O10*'Output-Calculation-sheet'!O28</f>
        <v>2935.6861945580604</v>
      </c>
      <c r="P22" s="2">
        <f>P11/'Output-Calculation-sheet'!P10*'Output-Calculation-sheet'!P28</f>
        <v>0</v>
      </c>
      <c r="Q22" s="2">
        <f>Q11/'Output-Calculation-sheet'!Q10*'Output-Calculation-sheet'!Q28</f>
        <v>1079.0054762591005</v>
      </c>
      <c r="R22" s="2">
        <f>R11/'Output-Calculation-sheet'!R10*'Output-Calculation-sheet'!R28</f>
        <v>0</v>
      </c>
      <c r="S22" s="2">
        <f>S11/'Output-Calculation-sheet'!S10*'Output-Calculation-sheet'!S28</f>
        <v>2423.0668722071418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799.21242687906454</v>
      </c>
      <c r="Y22" s="2">
        <f>Y11/'Output-Calculation-sheet'!Y10*'Output-Calculation-sheet'!Y28</f>
        <v>82.899785381640115</v>
      </c>
      <c r="AA22" s="2">
        <f t="shared" si="0"/>
        <v>91.808692150454704</v>
      </c>
    </row>
    <row r="23" spans="1:27" x14ac:dyDescent="0.25">
      <c r="A23" s="2">
        <v>2035</v>
      </c>
      <c r="B23" s="2">
        <f>B12/'Output-Calculation-sheet'!B11*'Output-Calculation-sheet'!B29</f>
        <v>38016.162079185553</v>
      </c>
      <c r="C23" s="2">
        <f>C12/'Output-Calculation-sheet'!C11*'Output-Calculation-sheet'!C29</f>
        <v>31051.127870109485</v>
      </c>
      <c r="D23" s="2">
        <f>D12/'Output-Calculation-sheet'!D11*'Output-Calculation-sheet'!D29</f>
        <v>0</v>
      </c>
      <c r="E23" s="2">
        <f>E12/'Output-Calculation-sheet'!E11*'Output-Calculation-sheet'!E29</f>
        <v>5861.1645999116163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11953.041343645433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1328.6787185086994</v>
      </c>
      <c r="M23" s="2">
        <f>M12/'Output-Calculation-sheet'!M11*'Output-Calculation-sheet'!M29</f>
        <v>8757.4943440498391</v>
      </c>
      <c r="N23" s="2">
        <f>N12/'Output-Calculation-sheet'!N11*'Output-Calculation-sheet'!N29</f>
        <v>5108.7349418092645</v>
      </c>
      <c r="O23" s="2">
        <f>O12/'Output-Calculation-sheet'!O11*'Output-Calculation-sheet'!O29</f>
        <v>3443.9153818304626</v>
      </c>
      <c r="P23" s="2">
        <f>P12/'Output-Calculation-sheet'!P11*'Output-Calculation-sheet'!P29</f>
        <v>623.93843491015787</v>
      </c>
      <c r="Q23" s="2">
        <f>Q12/'Output-Calculation-sheet'!Q11*'Output-Calculation-sheet'!Q29</f>
        <v>1400.7348156481955</v>
      </c>
      <c r="R23" s="2">
        <f>R12/'Output-Calculation-sheet'!R11*'Output-Calculation-sheet'!R29</f>
        <v>0</v>
      </c>
      <c r="S23" s="2">
        <f>S12/'Output-Calculation-sheet'!S11*'Output-Calculation-sheet'!S29</f>
        <v>2734.7066843102198</v>
      </c>
      <c r="T23" s="2">
        <f>T12/'Output-Calculation-sheet'!T11*'Output-Calculation-sheet'!T29</f>
        <v>0</v>
      </c>
      <c r="U23" s="2">
        <f>U12/'Output-Calculation-sheet'!U11*'Output-Calculation-sheet'!U29</f>
        <v>119.25358081855164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867.56607456148072</v>
      </c>
      <c r="Y23" s="2">
        <f>Y12/'Output-Calculation-sheet'!Y11*'Output-Calculation-sheet'!Y29</f>
        <v>256.84800406255744</v>
      </c>
      <c r="AA23" s="2">
        <f t="shared" si="0"/>
        <v>111.52336687336152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2336.2795538332343</v>
      </c>
      <c r="C27" s="2">
        <f>C5/'Output-Calculation-sheet'!C4*'Output-Calculation-sheet'!C13</f>
        <v>0</v>
      </c>
      <c r="D27" s="2">
        <f>D5/'Output-Calculation-sheet'!D4*'Output-Calculation-sheet'!D13</f>
        <v>417.3490220932062</v>
      </c>
      <c r="E27" s="2">
        <f>E5/'Output-Calculation-sheet'!E4*'Output-Calculation-sheet'!E13</f>
        <v>449.01598760657197</v>
      </c>
      <c r="F27" s="2">
        <f>F5/'Output-Calculation-sheet'!F4*'Output-Calculation-sheet'!F13</f>
        <v>226.54986742942003</v>
      </c>
      <c r="G27" s="2">
        <f>G5/'Output-Calculation-sheet'!G4*'Output-Calculation-sheet'!G13</f>
        <v>148.35638298524847</v>
      </c>
      <c r="H27" s="2">
        <f>H5/'Output-Calculation-sheet'!H4*'Output-Calculation-sheet'!H13</f>
        <v>0</v>
      </c>
      <c r="I27" s="2">
        <f>I5/'Output-Calculation-sheet'!I4*'Output-Calculation-sheet'!I13</f>
        <v>144.62864690300205</v>
      </c>
      <c r="J27" s="2">
        <f>J5/'Output-Calculation-sheet'!J4*'Output-Calculation-sheet'!J13</f>
        <v>128.74764243636827</v>
      </c>
      <c r="K27" s="2">
        <f>K5/'Output-Calculation-sheet'!K4*'Output-Calculation-sheet'!K13</f>
        <v>171.89490677747332</v>
      </c>
      <c r="L27" s="2">
        <f>L5/'Output-Calculation-sheet'!L4*'Output-Calculation-sheet'!L13</f>
        <v>145.19547581060485</v>
      </c>
      <c r="M27" s="2">
        <f>M5/'Output-Calculation-sheet'!M4*'Output-Calculation-sheet'!M13</f>
        <v>0</v>
      </c>
      <c r="N27" s="2">
        <f>N5/'Output-Calculation-sheet'!N4*'Output-Calculation-sheet'!N13</f>
        <v>278.68633088122652</v>
      </c>
      <c r="O27" s="2">
        <f>O5/'Output-Calculation-sheet'!O4*'Output-Calculation-sheet'!O13</f>
        <v>0</v>
      </c>
      <c r="P27" s="2">
        <f>P5/'Output-Calculation-sheet'!P4*'Output-Calculation-sheet'!P13</f>
        <v>170.25460187077002</v>
      </c>
      <c r="Q27" s="2">
        <f>Q5/'Output-Calculation-sheet'!Q4*'Output-Calculation-sheet'!Q13</f>
        <v>189.47473795616474</v>
      </c>
      <c r="R27" s="2">
        <f>R5/'Output-Calculation-sheet'!R4*'Output-Calculation-sheet'!R13</f>
        <v>128.09305084483944</v>
      </c>
      <c r="S27" s="2">
        <f>S5/'Output-Calculation-sheet'!S4*'Output-Calculation-sheet'!S13</f>
        <v>147.83866089292081</v>
      </c>
      <c r="T27" s="2">
        <f>T5/'Output-Calculation-sheet'!T4*'Output-Calculation-sheet'!T13</f>
        <v>38.824910069583346</v>
      </c>
      <c r="U27" s="2">
        <f>U5/'Output-Calculation-sheet'!U4*'Output-Calculation-sheet'!U13</f>
        <v>38.756890874304347</v>
      </c>
      <c r="V27" s="2">
        <f>V5/'Output-Calculation-sheet'!V4*'Output-Calculation-sheet'!V13</f>
        <v>30.163741540282189</v>
      </c>
      <c r="W27" s="2">
        <f>W5/'Output-Calculation-sheet'!W4*'Output-Calculation-sheet'!W13</f>
        <v>18.294724247388917</v>
      </c>
      <c r="X27" s="2">
        <f>X5/'Output-Calculation-sheet'!X4*'Output-Calculation-sheet'!X13</f>
        <v>0</v>
      </c>
      <c r="Y27" s="2">
        <f>Y5/'Output-Calculation-sheet'!Y4*'Output-Calculation-sheet'!Y13</f>
        <v>15.468317945121104</v>
      </c>
      <c r="AA27" s="2">
        <f t="shared" ref="AA27:AA34" si="1">SUM(B27:Y27)/1000</f>
        <v>5.2238734529977293</v>
      </c>
    </row>
    <row r="28" spans="1:27" x14ac:dyDescent="0.25">
      <c r="A28" s="2">
        <v>2029</v>
      </c>
      <c r="B28" s="2">
        <f>B6/'Output-Calculation-sheet'!B5*'Output-Calculation-sheet'!B14</f>
        <v>6212.843182130503</v>
      </c>
      <c r="C28" s="2">
        <f>C6/'Output-Calculation-sheet'!C5*'Output-Calculation-sheet'!C14</f>
        <v>0</v>
      </c>
      <c r="D28" s="2">
        <f>D6/'Output-Calculation-sheet'!D5*'Output-Calculation-sheet'!D14</f>
        <v>1109.7722278118511</v>
      </c>
      <c r="E28" s="2">
        <f>E6/'Output-Calculation-sheet'!E5*'Output-Calculation-sheet'!E14</f>
        <v>1194.0822533988289</v>
      </c>
      <c r="F28" s="2">
        <f>F6/'Output-Calculation-sheet'!F5*'Output-Calculation-sheet'!F14</f>
        <v>602.42085087638884</v>
      </c>
      <c r="G28" s="2">
        <f>G6/'Output-Calculation-sheet'!G5*'Output-Calculation-sheet'!G14</f>
        <v>394.51410682638539</v>
      </c>
      <c r="H28" s="2">
        <f>H6/'Output-Calculation-sheet'!H5*'Output-Calculation-sheet'!H14</f>
        <v>0</v>
      </c>
      <c r="I28" s="2">
        <f>I6/'Output-Calculation-sheet'!I5*'Output-Calculation-sheet'!I14</f>
        <v>384.60119009587874</v>
      </c>
      <c r="J28" s="2">
        <f>J6/'Output-Calculation-sheet'!J5*'Output-Calculation-sheet'!J14</f>
        <v>342.35207973187318</v>
      </c>
      <c r="K28" s="2">
        <f>K6/'Output-Calculation-sheet'!K5*'Output-Calculation-sheet'!K14</f>
        <v>457.10851296544973</v>
      </c>
      <c r="L28" s="2">
        <f>L6/'Output-Calculation-sheet'!L5*'Output-Calculation-sheet'!L14</f>
        <v>386.10851991685803</v>
      </c>
      <c r="M28" s="2">
        <f>M6/'Output-Calculation-sheet'!M5*'Output-Calculation-sheet'!M14</f>
        <v>0</v>
      </c>
      <c r="N28" s="2">
        <f>N6/'Output-Calculation-sheet'!N5*'Output-Calculation-sheet'!N14</f>
        <v>741.10485393629119</v>
      </c>
      <c r="O28" s="2">
        <f>O6/'Output-Calculation-sheet'!O5*'Output-Calculation-sheet'!O14</f>
        <v>0</v>
      </c>
      <c r="P28" s="2">
        <f>P6/'Output-Calculation-sheet'!P5*'Output-Calculation-sheet'!P14</f>
        <v>452.74656094040381</v>
      </c>
      <c r="Q28" s="2">
        <f>Q6/'Output-Calculation-sheet'!Q5*'Output-Calculation-sheet'!Q14</f>
        <v>503.86886662982977</v>
      </c>
      <c r="R28" s="2">
        <f>R6/'Output-Calculation-sheet'!R5*'Output-Calculation-sheet'!R14</f>
        <v>340.62919658632683</v>
      </c>
      <c r="S28" s="2">
        <f>S6/'Output-Calculation-sheet'!S5*'Output-Calculation-sheet'!S14</f>
        <v>393.14488501068331</v>
      </c>
      <c r="T28" s="2">
        <f>T6/'Output-Calculation-sheet'!T5*'Output-Calculation-sheet'!T14</f>
        <v>103.24446047083413</v>
      </c>
      <c r="U28" s="2">
        <f>U6/'Output-Calculation-sheet'!U5*'Output-Calculation-sheet'!U14</f>
        <v>103.05991361578518</v>
      </c>
      <c r="V28" s="2">
        <f>V6/'Output-Calculation-sheet'!V5*'Output-Calculation-sheet'!V14</f>
        <v>80.209571755682759</v>
      </c>
      <c r="W28" s="2">
        <f>W6/'Output-Calculation-sheet'!W5*'Output-Calculation-sheet'!W14</f>
        <v>48.652373412955463</v>
      </c>
      <c r="X28" s="2">
        <f>X6/'Output-Calculation-sheet'!X5*'Output-Calculation-sheet'!X14</f>
        <v>0</v>
      </c>
      <c r="Y28" s="2">
        <f>Y6/'Output-Calculation-sheet'!Y5*'Output-Calculation-sheet'!Y14</f>
        <v>41.13385292517404</v>
      </c>
      <c r="AA28" s="2">
        <f t="shared" si="1"/>
        <v>13.891597459037982</v>
      </c>
    </row>
    <row r="29" spans="1:27" x14ac:dyDescent="0.25">
      <c r="A29" s="2">
        <v>2030</v>
      </c>
      <c r="B29" s="2">
        <f>B7/'Output-Calculation-sheet'!B6*'Output-Calculation-sheet'!B15</f>
        <v>11616.730180549072</v>
      </c>
      <c r="C29" s="2">
        <f>C7/'Output-Calculation-sheet'!C6*'Output-Calculation-sheet'!C15</f>
        <v>0</v>
      </c>
      <c r="D29" s="2">
        <f>D7/'Output-Calculation-sheet'!D6*'Output-Calculation-sheet'!D15</f>
        <v>2032.1215168953299</v>
      </c>
      <c r="E29" s="2">
        <f>E7/'Output-Calculation-sheet'!E6*'Output-Calculation-sheet'!E15</f>
        <v>2186.4391918240967</v>
      </c>
      <c r="F29" s="2">
        <f>F7/'Output-Calculation-sheet'!F6*'Output-Calculation-sheet'!F15</f>
        <v>1103.1009034218368</v>
      </c>
      <c r="G29" s="2">
        <f>G7/'Output-Calculation-sheet'!G6*'Output-Calculation-sheet'!G15</f>
        <v>722.38891997434996</v>
      </c>
      <c r="H29" s="2">
        <f>H7/'Output-Calculation-sheet'!H6*'Output-Calculation-sheet'!H15</f>
        <v>0</v>
      </c>
      <c r="I29" s="2">
        <f>I7/'Output-Calculation-sheet'!I6*'Output-Calculation-sheet'!I15</f>
        <v>704.23752541877388</v>
      </c>
      <c r="J29" s="2">
        <f>J7/'Output-Calculation-sheet'!J6*'Output-Calculation-sheet'!J15</f>
        <v>626.88668865865975</v>
      </c>
      <c r="K29" s="2">
        <f>K7/'Output-Calculation-sheet'!K6*'Output-Calculation-sheet'!K15</f>
        <v>837.0262200790761</v>
      </c>
      <c r="L29" s="2">
        <f>L7/'Output-Calculation-sheet'!L6*'Output-Calculation-sheet'!L15</f>
        <v>707.01476024054239</v>
      </c>
      <c r="M29" s="2">
        <f>M7/'Output-Calculation-sheet'!M6*'Output-Calculation-sheet'!M15</f>
        <v>0</v>
      </c>
      <c r="N29" s="2">
        <f>N7/'Output-Calculation-sheet'!N6*'Output-Calculation-sheet'!N15</f>
        <v>912.18024565140388</v>
      </c>
      <c r="O29" s="2">
        <f>O7/'Output-Calculation-sheet'!O6*'Output-Calculation-sheet'!O15</f>
        <v>0</v>
      </c>
      <c r="P29" s="2">
        <f>P7/'Output-Calculation-sheet'!P6*'Output-Calculation-sheet'!P15</f>
        <v>829.01750158143022</v>
      </c>
      <c r="Q29" s="2">
        <f>Q7/'Output-Calculation-sheet'!Q6*'Output-Calculation-sheet'!Q15</f>
        <v>934.14147484604746</v>
      </c>
      <c r="R29" s="2">
        <f>R7/'Output-Calculation-sheet'!R6*'Output-Calculation-sheet'!R15</f>
        <v>623.72106136629043</v>
      </c>
      <c r="S29" s="2">
        <f>S7/'Output-Calculation-sheet'!S6*'Output-Calculation-sheet'!S15</f>
        <v>644.23786651817909</v>
      </c>
      <c r="T29" s="2">
        <f>T7/'Output-Calculation-sheet'!T6*'Output-Calculation-sheet'!T15</f>
        <v>189.0493977334049</v>
      </c>
      <c r="U29" s="2">
        <f>U7/'Output-Calculation-sheet'!U6*'Output-Calculation-sheet'!U15</f>
        <v>188.71371553813944</v>
      </c>
      <c r="V29" s="2">
        <f>V7/'Output-Calculation-sheet'!V6*'Output-Calculation-sheet'!V15</f>
        <v>146.87228154625217</v>
      </c>
      <c r="W29" s="2">
        <f>W7/'Output-Calculation-sheet'!W6*'Output-Calculation-sheet'!W15</f>
        <v>89.085143292634385</v>
      </c>
      <c r="X29" s="2">
        <f>X7/'Output-Calculation-sheet'!X6*'Output-Calculation-sheet'!X15</f>
        <v>0</v>
      </c>
      <c r="Y29" s="2">
        <f>Y7/'Output-Calculation-sheet'!Y6*'Output-Calculation-sheet'!Y15</f>
        <v>75.31958699280888</v>
      </c>
      <c r="AA29" s="2">
        <f t="shared" si="1"/>
        <v>25.168284182128328</v>
      </c>
    </row>
    <row r="30" spans="1:27" x14ac:dyDescent="0.25">
      <c r="A30" s="2">
        <v>2031</v>
      </c>
      <c r="B30" s="2">
        <f>B8/'Output-Calculation-sheet'!B7*'Output-Calculation-sheet'!B16</f>
        <v>18582.412966417738</v>
      </c>
      <c r="C30" s="2">
        <f>C8/'Output-Calculation-sheet'!C7*'Output-Calculation-sheet'!C16</f>
        <v>0</v>
      </c>
      <c r="D30" s="2">
        <f>D8/'Output-Calculation-sheet'!D7*'Output-Calculation-sheet'!D16</f>
        <v>3129.0326904551193</v>
      </c>
      <c r="E30" s="2">
        <f>E8/'Output-Calculation-sheet'!E7*'Output-Calculation-sheet'!E16</f>
        <v>3366.6623912851305</v>
      </c>
      <c r="F30" s="2">
        <f>F8/'Output-Calculation-sheet'!F7*'Output-Calculation-sheet'!F16</f>
        <v>1698.499091330282</v>
      </c>
      <c r="G30" s="2">
        <f>G8/'Output-Calculation-sheet'!G7*'Output-Calculation-sheet'!G16</f>
        <v>1112.3151713403893</v>
      </c>
      <c r="H30" s="2">
        <f>H8/'Output-Calculation-sheet'!H7*'Output-Calculation-sheet'!H16</f>
        <v>0</v>
      </c>
      <c r="I30" s="2">
        <f>I8/'Output-Calculation-sheet'!I7*'Output-Calculation-sheet'!I16</f>
        <v>1084.3407436506907</v>
      </c>
      <c r="J30" s="2">
        <f>J8/'Output-Calculation-sheet'!J7*'Output-Calculation-sheet'!J16</f>
        <v>965.27176301849681</v>
      </c>
      <c r="K30" s="2">
        <f>K8/'Output-Calculation-sheet'!K7*'Output-Calculation-sheet'!K16</f>
        <v>1288.822305489459</v>
      </c>
      <c r="L30" s="2">
        <f>L8/'Output-Calculation-sheet'!L7*'Output-Calculation-sheet'!L16</f>
        <v>1088.6358351948872</v>
      </c>
      <c r="M30" s="2">
        <f>M8/'Output-Calculation-sheet'!M7*'Output-Calculation-sheet'!M16</f>
        <v>0</v>
      </c>
      <c r="N30" s="2">
        <f>N8/'Output-Calculation-sheet'!N7*'Output-Calculation-sheet'!N16</f>
        <v>1546.3154876619446</v>
      </c>
      <c r="O30" s="2">
        <f>O8/'Output-Calculation-sheet'!O7*'Output-Calculation-sheet'!O16</f>
        <v>0</v>
      </c>
      <c r="P30" s="2">
        <f>P8/'Output-Calculation-sheet'!P7*'Output-Calculation-sheet'!P16</f>
        <v>1389.7776216475288</v>
      </c>
      <c r="Q30" s="2">
        <f>Q8/'Output-Calculation-sheet'!Q7*'Output-Calculation-sheet'!Q16</f>
        <v>1528.2963960844288</v>
      </c>
      <c r="R30" s="2">
        <f>R8/'Output-Calculation-sheet'!R7*'Output-Calculation-sheet'!R16</f>
        <v>969.71070587878648</v>
      </c>
      <c r="S30" s="2">
        <f>S8/'Output-Calculation-sheet'!S7*'Output-Calculation-sheet'!S16</f>
        <v>975.24461930261305</v>
      </c>
      <c r="T30" s="2">
        <f>T8/'Output-Calculation-sheet'!T7*'Output-Calculation-sheet'!T16</f>
        <v>291.09321504972166</v>
      </c>
      <c r="U30" s="2">
        <f>U8/'Output-Calculation-sheet'!U7*'Output-Calculation-sheet'!U16</f>
        <v>290.57289330927642</v>
      </c>
      <c r="V30" s="2">
        <f>V8/'Output-Calculation-sheet'!V7*'Output-Calculation-sheet'!V16</f>
        <v>226.14735951590188</v>
      </c>
      <c r="W30" s="2">
        <f>W8/'Output-Calculation-sheet'!W7*'Output-Calculation-sheet'!W16</f>
        <v>137.16977420827521</v>
      </c>
      <c r="X30" s="2">
        <f>X8/'Output-Calculation-sheet'!X7*'Output-Calculation-sheet'!X16</f>
        <v>0</v>
      </c>
      <c r="Y30" s="2">
        <f>Y8/'Output-Calculation-sheet'!Y7*'Output-Calculation-sheet'!Y16</f>
        <v>116.09861939957794</v>
      </c>
      <c r="AA30" s="2">
        <f t="shared" si="1"/>
        <v>39.786419650240255</v>
      </c>
    </row>
    <row r="31" spans="1:27" x14ac:dyDescent="0.25">
      <c r="A31" s="2">
        <v>2032</v>
      </c>
      <c r="B31" s="2">
        <f>B9/'Output-Calculation-sheet'!B8*'Output-Calculation-sheet'!B17</f>
        <v>25645.825422024202</v>
      </c>
      <c r="C31" s="2">
        <f>C9/'Output-Calculation-sheet'!C8*'Output-Calculation-sheet'!C17</f>
        <v>0</v>
      </c>
      <c r="D31" s="2">
        <f>D9/'Output-Calculation-sheet'!D8*'Output-Calculation-sheet'!D17</f>
        <v>4301.1416437163252</v>
      </c>
      <c r="E31" s="2">
        <f>E9/'Output-Calculation-sheet'!E8*'Output-Calculation-sheet'!E17</f>
        <v>5055.4043448917073</v>
      </c>
      <c r="F31" s="2">
        <f>F9/'Output-Calculation-sheet'!F8*'Output-Calculation-sheet'!F17</f>
        <v>2334.7992305189059</v>
      </c>
      <c r="G31" s="2">
        <f>G9/'Output-Calculation-sheet'!G8*'Output-Calculation-sheet'!G17</f>
        <v>1529.0020221615491</v>
      </c>
      <c r="H31" s="2">
        <f>H9/'Output-Calculation-sheet'!H8*'Output-Calculation-sheet'!H17</f>
        <v>0</v>
      </c>
      <c r="I31" s="2">
        <f>I9/'Output-Calculation-sheet'!I8*'Output-Calculation-sheet'!I17</f>
        <v>1490.5550137869852</v>
      </c>
      <c r="J31" s="2">
        <f>J9/'Output-Calculation-sheet'!J8*'Output-Calculation-sheet'!J17</f>
        <v>1326.88126639794</v>
      </c>
      <c r="K31" s="2">
        <f>K9/'Output-Calculation-sheet'!K8*'Output-Calculation-sheet'!K17</f>
        <v>1889.1266172036653</v>
      </c>
      <c r="L31" s="2">
        <f>L9/'Output-Calculation-sheet'!L8*'Output-Calculation-sheet'!L17</f>
        <v>1611.0929044120194</v>
      </c>
      <c r="M31" s="2">
        <f>M9/'Output-Calculation-sheet'!M8*'Output-Calculation-sheet'!M17</f>
        <v>0</v>
      </c>
      <c r="N31" s="2">
        <f>N9/'Output-Calculation-sheet'!N8*'Output-Calculation-sheet'!N17</f>
        <v>1751.4227631635456</v>
      </c>
      <c r="O31" s="2">
        <f>O9/'Output-Calculation-sheet'!O8*'Output-Calculation-sheet'!O17</f>
        <v>0</v>
      </c>
      <c r="P31" s="2">
        <f>P9/'Output-Calculation-sheet'!P8*'Output-Calculation-sheet'!P17</f>
        <v>2173.7874892805353</v>
      </c>
      <c r="Q31" s="2">
        <f>Q9/'Output-Calculation-sheet'!Q8*'Output-Calculation-sheet'!Q17</f>
        <v>2317.4571845365513</v>
      </c>
      <c r="R31" s="2">
        <f>R9/'Output-Calculation-sheet'!R8*'Output-Calculation-sheet'!R17</f>
        <v>1516.2029663160447</v>
      </c>
      <c r="S31" s="2">
        <f>S9/'Output-Calculation-sheet'!S8*'Output-Calculation-sheet'!S17</f>
        <v>1304.6253667328633</v>
      </c>
      <c r="T31" s="2">
        <f>T9/'Output-Calculation-sheet'!T8*'Output-Calculation-sheet'!T17</f>
        <v>411.43275239948019</v>
      </c>
      <c r="U31" s="2">
        <f>U9/'Output-Calculation-sheet'!U8*'Output-Calculation-sheet'!U17</f>
        <v>472.86739791100109</v>
      </c>
      <c r="V31" s="2">
        <f>V9/'Output-Calculation-sheet'!V8*'Output-Calculation-sheet'!V17</f>
        <v>338.69248007853656</v>
      </c>
      <c r="W31" s="2">
        <f>W9/'Output-Calculation-sheet'!W8*'Output-Calculation-sheet'!W17</f>
        <v>188.55809486404564</v>
      </c>
      <c r="X31" s="2">
        <f>X9/'Output-Calculation-sheet'!X8*'Output-Calculation-sheet'!X17</f>
        <v>0</v>
      </c>
      <c r="Y31" s="2">
        <f>Y9/'Output-Calculation-sheet'!Y8*'Output-Calculation-sheet'!Y17</f>
        <v>182.18797123173701</v>
      </c>
      <c r="AA31" s="2">
        <f t="shared" si="1"/>
        <v>55.841062931627633</v>
      </c>
    </row>
    <row r="32" spans="1:27" x14ac:dyDescent="0.25">
      <c r="A32" s="2">
        <v>2033</v>
      </c>
      <c r="B32" s="2">
        <f>B10/'Output-Calculation-sheet'!B9*'Output-Calculation-sheet'!B18</f>
        <v>29914.081044333259</v>
      </c>
      <c r="C32" s="2">
        <f>C10/'Output-Calculation-sheet'!C9*'Output-Calculation-sheet'!C18</f>
        <v>0</v>
      </c>
      <c r="D32" s="2">
        <f>D10/'Output-Calculation-sheet'!D9*'Output-Calculation-sheet'!D18</f>
        <v>5746.3949607446921</v>
      </c>
      <c r="E32" s="2">
        <f>E10/'Output-Calculation-sheet'!E9*'Output-Calculation-sheet'!E18</f>
        <v>8027.4213140604752</v>
      </c>
      <c r="F32" s="2">
        <f>F10/'Output-Calculation-sheet'!F9*'Output-Calculation-sheet'!F18</f>
        <v>3240.5576173828167</v>
      </c>
      <c r="G32" s="2">
        <f>G10/'Output-Calculation-sheet'!G9*'Output-Calculation-sheet'!G18</f>
        <v>2021.6027501020819</v>
      </c>
      <c r="H32" s="2">
        <f>H10/'Output-Calculation-sheet'!H9*'Output-Calculation-sheet'!H18</f>
        <v>0</v>
      </c>
      <c r="I32" s="2">
        <f>I10/'Output-Calculation-sheet'!I9*'Output-Calculation-sheet'!I18</f>
        <v>2134.3377915430378</v>
      </c>
      <c r="J32" s="2">
        <f>J10/'Output-Calculation-sheet'!J9*'Output-Calculation-sheet'!J18</f>
        <v>1713.0884573110848</v>
      </c>
      <c r="K32" s="2">
        <f>K10/'Output-Calculation-sheet'!K9*'Output-Calculation-sheet'!K18</f>
        <v>2851.2251570831208</v>
      </c>
      <c r="L32" s="2">
        <f>L10/'Output-Calculation-sheet'!L9*'Output-Calculation-sheet'!L18</f>
        <v>2462.9929241644973</v>
      </c>
      <c r="M32" s="2">
        <f>M10/'Output-Calculation-sheet'!M9*'Output-Calculation-sheet'!M18</f>
        <v>0</v>
      </c>
      <c r="N32" s="2">
        <f>N10/'Output-Calculation-sheet'!N9*'Output-Calculation-sheet'!N18</f>
        <v>1822.8602798518416</v>
      </c>
      <c r="O32" s="2">
        <f>O10/'Output-Calculation-sheet'!O9*'Output-Calculation-sheet'!O18</f>
        <v>0</v>
      </c>
      <c r="P32" s="2">
        <f>P10/'Output-Calculation-sheet'!P9*'Output-Calculation-sheet'!P18</f>
        <v>2934.7734339138315</v>
      </c>
      <c r="Q32" s="2">
        <f>Q10/'Output-Calculation-sheet'!Q9*'Output-Calculation-sheet'!Q18</f>
        <v>3194.583163867901</v>
      </c>
      <c r="R32" s="2">
        <f>R10/'Output-Calculation-sheet'!R9*'Output-Calculation-sheet'!R18</f>
        <v>2107.3197482225182</v>
      </c>
      <c r="S32" s="2">
        <f>S10/'Output-Calculation-sheet'!S9*'Output-Calculation-sheet'!S18</f>
        <v>1382.8354706023913</v>
      </c>
      <c r="T32" s="2">
        <f>T10/'Output-Calculation-sheet'!T9*'Output-Calculation-sheet'!T18</f>
        <v>615.11195536070727</v>
      </c>
      <c r="U32" s="2">
        <f>U10/'Output-Calculation-sheet'!U9*'Output-Calculation-sheet'!U18</f>
        <v>680.30681854969896</v>
      </c>
      <c r="V32" s="2">
        <f>V10/'Output-Calculation-sheet'!V9*'Output-Calculation-sheet'!V18</f>
        <v>502.39178343256765</v>
      </c>
      <c r="W32" s="2">
        <f>W10/'Output-Calculation-sheet'!W9*'Output-Calculation-sheet'!W18</f>
        <v>250.6074029465083</v>
      </c>
      <c r="X32" s="2">
        <f>X10/'Output-Calculation-sheet'!X9*'Output-Calculation-sheet'!X18</f>
        <v>0</v>
      </c>
      <c r="Y32" s="2">
        <f>Y10/'Output-Calculation-sheet'!Y9*'Output-Calculation-sheet'!Y18</f>
        <v>291.03180555102062</v>
      </c>
      <c r="AA32" s="2">
        <f t="shared" si="1"/>
        <v>71.893523879024073</v>
      </c>
    </row>
    <row r="33" spans="1:27" x14ac:dyDescent="0.25">
      <c r="A33" s="2">
        <v>2034</v>
      </c>
      <c r="B33" s="2">
        <f>B11/'Output-Calculation-sheet'!B10*'Output-Calculation-sheet'!B19</f>
        <v>30076.336814073129</v>
      </c>
      <c r="C33" s="2">
        <f>C11/'Output-Calculation-sheet'!C10*'Output-Calculation-sheet'!C19</f>
        <v>0</v>
      </c>
      <c r="D33" s="2">
        <f>D11/'Output-Calculation-sheet'!D10*'Output-Calculation-sheet'!D19</f>
        <v>8971.4409299937433</v>
      </c>
      <c r="E33" s="2">
        <f>E11/'Output-Calculation-sheet'!E10*'Output-Calculation-sheet'!E19</f>
        <v>11111.729493001822</v>
      </c>
      <c r="F33" s="2">
        <f>F11/'Output-Calculation-sheet'!F10*'Output-Calculation-sheet'!F19</f>
        <v>5098.8562426307444</v>
      </c>
      <c r="G33" s="2">
        <f>G11/'Output-Calculation-sheet'!G10*'Output-Calculation-sheet'!G19</f>
        <v>3053.7936424859381</v>
      </c>
      <c r="H33" s="2">
        <f>H11/'Output-Calculation-sheet'!H10*'Output-Calculation-sheet'!H19</f>
        <v>0</v>
      </c>
      <c r="I33" s="2">
        <f>I11/'Output-Calculation-sheet'!I10*'Output-Calculation-sheet'!I19</f>
        <v>3332.1171049745117</v>
      </c>
      <c r="J33" s="2">
        <f>J11/'Output-Calculation-sheet'!J10*'Output-Calculation-sheet'!J19</f>
        <v>2817.5197357222009</v>
      </c>
      <c r="K33" s="2">
        <f>K11/'Output-Calculation-sheet'!K10*'Output-Calculation-sheet'!K19</f>
        <v>3909.7152173576023</v>
      </c>
      <c r="L33" s="2">
        <f>L11/'Output-Calculation-sheet'!L10*'Output-Calculation-sheet'!L19</f>
        <v>3179.5298601505456</v>
      </c>
      <c r="M33" s="2">
        <f>M11/'Output-Calculation-sheet'!M10*'Output-Calculation-sheet'!M19</f>
        <v>0</v>
      </c>
      <c r="N33" s="2">
        <f>N11/'Output-Calculation-sheet'!N10*'Output-Calculation-sheet'!N19</f>
        <v>1797.8890311549046</v>
      </c>
      <c r="O33" s="2">
        <f>O11/'Output-Calculation-sheet'!O10*'Output-Calculation-sheet'!O19</f>
        <v>0</v>
      </c>
      <c r="P33" s="2">
        <f>P11/'Output-Calculation-sheet'!P10*'Output-Calculation-sheet'!P19</f>
        <v>3955.9421205746003</v>
      </c>
      <c r="Q33" s="2">
        <f>Q11/'Output-Calculation-sheet'!Q10*'Output-Calculation-sheet'!Q19</f>
        <v>3257.6768051756385</v>
      </c>
      <c r="R33" s="2">
        <f>R11/'Output-Calculation-sheet'!R10*'Output-Calculation-sheet'!R19</f>
        <v>2824.4789117336304</v>
      </c>
      <c r="S33" s="2">
        <f>S11/'Output-Calculation-sheet'!S10*'Output-Calculation-sheet'!S19</f>
        <v>1316.6726173646302</v>
      </c>
      <c r="T33" s="2">
        <f>T11/'Output-Calculation-sheet'!T10*'Output-Calculation-sheet'!T19</f>
        <v>828.78399075824007</v>
      </c>
      <c r="U33" s="2">
        <f>U11/'Output-Calculation-sheet'!U10*'Output-Calculation-sheet'!U19</f>
        <v>953.85897900292071</v>
      </c>
      <c r="V33" s="2">
        <f>V11/'Output-Calculation-sheet'!V10*'Output-Calculation-sheet'!V19</f>
        <v>649.92840252559074</v>
      </c>
      <c r="W33" s="2">
        <f>W11/'Output-Calculation-sheet'!W10*'Output-Calculation-sheet'!W19</f>
        <v>405.30418314988935</v>
      </c>
      <c r="X33" s="2">
        <f>X11/'Output-Calculation-sheet'!X10*'Output-Calculation-sheet'!X19</f>
        <v>117.19349219924418</v>
      </c>
      <c r="Y33" s="2">
        <f>Y11/'Output-Calculation-sheet'!Y10*'Output-Calculation-sheet'!Y19</f>
        <v>364.75905567921649</v>
      </c>
      <c r="AA33" s="2">
        <f t="shared" si="1"/>
        <v>88.023526629708755</v>
      </c>
    </row>
    <row r="34" spans="1:27" x14ac:dyDescent="0.25">
      <c r="A34" s="2">
        <v>2035</v>
      </c>
      <c r="B34" s="2">
        <f>B12/'Output-Calculation-sheet'!B11*'Output-Calculation-sheet'!B20</f>
        <v>30256.74405681092</v>
      </c>
      <c r="C34" s="2">
        <f>C12/'Output-Calculation-sheet'!C11*'Output-Calculation-sheet'!C20</f>
        <v>0</v>
      </c>
      <c r="D34" s="2">
        <f>D12/'Output-Calculation-sheet'!D11*'Output-Calculation-sheet'!D20</f>
        <v>9495.4890106345447</v>
      </c>
      <c r="E34" s="2">
        <f>E12/'Output-Calculation-sheet'!E11*'Output-Calculation-sheet'!E20</f>
        <v>10375.2170520985</v>
      </c>
      <c r="F34" s="2">
        <f>F12/'Output-Calculation-sheet'!F11*'Output-Calculation-sheet'!F20</f>
        <v>6536.8732526960148</v>
      </c>
      <c r="G34" s="2">
        <f>G12/'Output-Calculation-sheet'!G11*'Output-Calculation-sheet'!G20</f>
        <v>3493.1109899479648</v>
      </c>
      <c r="H34" s="2">
        <f>H12/'Output-Calculation-sheet'!H11*'Output-Calculation-sheet'!H20</f>
        <v>0</v>
      </c>
      <c r="I34" s="2">
        <f>I12/'Output-Calculation-sheet'!I11*'Output-Calculation-sheet'!I20</f>
        <v>3796.5359926868296</v>
      </c>
      <c r="J34" s="2">
        <f>J12/'Output-Calculation-sheet'!J11*'Output-Calculation-sheet'!J20</f>
        <v>3259.3294281209414</v>
      </c>
      <c r="K34" s="2">
        <f>K12/'Output-Calculation-sheet'!K11*'Output-Calculation-sheet'!K20</f>
        <v>4285.2246217934662</v>
      </c>
      <c r="L34" s="2">
        <f>L12/'Output-Calculation-sheet'!L11*'Output-Calculation-sheet'!L20</f>
        <v>3386.681656598636</v>
      </c>
      <c r="M34" s="2">
        <f>M12/'Output-Calculation-sheet'!M11*'Output-Calculation-sheet'!M20</f>
        <v>0</v>
      </c>
      <c r="N34" s="2">
        <f>N12/'Output-Calculation-sheet'!N11*'Output-Calculation-sheet'!N20</f>
        <v>1884.6888988480791</v>
      </c>
      <c r="O34" s="2">
        <f>O12/'Output-Calculation-sheet'!O11*'Output-Calculation-sheet'!O20</f>
        <v>0</v>
      </c>
      <c r="P34" s="2">
        <f>P12/'Output-Calculation-sheet'!P11*'Output-Calculation-sheet'!P20</f>
        <v>4211.9354208268824</v>
      </c>
      <c r="Q34" s="2">
        <f>Q12/'Output-Calculation-sheet'!Q11*'Output-Calculation-sheet'!Q20</f>
        <v>3332.779875058447</v>
      </c>
      <c r="R34" s="2">
        <f>R12/'Output-Calculation-sheet'!R11*'Output-Calculation-sheet'!R20</f>
        <v>3345.1114527946233</v>
      </c>
      <c r="S34" s="2">
        <f>S12/'Output-Calculation-sheet'!S11*'Output-Calculation-sheet'!S20</f>
        <v>1277.751407582607</v>
      </c>
      <c r="T34" s="2">
        <f>T12/'Output-Calculation-sheet'!T11*'Output-Calculation-sheet'!T20</f>
        <v>1050.9306854836891</v>
      </c>
      <c r="U34" s="2">
        <f>U12/'Output-Calculation-sheet'!U11*'Output-Calculation-sheet'!U20</f>
        <v>958.81139760629344</v>
      </c>
      <c r="V34" s="2">
        <f>V12/'Output-Calculation-sheet'!V11*'Output-Calculation-sheet'!V20</f>
        <v>880.76654644215819</v>
      </c>
      <c r="W34" s="2">
        <f>W12/'Output-Calculation-sheet'!W11*'Output-Calculation-sheet'!W20</f>
        <v>566.6540933054348</v>
      </c>
      <c r="X34" s="2">
        <f>X12/'Output-Calculation-sheet'!X11*'Output-Calculation-sheet'!X20</f>
        <v>114.52292421703119</v>
      </c>
      <c r="Y34" s="2">
        <f>Y12/'Output-Calculation-sheet'!Y11*'Output-Calculation-sheet'!Y20</f>
        <v>317.6310262712496</v>
      </c>
      <c r="AA34" s="2">
        <f t="shared" si="1"/>
        <v>92.826789789824289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0.87710993856598318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0.17039886480802641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1.0475088033740096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1.012912848561224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0.393563433624946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1.40647628218617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1.1138899000053872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0.64919652418611373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1.763086424191501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1.1984358088422977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0.69847151101453619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1.896907319856834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2.5468951085528557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0.39200681756889366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0.26973905055086639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0.98958640462349234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0.23227642104639135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2.9591038806427244E-2</v>
      </c>
      <c r="Y44" s="2">
        <f>Y11/'Output-Calculation-sheet'!Y10*'Output-Calculation-sheet'!Y37*0.0114</f>
        <v>0</v>
      </c>
      <c r="AA44" s="2">
        <f t="shared" si="2"/>
        <v>4.4600948411489272</v>
      </c>
    </row>
    <row r="45" spans="1:27" x14ac:dyDescent="0.25">
      <c r="A45" s="2">
        <v>2035</v>
      </c>
      <c r="B45" s="2">
        <f>B12/'Output-Calculation-sheet'!B11*'Output-Calculation-sheet'!B38*0.0114</f>
        <v>2.828011300075794</v>
      </c>
      <c r="C45" s="2">
        <f>C12/'Output-Calculation-sheet'!C11*'Output-Calculation-sheet'!C38*0.0114</f>
        <v>2.6844744751692904</v>
      </c>
      <c r="D45" s="2">
        <f>D12/'Output-Calculation-sheet'!D11*'Output-Calculation-sheet'!D38*0.0114</f>
        <v>1.1889960097672923</v>
      </c>
      <c r="E45" s="2">
        <f>E12/'Output-Calculation-sheet'!E11*'Output-Calculation-sheet'!E38*0.0114</f>
        <v>0.94493468398116887</v>
      </c>
      <c r="F45" s="2">
        <f>F12/'Output-Calculation-sheet'!F11*'Output-Calculation-sheet'!F38*0.0114</f>
        <v>0.59429911860991591</v>
      </c>
      <c r="G45" s="2">
        <f>G12/'Output-Calculation-sheet'!G11*'Output-Calculation-sheet'!G38*0.0114</f>
        <v>0.4265184148644745</v>
      </c>
      <c r="H45" s="2">
        <f>H12/'Output-Calculation-sheet'!H11*'Output-Calculation-sheet'!H38*0.0114</f>
        <v>0.41318242448310893</v>
      </c>
      <c r="I45" s="2">
        <f>I12/'Output-Calculation-sheet'!I11*'Output-Calculation-sheet'!I38*0.0114</f>
        <v>0.38362784917992415</v>
      </c>
      <c r="J45" s="2">
        <f>J12/'Output-Calculation-sheet'!J11*'Output-Calculation-sheet'!J38*0.0114</f>
        <v>0.37966561911776037</v>
      </c>
      <c r="K45" s="2">
        <f>K12/'Output-Calculation-sheet'!K11*'Output-Calculation-sheet'!K38*0.0114</f>
        <v>0.37704578963636132</v>
      </c>
      <c r="L45" s="2">
        <f>L12/'Output-Calculation-sheet'!L11*'Output-Calculation-sheet'!L38*0.0114</f>
        <v>0.29980874452712031</v>
      </c>
      <c r="M45" s="2">
        <f>M12/'Output-Calculation-sheet'!M11*'Output-Calculation-sheet'!M38*0.0114</f>
        <v>0.28430994025962747</v>
      </c>
      <c r="N45" s="2">
        <f>N12/'Output-Calculation-sheet'!N11*'Output-Calculation-sheet'!N38*0.0114</f>
        <v>0.27943105016085451</v>
      </c>
      <c r="O45" s="2">
        <f>O12/'Output-Calculation-sheet'!O11*'Output-Calculation-sheet'!O38*0.0114</f>
        <v>1.043042344093922</v>
      </c>
      <c r="P45" s="2">
        <f>P12/'Output-Calculation-sheet'!P11*'Output-Calculation-sheet'!P38*0.0114</f>
        <v>0.25814394127806489</v>
      </c>
      <c r="Q45" s="2">
        <f>Q12/'Output-Calculation-sheet'!Q11*'Output-Calculation-sheet'!Q38*0.0114</f>
        <v>0.2448236369800906</v>
      </c>
      <c r="R45" s="2">
        <f>R12/'Output-Calculation-sheet'!R11*'Output-Calculation-sheet'!R38*0.0114</f>
        <v>0.24278828635914831</v>
      </c>
      <c r="S45" s="2">
        <f>S12/'Output-Calculation-sheet'!S11*'Output-Calculation-sheet'!S38*0.0114</f>
        <v>0.16017908956037871</v>
      </c>
      <c r="T45" s="2">
        <f>T12/'Output-Calculation-sheet'!T11*'Output-Calculation-sheet'!T38*0.0114</f>
        <v>8.9823135511426427E-2</v>
      </c>
      <c r="U45" s="2">
        <f>U12/'Output-Calculation-sheet'!U11*'Output-Calculation-sheet'!U38*0.0114</f>
        <v>7.811369922612553E-2</v>
      </c>
      <c r="V45" s="2">
        <f>V12/'Output-Calculation-sheet'!V11*'Output-Calculation-sheet'!V38*0.0114</f>
        <v>6.02327466237986E-2</v>
      </c>
      <c r="W45" s="2">
        <f>W12/'Output-Calculation-sheet'!W11*'Output-Calculation-sheet'!W38*0.0114</f>
        <v>5.2157028950877302E-2</v>
      </c>
      <c r="X45" s="2">
        <f>X12/'Output-Calculation-sheet'!X11*'Output-Calculation-sheet'!X38*0.0114</f>
        <v>3.1189501327651293E-2</v>
      </c>
      <c r="Y45" s="2">
        <f>Y12/'Output-Calculation-sheet'!Y11*'Output-Calculation-sheet'!Y38*0.0114</f>
        <v>3.0098447275609872E-2</v>
      </c>
      <c r="AA45" s="2">
        <f t="shared" si="2"/>
        <v>13.374897277019782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8001.704702707214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1752.6429767627296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1238.5841948653988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175.20819045408629</v>
      </c>
      <c r="Y51" s="2">
        <f>Y7/'Output-Calculation-sheet'!Y6*'Output-Calculation-sheet'!Y42</f>
        <v>0</v>
      </c>
      <c r="AA51" s="2">
        <f t="shared" si="3"/>
        <v>11.16814006478943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20791.368996783018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6783.1507031951242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4629.8305542844328</v>
      </c>
      <c r="N52" s="2">
        <f>N8/'Output-Calculation-sheet'!N7*'Output-Calculation-sheet'!N43</f>
        <v>147.9798543147466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598.74841190160566</v>
      </c>
      <c r="Y52" s="2">
        <f>Y8/'Output-Calculation-sheet'!Y7*'Output-Calculation-sheet'!Y43</f>
        <v>0</v>
      </c>
      <c r="AA52" s="2">
        <f t="shared" si="3"/>
        <v>32.95107852047893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47780.014131810029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13204.272895843887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9023.7418972425894</v>
      </c>
      <c r="N53" s="2">
        <f>N9/'Output-Calculation-sheet'!N8*'Output-Calculation-sheet'!N44</f>
        <v>3213.9556634631444</v>
      </c>
      <c r="O53" s="2">
        <f>O9/'Output-Calculation-sheet'!O8*'Output-Calculation-sheet'!O44</f>
        <v>0</v>
      </c>
      <c r="P53" s="2">
        <f>P9/'Output-Calculation-sheet'!P8*'Output-Calculation-sheet'!P44</f>
        <v>150.33498374131662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1002.7955627566363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1128.4256549047445</v>
      </c>
      <c r="Y53" s="2">
        <f>Y9/'Output-Calculation-sheet'!Y8*'Output-Calculation-sheet'!Y44</f>
        <v>0</v>
      </c>
      <c r="AA53" s="2">
        <f t="shared" si="3"/>
        <v>75.503540789762354</v>
      </c>
    </row>
    <row r="54" spans="1:27" x14ac:dyDescent="0.25">
      <c r="A54" s="2">
        <v>2033</v>
      </c>
      <c r="B54" s="2">
        <f>B10/'Output-Calculation-sheet'!B9*'Output-Calculation-sheet'!B45</f>
        <v>28351.22003964768</v>
      </c>
      <c r="C54" s="2">
        <f>C10/'Output-Calculation-sheet'!C9*'Output-Calculation-sheet'!C45</f>
        <v>64967.835953029818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20549.260965477111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265.77690975492834</v>
      </c>
      <c r="L54" s="2">
        <f>L10/'Output-Calculation-sheet'!L9*'Output-Calculation-sheet'!L45</f>
        <v>0</v>
      </c>
      <c r="M54" s="2">
        <f>M10/'Output-Calculation-sheet'!M9*'Output-Calculation-sheet'!M45</f>
        <v>14095.367278885153</v>
      </c>
      <c r="N54" s="2">
        <f>N10/'Output-Calculation-sheet'!N9*'Output-Calculation-sheet'!N45</f>
        <v>7900.6442596020561</v>
      </c>
      <c r="O54" s="2">
        <f>O10/'Output-Calculation-sheet'!O9*'Output-Calculation-sheet'!O45</f>
        <v>0</v>
      </c>
      <c r="P54" s="2">
        <f>P10/'Output-Calculation-sheet'!P9*'Output-Calculation-sheet'!P45</f>
        <v>2143.1296475826953</v>
      </c>
      <c r="Q54" s="2">
        <f>Q10/'Output-Calculation-sheet'!Q9*'Output-Calculation-sheet'!Q45</f>
        <v>843.69730981733494</v>
      </c>
      <c r="R54" s="2">
        <f>R10/'Output-Calculation-sheet'!R9*'Output-Calculation-sheet'!R45</f>
        <v>1407.149018403248</v>
      </c>
      <c r="S54" s="2">
        <f>S10/'Output-Calculation-sheet'!S9*'Output-Calculation-sheet'!S45</f>
        <v>3362.1822992891048</v>
      </c>
      <c r="T54" s="2">
        <f>T10/'Output-Calculation-sheet'!T9*'Output-Calculation-sheet'!T45</f>
        <v>70.350769755899506</v>
      </c>
      <c r="U54" s="2">
        <f>U10/'Output-Calculation-sheet'!U9*'Output-Calculation-sheet'!U45</f>
        <v>507.79210003439829</v>
      </c>
      <c r="V54" s="2">
        <f>V10/'Output-Calculation-sheet'!V9*'Output-Calculation-sheet'!V45</f>
        <v>37.740121765909585</v>
      </c>
      <c r="W54" s="2">
        <f>W10/'Output-Calculation-sheet'!W9*'Output-Calculation-sheet'!W45</f>
        <v>0</v>
      </c>
      <c r="X54" s="2">
        <f>X10/'Output-Calculation-sheet'!X9*'Output-Calculation-sheet'!X45</f>
        <v>1619.5807345413525</v>
      </c>
      <c r="Y54" s="2">
        <f>Y10/'Output-Calculation-sheet'!Y9*'Output-Calculation-sheet'!Y45</f>
        <v>16.501475322234825</v>
      </c>
      <c r="AA54" s="2">
        <f t="shared" si="3"/>
        <v>146.13822888290892</v>
      </c>
    </row>
    <row r="55" spans="1:27" x14ac:dyDescent="0.25">
      <c r="A55" s="2">
        <v>2034</v>
      </c>
      <c r="B55" s="2">
        <f>B11/'Output-Calculation-sheet'!B10*'Output-Calculation-sheet'!B46</f>
        <v>85670.135380879714</v>
      </c>
      <c r="C55" s="2">
        <f>C11/'Output-Calculation-sheet'!C10*'Output-Calculation-sheet'!C46</f>
        <v>70486.439188458418</v>
      </c>
      <c r="D55" s="2">
        <f>D11/'Output-Calculation-sheet'!D10*'Output-Calculation-sheet'!D46</f>
        <v>7916.2101208803879</v>
      </c>
      <c r="E55" s="2">
        <f>E11/'Output-Calculation-sheet'!E10*'Output-Calculation-sheet'!E46</f>
        <v>9751.4770811285871</v>
      </c>
      <c r="F55" s="2">
        <f>F11/'Output-Calculation-sheet'!F10*'Output-Calculation-sheet'!F46</f>
        <v>296.75856724432265</v>
      </c>
      <c r="G55" s="2">
        <f>G11/'Output-Calculation-sheet'!G10*'Output-Calculation-sheet'!G46</f>
        <v>3514.1468843336452</v>
      </c>
      <c r="H55" s="2">
        <f>H11/'Output-Calculation-sheet'!H10*'Output-Calculation-sheet'!H46</f>
        <v>25411.670016088807</v>
      </c>
      <c r="I55" s="2">
        <f>I11/'Output-Calculation-sheet'!I10*'Output-Calculation-sheet'!I46</f>
        <v>1915.6153410414277</v>
      </c>
      <c r="J55" s="2">
        <f>J11/'Output-Calculation-sheet'!J10*'Output-Calculation-sheet'!J46</f>
        <v>1390.2755228415031</v>
      </c>
      <c r="K55" s="2">
        <f>K11/'Output-Calculation-sheet'!K10*'Output-Calculation-sheet'!K46</f>
        <v>3734.1175548617507</v>
      </c>
      <c r="L55" s="2">
        <f>L11/'Output-Calculation-sheet'!L10*'Output-Calculation-sheet'!L46</f>
        <v>1372.3153284805776</v>
      </c>
      <c r="M55" s="2">
        <f>M11/'Output-Calculation-sheet'!M10*'Output-Calculation-sheet'!M46</f>
        <v>17958.942049833997</v>
      </c>
      <c r="N55" s="2">
        <f>N11/'Output-Calculation-sheet'!N10*'Output-Calculation-sheet'!N46</f>
        <v>13697.360522438446</v>
      </c>
      <c r="O55" s="2">
        <f>O11/'Output-Calculation-sheet'!O10*'Output-Calculation-sheet'!O46</f>
        <v>303.82038738440554</v>
      </c>
      <c r="P55" s="2">
        <f>P11/'Output-Calculation-sheet'!P10*'Output-Calculation-sheet'!P46</f>
        <v>5091.6343949134625</v>
      </c>
      <c r="Q55" s="2">
        <f>Q11/'Output-Calculation-sheet'!Q10*'Output-Calculation-sheet'!Q46</f>
        <v>2995.1433240192569</v>
      </c>
      <c r="R55" s="2">
        <f>R11/'Output-Calculation-sheet'!R10*'Output-Calculation-sheet'!R46</f>
        <v>4121.9699969500571</v>
      </c>
      <c r="S55" s="2">
        <f>S11/'Output-Calculation-sheet'!S10*'Output-Calculation-sheet'!S46</f>
        <v>6732.0003216476498</v>
      </c>
      <c r="T55" s="2">
        <f>T11/'Output-Calculation-sheet'!T10*'Output-Calculation-sheet'!T46</f>
        <v>934.42651481744065</v>
      </c>
      <c r="U55" s="2">
        <f>U11/'Output-Calculation-sheet'!U10*'Output-Calculation-sheet'!U46</f>
        <v>1560.2183303734212</v>
      </c>
      <c r="V55" s="2">
        <f>V11/'Output-Calculation-sheet'!V10*'Output-Calculation-sheet'!V46</f>
        <v>631.61166426199293</v>
      </c>
      <c r="W55" s="2">
        <f>W11/'Output-Calculation-sheet'!W10*'Output-Calculation-sheet'!W46</f>
        <v>82.473300417121621</v>
      </c>
      <c r="X55" s="2">
        <f>X11/'Output-Calculation-sheet'!X10*'Output-Calculation-sheet'!X46</f>
        <v>1837.7592521886393</v>
      </c>
      <c r="Y55" s="2">
        <f>Y11/'Output-Calculation-sheet'!Y10*'Output-Calculation-sheet'!Y46</f>
        <v>478.43659186865875</v>
      </c>
      <c r="AA55" s="2">
        <f t="shared" si="3"/>
        <v>267.88495763735375</v>
      </c>
    </row>
    <row r="56" spans="1:27" x14ac:dyDescent="0.25">
      <c r="A56" s="2">
        <v>2035</v>
      </c>
      <c r="B56" s="2">
        <f>B12/'Output-Calculation-sheet'!B11*'Output-Calculation-sheet'!B47</f>
        <v>114856.95016974497</v>
      </c>
      <c r="C56" s="2">
        <f>C12/'Output-Calculation-sheet'!C11*'Output-Calculation-sheet'!C47</f>
        <v>75471.409586996277</v>
      </c>
      <c r="D56" s="2">
        <f>D12/'Output-Calculation-sheet'!D11*'Output-Calculation-sheet'!D47</f>
        <v>9178.2148122387462</v>
      </c>
      <c r="E56" s="2">
        <f>E12/'Output-Calculation-sheet'!E11*'Output-Calculation-sheet'!E47</f>
        <v>25778.481291065218</v>
      </c>
      <c r="F56" s="2">
        <f>F12/'Output-Calculation-sheet'!F11*'Output-Calculation-sheet'!F47</f>
        <v>3180.0215995793742</v>
      </c>
      <c r="G56" s="2">
        <f>G12/'Output-Calculation-sheet'!G11*'Output-Calculation-sheet'!G47</f>
        <v>7183.4680398227283</v>
      </c>
      <c r="H56" s="2">
        <f>H12/'Output-Calculation-sheet'!H11*'Output-Calculation-sheet'!H47</f>
        <v>27436.762748571353</v>
      </c>
      <c r="I56" s="2">
        <f>I12/'Output-Calculation-sheet'!I11*'Output-Calculation-sheet'!I47</f>
        <v>3634.3690974940178</v>
      </c>
      <c r="J56" s="2">
        <f>J12/'Output-Calculation-sheet'!J11*'Output-Calculation-sheet'!J47</f>
        <v>3297.0961660226553</v>
      </c>
      <c r="K56" s="2">
        <f>K12/'Output-Calculation-sheet'!K11*'Output-Calculation-sheet'!K47</f>
        <v>4762.6836585645633</v>
      </c>
      <c r="L56" s="2">
        <f>L12/'Output-Calculation-sheet'!L11*'Output-Calculation-sheet'!L47</f>
        <v>2629.9012677817573</v>
      </c>
      <c r="M56" s="2">
        <f>M12/'Output-Calculation-sheet'!M11*'Output-Calculation-sheet'!M47</f>
        <v>19128.572296415285</v>
      </c>
      <c r="N56" s="2">
        <f>N12/'Output-Calculation-sheet'!N11*'Output-Calculation-sheet'!N47</f>
        <v>14608.851394374498</v>
      </c>
      <c r="O56" s="2">
        <f>O12/'Output-Calculation-sheet'!O11*'Output-Calculation-sheet'!O47</f>
        <v>1372.4241369656868</v>
      </c>
      <c r="P56" s="2">
        <f>P12/'Output-Calculation-sheet'!P11*'Output-Calculation-sheet'!P47</f>
        <v>7585.8088007150645</v>
      </c>
      <c r="Q56" s="2">
        <f>Q12/'Output-Calculation-sheet'!Q11*'Output-Calculation-sheet'!Q47</f>
        <v>3844.1606157400188</v>
      </c>
      <c r="R56" s="2">
        <f>R12/'Output-Calculation-sheet'!R11*'Output-Calculation-sheet'!R47</f>
        <v>5601.1683607417544</v>
      </c>
      <c r="S56" s="2">
        <f>S12/'Output-Calculation-sheet'!S11*'Output-Calculation-sheet'!S47</f>
        <v>7418.8209901649088</v>
      </c>
      <c r="T56" s="2">
        <f>T12/'Output-Calculation-sheet'!T11*'Output-Calculation-sheet'!T47</f>
        <v>1961.9263809074719</v>
      </c>
      <c r="U56" s="2">
        <f>U12/'Output-Calculation-sheet'!U11*'Output-Calculation-sheet'!U47</f>
        <v>1877.4696129788065</v>
      </c>
      <c r="V56" s="2">
        <f>V12/'Output-Calculation-sheet'!V11*'Output-Calculation-sheet'!V47</f>
        <v>1310.3264177808819</v>
      </c>
      <c r="W56" s="2">
        <f>W12/'Output-Calculation-sheet'!W11*'Output-Calculation-sheet'!W47</f>
        <v>745.7540104379824</v>
      </c>
      <c r="X56" s="2">
        <f>X12/'Output-Calculation-sheet'!X11*'Output-Calculation-sheet'!X47</f>
        <v>1975.3350840845819</v>
      </c>
      <c r="Y56" s="2">
        <f>Y12/'Output-Calculation-sheet'!Y11*'Output-Calculation-sheet'!Y47</f>
        <v>1011.2022198735597</v>
      </c>
      <c r="AA56" s="2">
        <f t="shared" si="3"/>
        <v>345.85117875906218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4.7325266218002033</v>
      </c>
      <c r="C60" s="2">
        <f>C5*'Output-Calculation-sheet'!C49/10^9</f>
        <v>1.9088279039896519</v>
      </c>
      <c r="D60" s="2">
        <f>D5*'Output-Calculation-sheet'!D49/10^9</f>
        <v>1.2479113103982364</v>
      </c>
      <c r="E60" s="2">
        <f>E5*'Output-Calculation-sheet'!E49/10^9</f>
        <v>1.4478570355749143</v>
      </c>
      <c r="F60" s="2">
        <f>F5*'Output-Calculation-sheet'!F49/10^9</f>
        <v>0.66495763205205372</v>
      </c>
      <c r="G60" s="2">
        <f>G5*'Output-Calculation-sheet'!G49/10^9</f>
        <v>0.52456376982493724</v>
      </c>
      <c r="H60" s="2">
        <f>H5*'Output-Calculation-sheet'!H49/10^9</f>
        <v>0.5015586382936702</v>
      </c>
      <c r="I60" s="2">
        <f>I5*'Output-Calculation-sheet'!I49/10^9</f>
        <v>0.39488767836277638</v>
      </c>
      <c r="J60" s="2">
        <f>J5*'Output-Calculation-sheet'!J49/10^9</f>
        <v>0.61200494979529396</v>
      </c>
      <c r="K60" s="2">
        <f>K5*'Output-Calculation-sheet'!K49/10^9</f>
        <v>0.33969559657159665</v>
      </c>
      <c r="L60" s="2">
        <f>L5*'Output-Calculation-sheet'!L49/10^9</f>
        <v>0.44360234327415821</v>
      </c>
      <c r="M60" s="2">
        <f>M5*'Output-Calculation-sheet'!M49/10^9</f>
        <v>0.38393605865104324</v>
      </c>
      <c r="N60" s="2">
        <f>N5*'Output-Calculation-sheet'!N49/10^9</f>
        <v>0.32138992630717933</v>
      </c>
      <c r="O60" s="2">
        <f>O5*'Output-Calculation-sheet'!O49/10^9</f>
        <v>0.32214782965874689</v>
      </c>
      <c r="P60" s="2">
        <f>P5*'Output-Calculation-sheet'!P49/10^9</f>
        <v>0.33610445220847507</v>
      </c>
      <c r="Q60" s="2">
        <f>Q5*'Output-Calculation-sheet'!Q49/10^9</f>
        <v>0.291508831213391</v>
      </c>
      <c r="R60" s="2">
        <f>R5*'Output-Calculation-sheet'!R49/10^9</f>
        <v>0.30477495988604686</v>
      </c>
      <c r="S60" s="2">
        <f>S5*'Output-Calculation-sheet'!S49/10^9</f>
        <v>0.2147449171205105</v>
      </c>
      <c r="T60" s="2">
        <f>T5*'Output-Calculation-sheet'!T49/10^9</f>
        <v>0.13358478288436523</v>
      </c>
      <c r="U60" s="2">
        <f>U5*'Output-Calculation-sheet'!U49/10^9</f>
        <v>9.8155441098423488E-2</v>
      </c>
      <c r="V60" s="2">
        <f>V5*'Output-Calculation-sheet'!V49/10^9</f>
        <v>0.1866653328911749</v>
      </c>
      <c r="W60" s="2">
        <f>W5*'Output-Calculation-sheet'!W49/10^9</f>
        <v>7.4329551844645445E-2</v>
      </c>
      <c r="X60" s="2">
        <f>X5*'Output-Calculation-sheet'!X49/10^9</f>
        <v>5.4517657013671124E-2</v>
      </c>
      <c r="Y60" s="2">
        <f>Y5*'Output-Calculation-sheet'!Y49/10^9</f>
        <v>3.9426699172199708E-2</v>
      </c>
      <c r="AA60" s="2">
        <f t="shared" ref="AA60:AA67" si="4">SUM(B60:Y60)</f>
        <v>15.579679919887363</v>
      </c>
    </row>
    <row r="61" spans="1:27" x14ac:dyDescent="0.25">
      <c r="A61" s="2">
        <v>2029</v>
      </c>
      <c r="B61" s="2">
        <f>B6*'Output-Calculation-sheet'!B50/10^9</f>
        <v>5.8230241322488219</v>
      </c>
      <c r="C61" s="2">
        <f>C6*'Output-Calculation-sheet'!C50/10^9</f>
        <v>2.4956706135048767</v>
      </c>
      <c r="D61" s="2">
        <f>D6*'Output-Calculation-sheet'!D50/10^9</f>
        <v>1.4989299605219628</v>
      </c>
      <c r="E61" s="2">
        <f>E6*'Output-Calculation-sheet'!E50/10^9</f>
        <v>1.7326290389010897</v>
      </c>
      <c r="F61" s="2">
        <f>F6*'Output-Calculation-sheet'!F50/10^9</f>
        <v>0.79947958404968023</v>
      </c>
      <c r="G61" s="2">
        <f>G6*'Output-Calculation-sheet'!G50/10^9</f>
        <v>0.62510338692268219</v>
      </c>
      <c r="H61" s="2">
        <f>H6*'Output-Calculation-sheet'!H50/10^9</f>
        <v>0.64710172834274493</v>
      </c>
      <c r="I61" s="2">
        <f>I6*'Output-Calculation-sheet'!I50/10^9</f>
        <v>0.47662973874048392</v>
      </c>
      <c r="J61" s="2">
        <f>J6*'Output-Calculation-sheet'!J50/10^9</f>
        <v>0.72115226805161692</v>
      </c>
      <c r="K61" s="2">
        <f>K6*'Output-Calculation-sheet'!K50/10^9</f>
        <v>0.41874233049484172</v>
      </c>
      <c r="L61" s="2">
        <f>L6*'Output-Calculation-sheet'!L50/10^9</f>
        <v>0.53225349243892373</v>
      </c>
      <c r="M61" s="2">
        <f>M6*'Output-Calculation-sheet'!M50/10^9</f>
        <v>0.49001028372722777</v>
      </c>
      <c r="N61" s="2">
        <f>N6*'Output-Calculation-sheet'!N50/10^9</f>
        <v>0.41751227209840053</v>
      </c>
      <c r="O61" s="2">
        <f>O6*'Output-Calculation-sheet'!O50/10^9</f>
        <v>0.43472283745547308</v>
      </c>
      <c r="P61" s="2">
        <f>P6*'Output-Calculation-sheet'!P50/10^9</f>
        <v>0.41434755793657824</v>
      </c>
      <c r="Q61" s="2">
        <f>Q6*'Output-Calculation-sheet'!Q50/10^9</f>
        <v>0.36705748239279634</v>
      </c>
      <c r="R61" s="2">
        <f>R6*'Output-Calculation-sheet'!R50/10^9</f>
        <v>0.37089122044638057</v>
      </c>
      <c r="S61" s="2">
        <f>S6*'Output-Calculation-sheet'!S50/10^9</f>
        <v>0.27191710796217078</v>
      </c>
      <c r="T61" s="2">
        <f>T6*'Output-Calculation-sheet'!T50/10^9</f>
        <v>0.15938015899136332</v>
      </c>
      <c r="U61" s="2">
        <f>U6*'Output-Calculation-sheet'!U50/10^9</f>
        <v>0.11898962464208346</v>
      </c>
      <c r="V61" s="2">
        <f>V6*'Output-Calculation-sheet'!V50/10^9</f>
        <v>0.21828204799572898</v>
      </c>
      <c r="W61" s="2">
        <f>W6*'Output-Calculation-sheet'!W50/10^9</f>
        <v>8.8074593080952224E-2</v>
      </c>
      <c r="X61" s="2">
        <f>X6*'Output-Calculation-sheet'!X50/10^9</f>
        <v>6.8759094375623803E-2</v>
      </c>
      <c r="Y61" s="2">
        <f>Y6*'Output-Calculation-sheet'!Y50/10^9</f>
        <v>4.7777096463677435E-2</v>
      </c>
      <c r="AA61" s="2">
        <f t="shared" si="4"/>
        <v>19.238437651786185</v>
      </c>
    </row>
    <row r="62" spans="1:27" x14ac:dyDescent="0.25">
      <c r="A62" s="2">
        <v>2030</v>
      </c>
      <c r="B62" s="2">
        <f>B7*'Output-Calculation-sheet'!B51/10^9</f>
        <v>6.5468753784999008</v>
      </c>
      <c r="C62" s="2">
        <f>C7*'Output-Calculation-sheet'!C51/10^9</f>
        <v>3.2536589211629336</v>
      </c>
      <c r="D62" s="2">
        <f>D7*'Output-Calculation-sheet'!D51/10^9</f>
        <v>1.6309802394373847</v>
      </c>
      <c r="E62" s="2">
        <f>E7*'Output-Calculation-sheet'!E51/10^9</f>
        <v>1.8767775071727353</v>
      </c>
      <c r="F62" s="2">
        <f>F7*'Output-Calculation-sheet'!F51/10^9</f>
        <v>0.87091549275422409</v>
      </c>
      <c r="G62" s="2">
        <f>G7*'Output-Calculation-sheet'!G51/10^9</f>
        <v>0.67363822312895216</v>
      </c>
      <c r="H62" s="2">
        <f>H7*'Output-Calculation-sheet'!H51/10^9</f>
        <v>0.82019687170554023</v>
      </c>
      <c r="I62" s="2">
        <f>I7*'Output-Calculation-sheet'!I51/10^9</f>
        <v>0.52165194029721884</v>
      </c>
      <c r="J62" s="2">
        <f>J7*'Output-Calculation-sheet'!J51/10^9</f>
        <v>0.76635689867630996</v>
      </c>
      <c r="K62" s="2">
        <f>K7*'Output-Calculation-sheet'!K51/10^9</f>
        <v>0.46970224681949979</v>
      </c>
      <c r="L62" s="2">
        <f>L7*'Output-Calculation-sheet'!L51/10^9</f>
        <v>0.57838143696816857</v>
      </c>
      <c r="M62" s="2">
        <f>M7*'Output-Calculation-sheet'!M51/10^9</f>
        <v>0.61113282077709796</v>
      </c>
      <c r="N62" s="2">
        <f>N7*'Output-Calculation-sheet'!N51/10^9</f>
        <v>0.49928753376206381</v>
      </c>
      <c r="O62" s="2">
        <f>O7*'Output-Calculation-sheet'!O51/10^9</f>
        <v>0.56811361237276481</v>
      </c>
      <c r="P62" s="2">
        <f>P7*'Output-Calculation-sheet'!P51/10^9</f>
        <v>0.46481353248536339</v>
      </c>
      <c r="Q62" s="2">
        <f>Q7*'Output-Calculation-sheet'!Q51/10^9</f>
        <v>0.42298319769711906</v>
      </c>
      <c r="R62" s="2">
        <f>R7*'Output-Calculation-sheet'!R51/10^9</f>
        <v>0.40988120642848858</v>
      </c>
      <c r="S62" s="2">
        <f>S7*'Output-Calculation-sheet'!S51/10^9</f>
        <v>0.31778009361782761</v>
      </c>
      <c r="T62" s="2">
        <f>T7*'Output-Calculation-sheet'!T51/10^9</f>
        <v>0.17200909071845374</v>
      </c>
      <c r="U62" s="2">
        <f>U7*'Output-Calculation-sheet'!U51/10^9</f>
        <v>0.13090339822213007</v>
      </c>
      <c r="V62" s="2">
        <f>V7*'Output-Calculation-sheet'!V51/10^9</f>
        <v>0.22972465608049525</v>
      </c>
      <c r="W62" s="2">
        <f>W7*'Output-Calculation-sheet'!W51/10^9</f>
        <v>9.4249671522577669E-2</v>
      </c>
      <c r="X62" s="2">
        <f>X7*'Output-Calculation-sheet'!X51/10^9</f>
        <v>8.4540314754887769E-2</v>
      </c>
      <c r="Y62" s="2">
        <f>Y7*'Output-Calculation-sheet'!Y51/10^9</f>
        <v>5.2537076193140519E-2</v>
      </c>
      <c r="AA62" s="2">
        <f t="shared" si="4"/>
        <v>22.067091361255276</v>
      </c>
    </row>
    <row r="63" spans="1:27" x14ac:dyDescent="0.25">
      <c r="A63" s="2">
        <v>2031</v>
      </c>
      <c r="B63" s="2">
        <f>B8*'Output-Calculation-sheet'!B52/10^9</f>
        <v>7.0643921914281886</v>
      </c>
      <c r="C63" s="2">
        <f>C8*'Output-Calculation-sheet'!C52/10^9</f>
        <v>4.0200082784364977</v>
      </c>
      <c r="D63" s="2">
        <f>D8*'Output-Calculation-sheet'!D52/10^9</f>
        <v>1.6540502167928925</v>
      </c>
      <c r="E63" s="2">
        <f>E8*'Output-Calculation-sheet'!E52/10^9</f>
        <v>1.8923157849186543</v>
      </c>
      <c r="F63" s="2">
        <f>F8*'Output-Calculation-sheet'!F52/10^9</f>
        <v>0.88453697694705236</v>
      </c>
      <c r="G63" s="2">
        <f>G8*'Output-Calculation-sheet'!G52/10^9</f>
        <v>0.67469373382520792</v>
      </c>
      <c r="H63" s="2">
        <f>H8*'Output-Calculation-sheet'!H52/10^9</f>
        <v>1.0085053258662531</v>
      </c>
      <c r="I63" s="2">
        <f>I8*'Output-Calculation-sheet'!I52/10^9</f>
        <v>0.53296320673932107</v>
      </c>
      <c r="J63" s="2">
        <f>J8*'Output-Calculation-sheet'!J52/10^9</f>
        <v>0.75343366485772201</v>
      </c>
      <c r="K63" s="2">
        <f>K8*'Output-Calculation-sheet'!K52/10^9</f>
        <v>0.49459096771257893</v>
      </c>
      <c r="L63" s="2">
        <f>L8*'Output-Calculation-sheet'!L52/10^9</f>
        <v>0.58557514890935969</v>
      </c>
      <c r="M63" s="2">
        <f>M8*'Output-Calculation-sheet'!M52/10^9</f>
        <v>0.73840208582112277</v>
      </c>
      <c r="N63" s="2">
        <f>N8*'Output-Calculation-sheet'!N52/10^9</f>
        <v>0.58876654941807349</v>
      </c>
      <c r="O63" s="2">
        <f>O8*'Output-Calculation-sheet'!O52/10^9</f>
        <v>0.69872279771400159</v>
      </c>
      <c r="P63" s="2">
        <f>P8*'Output-Calculation-sheet'!P52/10^9</f>
        <v>0.50300840674936642</v>
      </c>
      <c r="Q63" s="2">
        <f>Q8*'Output-Calculation-sheet'!Q52/10^9</f>
        <v>0.46919608095277182</v>
      </c>
      <c r="R63" s="2">
        <f>R8*'Output-Calculation-sheet'!R52/10^9</f>
        <v>0.42498146098178091</v>
      </c>
      <c r="S63" s="2">
        <f>S8*'Output-Calculation-sheet'!S52/10^9</f>
        <v>0.36058200644653915</v>
      </c>
      <c r="T63" s="2">
        <f>T8*'Output-Calculation-sheet'!T52/10^9</f>
        <v>0.1726114250758044</v>
      </c>
      <c r="U63" s="2">
        <f>U8*'Output-Calculation-sheet'!U52/10^9</f>
        <v>0.1346108798716015</v>
      </c>
      <c r="V63" s="2">
        <f>V8*'Output-Calculation-sheet'!V52/10^9</f>
        <v>0.22287652450990983</v>
      </c>
      <c r="W63" s="2">
        <f>W8*'Output-Calculation-sheet'!W52/10^9</f>
        <v>9.3528911556065727E-2</v>
      </c>
      <c r="X63" s="2">
        <f>X8*'Output-Calculation-sheet'!X52/10^9</f>
        <v>9.9666625468170067E-2</v>
      </c>
      <c r="Y63" s="2">
        <f>Y8*'Output-Calculation-sheet'!Y52/10^9</f>
        <v>5.4009441291180932E-2</v>
      </c>
      <c r="AA63" s="2">
        <f t="shared" si="4"/>
        <v>24.126028692290117</v>
      </c>
    </row>
    <row r="64" spans="1:27" x14ac:dyDescent="0.25">
      <c r="A64" s="2">
        <v>2032</v>
      </c>
      <c r="B64" s="2">
        <f>B9*'Output-Calculation-sheet'!B53/10^9</f>
        <v>7.451535916380867</v>
      </c>
      <c r="C64" s="2">
        <f>C9*'Output-Calculation-sheet'!C53/10^9</f>
        <v>4.6812549861410542</v>
      </c>
      <c r="D64" s="2">
        <f>D9*'Output-Calculation-sheet'!D53/10^9</f>
        <v>1.5647128748764989</v>
      </c>
      <c r="E64" s="2">
        <f>E9*'Output-Calculation-sheet'!E53/10^9</f>
        <v>1.8269942648206501</v>
      </c>
      <c r="F64" s="2">
        <f>F9*'Output-Calculation-sheet'!F53/10^9</f>
        <v>0.8383775929311813</v>
      </c>
      <c r="G64" s="2">
        <f>G9*'Output-Calculation-sheet'!G53/10^9</f>
        <v>0.62774168424640198</v>
      </c>
      <c r="H64" s="2">
        <f>H9*'Output-Calculation-sheet'!H53/10^9</f>
        <v>1.1690977010977985</v>
      </c>
      <c r="I64" s="2">
        <f>I9*'Output-Calculation-sheet'!I53/10^9</f>
        <v>0.5090555406342252</v>
      </c>
      <c r="J64" s="2">
        <f>J9*'Output-Calculation-sheet'!J53/10^9</f>
        <v>0.68326189345662103</v>
      </c>
      <c r="K64" s="2">
        <f>K9*'Output-Calculation-sheet'!K53/10^9</f>
        <v>0.50439868565324486</v>
      </c>
      <c r="L64" s="2">
        <f>L9*'Output-Calculation-sheet'!L53/10^9</f>
        <v>0.56627373069741949</v>
      </c>
      <c r="M64" s="2">
        <f>M9*'Output-Calculation-sheet'!M53/10^9</f>
        <v>0.84308352366779427</v>
      </c>
      <c r="N64" s="2">
        <f>N9*'Output-Calculation-sheet'!N53/10^9</f>
        <v>0.68903818725592658</v>
      </c>
      <c r="O64" s="2">
        <f>O9*'Output-Calculation-sheet'!O53/10^9</f>
        <v>0.81398108046368356</v>
      </c>
      <c r="P64" s="2">
        <f>P9*'Output-Calculation-sheet'!P53/10^9</f>
        <v>0.53820891405950155</v>
      </c>
      <c r="Q64" s="2">
        <f>Q9*'Output-Calculation-sheet'!Q53/10^9</f>
        <v>0.51051702346500083</v>
      </c>
      <c r="R64" s="2">
        <f>R9*'Output-Calculation-sheet'!R53/10^9</f>
        <v>0.43430608354251282</v>
      </c>
      <c r="S64" s="2">
        <f>S9*'Output-Calculation-sheet'!S53/10^9</f>
        <v>0.40830548217528523</v>
      </c>
      <c r="T64" s="2">
        <f>T9*'Output-Calculation-sheet'!T53/10^9</f>
        <v>0.16235247074494902</v>
      </c>
      <c r="U64" s="2">
        <f>U9*'Output-Calculation-sheet'!U53/10^9</f>
        <v>0.13832339833278776</v>
      </c>
      <c r="V64" s="2">
        <f>V9*'Output-Calculation-sheet'!V53/10^9</f>
        <v>0.2016018714982884</v>
      </c>
      <c r="W64" s="2">
        <f>W9*'Output-Calculation-sheet'!W53/10^9</f>
        <v>8.592946281122317E-2</v>
      </c>
      <c r="X64" s="2">
        <f>X9*'Output-Calculation-sheet'!X53/10^9</f>
        <v>0.11106749671641568</v>
      </c>
      <c r="Y64" s="2">
        <f>Y9*'Output-Calculation-sheet'!Y53/10^9</f>
        <v>5.4655903035950665E-2</v>
      </c>
      <c r="AA64" s="2">
        <f t="shared" si="4"/>
        <v>25.414075768705285</v>
      </c>
    </row>
    <row r="65" spans="1:27" x14ac:dyDescent="0.25">
      <c r="A65" s="2">
        <v>2033</v>
      </c>
      <c r="B65" s="2">
        <f>B10*'Output-Calculation-sheet'!B54/10^9</f>
        <v>8.0255742762122662</v>
      </c>
      <c r="C65" s="2">
        <f>C10*'Output-Calculation-sheet'!C54/10^9</f>
        <v>5.2746019863976876</v>
      </c>
      <c r="D65" s="2">
        <f>D10*'Output-Calculation-sheet'!D54/10^9</f>
        <v>1.430528247744161</v>
      </c>
      <c r="E65" s="2">
        <f>E10*'Output-Calculation-sheet'!E54/10^9</f>
        <v>1.821806111384322</v>
      </c>
      <c r="F65" s="2">
        <f>F10*'Output-Calculation-sheet'!F54/10^9</f>
        <v>0.78284580556665573</v>
      </c>
      <c r="G65" s="2">
        <f>G10*'Output-Calculation-sheet'!G54/10^9</f>
        <v>0.55734757212984121</v>
      </c>
      <c r="H65" s="2">
        <f>H10*'Output-Calculation-sheet'!H54/10^9</f>
        <v>1.3096129586203429</v>
      </c>
      <c r="I65" s="2">
        <f>I10*'Output-Calculation-sheet'!I54/10^9</f>
        <v>0.48867735743047475</v>
      </c>
      <c r="J65" s="2">
        <f>J10*'Output-Calculation-sheet'!J54/10^9</f>
        <v>0.57818290040879805</v>
      </c>
      <c r="K65" s="2">
        <f>K10*'Output-Calculation-sheet'!K54/10^9</f>
        <v>0.54103256877899242</v>
      </c>
      <c r="L65" s="2">
        <f>L10*'Output-Calculation-sheet'!L54/10^9</f>
        <v>0.55798393084902287</v>
      </c>
      <c r="M65" s="2">
        <f>M10*'Output-Calculation-sheet'!M54/10^9</f>
        <v>0.93121660485283042</v>
      </c>
      <c r="N65" s="2">
        <f>N10*'Output-Calculation-sheet'!N54/10^9</f>
        <v>0.79349245310875571</v>
      </c>
      <c r="O65" s="2">
        <f>O10*'Output-Calculation-sheet'!O54/10^9</f>
        <v>0.92327700974130011</v>
      </c>
      <c r="P65" s="2">
        <f>P10*'Output-Calculation-sheet'!P54/10^9</f>
        <v>0.58533762756975838</v>
      </c>
      <c r="Q65" s="2">
        <f>Q10*'Output-Calculation-sheet'!Q54/10^9</f>
        <v>0.57760833005673673</v>
      </c>
      <c r="R65" s="2">
        <f>R10*'Output-Calculation-sheet'!R54/10^9</f>
        <v>0.45790362881889174</v>
      </c>
      <c r="S65" s="2">
        <f>S10*'Output-Calculation-sheet'!S54/10^9</f>
        <v>0.4595773978284679</v>
      </c>
      <c r="T65" s="2">
        <f>T10*'Output-Calculation-sheet'!T54/10^9</f>
        <v>0.15506354089535504</v>
      </c>
      <c r="U65" s="2">
        <f>U10*'Output-Calculation-sheet'!U54/10^9</f>
        <v>0.14892829646058511</v>
      </c>
      <c r="V65" s="2">
        <f>V10*'Output-Calculation-sheet'!V54/10^9</f>
        <v>0.17547200705422983</v>
      </c>
      <c r="W65" s="2">
        <f>W10*'Output-Calculation-sheet'!W54/10^9</f>
        <v>7.4993284154164772E-2</v>
      </c>
      <c r="X65" s="2">
        <f>X10*'Output-Calculation-sheet'!X54/10^9</f>
        <v>0.12054901125143368</v>
      </c>
      <c r="Y65" s="2">
        <f>Y10*'Output-Calculation-sheet'!Y54/10^9</f>
        <v>5.8175621931684574E-2</v>
      </c>
      <c r="AA65" s="2">
        <f t="shared" si="4"/>
        <v>26.829788529246759</v>
      </c>
    </row>
    <row r="66" spans="1:27" x14ac:dyDescent="0.25">
      <c r="A66" s="2">
        <v>2034</v>
      </c>
      <c r="B66" s="2">
        <f>B11*'Output-Calculation-sheet'!B55/10^9</f>
        <v>8.8049962828203387</v>
      </c>
      <c r="C66" s="2">
        <f>C11*'Output-Calculation-sheet'!C55/10^9</f>
        <v>5.8517959311055296</v>
      </c>
      <c r="D66" s="2">
        <f>D11*'Output-Calculation-sheet'!D55/10^9</f>
        <v>1.5929699899105356</v>
      </c>
      <c r="E66" s="2">
        <f>E11*'Output-Calculation-sheet'!E55/10^9</f>
        <v>2.0631505885558981</v>
      </c>
      <c r="F66" s="2">
        <f>F11*'Output-Calculation-sheet'!F55/10^9</f>
        <v>0.81195011104860138</v>
      </c>
      <c r="G66" s="2">
        <f>G11*'Output-Calculation-sheet'!G55/10^9</f>
        <v>0.5923503568849775</v>
      </c>
      <c r="H66" s="2">
        <f>H11*'Output-Calculation-sheet'!H55/10^9</f>
        <v>1.4782601162195879</v>
      </c>
      <c r="I66" s="2">
        <f>I11*'Output-Calculation-sheet'!I55/10^9</f>
        <v>0.55065793937202023</v>
      </c>
      <c r="J66" s="2">
        <f>J11*'Output-Calculation-sheet'!J55/10^9</f>
        <v>0.5544344547623673</v>
      </c>
      <c r="K66" s="2">
        <f>K11*'Output-Calculation-sheet'!K55/10^9</f>
        <v>0.63127346023758169</v>
      </c>
      <c r="L66" s="2">
        <f>L11*'Output-Calculation-sheet'!L55/10^9</f>
        <v>0.61201168688102858</v>
      </c>
      <c r="M66" s="2">
        <f>M11*'Output-Calculation-sheet'!M55/10^9</f>
        <v>1.038938826494872</v>
      </c>
      <c r="N66" s="2">
        <f>N11*'Output-Calculation-sheet'!N55/10^9</f>
        <v>0.90316947589899088</v>
      </c>
      <c r="O66" s="2">
        <f>O11*'Output-Calculation-sheet'!O55/10^9</f>
        <v>1.0297356359702712</v>
      </c>
      <c r="P66" s="2">
        <f>P11*'Output-Calculation-sheet'!P55/10^9</f>
        <v>0.66030751106717389</v>
      </c>
      <c r="Q66" s="2">
        <f>Q11*'Output-Calculation-sheet'!Q55/10^9</f>
        <v>0.67919507410421975</v>
      </c>
      <c r="R66" s="2">
        <f>R11*'Output-Calculation-sheet'!R55/10^9</f>
        <v>0.5025238096382979</v>
      </c>
      <c r="S66" s="2">
        <f>S11*'Output-Calculation-sheet'!S55/10^9</f>
        <v>0.52165066238194735</v>
      </c>
      <c r="T66" s="2">
        <f>T11*'Output-Calculation-sheet'!T55/10^9</f>
        <v>0.1574507615505992</v>
      </c>
      <c r="U66" s="2">
        <f>U11*'Output-Calculation-sheet'!U55/10^9</f>
        <v>0.17136436358993329</v>
      </c>
      <c r="V66" s="2">
        <f>V11*'Output-Calculation-sheet'!V55/10^9</f>
        <v>0.14880551928463639</v>
      </c>
      <c r="W66" s="2">
        <f>W11*'Output-Calculation-sheet'!W55/10^9</f>
        <v>7.2900398396139029E-2</v>
      </c>
      <c r="X66" s="2">
        <f>X11*'Output-Calculation-sheet'!X55/10^9</f>
        <v>0.13622769343515245</v>
      </c>
      <c r="Y66" s="2">
        <f>Y11*'Output-Calculation-sheet'!Y55/10^9</f>
        <v>6.9947501266631643E-2</v>
      </c>
      <c r="AA66" s="2">
        <f t="shared" si="4"/>
        <v>29.636068150877342</v>
      </c>
    </row>
    <row r="67" spans="1:27" x14ac:dyDescent="0.25">
      <c r="A67" s="2">
        <v>2035</v>
      </c>
      <c r="B67" s="2">
        <f>B12*'Output-Calculation-sheet'!B56/10^9</f>
        <v>10.170353982893023</v>
      </c>
      <c r="C67" s="2">
        <f>C12*'Output-Calculation-sheet'!C56/10^9</f>
        <v>6.4269050341784295</v>
      </c>
      <c r="D67" s="2">
        <f>D12*'Output-Calculation-sheet'!D56/10^9</f>
        <v>2.0172859109544152</v>
      </c>
      <c r="E67" s="2">
        <f>E12*'Output-Calculation-sheet'!E56/10^9</f>
        <v>2.7587509346911698</v>
      </c>
      <c r="F67" s="2">
        <f>F12*'Output-Calculation-sheet'!F56/10^9</f>
        <v>1.0812470051118925</v>
      </c>
      <c r="G67" s="2">
        <f>G12*'Output-Calculation-sheet'!G56/10^9</f>
        <v>0.79777506626537087</v>
      </c>
      <c r="H67" s="2">
        <f>H12*'Output-Calculation-sheet'!H56/10^9</f>
        <v>1.6963934337037923</v>
      </c>
      <c r="I67" s="2">
        <f>I12*'Output-Calculation-sheet'!I56/10^9</f>
        <v>0.73095849699920978</v>
      </c>
      <c r="J67" s="2">
        <f>J12*'Output-Calculation-sheet'!J56/10^9</f>
        <v>0.66870266839315295</v>
      </c>
      <c r="K67" s="2">
        <f>K12*'Output-Calculation-sheet'!K56/10^9</f>
        <v>0.80118952236140639</v>
      </c>
      <c r="L67" s="2">
        <f>L12*'Output-Calculation-sheet'!L56/10^9</f>
        <v>0.74694892376804023</v>
      </c>
      <c r="M67" s="2">
        <f>M12*'Output-Calculation-sheet'!M56/10^9</f>
        <v>1.2002814001823696</v>
      </c>
      <c r="N67" s="2">
        <f>N12*'Output-Calculation-sheet'!N56/10^9</f>
        <v>1.0251515878396251</v>
      </c>
      <c r="O67" s="2">
        <f>O12*'Output-Calculation-sheet'!O56/10^9</f>
        <v>1.1338603066894795</v>
      </c>
      <c r="P67" s="2">
        <f>P12*'Output-Calculation-sheet'!P56/10^9</f>
        <v>0.83193395257621139</v>
      </c>
      <c r="Q67" s="2">
        <f>Q12*'Output-Calculation-sheet'!Q56/10^9</f>
        <v>0.78588661266271909</v>
      </c>
      <c r="R67" s="2">
        <f>R12*'Output-Calculation-sheet'!R56/10^9</f>
        <v>0.61710977727518235</v>
      </c>
      <c r="S67" s="2">
        <f>S12*'Output-Calculation-sheet'!S56/10^9</f>
        <v>0.59572076393675644</v>
      </c>
      <c r="T67" s="2">
        <f>T12*'Output-Calculation-sheet'!T56/10^9</f>
        <v>0.19189623652027893</v>
      </c>
      <c r="U67" s="2">
        <f>U12*'Output-Calculation-sheet'!U56/10^9</f>
        <v>0.2074672674744209</v>
      </c>
      <c r="V67" s="2">
        <f>V12*'Output-Calculation-sheet'!V56/10^9</f>
        <v>0.1481062423848781</v>
      </c>
      <c r="W67" s="2">
        <f>W12*'Output-Calculation-sheet'!W56/10^9</f>
        <v>0.10043285594317378</v>
      </c>
      <c r="X67" s="2">
        <f>X12*'Output-Calculation-sheet'!X56/10^9</f>
        <v>0.15590814715426007</v>
      </c>
      <c r="Y67" s="2">
        <f>Y12*'Output-Calculation-sheet'!Y56/10^9</f>
        <v>9.3714054686447668E-2</v>
      </c>
      <c r="AA67" s="2">
        <f t="shared" si="4"/>
        <v>34.983980184645702</v>
      </c>
    </row>
    <row r="68" spans="1:27" x14ac:dyDescent="0.25">
      <c r="B68" s="2">
        <f>SUM(B60:B67)</f>
        <v>58.619278782283615</v>
      </c>
      <c r="C68" s="2">
        <f t="shared" ref="C68:Y68" si="5">SUM(C60:C67)</f>
        <v>33.912723654916661</v>
      </c>
      <c r="D68" s="2">
        <f t="shared" si="5"/>
        <v>12.637368750636087</v>
      </c>
      <c r="E68" s="2">
        <f t="shared" si="5"/>
        <v>15.420281266019435</v>
      </c>
      <c r="F68" s="2">
        <f t="shared" si="5"/>
        <v>6.7343102004613424</v>
      </c>
      <c r="G68" s="2">
        <f t="shared" si="5"/>
        <v>5.073213793228371</v>
      </c>
      <c r="H68" s="2">
        <f t="shared" si="5"/>
        <v>8.6307267738497284</v>
      </c>
      <c r="I68" s="2">
        <f t="shared" si="5"/>
        <v>4.2054818985757301</v>
      </c>
      <c r="J68" s="2">
        <f t="shared" si="5"/>
        <v>5.3375296984018821</v>
      </c>
      <c r="K68" s="2">
        <f t="shared" si="5"/>
        <v>4.2006253786297423</v>
      </c>
      <c r="L68" s="2">
        <f t="shared" si="5"/>
        <v>4.6230306937861219</v>
      </c>
      <c r="M68" s="2">
        <f t="shared" si="5"/>
        <v>6.2370016041743579</v>
      </c>
      <c r="N68" s="2">
        <f t="shared" si="5"/>
        <v>5.237807985689015</v>
      </c>
      <c r="O68" s="2">
        <f t="shared" si="5"/>
        <v>5.9245611100657207</v>
      </c>
      <c r="P68" s="2">
        <f t="shared" si="5"/>
        <v>4.3340619546524284</v>
      </c>
      <c r="Q68" s="2">
        <f t="shared" si="5"/>
        <v>4.1039526325447548</v>
      </c>
      <c r="R68" s="2">
        <f t="shared" si="5"/>
        <v>3.5223721470175811</v>
      </c>
      <c r="S68" s="2">
        <f t="shared" si="5"/>
        <v>3.1502784314695051</v>
      </c>
      <c r="T68" s="2">
        <f t="shared" si="5"/>
        <v>1.3043484673811689</v>
      </c>
      <c r="U68" s="2">
        <f t="shared" si="5"/>
        <v>1.1487426696919656</v>
      </c>
      <c r="V68" s="2">
        <f t="shared" si="5"/>
        <v>1.5315342016993416</v>
      </c>
      <c r="W68" s="2">
        <f t="shared" si="5"/>
        <v>0.68443872930894178</v>
      </c>
      <c r="X68" s="2">
        <f t="shared" si="5"/>
        <v>0.83123604016961461</v>
      </c>
      <c r="Y68" s="2">
        <f t="shared" si="5"/>
        <v>0.47024339404091314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1931.4884120842491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457.51087002872498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312.85658932672447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41.70491284410685</v>
      </c>
      <c r="Y73" s="2">
        <f>Y7/'Output-Calculation-sheet'!Y6*'Output-Calculation-sheet'!Y60</f>
        <v>0</v>
      </c>
      <c r="AA73" s="2">
        <f t="shared" si="6"/>
        <v>2.7435607842838055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4355.7029528217818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1457.2833446219202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973.13015707248326</v>
      </c>
      <c r="N74" s="2">
        <f>N8/'Output-Calculation-sheet'!N7*'Output-Calculation-sheet'!N61</f>
        <v>40.675962454765973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120.59825340546443</v>
      </c>
      <c r="Y74" s="2">
        <f>Y8/'Output-Calculation-sheet'!Y7*'Output-Calculation-sheet'!Y61</f>
        <v>0</v>
      </c>
      <c r="AA74" s="2">
        <f t="shared" si="6"/>
        <v>6.9473906703764161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8727.131947261505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2513.2634046262497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1706.2116015293161</v>
      </c>
      <c r="N75" s="2">
        <f>N9/'Output-Calculation-sheet'!N8*'Output-Calculation-sheet'!N62</f>
        <v>659.06432592535361</v>
      </c>
      <c r="O75" s="2">
        <f>O9/'Output-Calculation-sheet'!O8*'Output-Calculation-sheet'!O62</f>
        <v>0</v>
      </c>
      <c r="P75" s="2">
        <f>P9/'Output-Calculation-sheet'!P8*'Output-Calculation-sheet'!P62</f>
        <v>44.123317728076422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220.83657166334808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206.00012005937117</v>
      </c>
      <c r="Y75" s="2">
        <f>Y9/'Output-Calculation-sheet'!Y8*'Output-Calculation-sheet'!Y62</f>
        <v>0</v>
      </c>
      <c r="AA75" s="2">
        <f t="shared" si="6"/>
        <v>14.076631288793219</v>
      </c>
    </row>
    <row r="76" spans="1:27" x14ac:dyDescent="0.25">
      <c r="A76" s="2">
        <v>2033</v>
      </c>
      <c r="B76" s="2">
        <f>B10/'Output-Calculation-sheet'!B9*'Output-Calculation-sheet'!B63</f>
        <v>5704.3540695397378</v>
      </c>
      <c r="C76" s="2">
        <f>C10/'Output-Calculation-sheet'!C9*'Output-Calculation-sheet'!C63</f>
        <v>11650.898580910014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3714.7238838222324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97.362941273555421</v>
      </c>
      <c r="L76" s="2">
        <f>L10/'Output-Calculation-sheet'!L9*'Output-Calculation-sheet'!L63</f>
        <v>0</v>
      </c>
      <c r="M76" s="2">
        <f>M10/'Output-Calculation-sheet'!M9*'Output-Calculation-sheet'!M63</f>
        <v>2529.3501956418413</v>
      </c>
      <c r="N76" s="2">
        <f>N10/'Output-Calculation-sheet'!N9*'Output-Calculation-sheet'!N63</f>
        <v>1444.8768255371958</v>
      </c>
      <c r="O76" s="2">
        <f>O10/'Output-Calculation-sheet'!O9*'Output-Calculation-sheet'!O63</f>
        <v>0</v>
      </c>
      <c r="P76" s="2">
        <f>P10/'Output-Calculation-sheet'!P9*'Output-Calculation-sheet'!P63</f>
        <v>501.73495598502041</v>
      </c>
      <c r="Q76" s="2">
        <f>Q10/'Output-Calculation-sheet'!Q9*'Output-Calculation-sheet'!Q63</f>
        <v>226.30262841964063</v>
      </c>
      <c r="R76" s="2">
        <f>R10/'Output-Calculation-sheet'!R9*'Output-Calculation-sheet'!R63</f>
        <v>382.40225351472048</v>
      </c>
      <c r="S76" s="2">
        <f>S10/'Output-Calculation-sheet'!S9*'Output-Calculation-sheet'!S63</f>
        <v>642.50300102907545</v>
      </c>
      <c r="T76" s="2">
        <f>T10/'Output-Calculation-sheet'!T9*'Output-Calculation-sheet'!T63</f>
        <v>26.008679578756048</v>
      </c>
      <c r="U76" s="2">
        <f>U10/'Output-Calculation-sheet'!U9*'Output-Calculation-sheet'!U63</f>
        <v>135.12776040312957</v>
      </c>
      <c r="V76" s="2">
        <f>V10/'Output-Calculation-sheet'!V9*'Output-Calculation-sheet'!V63</f>
        <v>10.369098455183659</v>
      </c>
      <c r="W76" s="2">
        <f>W10/'Output-Calculation-sheet'!W9*'Output-Calculation-sheet'!W63</f>
        <v>0</v>
      </c>
      <c r="X76" s="2">
        <f>X10/'Output-Calculation-sheet'!X9*'Output-Calculation-sheet'!X63</f>
        <v>297.84895834372941</v>
      </c>
      <c r="Y76" s="2">
        <f>Y10/'Output-Calculation-sheet'!Y9*'Output-Calculation-sheet'!Y63</f>
        <v>5.6505766210566959</v>
      </c>
      <c r="AA76" s="2">
        <f t="shared" si="6"/>
        <v>27.369514409074892</v>
      </c>
    </row>
    <row r="77" spans="1:27" x14ac:dyDescent="0.25">
      <c r="A77" s="2">
        <v>2034</v>
      </c>
      <c r="B77" s="2">
        <f>B11/'Output-Calculation-sheet'!B10*'Output-Calculation-sheet'!B64</f>
        <v>14671.716756519998</v>
      </c>
      <c r="C77" s="2">
        <f>C11/'Output-Calculation-sheet'!C10*'Output-Calculation-sheet'!C64</f>
        <v>12888.518014461401</v>
      </c>
      <c r="D77" s="2">
        <f>D11/'Output-Calculation-sheet'!D10*'Output-Calculation-sheet'!D64</f>
        <v>1808.3592494886136</v>
      </c>
      <c r="E77" s="2">
        <f>E11/'Output-Calculation-sheet'!E10*'Output-Calculation-sheet'!E64</f>
        <v>2234.503788574094</v>
      </c>
      <c r="F77" s="2">
        <f>F11/'Output-Calculation-sheet'!F10*'Output-Calculation-sheet'!F64</f>
        <v>139.13030827637996</v>
      </c>
      <c r="G77" s="2">
        <f>G11/'Output-Calculation-sheet'!G10*'Output-Calculation-sheet'!G64</f>
        <v>954.81855597667402</v>
      </c>
      <c r="H77" s="2">
        <f>H11/'Output-Calculation-sheet'!H10*'Output-Calculation-sheet'!H64</f>
        <v>4730.6282374199855</v>
      </c>
      <c r="I77" s="2">
        <f>I11/'Output-Calculation-sheet'!I10*'Output-Calculation-sheet'!I64</f>
        <v>563.28669103323182</v>
      </c>
      <c r="J77" s="2">
        <f>J11/'Output-Calculation-sheet'!J10*'Output-Calculation-sheet'!J64</f>
        <v>401.53684873340507</v>
      </c>
      <c r="K77" s="2">
        <f>K11/'Output-Calculation-sheet'!K10*'Output-Calculation-sheet'!K64</f>
        <v>851.34742336936267</v>
      </c>
      <c r="L77" s="2">
        <f>L11/'Output-Calculation-sheet'!L10*'Output-Calculation-sheet'!L64</f>
        <v>369.65184711708645</v>
      </c>
      <c r="M77" s="2">
        <f>M11/'Output-Calculation-sheet'!M10*'Output-Calculation-sheet'!M64</f>
        <v>3364.6633971389251</v>
      </c>
      <c r="N77" s="2">
        <f>N11/'Output-Calculation-sheet'!N10*'Output-Calculation-sheet'!N64</f>
        <v>2393.8753732076248</v>
      </c>
      <c r="O77" s="2">
        <f>O11/'Output-Calculation-sheet'!O10*'Output-Calculation-sheet'!O64</f>
        <v>83.463800705744546</v>
      </c>
      <c r="P77" s="2">
        <f>P11/'Output-Calculation-sheet'!P10*'Output-Calculation-sheet'!P64</f>
        <v>1056.5678461681186</v>
      </c>
      <c r="Q77" s="2">
        <f>Q11/'Output-Calculation-sheet'!Q10*'Output-Calculation-sheet'!Q64</f>
        <v>602.89993848795791</v>
      </c>
      <c r="R77" s="2">
        <f>R11/'Output-Calculation-sheet'!R10*'Output-Calculation-sheet'!R64</f>
        <v>904.14603653688323</v>
      </c>
      <c r="S77" s="2">
        <f>S11/'Output-Calculation-sheet'!S10*'Output-Calculation-sheet'!S64</f>
        <v>1208.8939587497368</v>
      </c>
      <c r="T77" s="2">
        <f>T11/'Output-Calculation-sheet'!T10*'Output-Calculation-sheet'!T64</f>
        <v>248.74433824440268</v>
      </c>
      <c r="U77" s="2">
        <f>U11/'Output-Calculation-sheet'!U10*'Output-Calculation-sheet'!U64</f>
        <v>330.61026420612797</v>
      </c>
      <c r="V77" s="2">
        <f>V11/'Output-Calculation-sheet'!V10*'Output-Calculation-sheet'!V64</f>
        <v>131.79128781834967</v>
      </c>
      <c r="W77" s="2">
        <f>W11/'Output-Calculation-sheet'!W10*'Output-Calculation-sheet'!W64</f>
        <v>27.845590640833432</v>
      </c>
      <c r="X77" s="2">
        <f>X11/'Output-Calculation-sheet'!X10*'Output-Calculation-sheet'!X64</f>
        <v>341.88551783088985</v>
      </c>
      <c r="Y77" s="2">
        <f>Y11/'Output-Calculation-sheet'!Y10*'Output-Calculation-sheet'!Y64</f>
        <v>82.779550007767355</v>
      </c>
      <c r="AA77" s="2">
        <f t="shared" si="6"/>
        <v>50.391664620713591</v>
      </c>
    </row>
    <row r="78" spans="1:27" x14ac:dyDescent="0.25">
      <c r="A78" s="2">
        <v>2035</v>
      </c>
      <c r="B78" s="2">
        <f>B12/'Output-Calculation-sheet'!B11*'Output-Calculation-sheet'!B65</f>
        <v>19682.462506194181</v>
      </c>
      <c r="C78" s="2">
        <f>C12/'Output-Calculation-sheet'!C11*'Output-Calculation-sheet'!C65</f>
        <v>13899.337555623242</v>
      </c>
      <c r="D78" s="2">
        <f>D12/'Output-Calculation-sheet'!D11*'Output-Calculation-sheet'!D65</f>
        <v>2089.6083382182192</v>
      </c>
      <c r="E78" s="2">
        <f>E12/'Output-Calculation-sheet'!E11*'Output-Calculation-sheet'!E65</f>
        <v>3972.2899000376801</v>
      </c>
      <c r="F78" s="2">
        <f>F12/'Output-Calculation-sheet'!F11*'Output-Calculation-sheet'!F65</f>
        <v>841.40243634772298</v>
      </c>
      <c r="G78" s="2">
        <f>G12/'Output-Calculation-sheet'!G11*'Output-Calculation-sheet'!G65</f>
        <v>1578.791585127289</v>
      </c>
      <c r="H78" s="2">
        <f>H12/'Output-Calculation-sheet'!H11*'Output-Calculation-sheet'!H65</f>
        <v>5083.0861670226395</v>
      </c>
      <c r="I78" s="2">
        <f>I12/'Output-Calculation-sheet'!I11*'Output-Calculation-sheet'!I65</f>
        <v>928.37939501541643</v>
      </c>
      <c r="J78" s="2">
        <f>J12/'Output-Calculation-sheet'!J11*'Output-Calculation-sheet'!J65</f>
        <v>832.60004192491306</v>
      </c>
      <c r="K78" s="2">
        <f>K12/'Output-Calculation-sheet'!K11*'Output-Calculation-sheet'!K65</f>
        <v>1050.7009337866602</v>
      </c>
      <c r="L78" s="2">
        <f>L12/'Output-Calculation-sheet'!L11*'Output-Calculation-sheet'!L65</f>
        <v>624.73304616155644</v>
      </c>
      <c r="M78" s="2">
        <f>M12/'Output-Calculation-sheet'!M11*'Output-Calculation-sheet'!M65</f>
        <v>3618.2929002357478</v>
      </c>
      <c r="N78" s="2">
        <f>N12/'Output-Calculation-sheet'!N11*'Output-Calculation-sheet'!N65</f>
        <v>2544.2442232102085</v>
      </c>
      <c r="O78" s="2">
        <f>O12/'Output-Calculation-sheet'!O11*'Output-Calculation-sheet'!O65</f>
        <v>356.67015946176593</v>
      </c>
      <c r="P78" s="2">
        <f>P12/'Output-Calculation-sheet'!P11*'Output-Calculation-sheet'!P65</f>
        <v>1446.3759741399226</v>
      </c>
      <c r="Q78" s="2">
        <f>Q12/'Output-Calculation-sheet'!Q11*'Output-Calculation-sheet'!Q65</f>
        <v>727.512765468206</v>
      </c>
      <c r="R78" s="2">
        <f>R12/'Output-Calculation-sheet'!R11*'Output-Calculation-sheet'!R65</f>
        <v>1199.1611624331758</v>
      </c>
      <c r="S78" s="2">
        <f>S12/'Output-Calculation-sheet'!S11*'Output-Calculation-sheet'!S65</f>
        <v>1352.8388685133668</v>
      </c>
      <c r="T78" s="2">
        <f>T12/'Output-Calculation-sheet'!T11*'Output-Calculation-sheet'!T65</f>
        <v>431.19044656691329</v>
      </c>
      <c r="U78" s="2">
        <f>U12/'Output-Calculation-sheet'!U11*'Output-Calculation-sheet'!U65</f>
        <v>369.45038902405582</v>
      </c>
      <c r="V78" s="2">
        <f>V12/'Output-Calculation-sheet'!V11*'Output-Calculation-sheet'!V65</f>
        <v>232.70446136420716</v>
      </c>
      <c r="W78" s="2">
        <f>W12/'Output-Calculation-sheet'!W11*'Output-Calculation-sheet'!W65</f>
        <v>163.90117588914282</v>
      </c>
      <c r="X78" s="2">
        <f>X12/'Output-Calculation-sheet'!X11*'Output-Calculation-sheet'!X65</f>
        <v>372.92794271662211</v>
      </c>
      <c r="Y78" s="2">
        <f>Y12/'Output-Calculation-sheet'!Y11*'Output-Calculation-sheet'!Y65</f>
        <v>159.98380812855964</v>
      </c>
      <c r="AA78" s="2">
        <f t="shared" si="6"/>
        <v>63.558646182611426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76.939468295261676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89.683613056855989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0.16662308135211765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266.55601277926945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189.8770951699301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0.45643310794919956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195.4192807026995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303.71767213385436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0.49913695283655385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420.50379257624479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408.46287193832524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0.82896666451457013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893.64740650977387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34.386562944639792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23.661320223760207</v>
      </c>
      <c r="N88" s="2">
        <f>N11/'Output-Calculation-sheet'!N10*'Output-Calculation-sheet'!N73</f>
        <v>0</v>
      </c>
      <c r="O88" s="2">
        <f>O11/'Output-Calculation-sheet'!O10*'Output-Calculation-sheet'!O73</f>
        <v>499.13349356009479</v>
      </c>
      <c r="P88" s="2">
        <f>P11/'Output-Calculation-sheet'!P10*'Output-Calculation-sheet'!P73</f>
        <v>0</v>
      </c>
      <c r="Q88" s="2">
        <f>Q11/'Output-Calculation-sheet'!Q10*'Output-Calculation-sheet'!Q73</f>
        <v>20.375124653192223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2.59570515845853</v>
      </c>
      <c r="Y88" s="2">
        <f>Y11/'Output-Calculation-sheet'!Y10*'Output-Calculation-sheet'!Y73</f>
        <v>0</v>
      </c>
      <c r="AA88" s="2">
        <f t="shared" si="7"/>
        <v>1.4737996130499194</v>
      </c>
    </row>
    <row r="89" spans="1:27" x14ac:dyDescent="0.25">
      <c r="A89" s="2">
        <v>2035</v>
      </c>
      <c r="B89" s="2">
        <f>B12/'Output-Calculation-sheet'!B11*'Output-Calculation-sheet'!B74</f>
        <v>496.14233334663055</v>
      </c>
      <c r="C89" s="2">
        <f>C12/'Output-Calculation-sheet'!C11*'Output-Calculation-sheet'!C74</f>
        <v>1530.6214112807359</v>
      </c>
      <c r="D89" s="2">
        <f>D12/'Output-Calculation-sheet'!D11*'Output-Calculation-sheet'!D74</f>
        <v>208.59579118724423</v>
      </c>
      <c r="E89" s="2">
        <f>E12/'Output-Calculation-sheet'!E11*'Output-Calculation-sheet'!E74</f>
        <v>165.77801473353838</v>
      </c>
      <c r="F89" s="2">
        <f>F12/'Output-Calculation-sheet'!F11*'Output-Calculation-sheet'!F74</f>
        <v>52.13150163244876</v>
      </c>
      <c r="G89" s="2">
        <f>G12/'Output-Calculation-sheet'!G11*'Output-Calculation-sheet'!G74</f>
        <v>74.827792081486749</v>
      </c>
      <c r="H89" s="2">
        <f>H12/'Output-Calculation-sheet'!H11*'Output-Calculation-sheet'!H74</f>
        <v>181.22036161539864</v>
      </c>
      <c r="I89" s="2">
        <f>I12/'Output-Calculation-sheet'!I11*'Output-Calculation-sheet'!I74</f>
        <v>67.303131435074405</v>
      </c>
      <c r="J89" s="2">
        <f>J12/'Output-Calculation-sheet'!J11*'Output-Calculation-sheet'!J74</f>
        <v>33.304001676996521</v>
      </c>
      <c r="K89" s="2">
        <f>K12/'Output-Calculation-sheet'!K11*'Output-Calculation-sheet'!K74</f>
        <v>66.148384146730052</v>
      </c>
      <c r="L89" s="2">
        <f>L12/'Output-Calculation-sheet'!L11*'Output-Calculation-sheet'!L74</f>
        <v>52.598025355635144</v>
      </c>
      <c r="M89" s="2">
        <f>M12/'Output-Calculation-sheet'!M11*'Output-Calculation-sheet'!M74</f>
        <v>99.757873775307871</v>
      </c>
      <c r="N89" s="2">
        <f>N12/'Output-Calculation-sheet'!N11*'Output-Calculation-sheet'!N74</f>
        <v>73.534486884435395</v>
      </c>
      <c r="O89" s="2">
        <f>O12/'Output-Calculation-sheet'!O11*'Output-Calculation-sheet'!O74</f>
        <v>594.71712601846434</v>
      </c>
      <c r="P89" s="2">
        <f>P12/'Output-Calculation-sheet'!P11*'Output-Calculation-sheet'!P74</f>
        <v>45.2884107505377</v>
      </c>
      <c r="Q89" s="2">
        <f>Q12/'Output-Calculation-sheet'!Q11*'Output-Calculation-sheet'!Q74</f>
        <v>64.427272889497516</v>
      </c>
      <c r="R89" s="2">
        <f>R12/'Output-Calculation-sheet'!R11*'Output-Calculation-sheet'!R74</f>
        <v>42.594436203359351</v>
      </c>
      <c r="S89" s="2">
        <f>S12/'Output-Calculation-sheet'!S11*'Output-Calculation-sheet'!S74</f>
        <v>42.152391989573346</v>
      </c>
      <c r="T89" s="2">
        <f>T12/'Output-Calculation-sheet'!T11*'Output-Calculation-sheet'!T74</f>
        <v>7.8792224132830198</v>
      </c>
      <c r="U89" s="2">
        <f>U12/'Output-Calculation-sheet'!U11*'Output-Calculation-sheet'!U74</f>
        <v>13.704157758969391</v>
      </c>
      <c r="V89" s="2">
        <f>V12/'Output-Calculation-sheet'!V11*'Output-Calculation-sheet'!V74</f>
        <v>5.2835742652454911</v>
      </c>
      <c r="W89" s="2">
        <f>W12/'Output-Calculation-sheet'!W11*'Output-Calculation-sheet'!W74</f>
        <v>4.5751779781471313</v>
      </c>
      <c r="X89" s="2">
        <f>X12/'Output-Calculation-sheet'!X11*'Output-Calculation-sheet'!X74</f>
        <v>16.415527014553312</v>
      </c>
      <c r="Y89" s="2">
        <f>Y12/'Output-Calculation-sheet'!Y11*'Output-Calculation-sheet'!Y74</f>
        <v>5.2804293465982228</v>
      </c>
      <c r="AA89" s="2">
        <f t="shared" si="7"/>
        <v>3.9442808357798911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1629246374.5792322</v>
      </c>
      <c r="C93" s="2">
        <f>C5/'Output-Calculation-sheet'!C4*'Output-Calculation-sheet'!C76</f>
        <v>539760133.46424901</v>
      </c>
      <c r="D93" s="2">
        <f>D5/'Output-Calculation-sheet'!D4*'Output-Calculation-sheet'!D76</f>
        <v>597466261.48821986</v>
      </c>
      <c r="E93" s="2">
        <f>E5/'Output-Calculation-sheet'!E4*'Output-Calculation-sheet'!E76</f>
        <v>999744858.77362835</v>
      </c>
      <c r="F93" s="2">
        <f>F5/'Output-Calculation-sheet'!F4*'Output-Calculation-sheet'!F76</f>
        <v>429568478.24697286</v>
      </c>
      <c r="G93" s="2">
        <f>G5/'Output-Calculation-sheet'!G4*'Output-Calculation-sheet'!G76</f>
        <v>334098303.34714204</v>
      </c>
      <c r="H93" s="2">
        <f>H5/'Output-Calculation-sheet'!H4*'Output-Calculation-sheet'!H76</f>
        <v>282609225.61553085</v>
      </c>
      <c r="I93" s="2">
        <f>I5/'Output-Calculation-sheet'!I4*'Output-Calculation-sheet'!I76</f>
        <v>231901569.20781788</v>
      </c>
      <c r="J93" s="2">
        <f>J5/'Output-Calculation-sheet'!J4*'Output-Calculation-sheet'!J76</f>
        <v>157365768.15576404</v>
      </c>
      <c r="K93" s="2">
        <f>K5/'Output-Calculation-sheet'!K4*'Output-Calculation-sheet'!K76</f>
        <v>229999353.40538996</v>
      </c>
      <c r="L93" s="2">
        <f>L5/'Output-Calculation-sheet'!L4*'Output-Calculation-sheet'!L76</f>
        <v>153526242.26344407</v>
      </c>
      <c r="M93" s="2">
        <f>M5/'Output-Calculation-sheet'!M4*'Output-Calculation-sheet'!M76</f>
        <v>206464973.09713775</v>
      </c>
      <c r="N93" s="2">
        <f>N5/'Output-Calculation-sheet'!N4*'Output-Calculation-sheet'!N76</f>
        <v>155905265.13577422</v>
      </c>
      <c r="O93" s="2">
        <f>O5/'Output-Calculation-sheet'!O4*'Output-Calculation-sheet'!O76</f>
        <v>76095446.181501076</v>
      </c>
      <c r="P93" s="2">
        <f>P5/'Output-Calculation-sheet'!P4*'Output-Calculation-sheet'!P76</f>
        <v>270130008.26512927</v>
      </c>
      <c r="Q93" s="2">
        <f>Q5/'Output-Calculation-sheet'!Q4*'Output-Calculation-sheet'!Q76</f>
        <v>124015686.12279825</v>
      </c>
      <c r="R93" s="2">
        <f>R5/'Output-Calculation-sheet'!R4*'Output-Calculation-sheet'!R76</f>
        <v>155177627.20317355</v>
      </c>
      <c r="S93" s="2">
        <f>S5/'Output-Calculation-sheet'!S4*'Output-Calculation-sheet'!S76</f>
        <v>91420680.882570475</v>
      </c>
      <c r="T93" s="2">
        <f>T5/'Output-Calculation-sheet'!T4*'Output-Calculation-sheet'!T76</f>
        <v>70299511.893065676</v>
      </c>
      <c r="U93" s="2">
        <f>U5/'Output-Calculation-sheet'!U4*'Output-Calculation-sheet'!U76</f>
        <v>45574782.200702898</v>
      </c>
      <c r="V93" s="2">
        <f>V5/'Output-Calculation-sheet'!V4*'Output-Calculation-sheet'!V76</f>
        <v>23360222.420539867</v>
      </c>
      <c r="W93" s="2">
        <f>W5/'Output-Calculation-sheet'!W4*'Output-Calculation-sheet'!W76</f>
        <v>65435100.510446936</v>
      </c>
      <c r="X93" s="2">
        <f>X5/'Output-Calculation-sheet'!X4*'Output-Calculation-sheet'!X76</f>
        <v>22710849.810509179</v>
      </c>
      <c r="Y93" s="2">
        <f>Y5/'Output-Calculation-sheet'!Y4*'Output-Calculation-sheet'!Y76</f>
        <v>35772196.627414413</v>
      </c>
      <c r="AA93" s="2">
        <f t="shared" ref="AA93:AA100" si="8">SUM(B93:Y93)/10^9</f>
        <v>6.9276489188981536</v>
      </c>
    </row>
    <row r="94" spans="1:27" x14ac:dyDescent="0.25">
      <c r="A94" s="2">
        <v>2029</v>
      </c>
      <c r="B94" s="2">
        <f>B6/'Output-Calculation-sheet'!B5*'Output-Calculation-sheet'!B77</f>
        <v>4248991140.1462688</v>
      </c>
      <c r="C94" s="2">
        <f>C6/'Output-Calculation-sheet'!C5*'Output-Calculation-sheet'!C77</f>
        <v>1417228436.9684463</v>
      </c>
      <c r="D94" s="2">
        <f>D6/'Output-Calculation-sheet'!D5*'Output-Calculation-sheet'!D77</f>
        <v>1559324056.9586747</v>
      </c>
      <c r="E94" s="2">
        <f>E6/'Output-Calculation-sheet'!E5*'Output-Calculation-sheet'!E77</f>
        <v>2652057527.8578758</v>
      </c>
      <c r="F94" s="2">
        <f>F6/'Output-Calculation-sheet'!F5*'Output-Calculation-sheet'!F77</f>
        <v>1119745954.2854421</v>
      </c>
      <c r="G94" s="2">
        <f>G6/'Output-Calculation-sheet'!G5*'Output-Calculation-sheet'!G77</f>
        <v>883016422.89512682</v>
      </c>
      <c r="H94" s="2">
        <f>H6/'Output-Calculation-sheet'!H5*'Output-Calculation-sheet'!H77</f>
        <v>742166857.0713712</v>
      </c>
      <c r="I94" s="2">
        <f>I6/'Output-Calculation-sheet'!I5*'Output-Calculation-sheet'!I77</f>
        <v>603035751.25771022</v>
      </c>
      <c r="J94" s="2">
        <f>J6/'Output-Calculation-sheet'!J5*'Output-Calculation-sheet'!J77</f>
        <v>414280959.45719826</v>
      </c>
      <c r="K94" s="2">
        <f>K6/'Output-Calculation-sheet'!K5*'Output-Calculation-sheet'!K77</f>
        <v>596892926.52941906</v>
      </c>
      <c r="L94" s="2">
        <f>L6/'Output-Calculation-sheet'!L5*'Output-Calculation-sheet'!L77</f>
        <v>403401186.66627371</v>
      </c>
      <c r="M94" s="2">
        <f>M6/'Output-Calculation-sheet'!M5*'Output-Calculation-sheet'!M77</f>
        <v>547013898.45106816</v>
      </c>
      <c r="N94" s="2">
        <f>N6/'Output-Calculation-sheet'!N5*'Output-Calculation-sheet'!N77</f>
        <v>413819430.23757708</v>
      </c>
      <c r="O94" s="2">
        <f>O6/'Output-Calculation-sheet'!O5*'Output-Calculation-sheet'!O77</f>
        <v>203244792.26279789</v>
      </c>
      <c r="P94" s="2">
        <f>P6/'Output-Calculation-sheet'!P5*'Output-Calculation-sheet'!P77</f>
        <v>707704331.91354501</v>
      </c>
      <c r="Q94" s="2">
        <f>Q6/'Output-Calculation-sheet'!Q5*'Output-Calculation-sheet'!Q77</f>
        <v>326932133.67693597</v>
      </c>
      <c r="R94" s="2">
        <f>R6/'Output-Calculation-sheet'!R5*'Output-Calculation-sheet'!R77</f>
        <v>405903386.49793798</v>
      </c>
      <c r="S94" s="2">
        <f>S6/'Output-Calculation-sheet'!S5*'Output-Calculation-sheet'!S77</f>
        <v>238331140.03725183</v>
      </c>
      <c r="T94" s="2">
        <f>T6/'Output-Calculation-sheet'!T5*'Output-Calculation-sheet'!T77</f>
        <v>183849036.31867337</v>
      </c>
      <c r="U94" s="2">
        <f>U6/'Output-Calculation-sheet'!U5*'Output-Calculation-sheet'!U77</f>
        <v>116379427.17650668</v>
      </c>
      <c r="V94" s="2">
        <f>V6/'Output-Calculation-sheet'!V5*'Output-Calculation-sheet'!V77</f>
        <v>59693977.66134657</v>
      </c>
      <c r="W94" s="2">
        <f>W6/'Output-Calculation-sheet'!W5*'Output-Calculation-sheet'!W77</f>
        <v>173214548.15327573</v>
      </c>
      <c r="X94" s="2">
        <f>X6/'Output-Calculation-sheet'!X5*'Output-Calculation-sheet'!X77</f>
        <v>59901127.037608653</v>
      </c>
      <c r="Y94" s="2">
        <f>Y6/'Output-Calculation-sheet'!Y5*'Output-Calculation-sheet'!Y77</f>
        <v>94974270.172473267</v>
      </c>
      <c r="AA94" s="2">
        <f t="shared" si="8"/>
        <v>18.171102719690804</v>
      </c>
    </row>
    <row r="95" spans="1:27" x14ac:dyDescent="0.25">
      <c r="A95" s="2">
        <v>2030</v>
      </c>
      <c r="B95" s="2">
        <f>B7/'Output-Calculation-sheet'!B6*'Output-Calculation-sheet'!B78</f>
        <v>7622328020.5885344</v>
      </c>
      <c r="C95" s="2">
        <f>C7/'Output-Calculation-sheet'!C6*'Output-Calculation-sheet'!C78</f>
        <v>2559416802.8664169</v>
      </c>
      <c r="D95" s="2">
        <f>D7/'Output-Calculation-sheet'!D6*'Output-Calculation-sheet'!D78</f>
        <v>2801901360.943625</v>
      </c>
      <c r="E95" s="2">
        <f>E7/'Output-Calculation-sheet'!E6*'Output-Calculation-sheet'!E78</f>
        <v>4843783956.8494005</v>
      </c>
      <c r="F95" s="2">
        <f>F7/'Output-Calculation-sheet'!F6*'Output-Calculation-sheet'!F78</f>
        <v>2008323607.602324</v>
      </c>
      <c r="G95" s="2">
        <f>G7/'Output-Calculation-sheet'!G6*'Output-Calculation-sheet'!G78</f>
        <v>1606733832.0526998</v>
      </c>
      <c r="H95" s="2">
        <f>H7/'Output-Calculation-sheet'!H6*'Output-Calculation-sheet'!H78</f>
        <v>1340954957.3614662</v>
      </c>
      <c r="I95" s="2">
        <f>I7/'Output-Calculation-sheet'!I6*'Output-Calculation-sheet'!I78</f>
        <v>1079178861.6099992</v>
      </c>
      <c r="J95" s="2">
        <f>J7/'Output-Calculation-sheet'!J6*'Output-Calculation-sheet'!J78</f>
        <v>750951927.84988725</v>
      </c>
      <c r="K95" s="2">
        <f>K7/'Output-Calculation-sheet'!K6*'Output-Calculation-sheet'!K78</f>
        <v>1065953799.0144868</v>
      </c>
      <c r="L95" s="2">
        <f>L7/'Output-Calculation-sheet'!L6*'Output-Calculation-sheet'!L78</f>
        <v>729509653.29521561</v>
      </c>
      <c r="M95" s="2">
        <f>M7/'Output-Calculation-sheet'!M6*'Output-Calculation-sheet'!M78</f>
        <v>997707111.165254</v>
      </c>
      <c r="N95" s="2">
        <f>N7/'Output-Calculation-sheet'!N6*'Output-Calculation-sheet'!N78</f>
        <v>756275572.99651313</v>
      </c>
      <c r="O95" s="2">
        <f>O7/'Output-Calculation-sheet'!O6*'Output-Calculation-sheet'!O78</f>
        <v>373667521.16483265</v>
      </c>
      <c r="P95" s="2">
        <f>P7/'Output-Calculation-sheet'!P6*'Output-Calculation-sheet'!P78</f>
        <v>1275443685.135396</v>
      </c>
      <c r="Q95" s="2">
        <f>Q7/'Output-Calculation-sheet'!Q6*'Output-Calculation-sheet'!Q78</f>
        <v>593325787.36160111</v>
      </c>
      <c r="R95" s="2">
        <f>R7/'Output-Calculation-sheet'!R6*'Output-Calculation-sheet'!R78</f>
        <v>730508225.01357377</v>
      </c>
      <c r="S95" s="2">
        <f>S7/'Output-Calculation-sheet'!S6*'Output-Calculation-sheet'!S78</f>
        <v>427431739.34490931</v>
      </c>
      <c r="T95" s="2">
        <f>T7/'Output-Calculation-sheet'!T6*'Output-Calculation-sheet'!T78</f>
        <v>330867905.35257918</v>
      </c>
      <c r="U95" s="2">
        <f>U7/'Output-Calculation-sheet'!U6*'Output-Calculation-sheet'!U78</f>
        <v>204254186.57971448</v>
      </c>
      <c r="V95" s="2">
        <f>V7/'Output-Calculation-sheet'!V6*'Output-Calculation-sheet'!V78</f>
        <v>104826703.04075125</v>
      </c>
      <c r="W95" s="2">
        <f>W7/'Output-Calculation-sheet'!W6*'Output-Calculation-sheet'!W78</f>
        <v>315675389.25910026</v>
      </c>
      <c r="X95" s="2">
        <f>X7/'Output-Calculation-sheet'!X6*'Output-Calculation-sheet'!X78</f>
        <v>108772444.86513057</v>
      </c>
      <c r="Y95" s="2">
        <f>Y7/'Output-Calculation-sheet'!Y6*'Output-Calculation-sheet'!Y78</f>
        <v>173608059.39965627</v>
      </c>
      <c r="AA95" s="2">
        <f t="shared" si="8"/>
        <v>32.80140111071308</v>
      </c>
    </row>
    <row r="96" spans="1:27" x14ac:dyDescent="0.25">
      <c r="A96" s="2">
        <v>2031</v>
      </c>
      <c r="B96" s="2">
        <f>B8/'Output-Calculation-sheet'!B7*'Output-Calculation-sheet'!B79</f>
        <v>11722739051.15123</v>
      </c>
      <c r="C96" s="2">
        <f>C8/'Output-Calculation-sheet'!C7*'Output-Calculation-sheet'!C79</f>
        <v>3965855898.931675</v>
      </c>
      <c r="D96" s="2">
        <f>D8/'Output-Calculation-sheet'!D7*'Output-Calculation-sheet'!D79</f>
        <v>4140092376.3420048</v>
      </c>
      <c r="E96" s="2">
        <f>E8/'Output-Calculation-sheet'!E7*'Output-Calculation-sheet'!E79</f>
        <v>7360731737.2926435</v>
      </c>
      <c r="F96" s="2">
        <f>F8/'Output-Calculation-sheet'!F7*'Output-Calculation-sheet'!F79</f>
        <v>3046534331.9588084</v>
      </c>
      <c r="G96" s="2">
        <f>G8/'Output-Calculation-sheet'!G7*'Output-Calculation-sheet'!G79</f>
        <v>2372999735.7571106</v>
      </c>
      <c r="H96" s="2">
        <f>H8/'Output-Calculation-sheet'!H7*'Output-Calculation-sheet'!H79</f>
        <v>2031153757.9324205</v>
      </c>
      <c r="I96" s="2">
        <f>I8/'Output-Calculation-sheet'!I7*'Output-Calculation-sheet'!I79</f>
        <v>1653046596.0832644</v>
      </c>
      <c r="J96" s="2">
        <f>J8/'Output-Calculation-sheet'!J7*'Output-Calculation-sheet'!J79</f>
        <v>1117832805.5709</v>
      </c>
      <c r="K96" s="2">
        <f>K8/'Output-Calculation-sheet'!K7*'Output-Calculation-sheet'!K79</f>
        <v>1599285289.7270441</v>
      </c>
      <c r="L96" s="2">
        <f>L8/'Output-Calculation-sheet'!L7*'Output-Calculation-sheet'!L79</f>
        <v>1128454308.8467669</v>
      </c>
      <c r="M96" s="2">
        <f>M8/'Output-Calculation-sheet'!M7*'Output-Calculation-sheet'!M79</f>
        <v>1516216997.4743042</v>
      </c>
      <c r="N96" s="2">
        <f>N8/'Output-Calculation-sheet'!N7*'Output-Calculation-sheet'!N79</f>
        <v>1128186200.9576471</v>
      </c>
      <c r="O96" s="2">
        <f>O8/'Output-Calculation-sheet'!O7*'Output-Calculation-sheet'!O79</f>
        <v>570336765.22611713</v>
      </c>
      <c r="P96" s="2">
        <f>P8/'Output-Calculation-sheet'!P7*'Output-Calculation-sheet'!P79</f>
        <v>1907656860.315778</v>
      </c>
      <c r="Q96" s="2">
        <f>Q8/'Output-Calculation-sheet'!Q7*'Output-Calculation-sheet'!Q79</f>
        <v>889049692.16422069</v>
      </c>
      <c r="R96" s="2">
        <f>R8/'Output-Calculation-sheet'!R7*'Output-Calculation-sheet'!R79</f>
        <v>1109195175.7025712</v>
      </c>
      <c r="S96" s="2">
        <f>S8/'Output-Calculation-sheet'!S7*'Output-Calculation-sheet'!S79</f>
        <v>646310063.61828518</v>
      </c>
      <c r="T96" s="2">
        <f>T8/'Output-Calculation-sheet'!T7*'Output-Calculation-sheet'!T79</f>
        <v>493632099.54963821</v>
      </c>
      <c r="U96" s="2">
        <f>U8/'Output-Calculation-sheet'!U7*'Output-Calculation-sheet'!U79</f>
        <v>310086998.15474534</v>
      </c>
      <c r="V96" s="2">
        <f>V8/'Output-Calculation-sheet'!V7*'Output-Calculation-sheet'!V79</f>
        <v>160889304.89036381</v>
      </c>
      <c r="W96" s="2">
        <f>W8/'Output-Calculation-sheet'!W7*'Output-Calculation-sheet'!W79</f>
        <v>475414852.20714098</v>
      </c>
      <c r="X96" s="2">
        <f>X8/'Output-Calculation-sheet'!X7*'Output-Calculation-sheet'!X79</f>
        <v>167094866.54506513</v>
      </c>
      <c r="Y96" s="2">
        <f>Y8/'Output-Calculation-sheet'!Y7*'Output-Calculation-sheet'!Y79</f>
        <v>261334067.19070464</v>
      </c>
      <c r="AA96" s="2">
        <f t="shared" si="8"/>
        <v>49.774129833590465</v>
      </c>
    </row>
    <row r="97" spans="1:27" x14ac:dyDescent="0.25">
      <c r="A97" s="2">
        <v>2032</v>
      </c>
      <c r="B97" s="2">
        <f>B9/'Output-Calculation-sheet'!B8*'Output-Calculation-sheet'!B80</f>
        <v>16105182686.346552</v>
      </c>
      <c r="C97" s="2">
        <f>C9/'Output-Calculation-sheet'!C8*'Output-Calculation-sheet'!C80</f>
        <v>5485512033.4831085</v>
      </c>
      <c r="D97" s="2">
        <f>D9/'Output-Calculation-sheet'!D8*'Output-Calculation-sheet'!D80</f>
        <v>5465778764.9796839</v>
      </c>
      <c r="E97" s="2">
        <f>E9/'Output-Calculation-sheet'!E8*'Output-Calculation-sheet'!E80</f>
        <v>9996091671.4826813</v>
      </c>
      <c r="F97" s="2">
        <f>F9/'Output-Calculation-sheet'!F8*'Output-Calculation-sheet'!F80</f>
        <v>4129386279.1588559</v>
      </c>
      <c r="G97" s="2">
        <f>G9/'Output-Calculation-sheet'!G8*'Output-Calculation-sheet'!G80</f>
        <v>3125718543.4627495</v>
      </c>
      <c r="H97" s="2">
        <f>H9/'Output-Calculation-sheet'!H8*'Output-Calculation-sheet'!H80</f>
        <v>2750000978.6135416</v>
      </c>
      <c r="I97" s="2">
        <f>I9/'Output-Calculation-sheet'!I8*'Output-Calculation-sheet'!I80</f>
        <v>2262131011.6401811</v>
      </c>
      <c r="J97" s="2">
        <f>J9/'Output-Calculation-sheet'!J8*'Output-Calculation-sheet'!J80</f>
        <v>1487142344.4970279</v>
      </c>
      <c r="K97" s="2">
        <f>K9/'Output-Calculation-sheet'!K8*'Output-Calculation-sheet'!K80</f>
        <v>2144029021.2579038</v>
      </c>
      <c r="L97" s="2">
        <f>L9/'Output-Calculation-sheet'!L8*'Output-Calculation-sheet'!L80</f>
        <v>1560497965.5363095</v>
      </c>
      <c r="M97" s="2">
        <f>M9/'Output-Calculation-sheet'!M8*'Output-Calculation-sheet'!M80</f>
        <v>2058902483.9174702</v>
      </c>
      <c r="N97" s="2">
        <f>N9/'Output-Calculation-sheet'!N8*'Output-Calculation-sheet'!N80</f>
        <v>1504303542.934103</v>
      </c>
      <c r="O97" s="2">
        <f>O9/'Output-Calculation-sheet'!O8*'Output-Calculation-sheet'!O80</f>
        <v>778228129.83900547</v>
      </c>
      <c r="P97" s="2">
        <f>P9/'Output-Calculation-sheet'!P8*'Output-Calculation-sheet'!P80</f>
        <v>2546216102.8774924</v>
      </c>
      <c r="Q97" s="2">
        <f>Q9/'Output-Calculation-sheet'!Q8*'Output-Calculation-sheet'!Q80</f>
        <v>1191022252.6273286</v>
      </c>
      <c r="R97" s="2">
        <f>R9/'Output-Calculation-sheet'!R8*'Output-Calculation-sheet'!R80</f>
        <v>1504853580.8051882</v>
      </c>
      <c r="S97" s="2">
        <f>S9/'Output-Calculation-sheet'!S8*'Output-Calculation-sheet'!S80</f>
        <v>873412663.77120614</v>
      </c>
      <c r="T97" s="2">
        <f>T9/'Output-Calculation-sheet'!T8*'Output-Calculation-sheet'!T80</f>
        <v>657710452.93227482</v>
      </c>
      <c r="U97" s="2">
        <f>U9/'Output-Calculation-sheet'!U8*'Output-Calculation-sheet'!U80</f>
        <v>420469575.56302917</v>
      </c>
      <c r="V97" s="2">
        <f>V9/'Output-Calculation-sheet'!V8*'Output-Calculation-sheet'!V80</f>
        <v>220469187.34201396</v>
      </c>
      <c r="W97" s="2">
        <f>W9/'Output-Calculation-sheet'!W8*'Output-Calculation-sheet'!W80</f>
        <v>638483026.46181417</v>
      </c>
      <c r="X97" s="2">
        <f>X9/'Output-Calculation-sheet'!X8*'Output-Calculation-sheet'!X80</f>
        <v>229277021.09374428</v>
      </c>
      <c r="Y97" s="2">
        <f>Y9/'Output-Calculation-sheet'!Y8*'Output-Calculation-sheet'!Y80</f>
        <v>350951600.23139346</v>
      </c>
      <c r="AA97" s="2">
        <f t="shared" si="8"/>
        <v>67.485770920854662</v>
      </c>
    </row>
    <row r="98" spans="1:27" x14ac:dyDescent="0.25">
      <c r="A98" s="2">
        <v>2033</v>
      </c>
      <c r="B98" s="2">
        <f>B10/'Output-Calculation-sheet'!B9*'Output-Calculation-sheet'!B81</f>
        <v>20783913946.119892</v>
      </c>
      <c r="C98" s="2">
        <f>C10/'Output-Calculation-sheet'!C9*'Output-Calculation-sheet'!C81</f>
        <v>7125756348.0868263</v>
      </c>
      <c r="D98" s="2">
        <f>D10/'Output-Calculation-sheet'!D9*'Output-Calculation-sheet'!D81</f>
        <v>6781549712.7208424</v>
      </c>
      <c r="E98" s="2">
        <f>E10/'Output-Calculation-sheet'!E9*'Output-Calculation-sheet'!E81</f>
        <v>12756521702.87858</v>
      </c>
      <c r="F98" s="2">
        <f>F10/'Output-Calculation-sheet'!F9*'Output-Calculation-sheet'!F81</f>
        <v>5261097889.2083578</v>
      </c>
      <c r="G98" s="2">
        <f>G10/'Output-Calculation-sheet'!G9*'Output-Calculation-sheet'!G81</f>
        <v>3862859039.4249425</v>
      </c>
      <c r="H98" s="2">
        <f>H10/'Output-Calculation-sheet'!H9*'Output-Calculation-sheet'!H81</f>
        <v>3499781850.2274308</v>
      </c>
      <c r="I98" s="2">
        <f>I10/'Output-Calculation-sheet'!I9*'Output-Calculation-sheet'!I81</f>
        <v>2909351944.2626696</v>
      </c>
      <c r="J98" s="2">
        <f>J10/'Output-Calculation-sheet'!J9*'Output-Calculation-sheet'!J81</f>
        <v>1860312962.3875408</v>
      </c>
      <c r="K98" s="2">
        <f>K10/'Output-Calculation-sheet'!K9*'Output-Calculation-sheet'!K81</f>
        <v>2702178352.0155892</v>
      </c>
      <c r="L98" s="2">
        <f>L10/'Output-Calculation-sheet'!L9*'Output-Calculation-sheet'!L81</f>
        <v>2026674212.540729</v>
      </c>
      <c r="M98" s="2">
        <f>M10/'Output-Calculation-sheet'!M9*'Output-Calculation-sheet'!M81</f>
        <v>2628189226.8279195</v>
      </c>
      <c r="N98" s="2">
        <f>N10/'Output-Calculation-sheet'!N9*'Output-Calculation-sheet'!N81</f>
        <v>1885520705.2981277</v>
      </c>
      <c r="O98" s="2">
        <f>O10/'Output-Calculation-sheet'!O9*'Output-Calculation-sheet'!O81</f>
        <v>998489736.99903166</v>
      </c>
      <c r="P98" s="2">
        <f>P10/'Output-Calculation-sheet'!P9*'Output-Calculation-sheet'!P81</f>
        <v>3190883492.26123</v>
      </c>
      <c r="Q98" s="2">
        <f>Q10/'Output-Calculation-sheet'!Q9*'Output-Calculation-sheet'!Q81</f>
        <v>1500272527.285392</v>
      </c>
      <c r="R98" s="2">
        <f>R10/'Output-Calculation-sheet'!R9*'Output-Calculation-sheet'!R81</f>
        <v>1919075535.9565322</v>
      </c>
      <c r="S98" s="2">
        <f>S10/'Output-Calculation-sheet'!S9*'Output-Calculation-sheet'!S81</f>
        <v>1109567329.6812453</v>
      </c>
      <c r="T98" s="2">
        <f>T10/'Output-Calculation-sheet'!T9*'Output-Calculation-sheet'!T81</f>
        <v>823344605.77658939</v>
      </c>
      <c r="U98" s="2">
        <f>U10/'Output-Calculation-sheet'!U9*'Output-Calculation-sheet'!U81</f>
        <v>535721399.69354326</v>
      </c>
      <c r="V98" s="2">
        <f>V10/'Output-Calculation-sheet'!V9*'Output-Calculation-sheet'!V81</f>
        <v>283727074.70091039</v>
      </c>
      <c r="W98" s="2">
        <f>W10/'Output-Calculation-sheet'!W9*'Output-Calculation-sheet'!W81</f>
        <v>804464142.70551038</v>
      </c>
      <c r="X98" s="2">
        <f>X10/'Output-Calculation-sheet'!X9*'Output-Calculation-sheet'!X81</f>
        <v>295616233.16820782</v>
      </c>
      <c r="Y98" s="2">
        <f>Y10/'Output-Calculation-sheet'!Y9*'Output-Calculation-sheet'!Y81</f>
        <v>442344205.13650858</v>
      </c>
      <c r="AA98" s="2">
        <f t="shared" si="8"/>
        <v>85.987214175364144</v>
      </c>
    </row>
    <row r="99" spans="1:27" x14ac:dyDescent="0.25">
      <c r="A99" s="2">
        <v>2034</v>
      </c>
      <c r="B99" s="2">
        <f>B11/'Output-Calculation-sheet'!B10*'Output-Calculation-sheet'!B82</f>
        <v>25756867416.770355</v>
      </c>
      <c r="C99" s="2">
        <f>C11/'Output-Calculation-sheet'!C10*'Output-Calculation-sheet'!C82</f>
        <v>8887176005.9176273</v>
      </c>
      <c r="D99" s="2">
        <f>D11/'Output-Calculation-sheet'!D10*'Output-Calculation-sheet'!D82</f>
        <v>8084830344.0864658</v>
      </c>
      <c r="E99" s="2">
        <f>E11/'Output-Calculation-sheet'!E10*'Output-Calculation-sheet'!E82</f>
        <v>15639395350.430767</v>
      </c>
      <c r="F99" s="2">
        <f>F11/'Output-Calculation-sheet'!F10*'Output-Calculation-sheet'!F82</f>
        <v>6441065566.4200916</v>
      </c>
      <c r="G99" s="2">
        <f>G11/'Output-Calculation-sheet'!G10*'Output-Calculation-sheet'!G82</f>
        <v>4579139269.5991554</v>
      </c>
      <c r="H99" s="2">
        <f>H11/'Output-Calculation-sheet'!H10*'Output-Calculation-sheet'!H82</f>
        <v>4280037032.5623088</v>
      </c>
      <c r="I99" s="2">
        <f>I11/'Output-Calculation-sheet'!I10*'Output-Calculation-sheet'!I82</f>
        <v>3594933144.3809252</v>
      </c>
      <c r="J99" s="2">
        <f>J11/'Output-Calculation-sheet'!J10*'Output-Calculation-sheet'!J82</f>
        <v>2237125520.8337851</v>
      </c>
      <c r="K99" s="2">
        <f>K11/'Output-Calculation-sheet'!K10*'Output-Calculation-sheet'!K82</f>
        <v>3273208207.8631678</v>
      </c>
      <c r="L99" s="2">
        <f>L11/'Output-Calculation-sheet'!L10*'Output-Calculation-sheet'!L82</f>
        <v>2527156104.1786695</v>
      </c>
      <c r="M99" s="2">
        <f>M11/'Output-Calculation-sheet'!M10*'Output-Calculation-sheet'!M82</f>
        <v>3224072564.6333866</v>
      </c>
      <c r="N99" s="2">
        <f>N11/'Output-Calculation-sheet'!N10*'Output-Calculation-sheet'!N82</f>
        <v>2271362134.2760377</v>
      </c>
      <c r="O99" s="2">
        <f>O11/'Output-Calculation-sheet'!O10*'Output-Calculation-sheet'!O82</f>
        <v>1231419403.4426696</v>
      </c>
      <c r="P99" s="2">
        <f>P11/'Output-Calculation-sheet'!P10*'Output-Calculation-sheet'!P82</f>
        <v>3838613247.4904613</v>
      </c>
      <c r="Q99" s="2">
        <f>Q11/'Output-Calculation-sheet'!Q10*'Output-Calculation-sheet'!Q82</f>
        <v>1816673009.243161</v>
      </c>
      <c r="R99" s="2">
        <f>R11/'Output-Calculation-sheet'!R10*'Output-Calculation-sheet'!R82</f>
        <v>2351674809.0687637</v>
      </c>
      <c r="S99" s="2">
        <f>S11/'Output-Calculation-sheet'!S10*'Output-Calculation-sheet'!S82</f>
        <v>1354630434.6237581</v>
      </c>
      <c r="T99" s="2">
        <f>T11/'Output-Calculation-sheet'!T10*'Output-Calculation-sheet'!T82</f>
        <v>990076472.79269636</v>
      </c>
      <c r="U99" s="2">
        <f>U11/'Output-Calculation-sheet'!U10*'Output-Calculation-sheet'!U82</f>
        <v>655648598.69990981</v>
      </c>
      <c r="V99" s="2">
        <f>V11/'Output-Calculation-sheet'!V10*'Output-Calculation-sheet'!V82</f>
        <v>350567131.48066378</v>
      </c>
      <c r="W99" s="2">
        <f>W11/'Output-Calculation-sheet'!W10*'Output-Calculation-sheet'!W82</f>
        <v>972134929.58672452</v>
      </c>
      <c r="X99" s="2">
        <f>X11/'Output-Calculation-sheet'!X10*'Output-Calculation-sheet'!X82</f>
        <v>366132778.4275986</v>
      </c>
      <c r="Y99" s="2">
        <f>Y11/'Output-Calculation-sheet'!Y10*'Output-Calculation-sheet'!Y82</f>
        <v>534982536.7299273</v>
      </c>
      <c r="AA99" s="2">
        <f t="shared" si="8"/>
        <v>105.25892201353908</v>
      </c>
    </row>
    <row r="100" spans="1:27" x14ac:dyDescent="0.25">
      <c r="A100" s="2">
        <v>2035</v>
      </c>
      <c r="B100" s="2">
        <f>B12/'Output-Calculation-sheet'!B11*'Output-Calculation-sheet'!B83</f>
        <v>31018719452.364674</v>
      </c>
      <c r="C100" s="2">
        <f>C12/'Output-Calculation-sheet'!C11*'Output-Calculation-sheet'!C83</f>
        <v>10769195576.334597</v>
      </c>
      <c r="D100" s="2">
        <f>D12/'Output-Calculation-sheet'!D11*'Output-Calculation-sheet'!D83</f>
        <v>9373203899.9668465</v>
      </c>
      <c r="E100" s="2">
        <f>E12/'Output-Calculation-sheet'!E11*'Output-Calculation-sheet'!E83</f>
        <v>18640884000.010513</v>
      </c>
      <c r="F100" s="2">
        <f>F12/'Output-Calculation-sheet'!F11*'Output-Calculation-sheet'!F83</f>
        <v>7668116411.8198261</v>
      </c>
      <c r="G100" s="2">
        <f>G12/'Output-Calculation-sheet'!G11*'Output-Calculation-sheet'!G83</f>
        <v>5269489101.4560232</v>
      </c>
      <c r="H100" s="2">
        <f>H12/'Output-Calculation-sheet'!H11*'Output-Calculation-sheet'!H83</f>
        <v>5089932672.2844696</v>
      </c>
      <c r="I100" s="2">
        <f>I12/'Output-Calculation-sheet'!I11*'Output-Calculation-sheet'!I83</f>
        <v>4318707337.9258547</v>
      </c>
      <c r="J100" s="2">
        <f>J12/'Output-Calculation-sheet'!J11*'Output-Calculation-sheet'!J83</f>
        <v>2617322526.1131945</v>
      </c>
      <c r="K100" s="2">
        <f>K12/'Output-Calculation-sheet'!K11*'Output-Calculation-sheet'!K83</f>
        <v>3856430951.2391181</v>
      </c>
      <c r="L100" s="2">
        <f>L12/'Output-Calculation-sheet'!L11*'Output-Calculation-sheet'!L83</f>
        <v>3061786283.8781452</v>
      </c>
      <c r="M100" s="2">
        <f>M12/'Output-Calculation-sheet'!M11*'Output-Calculation-sheet'!M83</f>
        <v>3846282038.9086809</v>
      </c>
      <c r="N100" s="2">
        <f>N12/'Output-Calculation-sheet'!N11*'Output-Calculation-sheet'!N83</f>
        <v>2661323382.0780435</v>
      </c>
      <c r="O100" s="2">
        <f>O12/'Output-Calculation-sheet'!O11*'Output-Calculation-sheet'!O83</f>
        <v>1477203458.8638253</v>
      </c>
      <c r="P100" s="2">
        <f>P12/'Output-Calculation-sheet'!P11*'Output-Calculation-sheet'!P83</f>
        <v>4486371867.8724537</v>
      </c>
      <c r="Q100" s="2">
        <f>Q12/'Output-Calculation-sheet'!Q11*'Output-Calculation-sheet'!Q83</f>
        <v>2140019947.1763468</v>
      </c>
      <c r="R100" s="2">
        <f>R12/'Output-Calculation-sheet'!R11*'Output-Calculation-sheet'!R83</f>
        <v>2802236844.4955678</v>
      </c>
      <c r="S100" s="2">
        <f>S12/'Output-Calculation-sheet'!S11*'Output-Calculation-sheet'!S83</f>
        <v>1608339972.2392337</v>
      </c>
      <c r="T100" s="2">
        <f>T12/'Output-Calculation-sheet'!T11*'Output-Calculation-sheet'!T83</f>
        <v>1157447529.5221384</v>
      </c>
      <c r="U100" s="2">
        <f>U12/'Output-Calculation-sheet'!U11*'Output-Calculation-sheet'!U83</f>
        <v>779988583.84105361</v>
      </c>
      <c r="V100" s="2">
        <f>V12/'Output-Calculation-sheet'!V11*'Output-Calculation-sheet'!V83</f>
        <v>420849159.46206933</v>
      </c>
      <c r="W100" s="2">
        <f>W12/'Output-Calculation-sheet'!W11*'Output-Calculation-sheet'!W83</f>
        <v>1140183764.0764291</v>
      </c>
      <c r="X100" s="2">
        <f>X12/'Output-Calculation-sheet'!X11*'Output-Calculation-sheet'!X83</f>
        <v>440805873.32968318</v>
      </c>
      <c r="Y100" s="2">
        <f>Y12/'Output-Calculation-sheet'!Y11*'Output-Calculation-sheet'!Y83</f>
        <v>628309311.22183335</v>
      </c>
      <c r="AA100" s="2">
        <f t="shared" si="8"/>
        <v>125.27314994648061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93326186619.668655</v>
      </c>
      <c r="C8" s="2">
        <v>43979995377.888481</v>
      </c>
      <c r="D8" s="2">
        <v>39198065404.296844</v>
      </c>
      <c r="E8" s="2">
        <v>31099687204.126213</v>
      </c>
      <c r="F8" s="2">
        <v>20019984654.767704</v>
      </c>
      <c r="G8" s="2">
        <v>14066590652.088776</v>
      </c>
      <c r="H8" s="2">
        <v>13721419209.945665</v>
      </c>
      <c r="I8" s="2">
        <v>12815771366.698929</v>
      </c>
      <c r="J8" s="2">
        <v>12473986705.735691</v>
      </c>
      <c r="K8" s="2">
        <v>12354403597.497787</v>
      </c>
      <c r="L8" s="2">
        <v>9910863190.2471905</v>
      </c>
      <c r="M8" s="2">
        <v>9466583116.2016277</v>
      </c>
      <c r="N8" s="2">
        <v>9291423988.2396526</v>
      </c>
      <c r="O8" s="2">
        <v>8545351294.9729757</v>
      </c>
      <c r="P8" s="2">
        <v>8458409102.0212994</v>
      </c>
      <c r="Q8" s="2">
        <v>8321707540.7765112</v>
      </c>
      <c r="R8" s="2">
        <v>8005865418.5984888</v>
      </c>
      <c r="S8" s="2">
        <v>5321108271.4533834</v>
      </c>
      <c r="T8" s="2">
        <v>2942887287.7045975</v>
      </c>
      <c r="U8" s="2">
        <v>2563154273.3397894</v>
      </c>
      <c r="V8" s="2">
        <v>1973680053.5571063</v>
      </c>
      <c r="W8" s="2">
        <v>1708769515.5598583</v>
      </c>
      <c r="X8" s="2">
        <v>1025261709.3359158</v>
      </c>
      <c r="Y8" s="2">
        <v>997056759.7120831</v>
      </c>
    </row>
    <row r="9" spans="1:27" x14ac:dyDescent="0.25">
      <c r="A9" s="2">
        <v>2032</v>
      </c>
      <c r="B9" s="2">
        <v>95557402043.580917</v>
      </c>
      <c r="C9" s="2">
        <v>45031456362.045464</v>
      </c>
      <c r="D9" s="2">
        <v>40135201392.441429</v>
      </c>
      <c r="E9" s="2">
        <v>31843209513.15913</v>
      </c>
      <c r="F9" s="2">
        <v>20498616646.131962</v>
      </c>
      <c r="G9" s="2">
        <v>14402890624.921759</v>
      </c>
      <c r="H9" s="2">
        <v>14049466923.970064</v>
      </c>
      <c r="I9" s="2">
        <v>13122167114.542389</v>
      </c>
      <c r="J9" s="2">
        <v>12772211164.953531</v>
      </c>
      <c r="K9" s="2">
        <v>12649769098.418884</v>
      </c>
      <c r="L9" s="2">
        <v>10147809235.246132</v>
      </c>
      <c r="M9" s="2">
        <v>9692907441.9419975</v>
      </c>
      <c r="N9" s="2">
        <v>9513560660.3095627</v>
      </c>
      <c r="O9" s="2">
        <v>8749651077.30303</v>
      </c>
      <c r="P9" s="2">
        <v>8660630295.5979824</v>
      </c>
      <c r="Q9" s="2">
        <v>8520660513.0428648</v>
      </c>
      <c r="R9" s="2">
        <v>8197267328.9383917</v>
      </c>
      <c r="S9" s="2">
        <v>5448323785.9579868</v>
      </c>
      <c r="T9" s="2">
        <v>3013244984.1346574</v>
      </c>
      <c r="U9" s="2">
        <v>2624433422.9084816</v>
      </c>
      <c r="V9" s="2">
        <v>2020866224.3079908</v>
      </c>
      <c r="W9" s="2">
        <v>1749622281.9389865</v>
      </c>
      <c r="X9" s="2">
        <v>1049773369.1633925</v>
      </c>
      <c r="Y9" s="2">
        <v>1020894103.7777059</v>
      </c>
    </row>
    <row r="10" spans="1:27" x14ac:dyDescent="0.25">
      <c r="A10" s="2">
        <v>2033</v>
      </c>
      <c r="B10" s="2">
        <v>91268704239.50705</v>
      </c>
      <c r="C10" s="2">
        <v>43010406146.321999</v>
      </c>
      <c r="D10" s="2">
        <v>38333899280.865356</v>
      </c>
      <c r="E10" s="2">
        <v>30414059077.994869</v>
      </c>
      <c r="F10" s="2">
        <v>19578621226.449829</v>
      </c>
      <c r="G10" s="2">
        <v>13756476594.460289</v>
      </c>
      <c r="H10" s="2">
        <v>13418914851.010202</v>
      </c>
      <c r="I10" s="2">
        <v>12533233048.88872</v>
      </c>
      <c r="J10" s="2">
        <v>12198983421.15905</v>
      </c>
      <c r="K10" s="2">
        <v>12082036659.128744</v>
      </c>
      <c r="L10" s="2">
        <v>9692366891.1406269</v>
      </c>
      <c r="M10" s="2">
        <v>9257881478.7791519</v>
      </c>
      <c r="N10" s="2">
        <v>9086583933.8579044</v>
      </c>
      <c r="O10" s="2">
        <v>8356959265.2702141</v>
      </c>
      <c r="P10" s="2">
        <v>8271933812.2665606</v>
      </c>
      <c r="Q10" s="2">
        <v>8138245993.0784159</v>
      </c>
      <c r="R10" s="2">
        <v>7829366971.2351627</v>
      </c>
      <c r="S10" s="2">
        <v>5203798361.8985844</v>
      </c>
      <c r="T10" s="2">
        <v>2878007976.1140633</v>
      </c>
      <c r="U10" s="2">
        <v>2506646609.7777476</v>
      </c>
      <c r="V10" s="2">
        <v>1930168022.4610627</v>
      </c>
      <c r="W10" s="2">
        <v>1671097739.8518305</v>
      </c>
      <c r="X10" s="2">
        <v>1002658643.911099</v>
      </c>
      <c r="Y10" s="2">
        <v>975075504.61710298</v>
      </c>
    </row>
    <row r="11" spans="1:27" x14ac:dyDescent="0.25">
      <c r="A11" s="2">
        <v>2034</v>
      </c>
      <c r="B11" s="2">
        <v>81245935846.720169</v>
      </c>
      <c r="C11" s="2">
        <v>38287173326.526123</v>
      </c>
      <c r="D11" s="2">
        <v>34124221962.819016</v>
      </c>
      <c r="E11" s="2">
        <v>27074107310.701916</v>
      </c>
      <c r="F11" s="2">
        <v>17428574420.834442</v>
      </c>
      <c r="G11" s="2">
        <v>12245794702.392992</v>
      </c>
      <c r="H11" s="2">
        <v>11945302655.51696</v>
      </c>
      <c r="I11" s="2">
        <v>11156882928.56502</v>
      </c>
      <c r="J11" s="2">
        <v>10859339273.950935</v>
      </c>
      <c r="K11" s="2">
        <v>10755235143.136696</v>
      </c>
      <c r="L11" s="2">
        <v>8627989464.7569637</v>
      </c>
      <c r="M11" s="2">
        <v>8241217523.2333775</v>
      </c>
      <c r="N11" s="2">
        <v>8088731197.7033157</v>
      </c>
      <c r="O11" s="2">
        <v>7439231026.6402969</v>
      </c>
      <c r="P11" s="2">
        <v>7363542732.8529186</v>
      </c>
      <c r="Q11" s="2">
        <v>7244535981.614892</v>
      </c>
      <c r="R11" s="2">
        <v>6969576833.2169933</v>
      </c>
      <c r="S11" s="2">
        <v>4632337791.9401855</v>
      </c>
      <c r="T11" s="2">
        <v>2561956514.4707818</v>
      </c>
      <c r="U11" s="2">
        <v>2231376585.7130075</v>
      </c>
      <c r="V11" s="2">
        <v>1718204598.530731</v>
      </c>
      <c r="W11" s="2">
        <v>1487584390.4753373</v>
      </c>
      <c r="X11" s="2">
        <v>892550634.28520286</v>
      </c>
      <c r="Y11" s="2">
        <v>867996566.33601546</v>
      </c>
    </row>
    <row r="12" spans="1:27" x14ac:dyDescent="0.25">
      <c r="A12" s="2">
        <v>2035</v>
      </c>
      <c r="B12" s="2">
        <v>66930967362.515701</v>
      </c>
      <c r="C12" s="2">
        <v>31541239836.97274</v>
      </c>
      <c r="D12" s="2">
        <v>28111771532.469616</v>
      </c>
      <c r="E12" s="2">
        <v>22303838018.440285</v>
      </c>
      <c r="F12" s="2">
        <v>14357780897.949215</v>
      </c>
      <c r="G12" s="2">
        <v>10088170897.560295</v>
      </c>
      <c r="H12" s="2">
        <v>9840623458.14007</v>
      </c>
      <c r="I12" s="2">
        <v>9191117800.2553501</v>
      </c>
      <c r="J12" s="2">
        <v>8945999266.8991623</v>
      </c>
      <c r="K12" s="2">
        <v>8860237559.4461727</v>
      </c>
      <c r="L12" s="2">
        <v>7107797765.5308161</v>
      </c>
      <c r="M12" s="2">
        <v>6789172348.4552994</v>
      </c>
      <c r="N12" s="2">
        <v>6663553052.290904</v>
      </c>
      <c r="O12" s="2">
        <v>6128490291.3254614</v>
      </c>
      <c r="P12" s="2">
        <v>6066137748.1685352</v>
      </c>
      <c r="Q12" s="2">
        <v>5968099158.2991457</v>
      </c>
      <c r="R12" s="2">
        <v>5741585898.335413</v>
      </c>
      <c r="S12" s="2">
        <v>3816152110.6660128</v>
      </c>
      <c r="T12" s="2">
        <v>2110557605.9550142</v>
      </c>
      <c r="U12" s="2">
        <v>1838223560.0510728</v>
      </c>
      <c r="V12" s="2">
        <v>1415468905.7105281</v>
      </c>
      <c r="W12" s="2">
        <v>1225482373.3673809</v>
      </c>
      <c r="X12" s="2">
        <v>735289424.02042902</v>
      </c>
      <c r="Y12" s="2">
        <v>715061611.96562576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1850.6595340831959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577.38068467895425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398.34869509122126</v>
      </c>
      <c r="N16" s="2">
        <f>N5/'Output-Calculation-sheet'!N4*'Output-Calculation-sheet'!N22</f>
        <v>0</v>
      </c>
      <c r="O16" s="2">
        <f>O5/'Output-Calculation-sheet'!O4*'Output-Calculation-sheet'!O22</f>
        <v>359.57940612887347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43.142474550429625</v>
      </c>
      <c r="Y16" s="2">
        <f>Y5/'Output-Calculation-sheet'!Y4*'Output-Calculation-sheet'!Y22</f>
        <v>0</v>
      </c>
      <c r="AA16" s="2">
        <f t="shared" ref="AA16:AA23" si="0">SUM(B16:Y16)/1000</f>
        <v>3.2291107945326742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5261.6838008287832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1551.6288465196244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1071.0901873996486</v>
      </c>
      <c r="N17" s="2">
        <f>N6/'Output-Calculation-sheet'!N5*'Output-Calculation-sheet'!N23</f>
        <v>0</v>
      </c>
      <c r="O17" s="2">
        <f>O6/'Output-Calculation-sheet'!O5*'Output-Calculation-sheet'!O23</f>
        <v>1028.7789608679711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119.09908324580296</v>
      </c>
      <c r="Y17" s="2">
        <f>Y6/'Output-Calculation-sheet'!Y5*'Output-Calculation-sheet'!Y23</f>
        <v>0</v>
      </c>
      <c r="AA17" s="2">
        <f t="shared" si="0"/>
        <v>9.0322808788618296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9815.8604256411891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3109.3070625998366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2144.4455618048505</v>
      </c>
      <c r="N18" s="2">
        <f>N7/'Output-Calculation-sheet'!N6*'Output-Calculation-sheet'!N24</f>
        <v>664.59784636372979</v>
      </c>
      <c r="O18" s="2">
        <f>O7/'Output-Calculation-sheet'!O6*'Output-Calculation-sheet'!O24</f>
        <v>1415.5661484894149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145.29209719637518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240.43569678599329</v>
      </c>
      <c r="Y18" s="2">
        <f>Y7/'Output-Calculation-sheet'!Y6*'Output-Calculation-sheet'!Y24</f>
        <v>0</v>
      </c>
      <c r="AA18" s="2">
        <f t="shared" si="0"/>
        <v>17.535504838881387</v>
      </c>
    </row>
    <row r="19" spans="1:27" x14ac:dyDescent="0.25">
      <c r="A19" s="2">
        <v>2031</v>
      </c>
      <c r="B19" s="2">
        <f>B8/'Output-Calculation-sheet'!B7*'Output-Calculation-sheet'!B25</f>
        <v>1037.6250859230158</v>
      </c>
      <c r="C19" s="2">
        <f>C8/'Output-Calculation-sheet'!C7*'Output-Calculation-sheet'!C25</f>
        <v>13698.208207134721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4655.3256007389728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3234.7700904442036</v>
      </c>
      <c r="N19" s="2">
        <f>N8/'Output-Calculation-sheet'!N7*'Output-Calculation-sheet'!N25</f>
        <v>1107.4787578775185</v>
      </c>
      <c r="O19" s="2">
        <f>O8/'Output-Calculation-sheet'!O7*'Output-Calculation-sheet'!O25</f>
        <v>1767.9745190768633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395.16590366548797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361.42105006582693</v>
      </c>
      <c r="Y19" s="2">
        <f>Y8/'Output-Calculation-sheet'!Y7*'Output-Calculation-sheet'!Y25</f>
        <v>0</v>
      </c>
      <c r="AA19" s="2">
        <f t="shared" si="0"/>
        <v>26.257969214926607</v>
      </c>
    </row>
    <row r="20" spans="1:27" x14ac:dyDescent="0.25">
      <c r="A20" s="2">
        <v>2032</v>
      </c>
      <c r="B20" s="2">
        <f>B9/'Output-Calculation-sheet'!B8*'Output-Calculation-sheet'!B26</f>
        <v>5488.4563694999024</v>
      </c>
      <c r="C20" s="2">
        <f>C9/'Output-Calculation-sheet'!C8*'Output-Calculation-sheet'!C26</f>
        <v>18633.671274170934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5963.6969265362131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4148.7317403000634</v>
      </c>
      <c r="N20" s="2">
        <f>N9/'Output-Calculation-sheet'!N8*'Output-Calculation-sheet'!N26</f>
        <v>1872.409033879667</v>
      </c>
      <c r="O20" s="2">
        <f>O9/'Output-Calculation-sheet'!O8*'Output-Calculation-sheet'!O26</f>
        <v>1964.8505482901803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680.48427772970194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464.15019036020675</v>
      </c>
      <c r="Y20" s="2">
        <f>Y9/'Output-Calculation-sheet'!Y8*'Output-Calculation-sheet'!Y26</f>
        <v>0</v>
      </c>
      <c r="AA20" s="2">
        <f t="shared" si="0"/>
        <v>39.216450360766864</v>
      </c>
    </row>
    <row r="21" spans="1:27" x14ac:dyDescent="0.25">
      <c r="A21" s="2">
        <v>2033</v>
      </c>
      <c r="B21" s="2">
        <f>B10/'Output-Calculation-sheet'!B9*'Output-Calculation-sheet'!B27</f>
        <v>11853.770376217899</v>
      </c>
      <c r="C21" s="2">
        <f>C10/'Output-Calculation-sheet'!C9*'Output-Calculation-sheet'!C27</f>
        <v>20356.869039385372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6861.1783012960268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4765.515447990686</v>
      </c>
      <c r="N21" s="2">
        <f>N10/'Output-Calculation-sheet'!N9*'Output-Calculation-sheet'!N27</f>
        <v>2607.5945866930238</v>
      </c>
      <c r="O21" s="2">
        <f>O10/'Output-Calculation-sheet'!O9*'Output-Calculation-sheet'!O27</f>
        <v>2031.0878029437399</v>
      </c>
      <c r="P21" s="2">
        <f>P10/'Output-Calculation-sheet'!P9*'Output-Calculation-sheet'!P27</f>
        <v>0</v>
      </c>
      <c r="Q21" s="2">
        <f>Q10/'Output-Calculation-sheet'!Q9*'Output-Calculation-sheet'!Q27</f>
        <v>177.85521781023147</v>
      </c>
      <c r="R21" s="2">
        <f>R10/'Output-Calculation-sheet'!R9*'Output-Calculation-sheet'!R27</f>
        <v>0</v>
      </c>
      <c r="S21" s="2">
        <f>S10/'Output-Calculation-sheet'!S9*'Output-Calculation-sheet'!S27</f>
        <v>1132.577118680719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560.38379015957457</v>
      </c>
      <c r="Y21" s="2">
        <f>Y10/'Output-Calculation-sheet'!Y9*'Output-Calculation-sheet'!Y27</f>
        <v>0</v>
      </c>
      <c r="AA21" s="2">
        <f t="shared" si="0"/>
        <v>50.346831681177278</v>
      </c>
    </row>
    <row r="22" spans="1:27" x14ac:dyDescent="0.25">
      <c r="A22" s="2">
        <v>2034</v>
      </c>
      <c r="B22" s="2">
        <f>B11/'Output-Calculation-sheet'!B10*'Output-Calculation-sheet'!B28</f>
        <v>20095.438135170589</v>
      </c>
      <c r="C22" s="2">
        <f>C11/'Output-Calculation-sheet'!C10*'Output-Calculation-sheet'!C28</f>
        <v>19279.049672284531</v>
      </c>
      <c r="D22" s="2">
        <f>D11/'Output-Calculation-sheet'!D10*'Output-Calculation-sheet'!D28</f>
        <v>0</v>
      </c>
      <c r="E22" s="2">
        <f>E11/'Output-Calculation-sheet'!E10*'Output-Calculation-sheet'!E28</f>
        <v>1029.6594360872252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7356.8488686039227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613.98184821203495</v>
      </c>
      <c r="M22" s="2">
        <f>M11/'Output-Calculation-sheet'!M10*'Output-Calculation-sheet'!M28</f>
        <v>5363.7895161688002</v>
      </c>
      <c r="N22" s="2">
        <f>N11/'Output-Calculation-sheet'!N10*'Output-Calculation-sheet'!N28</f>
        <v>3201.0461965859417</v>
      </c>
      <c r="O22" s="2">
        <f>O11/'Output-Calculation-sheet'!O10*'Output-Calculation-sheet'!O28</f>
        <v>1978.4561100579251</v>
      </c>
      <c r="P22" s="2">
        <f>P11/'Output-Calculation-sheet'!P10*'Output-Calculation-sheet'!P28</f>
        <v>0</v>
      </c>
      <c r="Q22" s="2">
        <f>Q11/'Output-Calculation-sheet'!Q10*'Output-Calculation-sheet'!Q28</f>
        <v>727.17751006495018</v>
      </c>
      <c r="R22" s="2">
        <f>R11/'Output-Calculation-sheet'!R10*'Output-Calculation-sheet'!R28</f>
        <v>0</v>
      </c>
      <c r="S22" s="2">
        <f>S11/'Output-Calculation-sheet'!S10*'Output-Calculation-sheet'!S28</f>
        <v>1632.9849788726638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538.61571176245684</v>
      </c>
      <c r="Y22" s="2">
        <f>Y11/'Output-Calculation-sheet'!Y10*'Output-Calculation-sheet'!Y28</f>
        <v>55.868909699828187</v>
      </c>
      <c r="AA22" s="2">
        <f t="shared" si="0"/>
        <v>61.872916893570867</v>
      </c>
    </row>
    <row r="23" spans="1:27" x14ac:dyDescent="0.25">
      <c r="A23" s="2">
        <v>2035</v>
      </c>
      <c r="B23" s="2">
        <f>B12/'Output-Calculation-sheet'!B11*'Output-Calculation-sheet'!B29</f>
        <v>20024.528421469131</v>
      </c>
      <c r="C23" s="2">
        <f>C12/'Output-Calculation-sheet'!C11*'Output-Calculation-sheet'!C29</f>
        <v>16355.78550140169</v>
      </c>
      <c r="D23" s="2">
        <f>D12/'Output-Calculation-sheet'!D11*'Output-Calculation-sheet'!D29</f>
        <v>0</v>
      </c>
      <c r="E23" s="2">
        <f>E12/'Output-Calculation-sheet'!E11*'Output-Calculation-sheet'!E29</f>
        <v>3087.2936849692996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6296.1120486140198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699.86456566445281</v>
      </c>
      <c r="M23" s="2">
        <f>M12/'Output-Calculation-sheet'!M11*'Output-Calculation-sheet'!M29</f>
        <v>4612.8984306202801</v>
      </c>
      <c r="N23" s="2">
        <f>N12/'Output-Calculation-sheet'!N11*'Output-Calculation-sheet'!N29</f>
        <v>2690.9609609441072</v>
      </c>
      <c r="O23" s="2">
        <f>O12/'Output-Calculation-sheet'!O11*'Output-Calculation-sheet'!O29</f>
        <v>1814.0384950209645</v>
      </c>
      <c r="P23" s="2">
        <f>P12/'Output-Calculation-sheet'!P11*'Output-Calculation-sheet'!P29</f>
        <v>328.65161130892079</v>
      </c>
      <c r="Q23" s="2">
        <f>Q12/'Output-Calculation-sheet'!Q11*'Output-Calculation-sheet'!Q29</f>
        <v>737.8191956479983</v>
      </c>
      <c r="R23" s="2">
        <f>R12/'Output-Calculation-sheet'!R11*'Output-Calculation-sheet'!R29</f>
        <v>0</v>
      </c>
      <c r="S23" s="2">
        <f>S12/'Output-Calculation-sheet'!S11*'Output-Calculation-sheet'!S29</f>
        <v>1440.4718606335659</v>
      </c>
      <c r="T23" s="2">
        <f>T12/'Output-Calculation-sheet'!T11*'Output-Calculation-sheet'!T29</f>
        <v>0</v>
      </c>
      <c r="U23" s="2">
        <f>U12/'Output-Calculation-sheet'!U11*'Output-Calculation-sheet'!U29</f>
        <v>62.815302436079399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456.97936265561515</v>
      </c>
      <c r="Y23" s="2">
        <f>Y12/'Output-Calculation-sheet'!Y11*'Output-Calculation-sheet'!Y29</f>
        <v>135.29140965453524</v>
      </c>
      <c r="AA23" s="2">
        <f t="shared" si="0"/>
        <v>58.743510851040654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2336.2795538332343</v>
      </c>
      <c r="C27" s="2">
        <f>C5/'Output-Calculation-sheet'!C4*'Output-Calculation-sheet'!C13</f>
        <v>0</v>
      </c>
      <c r="D27" s="2">
        <f>D5/'Output-Calculation-sheet'!D4*'Output-Calculation-sheet'!D13</f>
        <v>417.3490220932062</v>
      </c>
      <c r="E27" s="2">
        <f>E5/'Output-Calculation-sheet'!E4*'Output-Calculation-sheet'!E13</f>
        <v>449.01598760657197</v>
      </c>
      <c r="F27" s="2">
        <f>F5/'Output-Calculation-sheet'!F4*'Output-Calculation-sheet'!F13</f>
        <v>226.54986742942003</v>
      </c>
      <c r="G27" s="2">
        <f>G5/'Output-Calculation-sheet'!G4*'Output-Calculation-sheet'!G13</f>
        <v>148.35638298524847</v>
      </c>
      <c r="H27" s="2">
        <f>H5/'Output-Calculation-sheet'!H4*'Output-Calculation-sheet'!H13</f>
        <v>0</v>
      </c>
      <c r="I27" s="2">
        <f>I5/'Output-Calculation-sheet'!I4*'Output-Calculation-sheet'!I13</f>
        <v>144.62864690300205</v>
      </c>
      <c r="J27" s="2">
        <f>J5/'Output-Calculation-sheet'!J4*'Output-Calculation-sheet'!J13</f>
        <v>128.74764243636827</v>
      </c>
      <c r="K27" s="2">
        <f>K5/'Output-Calculation-sheet'!K4*'Output-Calculation-sheet'!K13</f>
        <v>171.89490677747332</v>
      </c>
      <c r="L27" s="2">
        <f>L5/'Output-Calculation-sheet'!L4*'Output-Calculation-sheet'!L13</f>
        <v>145.19547581060485</v>
      </c>
      <c r="M27" s="2">
        <f>M5/'Output-Calculation-sheet'!M4*'Output-Calculation-sheet'!M13</f>
        <v>0</v>
      </c>
      <c r="N27" s="2">
        <f>N5/'Output-Calculation-sheet'!N4*'Output-Calculation-sheet'!N13</f>
        <v>278.68633088122652</v>
      </c>
      <c r="O27" s="2">
        <f>O5/'Output-Calculation-sheet'!O4*'Output-Calculation-sheet'!O13</f>
        <v>0</v>
      </c>
      <c r="P27" s="2">
        <f>P5/'Output-Calculation-sheet'!P4*'Output-Calculation-sheet'!P13</f>
        <v>170.25460187077002</v>
      </c>
      <c r="Q27" s="2">
        <f>Q5/'Output-Calculation-sheet'!Q4*'Output-Calculation-sheet'!Q13</f>
        <v>189.47473795616474</v>
      </c>
      <c r="R27" s="2">
        <f>R5/'Output-Calculation-sheet'!R4*'Output-Calculation-sheet'!R13</f>
        <v>128.09305084483944</v>
      </c>
      <c r="S27" s="2">
        <f>S5/'Output-Calculation-sheet'!S4*'Output-Calculation-sheet'!S13</f>
        <v>147.83866089292081</v>
      </c>
      <c r="T27" s="2">
        <f>T5/'Output-Calculation-sheet'!T4*'Output-Calculation-sheet'!T13</f>
        <v>38.824910069583346</v>
      </c>
      <c r="U27" s="2">
        <f>U5/'Output-Calculation-sheet'!U4*'Output-Calculation-sheet'!U13</f>
        <v>38.756890874304347</v>
      </c>
      <c r="V27" s="2">
        <f>V5/'Output-Calculation-sheet'!V4*'Output-Calculation-sheet'!V13</f>
        <v>30.163741540282189</v>
      </c>
      <c r="W27" s="2">
        <f>W5/'Output-Calculation-sheet'!W4*'Output-Calculation-sheet'!W13</f>
        <v>18.294724247388917</v>
      </c>
      <c r="X27" s="2">
        <f>X5/'Output-Calculation-sheet'!X4*'Output-Calculation-sheet'!X13</f>
        <v>0</v>
      </c>
      <c r="Y27" s="2">
        <f>Y5/'Output-Calculation-sheet'!Y4*'Output-Calculation-sheet'!Y13</f>
        <v>15.468317945121104</v>
      </c>
      <c r="AA27" s="2">
        <f t="shared" ref="AA27:AA34" si="1">SUM(B27:Y27)/1000</f>
        <v>5.2238734529977293</v>
      </c>
    </row>
    <row r="28" spans="1:27" x14ac:dyDescent="0.25">
      <c r="A28" s="2">
        <v>2029</v>
      </c>
      <c r="B28" s="2">
        <f>B6/'Output-Calculation-sheet'!B5*'Output-Calculation-sheet'!B14</f>
        <v>6212.843182130503</v>
      </c>
      <c r="C28" s="2">
        <f>C6/'Output-Calculation-sheet'!C5*'Output-Calculation-sheet'!C14</f>
        <v>0</v>
      </c>
      <c r="D28" s="2">
        <f>D6/'Output-Calculation-sheet'!D5*'Output-Calculation-sheet'!D14</f>
        <v>1109.7722278118511</v>
      </c>
      <c r="E28" s="2">
        <f>E6/'Output-Calculation-sheet'!E5*'Output-Calculation-sheet'!E14</f>
        <v>1194.0822533988289</v>
      </c>
      <c r="F28" s="2">
        <f>F6/'Output-Calculation-sheet'!F5*'Output-Calculation-sheet'!F14</f>
        <v>602.42085087638884</v>
      </c>
      <c r="G28" s="2">
        <f>G6/'Output-Calculation-sheet'!G5*'Output-Calculation-sheet'!G14</f>
        <v>394.51410682638539</v>
      </c>
      <c r="H28" s="2">
        <f>H6/'Output-Calculation-sheet'!H5*'Output-Calculation-sheet'!H14</f>
        <v>0</v>
      </c>
      <c r="I28" s="2">
        <f>I6/'Output-Calculation-sheet'!I5*'Output-Calculation-sheet'!I14</f>
        <v>384.60119009587874</v>
      </c>
      <c r="J28" s="2">
        <f>J6/'Output-Calculation-sheet'!J5*'Output-Calculation-sheet'!J14</f>
        <v>342.35207973187318</v>
      </c>
      <c r="K28" s="2">
        <f>K6/'Output-Calculation-sheet'!K5*'Output-Calculation-sheet'!K14</f>
        <v>457.10851296544973</v>
      </c>
      <c r="L28" s="2">
        <f>L6/'Output-Calculation-sheet'!L5*'Output-Calculation-sheet'!L14</f>
        <v>386.10851991685803</v>
      </c>
      <c r="M28" s="2">
        <f>M6/'Output-Calculation-sheet'!M5*'Output-Calculation-sheet'!M14</f>
        <v>0</v>
      </c>
      <c r="N28" s="2">
        <f>N6/'Output-Calculation-sheet'!N5*'Output-Calculation-sheet'!N14</f>
        <v>741.10485393629119</v>
      </c>
      <c r="O28" s="2">
        <f>O6/'Output-Calculation-sheet'!O5*'Output-Calculation-sheet'!O14</f>
        <v>0</v>
      </c>
      <c r="P28" s="2">
        <f>P6/'Output-Calculation-sheet'!P5*'Output-Calculation-sheet'!P14</f>
        <v>452.74656094040381</v>
      </c>
      <c r="Q28" s="2">
        <f>Q6/'Output-Calculation-sheet'!Q5*'Output-Calculation-sheet'!Q14</f>
        <v>503.86886662982977</v>
      </c>
      <c r="R28" s="2">
        <f>R6/'Output-Calculation-sheet'!R5*'Output-Calculation-sheet'!R14</f>
        <v>340.62919658632683</v>
      </c>
      <c r="S28" s="2">
        <f>S6/'Output-Calculation-sheet'!S5*'Output-Calculation-sheet'!S14</f>
        <v>393.14488501068331</v>
      </c>
      <c r="T28" s="2">
        <f>T6/'Output-Calculation-sheet'!T5*'Output-Calculation-sheet'!T14</f>
        <v>103.24446047083413</v>
      </c>
      <c r="U28" s="2">
        <f>U6/'Output-Calculation-sheet'!U5*'Output-Calculation-sheet'!U14</f>
        <v>103.05991361578518</v>
      </c>
      <c r="V28" s="2">
        <f>V6/'Output-Calculation-sheet'!V5*'Output-Calculation-sheet'!V14</f>
        <v>80.209571755682759</v>
      </c>
      <c r="W28" s="2">
        <f>W6/'Output-Calculation-sheet'!W5*'Output-Calculation-sheet'!W14</f>
        <v>48.652373412955463</v>
      </c>
      <c r="X28" s="2">
        <f>X6/'Output-Calculation-sheet'!X5*'Output-Calculation-sheet'!X14</f>
        <v>0</v>
      </c>
      <c r="Y28" s="2">
        <f>Y6/'Output-Calculation-sheet'!Y5*'Output-Calculation-sheet'!Y14</f>
        <v>41.13385292517404</v>
      </c>
      <c r="AA28" s="2">
        <f t="shared" si="1"/>
        <v>13.891597459037982</v>
      </c>
    </row>
    <row r="29" spans="1:27" x14ac:dyDescent="0.25">
      <c r="A29" s="2">
        <v>2030</v>
      </c>
      <c r="B29" s="2">
        <f>B7/'Output-Calculation-sheet'!B6*'Output-Calculation-sheet'!B15</f>
        <v>11616.730180549072</v>
      </c>
      <c r="C29" s="2">
        <f>C7/'Output-Calculation-sheet'!C6*'Output-Calculation-sheet'!C15</f>
        <v>0</v>
      </c>
      <c r="D29" s="2">
        <f>D7/'Output-Calculation-sheet'!D6*'Output-Calculation-sheet'!D15</f>
        <v>2032.1215168953299</v>
      </c>
      <c r="E29" s="2">
        <f>E7/'Output-Calculation-sheet'!E6*'Output-Calculation-sheet'!E15</f>
        <v>2186.4391918240967</v>
      </c>
      <c r="F29" s="2">
        <f>F7/'Output-Calculation-sheet'!F6*'Output-Calculation-sheet'!F15</f>
        <v>1103.1009034218368</v>
      </c>
      <c r="G29" s="2">
        <f>G7/'Output-Calculation-sheet'!G6*'Output-Calculation-sheet'!G15</f>
        <v>722.38891997434996</v>
      </c>
      <c r="H29" s="2">
        <f>H7/'Output-Calculation-sheet'!H6*'Output-Calculation-sheet'!H15</f>
        <v>0</v>
      </c>
      <c r="I29" s="2">
        <f>I7/'Output-Calculation-sheet'!I6*'Output-Calculation-sheet'!I15</f>
        <v>704.23752541877388</v>
      </c>
      <c r="J29" s="2">
        <f>J7/'Output-Calculation-sheet'!J6*'Output-Calculation-sheet'!J15</f>
        <v>626.88668865865975</v>
      </c>
      <c r="K29" s="2">
        <f>K7/'Output-Calculation-sheet'!K6*'Output-Calculation-sheet'!K15</f>
        <v>837.0262200790761</v>
      </c>
      <c r="L29" s="2">
        <f>L7/'Output-Calculation-sheet'!L6*'Output-Calculation-sheet'!L15</f>
        <v>707.01476024054239</v>
      </c>
      <c r="M29" s="2">
        <f>M7/'Output-Calculation-sheet'!M6*'Output-Calculation-sheet'!M15</f>
        <v>0</v>
      </c>
      <c r="N29" s="2">
        <f>N7/'Output-Calculation-sheet'!N6*'Output-Calculation-sheet'!N15</f>
        <v>912.18024565140388</v>
      </c>
      <c r="O29" s="2">
        <f>O7/'Output-Calculation-sheet'!O6*'Output-Calculation-sheet'!O15</f>
        <v>0</v>
      </c>
      <c r="P29" s="2">
        <f>P7/'Output-Calculation-sheet'!P6*'Output-Calculation-sheet'!P15</f>
        <v>829.01750158143022</v>
      </c>
      <c r="Q29" s="2">
        <f>Q7/'Output-Calculation-sheet'!Q6*'Output-Calculation-sheet'!Q15</f>
        <v>934.14147484604746</v>
      </c>
      <c r="R29" s="2">
        <f>R7/'Output-Calculation-sheet'!R6*'Output-Calculation-sheet'!R15</f>
        <v>623.72106136629043</v>
      </c>
      <c r="S29" s="2">
        <f>S7/'Output-Calculation-sheet'!S6*'Output-Calculation-sheet'!S15</f>
        <v>644.23786651817909</v>
      </c>
      <c r="T29" s="2">
        <f>T7/'Output-Calculation-sheet'!T6*'Output-Calculation-sheet'!T15</f>
        <v>189.0493977334049</v>
      </c>
      <c r="U29" s="2">
        <f>U7/'Output-Calculation-sheet'!U6*'Output-Calculation-sheet'!U15</f>
        <v>188.71371553813944</v>
      </c>
      <c r="V29" s="2">
        <f>V7/'Output-Calculation-sheet'!V6*'Output-Calculation-sheet'!V15</f>
        <v>146.87228154625217</v>
      </c>
      <c r="W29" s="2">
        <f>W7/'Output-Calculation-sheet'!W6*'Output-Calculation-sheet'!W15</f>
        <v>89.085143292634385</v>
      </c>
      <c r="X29" s="2">
        <f>X7/'Output-Calculation-sheet'!X6*'Output-Calculation-sheet'!X15</f>
        <v>0</v>
      </c>
      <c r="Y29" s="2">
        <f>Y7/'Output-Calculation-sheet'!Y6*'Output-Calculation-sheet'!Y15</f>
        <v>75.31958699280888</v>
      </c>
      <c r="AA29" s="2">
        <f t="shared" si="1"/>
        <v>25.168284182128328</v>
      </c>
    </row>
    <row r="30" spans="1:27" x14ac:dyDescent="0.25">
      <c r="A30" s="2">
        <v>2031</v>
      </c>
      <c r="B30" s="2">
        <f>B8/'Output-Calculation-sheet'!B7*'Output-Calculation-sheet'!B16</f>
        <v>18085.468178909639</v>
      </c>
      <c r="C30" s="2">
        <f>C8/'Output-Calculation-sheet'!C7*'Output-Calculation-sheet'!C16</f>
        <v>0</v>
      </c>
      <c r="D30" s="2">
        <f>D8/'Output-Calculation-sheet'!D7*'Output-Calculation-sheet'!D16</f>
        <v>3045.353757677432</v>
      </c>
      <c r="E30" s="2">
        <f>E8/'Output-Calculation-sheet'!E7*'Output-Calculation-sheet'!E16</f>
        <v>3276.6285872967997</v>
      </c>
      <c r="F30" s="2">
        <f>F8/'Output-Calculation-sheet'!F7*'Output-Calculation-sheet'!F16</f>
        <v>1653.0765581237924</v>
      </c>
      <c r="G30" s="2">
        <f>G8/'Output-Calculation-sheet'!G7*'Output-Calculation-sheet'!G16</f>
        <v>1082.5688069977859</v>
      </c>
      <c r="H30" s="2">
        <f>H8/'Output-Calculation-sheet'!H7*'Output-Calculation-sheet'!H16</f>
        <v>0</v>
      </c>
      <c r="I30" s="2">
        <f>I8/'Output-Calculation-sheet'!I7*'Output-Calculation-sheet'!I16</f>
        <v>1055.3424923787115</v>
      </c>
      <c r="J30" s="2">
        <f>J8/'Output-Calculation-sheet'!J7*'Output-Calculation-sheet'!J16</f>
        <v>939.45774349220176</v>
      </c>
      <c r="K30" s="2">
        <f>K8/'Output-Calculation-sheet'!K7*'Output-Calculation-sheet'!K16</f>
        <v>1254.3556553351107</v>
      </c>
      <c r="L30" s="2">
        <f>L8/'Output-Calculation-sheet'!L7*'Output-Calculation-sheet'!L16</f>
        <v>1059.5227213720323</v>
      </c>
      <c r="M30" s="2">
        <f>M8/'Output-Calculation-sheet'!M7*'Output-Calculation-sheet'!M16</f>
        <v>0</v>
      </c>
      <c r="N30" s="2">
        <f>N8/'Output-Calculation-sheet'!N7*'Output-Calculation-sheet'!N16</f>
        <v>1504.9627622206713</v>
      </c>
      <c r="O30" s="2">
        <f>O8/'Output-Calculation-sheet'!O7*'Output-Calculation-sheet'!O16</f>
        <v>0</v>
      </c>
      <c r="P30" s="2">
        <f>P8/'Output-Calculation-sheet'!P7*'Output-Calculation-sheet'!P16</f>
        <v>1352.611148912192</v>
      </c>
      <c r="Q30" s="2">
        <f>Q8/'Output-Calculation-sheet'!Q7*'Output-Calculation-sheet'!Q16</f>
        <v>1487.4255506687073</v>
      </c>
      <c r="R30" s="2">
        <f>R8/'Output-Calculation-sheet'!R7*'Output-Calculation-sheet'!R16</f>
        <v>943.77797682211678</v>
      </c>
      <c r="S30" s="2">
        <f>S8/'Output-Calculation-sheet'!S7*'Output-Calculation-sheet'!S16</f>
        <v>949.16389819370249</v>
      </c>
      <c r="T30" s="2">
        <f>T8/'Output-Calculation-sheet'!T7*'Output-Calculation-sheet'!T16</f>
        <v>283.30858255019876</v>
      </c>
      <c r="U30" s="2">
        <f>U8/'Output-Calculation-sheet'!U7*'Output-Calculation-sheet'!U16</f>
        <v>282.802175642946</v>
      </c>
      <c r="V30" s="2">
        <f>V8/'Output-Calculation-sheet'!V7*'Output-Calculation-sheet'!V16</f>
        <v>220.09955766566614</v>
      </c>
      <c r="W30" s="2">
        <f>W8/'Output-Calculation-sheet'!W7*'Output-Calculation-sheet'!W16</f>
        <v>133.50147750107934</v>
      </c>
      <c r="X30" s="2">
        <f>X8/'Output-Calculation-sheet'!X7*'Output-Calculation-sheet'!X16</f>
        <v>0</v>
      </c>
      <c r="Y30" s="2">
        <f>Y8/'Output-Calculation-sheet'!Y7*'Output-Calculation-sheet'!Y16</f>
        <v>112.99382327585751</v>
      </c>
      <c r="AA30" s="2">
        <f t="shared" si="1"/>
        <v>38.722421455036631</v>
      </c>
    </row>
    <row r="31" spans="1:27" x14ac:dyDescent="0.25">
      <c r="A31" s="2">
        <v>2032</v>
      </c>
      <c r="B31" s="2">
        <f>B9/'Output-Calculation-sheet'!B8*'Output-Calculation-sheet'!B17</f>
        <v>23239.937585794723</v>
      </c>
      <c r="C31" s="2">
        <f>C9/'Output-Calculation-sheet'!C8*'Output-Calculation-sheet'!C17</f>
        <v>0</v>
      </c>
      <c r="D31" s="2">
        <f>D9/'Output-Calculation-sheet'!D8*'Output-Calculation-sheet'!D17</f>
        <v>3897.6426651406377</v>
      </c>
      <c r="E31" s="2">
        <f>E9/'Output-Calculation-sheet'!E8*'Output-Calculation-sheet'!E17</f>
        <v>4581.1464249203937</v>
      </c>
      <c r="F31" s="2">
        <f>F9/'Output-Calculation-sheet'!F8*'Output-Calculation-sheet'!F17</f>
        <v>2115.7668938205766</v>
      </c>
      <c r="G31" s="2">
        <f>G9/'Output-Calculation-sheet'!G8*'Output-Calculation-sheet'!G17</f>
        <v>1385.5631853858133</v>
      </c>
      <c r="H31" s="2">
        <f>H9/'Output-Calculation-sheet'!H8*'Output-Calculation-sheet'!H17</f>
        <v>0</v>
      </c>
      <c r="I31" s="2">
        <f>I9/'Output-Calculation-sheet'!I8*'Output-Calculation-sheet'!I17</f>
        <v>1350.7229702520838</v>
      </c>
      <c r="J31" s="2">
        <f>J9/'Output-Calculation-sheet'!J8*'Output-Calculation-sheet'!J17</f>
        <v>1202.4037950584507</v>
      </c>
      <c r="K31" s="2">
        <f>K9/'Output-Calculation-sheet'!K8*'Output-Calculation-sheet'!K17</f>
        <v>1711.9037485833226</v>
      </c>
      <c r="L31" s="2">
        <f>L9/'Output-Calculation-sheet'!L8*'Output-Calculation-sheet'!L17</f>
        <v>1459.9529524714685</v>
      </c>
      <c r="M31" s="2">
        <f>M9/'Output-Calculation-sheet'!M8*'Output-Calculation-sheet'!M17</f>
        <v>0</v>
      </c>
      <c r="N31" s="2">
        <f>N9/'Output-Calculation-sheet'!N8*'Output-Calculation-sheet'!N17</f>
        <v>1587.1181774210281</v>
      </c>
      <c r="O31" s="2">
        <f>O9/'Output-Calculation-sheet'!O8*'Output-Calculation-sheet'!O17</f>
        <v>0</v>
      </c>
      <c r="P31" s="2">
        <f>P9/'Output-Calculation-sheet'!P8*'Output-Calculation-sheet'!P17</f>
        <v>1969.8599964841237</v>
      </c>
      <c r="Q31" s="2">
        <f>Q9/'Output-Calculation-sheet'!Q8*'Output-Calculation-sheet'!Q17</f>
        <v>2100.051740979608</v>
      </c>
      <c r="R31" s="2">
        <f>R9/'Output-Calculation-sheet'!R8*'Output-Calculation-sheet'!R17</f>
        <v>1373.9648353966109</v>
      </c>
      <c r="S31" s="2">
        <f>S9/'Output-Calculation-sheet'!S8*'Output-Calculation-sheet'!S17</f>
        <v>1182.2357672948399</v>
      </c>
      <c r="T31" s="2">
        <f>T9/'Output-Calculation-sheet'!T8*'Output-Calculation-sheet'!T17</f>
        <v>372.83539637231763</v>
      </c>
      <c r="U31" s="2">
        <f>U9/'Output-Calculation-sheet'!U8*'Output-Calculation-sheet'!U17</f>
        <v>428.50673093841237</v>
      </c>
      <c r="V31" s="2">
        <f>V9/'Output-Calculation-sheet'!V8*'Output-Calculation-sheet'!V17</f>
        <v>306.91903919160137</v>
      </c>
      <c r="W31" s="2">
        <f>W9/'Output-Calculation-sheet'!W8*'Output-Calculation-sheet'!W17</f>
        <v>170.86907065091094</v>
      </c>
      <c r="X31" s="2">
        <f>X9/'Output-Calculation-sheet'!X8*'Output-Calculation-sheet'!X17</f>
        <v>0</v>
      </c>
      <c r="Y31" s="2">
        <f>Y9/'Output-Calculation-sheet'!Y8*'Output-Calculation-sheet'!Y17</f>
        <v>165.09654146955288</v>
      </c>
      <c r="AA31" s="2">
        <f t="shared" si="1"/>
        <v>50.602497517626475</v>
      </c>
    </row>
    <row r="32" spans="1:27" x14ac:dyDescent="0.25">
      <c r="A32" s="2">
        <v>2033</v>
      </c>
      <c r="B32" s="2">
        <f>B10/'Output-Calculation-sheet'!B9*'Output-Calculation-sheet'!B18</f>
        <v>24064.618524043002</v>
      </c>
      <c r="C32" s="2">
        <f>C10/'Output-Calculation-sheet'!C9*'Output-Calculation-sheet'!C18</f>
        <v>0</v>
      </c>
      <c r="D32" s="2">
        <f>D10/'Output-Calculation-sheet'!D9*'Output-Calculation-sheet'!D18</f>
        <v>4622.7327663471697</v>
      </c>
      <c r="E32" s="2">
        <f>E10/'Output-Calculation-sheet'!E9*'Output-Calculation-sheet'!E18</f>
        <v>6457.7224140145054</v>
      </c>
      <c r="F32" s="2">
        <f>F10/'Output-Calculation-sheet'!F9*'Output-Calculation-sheet'!F18</f>
        <v>2606.89214393473</v>
      </c>
      <c r="G32" s="2">
        <f>G10/'Output-Calculation-sheet'!G9*'Output-Calculation-sheet'!G18</f>
        <v>1626.2942831592893</v>
      </c>
      <c r="H32" s="2">
        <f>H10/'Output-Calculation-sheet'!H9*'Output-Calculation-sheet'!H18</f>
        <v>0</v>
      </c>
      <c r="I32" s="2">
        <f>I10/'Output-Calculation-sheet'!I9*'Output-Calculation-sheet'!I18</f>
        <v>1716.9848767479129</v>
      </c>
      <c r="J32" s="2">
        <f>J10/'Output-Calculation-sheet'!J9*'Output-Calculation-sheet'!J18</f>
        <v>1378.107526085678</v>
      </c>
      <c r="K32" s="2">
        <f>K10/'Output-Calculation-sheet'!K9*'Output-Calculation-sheet'!K18</f>
        <v>2293.6905743376537</v>
      </c>
      <c r="L32" s="2">
        <f>L10/'Output-Calculation-sheet'!L9*'Output-Calculation-sheet'!L18</f>
        <v>1981.374091338291</v>
      </c>
      <c r="M32" s="2">
        <f>M10/'Output-Calculation-sheet'!M9*'Output-Calculation-sheet'!M18</f>
        <v>0</v>
      </c>
      <c r="N32" s="2">
        <f>N10/'Output-Calculation-sheet'!N9*'Output-Calculation-sheet'!N18</f>
        <v>1466.4143348496623</v>
      </c>
      <c r="O32" s="2">
        <f>O10/'Output-Calculation-sheet'!O9*'Output-Calculation-sheet'!O18</f>
        <v>0</v>
      </c>
      <c r="P32" s="2">
        <f>P10/'Output-Calculation-sheet'!P9*'Output-Calculation-sheet'!P18</f>
        <v>2360.9016448463053</v>
      </c>
      <c r="Q32" s="2">
        <f>Q10/'Output-Calculation-sheet'!Q9*'Output-Calculation-sheet'!Q18</f>
        <v>2569.9076320572581</v>
      </c>
      <c r="R32" s="2">
        <f>R10/'Output-Calculation-sheet'!R9*'Output-Calculation-sheet'!R18</f>
        <v>1695.2499986210937</v>
      </c>
      <c r="S32" s="2">
        <f>S10/'Output-Calculation-sheet'!S9*'Output-Calculation-sheet'!S18</f>
        <v>1112.4329051674442</v>
      </c>
      <c r="T32" s="2">
        <f>T10/'Output-Calculation-sheet'!T9*'Output-Calculation-sheet'!T18</f>
        <v>494.83166584312215</v>
      </c>
      <c r="U32" s="2">
        <f>U10/'Output-Calculation-sheet'!U9*'Output-Calculation-sheet'!U18</f>
        <v>547.27818793568224</v>
      </c>
      <c r="V32" s="2">
        <f>V10/'Output-Calculation-sheet'!V9*'Output-Calculation-sheet'!V18</f>
        <v>404.15303415140676</v>
      </c>
      <c r="W32" s="2">
        <f>W10/'Output-Calculation-sheet'!W9*'Output-Calculation-sheet'!W18</f>
        <v>201.60310264156638</v>
      </c>
      <c r="X32" s="2">
        <f>X10/'Output-Calculation-sheet'!X9*'Output-Calculation-sheet'!X18</f>
        <v>0</v>
      </c>
      <c r="Y32" s="2">
        <f>Y10/'Output-Calculation-sheet'!Y9*'Output-Calculation-sheet'!Y18</f>
        <v>234.12283227318076</v>
      </c>
      <c r="AA32" s="2">
        <f t="shared" si="1"/>
        <v>57.835312538394973</v>
      </c>
    </row>
    <row r="33" spans="1:27" x14ac:dyDescent="0.25">
      <c r="A33" s="2">
        <v>2034</v>
      </c>
      <c r="B33" s="2">
        <f>B11/'Output-Calculation-sheet'!B10*'Output-Calculation-sheet'!B19</f>
        <v>20269.439032096878</v>
      </c>
      <c r="C33" s="2">
        <f>C11/'Output-Calculation-sheet'!C10*'Output-Calculation-sheet'!C19</f>
        <v>0</v>
      </c>
      <c r="D33" s="2">
        <f>D11/'Output-Calculation-sheet'!D10*'Output-Calculation-sheet'!D19</f>
        <v>6046.15103510473</v>
      </c>
      <c r="E33" s="2">
        <f>E11/'Output-Calculation-sheet'!E10*'Output-Calculation-sheet'!E19</f>
        <v>7488.5623502582166</v>
      </c>
      <c r="F33" s="2">
        <f>F11/'Output-Calculation-sheet'!F10*'Output-Calculation-sheet'!F19</f>
        <v>3436.2880154697264</v>
      </c>
      <c r="G33" s="2">
        <f>G11/'Output-Calculation-sheet'!G10*'Output-Calculation-sheet'!G19</f>
        <v>2058.0526290691932</v>
      </c>
      <c r="H33" s="2">
        <f>H11/'Output-Calculation-sheet'!H10*'Output-Calculation-sheet'!H19</f>
        <v>0</v>
      </c>
      <c r="I33" s="2">
        <f>I11/'Output-Calculation-sheet'!I10*'Output-Calculation-sheet'!I19</f>
        <v>2245.6240241160303</v>
      </c>
      <c r="J33" s="2">
        <f>J11/'Output-Calculation-sheet'!J10*'Output-Calculation-sheet'!J19</f>
        <v>1898.8198216422591</v>
      </c>
      <c r="K33" s="2">
        <f>K11/'Output-Calculation-sheet'!K10*'Output-Calculation-sheet'!K19</f>
        <v>2634.8865129748847</v>
      </c>
      <c r="L33" s="2">
        <f>L11/'Output-Calculation-sheet'!L10*'Output-Calculation-sheet'!L19</f>
        <v>2142.7904285503687</v>
      </c>
      <c r="M33" s="2">
        <f>M11/'Output-Calculation-sheet'!M10*'Output-Calculation-sheet'!M19</f>
        <v>0</v>
      </c>
      <c r="N33" s="2">
        <f>N11/'Output-Calculation-sheet'!N10*'Output-Calculation-sheet'!N19</f>
        <v>1211.6569357747801</v>
      </c>
      <c r="O33" s="2">
        <f>O11/'Output-Calculation-sheet'!O10*'Output-Calculation-sheet'!O19</f>
        <v>0</v>
      </c>
      <c r="P33" s="2">
        <f>P11/'Output-Calculation-sheet'!P10*'Output-Calculation-sheet'!P19</f>
        <v>2666.0403533575059</v>
      </c>
      <c r="Q33" s="2">
        <f>Q11/'Output-Calculation-sheet'!Q10*'Output-Calculation-sheet'!Q19</f>
        <v>2195.4562417949383</v>
      </c>
      <c r="R33" s="2">
        <f>R11/'Output-Calculation-sheet'!R10*'Output-Calculation-sheet'!R19</f>
        <v>1903.5098407343219</v>
      </c>
      <c r="S33" s="2">
        <f>S11/'Output-Calculation-sheet'!S10*'Output-Calculation-sheet'!S19</f>
        <v>887.34926423672755</v>
      </c>
      <c r="T33" s="2">
        <f>T11/'Output-Calculation-sheet'!T10*'Output-Calculation-sheet'!T19</f>
        <v>558.54496760362167</v>
      </c>
      <c r="U33" s="2">
        <f>U11/'Output-Calculation-sheet'!U10*'Output-Calculation-sheet'!U19</f>
        <v>642.83714268923688</v>
      </c>
      <c r="V33" s="2">
        <f>V11/'Output-Calculation-sheet'!V10*'Output-Calculation-sheet'!V19</f>
        <v>438.0082658223335</v>
      </c>
      <c r="W33" s="2">
        <f>W11/'Output-Calculation-sheet'!W10*'Output-Calculation-sheet'!W19</f>
        <v>273.14790629577146</v>
      </c>
      <c r="X33" s="2">
        <f>X11/'Output-Calculation-sheet'!X10*'Output-Calculation-sheet'!X19</f>
        <v>78.980573989967979</v>
      </c>
      <c r="Y33" s="2">
        <f>Y11/'Output-Calculation-sheet'!Y10*'Output-Calculation-sheet'!Y19</f>
        <v>245.82320267924402</v>
      </c>
      <c r="AA33" s="2">
        <f t="shared" si="1"/>
        <v>59.321968544260734</v>
      </c>
    </row>
    <row r="34" spans="1:27" x14ac:dyDescent="0.25">
      <c r="A34" s="2">
        <v>2035</v>
      </c>
      <c r="B34" s="2">
        <f>B12/'Output-Calculation-sheet'!B11*'Output-Calculation-sheet'!B20</f>
        <v>15937.353961315699</v>
      </c>
      <c r="C34" s="2">
        <f>C12/'Output-Calculation-sheet'!C11*'Output-Calculation-sheet'!C20</f>
        <v>0</v>
      </c>
      <c r="D34" s="2">
        <f>D12/'Output-Calculation-sheet'!D11*'Output-Calculation-sheet'!D20</f>
        <v>5001.6277070037377</v>
      </c>
      <c r="E34" s="2">
        <f>E12/'Output-Calculation-sheet'!E11*'Output-Calculation-sheet'!E20</f>
        <v>5465.0132305809175</v>
      </c>
      <c r="F34" s="2">
        <f>F12/'Output-Calculation-sheet'!F11*'Output-Calculation-sheet'!F20</f>
        <v>3443.2145981359158</v>
      </c>
      <c r="G34" s="2">
        <f>G12/'Output-Calculation-sheet'!G11*'Output-Calculation-sheet'!G20</f>
        <v>1839.9516540323457</v>
      </c>
      <c r="H34" s="2">
        <f>H12/'Output-Calculation-sheet'!H11*'Output-Calculation-sheet'!H20</f>
        <v>0</v>
      </c>
      <c r="I34" s="2">
        <f>I12/'Output-Calculation-sheet'!I11*'Output-Calculation-sheet'!I20</f>
        <v>1999.776903579444</v>
      </c>
      <c r="J34" s="2">
        <f>J12/'Output-Calculation-sheet'!J11*'Output-Calculation-sheet'!J20</f>
        <v>1716.8101985779615</v>
      </c>
      <c r="K34" s="2">
        <f>K12/'Output-Calculation-sheet'!K11*'Output-Calculation-sheet'!K20</f>
        <v>2257.1874049975368</v>
      </c>
      <c r="L34" s="2">
        <f>L12/'Output-Calculation-sheet'!L11*'Output-Calculation-sheet'!L20</f>
        <v>1783.8913603579745</v>
      </c>
      <c r="M34" s="2">
        <f>M12/'Output-Calculation-sheet'!M11*'Output-Calculation-sheet'!M20</f>
        <v>0</v>
      </c>
      <c r="N34" s="2">
        <f>N12/'Output-Calculation-sheet'!N11*'Output-Calculation-sheet'!N20</f>
        <v>992.73583540601476</v>
      </c>
      <c r="O34" s="2">
        <f>O12/'Output-Calculation-sheet'!O11*'Output-Calculation-sheet'!O20</f>
        <v>0</v>
      </c>
      <c r="P34" s="2">
        <f>P12/'Output-Calculation-sheet'!P11*'Output-Calculation-sheet'!P20</f>
        <v>2218.5832533031798</v>
      </c>
      <c r="Q34" s="2">
        <f>Q12/'Output-Calculation-sheet'!Q11*'Output-Calculation-sheet'!Q20</f>
        <v>1755.4992845305646</v>
      </c>
      <c r="R34" s="2">
        <f>R12/'Output-Calculation-sheet'!R11*'Output-Calculation-sheet'!R20</f>
        <v>1761.9947857951397</v>
      </c>
      <c r="S34" s="2">
        <f>S12/'Output-Calculation-sheet'!S11*'Output-Calculation-sheet'!S20</f>
        <v>673.03925428913954</v>
      </c>
      <c r="T34" s="2">
        <f>T12/'Output-Calculation-sheet'!T11*'Output-Calculation-sheet'!T20</f>
        <v>553.56433236547855</v>
      </c>
      <c r="U34" s="2">
        <f>U12/'Output-Calculation-sheet'!U11*'Output-Calculation-sheet'!U20</f>
        <v>505.04167259713807</v>
      </c>
      <c r="V34" s="2">
        <f>V12/'Output-Calculation-sheet'!V11*'Output-Calculation-sheet'!V20</f>
        <v>463.93254282674457</v>
      </c>
      <c r="W34" s="2">
        <f>W12/'Output-Calculation-sheet'!W11*'Output-Calculation-sheet'!W20</f>
        <v>298.47781511719597</v>
      </c>
      <c r="X34" s="2">
        <f>X12/'Output-Calculation-sheet'!X11*'Output-Calculation-sheet'!X20</f>
        <v>60.323489417920406</v>
      </c>
      <c r="Y34" s="2">
        <f>Y12/'Output-Calculation-sheet'!Y11*'Output-Calculation-sheet'!Y20</f>
        <v>167.30809122342919</v>
      </c>
      <c r="AA34" s="2">
        <f t="shared" si="1"/>
        <v>48.895327375453491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0.87710993856598318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0.17039886480802641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1.0475088033740096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0.98582477548900493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0.38303846589082252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1.3688632413798274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1.0093935885308349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0.58829405779403954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1.5976876463248746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0.96409114231526993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0.56189091811198399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1.5259820604272538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1.7164369265808401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0.26418637143207829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0.18178607566191987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0.66691503754281167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0.1565387694684448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1.9942380639341624E-2</v>
      </c>
      <c r="Y44" s="2">
        <f>Y11/'Output-Calculation-sheet'!Y10*'Output-Calculation-sheet'!Y37*0.0114</f>
        <v>0</v>
      </c>
      <c r="AA44" s="2">
        <f t="shared" si="2"/>
        <v>3.0058055613254364</v>
      </c>
    </row>
    <row r="45" spans="1:27" x14ac:dyDescent="0.25">
      <c r="A45" s="2">
        <v>2035</v>
      </c>
      <c r="B45" s="2">
        <f>B12/'Output-Calculation-sheet'!B11*'Output-Calculation-sheet'!B38*0.0114</f>
        <v>1.4896188767463512</v>
      </c>
      <c r="C45" s="2">
        <f>C12/'Output-Calculation-sheet'!C11*'Output-Calculation-sheet'!C38*0.0114</f>
        <v>1.4140126852565107</v>
      </c>
      <c r="D45" s="2">
        <f>D12/'Output-Calculation-sheet'!D11*'Output-Calculation-sheet'!D38*0.0114</f>
        <v>0.62628848069948606</v>
      </c>
      <c r="E45" s="2">
        <f>E12/'Output-Calculation-sheet'!E11*'Output-Calculation-sheet'!E38*0.0114</f>
        <v>0.49773229071360919</v>
      </c>
      <c r="F45" s="2">
        <f>F12/'Output-Calculation-sheet'!F11*'Output-Calculation-sheet'!F38*0.0114</f>
        <v>0.31303947954215133</v>
      </c>
      <c r="G45" s="2">
        <f>G12/'Output-Calculation-sheet'!G11*'Output-Calculation-sheet'!G38*0.0114</f>
        <v>0.22466313414130437</v>
      </c>
      <c r="H45" s="2">
        <f>H12/'Output-Calculation-sheet'!H11*'Output-Calculation-sheet'!H38*0.0114</f>
        <v>0.21763857132868142</v>
      </c>
      <c r="I45" s="2">
        <f>I12/'Output-Calculation-sheet'!I11*'Output-Calculation-sheet'!I38*0.0114</f>
        <v>0.20207107580111205</v>
      </c>
      <c r="J45" s="2">
        <f>J12/'Output-Calculation-sheet'!J11*'Output-Calculation-sheet'!J38*0.0114</f>
        <v>0.19998402166011445</v>
      </c>
      <c r="K45" s="2">
        <f>K12/'Output-Calculation-sheet'!K11*'Output-Calculation-sheet'!K38*0.0114</f>
        <v>0.1986040599006817</v>
      </c>
      <c r="L45" s="2">
        <f>L12/'Output-Calculation-sheet'!L11*'Output-Calculation-sheet'!L38*0.0114</f>
        <v>0.15792043166491354</v>
      </c>
      <c r="M45" s="2">
        <f>M12/'Output-Calculation-sheet'!M11*'Output-Calculation-sheet'!M38*0.0114</f>
        <v>0.14975663422774083</v>
      </c>
      <c r="N45" s="2">
        <f>N12/'Output-Calculation-sheet'!N11*'Output-Calculation-sheet'!N38*0.0114</f>
        <v>0.1471867411058469</v>
      </c>
      <c r="O45" s="2">
        <f>O12/'Output-Calculation-sheet'!O11*'Output-Calculation-sheet'!O38*0.0114</f>
        <v>0.54940924916616396</v>
      </c>
      <c r="P45" s="2">
        <f>P12/'Output-Calculation-sheet'!P11*'Output-Calculation-sheet'!P38*0.0114</f>
        <v>0.13597402805116127</v>
      </c>
      <c r="Q45" s="2">
        <f>Q12/'Output-Calculation-sheet'!Q11*'Output-Calculation-sheet'!Q38*0.0114</f>
        <v>0.1289577276828649</v>
      </c>
      <c r="R45" s="2">
        <f>R12/'Output-Calculation-sheet'!R11*'Output-Calculation-sheet'!R38*0.0114</f>
        <v>0.12788563270726433</v>
      </c>
      <c r="S45" s="2">
        <f>S12/'Output-Calculation-sheet'!S11*'Output-Calculation-sheet'!S38*0.0114</f>
        <v>8.4372292098970625E-2</v>
      </c>
      <c r="T45" s="2">
        <f>T12/'Output-Calculation-sheet'!T11*'Output-Calculation-sheet'!T38*0.0114</f>
        <v>4.7313190800468252E-2</v>
      </c>
      <c r="U45" s="2">
        <f>U12/'Output-Calculation-sheet'!U11*'Output-Calculation-sheet'!U38*0.0114</f>
        <v>4.1145394608785635E-2</v>
      </c>
      <c r="V45" s="2">
        <f>V12/'Output-Calculation-sheet'!V11*'Output-Calculation-sheet'!V38*0.0114</f>
        <v>3.1726830924150046E-2</v>
      </c>
      <c r="W45" s="2">
        <f>W12/'Output-Calculation-sheet'!W11*'Output-Calculation-sheet'!W38*0.0114</f>
        <v>2.7473049657952379E-2</v>
      </c>
      <c r="X45" s="2">
        <f>X12/'Output-Calculation-sheet'!X11*'Output-Calculation-sheet'!X38*0.0114</f>
        <v>1.6428671954998749E-2</v>
      </c>
      <c r="Y45" s="2">
        <f>Y12/'Output-Calculation-sheet'!Y11*'Output-Calculation-sheet'!Y38*0.0114</f>
        <v>1.5853973151133311E-2</v>
      </c>
      <c r="AA45" s="2">
        <f t="shared" si="2"/>
        <v>7.0450565235924154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8001.704702707214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1752.6429767627296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1238.5841948653988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175.20819045408629</v>
      </c>
      <c r="Y51" s="2">
        <f>Y7/'Output-Calculation-sheet'!Y6*'Output-Calculation-sheet'!Y42</f>
        <v>0</v>
      </c>
      <c r="AA51" s="2">
        <f t="shared" si="3"/>
        <v>11.16814006478943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20235.350654774309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6601.7506131784767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4506.0161624099592</v>
      </c>
      <c r="N52" s="2">
        <f>N8/'Output-Calculation-sheet'!N7*'Output-Calculation-sheet'!N43</f>
        <v>144.02246635922018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582.73623399656299</v>
      </c>
      <c r="Y52" s="2">
        <f>Y8/'Output-Calculation-sheet'!Y7*'Output-Calculation-sheet'!Y43</f>
        <v>0</v>
      </c>
      <c r="AA52" s="2">
        <f t="shared" si="3"/>
        <v>32.069876130718526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43297.672350138448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11965.552791359221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8177.2060376790305</v>
      </c>
      <c r="N53" s="2">
        <f>N9/'Output-Calculation-sheet'!N8*'Output-Calculation-sheet'!N44</f>
        <v>2912.4478465119155</v>
      </c>
      <c r="O53" s="2">
        <f>O9/'Output-Calculation-sheet'!O8*'Output-Calculation-sheet'!O44</f>
        <v>0</v>
      </c>
      <c r="P53" s="2">
        <f>P9/'Output-Calculation-sheet'!P8*'Output-Calculation-sheet'!P44</f>
        <v>136.23174850551959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908.72124044649627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1022.5657142497196</v>
      </c>
      <c r="Y53" s="2">
        <f>Y9/'Output-Calculation-sheet'!Y8*'Output-Calculation-sheet'!Y44</f>
        <v>0</v>
      </c>
      <c r="AA53" s="2">
        <f t="shared" si="3"/>
        <v>68.42039772889035</v>
      </c>
    </row>
    <row r="54" spans="1:27" x14ac:dyDescent="0.25">
      <c r="A54" s="2">
        <v>2033</v>
      </c>
      <c r="B54" s="2">
        <f>B10/'Output-Calculation-sheet'!B9*'Output-Calculation-sheet'!B45</f>
        <v>22807.362657545789</v>
      </c>
      <c r="C54" s="2">
        <f>C10/'Output-Calculation-sheet'!C9*'Output-Calculation-sheet'!C45</f>
        <v>52263.888241301473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16531.015121351731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213.80633208396478</v>
      </c>
      <c r="L54" s="2">
        <f>L10/'Output-Calculation-sheet'!L9*'Output-Calculation-sheet'!L45</f>
        <v>0</v>
      </c>
      <c r="M54" s="2">
        <f>M10/'Output-Calculation-sheet'!M9*'Output-Calculation-sheet'!M45</f>
        <v>11339.129422693904</v>
      </c>
      <c r="N54" s="2">
        <f>N10/'Output-Calculation-sheet'!N9*'Output-Calculation-sheet'!N45</f>
        <v>6355.7356122597648</v>
      </c>
      <c r="O54" s="2">
        <f>O10/'Output-Calculation-sheet'!O9*'Output-Calculation-sheet'!O45</f>
        <v>0</v>
      </c>
      <c r="P54" s="2">
        <f>P10/'Output-Calculation-sheet'!P9*'Output-Calculation-sheet'!P45</f>
        <v>1724.0575547084727</v>
      </c>
      <c r="Q54" s="2">
        <f>Q10/'Output-Calculation-sheet'!Q9*'Output-Calculation-sheet'!Q45</f>
        <v>678.7189578187498</v>
      </c>
      <c r="R54" s="2">
        <f>R10/'Output-Calculation-sheet'!R9*'Output-Calculation-sheet'!R45</f>
        <v>1131.992130534474</v>
      </c>
      <c r="S54" s="2">
        <f>S10/'Output-Calculation-sheet'!S9*'Output-Calculation-sheet'!S45</f>
        <v>2704.7340789366854</v>
      </c>
      <c r="T54" s="2">
        <f>T10/'Output-Calculation-sheet'!T9*'Output-Calculation-sheet'!T45</f>
        <v>56.594231811416726</v>
      </c>
      <c r="U54" s="2">
        <f>U10/'Output-Calculation-sheet'!U9*'Output-Calculation-sheet'!U45</f>
        <v>408.49736145129975</v>
      </c>
      <c r="V54" s="2">
        <f>V10/'Output-Calculation-sheet'!V9*'Output-Calculation-sheet'!V45</f>
        <v>30.360338731501518</v>
      </c>
      <c r="W54" s="2">
        <f>W10/'Output-Calculation-sheet'!W9*'Output-Calculation-sheet'!W45</f>
        <v>0</v>
      </c>
      <c r="X54" s="2">
        <f>X10/'Output-Calculation-sheet'!X9*'Output-Calculation-sheet'!X45</f>
        <v>1302.8845007094114</v>
      </c>
      <c r="Y54" s="2">
        <f>Y10/'Output-Calculation-sheet'!Y9*'Output-Calculation-sheet'!Y45</f>
        <v>13.274742022827912</v>
      </c>
      <c r="AA54" s="2">
        <f t="shared" si="3"/>
        <v>117.56205128396147</v>
      </c>
    </row>
    <row r="55" spans="1:27" x14ac:dyDescent="0.25">
      <c r="A55" s="2">
        <v>2034</v>
      </c>
      <c r="B55" s="2">
        <f>B11/'Output-Calculation-sheet'!B10*'Output-Calculation-sheet'!B46</f>
        <v>57735.940274538407</v>
      </c>
      <c r="C55" s="2">
        <f>C11/'Output-Calculation-sheet'!C10*'Output-Calculation-sheet'!C46</f>
        <v>47503.144766338162</v>
      </c>
      <c r="D55" s="2">
        <f>D11/'Output-Calculation-sheet'!D10*'Output-Calculation-sheet'!D46</f>
        <v>5334.9960602706515</v>
      </c>
      <c r="E55" s="2">
        <f>E11/'Output-Calculation-sheet'!E10*'Output-Calculation-sheet'!E46</f>
        <v>6571.8432198278724</v>
      </c>
      <c r="F55" s="2">
        <f>F11/'Output-Calculation-sheet'!F10*'Output-Calculation-sheet'!F46</f>
        <v>199.99542242114597</v>
      </c>
      <c r="G55" s="2">
        <f>G11/'Output-Calculation-sheet'!G10*'Output-Calculation-sheet'!G46</f>
        <v>2368.2999183765169</v>
      </c>
      <c r="H55" s="2">
        <f>H11/'Output-Calculation-sheet'!H10*'Output-Calculation-sheet'!H46</f>
        <v>17125.765656868934</v>
      </c>
      <c r="I55" s="2">
        <f>I11/'Output-Calculation-sheet'!I10*'Output-Calculation-sheet'!I46</f>
        <v>1290.9965932427092</v>
      </c>
      <c r="J55" s="2">
        <f>J11/'Output-Calculation-sheet'!J10*'Output-Calculation-sheet'!J46</f>
        <v>936.95269880295393</v>
      </c>
      <c r="K55" s="2">
        <f>K11/'Output-Calculation-sheet'!K10*'Output-Calculation-sheet'!K46</f>
        <v>2516.5454351986523</v>
      </c>
      <c r="L55" s="2">
        <f>L11/'Output-Calculation-sheet'!L10*'Output-Calculation-sheet'!L46</f>
        <v>924.84872926524588</v>
      </c>
      <c r="M55" s="2">
        <f>M11/'Output-Calculation-sheet'!M10*'Output-Calculation-sheet'!M46</f>
        <v>12103.125563806769</v>
      </c>
      <c r="N55" s="2">
        <f>N11/'Output-Calculation-sheet'!N10*'Output-Calculation-sheet'!N46</f>
        <v>9231.1046962443306</v>
      </c>
      <c r="O55" s="2">
        <f>O11/'Output-Calculation-sheet'!O10*'Output-Calculation-sheet'!O46</f>
        <v>204.7546167894597</v>
      </c>
      <c r="P55" s="2">
        <f>P11/'Output-Calculation-sheet'!P10*'Output-Calculation-sheet'!P46</f>
        <v>3431.4209732195536</v>
      </c>
      <c r="Q55" s="2">
        <f>Q11/'Output-Calculation-sheet'!Q10*'Output-Calculation-sheet'!Q46</f>
        <v>2018.5262378825778</v>
      </c>
      <c r="R55" s="2">
        <f>R11/'Output-Calculation-sheet'!R10*'Output-Calculation-sheet'!R46</f>
        <v>2777.9320354670831</v>
      </c>
      <c r="S55" s="2">
        <f>S11/'Output-Calculation-sheet'!S10*'Output-Calculation-sheet'!S46</f>
        <v>4536.9178742487338</v>
      </c>
      <c r="T55" s="2">
        <f>T11/'Output-Calculation-sheet'!T10*'Output-Calculation-sheet'!T46</f>
        <v>629.74096177844558</v>
      </c>
      <c r="U55" s="2">
        <f>U11/'Output-Calculation-sheet'!U10*'Output-Calculation-sheet'!U46</f>
        <v>1051.4827826195374</v>
      </c>
      <c r="V55" s="2">
        <f>V11/'Output-Calculation-sheet'!V10*'Output-Calculation-sheet'!V46</f>
        <v>425.66400954551364</v>
      </c>
      <c r="W55" s="2">
        <f>W11/'Output-Calculation-sheet'!W10*'Output-Calculation-sheet'!W46</f>
        <v>55.58148736379529</v>
      </c>
      <c r="X55" s="2">
        <f>X11/'Output-Calculation-sheet'!X10*'Output-Calculation-sheet'!X46</f>
        <v>1238.5267976012167</v>
      </c>
      <c r="Y55" s="2">
        <f>Y11/'Output-Calculation-sheet'!Y10*'Output-Calculation-sheet'!Y46</f>
        <v>322.43425752129275</v>
      </c>
      <c r="AA55" s="2">
        <f t="shared" si="3"/>
        <v>180.53654106923958</v>
      </c>
    </row>
    <row r="56" spans="1:27" x14ac:dyDescent="0.25">
      <c r="A56" s="2">
        <v>2035</v>
      </c>
      <c r="B56" s="2">
        <f>B12/'Output-Calculation-sheet'!B11*'Output-Calculation-sheet'!B47</f>
        <v>60499.433327505314</v>
      </c>
      <c r="C56" s="2">
        <f>C12/'Output-Calculation-sheet'!C11*'Output-Calculation-sheet'!C47</f>
        <v>39753.602247781724</v>
      </c>
      <c r="D56" s="2">
        <f>D12/'Output-Calculation-sheet'!D11*'Output-Calculation-sheet'!D47</f>
        <v>4834.5075703118218</v>
      </c>
      <c r="E56" s="2">
        <f>E12/'Output-Calculation-sheet'!E11*'Output-Calculation-sheet'!E47</f>
        <v>13578.486176485303</v>
      </c>
      <c r="F56" s="2">
        <f>F12/'Output-Calculation-sheet'!F11*'Output-Calculation-sheet'!F47</f>
        <v>1675.0358115851959</v>
      </c>
      <c r="G56" s="2">
        <f>G12/'Output-Calculation-sheet'!G11*'Output-Calculation-sheet'!G47</f>
        <v>3783.8001539588104</v>
      </c>
      <c r="H56" s="2">
        <f>H12/'Output-Calculation-sheet'!H11*'Output-Calculation-sheet'!H47</f>
        <v>14451.964780334371</v>
      </c>
      <c r="I56" s="2">
        <f>I12/'Output-Calculation-sheet'!I11*'Output-Calculation-sheet'!I47</f>
        <v>1914.3575602210617</v>
      </c>
      <c r="J56" s="2">
        <f>J12/'Output-Calculation-sheet'!J11*'Output-Calculation-sheet'!J47</f>
        <v>1736.7033459957306</v>
      </c>
      <c r="K56" s="2">
        <f>K12/'Output-Calculation-sheet'!K11*'Output-Calculation-sheet'!K47</f>
        <v>2508.6828619033477</v>
      </c>
      <c r="L56" s="2">
        <f>L12/'Output-Calculation-sheet'!L11*'Output-Calculation-sheet'!L47</f>
        <v>1385.2669444290661</v>
      </c>
      <c r="M56" s="2">
        <f>M12/'Output-Calculation-sheet'!M11*'Output-Calculation-sheet'!M47</f>
        <v>10075.731443217299</v>
      </c>
      <c r="N56" s="2">
        <f>N12/'Output-Calculation-sheet'!N11*'Output-Calculation-sheet'!N47</f>
        <v>7695.0261139548029</v>
      </c>
      <c r="O56" s="2">
        <f>O12/'Output-Calculation-sheet'!O11*'Output-Calculation-sheet'!O47</f>
        <v>722.90690679758416</v>
      </c>
      <c r="P56" s="2">
        <f>P12/'Output-Calculation-sheet'!P11*'Output-Calculation-sheet'!P47</f>
        <v>3995.7280172928963</v>
      </c>
      <c r="Q56" s="2">
        <f>Q12/'Output-Calculation-sheet'!Q11*'Output-Calculation-sheet'!Q47</f>
        <v>2024.8625662484926</v>
      </c>
      <c r="R56" s="2">
        <f>R12/'Output-Calculation-sheet'!R11*'Output-Calculation-sheet'!R47</f>
        <v>2950.3439826325011</v>
      </c>
      <c r="S56" s="2">
        <f>S12/'Output-Calculation-sheet'!S11*'Output-Calculation-sheet'!S47</f>
        <v>3907.7693182681132</v>
      </c>
      <c r="T56" s="2">
        <f>T12/'Output-Calculation-sheet'!T11*'Output-Calculation-sheet'!T47</f>
        <v>1033.4196937997012</v>
      </c>
      <c r="U56" s="2">
        <f>U12/'Output-Calculation-sheet'!U11*'Output-Calculation-sheet'!U47</f>
        <v>988.9331686673039</v>
      </c>
      <c r="V56" s="2">
        <f>V12/'Output-Calculation-sheet'!V11*'Output-Calculation-sheet'!V47</f>
        <v>690.19772536747462</v>
      </c>
      <c r="W56" s="2">
        <f>W12/'Output-Calculation-sheet'!W11*'Output-Calculation-sheet'!W47</f>
        <v>392.81641177598578</v>
      </c>
      <c r="X56" s="2">
        <f>X12/'Output-Calculation-sheet'!X11*'Output-Calculation-sheet'!X47</f>
        <v>1040.4825571499207</v>
      </c>
      <c r="Y56" s="2">
        <f>Y12/'Output-Calculation-sheet'!Y11*'Output-Calculation-sheet'!Y47</f>
        <v>532.63786990211031</v>
      </c>
      <c r="AA56" s="2">
        <f t="shared" si="3"/>
        <v>182.17269655558587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4.7325266218002033</v>
      </c>
      <c r="C60" s="2">
        <f>C5*'Output-Calculation-sheet'!C49/10^9</f>
        <v>1.9088279039896519</v>
      </c>
      <c r="D60" s="2">
        <f>D5*'Output-Calculation-sheet'!D49/10^9</f>
        <v>1.2479113103982364</v>
      </c>
      <c r="E60" s="2">
        <f>E5*'Output-Calculation-sheet'!E49/10^9</f>
        <v>1.4478570355749143</v>
      </c>
      <c r="F60" s="2">
        <f>F5*'Output-Calculation-sheet'!F49/10^9</f>
        <v>0.66495763205205372</v>
      </c>
      <c r="G60" s="2">
        <f>G5*'Output-Calculation-sheet'!G49/10^9</f>
        <v>0.52456376982493724</v>
      </c>
      <c r="H60" s="2">
        <f>H5*'Output-Calculation-sheet'!H49/10^9</f>
        <v>0.5015586382936702</v>
      </c>
      <c r="I60" s="2">
        <f>I5*'Output-Calculation-sheet'!I49/10^9</f>
        <v>0.39488767836277638</v>
      </c>
      <c r="J60" s="2">
        <f>J5*'Output-Calculation-sheet'!J49/10^9</f>
        <v>0.61200494979529396</v>
      </c>
      <c r="K60" s="2">
        <f>K5*'Output-Calculation-sheet'!K49/10^9</f>
        <v>0.33969559657159665</v>
      </c>
      <c r="L60" s="2">
        <f>L5*'Output-Calculation-sheet'!L49/10^9</f>
        <v>0.44360234327415821</v>
      </c>
      <c r="M60" s="2">
        <f>M5*'Output-Calculation-sheet'!M49/10^9</f>
        <v>0.38393605865104324</v>
      </c>
      <c r="N60" s="2">
        <f>N5*'Output-Calculation-sheet'!N49/10^9</f>
        <v>0.32138992630717933</v>
      </c>
      <c r="O60" s="2">
        <f>O5*'Output-Calculation-sheet'!O49/10^9</f>
        <v>0.32214782965874689</v>
      </c>
      <c r="P60" s="2">
        <f>P5*'Output-Calculation-sheet'!P49/10^9</f>
        <v>0.33610445220847507</v>
      </c>
      <c r="Q60" s="2">
        <f>Q5*'Output-Calculation-sheet'!Q49/10^9</f>
        <v>0.291508831213391</v>
      </c>
      <c r="R60" s="2">
        <f>R5*'Output-Calculation-sheet'!R49/10^9</f>
        <v>0.30477495988604686</v>
      </c>
      <c r="S60" s="2">
        <f>S5*'Output-Calculation-sheet'!S49/10^9</f>
        <v>0.2147449171205105</v>
      </c>
      <c r="T60" s="2">
        <f>T5*'Output-Calculation-sheet'!T49/10^9</f>
        <v>0.13358478288436523</v>
      </c>
      <c r="U60" s="2">
        <f>U5*'Output-Calculation-sheet'!U49/10^9</f>
        <v>9.8155441098423488E-2</v>
      </c>
      <c r="V60" s="2">
        <f>V5*'Output-Calculation-sheet'!V49/10^9</f>
        <v>0.1866653328911749</v>
      </c>
      <c r="W60" s="2">
        <f>W5*'Output-Calculation-sheet'!W49/10^9</f>
        <v>7.4329551844645445E-2</v>
      </c>
      <c r="X60" s="2">
        <f>X5*'Output-Calculation-sheet'!X49/10^9</f>
        <v>5.4517657013671124E-2</v>
      </c>
      <c r="Y60" s="2">
        <f>Y5*'Output-Calculation-sheet'!Y49/10^9</f>
        <v>3.9426699172199708E-2</v>
      </c>
      <c r="AA60" s="2">
        <f t="shared" ref="AA60:AA67" si="4">SUM(B60:Y60)</f>
        <v>15.579679919887363</v>
      </c>
    </row>
    <row r="61" spans="1:27" x14ac:dyDescent="0.25">
      <c r="A61" s="2">
        <v>2029</v>
      </c>
      <c r="B61" s="2">
        <f>B6*'Output-Calculation-sheet'!B50/10^9</f>
        <v>5.8230241322488219</v>
      </c>
      <c r="C61" s="2">
        <f>C6*'Output-Calculation-sheet'!C50/10^9</f>
        <v>2.4956706135048767</v>
      </c>
      <c r="D61" s="2">
        <f>D6*'Output-Calculation-sheet'!D50/10^9</f>
        <v>1.4989299605219628</v>
      </c>
      <c r="E61" s="2">
        <f>E6*'Output-Calculation-sheet'!E50/10^9</f>
        <v>1.7326290389010897</v>
      </c>
      <c r="F61" s="2">
        <f>F6*'Output-Calculation-sheet'!F50/10^9</f>
        <v>0.79947958404968023</v>
      </c>
      <c r="G61" s="2">
        <f>G6*'Output-Calculation-sheet'!G50/10^9</f>
        <v>0.62510338692268219</v>
      </c>
      <c r="H61" s="2">
        <f>H6*'Output-Calculation-sheet'!H50/10^9</f>
        <v>0.64710172834274493</v>
      </c>
      <c r="I61" s="2">
        <f>I6*'Output-Calculation-sheet'!I50/10^9</f>
        <v>0.47662973874048392</v>
      </c>
      <c r="J61" s="2">
        <f>J6*'Output-Calculation-sheet'!J50/10^9</f>
        <v>0.72115226805161692</v>
      </c>
      <c r="K61" s="2">
        <f>K6*'Output-Calculation-sheet'!K50/10^9</f>
        <v>0.41874233049484172</v>
      </c>
      <c r="L61" s="2">
        <f>L6*'Output-Calculation-sheet'!L50/10^9</f>
        <v>0.53225349243892373</v>
      </c>
      <c r="M61" s="2">
        <f>M6*'Output-Calculation-sheet'!M50/10^9</f>
        <v>0.49001028372722777</v>
      </c>
      <c r="N61" s="2">
        <f>N6*'Output-Calculation-sheet'!N50/10^9</f>
        <v>0.41751227209840053</v>
      </c>
      <c r="O61" s="2">
        <f>O6*'Output-Calculation-sheet'!O50/10^9</f>
        <v>0.43472283745547308</v>
      </c>
      <c r="P61" s="2">
        <f>P6*'Output-Calculation-sheet'!P50/10^9</f>
        <v>0.41434755793657824</v>
      </c>
      <c r="Q61" s="2">
        <f>Q6*'Output-Calculation-sheet'!Q50/10^9</f>
        <v>0.36705748239279634</v>
      </c>
      <c r="R61" s="2">
        <f>R6*'Output-Calculation-sheet'!R50/10^9</f>
        <v>0.37089122044638057</v>
      </c>
      <c r="S61" s="2">
        <f>S6*'Output-Calculation-sheet'!S50/10^9</f>
        <v>0.27191710796217078</v>
      </c>
      <c r="T61" s="2">
        <f>T6*'Output-Calculation-sheet'!T50/10^9</f>
        <v>0.15938015899136332</v>
      </c>
      <c r="U61" s="2">
        <f>U6*'Output-Calculation-sheet'!U50/10^9</f>
        <v>0.11898962464208346</v>
      </c>
      <c r="V61" s="2">
        <f>V6*'Output-Calculation-sheet'!V50/10^9</f>
        <v>0.21828204799572898</v>
      </c>
      <c r="W61" s="2">
        <f>W6*'Output-Calculation-sheet'!W50/10^9</f>
        <v>8.8074593080952224E-2</v>
      </c>
      <c r="X61" s="2">
        <f>X6*'Output-Calculation-sheet'!X50/10^9</f>
        <v>6.8759094375623803E-2</v>
      </c>
      <c r="Y61" s="2">
        <f>Y6*'Output-Calculation-sheet'!Y50/10^9</f>
        <v>4.7777096463677435E-2</v>
      </c>
      <c r="AA61" s="2">
        <f t="shared" si="4"/>
        <v>19.238437651786185</v>
      </c>
    </row>
    <row r="62" spans="1:27" x14ac:dyDescent="0.25">
      <c r="A62" s="2">
        <v>2030</v>
      </c>
      <c r="B62" s="2">
        <f>B7*'Output-Calculation-sheet'!B51/10^9</f>
        <v>6.5468753784999008</v>
      </c>
      <c r="C62" s="2">
        <f>C7*'Output-Calculation-sheet'!C51/10^9</f>
        <v>3.2536589211629336</v>
      </c>
      <c r="D62" s="2">
        <f>D7*'Output-Calculation-sheet'!D51/10^9</f>
        <v>1.6309802394373847</v>
      </c>
      <c r="E62" s="2">
        <f>E7*'Output-Calculation-sheet'!E51/10^9</f>
        <v>1.8767775071727353</v>
      </c>
      <c r="F62" s="2">
        <f>F7*'Output-Calculation-sheet'!F51/10^9</f>
        <v>0.87091549275422409</v>
      </c>
      <c r="G62" s="2">
        <f>G7*'Output-Calculation-sheet'!G51/10^9</f>
        <v>0.67363822312895216</v>
      </c>
      <c r="H62" s="2">
        <f>H7*'Output-Calculation-sheet'!H51/10^9</f>
        <v>0.82019687170554023</v>
      </c>
      <c r="I62" s="2">
        <f>I7*'Output-Calculation-sheet'!I51/10^9</f>
        <v>0.52165194029721884</v>
      </c>
      <c r="J62" s="2">
        <f>J7*'Output-Calculation-sheet'!J51/10^9</f>
        <v>0.76635689867630996</v>
      </c>
      <c r="K62" s="2">
        <f>K7*'Output-Calculation-sheet'!K51/10^9</f>
        <v>0.46970224681949979</v>
      </c>
      <c r="L62" s="2">
        <f>L7*'Output-Calculation-sheet'!L51/10^9</f>
        <v>0.57838143696816857</v>
      </c>
      <c r="M62" s="2">
        <f>M7*'Output-Calculation-sheet'!M51/10^9</f>
        <v>0.61113282077709796</v>
      </c>
      <c r="N62" s="2">
        <f>N7*'Output-Calculation-sheet'!N51/10^9</f>
        <v>0.49928753376206381</v>
      </c>
      <c r="O62" s="2">
        <f>O7*'Output-Calculation-sheet'!O51/10^9</f>
        <v>0.56811361237276481</v>
      </c>
      <c r="P62" s="2">
        <f>P7*'Output-Calculation-sheet'!P51/10^9</f>
        <v>0.46481353248536339</v>
      </c>
      <c r="Q62" s="2">
        <f>Q7*'Output-Calculation-sheet'!Q51/10^9</f>
        <v>0.42298319769711906</v>
      </c>
      <c r="R62" s="2">
        <f>R7*'Output-Calculation-sheet'!R51/10^9</f>
        <v>0.40988120642848858</v>
      </c>
      <c r="S62" s="2">
        <f>S7*'Output-Calculation-sheet'!S51/10^9</f>
        <v>0.31778009361782761</v>
      </c>
      <c r="T62" s="2">
        <f>T7*'Output-Calculation-sheet'!T51/10^9</f>
        <v>0.17200909071845374</v>
      </c>
      <c r="U62" s="2">
        <f>U7*'Output-Calculation-sheet'!U51/10^9</f>
        <v>0.13090339822213007</v>
      </c>
      <c r="V62" s="2">
        <f>V7*'Output-Calculation-sheet'!V51/10^9</f>
        <v>0.22972465608049525</v>
      </c>
      <c r="W62" s="2">
        <f>W7*'Output-Calculation-sheet'!W51/10^9</f>
        <v>9.4249671522577669E-2</v>
      </c>
      <c r="X62" s="2">
        <f>X7*'Output-Calculation-sheet'!X51/10^9</f>
        <v>8.4540314754887769E-2</v>
      </c>
      <c r="Y62" s="2">
        <f>Y7*'Output-Calculation-sheet'!Y51/10^9</f>
        <v>5.2537076193140519E-2</v>
      </c>
      <c r="AA62" s="2">
        <f t="shared" si="4"/>
        <v>22.067091361255276</v>
      </c>
    </row>
    <row r="63" spans="1:27" x14ac:dyDescent="0.25">
      <c r="A63" s="2">
        <v>2031</v>
      </c>
      <c r="B63" s="2">
        <f>B8*'Output-Calculation-sheet'!B52/10^9</f>
        <v>6.8754709311598079</v>
      </c>
      <c r="C63" s="2">
        <f>C8*'Output-Calculation-sheet'!C52/10^9</f>
        <v>3.9125022100201572</v>
      </c>
      <c r="D63" s="2">
        <f>D8*'Output-Calculation-sheet'!D52/10^9</f>
        <v>1.6098163686377935</v>
      </c>
      <c r="E63" s="2">
        <f>E8*'Output-Calculation-sheet'!E52/10^9</f>
        <v>1.8417100607140493</v>
      </c>
      <c r="F63" s="2">
        <f>F8*'Output-Calculation-sheet'!F52/10^9</f>
        <v>0.86088202746086939</v>
      </c>
      <c r="G63" s="2">
        <f>G8*'Output-Calculation-sheet'!G52/10^9</f>
        <v>0.65665056931289523</v>
      </c>
      <c r="H63" s="2">
        <f>H8*'Output-Calculation-sheet'!H52/10^9</f>
        <v>0.98153512206284477</v>
      </c>
      <c r="I63" s="2">
        <f>I8*'Output-Calculation-sheet'!I52/10^9</f>
        <v>0.51871030599917767</v>
      </c>
      <c r="J63" s="2">
        <f>J8*'Output-Calculation-sheet'!J52/10^9</f>
        <v>0.73328477821093352</v>
      </c>
      <c r="K63" s="2">
        <f>K8*'Output-Calculation-sheet'!K52/10^9</f>
        <v>0.48136424609157463</v>
      </c>
      <c r="L63" s="2">
        <f>L8*'Output-Calculation-sheet'!L52/10^9</f>
        <v>0.56991526025708006</v>
      </c>
      <c r="M63" s="2">
        <f>M8*'Output-Calculation-sheet'!M52/10^9</f>
        <v>0.71865518490480718</v>
      </c>
      <c r="N63" s="2">
        <f>N8*'Output-Calculation-sheet'!N52/10^9</f>
        <v>0.57302131394616818</v>
      </c>
      <c r="O63" s="2">
        <f>O8*'Output-Calculation-sheet'!O52/10^9</f>
        <v>0.68003703000102711</v>
      </c>
      <c r="P63" s="2">
        <f>P8*'Output-Calculation-sheet'!P52/10^9</f>
        <v>0.48955657967725302</v>
      </c>
      <c r="Q63" s="2">
        <f>Q8*'Output-Calculation-sheet'!Q52/10^9</f>
        <v>0.45664848838930433</v>
      </c>
      <c r="R63" s="2">
        <f>R8*'Output-Calculation-sheet'!R52/10^9</f>
        <v>0.41361628885886337</v>
      </c>
      <c r="S63" s="2">
        <f>S8*'Output-Calculation-sheet'!S52/10^9</f>
        <v>0.35093905270868775</v>
      </c>
      <c r="T63" s="2">
        <f>T8*'Output-Calculation-sheet'!T52/10^9</f>
        <v>0.16799532123015296</v>
      </c>
      <c r="U63" s="2">
        <f>U8*'Output-Calculation-sheet'!U52/10^9</f>
        <v>0.13101101503085333</v>
      </c>
      <c r="V63" s="2">
        <f>V8*'Output-Calculation-sheet'!V52/10^9</f>
        <v>0.2169161937760444</v>
      </c>
      <c r="W63" s="2">
        <f>W8*'Output-Calculation-sheet'!W52/10^9</f>
        <v>9.1027691442020844E-2</v>
      </c>
      <c r="X63" s="2">
        <f>X8*'Output-Calculation-sheet'!X52/10^9</f>
        <v>9.7001266017573584E-2</v>
      </c>
      <c r="Y63" s="2">
        <f>Y8*'Output-Calculation-sheet'!Y52/10^9</f>
        <v>5.2565080412193814E-2</v>
      </c>
      <c r="AA63" s="2">
        <f t="shared" si="4"/>
        <v>23.480832386322138</v>
      </c>
    </row>
    <row r="64" spans="1:27" x14ac:dyDescent="0.25">
      <c r="A64" s="2">
        <v>2032</v>
      </c>
      <c r="B64" s="2">
        <f>B9*'Output-Calculation-sheet'!B53/10^9</f>
        <v>6.7524919461660531</v>
      </c>
      <c r="C64" s="2">
        <f>C9*'Output-Calculation-sheet'!C53/10^9</f>
        <v>4.2420967900561184</v>
      </c>
      <c r="D64" s="2">
        <f>D9*'Output-Calculation-sheet'!D53/10^9</f>
        <v>1.4179239292719596</v>
      </c>
      <c r="E64" s="2">
        <f>E9*'Output-Calculation-sheet'!E53/10^9</f>
        <v>1.6556001604679704</v>
      </c>
      <c r="F64" s="2">
        <f>F9*'Output-Calculation-sheet'!F53/10^9</f>
        <v>0.75972765985988011</v>
      </c>
      <c r="G64" s="2">
        <f>G9*'Output-Calculation-sheet'!G53/10^9</f>
        <v>0.56885194068893297</v>
      </c>
      <c r="H64" s="2">
        <f>H9*'Output-Calculation-sheet'!H53/10^9</f>
        <v>1.0594222318099382</v>
      </c>
      <c r="I64" s="2">
        <f>I9*'Output-Calculation-sheet'!I53/10^9</f>
        <v>0.46129998927165045</v>
      </c>
      <c r="J64" s="2">
        <f>J9*'Output-Calculation-sheet'!J53/10^9</f>
        <v>0.6191636844352536</v>
      </c>
      <c r="K64" s="2">
        <f>K9*'Output-Calculation-sheet'!K53/10^9</f>
        <v>0.45708000347188993</v>
      </c>
      <c r="L64" s="2">
        <f>L9*'Output-Calculation-sheet'!L53/10^9</f>
        <v>0.5131504227811452</v>
      </c>
      <c r="M64" s="2">
        <f>M9*'Output-Calculation-sheet'!M53/10^9</f>
        <v>0.763992117517306</v>
      </c>
      <c r="N64" s="2">
        <f>N9*'Output-Calculation-sheet'!N53/10^9</f>
        <v>0.62439809218637976</v>
      </c>
      <c r="O64" s="2">
        <f>O9*'Output-Calculation-sheet'!O53/10^9</f>
        <v>0.73761983460077163</v>
      </c>
      <c r="P64" s="2">
        <f>P9*'Output-Calculation-sheet'!P53/10^9</f>
        <v>0.48771842454014208</v>
      </c>
      <c r="Q64" s="2">
        <f>Q9*'Output-Calculation-sheet'!Q53/10^9</f>
        <v>0.46262436738040752</v>
      </c>
      <c r="R64" s="2">
        <f>R9*'Output-Calculation-sheet'!R53/10^9</f>
        <v>0.39356293309206725</v>
      </c>
      <c r="S64" s="2">
        <f>S9*'Output-Calculation-sheet'!S53/10^9</f>
        <v>0.37000150182502844</v>
      </c>
      <c r="T64" s="2">
        <f>T9*'Output-Calculation-sheet'!T53/10^9</f>
        <v>0.14712185023968608</v>
      </c>
      <c r="U64" s="2">
        <f>U9*'Output-Calculation-sheet'!U53/10^9</f>
        <v>0.1253469947256344</v>
      </c>
      <c r="V64" s="2">
        <f>V9*'Output-Calculation-sheet'!V53/10^9</f>
        <v>0.1826891836663618</v>
      </c>
      <c r="W64" s="2">
        <f>W9*'Output-Calculation-sheet'!W53/10^9</f>
        <v>7.7868242478119243E-2</v>
      </c>
      <c r="X64" s="2">
        <f>X9*'Output-Calculation-sheet'!X53/10^9</f>
        <v>0.10064802551776196</v>
      </c>
      <c r="Y64" s="2">
        <f>Y9*'Output-Calculation-sheet'!Y53/10^9</f>
        <v>4.9528519918875982E-2</v>
      </c>
      <c r="AA64" s="2">
        <f t="shared" si="4"/>
        <v>23.029928845969334</v>
      </c>
    </row>
    <row r="65" spans="1:27" x14ac:dyDescent="0.25">
      <c r="A65" s="2">
        <v>2033</v>
      </c>
      <c r="B65" s="2">
        <f>B10*'Output-Calculation-sheet'!B54/10^9</f>
        <v>6.4562365498440268</v>
      </c>
      <c r="C65" s="2">
        <f>C10*'Output-Calculation-sheet'!C54/10^9</f>
        <v>4.2431951855952104</v>
      </c>
      <c r="D65" s="2">
        <f>D10*'Output-Calculation-sheet'!D54/10^9</f>
        <v>1.1507997360444475</v>
      </c>
      <c r="E65" s="2">
        <f>E10*'Output-Calculation-sheet'!E54/10^9</f>
        <v>1.465566300708371</v>
      </c>
      <c r="F65" s="2">
        <f>F10*'Output-Calculation-sheet'!F54/10^9</f>
        <v>0.62976648509406363</v>
      </c>
      <c r="G65" s="2">
        <f>G10*'Output-Calculation-sheet'!G54/10^9</f>
        <v>0.4483626519808111</v>
      </c>
      <c r="H65" s="2">
        <f>H10*'Output-Calculation-sheet'!H54/10^9</f>
        <v>1.0535284776635967</v>
      </c>
      <c r="I65" s="2">
        <f>I10*'Output-Calculation-sheet'!I54/10^9</f>
        <v>0.39312035594452921</v>
      </c>
      <c r="J65" s="2">
        <f>J10*'Output-Calculation-sheet'!J54/10^9</f>
        <v>0.46512379620961858</v>
      </c>
      <c r="K65" s="2">
        <f>K10*'Output-Calculation-sheet'!K54/10^9</f>
        <v>0.43523791880666485</v>
      </c>
      <c r="L65" s="2">
        <f>L10*'Output-Calculation-sheet'!L54/10^9</f>
        <v>0.44887457577345113</v>
      </c>
      <c r="M65" s="2">
        <f>M10*'Output-Calculation-sheet'!M54/10^9</f>
        <v>0.74912454525434768</v>
      </c>
      <c r="N65" s="2">
        <f>N10*'Output-Calculation-sheet'!N54/10^9</f>
        <v>0.63833126471342994</v>
      </c>
      <c r="O65" s="2">
        <f>O10*'Output-Calculation-sheet'!O54/10^9</f>
        <v>0.74273747532192447</v>
      </c>
      <c r="P65" s="2">
        <f>P10*'Output-Calculation-sheet'!P54/10^9</f>
        <v>0.47087947292644461</v>
      </c>
      <c r="Q65" s="2">
        <f>Q10*'Output-Calculation-sheet'!Q54/10^9</f>
        <v>0.46466157855643064</v>
      </c>
      <c r="R65" s="2">
        <f>R10*'Output-Calculation-sheet'!R54/10^9</f>
        <v>0.36836418715222535</v>
      </c>
      <c r="S65" s="2">
        <f>S10*'Output-Calculation-sheet'!S54/10^9</f>
        <v>0.36971066383834256</v>
      </c>
      <c r="T65" s="2">
        <f>T10*'Output-Calculation-sheet'!T54/10^9</f>
        <v>0.1247420889548249</v>
      </c>
      <c r="U65" s="2">
        <f>U10*'Output-Calculation-sheet'!U54/10^9</f>
        <v>0.11980654316099998</v>
      </c>
      <c r="V65" s="2">
        <f>V10*'Output-Calculation-sheet'!V54/10^9</f>
        <v>0.14115984058310693</v>
      </c>
      <c r="W65" s="2">
        <f>W10*'Output-Calculation-sheet'!W54/10^9</f>
        <v>6.0328939149444566E-2</v>
      </c>
      <c r="X65" s="2">
        <f>X10*'Output-Calculation-sheet'!X54/10^9</f>
        <v>9.6976603256407265E-2</v>
      </c>
      <c r="Y65" s="2">
        <f>Y10*'Output-Calculation-sheet'!Y54/10^9</f>
        <v>4.679983807993799E-2</v>
      </c>
      <c r="AA65" s="2">
        <f t="shared" si="4"/>
        <v>21.583435074612655</v>
      </c>
    </row>
    <row r="66" spans="1:27" x14ac:dyDescent="0.25">
      <c r="A66" s="2">
        <v>2034</v>
      </c>
      <c r="B66" s="2">
        <f>B11*'Output-Calculation-sheet'!B55/10^9</f>
        <v>5.9339784773575497</v>
      </c>
      <c r="C66" s="2">
        <f>C11*'Output-Calculation-sheet'!C55/10^9</f>
        <v>3.9437189969995159</v>
      </c>
      <c r="D66" s="2">
        <f>D11*'Output-Calculation-sheet'!D55/10^9</f>
        <v>1.0735552101991124</v>
      </c>
      <c r="E66" s="2">
        <f>E11*'Output-Calculation-sheet'!E55/10^9</f>
        <v>1.3904254805791687</v>
      </c>
      <c r="F66" s="2">
        <f>F11*'Output-Calculation-sheet'!F55/10^9</f>
        <v>0.54720005879516209</v>
      </c>
      <c r="G66" s="2">
        <f>G11*'Output-Calculation-sheet'!G55/10^9</f>
        <v>0.39920451478994012</v>
      </c>
      <c r="H66" s="2">
        <f>H11*'Output-Calculation-sheet'!H55/10^9</f>
        <v>0.99624842894009114</v>
      </c>
      <c r="I66" s="2">
        <f>I11*'Output-Calculation-sheet'!I55/10^9</f>
        <v>0.37110661443379733</v>
      </c>
      <c r="J66" s="2">
        <f>J11*'Output-Calculation-sheet'!J55/10^9</f>
        <v>0.37365173317387607</v>
      </c>
      <c r="K66" s="2">
        <f>K11*'Output-Calculation-sheet'!K55/10^9</f>
        <v>0.425436082657489</v>
      </c>
      <c r="L66" s="2">
        <f>L11*'Output-Calculation-sheet'!L55/10^9</f>
        <v>0.41245493594689503</v>
      </c>
      <c r="M66" s="2">
        <f>M11*'Output-Calculation-sheet'!M55/10^9</f>
        <v>0.7001752684144178</v>
      </c>
      <c r="N66" s="2">
        <f>N11*'Output-Calculation-sheet'!N55/10^9</f>
        <v>0.60867580851200975</v>
      </c>
      <c r="O66" s="2">
        <f>O11*'Output-Calculation-sheet'!O55/10^9</f>
        <v>0.69397293365562207</v>
      </c>
      <c r="P66" s="2">
        <f>P11*'Output-Calculation-sheet'!P55/10^9</f>
        <v>0.44500309066059957</v>
      </c>
      <c r="Q66" s="2">
        <f>Q11*'Output-Calculation-sheet'!Q55/10^9</f>
        <v>0.45773204464894407</v>
      </c>
      <c r="R66" s="2">
        <f>R11*'Output-Calculation-sheet'!R55/10^9</f>
        <v>0.33866743096434621</v>
      </c>
      <c r="S66" s="2">
        <f>S11*'Output-Calculation-sheet'!S55/10^9</f>
        <v>0.35155765020746543</v>
      </c>
      <c r="T66" s="2">
        <f>T11*'Output-Calculation-sheet'!T55/10^9</f>
        <v>0.10611128049057411</v>
      </c>
      <c r="U66" s="2">
        <f>U11*'Output-Calculation-sheet'!U55/10^9</f>
        <v>0.115488117503557</v>
      </c>
      <c r="V66" s="2">
        <f>V11*'Output-Calculation-sheet'!V55/10^9</f>
        <v>0.1002849655337059</v>
      </c>
      <c r="W66" s="2">
        <f>W11*'Output-Calculation-sheet'!W55/10^9</f>
        <v>4.9129991788584453E-2</v>
      </c>
      <c r="X66" s="2">
        <f>X11*'Output-Calculation-sheet'!X55/10^9</f>
        <v>9.1808352314866198E-2</v>
      </c>
      <c r="Y66" s="2">
        <f>Y11*'Output-Calculation-sheet'!Y55/10^9</f>
        <v>4.7139936659709926E-2</v>
      </c>
      <c r="AA66" s="2">
        <f t="shared" si="4"/>
        <v>19.972727405227001</v>
      </c>
    </row>
    <row r="67" spans="1:27" x14ac:dyDescent="0.25">
      <c r="A67" s="2">
        <v>2035</v>
      </c>
      <c r="B67" s="2">
        <f>B12*'Output-Calculation-sheet'!B56/10^9</f>
        <v>5.3571042222157468</v>
      </c>
      <c r="C67" s="2">
        <f>C12*'Output-Calculation-sheet'!C56/10^9</f>
        <v>3.3852902418430073</v>
      </c>
      <c r="D67" s="2">
        <f>D12*'Output-Calculation-sheet'!D56/10^9</f>
        <v>1.062579620057253</v>
      </c>
      <c r="E67" s="2">
        <f>E12*'Output-Calculation-sheet'!E56/10^9</f>
        <v>1.4531368628008903</v>
      </c>
      <c r="F67" s="2">
        <f>F12*'Output-Calculation-sheet'!F56/10^9</f>
        <v>0.56953306699904849</v>
      </c>
      <c r="G67" s="2">
        <f>G12*'Output-Calculation-sheet'!G56/10^9</f>
        <v>0.42021783932568363</v>
      </c>
      <c r="H67" s="2">
        <f>H12*'Output-Calculation-sheet'!H56/10^9</f>
        <v>0.89355360113518734</v>
      </c>
      <c r="I67" s="2">
        <f>I12*'Output-Calculation-sheet'!I56/10^9</f>
        <v>0.38502306381130152</v>
      </c>
      <c r="J67" s="2">
        <f>J12*'Output-Calculation-sheet'!J56/10^9</f>
        <v>0.35223060026047248</v>
      </c>
      <c r="K67" s="2">
        <f>K12*'Output-Calculation-sheet'!K56/10^9</f>
        <v>0.42201636051771002</v>
      </c>
      <c r="L67" s="2">
        <f>L12*'Output-Calculation-sheet'!L56/10^9</f>
        <v>0.39344581712966387</v>
      </c>
      <c r="M67" s="2">
        <f>M12*'Output-Calculation-sheet'!M56/10^9</f>
        <v>0.63223291613837607</v>
      </c>
      <c r="N67" s="2">
        <f>N12*'Output-Calculation-sheet'!N56/10^9</f>
        <v>0.53998552153291368</v>
      </c>
      <c r="O67" s="2">
        <f>O12*'Output-Calculation-sheet'!O56/10^9</f>
        <v>0.59724645244267149</v>
      </c>
      <c r="P67" s="2">
        <f>P12*'Output-Calculation-sheet'!P56/10^9</f>
        <v>0.43821059694157311</v>
      </c>
      <c r="Q67" s="2">
        <f>Q12*'Output-Calculation-sheet'!Q56/10^9</f>
        <v>0.41395574804572349</v>
      </c>
      <c r="R67" s="2">
        <f>R12*'Output-Calculation-sheet'!R56/10^9</f>
        <v>0.32505470300957112</v>
      </c>
      <c r="S67" s="2">
        <f>S12*'Output-Calculation-sheet'!S56/10^9</f>
        <v>0.31378831308282479</v>
      </c>
      <c r="T67" s="2">
        <f>T12*'Output-Calculation-sheet'!T56/10^9</f>
        <v>0.10107889465983705</v>
      </c>
      <c r="U67" s="2">
        <f>U12*'Output-Calculation-sheet'!U56/10^9</f>
        <v>0.10928073658284139</v>
      </c>
      <c r="V67" s="2">
        <f>V12*'Output-Calculation-sheet'!V56/10^9</f>
        <v>7.8013073856731771E-2</v>
      </c>
      <c r="W67" s="2">
        <f>W12*'Output-Calculation-sheet'!W56/10^9</f>
        <v>5.2901725694833326E-2</v>
      </c>
      <c r="X67" s="2">
        <f>X12*'Output-Calculation-sheet'!X56/10^9</f>
        <v>8.212262766888849E-2</v>
      </c>
      <c r="Y67" s="2">
        <f>Y12*'Output-Calculation-sheet'!Y56/10^9</f>
        <v>4.9362682841341862E-2</v>
      </c>
      <c r="AA67" s="2">
        <f t="shared" si="4"/>
        <v>18.427365288594089</v>
      </c>
    </row>
    <row r="68" spans="1:27" x14ac:dyDescent="0.25">
      <c r="B68" s="2">
        <f>SUM(B60:B67)</f>
        <v>48.477708259292108</v>
      </c>
      <c r="C68" s="2">
        <f t="shared" ref="C68:Y68" si="5">SUM(C60:C67)</f>
        <v>27.384960863171472</v>
      </c>
      <c r="D68" s="2">
        <f t="shared" si="5"/>
        <v>10.692496374568149</v>
      </c>
      <c r="E68" s="2">
        <f t="shared" si="5"/>
        <v>12.86370244691919</v>
      </c>
      <c r="F68" s="2">
        <f t="shared" si="5"/>
        <v>5.7024620070649821</v>
      </c>
      <c r="G68" s="2">
        <f t="shared" si="5"/>
        <v>4.3165928959748348</v>
      </c>
      <c r="H68" s="2">
        <f t="shared" si="5"/>
        <v>6.9531450999536135</v>
      </c>
      <c r="I68" s="2">
        <f t="shared" si="5"/>
        <v>3.522429686860935</v>
      </c>
      <c r="J68" s="2">
        <f t="shared" si="5"/>
        <v>4.6429687088133758</v>
      </c>
      <c r="K68" s="2">
        <f t="shared" si="5"/>
        <v>3.4492747854312666</v>
      </c>
      <c r="L68" s="2">
        <f t="shared" si="5"/>
        <v>3.8920782845694855</v>
      </c>
      <c r="M68" s="2">
        <f t="shared" si="5"/>
        <v>5.0492591953846233</v>
      </c>
      <c r="N68" s="2">
        <f t="shared" si="5"/>
        <v>4.2226017330585446</v>
      </c>
      <c r="O68" s="2">
        <f t="shared" si="5"/>
        <v>4.7765980055090012</v>
      </c>
      <c r="P68" s="2">
        <f t="shared" si="5"/>
        <v>3.5466337073764294</v>
      </c>
      <c r="Q68" s="2">
        <f t="shared" si="5"/>
        <v>3.3371717383241166</v>
      </c>
      <c r="R68" s="2">
        <f t="shared" si="5"/>
        <v>2.9248129298379895</v>
      </c>
      <c r="S68" s="2">
        <f t="shared" si="5"/>
        <v>2.5604393003628578</v>
      </c>
      <c r="T68" s="2">
        <f t="shared" si="5"/>
        <v>1.1120234681692573</v>
      </c>
      <c r="U68" s="2">
        <f t="shared" si="5"/>
        <v>0.94898187096652309</v>
      </c>
      <c r="V68" s="2">
        <f t="shared" si="5"/>
        <v>1.3537352943833498</v>
      </c>
      <c r="W68" s="2">
        <f t="shared" si="5"/>
        <v>0.5879104070011778</v>
      </c>
      <c r="X68" s="2">
        <f t="shared" si="5"/>
        <v>0.67637394091968006</v>
      </c>
      <c r="Y68" s="2">
        <f t="shared" si="5"/>
        <v>0.38513692974107727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1931.4884120842491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457.51087002872498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312.85658932672447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41.70491284410685</v>
      </c>
      <c r="Y73" s="2">
        <f>Y7/'Output-Calculation-sheet'!Y6*'Output-Calculation-sheet'!Y60</f>
        <v>0</v>
      </c>
      <c r="AA73" s="2">
        <f t="shared" si="6"/>
        <v>2.7435607842838055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4239.2194863177192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1418.311583347376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947.10598249418445</v>
      </c>
      <c r="N74" s="2">
        <f>N8/'Output-Calculation-sheet'!N7*'Output-Calculation-sheet'!N61</f>
        <v>39.588175440490645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117.37312470335601</v>
      </c>
      <c r="Y74" s="2">
        <f>Y8/'Output-Calculation-sheet'!Y7*'Output-Calculation-sheet'!Y61</f>
        <v>0</v>
      </c>
      <c r="AA74" s="2">
        <f t="shared" si="6"/>
        <v>6.7615983523031264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7908.4216795446127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2277.488975262856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1546.1483682115172</v>
      </c>
      <c r="N75" s="2">
        <f>N9/'Output-Calculation-sheet'!N8*'Output-Calculation-sheet'!N62</f>
        <v>597.23614067712697</v>
      </c>
      <c r="O75" s="2">
        <f>O9/'Output-Calculation-sheet'!O8*'Output-Calculation-sheet'!O62</f>
        <v>0</v>
      </c>
      <c r="P75" s="2">
        <f>P9/'Output-Calculation-sheet'!P8*'Output-Calculation-sheet'!P62</f>
        <v>39.984018186369994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200.11943689321154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186.67482344844478</v>
      </c>
      <c r="Y75" s="2">
        <f>Y9/'Output-Calculation-sheet'!Y8*'Output-Calculation-sheet'!Y62</f>
        <v>0</v>
      </c>
      <c r="AA75" s="2">
        <f t="shared" si="6"/>
        <v>12.756073442224139</v>
      </c>
    </row>
    <row r="76" spans="1:27" x14ac:dyDescent="0.25">
      <c r="A76" s="2">
        <v>2033</v>
      </c>
      <c r="B76" s="2">
        <f>B10/'Output-Calculation-sheet'!B9*'Output-Calculation-sheet'!B63</f>
        <v>4588.9126397065174</v>
      </c>
      <c r="C76" s="2">
        <f>C10/'Output-Calculation-sheet'!C9*'Output-Calculation-sheet'!C63</f>
        <v>9372.6572912733973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2988.3389382361661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78.324386320092444</v>
      </c>
      <c r="L76" s="2">
        <f>L10/'Output-Calculation-sheet'!L9*'Output-Calculation-sheet'!L63</f>
        <v>0</v>
      </c>
      <c r="M76" s="2">
        <f>M10/'Output-Calculation-sheet'!M9*'Output-Calculation-sheet'!M63</f>
        <v>2034.7557219500438</v>
      </c>
      <c r="N76" s="2">
        <f>N10/'Output-Calculation-sheet'!N9*'Output-Calculation-sheet'!N63</f>
        <v>1162.3425626631292</v>
      </c>
      <c r="O76" s="2">
        <f>O10/'Output-Calculation-sheet'!O9*'Output-Calculation-sheet'!O63</f>
        <v>0</v>
      </c>
      <c r="P76" s="2">
        <f>P10/'Output-Calculation-sheet'!P9*'Output-Calculation-sheet'!P63</f>
        <v>403.62464412873072</v>
      </c>
      <c r="Q76" s="2">
        <f>Q10/'Output-Calculation-sheet'!Q9*'Output-Calculation-sheet'!Q63</f>
        <v>182.05093500402012</v>
      </c>
      <c r="R76" s="2">
        <f>R10/'Output-Calculation-sheet'!R9*'Output-Calculation-sheet'!R63</f>
        <v>307.62651006821989</v>
      </c>
      <c r="S76" s="2">
        <f>S10/'Output-Calculation-sheet'!S9*'Output-Calculation-sheet'!S63</f>
        <v>516.86660865172905</v>
      </c>
      <c r="T76" s="2">
        <f>T10/'Output-Calculation-sheet'!T9*'Output-Calculation-sheet'!T63</f>
        <v>20.922887500680766</v>
      </c>
      <c r="U76" s="2">
        <f>U10/'Output-Calculation-sheet'!U9*'Output-Calculation-sheet'!U63</f>
        <v>108.70459304066094</v>
      </c>
      <c r="V76" s="2">
        <f>V10/'Output-Calculation-sheet'!V9*'Output-Calculation-sheet'!V63</f>
        <v>8.3415030664800422</v>
      </c>
      <c r="W76" s="2">
        <f>W10/'Output-Calculation-sheet'!W9*'Output-Calculation-sheet'!W63</f>
        <v>0</v>
      </c>
      <c r="X76" s="2">
        <f>X10/'Output-Calculation-sheet'!X9*'Output-Calculation-sheet'!X63</f>
        <v>239.60694462593941</v>
      </c>
      <c r="Y76" s="2">
        <f>Y10/'Output-Calculation-sheet'!Y9*'Output-Calculation-sheet'!Y63</f>
        <v>4.5456509469597863</v>
      </c>
      <c r="AA76" s="2">
        <f t="shared" si="6"/>
        <v>22.017621817182764</v>
      </c>
    </row>
    <row r="77" spans="1:27" x14ac:dyDescent="0.25">
      <c r="A77" s="2">
        <v>2034</v>
      </c>
      <c r="B77" s="2">
        <f>B11/'Output-Calculation-sheet'!B10*'Output-Calculation-sheet'!B64</f>
        <v>9887.7556176763046</v>
      </c>
      <c r="C77" s="2">
        <f>C11/'Output-Calculation-sheet'!C10*'Output-Calculation-sheet'!C64</f>
        <v>8685.9989540338047</v>
      </c>
      <c r="D77" s="2">
        <f>D11/'Output-Calculation-sheet'!D10*'Output-Calculation-sheet'!D64</f>
        <v>1218.7131625180768</v>
      </c>
      <c r="E77" s="2">
        <f>E11/'Output-Calculation-sheet'!E10*'Output-Calculation-sheet'!E64</f>
        <v>1505.9060745821707</v>
      </c>
      <c r="F77" s="2">
        <f>F11/'Output-Calculation-sheet'!F10*'Output-Calculation-sheet'!F64</f>
        <v>93.764520545113939</v>
      </c>
      <c r="G77" s="2">
        <f>G11/'Output-Calculation-sheet'!G10*'Output-Calculation-sheet'!G64</f>
        <v>643.483833377878</v>
      </c>
      <c r="H77" s="2">
        <f>H11/'Output-Calculation-sheet'!H10*'Output-Calculation-sheet'!H64</f>
        <v>3188.1269728643751</v>
      </c>
      <c r="I77" s="2">
        <f>I11/'Output-Calculation-sheet'!I10*'Output-Calculation-sheet'!I64</f>
        <v>379.61754824301863</v>
      </c>
      <c r="J77" s="2">
        <f>J11/'Output-Calculation-sheet'!J10*'Output-Calculation-sheet'!J64</f>
        <v>270.60897491790769</v>
      </c>
      <c r="K77" s="2">
        <f>K11/'Output-Calculation-sheet'!K10*'Output-Calculation-sheet'!K64</f>
        <v>573.75121178466077</v>
      </c>
      <c r="L77" s="2">
        <f>L11/'Output-Calculation-sheet'!L10*'Output-Calculation-sheet'!L64</f>
        <v>249.12061680117483</v>
      </c>
      <c r="M77" s="2">
        <f>M11/'Output-Calculation-sheet'!M10*'Output-Calculation-sheet'!M64</f>
        <v>2267.5580478246197</v>
      </c>
      <c r="N77" s="2">
        <f>N11/'Output-Calculation-sheet'!N10*'Output-Calculation-sheet'!N64</f>
        <v>1613.3118613356453</v>
      </c>
      <c r="O77" s="2">
        <f>O11/'Output-Calculation-sheet'!O10*'Output-Calculation-sheet'!O64</f>
        <v>56.249018298018719</v>
      </c>
      <c r="P77" s="2">
        <f>P11/'Output-Calculation-sheet'!P10*'Output-Calculation-sheet'!P64</f>
        <v>712.05604836682551</v>
      </c>
      <c r="Q77" s="2">
        <f>Q11/'Output-Calculation-sheet'!Q10*'Output-Calculation-sheet'!Q64</f>
        <v>406.3142270676563</v>
      </c>
      <c r="R77" s="2">
        <f>R11/'Output-Calculation-sheet'!R10*'Output-Calculation-sheet'!R64</f>
        <v>609.33394505414492</v>
      </c>
      <c r="S77" s="2">
        <f>S11/'Output-Calculation-sheet'!S10*'Output-Calculation-sheet'!S64</f>
        <v>814.71365826979491</v>
      </c>
      <c r="T77" s="2">
        <f>T11/'Output-Calculation-sheet'!T10*'Output-Calculation-sheet'!T64</f>
        <v>167.63704402542223</v>
      </c>
      <c r="U77" s="2">
        <f>U11/'Output-Calculation-sheet'!U10*'Output-Calculation-sheet'!U64</f>
        <v>222.80920163707998</v>
      </c>
      <c r="V77" s="2">
        <f>V11/'Output-Calculation-sheet'!V10*'Output-Calculation-sheet'!V64</f>
        <v>88.818511706040468</v>
      </c>
      <c r="W77" s="2">
        <f>W11/'Output-Calculation-sheet'!W10*'Output-Calculation-sheet'!W64</f>
        <v>18.766065338881411</v>
      </c>
      <c r="X77" s="2">
        <f>X11/'Output-Calculation-sheet'!X10*'Output-Calculation-sheet'!X64</f>
        <v>230.40796831306699</v>
      </c>
      <c r="Y77" s="2">
        <f>Y11/'Output-Calculation-sheet'!Y10*'Output-Calculation-sheet'!Y64</f>
        <v>55.787879101079376</v>
      </c>
      <c r="AA77" s="2">
        <f t="shared" si="6"/>
        <v>33.960610963682775</v>
      </c>
    </row>
    <row r="78" spans="1:27" x14ac:dyDescent="0.25">
      <c r="A78" s="2">
        <v>2035</v>
      </c>
      <c r="B78" s="2">
        <f>B12/'Output-Calculation-sheet'!B11*'Output-Calculation-sheet'!B65</f>
        <v>10367.48604550956</v>
      </c>
      <c r="C78" s="2">
        <f>C12/'Output-Calculation-sheet'!C11*'Output-Calculation-sheet'!C65</f>
        <v>7321.2987503165059</v>
      </c>
      <c r="D78" s="2">
        <f>D12/'Output-Calculation-sheet'!D11*'Output-Calculation-sheet'!D65</f>
        <v>1100.6745360363334</v>
      </c>
      <c r="E78" s="2">
        <f>E12/'Output-Calculation-sheet'!E11*'Output-Calculation-sheet'!E65</f>
        <v>2092.3530322691486</v>
      </c>
      <c r="F78" s="2">
        <f>F12/'Output-Calculation-sheet'!F11*'Output-Calculation-sheet'!F65</f>
        <v>443.19799998336168</v>
      </c>
      <c r="G78" s="2">
        <f>G12/'Output-Calculation-sheet'!G11*'Output-Calculation-sheet'!G65</f>
        <v>831.60832758725985</v>
      </c>
      <c r="H78" s="2">
        <f>H12/'Output-Calculation-sheet'!H11*'Output-Calculation-sheet'!H65</f>
        <v>2677.4507960142328</v>
      </c>
      <c r="I78" s="2">
        <f>I12/'Output-Calculation-sheet'!I11*'Output-Calculation-sheet'!I65</f>
        <v>489.01200343869118</v>
      </c>
      <c r="J78" s="2">
        <f>J12/'Output-Calculation-sheet'!J11*'Output-Calculation-sheet'!J65</f>
        <v>438.5614510090229</v>
      </c>
      <c r="K78" s="2">
        <f>K12/'Output-Calculation-sheet'!K11*'Output-Calculation-sheet'!K65</f>
        <v>553.44331358989962</v>
      </c>
      <c r="L78" s="2">
        <f>L12/'Output-Calculation-sheet'!L11*'Output-Calculation-sheet'!L65</f>
        <v>329.07016264912465</v>
      </c>
      <c r="M78" s="2">
        <f>M12/'Output-Calculation-sheet'!M11*'Output-Calculation-sheet'!M65</f>
        <v>1905.8896283915196</v>
      </c>
      <c r="N78" s="2">
        <f>N12/'Output-Calculation-sheet'!N11*'Output-Calculation-sheet'!N65</f>
        <v>1340.1481888863768</v>
      </c>
      <c r="O78" s="2">
        <f>O12/'Output-Calculation-sheet'!O11*'Output-Calculation-sheet'!O65</f>
        <v>187.87145662824548</v>
      </c>
      <c r="P78" s="2">
        <f>P12/'Output-Calculation-sheet'!P11*'Output-Calculation-sheet'!P65</f>
        <v>761.86009366139251</v>
      </c>
      <c r="Q78" s="2">
        <f>Q12/'Output-Calculation-sheet'!Q11*'Output-Calculation-sheet'!Q65</f>
        <v>383.20806868287116</v>
      </c>
      <c r="R78" s="2">
        <f>R12/'Output-Calculation-sheet'!R11*'Output-Calculation-sheet'!R65</f>
        <v>631.64284519431794</v>
      </c>
      <c r="S78" s="2">
        <f>S12/'Output-Calculation-sheet'!S11*'Output-Calculation-sheet'!S65</f>
        <v>712.5906164800956</v>
      </c>
      <c r="T78" s="2">
        <f>T12/'Output-Calculation-sheet'!T11*'Output-Calculation-sheet'!T65</f>
        <v>227.12406724172152</v>
      </c>
      <c r="U78" s="2">
        <f>U12/'Output-Calculation-sheet'!U11*'Output-Calculation-sheet'!U65</f>
        <v>194.60327951899157</v>
      </c>
      <c r="V78" s="2">
        <f>V12/'Output-Calculation-sheet'!V11*'Output-Calculation-sheet'!V65</f>
        <v>122.57410652564388</v>
      </c>
      <c r="W78" s="2">
        <f>W12/'Output-Calculation-sheet'!W11*'Output-Calculation-sheet'!W65</f>
        <v>86.332853591797019</v>
      </c>
      <c r="X78" s="2">
        <f>X12/'Output-Calculation-sheet'!X11*'Output-Calculation-sheet'!X65</f>
        <v>196.43503656508503</v>
      </c>
      <c r="Y78" s="2">
        <f>Y12/'Output-Calculation-sheet'!Y11*'Output-Calculation-sheet'!Y65</f>
        <v>84.269430095870419</v>
      </c>
      <c r="AA78" s="2">
        <f t="shared" si="6"/>
        <v>33.47870608986706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76.939468295261676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89.683613056855989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0.16662308135211765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259.42757249710655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184.79925985960733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0.4442268323567139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177.08659447909386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275.2252901960419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0.45231188467513572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338.27759379483155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328.59118018244681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0.6668687739772784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602.25857073011935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23.174243108077043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15.946146987887706</v>
      </c>
      <c r="N88" s="2">
        <f>N11/'Output-Calculation-sheet'!N10*'Output-Calculation-sheet'!N73</f>
        <v>0</v>
      </c>
      <c r="O88" s="2">
        <f>O11/'Output-Calculation-sheet'!O10*'Output-Calculation-sheet'!O73</f>
        <v>336.38258472554094</v>
      </c>
      <c r="P88" s="2">
        <f>P11/'Output-Calculation-sheet'!P10*'Output-Calculation-sheet'!P73</f>
        <v>0</v>
      </c>
      <c r="Q88" s="2">
        <f>Q11/'Output-Calculation-sheet'!Q10*'Output-Calculation-sheet'!Q73</f>
        <v>13.731471006003931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1.749331635029967</v>
      </c>
      <c r="Y88" s="2">
        <f>Y11/'Output-Calculation-sheet'!Y10*'Output-Calculation-sheet'!Y73</f>
        <v>0</v>
      </c>
      <c r="AA88" s="2">
        <f t="shared" si="7"/>
        <v>0.99324234819265889</v>
      </c>
    </row>
    <row r="89" spans="1:27" x14ac:dyDescent="0.25">
      <c r="A89" s="2">
        <v>2035</v>
      </c>
      <c r="B89" s="2">
        <f>B12/'Output-Calculation-sheet'!B11*'Output-Calculation-sheet'!B74</f>
        <v>261.33664504321951</v>
      </c>
      <c r="C89" s="2">
        <f>C12/'Output-Calculation-sheet'!C11*'Output-Calculation-sheet'!C74</f>
        <v>806.2353029971332</v>
      </c>
      <c r="D89" s="2">
        <f>D12/'Output-Calculation-sheet'!D11*'Output-Calculation-sheet'!D74</f>
        <v>109.8751720525414</v>
      </c>
      <c r="E89" s="2">
        <f>E12/'Output-Calculation-sheet'!E11*'Output-Calculation-sheet'!E74</f>
        <v>87.321454511159502</v>
      </c>
      <c r="F89" s="2">
        <f>F12/'Output-Calculation-sheet'!F11*'Output-Calculation-sheet'!F74</f>
        <v>27.459603468609767</v>
      </c>
      <c r="G89" s="2">
        <f>G12/'Output-Calculation-sheet'!G11*'Output-Calculation-sheet'!G74</f>
        <v>39.414584937070941</v>
      </c>
      <c r="H89" s="2">
        <f>H12/'Output-Calculation-sheet'!H11*'Output-Calculation-sheet'!H74</f>
        <v>95.455513740649735</v>
      </c>
      <c r="I89" s="2">
        <f>I12/'Output-Calculation-sheet'!I11*'Output-Calculation-sheet'!I74</f>
        <v>35.451065930019659</v>
      </c>
      <c r="J89" s="2">
        <f>J12/'Output-Calculation-sheet'!J11*'Output-Calculation-sheet'!J74</f>
        <v>17.542458040360916</v>
      </c>
      <c r="K89" s="2">
        <f>K12/'Output-Calculation-sheet'!K11*'Output-Calculation-sheet'!K74</f>
        <v>34.842817526435383</v>
      </c>
      <c r="L89" s="2">
        <f>L12/'Output-Calculation-sheet'!L11*'Output-Calculation-sheet'!L74</f>
        <v>27.705338888581323</v>
      </c>
      <c r="M89" s="2">
        <f>M12/'Output-Calculation-sheet'!M11*'Output-Calculation-sheet'!M74</f>
        <v>52.546187448330116</v>
      </c>
      <c r="N89" s="2">
        <f>N12/'Output-Calculation-sheet'!N11*'Output-Calculation-sheet'!N74</f>
        <v>38.733352922591287</v>
      </c>
      <c r="O89" s="2">
        <f>O12/'Output-Calculation-sheet'!O11*'Output-Calculation-sheet'!O74</f>
        <v>313.25965961228644</v>
      </c>
      <c r="P89" s="2">
        <f>P12/'Output-Calculation-sheet'!P11*'Output-Calculation-sheet'!P74</f>
        <v>23.855092640554606</v>
      </c>
      <c r="Q89" s="2">
        <f>Q12/'Output-Calculation-sheet'!Q11*'Output-Calculation-sheet'!Q74</f>
        <v>33.936244127069713</v>
      </c>
      <c r="R89" s="2">
        <f>R12/'Output-Calculation-sheet'!R11*'Output-Calculation-sheet'!R74</f>
        <v>22.436075913555143</v>
      </c>
      <c r="S89" s="2">
        <f>S12/'Output-Calculation-sheet'!S11*'Output-Calculation-sheet'!S74</f>
        <v>22.203234762887007</v>
      </c>
      <c r="T89" s="2">
        <f>T12/'Output-Calculation-sheet'!T11*'Output-Calculation-sheet'!T74</f>
        <v>4.1502798947779169</v>
      </c>
      <c r="U89" s="2">
        <f>U12/'Output-Calculation-sheet'!U11*'Output-Calculation-sheet'!U74</f>
        <v>7.2184902822430939</v>
      </c>
      <c r="V89" s="2">
        <f>V12/'Output-Calculation-sheet'!V11*'Output-Calculation-sheet'!V74</f>
        <v>2.7830553442236878</v>
      </c>
      <c r="W89" s="2">
        <f>W12/'Output-Calculation-sheet'!W11*'Output-Calculation-sheet'!W74</f>
        <v>2.4099166366624893</v>
      </c>
      <c r="X89" s="2">
        <f>X12/'Output-Calculation-sheet'!X11*'Output-Calculation-sheet'!X74</f>
        <v>8.6466694499993402</v>
      </c>
      <c r="Y89" s="2">
        <f>Y12/'Output-Calculation-sheet'!Y11*'Output-Calculation-sheet'!Y74</f>
        <v>2.7813987984444402</v>
      </c>
      <c r="AA89" s="2">
        <f t="shared" si="7"/>
        <v>2.0775996149694071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1629246374.5792322</v>
      </c>
      <c r="C93" s="2">
        <f>C5/'Output-Calculation-sheet'!C4*'Output-Calculation-sheet'!C76</f>
        <v>539760133.46424901</v>
      </c>
      <c r="D93" s="2">
        <f>D5/'Output-Calculation-sheet'!D4*'Output-Calculation-sheet'!D76</f>
        <v>597466261.48821986</v>
      </c>
      <c r="E93" s="2">
        <f>E5/'Output-Calculation-sheet'!E4*'Output-Calculation-sheet'!E76</f>
        <v>999744858.77362835</v>
      </c>
      <c r="F93" s="2">
        <f>F5/'Output-Calculation-sheet'!F4*'Output-Calculation-sheet'!F76</f>
        <v>429568478.24697286</v>
      </c>
      <c r="G93" s="2">
        <f>G5/'Output-Calculation-sheet'!G4*'Output-Calculation-sheet'!G76</f>
        <v>334098303.34714204</v>
      </c>
      <c r="H93" s="2">
        <f>H5/'Output-Calculation-sheet'!H4*'Output-Calculation-sheet'!H76</f>
        <v>282609225.61553085</v>
      </c>
      <c r="I93" s="2">
        <f>I5/'Output-Calculation-sheet'!I4*'Output-Calculation-sheet'!I76</f>
        <v>231901569.20781788</v>
      </c>
      <c r="J93" s="2">
        <f>J5/'Output-Calculation-sheet'!J4*'Output-Calculation-sheet'!J76</f>
        <v>157365768.15576404</v>
      </c>
      <c r="K93" s="2">
        <f>K5/'Output-Calculation-sheet'!K4*'Output-Calculation-sheet'!K76</f>
        <v>229999353.40538996</v>
      </c>
      <c r="L93" s="2">
        <f>L5/'Output-Calculation-sheet'!L4*'Output-Calculation-sheet'!L76</f>
        <v>153526242.26344407</v>
      </c>
      <c r="M93" s="2">
        <f>M5/'Output-Calculation-sheet'!M4*'Output-Calculation-sheet'!M76</f>
        <v>206464973.09713775</v>
      </c>
      <c r="N93" s="2">
        <f>N5/'Output-Calculation-sheet'!N4*'Output-Calculation-sheet'!N76</f>
        <v>155905265.13577422</v>
      </c>
      <c r="O93" s="2">
        <f>O5/'Output-Calculation-sheet'!O4*'Output-Calculation-sheet'!O76</f>
        <v>76095446.181501076</v>
      </c>
      <c r="P93" s="2">
        <f>P5/'Output-Calculation-sheet'!P4*'Output-Calculation-sheet'!P76</f>
        <v>270130008.26512927</v>
      </c>
      <c r="Q93" s="2">
        <f>Q5/'Output-Calculation-sheet'!Q4*'Output-Calculation-sheet'!Q76</f>
        <v>124015686.12279825</v>
      </c>
      <c r="R93" s="2">
        <f>R5/'Output-Calculation-sheet'!R4*'Output-Calculation-sheet'!R76</f>
        <v>155177627.20317355</v>
      </c>
      <c r="S93" s="2">
        <f>S5/'Output-Calculation-sheet'!S4*'Output-Calculation-sheet'!S76</f>
        <v>91420680.882570475</v>
      </c>
      <c r="T93" s="2">
        <f>T5/'Output-Calculation-sheet'!T4*'Output-Calculation-sheet'!T76</f>
        <v>70299511.893065676</v>
      </c>
      <c r="U93" s="2">
        <f>U5/'Output-Calculation-sheet'!U4*'Output-Calculation-sheet'!U76</f>
        <v>45574782.200702898</v>
      </c>
      <c r="V93" s="2">
        <f>V5/'Output-Calculation-sheet'!V4*'Output-Calculation-sheet'!V76</f>
        <v>23360222.420539867</v>
      </c>
      <c r="W93" s="2">
        <f>W5/'Output-Calculation-sheet'!W4*'Output-Calculation-sheet'!W76</f>
        <v>65435100.510446936</v>
      </c>
      <c r="X93" s="2">
        <f>X5/'Output-Calculation-sheet'!X4*'Output-Calculation-sheet'!X76</f>
        <v>22710849.810509179</v>
      </c>
      <c r="Y93" s="2">
        <f>Y5/'Output-Calculation-sheet'!Y4*'Output-Calculation-sheet'!Y76</f>
        <v>35772196.627414413</v>
      </c>
      <c r="AA93" s="2">
        <f t="shared" ref="AA93:AA100" si="8">SUM(B93:Y93)/10^9</f>
        <v>6.9276489188981536</v>
      </c>
    </row>
    <row r="94" spans="1:27" x14ac:dyDescent="0.25">
      <c r="A94" s="2">
        <v>2029</v>
      </c>
      <c r="B94" s="2">
        <f>B6/'Output-Calculation-sheet'!B5*'Output-Calculation-sheet'!B77</f>
        <v>4248991140.1462688</v>
      </c>
      <c r="C94" s="2">
        <f>C6/'Output-Calculation-sheet'!C5*'Output-Calculation-sheet'!C77</f>
        <v>1417228436.9684463</v>
      </c>
      <c r="D94" s="2">
        <f>D6/'Output-Calculation-sheet'!D5*'Output-Calculation-sheet'!D77</f>
        <v>1559324056.9586747</v>
      </c>
      <c r="E94" s="2">
        <f>E6/'Output-Calculation-sheet'!E5*'Output-Calculation-sheet'!E77</f>
        <v>2652057527.8578758</v>
      </c>
      <c r="F94" s="2">
        <f>F6/'Output-Calculation-sheet'!F5*'Output-Calculation-sheet'!F77</f>
        <v>1119745954.2854421</v>
      </c>
      <c r="G94" s="2">
        <f>G6/'Output-Calculation-sheet'!G5*'Output-Calculation-sheet'!G77</f>
        <v>883016422.89512682</v>
      </c>
      <c r="H94" s="2">
        <f>H6/'Output-Calculation-sheet'!H5*'Output-Calculation-sheet'!H77</f>
        <v>742166857.0713712</v>
      </c>
      <c r="I94" s="2">
        <f>I6/'Output-Calculation-sheet'!I5*'Output-Calculation-sheet'!I77</f>
        <v>603035751.25771022</v>
      </c>
      <c r="J94" s="2">
        <f>J6/'Output-Calculation-sheet'!J5*'Output-Calculation-sheet'!J77</f>
        <v>414280959.45719826</v>
      </c>
      <c r="K94" s="2">
        <f>K6/'Output-Calculation-sheet'!K5*'Output-Calculation-sheet'!K77</f>
        <v>596892926.52941906</v>
      </c>
      <c r="L94" s="2">
        <f>L6/'Output-Calculation-sheet'!L5*'Output-Calculation-sheet'!L77</f>
        <v>403401186.66627371</v>
      </c>
      <c r="M94" s="2">
        <f>M6/'Output-Calculation-sheet'!M5*'Output-Calculation-sheet'!M77</f>
        <v>547013898.45106816</v>
      </c>
      <c r="N94" s="2">
        <f>N6/'Output-Calculation-sheet'!N5*'Output-Calculation-sheet'!N77</f>
        <v>413819430.23757708</v>
      </c>
      <c r="O94" s="2">
        <f>O6/'Output-Calculation-sheet'!O5*'Output-Calculation-sheet'!O77</f>
        <v>203244792.26279789</v>
      </c>
      <c r="P94" s="2">
        <f>P6/'Output-Calculation-sheet'!P5*'Output-Calculation-sheet'!P77</f>
        <v>707704331.91354501</v>
      </c>
      <c r="Q94" s="2">
        <f>Q6/'Output-Calculation-sheet'!Q5*'Output-Calculation-sheet'!Q77</f>
        <v>326932133.67693597</v>
      </c>
      <c r="R94" s="2">
        <f>R6/'Output-Calculation-sheet'!R5*'Output-Calculation-sheet'!R77</f>
        <v>405903386.49793798</v>
      </c>
      <c r="S94" s="2">
        <f>S6/'Output-Calculation-sheet'!S5*'Output-Calculation-sheet'!S77</f>
        <v>238331140.03725183</v>
      </c>
      <c r="T94" s="2">
        <f>T6/'Output-Calculation-sheet'!T5*'Output-Calculation-sheet'!T77</f>
        <v>183849036.31867337</v>
      </c>
      <c r="U94" s="2">
        <f>U6/'Output-Calculation-sheet'!U5*'Output-Calculation-sheet'!U77</f>
        <v>116379427.17650668</v>
      </c>
      <c r="V94" s="2">
        <f>V6/'Output-Calculation-sheet'!V5*'Output-Calculation-sheet'!V77</f>
        <v>59693977.66134657</v>
      </c>
      <c r="W94" s="2">
        <f>W6/'Output-Calculation-sheet'!W5*'Output-Calculation-sheet'!W77</f>
        <v>173214548.15327573</v>
      </c>
      <c r="X94" s="2">
        <f>X6/'Output-Calculation-sheet'!X5*'Output-Calculation-sheet'!X77</f>
        <v>59901127.037608653</v>
      </c>
      <c r="Y94" s="2">
        <f>Y6/'Output-Calculation-sheet'!Y5*'Output-Calculation-sheet'!Y77</f>
        <v>94974270.172473267</v>
      </c>
      <c r="AA94" s="2">
        <f t="shared" si="8"/>
        <v>18.171102719690804</v>
      </c>
    </row>
    <row r="95" spans="1:27" x14ac:dyDescent="0.25">
      <c r="A95" s="2">
        <v>2030</v>
      </c>
      <c r="B95" s="2">
        <f>B7/'Output-Calculation-sheet'!B6*'Output-Calculation-sheet'!B78</f>
        <v>7622328020.5885344</v>
      </c>
      <c r="C95" s="2">
        <f>C7/'Output-Calculation-sheet'!C6*'Output-Calculation-sheet'!C78</f>
        <v>2559416802.8664169</v>
      </c>
      <c r="D95" s="2">
        <f>D7/'Output-Calculation-sheet'!D6*'Output-Calculation-sheet'!D78</f>
        <v>2801901360.943625</v>
      </c>
      <c r="E95" s="2">
        <f>E7/'Output-Calculation-sheet'!E6*'Output-Calculation-sheet'!E78</f>
        <v>4843783956.8494005</v>
      </c>
      <c r="F95" s="2">
        <f>F7/'Output-Calculation-sheet'!F6*'Output-Calculation-sheet'!F78</f>
        <v>2008323607.602324</v>
      </c>
      <c r="G95" s="2">
        <f>G7/'Output-Calculation-sheet'!G6*'Output-Calculation-sheet'!G78</f>
        <v>1606733832.0526998</v>
      </c>
      <c r="H95" s="2">
        <f>H7/'Output-Calculation-sheet'!H6*'Output-Calculation-sheet'!H78</f>
        <v>1340954957.3614662</v>
      </c>
      <c r="I95" s="2">
        <f>I7/'Output-Calculation-sheet'!I6*'Output-Calculation-sheet'!I78</f>
        <v>1079178861.6099992</v>
      </c>
      <c r="J95" s="2">
        <f>J7/'Output-Calculation-sheet'!J6*'Output-Calculation-sheet'!J78</f>
        <v>750951927.84988725</v>
      </c>
      <c r="K95" s="2">
        <f>K7/'Output-Calculation-sheet'!K6*'Output-Calculation-sheet'!K78</f>
        <v>1065953799.0144868</v>
      </c>
      <c r="L95" s="2">
        <f>L7/'Output-Calculation-sheet'!L6*'Output-Calculation-sheet'!L78</f>
        <v>729509653.29521561</v>
      </c>
      <c r="M95" s="2">
        <f>M7/'Output-Calculation-sheet'!M6*'Output-Calculation-sheet'!M78</f>
        <v>997707111.165254</v>
      </c>
      <c r="N95" s="2">
        <f>N7/'Output-Calculation-sheet'!N6*'Output-Calculation-sheet'!N78</f>
        <v>756275572.99651313</v>
      </c>
      <c r="O95" s="2">
        <f>O7/'Output-Calculation-sheet'!O6*'Output-Calculation-sheet'!O78</f>
        <v>373667521.16483265</v>
      </c>
      <c r="P95" s="2">
        <f>P7/'Output-Calculation-sheet'!P6*'Output-Calculation-sheet'!P78</f>
        <v>1275443685.135396</v>
      </c>
      <c r="Q95" s="2">
        <f>Q7/'Output-Calculation-sheet'!Q6*'Output-Calculation-sheet'!Q78</f>
        <v>593325787.36160111</v>
      </c>
      <c r="R95" s="2">
        <f>R7/'Output-Calculation-sheet'!R6*'Output-Calculation-sheet'!R78</f>
        <v>730508225.01357377</v>
      </c>
      <c r="S95" s="2">
        <f>S7/'Output-Calculation-sheet'!S6*'Output-Calculation-sheet'!S78</f>
        <v>427431739.34490931</v>
      </c>
      <c r="T95" s="2">
        <f>T7/'Output-Calculation-sheet'!T6*'Output-Calculation-sheet'!T78</f>
        <v>330867905.35257918</v>
      </c>
      <c r="U95" s="2">
        <f>U7/'Output-Calculation-sheet'!U6*'Output-Calculation-sheet'!U78</f>
        <v>204254186.57971448</v>
      </c>
      <c r="V95" s="2">
        <f>V7/'Output-Calculation-sheet'!V6*'Output-Calculation-sheet'!V78</f>
        <v>104826703.04075125</v>
      </c>
      <c r="W95" s="2">
        <f>W7/'Output-Calculation-sheet'!W6*'Output-Calculation-sheet'!W78</f>
        <v>315675389.25910026</v>
      </c>
      <c r="X95" s="2">
        <f>X7/'Output-Calculation-sheet'!X6*'Output-Calculation-sheet'!X78</f>
        <v>108772444.86513057</v>
      </c>
      <c r="Y95" s="2">
        <f>Y7/'Output-Calculation-sheet'!Y6*'Output-Calculation-sheet'!Y78</f>
        <v>173608059.39965627</v>
      </c>
      <c r="AA95" s="2">
        <f t="shared" si="8"/>
        <v>32.80140111071308</v>
      </c>
    </row>
    <row r="96" spans="1:27" x14ac:dyDescent="0.25">
      <c r="A96" s="2">
        <v>2031</v>
      </c>
      <c r="B96" s="2">
        <f>B8/'Output-Calculation-sheet'!B7*'Output-Calculation-sheet'!B79</f>
        <v>11409240794.637655</v>
      </c>
      <c r="C96" s="2">
        <f>C8/'Output-Calculation-sheet'!C7*'Output-Calculation-sheet'!C79</f>
        <v>3859798013.9549508</v>
      </c>
      <c r="D96" s="2">
        <f>D8/'Output-Calculation-sheet'!D7*'Output-Calculation-sheet'!D79</f>
        <v>4029374929.1545329</v>
      </c>
      <c r="E96" s="2">
        <f>E8/'Output-Calculation-sheet'!E7*'Output-Calculation-sheet'!E79</f>
        <v>7163885543.2217503</v>
      </c>
      <c r="F96" s="2">
        <f>F8/'Output-Calculation-sheet'!F7*'Output-Calculation-sheet'!F79</f>
        <v>2965061631.9942017</v>
      </c>
      <c r="G96" s="2">
        <f>G8/'Output-Calculation-sheet'!G7*'Output-Calculation-sheet'!G79</f>
        <v>2309539201.7794333</v>
      </c>
      <c r="H96" s="2">
        <f>H8/'Output-Calculation-sheet'!H7*'Output-Calculation-sheet'!H79</f>
        <v>1976835124.8003221</v>
      </c>
      <c r="I96" s="2">
        <f>I8/'Output-Calculation-sheet'!I7*'Output-Calculation-sheet'!I79</f>
        <v>1608839587.5039077</v>
      </c>
      <c r="J96" s="2">
        <f>J8/'Output-Calculation-sheet'!J7*'Output-Calculation-sheet'!J79</f>
        <v>1087938884.5264204</v>
      </c>
      <c r="K96" s="2">
        <f>K8/'Output-Calculation-sheet'!K7*'Output-Calculation-sheet'!K79</f>
        <v>1556516006.216635</v>
      </c>
      <c r="L96" s="2">
        <f>L8/'Output-Calculation-sheet'!L7*'Output-Calculation-sheet'!L79</f>
        <v>1098276339.6166196</v>
      </c>
      <c r="M96" s="2">
        <f>M8/'Output-Calculation-sheet'!M7*'Output-Calculation-sheet'!M79</f>
        <v>1475669188.37181</v>
      </c>
      <c r="N96" s="2">
        <f>N8/'Output-Calculation-sheet'!N7*'Output-Calculation-sheet'!N79</f>
        <v>1098015401.66922</v>
      </c>
      <c r="O96" s="2">
        <f>O8/'Output-Calculation-sheet'!O7*'Output-Calculation-sheet'!O79</f>
        <v>555084392.82886398</v>
      </c>
      <c r="P96" s="2">
        <f>P8/'Output-Calculation-sheet'!P7*'Output-Calculation-sheet'!P79</f>
        <v>1856640873.5975182</v>
      </c>
      <c r="Q96" s="2">
        <f>Q8/'Output-Calculation-sheet'!Q7*'Output-Calculation-sheet'!Q79</f>
        <v>865274060.27211273</v>
      </c>
      <c r="R96" s="2">
        <f>R8/'Output-Calculation-sheet'!R7*'Output-Calculation-sheet'!R79</f>
        <v>1079532248.6171241</v>
      </c>
      <c r="S96" s="2">
        <f>S8/'Output-Calculation-sheet'!S7*'Output-Calculation-sheet'!S79</f>
        <v>629025956.44611275</v>
      </c>
      <c r="T96" s="2">
        <f>T8/'Output-Calculation-sheet'!T7*'Output-Calculation-sheet'!T79</f>
        <v>480431020.6982969</v>
      </c>
      <c r="U96" s="2">
        <f>U8/'Output-Calculation-sheet'!U7*'Output-Calculation-sheet'!U79</f>
        <v>301794419.69975585</v>
      </c>
      <c r="V96" s="2">
        <f>V8/'Output-Calculation-sheet'!V7*'Output-Calculation-sheet'!V79</f>
        <v>156586682.75105616</v>
      </c>
      <c r="W96" s="2">
        <f>W8/'Output-Calculation-sheet'!W7*'Output-Calculation-sheet'!W79</f>
        <v>462700952.6110428</v>
      </c>
      <c r="X96" s="2">
        <f>X8/'Output-Calculation-sheet'!X7*'Output-Calculation-sheet'!X79</f>
        <v>162626290.63412207</v>
      </c>
      <c r="Y96" s="2">
        <f>Y8/'Output-Calculation-sheet'!Y7*'Output-Calculation-sheet'!Y79</f>
        <v>254345276.08357504</v>
      </c>
      <c r="AA96" s="2">
        <f t="shared" si="8"/>
        <v>48.443032821687041</v>
      </c>
    </row>
    <row r="97" spans="1:27" x14ac:dyDescent="0.25">
      <c r="A97" s="2">
        <v>2032</v>
      </c>
      <c r="B97" s="2">
        <f>B9/'Output-Calculation-sheet'!B8*'Output-Calculation-sheet'!B80</f>
        <v>14594322244.628841</v>
      </c>
      <c r="C97" s="2">
        <f>C9/'Output-Calculation-sheet'!C8*'Output-Calculation-sheet'!C80</f>
        <v>4970904823.1605425</v>
      </c>
      <c r="D97" s="2">
        <f>D9/'Output-Calculation-sheet'!D8*'Output-Calculation-sheet'!D80</f>
        <v>4953022773.320591</v>
      </c>
      <c r="E97" s="2">
        <f>E9/'Output-Calculation-sheet'!E8*'Output-Calculation-sheet'!E80</f>
        <v>9058337671.8940487</v>
      </c>
      <c r="F97" s="2">
        <f>F9/'Output-Calculation-sheet'!F8*'Output-Calculation-sheet'!F80</f>
        <v>3742000025.9720383</v>
      </c>
      <c r="G97" s="2">
        <f>G9/'Output-Calculation-sheet'!G8*'Output-Calculation-sheet'!G80</f>
        <v>2832488432.9303823</v>
      </c>
      <c r="H97" s="2">
        <f>H9/'Output-Calculation-sheet'!H8*'Output-Calculation-sheet'!H80</f>
        <v>2492017708.6196814</v>
      </c>
      <c r="I97" s="2">
        <f>I9/'Output-Calculation-sheet'!I8*'Output-Calculation-sheet'!I80</f>
        <v>2049915830.5998886</v>
      </c>
      <c r="J97" s="2">
        <f>J9/'Output-Calculation-sheet'!J8*'Output-Calculation-sheet'!J80</f>
        <v>1347630450.5146823</v>
      </c>
      <c r="K97" s="2">
        <f>K9/'Output-Calculation-sheet'!K8*'Output-Calculation-sheet'!K80</f>
        <v>1942893231.7918515</v>
      </c>
      <c r="L97" s="2">
        <f>L9/'Output-Calculation-sheet'!L8*'Output-Calculation-sheet'!L80</f>
        <v>1414104429.2798998</v>
      </c>
      <c r="M97" s="2">
        <f>M9/'Output-Calculation-sheet'!M8*'Output-Calculation-sheet'!M80</f>
        <v>1865752590.6882303</v>
      </c>
      <c r="N97" s="2">
        <f>N9/'Output-Calculation-sheet'!N8*'Output-Calculation-sheet'!N80</f>
        <v>1363181721.4920065</v>
      </c>
      <c r="O97" s="2">
        <f>O9/'Output-Calculation-sheet'!O8*'Output-Calculation-sheet'!O80</f>
        <v>705220942.09673238</v>
      </c>
      <c r="P97" s="2">
        <f>P9/'Output-Calculation-sheet'!P8*'Output-Calculation-sheet'!P80</f>
        <v>2307350312.8505602</v>
      </c>
      <c r="Q97" s="2">
        <f>Q9/'Output-Calculation-sheet'!Q8*'Output-Calculation-sheet'!Q80</f>
        <v>1079289995.890764</v>
      </c>
      <c r="R97" s="2">
        <f>R9/'Output-Calculation-sheet'!R8*'Output-Calculation-sheet'!R80</f>
        <v>1363680159.1746898</v>
      </c>
      <c r="S97" s="2">
        <f>S9/'Output-Calculation-sheet'!S8*'Output-Calculation-sheet'!S80</f>
        <v>791476018.36413944</v>
      </c>
      <c r="T97" s="2">
        <f>T9/'Output-Calculation-sheet'!T8*'Output-Calculation-sheet'!T80</f>
        <v>596009277.30500019</v>
      </c>
      <c r="U97" s="2">
        <f>U9/'Output-Calculation-sheet'!U8*'Output-Calculation-sheet'!U80</f>
        <v>381024456.49570066</v>
      </c>
      <c r="V97" s="2">
        <f>V9/'Output-Calculation-sheet'!V8*'Output-Calculation-sheet'!V80</f>
        <v>199786517.65363535</v>
      </c>
      <c r="W97" s="2">
        <f>W9/'Output-Calculation-sheet'!W8*'Output-Calculation-sheet'!W80</f>
        <v>578585615.41244042</v>
      </c>
      <c r="X97" s="2">
        <f>X9/'Output-Calculation-sheet'!X8*'Output-Calculation-sheet'!X80</f>
        <v>207768070.33473879</v>
      </c>
      <c r="Y97" s="2">
        <f>Y9/'Output-Calculation-sheet'!Y8*'Output-Calculation-sheet'!Y80</f>
        <v>318028105.97034043</v>
      </c>
      <c r="AA97" s="2">
        <f t="shared" si="8"/>
        <v>61.154791406441412</v>
      </c>
    </row>
    <row r="98" spans="1:27" x14ac:dyDescent="0.25">
      <c r="A98" s="2">
        <v>2033</v>
      </c>
      <c r="B98" s="2">
        <f>B10/'Output-Calculation-sheet'!B9*'Output-Calculation-sheet'!B81</f>
        <v>16719783563.087561</v>
      </c>
      <c r="C98" s="2">
        <f>C10/'Output-Calculation-sheet'!C9*'Output-Calculation-sheet'!C81</f>
        <v>5732370917.8247042</v>
      </c>
      <c r="D98" s="2">
        <f>D10/'Output-Calculation-sheet'!D9*'Output-Calculation-sheet'!D81</f>
        <v>5455471174.1471081</v>
      </c>
      <c r="E98" s="2">
        <f>E10/'Output-Calculation-sheet'!E9*'Output-Calculation-sheet'!E81</f>
        <v>10262084535.322906</v>
      </c>
      <c r="F98" s="2">
        <f>F10/'Output-Calculation-sheet'!F9*'Output-Calculation-sheet'!F81</f>
        <v>4232331708.061295</v>
      </c>
      <c r="G98" s="2">
        <f>G10/'Output-Calculation-sheet'!G9*'Output-Calculation-sheet'!G81</f>
        <v>3107507432.9760122</v>
      </c>
      <c r="H98" s="2">
        <f>H10/'Output-Calculation-sheet'!H9*'Output-Calculation-sheet'!H81</f>
        <v>2815427123.3762946</v>
      </c>
      <c r="I98" s="2">
        <f>I10/'Output-Calculation-sheet'!I9*'Output-Calculation-sheet'!I81</f>
        <v>2340451126.9159212</v>
      </c>
      <c r="J98" s="2">
        <f>J10/'Output-Calculation-sheet'!J9*'Output-Calculation-sheet'!J81</f>
        <v>1496543440.8244693</v>
      </c>
      <c r="K98" s="2">
        <f>K10/'Output-Calculation-sheet'!K9*'Output-Calculation-sheet'!K81</f>
        <v>2173788695.9927402</v>
      </c>
      <c r="L98" s="2">
        <f>L10/'Output-Calculation-sheet'!L9*'Output-Calculation-sheet'!L81</f>
        <v>1630374061.1328859</v>
      </c>
      <c r="M98" s="2">
        <f>M10/'Output-Calculation-sheet'!M9*'Output-Calculation-sheet'!M81</f>
        <v>2114267560.4469025</v>
      </c>
      <c r="N98" s="2">
        <f>N10/'Output-Calculation-sheet'!N9*'Output-Calculation-sheet'!N81</f>
        <v>1516822008.5028951</v>
      </c>
      <c r="O98" s="2">
        <f>O10/'Output-Calculation-sheet'!O9*'Output-Calculation-sheet'!O81</f>
        <v>803242947.20748222</v>
      </c>
      <c r="P98" s="2">
        <f>P10/'Output-Calculation-sheet'!P9*'Output-Calculation-sheet'!P81</f>
        <v>2566931402.0421414</v>
      </c>
      <c r="Q98" s="2">
        <f>Q10/'Output-Calculation-sheet'!Q9*'Output-Calculation-sheet'!Q81</f>
        <v>1206906072.0173478</v>
      </c>
      <c r="R98" s="2">
        <f>R10/'Output-Calculation-sheet'!R9*'Output-Calculation-sheet'!R81</f>
        <v>1543815456.7802014</v>
      </c>
      <c r="S98" s="2">
        <f>S10/'Output-Calculation-sheet'!S9*'Output-Calculation-sheet'!S81</f>
        <v>892600193.06454194</v>
      </c>
      <c r="T98" s="2">
        <f>T10/'Output-Calculation-sheet'!T9*'Output-Calculation-sheet'!T81</f>
        <v>662346064.4663707</v>
      </c>
      <c r="U98" s="2">
        <f>U10/'Output-Calculation-sheet'!U9*'Output-Calculation-sheet'!U81</f>
        <v>430965306.92971611</v>
      </c>
      <c r="V98" s="2">
        <f>V10/'Output-Calculation-sheet'!V9*'Output-Calculation-sheet'!V81</f>
        <v>228246483.90505964</v>
      </c>
      <c r="W98" s="2">
        <f>W10/'Output-Calculation-sheet'!W9*'Output-Calculation-sheet'!W81</f>
        <v>647157526.9783082</v>
      </c>
      <c r="X98" s="2">
        <f>X10/'Output-Calculation-sheet'!X9*'Output-Calculation-sheet'!X81</f>
        <v>237810811.24185434</v>
      </c>
      <c r="Y98" s="2">
        <f>Y10/'Output-Calculation-sheet'!Y9*'Output-Calculation-sheet'!Y81</f>
        <v>355847286.0040471</v>
      </c>
      <c r="AA98" s="2">
        <f t="shared" si="8"/>
        <v>69.173092899248786</v>
      </c>
    </row>
    <row r="99" spans="1:27" x14ac:dyDescent="0.25">
      <c r="A99" s="2">
        <v>2034</v>
      </c>
      <c r="B99" s="2">
        <f>B11/'Output-Calculation-sheet'!B10*'Output-Calculation-sheet'!B82</f>
        <v>17358405612.672291</v>
      </c>
      <c r="C99" s="2">
        <f>C11/'Output-Calculation-sheet'!C10*'Output-Calculation-sheet'!C82</f>
        <v>5989362113.2468662</v>
      </c>
      <c r="D99" s="2">
        <f>D11/'Output-Calculation-sheet'!D10*'Output-Calculation-sheet'!D82</f>
        <v>5448634810.7269545</v>
      </c>
      <c r="E99" s="2">
        <f>E11/'Output-Calculation-sheet'!E10*'Output-Calculation-sheet'!E82</f>
        <v>10539906256.339249</v>
      </c>
      <c r="F99" s="2">
        <f>F11/'Output-Calculation-sheet'!F10*'Output-Calculation-sheet'!F82</f>
        <v>4340847311.5383282</v>
      </c>
      <c r="G99" s="2">
        <f>G11/'Output-Calculation-sheet'!G10*'Output-Calculation-sheet'!G82</f>
        <v>3086033542.528708</v>
      </c>
      <c r="H99" s="2">
        <f>H11/'Output-Calculation-sheet'!H10*'Output-Calculation-sheet'!H82</f>
        <v>2884458643.4490657</v>
      </c>
      <c r="I99" s="2">
        <f>I11/'Output-Calculation-sheet'!I10*'Output-Calculation-sheet'!I82</f>
        <v>2422744453.3869529</v>
      </c>
      <c r="J99" s="2">
        <f>J11/'Output-Calculation-sheet'!J10*'Output-Calculation-sheet'!J82</f>
        <v>1507672946.7423272</v>
      </c>
      <c r="K99" s="2">
        <f>K11/'Output-Calculation-sheet'!K10*'Output-Calculation-sheet'!K82</f>
        <v>2205923368.2207375</v>
      </c>
      <c r="L99" s="2">
        <f>L11/'Output-Calculation-sheet'!L10*'Output-Calculation-sheet'!L82</f>
        <v>1703134158.089112</v>
      </c>
      <c r="M99" s="2">
        <f>M11/'Output-Calculation-sheet'!M10*'Output-Calculation-sheet'!M82</f>
        <v>2172809231.6519885</v>
      </c>
      <c r="N99" s="2">
        <f>N11/'Output-Calculation-sheet'!N10*'Output-Calculation-sheet'!N82</f>
        <v>1530746133.9167874</v>
      </c>
      <c r="O99" s="2">
        <f>O11/'Output-Calculation-sheet'!O10*'Output-Calculation-sheet'!O82</f>
        <v>829894301.13520634</v>
      </c>
      <c r="P99" s="2">
        <f>P11/'Output-Calculation-sheet'!P10*'Output-Calculation-sheet'!P82</f>
        <v>2586968541.7075315</v>
      </c>
      <c r="Q99" s="2">
        <f>Q11/'Output-Calculation-sheet'!Q10*'Output-Calculation-sheet'!Q82</f>
        <v>1224316080.4370384</v>
      </c>
      <c r="R99" s="2">
        <f>R11/'Output-Calculation-sheet'!R10*'Output-Calculation-sheet'!R82</f>
        <v>1584871504.146518</v>
      </c>
      <c r="S99" s="2">
        <f>S11/'Output-Calculation-sheet'!S10*'Output-Calculation-sheet'!S82</f>
        <v>912930293.85085797</v>
      </c>
      <c r="T99" s="2">
        <f>T11/'Output-Calculation-sheet'!T10*'Output-Calculation-sheet'!T82</f>
        <v>667245310.70535326</v>
      </c>
      <c r="U99" s="2">
        <f>U11/'Output-Calculation-sheet'!U10*'Output-Calculation-sheet'!U82</f>
        <v>441863295.3867299</v>
      </c>
      <c r="V99" s="2">
        <f>V11/'Output-Calculation-sheet'!V10*'Output-Calculation-sheet'!V82</f>
        <v>236258795.14953107</v>
      </c>
      <c r="W99" s="2">
        <f>W11/'Output-Calculation-sheet'!W10*'Output-Calculation-sheet'!W82</f>
        <v>655153910.79840016</v>
      </c>
      <c r="X99" s="2">
        <f>X11/'Output-Calculation-sheet'!X10*'Output-Calculation-sheet'!X82</f>
        <v>246748999.91537246</v>
      </c>
      <c r="Y99" s="2">
        <f>Y11/'Output-Calculation-sheet'!Y10*'Output-Calculation-sheet'!Y82</f>
        <v>360542441.67161435</v>
      </c>
      <c r="AA99" s="2">
        <f t="shared" si="8"/>
        <v>70.937472057413544</v>
      </c>
    </row>
    <row r="100" spans="1:27" x14ac:dyDescent="0.25">
      <c r="A100" s="2">
        <v>2035</v>
      </c>
      <c r="B100" s="2">
        <f>B12/'Output-Calculation-sheet'!B11*'Output-Calculation-sheet'!B83</f>
        <v>16338714780.773075</v>
      </c>
      <c r="C100" s="2">
        <f>C12/'Output-Calculation-sheet'!C11*'Output-Calculation-sheet'!C83</f>
        <v>5672536392.429327</v>
      </c>
      <c r="D100" s="2">
        <f>D12/'Output-Calculation-sheet'!D11*'Output-Calculation-sheet'!D83</f>
        <v>4937215584.8913755</v>
      </c>
      <c r="E100" s="2">
        <f>E12/'Output-Calculation-sheet'!E11*'Output-Calculation-sheet'!E83</f>
        <v>9818847854.2891541</v>
      </c>
      <c r="F100" s="2">
        <f>F12/'Output-Calculation-sheet'!F11*'Output-Calculation-sheet'!F83</f>
        <v>4039082501.4840541</v>
      </c>
      <c r="G100" s="2">
        <f>G12/'Output-Calculation-sheet'!G11*'Output-Calculation-sheet'!G83</f>
        <v>2775636163.8751884</v>
      </c>
      <c r="H100" s="2">
        <f>H12/'Output-Calculation-sheet'!H11*'Output-Calculation-sheet'!H83</f>
        <v>2681057105.3233547</v>
      </c>
      <c r="I100" s="2">
        <f>I12/'Output-Calculation-sheet'!I11*'Output-Calculation-sheet'!I83</f>
        <v>2274823998.5975013</v>
      </c>
      <c r="J100" s="2">
        <f>J12/'Output-Calculation-sheet'!J11*'Output-Calculation-sheet'!J83</f>
        <v>1378641252.7160573</v>
      </c>
      <c r="K100" s="2">
        <f>K12/'Output-Calculation-sheet'!K11*'Output-Calculation-sheet'!K83</f>
        <v>2031325808.9459248</v>
      </c>
      <c r="L100" s="2">
        <f>L12/'Output-Calculation-sheet'!L11*'Output-Calculation-sheet'!L83</f>
        <v>1612756867.3101518</v>
      </c>
      <c r="M100" s="2">
        <f>M12/'Output-Calculation-sheet'!M11*'Output-Calculation-sheet'!M83</f>
        <v>2025979998.8406193</v>
      </c>
      <c r="N100" s="2">
        <f>N12/'Output-Calculation-sheet'!N11*'Output-Calculation-sheet'!N83</f>
        <v>1401818142.2979627</v>
      </c>
      <c r="O100" s="2">
        <f>O12/'Output-Calculation-sheet'!O11*'Output-Calculation-sheet'!O83</f>
        <v>778098077.98843694</v>
      </c>
      <c r="P100" s="2">
        <f>P12/'Output-Calculation-sheet'!P11*'Output-Calculation-sheet'!P83</f>
        <v>2363139150.9317803</v>
      </c>
      <c r="Q100" s="2">
        <f>Q12/'Output-Calculation-sheet'!Q11*'Output-Calculation-sheet'!Q83</f>
        <v>1127228207.9785814</v>
      </c>
      <c r="R100" s="2">
        <f>R12/'Output-Calculation-sheet'!R11*'Output-Calculation-sheet'!R83</f>
        <v>1476042511.0616965</v>
      </c>
      <c r="S100" s="2">
        <f>S12/'Output-Calculation-sheet'!S11*'Output-Calculation-sheet'!S83</f>
        <v>847172563.56403351</v>
      </c>
      <c r="T100" s="2">
        <f>T12/'Output-Calculation-sheet'!T11*'Output-Calculation-sheet'!T83</f>
        <v>609670721.17901278</v>
      </c>
      <c r="U100" s="2">
        <f>U12/'Output-Calculation-sheet'!U11*'Output-Calculation-sheet'!U83</f>
        <v>410849036.60220438</v>
      </c>
      <c r="V100" s="2">
        <f>V12/'Output-Calculation-sheet'!V11*'Output-Calculation-sheet'!V83</f>
        <v>221676926.17802909</v>
      </c>
      <c r="W100" s="2">
        <f>W12/'Output-Calculation-sheet'!W11*'Output-Calculation-sheet'!W83</f>
        <v>600577252.95596826</v>
      </c>
      <c r="X100" s="2">
        <f>X12/'Output-Calculation-sheet'!X11*'Output-Calculation-sheet'!X83</f>
        <v>232188870.62967479</v>
      </c>
      <c r="Y100" s="2">
        <f>Y12/'Output-Calculation-sheet'!Y11*'Output-Calculation-sheet'!Y83</f>
        <v>330953914.64894658</v>
      </c>
      <c r="AA100" s="2">
        <f t="shared" si="8"/>
        <v>65.986033685492131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95147940954.793701</v>
      </c>
      <c r="C8" s="2">
        <v>44838497692.624252</v>
      </c>
      <c r="D8" s="2">
        <v>39963223053.66922</v>
      </c>
      <c r="E8" s="2">
        <v>31706762153.154606</v>
      </c>
      <c r="F8" s="2">
        <v>20410780584.130936</v>
      </c>
      <c r="G8" s="2">
        <v>14341174597.164181</v>
      </c>
      <c r="H8" s="2">
        <v>13989265307.97233</v>
      </c>
      <c r="I8" s="2">
        <v>13065938955.142265</v>
      </c>
      <c r="J8" s="2">
        <v>12717482558.084991</v>
      </c>
      <c r="K8" s="2">
        <v>12595565152.757164</v>
      </c>
      <c r="L8" s="2">
        <v>10104326125.310034</v>
      </c>
      <c r="M8" s="2">
        <v>9651373574.8651047</v>
      </c>
      <c r="N8" s="2">
        <v>9472795289.7269993</v>
      </c>
      <c r="O8" s="2">
        <v>8712159040.2655773</v>
      </c>
      <c r="P8" s="2">
        <v>8623519710.3938999</v>
      </c>
      <c r="Q8" s="2">
        <v>8484149694.8723841</v>
      </c>
      <c r="R8" s="2">
        <v>8162142242.5106936</v>
      </c>
      <c r="S8" s="2">
        <v>5424977854.1750555</v>
      </c>
      <c r="T8" s="2">
        <v>3000333304.3945193</v>
      </c>
      <c r="U8" s="2">
        <v>2613187791.0284567</v>
      </c>
      <c r="V8" s="2">
        <v>2012206862.8477337</v>
      </c>
      <c r="W8" s="2">
        <v>1742125194.01897</v>
      </c>
      <c r="X8" s="2">
        <v>1045275116.4113824</v>
      </c>
      <c r="Y8" s="2">
        <v>1016519597.9589037</v>
      </c>
    </row>
    <row r="9" spans="1:27" x14ac:dyDescent="0.25">
      <c r="A9" s="2">
        <v>2032</v>
      </c>
      <c r="B9" s="2">
        <v>102715346999.48003</v>
      </c>
      <c r="C9" s="2">
        <v>48404640218.34671</v>
      </c>
      <c r="D9" s="2">
        <v>43141620112.678291</v>
      </c>
      <c r="E9" s="2">
        <v>34228497685.920494</v>
      </c>
      <c r="F9" s="2">
        <v>22034112238.175911</v>
      </c>
      <c r="G9" s="2">
        <v>15481771968.430937</v>
      </c>
      <c r="H9" s="2">
        <v>15101874259.778946</v>
      </c>
      <c r="I9" s="2">
        <v>14105112944.999002</v>
      </c>
      <c r="J9" s="2">
        <v>13728942747.527975</v>
      </c>
      <c r="K9" s="2">
        <v>13597328878.979059</v>
      </c>
      <c r="L9" s="2">
        <v>10907954010.799246</v>
      </c>
      <c r="M9" s="2">
        <v>10418976762.039284</v>
      </c>
      <c r="N9" s="2">
        <v>10226195601.033945</v>
      </c>
      <c r="O9" s="2">
        <v>9405063629.9182129</v>
      </c>
      <c r="P9" s="2">
        <v>9309374543.6993484</v>
      </c>
      <c r="Q9" s="2">
        <v>9158920005.61936</v>
      </c>
      <c r="R9" s="2">
        <v>8811302318.1124477</v>
      </c>
      <c r="S9" s="2">
        <v>5856442894.7635717</v>
      </c>
      <c r="T9" s="2">
        <v>3238958966.2418542</v>
      </c>
      <c r="U9" s="2">
        <v>2821022588.9998045</v>
      </c>
      <c r="V9" s="2">
        <v>2172243813.9816308</v>
      </c>
      <c r="W9" s="2">
        <v>1880681725.9998682</v>
      </c>
      <c r="X9" s="2">
        <v>1128409035.5999217</v>
      </c>
      <c r="Y9" s="2">
        <v>1097366503.030566</v>
      </c>
    </row>
    <row r="10" spans="1:27" x14ac:dyDescent="0.25">
      <c r="A10" s="2">
        <v>2033</v>
      </c>
      <c r="B10" s="2">
        <v>107369966975.98744</v>
      </c>
      <c r="C10" s="2">
        <v>50598131375.195068</v>
      </c>
      <c r="D10" s="2">
        <v>45096613720.365585</v>
      </c>
      <c r="E10" s="2">
        <v>35779586727.128036</v>
      </c>
      <c r="F10" s="2">
        <v>23032603914.292618</v>
      </c>
      <c r="G10" s="2">
        <v>16183339622.934952</v>
      </c>
      <c r="H10" s="2">
        <v>15786226575.822096</v>
      </c>
      <c r="I10" s="2">
        <v>14744296303.694347</v>
      </c>
      <c r="J10" s="2">
        <v>14351079682.618052</v>
      </c>
      <c r="K10" s="2">
        <v>14213501636.761375</v>
      </c>
      <c r="L10" s="2">
        <v>11402255808.190315</v>
      </c>
      <c r="M10" s="2">
        <v>10891120202.995581</v>
      </c>
      <c r="N10" s="2">
        <v>10689603024.741385</v>
      </c>
      <c r="O10" s="2">
        <v>9831260866.5625286</v>
      </c>
      <c r="P10" s="2">
        <v>9731235560.4382763</v>
      </c>
      <c r="Q10" s="2">
        <v>9573963066.5322056</v>
      </c>
      <c r="R10" s="2">
        <v>9210592832.9869175</v>
      </c>
      <c r="S10" s="2">
        <v>6121831825.2938786</v>
      </c>
      <c r="T10" s="2">
        <v>3385734726.1235147</v>
      </c>
      <c r="U10" s="2">
        <v>2948859260.738874</v>
      </c>
      <c r="V10" s="2">
        <v>2270680607.9541492</v>
      </c>
      <c r="W10" s="2">
        <v>1965906173.8259144</v>
      </c>
      <c r="X10" s="2">
        <v>1179543704.2955494</v>
      </c>
      <c r="Y10" s="2">
        <v>1147094456.9903769</v>
      </c>
    </row>
    <row r="11" spans="1:27" x14ac:dyDescent="0.25">
      <c r="A11" s="2">
        <v>2034</v>
      </c>
      <c r="B11" s="2">
        <v>109490936327.56226</v>
      </c>
      <c r="C11" s="2">
        <v>51597638862.402779</v>
      </c>
      <c r="D11" s="2">
        <v>45987445097.654678</v>
      </c>
      <c r="E11" s="2">
        <v>36486371026.290787</v>
      </c>
      <c r="F11" s="2">
        <v>23487586330.37273</v>
      </c>
      <c r="G11" s="2">
        <v>16503022755.128218</v>
      </c>
      <c r="H11" s="2">
        <v>16098065199.66951</v>
      </c>
      <c r="I11" s="2">
        <v>15035552801.683838</v>
      </c>
      <c r="J11" s="2">
        <v>14634568641.645559</v>
      </c>
      <c r="K11" s="2">
        <v>14494272900.823244</v>
      </c>
      <c r="L11" s="2">
        <v>11627494166.635521</v>
      </c>
      <c r="M11" s="2">
        <v>11106261669.510485</v>
      </c>
      <c r="N11" s="2">
        <v>10900763752.778568</v>
      </c>
      <c r="O11" s="2">
        <v>10025466039.317953</v>
      </c>
      <c r="P11" s="2">
        <v>9923464849.1113396</v>
      </c>
      <c r="Q11" s="2">
        <v>9763085619.2267151</v>
      </c>
      <c r="R11" s="2">
        <v>9392537427.5397758</v>
      </c>
      <c r="S11" s="2">
        <v>6242761523.2591152</v>
      </c>
      <c r="T11" s="2">
        <v>3452615994.5910411</v>
      </c>
      <c r="U11" s="2">
        <v>3007110560.336772</v>
      </c>
      <c r="V11" s="2">
        <v>2315535273.6705227</v>
      </c>
      <c r="W11" s="2">
        <v>2004740373.5578463</v>
      </c>
      <c r="X11" s="2">
        <v>1202844224.1347089</v>
      </c>
      <c r="Y11" s="2">
        <v>1169753979.5287611</v>
      </c>
    </row>
    <row r="12" spans="1:27" x14ac:dyDescent="0.25">
      <c r="A12" s="2">
        <v>2035</v>
      </c>
      <c r="B12" s="2">
        <v>109270124194.74315</v>
      </c>
      <c r="C12" s="2">
        <v>51493581073.988655</v>
      </c>
      <c r="D12" s="2">
        <v>45894701477.264626</v>
      </c>
      <c r="E12" s="2">
        <v>36412788374.83696</v>
      </c>
      <c r="F12" s="2">
        <v>23440218537.144012</v>
      </c>
      <c r="G12" s="2">
        <v>16469740843.631723</v>
      </c>
      <c r="H12" s="2">
        <v>16065599972.590206</v>
      </c>
      <c r="I12" s="2">
        <v>15005230360.451611</v>
      </c>
      <c r="J12" s="2">
        <v>14605054871.620052</v>
      </c>
      <c r="K12" s="2">
        <v>14465042067.475376</v>
      </c>
      <c r="L12" s="2">
        <v>11604044812.082598</v>
      </c>
      <c r="M12" s="2">
        <v>11083863492.920279</v>
      </c>
      <c r="N12" s="2">
        <v>10878780007.143154</v>
      </c>
      <c r="O12" s="2">
        <v>10005247520.663364</v>
      </c>
      <c r="P12" s="2">
        <v>9903452037.8980694</v>
      </c>
      <c r="Q12" s="2">
        <v>9743396247.3865891</v>
      </c>
      <c r="R12" s="2">
        <v>9373595346.1993294</v>
      </c>
      <c r="S12" s="2">
        <v>6230171645.6594944</v>
      </c>
      <c r="T12" s="2">
        <v>3445653048.3678927</v>
      </c>
      <c r="U12" s="2">
        <v>3001046072.0903268</v>
      </c>
      <c r="V12" s="2">
        <v>2310865496.4309945</v>
      </c>
      <c r="W12" s="2">
        <v>2000697381.3935494</v>
      </c>
      <c r="X12" s="2">
        <v>1200418428.8361306</v>
      </c>
      <c r="Y12" s="2">
        <v>1167394917.8588464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1850.6595340831959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577.38068467895425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398.34869509122126</v>
      </c>
      <c r="N16" s="2">
        <f>N5/'Output-Calculation-sheet'!N4*'Output-Calculation-sheet'!N22</f>
        <v>0</v>
      </c>
      <c r="O16" s="2">
        <f>O5/'Output-Calculation-sheet'!O4*'Output-Calculation-sheet'!O22</f>
        <v>359.57940612887347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43.142474550429625</v>
      </c>
      <c r="Y16" s="2">
        <f>Y5/'Output-Calculation-sheet'!Y4*'Output-Calculation-sheet'!Y22</f>
        <v>0</v>
      </c>
      <c r="AA16" s="2">
        <f t="shared" ref="AA16:AA23" si="0">SUM(B16:Y16)/1000</f>
        <v>3.2291107945326742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5261.6838008287832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1551.6288465196244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1071.0901873996486</v>
      </c>
      <c r="N17" s="2">
        <f>N6/'Output-Calculation-sheet'!N5*'Output-Calculation-sheet'!N23</f>
        <v>0</v>
      </c>
      <c r="O17" s="2">
        <f>O6/'Output-Calculation-sheet'!O5*'Output-Calculation-sheet'!O23</f>
        <v>1028.7789608679711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119.09908324580296</v>
      </c>
      <c r="Y17" s="2">
        <f>Y6/'Output-Calculation-sheet'!Y5*'Output-Calculation-sheet'!Y23</f>
        <v>0</v>
      </c>
      <c r="AA17" s="2">
        <f t="shared" si="0"/>
        <v>9.0322808788618296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9815.8604256411891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3109.3070625998366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2144.4455618048505</v>
      </c>
      <c r="N18" s="2">
        <f>N7/'Output-Calculation-sheet'!N6*'Output-Calculation-sheet'!N24</f>
        <v>664.59784636372979</v>
      </c>
      <c r="O18" s="2">
        <f>O7/'Output-Calculation-sheet'!O6*'Output-Calculation-sheet'!O24</f>
        <v>1415.5661484894149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145.29209719637518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240.43569678599329</v>
      </c>
      <c r="Y18" s="2">
        <f>Y7/'Output-Calculation-sheet'!Y6*'Output-Calculation-sheet'!Y24</f>
        <v>0</v>
      </c>
      <c r="AA18" s="2">
        <f t="shared" si="0"/>
        <v>17.535504838881387</v>
      </c>
    </row>
    <row r="19" spans="1:27" x14ac:dyDescent="0.25">
      <c r="A19" s="2">
        <v>2031</v>
      </c>
      <c r="B19" s="2">
        <f>B8/'Output-Calculation-sheet'!B7*'Output-Calculation-sheet'!B25</f>
        <v>1057.8798297091118</v>
      </c>
      <c r="C19" s="2">
        <f>C8/'Output-Calculation-sheet'!C7*'Output-Calculation-sheet'!C25</f>
        <v>13965.601219628537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4746.1989118828942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3297.9137444264993</v>
      </c>
      <c r="N19" s="2">
        <f>N8/'Output-Calculation-sheet'!N7*'Output-Calculation-sheet'!N25</f>
        <v>1129.0970656783545</v>
      </c>
      <c r="O19" s="2">
        <f>O8/'Output-Calculation-sheet'!O7*'Output-Calculation-sheet'!O25</f>
        <v>1802.4858964424109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402.87965715924202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368.47609419236039</v>
      </c>
      <c r="Y19" s="2">
        <f>Y8/'Output-Calculation-sheet'!Y7*'Output-Calculation-sheet'!Y25</f>
        <v>0</v>
      </c>
      <c r="AA19" s="2">
        <f t="shared" si="0"/>
        <v>26.770532419119409</v>
      </c>
    </row>
    <row r="20" spans="1:27" x14ac:dyDescent="0.25">
      <c r="A20" s="2">
        <v>2032</v>
      </c>
      <c r="B20" s="2">
        <f>B9/'Output-Calculation-sheet'!B8*'Output-Calculation-sheet'!B26</f>
        <v>5899.5817009296634</v>
      </c>
      <c r="C20" s="2">
        <f>C9/'Output-Calculation-sheet'!C8*'Output-Calculation-sheet'!C26</f>
        <v>20029.468883298105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6410.4212348670571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4459.5019454204976</v>
      </c>
      <c r="N20" s="2">
        <f>N9/'Output-Calculation-sheet'!N8*'Output-Calculation-sheet'!N26</f>
        <v>2012.6660994006238</v>
      </c>
      <c r="O20" s="2">
        <f>O9/'Output-Calculation-sheet'!O8*'Output-Calculation-sheet'!O26</f>
        <v>2112.0321561034089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731.45750323788934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498.91841807273113</v>
      </c>
      <c r="Y20" s="2">
        <f>Y9/'Output-Calculation-sheet'!Y8*'Output-Calculation-sheet'!Y26</f>
        <v>0</v>
      </c>
      <c r="AA20" s="2">
        <f t="shared" si="0"/>
        <v>42.154047941329978</v>
      </c>
    </row>
    <row r="21" spans="1:27" x14ac:dyDescent="0.25">
      <c r="A21" s="2">
        <v>2033</v>
      </c>
      <c r="B21" s="2">
        <f>B10/'Output-Calculation-sheet'!B9*'Output-Calculation-sheet'!B27</f>
        <v>13944.965521758002</v>
      </c>
      <c r="C21" s="2">
        <f>C10/'Output-Calculation-sheet'!C9*'Output-Calculation-sheet'!C27</f>
        <v>23948.147119055826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8071.6001587281316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5606.2287783946922</v>
      </c>
      <c r="N21" s="2">
        <f>N10/'Output-Calculation-sheet'!N9*'Output-Calculation-sheet'!N27</f>
        <v>3067.6160792781493</v>
      </c>
      <c r="O21" s="2">
        <f>O10/'Output-Calculation-sheet'!O9*'Output-Calculation-sheet'!O27</f>
        <v>2389.4042557580428</v>
      </c>
      <c r="P21" s="2">
        <f>P10/'Output-Calculation-sheet'!P9*'Output-Calculation-sheet'!P27</f>
        <v>0</v>
      </c>
      <c r="Q21" s="2">
        <f>Q10/'Output-Calculation-sheet'!Q9*'Output-Calculation-sheet'!Q27</f>
        <v>209.23172977978453</v>
      </c>
      <c r="R21" s="2">
        <f>R10/'Output-Calculation-sheet'!R9*'Output-Calculation-sheet'!R27</f>
        <v>0</v>
      </c>
      <c r="S21" s="2">
        <f>S10/'Output-Calculation-sheet'!S9*'Output-Calculation-sheet'!S27</f>
        <v>1332.3818809938723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659.24447536165837</v>
      </c>
      <c r="Y21" s="2">
        <f>Y10/'Output-Calculation-sheet'!Y9*'Output-Calculation-sheet'!Y27</f>
        <v>0</v>
      </c>
      <c r="AA21" s="2">
        <f t="shared" si="0"/>
        <v>59.228819999108161</v>
      </c>
    </row>
    <row r="22" spans="1:27" x14ac:dyDescent="0.25">
      <c r="A22" s="2">
        <v>2034</v>
      </c>
      <c r="B22" s="2">
        <f>B11/'Output-Calculation-sheet'!B10*'Output-Calculation-sheet'!B28</f>
        <v>27081.580320318903</v>
      </c>
      <c r="C22" s="2">
        <f>C11/'Output-Calculation-sheet'!C10*'Output-Calculation-sheet'!C28</f>
        <v>25981.375906684571</v>
      </c>
      <c r="D22" s="2">
        <f>D11/'Output-Calculation-sheet'!D10*'Output-Calculation-sheet'!D28</f>
        <v>0</v>
      </c>
      <c r="E22" s="2">
        <f>E11/'Output-Calculation-sheet'!E10*'Output-Calculation-sheet'!E28</f>
        <v>1387.6186492379625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9914.4438752418901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827.43151085971192</v>
      </c>
      <c r="M22" s="2">
        <f>M11/'Output-Calculation-sheet'!M10*'Output-Calculation-sheet'!M28</f>
        <v>7228.5010969320056</v>
      </c>
      <c r="N22" s="2">
        <f>N11/'Output-Calculation-sheet'!N10*'Output-Calculation-sheet'!N28</f>
        <v>4313.8840317281611</v>
      </c>
      <c r="O22" s="2">
        <f>O11/'Output-Calculation-sheet'!O10*'Output-Calculation-sheet'!O28</f>
        <v>2666.2627455225952</v>
      </c>
      <c r="P22" s="2">
        <f>P11/'Output-Calculation-sheet'!P10*'Output-Calculation-sheet'!P28</f>
        <v>0</v>
      </c>
      <c r="Q22" s="2">
        <f>Q11/'Output-Calculation-sheet'!Q10*'Output-Calculation-sheet'!Q28</f>
        <v>979.97943679998741</v>
      </c>
      <c r="R22" s="2">
        <f>R11/'Output-Calculation-sheet'!R10*'Output-Calculation-sheet'!R28</f>
        <v>0</v>
      </c>
      <c r="S22" s="2">
        <f>S11/'Output-Calculation-sheet'!S10*'Output-Calculation-sheet'!S28</f>
        <v>2200.6892096477745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725.86447539810695</v>
      </c>
      <c r="Y22" s="2">
        <f>Y11/'Output-Calculation-sheet'!Y10*'Output-Calculation-sheet'!Y28</f>
        <v>75.29163361690982</v>
      </c>
      <c r="AA22" s="2">
        <f t="shared" si="0"/>
        <v>83.382922891988571</v>
      </c>
    </row>
    <row r="23" spans="1:27" x14ac:dyDescent="0.25">
      <c r="A23" s="2">
        <v>2035</v>
      </c>
      <c r="B23" s="2">
        <f>B12/'Output-Calculation-sheet'!B11*'Output-Calculation-sheet'!B29</f>
        <v>32691.634287965171</v>
      </c>
      <c r="C23" s="2">
        <f>C12/'Output-Calculation-sheet'!C11*'Output-Calculation-sheet'!C29</f>
        <v>26702.119862705764</v>
      </c>
      <c r="D23" s="2">
        <f>D12/'Output-Calculation-sheet'!D11*'Output-Calculation-sheet'!D29</f>
        <v>0</v>
      </c>
      <c r="E23" s="2">
        <f>E12/'Output-Calculation-sheet'!E11*'Output-Calculation-sheet'!E29</f>
        <v>5040.2523327516092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10278.90336277091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1142.5845318423367</v>
      </c>
      <c r="M23" s="2">
        <f>M12/'Output-Calculation-sheet'!M11*'Output-Calculation-sheet'!M29</f>
        <v>7530.9233419791417</v>
      </c>
      <c r="N23" s="2">
        <f>N12/'Output-Calculation-sheet'!N11*'Output-Calculation-sheet'!N29</f>
        <v>4393.2076584663891</v>
      </c>
      <c r="O23" s="2">
        <f>O12/'Output-Calculation-sheet'!O11*'Output-Calculation-sheet'!O29</f>
        <v>2961.5620310905265</v>
      </c>
      <c r="P23" s="2">
        <f>P12/'Output-Calculation-sheet'!P11*'Output-Calculation-sheet'!P29</f>
        <v>536.54987817553069</v>
      </c>
      <c r="Q23" s="2">
        <f>Q12/'Output-Calculation-sheet'!Q11*'Output-Calculation-sheet'!Q29</f>
        <v>1204.5484820958068</v>
      </c>
      <c r="R23" s="2">
        <f>R12/'Output-Calculation-sheet'!R11*'Output-Calculation-sheet'!R29</f>
        <v>0</v>
      </c>
      <c r="S23" s="2">
        <f>S12/'Output-Calculation-sheet'!S11*'Output-Calculation-sheet'!S29</f>
        <v>2351.684807690584</v>
      </c>
      <c r="T23" s="2">
        <f>T12/'Output-Calculation-sheet'!T11*'Output-Calculation-sheet'!T29</f>
        <v>0</v>
      </c>
      <c r="U23" s="2">
        <f>U12/'Output-Calculation-sheet'!U11*'Output-Calculation-sheet'!U29</f>
        <v>102.55097407070795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746.05513231800376</v>
      </c>
      <c r="Y23" s="2">
        <f>Y12/'Output-Calculation-sheet'!Y11*'Output-Calculation-sheet'!Y29</f>
        <v>220.87397983302185</v>
      </c>
      <c r="AA23" s="2">
        <f t="shared" si="0"/>
        <v>95.903450663755507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2336.2795538332343</v>
      </c>
      <c r="C27" s="2">
        <f>C5/'Output-Calculation-sheet'!C4*'Output-Calculation-sheet'!C13</f>
        <v>0</v>
      </c>
      <c r="D27" s="2">
        <f>D5/'Output-Calculation-sheet'!D4*'Output-Calculation-sheet'!D13</f>
        <v>417.3490220932062</v>
      </c>
      <c r="E27" s="2">
        <f>E5/'Output-Calculation-sheet'!E4*'Output-Calculation-sheet'!E13</f>
        <v>449.01598760657197</v>
      </c>
      <c r="F27" s="2">
        <f>F5/'Output-Calculation-sheet'!F4*'Output-Calculation-sheet'!F13</f>
        <v>226.54986742942003</v>
      </c>
      <c r="G27" s="2">
        <f>G5/'Output-Calculation-sheet'!G4*'Output-Calculation-sheet'!G13</f>
        <v>148.35638298524847</v>
      </c>
      <c r="H27" s="2">
        <f>H5/'Output-Calculation-sheet'!H4*'Output-Calculation-sheet'!H13</f>
        <v>0</v>
      </c>
      <c r="I27" s="2">
        <f>I5/'Output-Calculation-sheet'!I4*'Output-Calculation-sheet'!I13</f>
        <v>144.62864690300205</v>
      </c>
      <c r="J27" s="2">
        <f>J5/'Output-Calculation-sheet'!J4*'Output-Calculation-sheet'!J13</f>
        <v>128.74764243636827</v>
      </c>
      <c r="K27" s="2">
        <f>K5/'Output-Calculation-sheet'!K4*'Output-Calculation-sheet'!K13</f>
        <v>171.89490677747332</v>
      </c>
      <c r="L27" s="2">
        <f>L5/'Output-Calculation-sheet'!L4*'Output-Calculation-sheet'!L13</f>
        <v>145.19547581060485</v>
      </c>
      <c r="M27" s="2">
        <f>M5/'Output-Calculation-sheet'!M4*'Output-Calculation-sheet'!M13</f>
        <v>0</v>
      </c>
      <c r="N27" s="2">
        <f>N5/'Output-Calculation-sheet'!N4*'Output-Calculation-sheet'!N13</f>
        <v>278.68633088122652</v>
      </c>
      <c r="O27" s="2">
        <f>O5/'Output-Calculation-sheet'!O4*'Output-Calculation-sheet'!O13</f>
        <v>0</v>
      </c>
      <c r="P27" s="2">
        <f>P5/'Output-Calculation-sheet'!P4*'Output-Calculation-sheet'!P13</f>
        <v>170.25460187077002</v>
      </c>
      <c r="Q27" s="2">
        <f>Q5/'Output-Calculation-sheet'!Q4*'Output-Calculation-sheet'!Q13</f>
        <v>189.47473795616474</v>
      </c>
      <c r="R27" s="2">
        <f>R5/'Output-Calculation-sheet'!R4*'Output-Calculation-sheet'!R13</f>
        <v>128.09305084483944</v>
      </c>
      <c r="S27" s="2">
        <f>S5/'Output-Calculation-sheet'!S4*'Output-Calculation-sheet'!S13</f>
        <v>147.83866089292081</v>
      </c>
      <c r="T27" s="2">
        <f>T5/'Output-Calculation-sheet'!T4*'Output-Calculation-sheet'!T13</f>
        <v>38.824910069583346</v>
      </c>
      <c r="U27" s="2">
        <f>U5/'Output-Calculation-sheet'!U4*'Output-Calculation-sheet'!U13</f>
        <v>38.756890874304347</v>
      </c>
      <c r="V27" s="2">
        <f>V5/'Output-Calculation-sheet'!V4*'Output-Calculation-sheet'!V13</f>
        <v>30.163741540282189</v>
      </c>
      <c r="W27" s="2">
        <f>W5/'Output-Calculation-sheet'!W4*'Output-Calculation-sheet'!W13</f>
        <v>18.294724247388917</v>
      </c>
      <c r="X27" s="2">
        <f>X5/'Output-Calculation-sheet'!X4*'Output-Calculation-sheet'!X13</f>
        <v>0</v>
      </c>
      <c r="Y27" s="2">
        <f>Y5/'Output-Calculation-sheet'!Y4*'Output-Calculation-sheet'!Y13</f>
        <v>15.468317945121104</v>
      </c>
      <c r="AA27" s="2">
        <f t="shared" ref="AA27:AA34" si="1">SUM(B27:Y27)/1000</f>
        <v>5.2238734529977293</v>
      </c>
    </row>
    <row r="28" spans="1:27" x14ac:dyDescent="0.25">
      <c r="A28" s="2">
        <v>2029</v>
      </c>
      <c r="B28" s="2">
        <f>B6/'Output-Calculation-sheet'!B5*'Output-Calculation-sheet'!B14</f>
        <v>6212.843182130503</v>
      </c>
      <c r="C28" s="2">
        <f>C6/'Output-Calculation-sheet'!C5*'Output-Calculation-sheet'!C14</f>
        <v>0</v>
      </c>
      <c r="D28" s="2">
        <f>D6/'Output-Calculation-sheet'!D5*'Output-Calculation-sheet'!D14</f>
        <v>1109.7722278118511</v>
      </c>
      <c r="E28" s="2">
        <f>E6/'Output-Calculation-sheet'!E5*'Output-Calculation-sheet'!E14</f>
        <v>1194.0822533988289</v>
      </c>
      <c r="F28" s="2">
        <f>F6/'Output-Calculation-sheet'!F5*'Output-Calculation-sheet'!F14</f>
        <v>602.42085087638884</v>
      </c>
      <c r="G28" s="2">
        <f>G6/'Output-Calculation-sheet'!G5*'Output-Calculation-sheet'!G14</f>
        <v>394.51410682638539</v>
      </c>
      <c r="H28" s="2">
        <f>H6/'Output-Calculation-sheet'!H5*'Output-Calculation-sheet'!H14</f>
        <v>0</v>
      </c>
      <c r="I28" s="2">
        <f>I6/'Output-Calculation-sheet'!I5*'Output-Calculation-sheet'!I14</f>
        <v>384.60119009587874</v>
      </c>
      <c r="J28" s="2">
        <f>J6/'Output-Calculation-sheet'!J5*'Output-Calculation-sheet'!J14</f>
        <v>342.35207973187318</v>
      </c>
      <c r="K28" s="2">
        <f>K6/'Output-Calculation-sheet'!K5*'Output-Calculation-sheet'!K14</f>
        <v>457.10851296544973</v>
      </c>
      <c r="L28" s="2">
        <f>L6/'Output-Calculation-sheet'!L5*'Output-Calculation-sheet'!L14</f>
        <v>386.10851991685803</v>
      </c>
      <c r="M28" s="2">
        <f>M6/'Output-Calculation-sheet'!M5*'Output-Calculation-sheet'!M14</f>
        <v>0</v>
      </c>
      <c r="N28" s="2">
        <f>N6/'Output-Calculation-sheet'!N5*'Output-Calculation-sheet'!N14</f>
        <v>741.10485393629119</v>
      </c>
      <c r="O28" s="2">
        <f>O6/'Output-Calculation-sheet'!O5*'Output-Calculation-sheet'!O14</f>
        <v>0</v>
      </c>
      <c r="P28" s="2">
        <f>P6/'Output-Calculation-sheet'!P5*'Output-Calculation-sheet'!P14</f>
        <v>452.74656094040381</v>
      </c>
      <c r="Q28" s="2">
        <f>Q6/'Output-Calculation-sheet'!Q5*'Output-Calculation-sheet'!Q14</f>
        <v>503.86886662982977</v>
      </c>
      <c r="R28" s="2">
        <f>R6/'Output-Calculation-sheet'!R5*'Output-Calculation-sheet'!R14</f>
        <v>340.62919658632683</v>
      </c>
      <c r="S28" s="2">
        <f>S6/'Output-Calculation-sheet'!S5*'Output-Calculation-sheet'!S14</f>
        <v>393.14488501068331</v>
      </c>
      <c r="T28" s="2">
        <f>T6/'Output-Calculation-sheet'!T5*'Output-Calculation-sheet'!T14</f>
        <v>103.24446047083413</v>
      </c>
      <c r="U28" s="2">
        <f>U6/'Output-Calculation-sheet'!U5*'Output-Calculation-sheet'!U14</f>
        <v>103.05991361578518</v>
      </c>
      <c r="V28" s="2">
        <f>V6/'Output-Calculation-sheet'!V5*'Output-Calculation-sheet'!V14</f>
        <v>80.209571755682759</v>
      </c>
      <c r="W28" s="2">
        <f>W6/'Output-Calculation-sheet'!W5*'Output-Calculation-sheet'!W14</f>
        <v>48.652373412955463</v>
      </c>
      <c r="X28" s="2">
        <f>X6/'Output-Calculation-sheet'!X5*'Output-Calculation-sheet'!X14</f>
        <v>0</v>
      </c>
      <c r="Y28" s="2">
        <f>Y6/'Output-Calculation-sheet'!Y5*'Output-Calculation-sheet'!Y14</f>
        <v>41.13385292517404</v>
      </c>
      <c r="AA28" s="2">
        <f t="shared" si="1"/>
        <v>13.891597459037982</v>
      </c>
    </row>
    <row r="29" spans="1:27" x14ac:dyDescent="0.25">
      <c r="A29" s="2">
        <v>2030</v>
      </c>
      <c r="B29" s="2">
        <f>B7/'Output-Calculation-sheet'!B6*'Output-Calculation-sheet'!B15</f>
        <v>11616.730180549072</v>
      </c>
      <c r="C29" s="2">
        <f>C7/'Output-Calculation-sheet'!C6*'Output-Calculation-sheet'!C15</f>
        <v>0</v>
      </c>
      <c r="D29" s="2">
        <f>D7/'Output-Calculation-sheet'!D6*'Output-Calculation-sheet'!D15</f>
        <v>2032.1215168953299</v>
      </c>
      <c r="E29" s="2">
        <f>E7/'Output-Calculation-sheet'!E6*'Output-Calculation-sheet'!E15</f>
        <v>2186.4391918240967</v>
      </c>
      <c r="F29" s="2">
        <f>F7/'Output-Calculation-sheet'!F6*'Output-Calculation-sheet'!F15</f>
        <v>1103.1009034218368</v>
      </c>
      <c r="G29" s="2">
        <f>G7/'Output-Calculation-sheet'!G6*'Output-Calculation-sheet'!G15</f>
        <v>722.38891997434996</v>
      </c>
      <c r="H29" s="2">
        <f>H7/'Output-Calculation-sheet'!H6*'Output-Calculation-sheet'!H15</f>
        <v>0</v>
      </c>
      <c r="I29" s="2">
        <f>I7/'Output-Calculation-sheet'!I6*'Output-Calculation-sheet'!I15</f>
        <v>704.23752541877388</v>
      </c>
      <c r="J29" s="2">
        <f>J7/'Output-Calculation-sheet'!J6*'Output-Calculation-sheet'!J15</f>
        <v>626.88668865865975</v>
      </c>
      <c r="K29" s="2">
        <f>K7/'Output-Calculation-sheet'!K6*'Output-Calculation-sheet'!K15</f>
        <v>837.0262200790761</v>
      </c>
      <c r="L29" s="2">
        <f>L7/'Output-Calculation-sheet'!L6*'Output-Calculation-sheet'!L15</f>
        <v>707.01476024054239</v>
      </c>
      <c r="M29" s="2">
        <f>M7/'Output-Calculation-sheet'!M6*'Output-Calculation-sheet'!M15</f>
        <v>0</v>
      </c>
      <c r="N29" s="2">
        <f>N7/'Output-Calculation-sheet'!N6*'Output-Calculation-sheet'!N15</f>
        <v>912.18024565140388</v>
      </c>
      <c r="O29" s="2">
        <f>O7/'Output-Calculation-sheet'!O6*'Output-Calculation-sheet'!O15</f>
        <v>0</v>
      </c>
      <c r="P29" s="2">
        <f>P7/'Output-Calculation-sheet'!P6*'Output-Calculation-sheet'!P15</f>
        <v>829.01750158143022</v>
      </c>
      <c r="Q29" s="2">
        <f>Q7/'Output-Calculation-sheet'!Q6*'Output-Calculation-sheet'!Q15</f>
        <v>934.14147484604746</v>
      </c>
      <c r="R29" s="2">
        <f>R7/'Output-Calculation-sheet'!R6*'Output-Calculation-sheet'!R15</f>
        <v>623.72106136629043</v>
      </c>
      <c r="S29" s="2">
        <f>S7/'Output-Calculation-sheet'!S6*'Output-Calculation-sheet'!S15</f>
        <v>644.23786651817909</v>
      </c>
      <c r="T29" s="2">
        <f>T7/'Output-Calculation-sheet'!T6*'Output-Calculation-sheet'!T15</f>
        <v>189.0493977334049</v>
      </c>
      <c r="U29" s="2">
        <f>U7/'Output-Calculation-sheet'!U6*'Output-Calculation-sheet'!U15</f>
        <v>188.71371553813944</v>
      </c>
      <c r="V29" s="2">
        <f>V7/'Output-Calculation-sheet'!V6*'Output-Calculation-sheet'!V15</f>
        <v>146.87228154625217</v>
      </c>
      <c r="W29" s="2">
        <f>W7/'Output-Calculation-sheet'!W6*'Output-Calculation-sheet'!W15</f>
        <v>89.085143292634385</v>
      </c>
      <c r="X29" s="2">
        <f>X7/'Output-Calculation-sheet'!X6*'Output-Calculation-sheet'!X15</f>
        <v>0</v>
      </c>
      <c r="Y29" s="2">
        <f>Y7/'Output-Calculation-sheet'!Y6*'Output-Calculation-sheet'!Y15</f>
        <v>75.31958699280888</v>
      </c>
      <c r="AA29" s="2">
        <f t="shared" si="1"/>
        <v>25.168284182128328</v>
      </c>
    </row>
    <row r="30" spans="1:27" x14ac:dyDescent="0.25">
      <c r="A30" s="2">
        <v>2031</v>
      </c>
      <c r="B30" s="2">
        <f>B8/'Output-Calculation-sheet'!B7*'Output-Calculation-sheet'!B16</f>
        <v>18438.501783421572</v>
      </c>
      <c r="C30" s="2">
        <f>C8/'Output-Calculation-sheet'!C7*'Output-Calculation-sheet'!C16</f>
        <v>0</v>
      </c>
      <c r="D30" s="2">
        <f>D8/'Output-Calculation-sheet'!D7*'Output-Calculation-sheet'!D16</f>
        <v>3104.7999496947646</v>
      </c>
      <c r="E30" s="2">
        <f>E8/'Output-Calculation-sheet'!E7*'Output-Calculation-sheet'!E16</f>
        <v>3340.5893313249344</v>
      </c>
      <c r="F30" s="2">
        <f>F8/'Output-Calculation-sheet'!F7*'Output-Calculation-sheet'!F16</f>
        <v>1685.3450938385145</v>
      </c>
      <c r="G30" s="2">
        <f>G8/'Output-Calculation-sheet'!G7*'Output-Calculation-sheet'!G16</f>
        <v>1103.7008653048133</v>
      </c>
      <c r="H30" s="2">
        <f>H8/'Output-Calculation-sheet'!H7*'Output-Calculation-sheet'!H16</f>
        <v>0</v>
      </c>
      <c r="I30" s="2">
        <f>I8/'Output-Calculation-sheet'!I7*'Output-Calculation-sheet'!I16</f>
        <v>1075.9430850973195</v>
      </c>
      <c r="J30" s="2">
        <f>J8/'Output-Calculation-sheet'!J7*'Output-Calculation-sheet'!J16</f>
        <v>957.79623217221615</v>
      </c>
      <c r="K30" s="2">
        <f>K8/'Output-Calculation-sheet'!K7*'Output-Calculation-sheet'!K16</f>
        <v>1278.8410429381415</v>
      </c>
      <c r="L30" s="2">
        <f>L8/'Output-Calculation-sheet'!L7*'Output-Calculation-sheet'!L16</f>
        <v>1080.2049133776807</v>
      </c>
      <c r="M30" s="2">
        <f>M8/'Output-Calculation-sheet'!M7*'Output-Calculation-sheet'!M16</f>
        <v>0</v>
      </c>
      <c r="N30" s="2">
        <f>N8/'Output-Calculation-sheet'!N7*'Output-Calculation-sheet'!N16</f>
        <v>1534.3400735154141</v>
      </c>
      <c r="O30" s="2">
        <f>O8/'Output-Calculation-sheet'!O7*'Output-Calculation-sheet'!O16</f>
        <v>0</v>
      </c>
      <c r="P30" s="2">
        <f>P8/'Output-Calculation-sheet'!P7*'Output-Calculation-sheet'!P16</f>
        <v>1379.0145123573443</v>
      </c>
      <c r="Q30" s="2">
        <f>Q8/'Output-Calculation-sheet'!Q7*'Output-Calculation-sheet'!Q16</f>
        <v>1516.4605304879235</v>
      </c>
      <c r="R30" s="2">
        <f>R8/'Output-Calculation-sheet'!R7*'Output-Calculation-sheet'!R16</f>
        <v>962.20079771458518</v>
      </c>
      <c r="S30" s="2">
        <f>S8/'Output-Calculation-sheet'!S7*'Output-Calculation-sheet'!S16</f>
        <v>967.69185383947774</v>
      </c>
      <c r="T30" s="2">
        <f>T8/'Output-Calculation-sheet'!T7*'Output-Calculation-sheet'!T16</f>
        <v>288.83884856805605</v>
      </c>
      <c r="U30" s="2">
        <f>U8/'Output-Calculation-sheet'!U7*'Output-Calculation-sheet'!U16</f>
        <v>288.32255645053118</v>
      </c>
      <c r="V30" s="2">
        <f>V8/'Output-Calculation-sheet'!V7*'Output-Calculation-sheet'!V16</f>
        <v>224.39596511420564</v>
      </c>
      <c r="W30" s="2">
        <f>W8/'Output-Calculation-sheet'!W7*'Output-Calculation-sheet'!W16</f>
        <v>136.10746521141331</v>
      </c>
      <c r="X30" s="2">
        <f>X8/'Output-Calculation-sheet'!X7*'Output-Calculation-sheet'!X16</f>
        <v>0</v>
      </c>
      <c r="Y30" s="2">
        <f>Y8/'Output-Calculation-sheet'!Y7*'Output-Calculation-sheet'!Y16</f>
        <v>115.19949560482591</v>
      </c>
      <c r="AA30" s="2">
        <f t="shared" si="1"/>
        <v>39.478294396033732</v>
      </c>
    </row>
    <row r="31" spans="1:27" x14ac:dyDescent="0.25">
      <c r="A31" s="2">
        <v>2032</v>
      </c>
      <c r="B31" s="2">
        <f>B9/'Output-Calculation-sheet'!B8*'Output-Calculation-sheet'!B17</f>
        <v>24980.778069735275</v>
      </c>
      <c r="C31" s="2">
        <f>C9/'Output-Calculation-sheet'!C8*'Output-Calculation-sheet'!C17</f>
        <v>0</v>
      </c>
      <c r="D31" s="2">
        <f>D9/'Output-Calculation-sheet'!D8*'Output-Calculation-sheet'!D17</f>
        <v>4189.6044709054777</v>
      </c>
      <c r="E31" s="2">
        <f>E9/'Output-Calculation-sheet'!E8*'Output-Calculation-sheet'!E17</f>
        <v>4924.3076373771637</v>
      </c>
      <c r="F31" s="2">
        <f>F9/'Output-Calculation-sheet'!F8*'Output-Calculation-sheet'!F17</f>
        <v>2274.2532344033225</v>
      </c>
      <c r="G31" s="2">
        <f>G9/'Output-Calculation-sheet'!G8*'Output-Calculation-sheet'!G17</f>
        <v>1489.3519532029698</v>
      </c>
      <c r="H31" s="2">
        <f>H9/'Output-Calculation-sheet'!H8*'Output-Calculation-sheet'!H17</f>
        <v>0</v>
      </c>
      <c r="I31" s="2">
        <f>I9/'Output-Calculation-sheet'!I8*'Output-Calculation-sheet'!I17</f>
        <v>1451.9019523609059</v>
      </c>
      <c r="J31" s="2">
        <f>J9/'Output-Calculation-sheet'!J8*'Output-Calculation-sheet'!J17</f>
        <v>1292.4725913602515</v>
      </c>
      <c r="K31" s="2">
        <f>K9/'Output-Calculation-sheet'!K8*'Output-Calculation-sheet'!K17</f>
        <v>1840.1377999503557</v>
      </c>
      <c r="L31" s="2">
        <f>L9/'Output-Calculation-sheet'!L8*'Output-Calculation-sheet'!L17</f>
        <v>1569.3140553112789</v>
      </c>
      <c r="M31" s="2">
        <f>M9/'Output-Calculation-sheet'!M8*'Output-Calculation-sheet'!M17</f>
        <v>0</v>
      </c>
      <c r="N31" s="2">
        <f>N9/'Output-Calculation-sheet'!N8*'Output-Calculation-sheet'!N17</f>
        <v>1706.0048812192906</v>
      </c>
      <c r="O31" s="2">
        <f>O9/'Output-Calculation-sheet'!O8*'Output-Calculation-sheet'!O17</f>
        <v>0</v>
      </c>
      <c r="P31" s="2">
        <f>P9/'Output-Calculation-sheet'!P8*'Output-Calculation-sheet'!P17</f>
        <v>2117.4168484298302</v>
      </c>
      <c r="Q31" s="2">
        <f>Q9/'Output-Calculation-sheet'!Q8*'Output-Calculation-sheet'!Q17</f>
        <v>2257.3609022271744</v>
      </c>
      <c r="R31" s="2">
        <f>R9/'Output-Calculation-sheet'!R8*'Output-Calculation-sheet'!R17</f>
        <v>1476.8848023775527</v>
      </c>
      <c r="S31" s="2">
        <f>S9/'Output-Calculation-sheet'!S8*'Output-Calculation-sheet'!S17</f>
        <v>1270.7938315181871</v>
      </c>
      <c r="T31" s="2">
        <f>T9/'Output-Calculation-sheet'!T8*'Output-Calculation-sheet'!T17</f>
        <v>400.76348135339271</v>
      </c>
      <c r="U31" s="2">
        <f>U9/'Output-Calculation-sheet'!U8*'Output-Calculation-sheet'!U17</f>
        <v>460.60500409877477</v>
      </c>
      <c r="V31" s="2">
        <f>V9/'Output-Calculation-sheet'!V8*'Output-Calculation-sheet'!V17</f>
        <v>329.90950922812431</v>
      </c>
      <c r="W31" s="2">
        <f>W9/'Output-Calculation-sheet'!W8*'Output-Calculation-sheet'!W17</f>
        <v>183.6684077637706</v>
      </c>
      <c r="X31" s="2">
        <f>X9/'Output-Calculation-sheet'!X8*'Output-Calculation-sheet'!X17</f>
        <v>0</v>
      </c>
      <c r="Y31" s="2">
        <f>Y9/'Output-Calculation-sheet'!Y8*'Output-Calculation-sheet'!Y17</f>
        <v>177.46347412966657</v>
      </c>
      <c r="AA31" s="2">
        <f t="shared" si="1"/>
        <v>54.39299290695277</v>
      </c>
    </row>
    <row r="32" spans="1:27" x14ac:dyDescent="0.25">
      <c r="A32" s="2">
        <v>2033</v>
      </c>
      <c r="B32" s="2">
        <f>B10/'Output-Calculation-sheet'!B9*'Output-Calculation-sheet'!B18</f>
        <v>28310.003059052837</v>
      </c>
      <c r="C32" s="2">
        <f>C10/'Output-Calculation-sheet'!C9*'Output-Calculation-sheet'!C18</f>
        <v>0</v>
      </c>
      <c r="D32" s="2">
        <f>D10/'Output-Calculation-sheet'!D9*'Output-Calculation-sheet'!D18</f>
        <v>5438.2569424784406</v>
      </c>
      <c r="E32" s="2">
        <f>E10/'Output-Calculation-sheet'!E9*'Output-Calculation-sheet'!E18</f>
        <v>7596.9681843329781</v>
      </c>
      <c r="F32" s="2">
        <f>F10/'Output-Calculation-sheet'!F9*'Output-Calculation-sheet'!F18</f>
        <v>3066.7897143550472</v>
      </c>
      <c r="G32" s="2">
        <f>G10/'Output-Calculation-sheet'!G9*'Output-Calculation-sheet'!G18</f>
        <v>1913.1986690402166</v>
      </c>
      <c r="H32" s="2">
        <f>H10/'Output-Calculation-sheet'!H9*'Output-Calculation-sheet'!H18</f>
        <v>0</v>
      </c>
      <c r="I32" s="2">
        <f>I10/'Output-Calculation-sheet'!I9*'Output-Calculation-sheet'!I18</f>
        <v>2019.8885373776727</v>
      </c>
      <c r="J32" s="2">
        <f>J10/'Output-Calculation-sheet'!J9*'Output-Calculation-sheet'!J18</f>
        <v>1621.2277888473529</v>
      </c>
      <c r="K32" s="2">
        <f>K10/'Output-Calculation-sheet'!K9*'Output-Calculation-sheet'!K18</f>
        <v>2698.3343663288738</v>
      </c>
      <c r="L32" s="2">
        <f>L10/'Output-Calculation-sheet'!L9*'Output-Calculation-sheet'!L18</f>
        <v>2330.9202483668187</v>
      </c>
      <c r="M32" s="2">
        <f>M10/'Output-Calculation-sheet'!M9*'Output-Calculation-sheet'!M18</f>
        <v>0</v>
      </c>
      <c r="N32" s="2">
        <f>N10/'Output-Calculation-sheet'!N9*'Output-Calculation-sheet'!N18</f>
        <v>1725.1133344979462</v>
      </c>
      <c r="O32" s="2">
        <f>O10/'Output-Calculation-sheet'!O9*'Output-Calculation-sheet'!O18</f>
        <v>0</v>
      </c>
      <c r="P32" s="2">
        <f>P10/'Output-Calculation-sheet'!P9*'Output-Calculation-sheet'!P18</f>
        <v>2777.4025472685007</v>
      </c>
      <c r="Q32" s="2">
        <f>Q10/'Output-Calculation-sheet'!Q9*'Output-Calculation-sheet'!Q18</f>
        <v>3023.2805416107253</v>
      </c>
      <c r="R32" s="2">
        <f>R10/'Output-Calculation-sheet'!R9*'Output-Calculation-sheet'!R18</f>
        <v>1994.3192782745778</v>
      </c>
      <c r="S32" s="2">
        <f>S10/'Output-Calculation-sheet'!S9*'Output-Calculation-sheet'!S18</f>
        <v>1308.6839052452333</v>
      </c>
      <c r="T32" s="2">
        <f>T10/'Output-Calculation-sheet'!T9*'Output-Calculation-sheet'!T18</f>
        <v>582.12790532037297</v>
      </c>
      <c r="U32" s="2">
        <f>U10/'Output-Calculation-sheet'!U9*'Output-Calculation-sheet'!U18</f>
        <v>643.82683478371075</v>
      </c>
      <c r="V32" s="2">
        <f>V10/'Output-Calculation-sheet'!V9*'Output-Calculation-sheet'!V18</f>
        <v>475.45210915022466</v>
      </c>
      <c r="W32" s="2">
        <f>W10/'Output-Calculation-sheet'!W9*'Output-Calculation-sheet'!W18</f>
        <v>237.16912224455291</v>
      </c>
      <c r="X32" s="2">
        <f>X10/'Output-Calculation-sheet'!X9*'Output-Calculation-sheet'!X18</f>
        <v>0</v>
      </c>
      <c r="Y32" s="2">
        <f>Y10/'Output-Calculation-sheet'!Y9*'Output-Calculation-sheet'!Y18</f>
        <v>275.42585357111716</v>
      </c>
      <c r="AA32" s="2">
        <f t="shared" si="1"/>
        <v>68.038388942147193</v>
      </c>
    </row>
    <row r="33" spans="1:27" x14ac:dyDescent="0.25">
      <c r="A33" s="2">
        <v>2034</v>
      </c>
      <c r="B33" s="2">
        <f>B11/'Output-Calculation-sheet'!B10*'Output-Calculation-sheet'!B19</f>
        <v>27316.072309705767</v>
      </c>
      <c r="C33" s="2">
        <f>C11/'Output-Calculation-sheet'!C10*'Output-Calculation-sheet'!C19</f>
        <v>0</v>
      </c>
      <c r="D33" s="2">
        <f>D11/'Output-Calculation-sheet'!D10*'Output-Calculation-sheet'!D19</f>
        <v>8148.0843455408458</v>
      </c>
      <c r="E33" s="2">
        <f>E11/'Output-Calculation-sheet'!E10*'Output-Calculation-sheet'!E19</f>
        <v>10091.947307050461</v>
      </c>
      <c r="F33" s="2">
        <f>F11/'Output-Calculation-sheet'!F10*'Output-Calculation-sheet'!F19</f>
        <v>4630.9072371913571</v>
      </c>
      <c r="G33" s="2">
        <f>G11/'Output-Calculation-sheet'!G10*'Output-Calculation-sheet'!G19</f>
        <v>2773.5308482791497</v>
      </c>
      <c r="H33" s="2">
        <f>H11/'Output-Calculation-sheet'!H10*'Output-Calculation-sheet'!H19</f>
        <v>0</v>
      </c>
      <c r="I33" s="2">
        <f>I11/'Output-Calculation-sheet'!I10*'Output-Calculation-sheet'!I19</f>
        <v>3026.3110945512999</v>
      </c>
      <c r="J33" s="2">
        <f>J11/'Output-Calculation-sheet'!J10*'Output-Calculation-sheet'!J19</f>
        <v>2558.9410476011963</v>
      </c>
      <c r="K33" s="2">
        <f>K11/'Output-Calculation-sheet'!K10*'Output-Calculation-sheet'!K19</f>
        <v>3550.8999732216394</v>
      </c>
      <c r="L33" s="2">
        <f>L11/'Output-Calculation-sheet'!L10*'Output-Calculation-sheet'!L19</f>
        <v>2887.7275882248268</v>
      </c>
      <c r="M33" s="2">
        <f>M11/'Output-Calculation-sheet'!M10*'Output-Calculation-sheet'!M19</f>
        <v>0</v>
      </c>
      <c r="N33" s="2">
        <f>N11/'Output-Calculation-sheet'!N10*'Output-Calculation-sheet'!N19</f>
        <v>1632.8872456593317</v>
      </c>
      <c r="O33" s="2">
        <f>O11/'Output-Calculation-sheet'!O10*'Output-Calculation-sheet'!O19</f>
        <v>0</v>
      </c>
      <c r="P33" s="2">
        <f>P11/'Output-Calculation-sheet'!P10*'Output-Calculation-sheet'!P19</f>
        <v>3592.8843890344856</v>
      </c>
      <c r="Q33" s="2">
        <f>Q11/'Output-Calculation-sheet'!Q10*'Output-Calculation-sheet'!Q19</f>
        <v>2958.7025747826724</v>
      </c>
      <c r="R33" s="2">
        <f>R11/'Output-Calculation-sheet'!R10*'Output-Calculation-sheet'!R19</f>
        <v>2565.2615432226989</v>
      </c>
      <c r="S33" s="2">
        <f>S11/'Output-Calculation-sheet'!S10*'Output-Calculation-sheet'!S19</f>
        <v>1195.8346073353141</v>
      </c>
      <c r="T33" s="2">
        <f>T11/'Output-Calculation-sheet'!T10*'Output-Calculation-sheet'!T19</f>
        <v>752.72210045491477</v>
      </c>
      <c r="U33" s="2">
        <f>U11/'Output-Calculation-sheet'!U10*'Output-Calculation-sheet'!U19</f>
        <v>866.31829550180089</v>
      </c>
      <c r="V33" s="2">
        <f>V11/'Output-Calculation-sheet'!V10*'Output-Calculation-sheet'!V19</f>
        <v>590.28103552868492</v>
      </c>
      <c r="W33" s="2">
        <f>W11/'Output-Calculation-sheet'!W10*'Output-Calculation-sheet'!W19</f>
        <v>368.10727459230287</v>
      </c>
      <c r="X33" s="2">
        <f>X11/'Output-Calculation-sheet'!X10*'Output-Calculation-sheet'!X19</f>
        <v>106.43802557908505</v>
      </c>
      <c r="Y33" s="2">
        <f>Y11/'Output-Calculation-sheet'!Y10*'Output-Calculation-sheet'!Y19</f>
        <v>331.28318791440319</v>
      </c>
      <c r="AA33" s="2">
        <f t="shared" si="1"/>
        <v>79.945142030972264</v>
      </c>
    </row>
    <row r="34" spans="1:27" x14ac:dyDescent="0.25">
      <c r="A34" s="2">
        <v>2035</v>
      </c>
      <c r="B34" s="2">
        <f>B12/'Output-Calculation-sheet'!B11*'Output-Calculation-sheet'!B20</f>
        <v>26018.997114687631</v>
      </c>
      <c r="C34" s="2">
        <f>C12/'Output-Calculation-sheet'!C11*'Output-Calculation-sheet'!C20</f>
        <v>0</v>
      </c>
      <c r="D34" s="2">
        <f>D12/'Output-Calculation-sheet'!D11*'Output-Calculation-sheet'!D20</f>
        <v>8165.5547836328869</v>
      </c>
      <c r="E34" s="2">
        <f>E12/'Output-Calculation-sheet'!E11*'Output-Calculation-sheet'!E20</f>
        <v>8922.0684828459362</v>
      </c>
      <c r="F34" s="2">
        <f>F12/'Output-Calculation-sheet'!F11*'Output-Calculation-sheet'!F20</f>
        <v>5621.321513697043</v>
      </c>
      <c r="G34" s="2">
        <f>G12/'Output-Calculation-sheet'!G11*'Output-Calculation-sheet'!G20</f>
        <v>3003.8673228714656</v>
      </c>
      <c r="H34" s="2">
        <f>H12/'Output-Calculation-sheet'!H11*'Output-Calculation-sheet'!H20</f>
        <v>0</v>
      </c>
      <c r="I34" s="2">
        <f>I12/'Output-Calculation-sheet'!I11*'Output-Calculation-sheet'!I20</f>
        <v>3264.7947463894457</v>
      </c>
      <c r="J34" s="2">
        <f>J12/'Output-Calculation-sheet'!J11*'Output-Calculation-sheet'!J20</f>
        <v>2802.8291090033995</v>
      </c>
      <c r="K34" s="2">
        <f>K12/'Output-Calculation-sheet'!K11*'Output-Calculation-sheet'!K20</f>
        <v>3685.0378501031778</v>
      </c>
      <c r="L34" s="2">
        <f>L12/'Output-Calculation-sheet'!L11*'Output-Calculation-sheet'!L20</f>
        <v>2912.3444375228369</v>
      </c>
      <c r="M34" s="2">
        <f>M12/'Output-Calculation-sheet'!M11*'Output-Calculation-sheet'!M20</f>
        <v>0</v>
      </c>
      <c r="N34" s="2">
        <f>N12/'Output-Calculation-sheet'!N11*'Output-Calculation-sheet'!N20</f>
        <v>1620.7201584260811</v>
      </c>
      <c r="O34" s="2">
        <f>O12/'Output-Calculation-sheet'!O11*'Output-Calculation-sheet'!O20</f>
        <v>0</v>
      </c>
      <c r="P34" s="2">
        <f>P12/'Output-Calculation-sheet'!P11*'Output-Calculation-sheet'!P20</f>
        <v>3622.0135040298906</v>
      </c>
      <c r="Q34" s="2">
        <f>Q12/'Output-Calculation-sheet'!Q11*'Output-Calculation-sheet'!Q20</f>
        <v>2865.9921170042321</v>
      </c>
      <c r="R34" s="2">
        <f>R12/'Output-Calculation-sheet'!R11*'Output-Calculation-sheet'!R20</f>
        <v>2876.5965391104137</v>
      </c>
      <c r="S34" s="2">
        <f>S12/'Output-Calculation-sheet'!S11*'Output-Calculation-sheet'!S20</f>
        <v>1098.7900788252907</v>
      </c>
      <c r="T34" s="2">
        <f>T12/'Output-Calculation-sheet'!T11*'Output-Calculation-sheet'!T20</f>
        <v>903.7377723787672</v>
      </c>
      <c r="U34" s="2">
        <f>U12/'Output-Calculation-sheet'!U11*'Output-Calculation-sheet'!U20</f>
        <v>824.52067350690447</v>
      </c>
      <c r="V34" s="2">
        <f>V12/'Output-Calculation-sheet'!V11*'Output-Calculation-sheet'!V20</f>
        <v>757.40675161752131</v>
      </c>
      <c r="W34" s="2">
        <f>W12/'Output-Calculation-sheet'!W11*'Output-Calculation-sheet'!W20</f>
        <v>487.28875754300338</v>
      </c>
      <c r="X34" s="2">
        <f>X12/'Output-Calculation-sheet'!X11*'Output-Calculation-sheet'!X20</f>
        <v>98.482891258015783</v>
      </c>
      <c r="Y34" s="2">
        <f>Y12/'Output-Calculation-sheet'!Y11*'Output-Calculation-sheet'!Y20</f>
        <v>273.14375732462707</v>
      </c>
      <c r="AA34" s="2">
        <f t="shared" si="1"/>
        <v>79.825508361778574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0.87710993856598318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0.17039886480802641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1.0475088033740096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1.0050683621335521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0.39051548826826088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1.395583850401813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1.0850045154818002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0.63236156479524275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1.717366080277043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1.1341722770665212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0.66101748484861422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1.7951897619151356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2.3131530738115829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0.35603027858096992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0.24498367122126252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0.89876682630939964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0.21095918536774849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2.6875312666981982E-2</v>
      </c>
      <c r="Y44" s="2">
        <f>Y11/'Output-Calculation-sheet'!Y10*'Output-Calculation-sheet'!Y37*0.0114</f>
        <v>0</v>
      </c>
      <c r="AA44" s="2">
        <f t="shared" si="2"/>
        <v>4.0507683479579448</v>
      </c>
    </row>
    <row r="45" spans="1:27" x14ac:dyDescent="0.25">
      <c r="A45" s="2">
        <v>2035</v>
      </c>
      <c r="B45" s="2">
        <f>B12/'Output-Calculation-sheet'!B11*'Output-Calculation-sheet'!B38*0.0114</f>
        <v>2.4319212179214138</v>
      </c>
      <c r="C45" s="2">
        <f>C12/'Output-Calculation-sheet'!C11*'Output-Calculation-sheet'!C38*0.0114</f>
        <v>2.308488100792836</v>
      </c>
      <c r="D45" s="2">
        <f>D12/'Output-Calculation-sheet'!D11*'Output-Calculation-sheet'!D38*0.0114</f>
        <v>1.0224657249776468</v>
      </c>
      <c r="E45" s="2">
        <f>E12/'Output-Calculation-sheet'!E11*'Output-Calculation-sheet'!E38*0.0114</f>
        <v>0.81258752659937428</v>
      </c>
      <c r="F45" s="2">
        <f>F12/'Output-Calculation-sheet'!F11*'Output-Calculation-sheet'!F38*0.0114</f>
        <v>0.51106183214356815</v>
      </c>
      <c r="G45" s="2">
        <f>G12/'Output-Calculation-sheet'!G11*'Output-Calculation-sheet'!G38*0.0114</f>
        <v>0.36678042372579051</v>
      </c>
      <c r="H45" s="2">
        <f>H12/'Output-Calculation-sheet'!H11*'Output-Calculation-sheet'!H38*0.0114</f>
        <v>0.35531226659021986</v>
      </c>
      <c r="I45" s="2">
        <f>I12/'Output-Calculation-sheet'!I11*'Output-Calculation-sheet'!I38*0.0114</f>
        <v>0.32989709276664109</v>
      </c>
      <c r="J45" s="2">
        <f>J12/'Output-Calculation-sheet'!J11*'Output-Calculation-sheet'!J38*0.0114</f>
        <v>0.32648981099297775</v>
      </c>
      <c r="K45" s="2">
        <f>K12/'Output-Calculation-sheet'!K11*'Output-Calculation-sheet'!K38*0.0114</f>
        <v>0.32423691373511337</v>
      </c>
      <c r="L45" s="2">
        <f>L12/'Output-Calculation-sheet'!L11*'Output-Calculation-sheet'!L38*0.0114</f>
        <v>0.25781765692178932</v>
      </c>
      <c r="M45" s="2">
        <f>M12/'Output-Calculation-sheet'!M11*'Output-Calculation-sheet'!M38*0.0114</f>
        <v>0.24448960871013023</v>
      </c>
      <c r="N45" s="2">
        <f>N12/'Output-Calculation-sheet'!N11*'Output-Calculation-sheet'!N38*0.0114</f>
        <v>0.24029405392193165</v>
      </c>
      <c r="O45" s="2">
        <f>O12/'Output-Calculation-sheet'!O11*'Output-Calculation-sheet'!O38*0.0114</f>
        <v>0.89695426879111606</v>
      </c>
      <c r="P45" s="2">
        <f>P12/'Output-Calculation-sheet'!P11*'Output-Calculation-sheet'!P38*0.0114</f>
        <v>0.22198840862310557</v>
      </c>
      <c r="Q45" s="2">
        <f>Q12/'Output-Calculation-sheet'!Q11*'Output-Calculation-sheet'!Q38*0.0114</f>
        <v>0.21053374058463445</v>
      </c>
      <c r="R45" s="2">
        <f>R12/'Output-Calculation-sheet'!R11*'Output-Calculation-sheet'!R38*0.0114</f>
        <v>0.20878346032201794</v>
      </c>
      <c r="S45" s="2">
        <f>S12/'Output-Calculation-sheet'!S11*'Output-Calculation-sheet'!S38*0.0114</f>
        <v>0.13774447314223223</v>
      </c>
      <c r="T45" s="2">
        <f>T12/'Output-Calculation-sheet'!T11*'Output-Calculation-sheet'!T38*0.0114</f>
        <v>7.7242544647757885E-2</v>
      </c>
      <c r="U45" s="2">
        <f>U12/'Output-Calculation-sheet'!U11*'Output-Calculation-sheet'!U38*0.0114</f>
        <v>6.7173127120551068E-2</v>
      </c>
      <c r="V45" s="2">
        <f>V12/'Output-Calculation-sheet'!V11*'Output-Calculation-sheet'!V38*0.0114</f>
        <v>5.1796573275423023E-2</v>
      </c>
      <c r="W45" s="2">
        <f>W12/'Output-Calculation-sheet'!W11*'Output-Calculation-sheet'!W38*0.0114</f>
        <v>4.4851937248617232E-2</v>
      </c>
      <c r="X45" s="2">
        <f>X12/'Output-Calculation-sheet'!X11*'Output-Calculation-sheet'!X38*0.0114</f>
        <v>2.6821112791547336E-2</v>
      </c>
      <c r="Y45" s="2">
        <f>Y12/'Output-Calculation-sheet'!Y11*'Output-Calculation-sheet'!Y38*0.0114</f>
        <v>2.5882871314581675E-2</v>
      </c>
      <c r="AA45" s="2">
        <f t="shared" si="2"/>
        <v>11.501614747661019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8001.704702707214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1752.6429767627296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1238.5841948653988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175.20819045408629</v>
      </c>
      <c r="Y51" s="2">
        <f>Y7/'Output-Calculation-sheet'!Y6*'Output-Calculation-sheet'!Y42</f>
        <v>0</v>
      </c>
      <c r="AA51" s="2">
        <f t="shared" si="3"/>
        <v>11.16814006478943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20630.350591162387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6730.6187072749908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4593.9749098456314</v>
      </c>
      <c r="N52" s="2">
        <f>N8/'Output-Calculation-sheet'!N7*'Output-Calculation-sheet'!N43</f>
        <v>146.8338268352949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594.11141495026482</v>
      </c>
      <c r="Y52" s="2">
        <f>Y8/'Output-Calculation-sheet'!Y7*'Output-Calculation-sheet'!Y43</f>
        <v>0</v>
      </c>
      <c r="AA52" s="2">
        <f t="shared" si="3"/>
        <v>32.69588945006857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46540.983164087738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12861.859790249715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8789.7382901157162</v>
      </c>
      <c r="N53" s="2">
        <f>N9/'Output-Calculation-sheet'!N8*'Output-Calculation-sheet'!N44</f>
        <v>3130.6113893293677</v>
      </c>
      <c r="O53" s="2">
        <f>O9/'Output-Calculation-sheet'!O8*'Output-Calculation-sheet'!O44</f>
        <v>0</v>
      </c>
      <c r="P53" s="2">
        <f>P9/'Output-Calculation-sheet'!P8*'Output-Calculation-sheet'!P44</f>
        <v>146.43649807168791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976.79107575246087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1099.1633292942452</v>
      </c>
      <c r="Y53" s="2">
        <f>Y9/'Output-Calculation-sheet'!Y8*'Output-Calculation-sheet'!Y44</f>
        <v>0</v>
      </c>
      <c r="AA53" s="2">
        <f t="shared" si="3"/>
        <v>73.545583536900935</v>
      </c>
    </row>
    <row r="54" spans="1:27" x14ac:dyDescent="0.25">
      <c r="A54" s="2">
        <v>2033</v>
      </c>
      <c r="B54" s="2">
        <f>B10/'Output-Calculation-sheet'!B9*'Output-Calculation-sheet'!B45</f>
        <v>26830.947100156696</v>
      </c>
      <c r="C54" s="2">
        <f>C10/'Output-Calculation-sheet'!C9*'Output-Calculation-sheet'!C45</f>
        <v>61484.076072553515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19447.351230070133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251.52519701463336</v>
      </c>
      <c r="L54" s="2">
        <f>L10/'Output-Calculation-sheet'!L9*'Output-Calculation-sheet'!L45</f>
        <v>0</v>
      </c>
      <c r="M54" s="2">
        <f>M10/'Output-Calculation-sheet'!M9*'Output-Calculation-sheet'!M45</f>
        <v>13339.533652808084</v>
      </c>
      <c r="N54" s="2">
        <f>N10/'Output-Calculation-sheet'!N9*'Output-Calculation-sheet'!N45</f>
        <v>7476.9892755971068</v>
      </c>
      <c r="O54" s="2">
        <f>O10/'Output-Calculation-sheet'!O9*'Output-Calculation-sheet'!O45</f>
        <v>0</v>
      </c>
      <c r="P54" s="2">
        <f>P10/'Output-Calculation-sheet'!P9*'Output-Calculation-sheet'!P45</f>
        <v>2028.2089491265274</v>
      </c>
      <c r="Q54" s="2">
        <f>Q10/'Output-Calculation-sheet'!Q9*'Output-Calculation-sheet'!Q45</f>
        <v>798.45586386040929</v>
      </c>
      <c r="R54" s="2">
        <f>R10/'Output-Calculation-sheet'!R9*'Output-Calculation-sheet'!R45</f>
        <v>1331.6936915595309</v>
      </c>
      <c r="S54" s="2">
        <f>S10/'Output-Calculation-sheet'!S9*'Output-Calculation-sheet'!S45</f>
        <v>3181.8925353884069</v>
      </c>
      <c r="T54" s="2">
        <f>T10/'Output-Calculation-sheet'!T9*'Output-Calculation-sheet'!T45</f>
        <v>66.578361676716767</v>
      </c>
      <c r="U54" s="2">
        <f>U10/'Output-Calculation-sheet'!U9*'Output-Calculation-sheet'!U45</f>
        <v>480.56284543829918</v>
      </c>
      <c r="V54" s="2">
        <f>V10/'Output-Calculation-sheet'!V9*'Output-Calculation-sheet'!V45</f>
        <v>35.716389250216416</v>
      </c>
      <c r="W54" s="2">
        <f>W10/'Output-Calculation-sheet'!W9*'Output-Calculation-sheet'!W45</f>
        <v>0</v>
      </c>
      <c r="X54" s="2">
        <f>X10/'Output-Calculation-sheet'!X9*'Output-Calculation-sheet'!X45</f>
        <v>1532.7342157460102</v>
      </c>
      <c r="Y54" s="2">
        <f>Y10/'Output-Calculation-sheet'!Y9*'Output-Calculation-sheet'!Y45</f>
        <v>15.616619349229449</v>
      </c>
      <c r="AA54" s="2">
        <f t="shared" si="3"/>
        <v>138.30188199959557</v>
      </c>
    </row>
    <row r="55" spans="1:27" x14ac:dyDescent="0.25">
      <c r="A55" s="2">
        <v>2034</v>
      </c>
      <c r="B55" s="2">
        <f>B11/'Output-Calculation-sheet'!B10*'Output-Calculation-sheet'!B46</f>
        <v>77807.733944228021</v>
      </c>
      <c r="C55" s="2">
        <f>C11/'Output-Calculation-sheet'!C10*'Output-Calculation-sheet'!C46</f>
        <v>64017.525858557405</v>
      </c>
      <c r="D55" s="2">
        <f>D11/'Output-Calculation-sheet'!D10*'Output-Calculation-sheet'!D46</f>
        <v>7189.6976489374802</v>
      </c>
      <c r="E55" s="2">
        <f>E11/'Output-Calculation-sheet'!E10*'Output-Calculation-sheet'!E46</f>
        <v>8856.5324534438623</v>
      </c>
      <c r="F55" s="2">
        <f>F11/'Output-Calculation-sheet'!F10*'Output-Calculation-sheet'!F46</f>
        <v>269.52346396046352</v>
      </c>
      <c r="G55" s="2">
        <f>G11/'Output-Calculation-sheet'!G10*'Output-Calculation-sheet'!G46</f>
        <v>3191.635038295914</v>
      </c>
      <c r="H55" s="2">
        <f>H11/'Output-Calculation-sheet'!H10*'Output-Calculation-sheet'!H46</f>
        <v>23079.506655380417</v>
      </c>
      <c r="I55" s="2">
        <f>I11/'Output-Calculation-sheet'!I10*'Output-Calculation-sheet'!I46</f>
        <v>1739.8091894284398</v>
      </c>
      <c r="J55" s="2">
        <f>J11/'Output-Calculation-sheet'!J10*'Output-Calculation-sheet'!J46</f>
        <v>1262.6825848878843</v>
      </c>
      <c r="K55" s="2">
        <f>K11/'Output-Calculation-sheet'!K10*'Output-Calculation-sheet'!K46</f>
        <v>3391.4178369560427</v>
      </c>
      <c r="L55" s="2">
        <f>L11/'Output-Calculation-sheet'!L10*'Output-Calculation-sheet'!L46</f>
        <v>1246.3706925556421</v>
      </c>
      <c r="M55" s="2">
        <f>M11/'Output-Calculation-sheet'!M10*'Output-Calculation-sheet'!M46</f>
        <v>16310.754952363004</v>
      </c>
      <c r="N55" s="2">
        <f>N11/'Output-Calculation-sheet'!N10*'Output-Calculation-sheet'!N46</f>
        <v>12440.281301410489</v>
      </c>
      <c r="O55" s="2">
        <f>O11/'Output-Calculation-sheet'!O10*'Output-Calculation-sheet'!O46</f>
        <v>275.93718351604372</v>
      </c>
      <c r="P55" s="2">
        <f>P11/'Output-Calculation-sheet'!P10*'Output-Calculation-sheet'!P46</f>
        <v>4624.3481766357281</v>
      </c>
      <c r="Q55" s="2">
        <f>Q11/'Output-Calculation-sheet'!Q10*'Output-Calculation-sheet'!Q46</f>
        <v>2720.2631797420199</v>
      </c>
      <c r="R55" s="2">
        <f>R11/'Output-Calculation-sheet'!R10*'Output-Calculation-sheet'!R46</f>
        <v>3743.6750090669348</v>
      </c>
      <c r="S55" s="2">
        <f>S11/'Output-Calculation-sheet'!S10*'Output-Calculation-sheet'!S46</f>
        <v>6114.1690463129862</v>
      </c>
      <c r="T55" s="2">
        <f>T11/'Output-Calculation-sheet'!T10*'Output-Calculation-sheet'!T46</f>
        <v>848.66925133369728</v>
      </c>
      <c r="U55" s="2">
        <f>U11/'Output-Calculation-sheet'!U10*'Output-Calculation-sheet'!U46</f>
        <v>1417.02884213834</v>
      </c>
      <c r="V55" s="2">
        <f>V11/'Output-Calculation-sheet'!V10*'Output-Calculation-sheet'!V46</f>
        <v>573.64532121349362</v>
      </c>
      <c r="W55" s="2">
        <f>W11/'Output-Calculation-sheet'!W10*'Output-Calculation-sheet'!W46</f>
        <v>74.904289433281079</v>
      </c>
      <c r="X55" s="2">
        <f>X11/'Output-Calculation-sheet'!X10*'Output-Calculation-sheet'!X46</f>
        <v>1669.0983656336177</v>
      </c>
      <c r="Y55" s="2">
        <f>Y11/'Output-Calculation-sheet'!Y10*'Output-Calculation-sheet'!Y46</f>
        <v>434.52793536273686</v>
      </c>
      <c r="AA55" s="2">
        <f t="shared" si="3"/>
        <v>243.29973822079393</v>
      </c>
    </row>
    <row r="56" spans="1:27" x14ac:dyDescent="0.25">
      <c r="A56" s="2">
        <v>2035</v>
      </c>
      <c r="B56" s="2">
        <f>B12/'Output-Calculation-sheet'!B11*'Output-Calculation-sheet'!B47</f>
        <v>98770.133675229343</v>
      </c>
      <c r="C56" s="2">
        <f>C12/'Output-Calculation-sheet'!C11*'Output-Calculation-sheet'!C47</f>
        <v>64900.915465272265</v>
      </c>
      <c r="D56" s="2">
        <f>D12/'Output-Calculation-sheet'!D11*'Output-Calculation-sheet'!D47</f>
        <v>7892.71787702043</v>
      </c>
      <c r="E56" s="2">
        <f>E12/'Output-Calculation-sheet'!E11*'Output-Calculation-sheet'!E47</f>
        <v>22167.957962491699</v>
      </c>
      <c r="F56" s="2">
        <f>F12/'Output-Calculation-sheet'!F11*'Output-Calculation-sheet'!F47</f>
        <v>2734.6291018208472</v>
      </c>
      <c r="G56" s="2">
        <f>G12/'Output-Calculation-sheet'!G11*'Output-Calculation-sheet'!G47</f>
        <v>6177.3545048554188</v>
      </c>
      <c r="H56" s="2">
        <f>H12/'Output-Calculation-sheet'!H11*'Output-Calculation-sheet'!H47</f>
        <v>23593.981211297931</v>
      </c>
      <c r="I56" s="2">
        <f>I12/'Output-Calculation-sheet'!I11*'Output-Calculation-sheet'!I47</f>
        <v>3125.3408788418628</v>
      </c>
      <c r="J56" s="2">
        <f>J12/'Output-Calculation-sheet'!J11*'Output-Calculation-sheet'!J47</f>
        <v>2835.3062533600696</v>
      </c>
      <c r="K56" s="2">
        <f>K12/'Output-Calculation-sheet'!K11*'Output-Calculation-sheet'!K47</f>
        <v>4095.6241734961686</v>
      </c>
      <c r="L56" s="2">
        <f>L12/'Output-Calculation-sheet'!L11*'Output-Calculation-sheet'!L47</f>
        <v>2261.5583940507831</v>
      </c>
      <c r="M56" s="2">
        <f>M12/'Output-Calculation-sheet'!M11*'Output-Calculation-sheet'!M47</f>
        <v>16449.432445672795</v>
      </c>
      <c r="N56" s="2">
        <f>N12/'Output-Calculation-sheet'!N11*'Output-Calculation-sheet'!N47</f>
        <v>12562.741766444848</v>
      </c>
      <c r="O56" s="2">
        <f>O12/'Output-Calculation-sheet'!O11*'Output-Calculation-sheet'!O47</f>
        <v>1180.2029852514684</v>
      </c>
      <c r="P56" s="2">
        <f>P12/'Output-Calculation-sheet'!P11*'Output-Calculation-sheet'!P47</f>
        <v>6523.3435867316111</v>
      </c>
      <c r="Q56" s="2">
        <f>Q12/'Output-Calculation-sheet'!Q11*'Output-Calculation-sheet'!Q47</f>
        <v>3305.7490846183832</v>
      </c>
      <c r="R56" s="2">
        <f>R12/'Output-Calculation-sheet'!R11*'Output-Calculation-sheet'!R47</f>
        <v>4816.6710583062031</v>
      </c>
      <c r="S56" s="2">
        <f>S12/'Output-Calculation-sheet'!S11*'Output-Calculation-sheet'!S47</f>
        <v>6379.7440192191762</v>
      </c>
      <c r="T56" s="2">
        <f>T12/'Output-Calculation-sheet'!T11*'Output-Calculation-sheet'!T47</f>
        <v>1687.1397909905011</v>
      </c>
      <c r="U56" s="2">
        <f>U12/'Output-Calculation-sheet'!U11*'Output-Calculation-sheet'!U47</f>
        <v>1614.5120027220169</v>
      </c>
      <c r="V56" s="2">
        <f>V12/'Output-Calculation-sheet'!V11*'Output-Calculation-sheet'!V47</f>
        <v>1126.8026466934132</v>
      </c>
      <c r="W56" s="2">
        <f>W12/'Output-Calculation-sheet'!W11*'Output-Calculation-sheet'!W47</f>
        <v>641.30401504601832</v>
      </c>
      <c r="X56" s="2">
        <f>X12/'Output-Calculation-sheet'!X11*'Output-Calculation-sheet'!X47</f>
        <v>1698.6704767979979</v>
      </c>
      <c r="Y56" s="2">
        <f>Y12/'Output-Calculation-sheet'!Y11*'Output-Calculation-sheet'!Y47</f>
        <v>869.57365907761243</v>
      </c>
      <c r="AA56" s="2">
        <f t="shared" si="3"/>
        <v>297.41140703530897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4.7325266218002033</v>
      </c>
      <c r="C60" s="2">
        <f>C5*'Output-Calculation-sheet'!C49/10^9</f>
        <v>1.9088279039896519</v>
      </c>
      <c r="D60" s="2">
        <f>D5*'Output-Calculation-sheet'!D49/10^9</f>
        <v>1.2479113103982364</v>
      </c>
      <c r="E60" s="2">
        <f>E5*'Output-Calculation-sheet'!E49/10^9</f>
        <v>1.4478570355749143</v>
      </c>
      <c r="F60" s="2">
        <f>F5*'Output-Calculation-sheet'!F49/10^9</f>
        <v>0.66495763205205372</v>
      </c>
      <c r="G60" s="2">
        <f>G5*'Output-Calculation-sheet'!G49/10^9</f>
        <v>0.52456376982493724</v>
      </c>
      <c r="H60" s="2">
        <f>H5*'Output-Calculation-sheet'!H49/10^9</f>
        <v>0.5015586382936702</v>
      </c>
      <c r="I60" s="2">
        <f>I5*'Output-Calculation-sheet'!I49/10^9</f>
        <v>0.39488767836277638</v>
      </c>
      <c r="J60" s="2">
        <f>J5*'Output-Calculation-sheet'!J49/10^9</f>
        <v>0.61200494979529396</v>
      </c>
      <c r="K60" s="2">
        <f>K5*'Output-Calculation-sheet'!K49/10^9</f>
        <v>0.33969559657159665</v>
      </c>
      <c r="L60" s="2">
        <f>L5*'Output-Calculation-sheet'!L49/10^9</f>
        <v>0.44360234327415821</v>
      </c>
      <c r="M60" s="2">
        <f>M5*'Output-Calculation-sheet'!M49/10^9</f>
        <v>0.38393605865104324</v>
      </c>
      <c r="N60" s="2">
        <f>N5*'Output-Calculation-sheet'!N49/10^9</f>
        <v>0.32138992630717933</v>
      </c>
      <c r="O60" s="2">
        <f>O5*'Output-Calculation-sheet'!O49/10^9</f>
        <v>0.32214782965874689</v>
      </c>
      <c r="P60" s="2">
        <f>P5*'Output-Calculation-sheet'!P49/10^9</f>
        <v>0.33610445220847507</v>
      </c>
      <c r="Q60" s="2">
        <f>Q5*'Output-Calculation-sheet'!Q49/10^9</f>
        <v>0.291508831213391</v>
      </c>
      <c r="R60" s="2">
        <f>R5*'Output-Calculation-sheet'!R49/10^9</f>
        <v>0.30477495988604686</v>
      </c>
      <c r="S60" s="2">
        <f>S5*'Output-Calculation-sheet'!S49/10^9</f>
        <v>0.2147449171205105</v>
      </c>
      <c r="T60" s="2">
        <f>T5*'Output-Calculation-sheet'!T49/10^9</f>
        <v>0.13358478288436523</v>
      </c>
      <c r="U60" s="2">
        <f>U5*'Output-Calculation-sheet'!U49/10^9</f>
        <v>9.8155441098423488E-2</v>
      </c>
      <c r="V60" s="2">
        <f>V5*'Output-Calculation-sheet'!V49/10^9</f>
        <v>0.1866653328911749</v>
      </c>
      <c r="W60" s="2">
        <f>W5*'Output-Calculation-sheet'!W49/10^9</f>
        <v>7.4329551844645445E-2</v>
      </c>
      <c r="X60" s="2">
        <f>X5*'Output-Calculation-sheet'!X49/10^9</f>
        <v>5.4517657013671124E-2</v>
      </c>
      <c r="Y60" s="2">
        <f>Y5*'Output-Calculation-sheet'!Y49/10^9</f>
        <v>3.9426699172199708E-2</v>
      </c>
      <c r="AA60" s="2">
        <f t="shared" ref="AA60:AA67" si="4">SUM(B60:Y60)</f>
        <v>15.579679919887363</v>
      </c>
    </row>
    <row r="61" spans="1:27" x14ac:dyDescent="0.25">
      <c r="A61" s="2">
        <v>2029</v>
      </c>
      <c r="B61" s="2">
        <f>B6*'Output-Calculation-sheet'!B50/10^9</f>
        <v>5.8230241322488219</v>
      </c>
      <c r="C61" s="2">
        <f>C6*'Output-Calculation-sheet'!C50/10^9</f>
        <v>2.4956706135048767</v>
      </c>
      <c r="D61" s="2">
        <f>D6*'Output-Calculation-sheet'!D50/10^9</f>
        <v>1.4989299605219628</v>
      </c>
      <c r="E61" s="2">
        <f>E6*'Output-Calculation-sheet'!E50/10^9</f>
        <v>1.7326290389010897</v>
      </c>
      <c r="F61" s="2">
        <f>F6*'Output-Calculation-sheet'!F50/10^9</f>
        <v>0.79947958404968023</v>
      </c>
      <c r="G61" s="2">
        <f>G6*'Output-Calculation-sheet'!G50/10^9</f>
        <v>0.62510338692268219</v>
      </c>
      <c r="H61" s="2">
        <f>H6*'Output-Calculation-sheet'!H50/10^9</f>
        <v>0.64710172834274493</v>
      </c>
      <c r="I61" s="2">
        <f>I6*'Output-Calculation-sheet'!I50/10^9</f>
        <v>0.47662973874048392</v>
      </c>
      <c r="J61" s="2">
        <f>J6*'Output-Calculation-sheet'!J50/10^9</f>
        <v>0.72115226805161692</v>
      </c>
      <c r="K61" s="2">
        <f>K6*'Output-Calculation-sheet'!K50/10^9</f>
        <v>0.41874233049484172</v>
      </c>
      <c r="L61" s="2">
        <f>L6*'Output-Calculation-sheet'!L50/10^9</f>
        <v>0.53225349243892373</v>
      </c>
      <c r="M61" s="2">
        <f>M6*'Output-Calculation-sheet'!M50/10^9</f>
        <v>0.49001028372722777</v>
      </c>
      <c r="N61" s="2">
        <f>N6*'Output-Calculation-sheet'!N50/10^9</f>
        <v>0.41751227209840053</v>
      </c>
      <c r="O61" s="2">
        <f>O6*'Output-Calculation-sheet'!O50/10^9</f>
        <v>0.43472283745547308</v>
      </c>
      <c r="P61" s="2">
        <f>P6*'Output-Calculation-sheet'!P50/10^9</f>
        <v>0.41434755793657824</v>
      </c>
      <c r="Q61" s="2">
        <f>Q6*'Output-Calculation-sheet'!Q50/10^9</f>
        <v>0.36705748239279634</v>
      </c>
      <c r="R61" s="2">
        <f>R6*'Output-Calculation-sheet'!R50/10^9</f>
        <v>0.37089122044638057</v>
      </c>
      <c r="S61" s="2">
        <f>S6*'Output-Calculation-sheet'!S50/10^9</f>
        <v>0.27191710796217078</v>
      </c>
      <c r="T61" s="2">
        <f>T6*'Output-Calculation-sheet'!T50/10^9</f>
        <v>0.15938015899136332</v>
      </c>
      <c r="U61" s="2">
        <f>U6*'Output-Calculation-sheet'!U50/10^9</f>
        <v>0.11898962464208346</v>
      </c>
      <c r="V61" s="2">
        <f>V6*'Output-Calculation-sheet'!V50/10^9</f>
        <v>0.21828204799572898</v>
      </c>
      <c r="W61" s="2">
        <f>W6*'Output-Calculation-sheet'!W50/10^9</f>
        <v>8.8074593080952224E-2</v>
      </c>
      <c r="X61" s="2">
        <f>X6*'Output-Calculation-sheet'!X50/10^9</f>
        <v>6.8759094375623803E-2</v>
      </c>
      <c r="Y61" s="2">
        <f>Y6*'Output-Calculation-sheet'!Y50/10^9</f>
        <v>4.7777096463677435E-2</v>
      </c>
      <c r="AA61" s="2">
        <f t="shared" si="4"/>
        <v>19.238437651786185</v>
      </c>
    </row>
    <row r="62" spans="1:27" x14ac:dyDescent="0.25">
      <c r="A62" s="2">
        <v>2030</v>
      </c>
      <c r="B62" s="2">
        <f>B7*'Output-Calculation-sheet'!B51/10^9</f>
        <v>6.5468753784999008</v>
      </c>
      <c r="C62" s="2">
        <f>C7*'Output-Calculation-sheet'!C51/10^9</f>
        <v>3.2536589211629336</v>
      </c>
      <c r="D62" s="2">
        <f>D7*'Output-Calculation-sheet'!D51/10^9</f>
        <v>1.6309802394373847</v>
      </c>
      <c r="E62" s="2">
        <f>E7*'Output-Calculation-sheet'!E51/10^9</f>
        <v>1.8767775071727353</v>
      </c>
      <c r="F62" s="2">
        <f>F7*'Output-Calculation-sheet'!F51/10^9</f>
        <v>0.87091549275422409</v>
      </c>
      <c r="G62" s="2">
        <f>G7*'Output-Calculation-sheet'!G51/10^9</f>
        <v>0.67363822312895216</v>
      </c>
      <c r="H62" s="2">
        <f>H7*'Output-Calculation-sheet'!H51/10^9</f>
        <v>0.82019687170554023</v>
      </c>
      <c r="I62" s="2">
        <f>I7*'Output-Calculation-sheet'!I51/10^9</f>
        <v>0.52165194029721884</v>
      </c>
      <c r="J62" s="2">
        <f>J7*'Output-Calculation-sheet'!J51/10^9</f>
        <v>0.76635689867630996</v>
      </c>
      <c r="K62" s="2">
        <f>K7*'Output-Calculation-sheet'!K51/10^9</f>
        <v>0.46970224681949979</v>
      </c>
      <c r="L62" s="2">
        <f>L7*'Output-Calculation-sheet'!L51/10^9</f>
        <v>0.57838143696816857</v>
      </c>
      <c r="M62" s="2">
        <f>M7*'Output-Calculation-sheet'!M51/10^9</f>
        <v>0.61113282077709796</v>
      </c>
      <c r="N62" s="2">
        <f>N7*'Output-Calculation-sheet'!N51/10^9</f>
        <v>0.49928753376206381</v>
      </c>
      <c r="O62" s="2">
        <f>O7*'Output-Calculation-sheet'!O51/10^9</f>
        <v>0.56811361237276481</v>
      </c>
      <c r="P62" s="2">
        <f>P7*'Output-Calculation-sheet'!P51/10^9</f>
        <v>0.46481353248536339</v>
      </c>
      <c r="Q62" s="2">
        <f>Q7*'Output-Calculation-sheet'!Q51/10^9</f>
        <v>0.42298319769711906</v>
      </c>
      <c r="R62" s="2">
        <f>R7*'Output-Calculation-sheet'!R51/10^9</f>
        <v>0.40988120642848858</v>
      </c>
      <c r="S62" s="2">
        <f>S7*'Output-Calculation-sheet'!S51/10^9</f>
        <v>0.31778009361782761</v>
      </c>
      <c r="T62" s="2">
        <f>T7*'Output-Calculation-sheet'!T51/10^9</f>
        <v>0.17200909071845374</v>
      </c>
      <c r="U62" s="2">
        <f>U7*'Output-Calculation-sheet'!U51/10^9</f>
        <v>0.13090339822213007</v>
      </c>
      <c r="V62" s="2">
        <f>V7*'Output-Calculation-sheet'!V51/10^9</f>
        <v>0.22972465608049525</v>
      </c>
      <c r="W62" s="2">
        <f>W7*'Output-Calculation-sheet'!W51/10^9</f>
        <v>9.4249671522577669E-2</v>
      </c>
      <c r="X62" s="2">
        <f>X7*'Output-Calculation-sheet'!X51/10^9</f>
        <v>8.4540314754887769E-2</v>
      </c>
      <c r="Y62" s="2">
        <f>Y7*'Output-Calculation-sheet'!Y51/10^9</f>
        <v>5.2537076193140519E-2</v>
      </c>
      <c r="AA62" s="2">
        <f t="shared" si="4"/>
        <v>22.067091361255276</v>
      </c>
    </row>
    <row r="63" spans="1:27" x14ac:dyDescent="0.25">
      <c r="A63" s="2">
        <v>2031</v>
      </c>
      <c r="B63" s="2">
        <f>B8*'Output-Calculation-sheet'!B52/10^9</f>
        <v>7.0096821255581325</v>
      </c>
      <c r="C63" s="2">
        <f>C8*'Output-Calculation-sheet'!C52/10^9</f>
        <v>3.9888753923011144</v>
      </c>
      <c r="D63" s="2">
        <f>D8*'Output-Calculation-sheet'!D52/10^9</f>
        <v>1.6412404528583644</v>
      </c>
      <c r="E63" s="2">
        <f>E8*'Output-Calculation-sheet'!E52/10^9</f>
        <v>1.8776607773207654</v>
      </c>
      <c r="F63" s="2">
        <f>F8*'Output-Calculation-sheet'!F52/10^9</f>
        <v>0.87768669528630427</v>
      </c>
      <c r="G63" s="2">
        <f>G8*'Output-Calculation-sheet'!G52/10^9</f>
        <v>0.66946857961243944</v>
      </c>
      <c r="H63" s="2">
        <f>H8*'Output-Calculation-sheet'!H52/10^9</f>
        <v>1.0006949734235626</v>
      </c>
      <c r="I63" s="2">
        <f>I8*'Output-Calculation-sheet'!I52/10^9</f>
        <v>0.5288356821969542</v>
      </c>
      <c r="J63" s="2">
        <f>J8*'Output-Calculation-sheet'!J52/10^9</f>
        <v>0.7475987105805374</v>
      </c>
      <c r="K63" s="2">
        <f>K8*'Output-Calculation-sheet'!K52/10^9</f>
        <v>0.49076061632649337</v>
      </c>
      <c r="L63" s="2">
        <f>L8*'Output-Calculation-sheet'!L52/10^9</f>
        <v>0.58104017207050696</v>
      </c>
      <c r="M63" s="2">
        <f>M8*'Output-Calculation-sheet'!M52/10^9</f>
        <v>0.7326835433536083</v>
      </c>
      <c r="N63" s="2">
        <f>N8*'Output-Calculation-sheet'!N52/10^9</f>
        <v>0.58420685683194673</v>
      </c>
      <c r="O63" s="2">
        <f>O8*'Output-Calculation-sheet'!O52/10^9</f>
        <v>0.69331155082226947</v>
      </c>
      <c r="P63" s="2">
        <f>P8*'Output-Calculation-sheet'!P52/10^9</f>
        <v>0.49911286664899629</v>
      </c>
      <c r="Q63" s="2">
        <f>Q8*'Output-Calculation-sheet'!Q52/10^9</f>
        <v>0.46556239983777864</v>
      </c>
      <c r="R63" s="2">
        <f>R8*'Output-Calculation-sheet'!R52/10^9</f>
        <v>0.42169019924349888</v>
      </c>
      <c r="S63" s="2">
        <f>S8*'Output-Calculation-sheet'!S52/10^9</f>
        <v>0.35778948519493259</v>
      </c>
      <c r="T63" s="2">
        <f>T8*'Output-Calculation-sheet'!T52/10^9</f>
        <v>0.17127463881310517</v>
      </c>
      <c r="U63" s="2">
        <f>U8*'Output-Calculation-sheet'!U52/10^9</f>
        <v>0.1335683881886599</v>
      </c>
      <c r="V63" s="2">
        <f>V8*'Output-Calculation-sheet'!V52/10^9</f>
        <v>0.22115046103460878</v>
      </c>
      <c r="W63" s="2">
        <f>W8*'Output-Calculation-sheet'!W52/10^9</f>
        <v>9.2804578482061764E-2</v>
      </c>
      <c r="X63" s="2">
        <f>X8*'Output-Calculation-sheet'!X52/10^9</f>
        <v>9.889475897256042E-2</v>
      </c>
      <c r="Y63" s="2">
        <f>Y8*'Output-Calculation-sheet'!Y52/10^9</f>
        <v>5.3591166086382584E-2</v>
      </c>
      <c r="AA63" s="2">
        <f t="shared" si="4"/>
        <v>23.939185071045582</v>
      </c>
    </row>
    <row r="64" spans="1:27" x14ac:dyDescent="0.25">
      <c r="A64" s="2">
        <v>2032</v>
      </c>
      <c r="B64" s="2">
        <f>B9*'Output-Calculation-sheet'!B53/10^9</f>
        <v>7.2583027429451974</v>
      </c>
      <c r="C64" s="2">
        <f>C9*'Output-Calculation-sheet'!C53/10^9</f>
        <v>4.55986071698843</v>
      </c>
      <c r="D64" s="2">
        <f>D9*'Output-Calculation-sheet'!D53/10^9</f>
        <v>1.5241367523534415</v>
      </c>
      <c r="E64" s="2">
        <f>E9*'Output-Calculation-sheet'!E53/10^9</f>
        <v>1.7796166632628321</v>
      </c>
      <c r="F64" s="2">
        <f>F9*'Output-Calculation-sheet'!F53/10^9</f>
        <v>0.81663679148602997</v>
      </c>
      <c r="G64" s="2">
        <f>G9*'Output-Calculation-sheet'!G53/10^9</f>
        <v>0.61146309160375945</v>
      </c>
      <c r="H64" s="2">
        <f>H9*'Output-Calculation-sheet'!H53/10^9</f>
        <v>1.1387806682907966</v>
      </c>
      <c r="I64" s="2">
        <f>I9*'Output-Calculation-sheet'!I53/10^9</f>
        <v>0.4958547161766097</v>
      </c>
      <c r="J64" s="2">
        <f>J9*'Output-Calculation-sheet'!J53/10^9</f>
        <v>0.66554355116559816</v>
      </c>
      <c r="K64" s="2">
        <f>K9*'Output-Calculation-sheet'!K53/10^9</f>
        <v>0.49131862272403126</v>
      </c>
      <c r="L64" s="2">
        <f>L9*'Output-Calculation-sheet'!L53/10^9</f>
        <v>0.55158912456469311</v>
      </c>
      <c r="M64" s="2">
        <f>M9*'Output-Calculation-sheet'!M53/10^9</f>
        <v>0.82122068806211446</v>
      </c>
      <c r="N64" s="2">
        <f>N9*'Output-Calculation-sheet'!N53/10^9</f>
        <v>0.67117005415747</v>
      </c>
      <c r="O64" s="2">
        <f>O9*'Output-Calculation-sheet'!O53/10^9</f>
        <v>0.79287292919666452</v>
      </c>
      <c r="P64" s="2">
        <f>P9*'Output-Calculation-sheet'!P53/10^9</f>
        <v>0.52425208454111205</v>
      </c>
      <c r="Q64" s="2">
        <f>Q9*'Output-Calculation-sheet'!Q53/10^9</f>
        <v>0.49727829984559074</v>
      </c>
      <c r="R64" s="2">
        <f>R9*'Output-Calculation-sheet'!R53/10^9</f>
        <v>0.42304366144496269</v>
      </c>
      <c r="S64" s="2">
        <f>S9*'Output-Calculation-sheet'!S53/10^9</f>
        <v>0.39771730747717127</v>
      </c>
      <c r="T64" s="2">
        <f>T9*'Output-Calculation-sheet'!T53/10^9</f>
        <v>0.15814234769257229</v>
      </c>
      <c r="U64" s="2">
        <f>U9*'Output-Calculation-sheet'!U53/10^9</f>
        <v>0.13473639700578713</v>
      </c>
      <c r="V64" s="2">
        <f>V9*'Output-Calculation-sheet'!V53/10^9</f>
        <v>0.19637393328026995</v>
      </c>
      <c r="W64" s="2">
        <f>W9*'Output-Calculation-sheet'!W53/10^9</f>
        <v>8.3701140626781537E-2</v>
      </c>
      <c r="X64" s="2">
        <f>X9*'Output-Calculation-sheet'!X53/10^9</f>
        <v>0.10818729522548699</v>
      </c>
      <c r="Y64" s="2">
        <f>Y9*'Output-Calculation-sheet'!Y53/10^9</f>
        <v>5.3238566568792021E-2</v>
      </c>
      <c r="AA64" s="2">
        <f t="shared" si="4"/>
        <v>24.755038146686196</v>
      </c>
    </row>
    <row r="65" spans="1:27" x14ac:dyDescent="0.25">
      <c r="A65" s="2">
        <v>2033</v>
      </c>
      <c r="B65" s="2">
        <f>B10*'Output-Calculation-sheet'!B54/10^9</f>
        <v>7.5952201899000062</v>
      </c>
      <c r="C65" s="2">
        <f>C10*'Output-Calculation-sheet'!C54/10^9</f>
        <v>4.9917628473662159</v>
      </c>
      <c r="D65" s="2">
        <f>D10*'Output-Calculation-sheet'!D54/10^9</f>
        <v>1.3538192602232866</v>
      </c>
      <c r="E65" s="2">
        <f>E10*'Output-Calculation-sheet'!E54/10^9</f>
        <v>1.7241156935376232</v>
      </c>
      <c r="F65" s="2">
        <f>F10*'Output-Calculation-sheet'!F54/10^9</f>
        <v>0.74086739009343616</v>
      </c>
      <c r="G65" s="2">
        <f>G10*'Output-Calculation-sheet'!G54/10^9</f>
        <v>0.52746101237632581</v>
      </c>
      <c r="H65" s="2">
        <f>H10*'Output-Calculation-sheet'!H54/10^9</f>
        <v>1.2393877923166365</v>
      </c>
      <c r="I65" s="2">
        <f>I10*'Output-Calculation-sheet'!I54/10^9</f>
        <v>0.4624730896210269</v>
      </c>
      <c r="J65" s="2">
        <f>J10*'Output-Calculation-sheet'!J54/10^9</f>
        <v>0.54717909117806041</v>
      </c>
      <c r="K65" s="2">
        <f>K10*'Output-Calculation-sheet'!K54/10^9</f>
        <v>0.51202086584177331</v>
      </c>
      <c r="L65" s="2">
        <f>L10*'Output-Calculation-sheet'!L54/10^9</f>
        <v>0.52806324773364766</v>
      </c>
      <c r="M65" s="2">
        <f>M10*'Output-Calculation-sheet'!M54/10^9</f>
        <v>0.88128212573049869</v>
      </c>
      <c r="N65" s="2">
        <f>N10*'Output-Calculation-sheet'!N54/10^9</f>
        <v>0.75094313415653513</v>
      </c>
      <c r="O65" s="2">
        <f>O10*'Output-Calculation-sheet'!O54/10^9</f>
        <v>0.87376827425827874</v>
      </c>
      <c r="P65" s="2">
        <f>P10*'Output-Calculation-sheet'!P54/10^9</f>
        <v>0.55395016154834165</v>
      </c>
      <c r="Q65" s="2">
        <f>Q10*'Output-Calculation-sheet'!Q54/10^9</f>
        <v>0.54663533092012739</v>
      </c>
      <c r="R65" s="2">
        <f>R10*'Output-Calculation-sheet'!R54/10^9</f>
        <v>0.43334953573878543</v>
      </c>
      <c r="S65" s="2">
        <f>S10*'Output-Calculation-sheet'!S54/10^9</f>
        <v>0.43493355250035742</v>
      </c>
      <c r="T65" s="2">
        <f>T10*'Output-Calculation-sheet'!T54/10^9</f>
        <v>0.14674859343294627</v>
      </c>
      <c r="U65" s="2">
        <f>U10*'Output-Calculation-sheet'!U54/10^9</f>
        <v>0.1409423382296203</v>
      </c>
      <c r="V65" s="2">
        <f>V10*'Output-Calculation-sheet'!V54/10^9</f>
        <v>0.16606269967381873</v>
      </c>
      <c r="W65" s="2">
        <f>W10*'Output-Calculation-sheet'!W54/10^9</f>
        <v>7.0971931267633001E-2</v>
      </c>
      <c r="X65" s="2">
        <f>X10*'Output-Calculation-sheet'!X54/10^9</f>
        <v>0.11408483089405722</v>
      </c>
      <c r="Y65" s="2">
        <f>Y10*'Output-Calculation-sheet'!Y54/10^9</f>
        <v>5.5056079857759163E-2</v>
      </c>
      <c r="AA65" s="2">
        <f t="shared" si="4"/>
        <v>25.391099068396802</v>
      </c>
    </row>
    <row r="66" spans="1:27" x14ac:dyDescent="0.25">
      <c r="A66" s="2">
        <v>2034</v>
      </c>
      <c r="B66" s="2">
        <f>B11*'Output-Calculation-sheet'!B55/10^9</f>
        <v>7.9969152039708931</v>
      </c>
      <c r="C66" s="2">
        <f>C11*'Output-Calculation-sheet'!C55/10^9</f>
        <v>5.3147456681268963</v>
      </c>
      <c r="D66" s="2">
        <f>D11*'Output-Calculation-sheet'!D55/10^9</f>
        <v>1.4467747086549057</v>
      </c>
      <c r="E66" s="2">
        <f>E11*'Output-Calculation-sheet'!E55/10^9</f>
        <v>1.8738043469587242</v>
      </c>
      <c r="F66" s="2">
        <f>F11*'Output-Calculation-sheet'!F55/10^9</f>
        <v>0.73743315492128803</v>
      </c>
      <c r="G66" s="2">
        <f>G11*'Output-Calculation-sheet'!G55/10^9</f>
        <v>0.53798723166908069</v>
      </c>
      <c r="H66" s="2">
        <f>H11*'Output-Calculation-sheet'!H55/10^9</f>
        <v>1.3425923667776534</v>
      </c>
      <c r="I66" s="2">
        <f>I11*'Output-Calculation-sheet'!I55/10^9</f>
        <v>0.50012114782413963</v>
      </c>
      <c r="J66" s="2">
        <f>J11*'Output-Calculation-sheet'!J55/10^9</f>
        <v>0.50355107242297459</v>
      </c>
      <c r="K66" s="2">
        <f>K11*'Output-Calculation-sheet'!K55/10^9</f>
        <v>0.5733381559611771</v>
      </c>
      <c r="L66" s="2">
        <f>L11*'Output-Calculation-sheet'!L55/10^9</f>
        <v>0.55584413742183902</v>
      </c>
      <c r="M66" s="2">
        <f>M11*'Output-Calculation-sheet'!M55/10^9</f>
        <v>0.94358991539872372</v>
      </c>
      <c r="N66" s="2">
        <f>N11*'Output-Calculation-sheet'!N55/10^9</f>
        <v>0.82028083619651393</v>
      </c>
      <c r="O66" s="2">
        <f>O11*'Output-Calculation-sheet'!O55/10^9</f>
        <v>0.93523135034460547</v>
      </c>
      <c r="P66" s="2">
        <f>P11*'Output-Calculation-sheet'!P55/10^9</f>
        <v>0.59970759838388954</v>
      </c>
      <c r="Q66" s="2">
        <f>Q11*'Output-Calculation-sheet'!Q55/10^9</f>
        <v>0.61686174986395492</v>
      </c>
      <c r="R66" s="2">
        <f>R11*'Output-Calculation-sheet'!R55/10^9</f>
        <v>0.45640454175940476</v>
      </c>
      <c r="S66" s="2">
        <f>S11*'Output-Calculation-sheet'!S55/10^9</f>
        <v>0.47377602206408576</v>
      </c>
      <c r="T66" s="2">
        <f>T11*'Output-Calculation-sheet'!T55/10^9</f>
        <v>0.14300067239976982</v>
      </c>
      <c r="U66" s="2">
        <f>U11*'Output-Calculation-sheet'!U55/10^9</f>
        <v>0.15563734959036044</v>
      </c>
      <c r="V66" s="2">
        <f>V11*'Output-Calculation-sheet'!V55/10^9</f>
        <v>0.13514884974158412</v>
      </c>
      <c r="W66" s="2">
        <f>W11*'Output-Calculation-sheet'!W55/10^9</f>
        <v>6.6209943262223042E-2</v>
      </c>
      <c r="X66" s="2">
        <f>X11*'Output-Calculation-sheet'!X55/10^9</f>
        <v>0.12372535749492775</v>
      </c>
      <c r="Y66" s="2">
        <f>Y11*'Output-Calculation-sheet'!Y55/10^9</f>
        <v>6.3528049120280747E-2</v>
      </c>
      <c r="AA66" s="2">
        <f t="shared" si="4"/>
        <v>26.916209430329889</v>
      </c>
    </row>
    <row r="67" spans="1:27" x14ac:dyDescent="0.25">
      <c r="A67" s="2">
        <v>2035</v>
      </c>
      <c r="B67" s="2">
        <f>B12*'Output-Calculation-sheet'!B56/10^9</f>
        <v>8.7458984495946712</v>
      </c>
      <c r="C67" s="2">
        <f>C12*'Output-Calculation-sheet'!C56/10^9</f>
        <v>5.5267553979595396</v>
      </c>
      <c r="D67" s="2">
        <f>D12*'Output-Calculation-sheet'!D56/10^9</f>
        <v>1.7347456883685317</v>
      </c>
      <c r="E67" s="2">
        <f>E12*'Output-Calculation-sheet'!E56/10^9</f>
        <v>2.3723614304002876</v>
      </c>
      <c r="F67" s="2">
        <f>F12*'Output-Calculation-sheet'!F56/10^9</f>
        <v>0.92980800093518745</v>
      </c>
      <c r="G67" s="2">
        <f>G12*'Output-Calculation-sheet'!G56/10^9</f>
        <v>0.68603902351006141</v>
      </c>
      <c r="H67" s="2">
        <f>H12*'Output-Calculation-sheet'!H56/10^9</f>
        <v>1.4587972775272318</v>
      </c>
      <c r="I67" s="2">
        <f>I12*'Output-Calculation-sheet'!I56/10^9</f>
        <v>0.628580755043193</v>
      </c>
      <c r="J67" s="2">
        <f>J12*'Output-Calculation-sheet'!J56/10^9</f>
        <v>0.57504445180342478</v>
      </c>
      <c r="K67" s="2">
        <f>K12*'Output-Calculation-sheet'!K56/10^9</f>
        <v>0.68897525231062806</v>
      </c>
      <c r="L67" s="2">
        <f>L12*'Output-Calculation-sheet'!L56/10^9</f>
        <v>0.64233156931387658</v>
      </c>
      <c r="M67" s="2">
        <f>M12*'Output-Calculation-sheet'!M56/10^9</f>
        <v>1.0321704883221987</v>
      </c>
      <c r="N67" s="2">
        <f>N12*'Output-Calculation-sheet'!N56/10^9</f>
        <v>0.88156928438942039</v>
      </c>
      <c r="O67" s="2">
        <f>O12*'Output-Calculation-sheet'!O56/10^9</f>
        <v>0.97505230545688526</v>
      </c>
      <c r="P67" s="2">
        <f>P12*'Output-Calculation-sheet'!P56/10^9</f>
        <v>0.71541363046360207</v>
      </c>
      <c r="Q67" s="2">
        <f>Q12*'Output-Calculation-sheet'!Q56/10^9</f>
        <v>0.67581566175624253</v>
      </c>
      <c r="R67" s="2">
        <f>R12*'Output-Calculation-sheet'!R56/10^9</f>
        <v>0.53067763947833302</v>
      </c>
      <c r="S67" s="2">
        <f>S12*'Output-Calculation-sheet'!S56/10^9</f>
        <v>0.5122843624193878</v>
      </c>
      <c r="T67" s="2">
        <f>T12*'Output-Calculation-sheet'!T56/10^9</f>
        <v>0.1650193297390378</v>
      </c>
      <c r="U67" s="2">
        <f>U12*'Output-Calculation-sheet'!U56/10^9</f>
        <v>0.17840948859776445</v>
      </c>
      <c r="V67" s="2">
        <f>V12*'Output-Calculation-sheet'!V56/10^9</f>
        <v>0.12736254390240359</v>
      </c>
      <c r="W67" s="2">
        <f>W12*'Output-Calculation-sheet'!W56/10^9</f>
        <v>8.6366272064790903E-2</v>
      </c>
      <c r="X67" s="2">
        <f>X12*'Output-Calculation-sheet'!X56/10^9</f>
        <v>0.13407171714663846</v>
      </c>
      <c r="Y67" s="2">
        <f>Y12*'Output-Calculation-sheet'!Y56/10^9</f>
        <v>8.0588503307363599E-2</v>
      </c>
      <c r="AA67" s="2">
        <f t="shared" si="4"/>
        <v>30.084138523810701</v>
      </c>
    </row>
    <row r="68" spans="1:27" x14ac:dyDescent="0.25">
      <c r="B68" s="2">
        <f>SUM(B60:B67)</f>
        <v>55.708444844517828</v>
      </c>
      <c r="C68" s="2">
        <f t="shared" ref="C68:Y68" si="5">SUM(C60:C67)</f>
        <v>32.040157461399659</v>
      </c>
      <c r="D68" s="2">
        <f t="shared" si="5"/>
        <v>12.078538372816114</v>
      </c>
      <c r="E68" s="2">
        <f t="shared" si="5"/>
        <v>14.684822493128973</v>
      </c>
      <c r="F68" s="2">
        <f t="shared" si="5"/>
        <v>6.4377847415782039</v>
      </c>
      <c r="G68" s="2">
        <f t="shared" si="5"/>
        <v>4.8557243186482388</v>
      </c>
      <c r="H68" s="2">
        <f t="shared" si="5"/>
        <v>8.1491103166778363</v>
      </c>
      <c r="I68" s="2">
        <f t="shared" si="5"/>
        <v>4.009034748262402</v>
      </c>
      <c r="J68" s="2">
        <f t="shared" si="5"/>
        <v>5.1384309936738166</v>
      </c>
      <c r="K68" s="2">
        <f t="shared" si="5"/>
        <v>3.9845536870500413</v>
      </c>
      <c r="L68" s="2">
        <f t="shared" si="5"/>
        <v>4.4131055237858137</v>
      </c>
      <c r="M68" s="2">
        <f t="shared" si="5"/>
        <v>5.8960259240225126</v>
      </c>
      <c r="N68" s="2">
        <f t="shared" si="5"/>
        <v>4.94635989789953</v>
      </c>
      <c r="O68" s="2">
        <f t="shared" si="5"/>
        <v>5.5952206895656884</v>
      </c>
      <c r="P68" s="2">
        <f t="shared" si="5"/>
        <v>4.1077018842163584</v>
      </c>
      <c r="Q68" s="2">
        <f t="shared" si="5"/>
        <v>3.8837029535270009</v>
      </c>
      <c r="R68" s="2">
        <f t="shared" si="5"/>
        <v>3.3507129644259006</v>
      </c>
      <c r="S68" s="2">
        <f t="shared" si="5"/>
        <v>2.9809428483564435</v>
      </c>
      <c r="T68" s="2">
        <f t="shared" si="5"/>
        <v>1.2491596146716137</v>
      </c>
      <c r="U68" s="2">
        <f t="shared" si="5"/>
        <v>1.0913424255748292</v>
      </c>
      <c r="V68" s="2">
        <f t="shared" si="5"/>
        <v>1.4807705246000842</v>
      </c>
      <c r="W68" s="2">
        <f t="shared" si="5"/>
        <v>0.65670768215166553</v>
      </c>
      <c r="X68" s="2">
        <f t="shared" si="5"/>
        <v>0.78678102587785348</v>
      </c>
      <c r="Y68" s="2">
        <f t="shared" si="5"/>
        <v>0.44574323676959582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1931.4884120842491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457.51087002872498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312.85658932672447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41.70491284410685</v>
      </c>
      <c r="Y73" s="2">
        <f>Y7/'Output-Calculation-sheet'!Y6*'Output-Calculation-sheet'!Y60</f>
        <v>0</v>
      </c>
      <c r="AA73" s="2">
        <f t="shared" si="6"/>
        <v>2.7435607842838055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4321.9702849571049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1445.9974384016593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965.59376702633426</v>
      </c>
      <c r="N74" s="2">
        <f>N8/'Output-Calculation-sheet'!N7*'Output-Calculation-sheet'!N61</f>
        <v>40.360948151351685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119.66428227124109</v>
      </c>
      <c r="Y74" s="2">
        <f>Y8/'Output-Calculation-sheet'!Y7*'Output-Calculation-sheet'!Y61</f>
        <v>0</v>
      </c>
      <c r="AA74" s="2">
        <f t="shared" si="6"/>
        <v>6.8935867208076909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8500.8200271305195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2448.0894768876669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1661.9661350891042</v>
      </c>
      <c r="N75" s="2">
        <f>N9/'Output-Calculation-sheet'!N8*'Output-Calculation-sheet'!N62</f>
        <v>641.97347477387041</v>
      </c>
      <c r="O75" s="2">
        <f>O9/'Output-Calculation-sheet'!O8*'Output-Calculation-sheet'!O62</f>
        <v>0</v>
      </c>
      <c r="P75" s="2">
        <f>P9/'Output-Calculation-sheet'!P8*'Output-Calculation-sheet'!P62</f>
        <v>42.979112184040396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215.10983934506808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200.65812649268986</v>
      </c>
      <c r="Y75" s="2">
        <f>Y9/'Output-Calculation-sheet'!Y8*'Output-Calculation-sheet'!Y62</f>
        <v>0</v>
      </c>
      <c r="AA75" s="2">
        <f t="shared" si="6"/>
        <v>13.711596191902959</v>
      </c>
    </row>
    <row r="76" spans="1:27" x14ac:dyDescent="0.25">
      <c r="A76" s="2">
        <v>2033</v>
      </c>
      <c r="B76" s="2">
        <f>B10/'Output-Calculation-sheet'!B9*'Output-Calculation-sheet'!B63</f>
        <v>5398.4704032612153</v>
      </c>
      <c r="C76" s="2">
        <f>C10/'Output-Calculation-sheet'!C9*'Output-Calculation-sheet'!C63</f>
        <v>11026.144309011264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3515.5298388972451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92.142063839694018</v>
      </c>
      <c r="L76" s="2">
        <f>L10/'Output-Calculation-sheet'!L9*'Output-Calculation-sheet'!L63</f>
        <v>0</v>
      </c>
      <c r="M76" s="2">
        <f>M10/'Output-Calculation-sheet'!M9*'Output-Calculation-sheet'!M63</f>
        <v>2393.7192544847039</v>
      </c>
      <c r="N76" s="2">
        <f>N10/'Output-Calculation-sheet'!N9*'Output-Calculation-sheet'!N63</f>
        <v>1367.3984265233269</v>
      </c>
      <c r="O76" s="2">
        <f>O10/'Output-Calculation-sheet'!O9*'Output-Calculation-sheet'!O63</f>
        <v>0</v>
      </c>
      <c r="P76" s="2">
        <f>P10/'Output-Calculation-sheet'!P9*'Output-Calculation-sheet'!P63</f>
        <v>474.83050265588588</v>
      </c>
      <c r="Q76" s="2">
        <f>Q10/'Output-Calculation-sheet'!Q9*'Output-Calculation-sheet'!Q63</f>
        <v>214.16763875637614</v>
      </c>
      <c r="R76" s="2">
        <f>R10/'Output-Calculation-sheet'!R9*'Output-Calculation-sheet'!R63</f>
        <v>361.89675861165085</v>
      </c>
      <c r="S76" s="2">
        <f>S10/'Output-Calculation-sheet'!S9*'Output-Calculation-sheet'!S63</f>
        <v>608.0501653260518</v>
      </c>
      <c r="T76" s="2">
        <f>T10/'Output-Calculation-sheet'!T9*'Output-Calculation-sheet'!T63</f>
        <v>24.614020311882186</v>
      </c>
      <c r="U76" s="2">
        <f>U10/'Output-Calculation-sheet'!U9*'Output-Calculation-sheet'!U63</f>
        <v>127.88182611079174</v>
      </c>
      <c r="V76" s="2">
        <f>V10/'Output-Calculation-sheet'!V9*'Output-Calculation-sheet'!V63</f>
        <v>9.8130779464969606</v>
      </c>
      <c r="W76" s="2">
        <f>W10/'Output-Calculation-sheet'!W9*'Output-Calculation-sheet'!W63</f>
        <v>0</v>
      </c>
      <c r="X76" s="2">
        <f>X10/'Output-Calculation-sheet'!X9*'Output-Calculation-sheet'!X63</f>
        <v>281.8774512695253</v>
      </c>
      <c r="Y76" s="2">
        <f>Y10/'Output-Calculation-sheet'!Y9*'Output-Calculation-sheet'!Y63</f>
        <v>5.3475766543004273</v>
      </c>
      <c r="AA76" s="2">
        <f t="shared" si="6"/>
        <v>25.901883313660409</v>
      </c>
    </row>
    <row r="77" spans="1:27" x14ac:dyDescent="0.25">
      <c r="A77" s="2">
        <v>2034</v>
      </c>
      <c r="B77" s="2">
        <f>B11/'Output-Calculation-sheet'!B10*'Output-Calculation-sheet'!B64</f>
        <v>13325.215710481556</v>
      </c>
      <c r="C77" s="2">
        <f>C11/'Output-Calculation-sheet'!C10*'Output-Calculation-sheet'!C64</f>
        <v>11705.670548390641</v>
      </c>
      <c r="D77" s="2">
        <f>D11/'Output-Calculation-sheet'!D10*'Output-Calculation-sheet'!D64</f>
        <v>1642.3965566791555</v>
      </c>
      <c r="E77" s="2">
        <f>E11/'Output-Calculation-sheet'!E10*'Output-Calculation-sheet'!E64</f>
        <v>2029.43155751737</v>
      </c>
      <c r="F77" s="2">
        <f>F11/'Output-Calculation-sheet'!F10*'Output-Calculation-sheet'!F64</f>
        <v>126.36158402013065</v>
      </c>
      <c r="G77" s="2">
        <f>G11/'Output-Calculation-sheet'!G10*'Output-Calculation-sheet'!G64</f>
        <v>867.18980702143233</v>
      </c>
      <c r="H77" s="2">
        <f>H11/'Output-Calculation-sheet'!H10*'Output-Calculation-sheet'!H64</f>
        <v>4296.4734635913328</v>
      </c>
      <c r="I77" s="2">
        <f>I11/'Output-Calculation-sheet'!I10*'Output-Calculation-sheet'!I64</f>
        <v>511.5908921514328</v>
      </c>
      <c r="J77" s="2">
        <f>J11/'Output-Calculation-sheet'!J10*'Output-Calculation-sheet'!J64</f>
        <v>364.68568838080074</v>
      </c>
      <c r="K77" s="2">
        <f>K11/'Output-Calculation-sheet'!K10*'Output-Calculation-sheet'!K64</f>
        <v>773.21476751642354</v>
      </c>
      <c r="L77" s="2">
        <f>L11/'Output-Calculation-sheet'!L10*'Output-Calculation-sheet'!L64</f>
        <v>335.7269420038516</v>
      </c>
      <c r="M77" s="2">
        <f>M11/'Output-Calculation-sheet'!M10*'Output-Calculation-sheet'!M64</f>
        <v>3055.8704413451533</v>
      </c>
      <c r="N77" s="2">
        <f>N11/'Output-Calculation-sheet'!N10*'Output-Calculation-sheet'!N64</f>
        <v>2174.1767689064418</v>
      </c>
      <c r="O77" s="2">
        <f>O11/'Output-Calculation-sheet'!O10*'Output-Calculation-sheet'!O64</f>
        <v>75.803886271621721</v>
      </c>
      <c r="P77" s="2">
        <f>P11/'Output-Calculation-sheet'!P10*'Output-Calculation-sheet'!P64</f>
        <v>959.60102669597097</v>
      </c>
      <c r="Q77" s="2">
        <f>Q11/'Output-Calculation-sheet'!Q10*'Output-Calculation-sheet'!Q64</f>
        <v>547.56862237119981</v>
      </c>
      <c r="R77" s="2">
        <f>R11/'Output-Calculation-sheet'!R10*'Output-Calculation-sheet'!R64</f>
        <v>821.16777269959869</v>
      </c>
      <c r="S77" s="2">
        <f>S11/'Output-Calculation-sheet'!S10*'Output-Calculation-sheet'!S64</f>
        <v>1097.9473662671153</v>
      </c>
      <c r="T77" s="2">
        <f>T11/'Output-Calculation-sheet'!T10*'Output-Calculation-sheet'!T64</f>
        <v>225.91575470503022</v>
      </c>
      <c r="U77" s="2">
        <f>U11/'Output-Calculation-sheet'!U10*'Output-Calculation-sheet'!U64</f>
        <v>300.26841164911423</v>
      </c>
      <c r="V77" s="2">
        <f>V11/'Output-Calculation-sheet'!V10*'Output-Calculation-sheet'!V64</f>
        <v>119.69610428590445</v>
      </c>
      <c r="W77" s="2">
        <f>W11/'Output-Calculation-sheet'!W10*'Output-Calculation-sheet'!W64</f>
        <v>25.290053511289376</v>
      </c>
      <c r="X77" s="2">
        <f>X11/'Output-Calculation-sheet'!X10*'Output-Calculation-sheet'!X64</f>
        <v>310.50887561346758</v>
      </c>
      <c r="Y77" s="2">
        <f>Y11/'Output-Calculation-sheet'!Y10*'Output-Calculation-sheet'!Y64</f>
        <v>75.182432879227036</v>
      </c>
      <c r="AA77" s="2">
        <f t="shared" si="6"/>
        <v>45.766955034955252</v>
      </c>
    </row>
    <row r="78" spans="1:27" x14ac:dyDescent="0.25">
      <c r="A78" s="2">
        <v>2035</v>
      </c>
      <c r="B78" s="2">
        <f>B12/'Output-Calculation-sheet'!B11*'Output-Calculation-sheet'!B65</f>
        <v>16925.74502388779</v>
      </c>
      <c r="C78" s="2">
        <f>C12/'Output-Calculation-sheet'!C11*'Output-Calculation-sheet'!C65</f>
        <v>11952.602139767327</v>
      </c>
      <c r="D78" s="2">
        <f>D12/'Output-Calculation-sheet'!D11*'Output-Calculation-sheet'!D65</f>
        <v>1796.9386666602763</v>
      </c>
      <c r="E78" s="2">
        <f>E12/'Output-Calculation-sheet'!E11*'Output-Calculation-sheet'!E65</f>
        <v>3415.9326348440186</v>
      </c>
      <c r="F78" s="2">
        <f>F12/'Output-Calculation-sheet'!F11*'Output-Calculation-sheet'!F65</f>
        <v>723.55596235063069</v>
      </c>
      <c r="G78" s="2">
        <f>G12/'Output-Calculation-sheet'!G11*'Output-Calculation-sheet'!G65</f>
        <v>1357.6666947702552</v>
      </c>
      <c r="H78" s="2">
        <f>H12/'Output-Calculation-sheet'!H11*'Output-Calculation-sheet'!H65</f>
        <v>4371.1512403694715</v>
      </c>
      <c r="I78" s="2">
        <f>I12/'Output-Calculation-sheet'!I11*'Output-Calculation-sheet'!I65</f>
        <v>798.35096449527146</v>
      </c>
      <c r="J78" s="2">
        <f>J12/'Output-Calculation-sheet'!J11*'Output-Calculation-sheet'!J65</f>
        <v>715.98642761617918</v>
      </c>
      <c r="K78" s="2">
        <f>K12/'Output-Calculation-sheet'!K11*'Output-Calculation-sheet'!K65</f>
        <v>903.54019960851599</v>
      </c>
      <c r="L78" s="2">
        <f>L12/'Output-Calculation-sheet'!L11*'Output-Calculation-sheet'!L65</f>
        <v>537.23319650676353</v>
      </c>
      <c r="M78" s="2">
        <f>M12/'Output-Calculation-sheet'!M11*'Output-Calculation-sheet'!M65</f>
        <v>3111.5163070606859</v>
      </c>
      <c r="N78" s="2">
        <f>N12/'Output-Calculation-sheet'!N11*'Output-Calculation-sheet'!N65</f>
        <v>2187.8984393849705</v>
      </c>
      <c r="O78" s="2">
        <f>O12/'Output-Calculation-sheet'!O11*'Output-Calculation-sheet'!O65</f>
        <v>306.71508581710248</v>
      </c>
      <c r="P78" s="2">
        <f>P12/'Output-Calculation-sheet'!P11*'Output-Calculation-sheet'!P65</f>
        <v>1243.797158981776</v>
      </c>
      <c r="Q78" s="2">
        <f>Q12/'Output-Calculation-sheet'!Q11*'Output-Calculation-sheet'!Q65</f>
        <v>625.61763123202422</v>
      </c>
      <c r="R78" s="2">
        <f>R12/'Output-Calculation-sheet'!R11*'Output-Calculation-sheet'!R65</f>
        <v>1031.2071506045211</v>
      </c>
      <c r="S78" s="2">
        <f>S12/'Output-Calculation-sheet'!S11*'Output-Calculation-sheet'!S65</f>
        <v>1163.3608213228422</v>
      </c>
      <c r="T78" s="2">
        <f>T12/'Output-Calculation-sheet'!T11*'Output-Calculation-sheet'!T65</f>
        <v>370.79809261829388</v>
      </c>
      <c r="U78" s="2">
        <f>U12/'Output-Calculation-sheet'!U11*'Output-Calculation-sheet'!U65</f>
        <v>317.70532176191864</v>
      </c>
      <c r="V78" s="2">
        <f>V12/'Output-Calculation-sheet'!V11*'Output-Calculation-sheet'!V65</f>
        <v>200.11197164644352</v>
      </c>
      <c r="W78" s="2">
        <f>W12/'Output-Calculation-sheet'!W11*'Output-Calculation-sheet'!W65</f>
        <v>140.94524561354945</v>
      </c>
      <c r="X78" s="2">
        <f>X12/'Output-Calculation-sheet'!X11*'Output-Calculation-sheet'!X65</f>
        <v>320.69581073598545</v>
      </c>
      <c r="Y78" s="2">
        <f>Y12/'Output-Calculation-sheet'!Y11*'Output-Calculation-sheet'!Y65</f>
        <v>137.57654274623479</v>
      </c>
      <c r="AA78" s="2">
        <f t="shared" si="6"/>
        <v>54.656648730402843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76.939468295261676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89.683613056855989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0.16662308135211765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264.49167424567162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188.4065952171434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0.45289826946281503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190.35166938277195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295.8416677404644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0.48619333712323637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397.95518493562145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386.55993266000826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0.78451511759562975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811.63265747774835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31.230726191313149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21.489795721163379</v>
      </c>
      <c r="N88" s="2">
        <f>N11/'Output-Calculation-sheet'!N10*'Output-Calculation-sheet'!N73</f>
        <v>0</v>
      </c>
      <c r="O88" s="2">
        <f>O11/'Output-Calculation-sheet'!O10*'Output-Calculation-sheet'!O73</f>
        <v>453.32537291921471</v>
      </c>
      <c r="P88" s="2">
        <f>P11/'Output-Calculation-sheet'!P10*'Output-Calculation-sheet'!P73</f>
        <v>0</v>
      </c>
      <c r="Q88" s="2">
        <f>Q11/'Output-Calculation-sheet'!Q10*'Output-Calculation-sheet'!Q73</f>
        <v>18.505191698925305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2.3574835672791212</v>
      </c>
      <c r="Y88" s="2">
        <f>Y11/'Output-Calculation-sheet'!Y10*'Output-Calculation-sheet'!Y73</f>
        <v>0</v>
      </c>
      <c r="AA88" s="2">
        <f t="shared" si="7"/>
        <v>1.3385412275756439</v>
      </c>
    </row>
    <row r="89" spans="1:27" x14ac:dyDescent="0.25">
      <c r="A89" s="2">
        <v>2035</v>
      </c>
      <c r="B89" s="2">
        <f>B12/'Output-Calculation-sheet'!B11*'Output-Calculation-sheet'!B74</f>
        <v>426.65284524937084</v>
      </c>
      <c r="C89" s="2">
        <f>C12/'Output-Calculation-sheet'!C11*'Output-Calculation-sheet'!C74</f>
        <v>1316.2432153643363</v>
      </c>
      <c r="D89" s="2">
        <f>D12/'Output-Calculation-sheet'!D11*'Output-Calculation-sheet'!D74</f>
        <v>179.37995175046433</v>
      </c>
      <c r="E89" s="2">
        <f>E12/'Output-Calculation-sheet'!E11*'Output-Calculation-sheet'!E74</f>
        <v>142.55921519287267</v>
      </c>
      <c r="F89" s="2">
        <f>F12/'Output-Calculation-sheet'!F11*'Output-Calculation-sheet'!F74</f>
        <v>44.829985275751589</v>
      </c>
      <c r="G89" s="2">
        <f>G12/'Output-Calculation-sheet'!G11*'Output-Calculation-sheet'!G74</f>
        <v>64.347442758910617</v>
      </c>
      <c r="H89" s="2">
        <f>H12/'Output-Calculation-sheet'!H11*'Output-Calculation-sheet'!H74</f>
        <v>155.83871341676308</v>
      </c>
      <c r="I89" s="2">
        <f>I12/'Output-Calculation-sheet'!I11*'Output-Calculation-sheet'!I74</f>
        <v>57.87668294151598</v>
      </c>
      <c r="J89" s="2">
        <f>J12/'Output-Calculation-sheet'!J11*'Output-Calculation-sheet'!J74</f>
        <v>28.639457104647168</v>
      </c>
      <c r="K89" s="2">
        <f>K12/'Output-Calculation-sheet'!K11*'Output-Calculation-sheet'!K74</f>
        <v>56.883669076335678</v>
      </c>
      <c r="L89" s="2">
        <f>L12/'Output-Calculation-sheet'!L11*'Output-Calculation-sheet'!L74</f>
        <v>45.231167881015665</v>
      </c>
      <c r="M89" s="2">
        <f>M12/'Output-Calculation-sheet'!M11*'Output-Calculation-sheet'!M74</f>
        <v>85.785827617589547</v>
      </c>
      <c r="N89" s="2">
        <f>N12/'Output-Calculation-sheet'!N11*'Output-Calculation-sheet'!N74</f>
        <v>63.235277347876746</v>
      </c>
      <c r="O89" s="2">
        <f>O12/'Output-Calculation-sheet'!O11*'Output-Calculation-sheet'!O74</f>
        <v>511.42129360896968</v>
      </c>
      <c r="P89" s="2">
        <f>P12/'Output-Calculation-sheet'!P11*'Output-Calculation-sheet'!P74</f>
        <v>38.945334846158872</v>
      </c>
      <c r="Q89" s="2">
        <f>Q12/'Output-Calculation-sheet'!Q11*'Output-Calculation-sheet'!Q74</f>
        <v>55.403615943324851</v>
      </c>
      <c r="R89" s="2">
        <f>R12/'Output-Calculation-sheet'!R11*'Output-Calculation-sheet'!R74</f>
        <v>36.62867724947683</v>
      </c>
      <c r="S89" s="2">
        <f>S12/'Output-Calculation-sheet'!S11*'Output-Calculation-sheet'!S74</f>
        <v>36.248545563745324</v>
      </c>
      <c r="T89" s="2">
        <f>T12/'Output-Calculation-sheet'!T11*'Output-Calculation-sheet'!T74</f>
        <v>6.7756618112068319</v>
      </c>
      <c r="U89" s="2">
        <f>U12/'Output-Calculation-sheet'!U11*'Output-Calculation-sheet'!U74</f>
        <v>11.784759143956327</v>
      </c>
      <c r="V89" s="2">
        <f>V12/'Output-Calculation-sheet'!V11*'Output-Calculation-sheet'!V74</f>
        <v>4.5435590592476336</v>
      </c>
      <c r="W89" s="2">
        <f>W12/'Output-Calculation-sheet'!W11*'Output-Calculation-sheet'!W74</f>
        <v>3.9343804604050203</v>
      </c>
      <c r="X89" s="2">
        <f>X12/'Output-Calculation-sheet'!X11*'Output-Calculation-sheet'!X74</f>
        <v>14.116375153445965</v>
      </c>
      <c r="Y89" s="2">
        <f>Y12/'Output-Calculation-sheet'!Y11*'Output-Calculation-sheet'!Y74</f>
        <v>4.5408546165932764</v>
      </c>
      <c r="AA89" s="2">
        <f t="shared" si="7"/>
        <v>3.3918465084339799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1629246374.5792322</v>
      </c>
      <c r="C93" s="2">
        <f>C5/'Output-Calculation-sheet'!C4*'Output-Calculation-sheet'!C76</f>
        <v>539760133.46424901</v>
      </c>
      <c r="D93" s="2">
        <f>D5/'Output-Calculation-sheet'!D4*'Output-Calculation-sheet'!D76</f>
        <v>597466261.48821986</v>
      </c>
      <c r="E93" s="2">
        <f>E5/'Output-Calculation-sheet'!E4*'Output-Calculation-sheet'!E76</f>
        <v>999744858.77362835</v>
      </c>
      <c r="F93" s="2">
        <f>F5/'Output-Calculation-sheet'!F4*'Output-Calculation-sheet'!F76</f>
        <v>429568478.24697286</v>
      </c>
      <c r="G93" s="2">
        <f>G5/'Output-Calculation-sheet'!G4*'Output-Calculation-sheet'!G76</f>
        <v>334098303.34714204</v>
      </c>
      <c r="H93" s="2">
        <f>H5/'Output-Calculation-sheet'!H4*'Output-Calculation-sheet'!H76</f>
        <v>282609225.61553085</v>
      </c>
      <c r="I93" s="2">
        <f>I5/'Output-Calculation-sheet'!I4*'Output-Calculation-sheet'!I76</f>
        <v>231901569.20781788</v>
      </c>
      <c r="J93" s="2">
        <f>J5/'Output-Calculation-sheet'!J4*'Output-Calculation-sheet'!J76</f>
        <v>157365768.15576404</v>
      </c>
      <c r="K93" s="2">
        <f>K5/'Output-Calculation-sheet'!K4*'Output-Calculation-sheet'!K76</f>
        <v>229999353.40538996</v>
      </c>
      <c r="L93" s="2">
        <f>L5/'Output-Calculation-sheet'!L4*'Output-Calculation-sheet'!L76</f>
        <v>153526242.26344407</v>
      </c>
      <c r="M93" s="2">
        <f>M5/'Output-Calculation-sheet'!M4*'Output-Calculation-sheet'!M76</f>
        <v>206464973.09713775</v>
      </c>
      <c r="N93" s="2">
        <f>N5/'Output-Calculation-sheet'!N4*'Output-Calculation-sheet'!N76</f>
        <v>155905265.13577422</v>
      </c>
      <c r="O93" s="2">
        <f>O5/'Output-Calculation-sheet'!O4*'Output-Calculation-sheet'!O76</f>
        <v>76095446.181501076</v>
      </c>
      <c r="P93" s="2">
        <f>P5/'Output-Calculation-sheet'!P4*'Output-Calculation-sheet'!P76</f>
        <v>270130008.26512927</v>
      </c>
      <c r="Q93" s="2">
        <f>Q5/'Output-Calculation-sheet'!Q4*'Output-Calculation-sheet'!Q76</f>
        <v>124015686.12279825</v>
      </c>
      <c r="R93" s="2">
        <f>R5/'Output-Calculation-sheet'!R4*'Output-Calculation-sheet'!R76</f>
        <v>155177627.20317355</v>
      </c>
      <c r="S93" s="2">
        <f>S5/'Output-Calculation-sheet'!S4*'Output-Calculation-sheet'!S76</f>
        <v>91420680.882570475</v>
      </c>
      <c r="T93" s="2">
        <f>T5/'Output-Calculation-sheet'!T4*'Output-Calculation-sheet'!T76</f>
        <v>70299511.893065676</v>
      </c>
      <c r="U93" s="2">
        <f>U5/'Output-Calculation-sheet'!U4*'Output-Calculation-sheet'!U76</f>
        <v>45574782.200702898</v>
      </c>
      <c r="V93" s="2">
        <f>V5/'Output-Calculation-sheet'!V4*'Output-Calculation-sheet'!V76</f>
        <v>23360222.420539867</v>
      </c>
      <c r="W93" s="2">
        <f>W5/'Output-Calculation-sheet'!W4*'Output-Calculation-sheet'!W76</f>
        <v>65435100.510446936</v>
      </c>
      <c r="X93" s="2">
        <f>X5/'Output-Calculation-sheet'!X4*'Output-Calculation-sheet'!X76</f>
        <v>22710849.810509179</v>
      </c>
      <c r="Y93" s="2">
        <f>Y5/'Output-Calculation-sheet'!Y4*'Output-Calculation-sheet'!Y76</f>
        <v>35772196.627414413</v>
      </c>
      <c r="AA93" s="2">
        <f t="shared" ref="AA93:AA100" si="8">SUM(B93:Y93)/10^9</f>
        <v>6.9276489188981536</v>
      </c>
    </row>
    <row r="94" spans="1:27" x14ac:dyDescent="0.25">
      <c r="A94" s="2">
        <v>2029</v>
      </c>
      <c r="B94" s="2">
        <f>B6/'Output-Calculation-sheet'!B5*'Output-Calculation-sheet'!B77</f>
        <v>4248991140.1462688</v>
      </c>
      <c r="C94" s="2">
        <f>C6/'Output-Calculation-sheet'!C5*'Output-Calculation-sheet'!C77</f>
        <v>1417228436.9684463</v>
      </c>
      <c r="D94" s="2">
        <f>D6/'Output-Calculation-sheet'!D5*'Output-Calculation-sheet'!D77</f>
        <v>1559324056.9586747</v>
      </c>
      <c r="E94" s="2">
        <f>E6/'Output-Calculation-sheet'!E5*'Output-Calculation-sheet'!E77</f>
        <v>2652057527.8578758</v>
      </c>
      <c r="F94" s="2">
        <f>F6/'Output-Calculation-sheet'!F5*'Output-Calculation-sheet'!F77</f>
        <v>1119745954.2854421</v>
      </c>
      <c r="G94" s="2">
        <f>G6/'Output-Calculation-sheet'!G5*'Output-Calculation-sheet'!G77</f>
        <v>883016422.89512682</v>
      </c>
      <c r="H94" s="2">
        <f>H6/'Output-Calculation-sheet'!H5*'Output-Calculation-sheet'!H77</f>
        <v>742166857.0713712</v>
      </c>
      <c r="I94" s="2">
        <f>I6/'Output-Calculation-sheet'!I5*'Output-Calculation-sheet'!I77</f>
        <v>603035751.25771022</v>
      </c>
      <c r="J94" s="2">
        <f>J6/'Output-Calculation-sheet'!J5*'Output-Calculation-sheet'!J77</f>
        <v>414280959.45719826</v>
      </c>
      <c r="K94" s="2">
        <f>K6/'Output-Calculation-sheet'!K5*'Output-Calculation-sheet'!K77</f>
        <v>596892926.52941906</v>
      </c>
      <c r="L94" s="2">
        <f>L6/'Output-Calculation-sheet'!L5*'Output-Calculation-sheet'!L77</f>
        <v>403401186.66627371</v>
      </c>
      <c r="M94" s="2">
        <f>M6/'Output-Calculation-sheet'!M5*'Output-Calculation-sheet'!M77</f>
        <v>547013898.45106816</v>
      </c>
      <c r="N94" s="2">
        <f>N6/'Output-Calculation-sheet'!N5*'Output-Calculation-sheet'!N77</f>
        <v>413819430.23757708</v>
      </c>
      <c r="O94" s="2">
        <f>O6/'Output-Calculation-sheet'!O5*'Output-Calculation-sheet'!O77</f>
        <v>203244792.26279789</v>
      </c>
      <c r="P94" s="2">
        <f>P6/'Output-Calculation-sheet'!P5*'Output-Calculation-sheet'!P77</f>
        <v>707704331.91354501</v>
      </c>
      <c r="Q94" s="2">
        <f>Q6/'Output-Calculation-sheet'!Q5*'Output-Calculation-sheet'!Q77</f>
        <v>326932133.67693597</v>
      </c>
      <c r="R94" s="2">
        <f>R6/'Output-Calculation-sheet'!R5*'Output-Calculation-sheet'!R77</f>
        <v>405903386.49793798</v>
      </c>
      <c r="S94" s="2">
        <f>S6/'Output-Calculation-sheet'!S5*'Output-Calculation-sheet'!S77</f>
        <v>238331140.03725183</v>
      </c>
      <c r="T94" s="2">
        <f>T6/'Output-Calculation-sheet'!T5*'Output-Calculation-sheet'!T77</f>
        <v>183849036.31867337</v>
      </c>
      <c r="U94" s="2">
        <f>U6/'Output-Calculation-sheet'!U5*'Output-Calculation-sheet'!U77</f>
        <v>116379427.17650668</v>
      </c>
      <c r="V94" s="2">
        <f>V6/'Output-Calculation-sheet'!V5*'Output-Calculation-sheet'!V77</f>
        <v>59693977.66134657</v>
      </c>
      <c r="W94" s="2">
        <f>W6/'Output-Calculation-sheet'!W5*'Output-Calculation-sheet'!W77</f>
        <v>173214548.15327573</v>
      </c>
      <c r="X94" s="2">
        <f>X6/'Output-Calculation-sheet'!X5*'Output-Calculation-sheet'!X77</f>
        <v>59901127.037608653</v>
      </c>
      <c r="Y94" s="2">
        <f>Y6/'Output-Calculation-sheet'!Y5*'Output-Calculation-sheet'!Y77</f>
        <v>94974270.172473267</v>
      </c>
      <c r="AA94" s="2">
        <f t="shared" si="8"/>
        <v>18.171102719690804</v>
      </c>
    </row>
    <row r="95" spans="1:27" x14ac:dyDescent="0.25">
      <c r="A95" s="2">
        <v>2030</v>
      </c>
      <c r="B95" s="2">
        <f>B7/'Output-Calculation-sheet'!B6*'Output-Calculation-sheet'!B78</f>
        <v>7622328020.5885344</v>
      </c>
      <c r="C95" s="2">
        <f>C7/'Output-Calculation-sheet'!C6*'Output-Calculation-sheet'!C78</f>
        <v>2559416802.8664169</v>
      </c>
      <c r="D95" s="2">
        <f>D7/'Output-Calculation-sheet'!D6*'Output-Calculation-sheet'!D78</f>
        <v>2801901360.943625</v>
      </c>
      <c r="E95" s="2">
        <f>E7/'Output-Calculation-sheet'!E6*'Output-Calculation-sheet'!E78</f>
        <v>4843783956.8494005</v>
      </c>
      <c r="F95" s="2">
        <f>F7/'Output-Calculation-sheet'!F6*'Output-Calculation-sheet'!F78</f>
        <v>2008323607.602324</v>
      </c>
      <c r="G95" s="2">
        <f>G7/'Output-Calculation-sheet'!G6*'Output-Calculation-sheet'!G78</f>
        <v>1606733832.0526998</v>
      </c>
      <c r="H95" s="2">
        <f>H7/'Output-Calculation-sheet'!H6*'Output-Calculation-sheet'!H78</f>
        <v>1340954957.3614662</v>
      </c>
      <c r="I95" s="2">
        <f>I7/'Output-Calculation-sheet'!I6*'Output-Calculation-sheet'!I78</f>
        <v>1079178861.6099992</v>
      </c>
      <c r="J95" s="2">
        <f>J7/'Output-Calculation-sheet'!J6*'Output-Calculation-sheet'!J78</f>
        <v>750951927.84988725</v>
      </c>
      <c r="K95" s="2">
        <f>K7/'Output-Calculation-sheet'!K6*'Output-Calculation-sheet'!K78</f>
        <v>1065953799.0144868</v>
      </c>
      <c r="L95" s="2">
        <f>L7/'Output-Calculation-sheet'!L6*'Output-Calculation-sheet'!L78</f>
        <v>729509653.29521561</v>
      </c>
      <c r="M95" s="2">
        <f>M7/'Output-Calculation-sheet'!M6*'Output-Calculation-sheet'!M78</f>
        <v>997707111.165254</v>
      </c>
      <c r="N95" s="2">
        <f>N7/'Output-Calculation-sheet'!N6*'Output-Calculation-sheet'!N78</f>
        <v>756275572.99651313</v>
      </c>
      <c r="O95" s="2">
        <f>O7/'Output-Calculation-sheet'!O6*'Output-Calculation-sheet'!O78</f>
        <v>373667521.16483265</v>
      </c>
      <c r="P95" s="2">
        <f>P7/'Output-Calculation-sheet'!P6*'Output-Calculation-sheet'!P78</f>
        <v>1275443685.135396</v>
      </c>
      <c r="Q95" s="2">
        <f>Q7/'Output-Calculation-sheet'!Q6*'Output-Calculation-sheet'!Q78</f>
        <v>593325787.36160111</v>
      </c>
      <c r="R95" s="2">
        <f>R7/'Output-Calculation-sheet'!R6*'Output-Calculation-sheet'!R78</f>
        <v>730508225.01357377</v>
      </c>
      <c r="S95" s="2">
        <f>S7/'Output-Calculation-sheet'!S6*'Output-Calculation-sheet'!S78</f>
        <v>427431739.34490931</v>
      </c>
      <c r="T95" s="2">
        <f>T7/'Output-Calculation-sheet'!T6*'Output-Calculation-sheet'!T78</f>
        <v>330867905.35257918</v>
      </c>
      <c r="U95" s="2">
        <f>U7/'Output-Calculation-sheet'!U6*'Output-Calculation-sheet'!U78</f>
        <v>204254186.57971448</v>
      </c>
      <c r="V95" s="2">
        <f>V7/'Output-Calculation-sheet'!V6*'Output-Calculation-sheet'!V78</f>
        <v>104826703.04075125</v>
      </c>
      <c r="W95" s="2">
        <f>W7/'Output-Calculation-sheet'!W6*'Output-Calculation-sheet'!W78</f>
        <v>315675389.25910026</v>
      </c>
      <c r="X95" s="2">
        <f>X7/'Output-Calculation-sheet'!X6*'Output-Calculation-sheet'!X78</f>
        <v>108772444.86513057</v>
      </c>
      <c r="Y95" s="2">
        <f>Y7/'Output-Calculation-sheet'!Y6*'Output-Calculation-sheet'!Y78</f>
        <v>173608059.39965627</v>
      </c>
      <c r="AA95" s="2">
        <f t="shared" si="8"/>
        <v>32.80140111071308</v>
      </c>
    </row>
    <row r="96" spans="1:27" x14ac:dyDescent="0.25">
      <c r="A96" s="2">
        <v>2031</v>
      </c>
      <c r="B96" s="2">
        <f>B8/'Output-Calculation-sheet'!B7*'Output-Calculation-sheet'!B79</f>
        <v>11631952496.797104</v>
      </c>
      <c r="C96" s="2">
        <f>C8/'Output-Calculation-sheet'!C7*'Output-Calculation-sheet'!C79</f>
        <v>3935142394.9836683</v>
      </c>
      <c r="D96" s="2">
        <f>D8/'Output-Calculation-sheet'!D7*'Output-Calculation-sheet'!D79</f>
        <v>4108029500.9409733</v>
      </c>
      <c r="E96" s="2">
        <f>E8/'Output-Calculation-sheet'!E7*'Output-Calculation-sheet'!E79</f>
        <v>7303726674.8206415</v>
      </c>
      <c r="F96" s="2">
        <f>F8/'Output-Calculation-sheet'!F7*'Output-Calculation-sheet'!F79</f>
        <v>3022940498.3408089</v>
      </c>
      <c r="G96" s="2">
        <f>G8/'Output-Calculation-sheet'!G7*'Output-Calculation-sheet'!G79</f>
        <v>2354622079.4301548</v>
      </c>
      <c r="H96" s="2">
        <f>H8/'Output-Calculation-sheet'!H7*'Output-Calculation-sheet'!H79</f>
        <v>2015423522.0002294</v>
      </c>
      <c r="I96" s="2">
        <f>I8/'Output-Calculation-sheet'!I7*'Output-Calculation-sheet'!I79</f>
        <v>1640244604.6723509</v>
      </c>
      <c r="J96" s="2">
        <f>J8/'Output-Calculation-sheet'!J7*'Output-Calculation-sheet'!J79</f>
        <v>1109175768.3103273</v>
      </c>
      <c r="K96" s="2">
        <f>K8/'Output-Calculation-sheet'!K7*'Output-Calculation-sheet'!K79</f>
        <v>1586899651.8441217</v>
      </c>
      <c r="L96" s="2">
        <f>L8/'Output-Calculation-sheet'!L7*'Output-Calculation-sheet'!L79</f>
        <v>1119715013.5336802</v>
      </c>
      <c r="M96" s="2">
        <f>M8/'Output-Calculation-sheet'!M7*'Output-Calculation-sheet'!M79</f>
        <v>1504474680.5760765</v>
      </c>
      <c r="N96" s="2">
        <f>N8/'Output-Calculation-sheet'!N7*'Output-Calculation-sheet'!N79</f>
        <v>1119448982.0015745</v>
      </c>
      <c r="O96" s="2">
        <f>O8/'Output-Calculation-sheet'!O7*'Output-Calculation-sheet'!O79</f>
        <v>565919801.79202342</v>
      </c>
      <c r="P96" s="2">
        <f>P8/'Output-Calculation-sheet'!P7*'Output-Calculation-sheet'!P79</f>
        <v>1892883044.018888</v>
      </c>
      <c r="Q96" s="2">
        <f>Q8/'Output-Calculation-sheet'!Q7*'Output-Calculation-sheet'!Q79</f>
        <v>882164461.85678184</v>
      </c>
      <c r="R96" s="2">
        <f>R8/'Output-Calculation-sheet'!R7*'Output-Calculation-sheet'!R79</f>
        <v>1100605032.4204543</v>
      </c>
      <c r="S96" s="2">
        <f>S8/'Output-Calculation-sheet'!S7*'Output-Calculation-sheet'!S79</f>
        <v>641304726.25947595</v>
      </c>
      <c r="T96" s="2">
        <f>T8/'Output-Calculation-sheet'!T7*'Output-Calculation-sheet'!T79</f>
        <v>489809174.10182643</v>
      </c>
      <c r="U96" s="2">
        <f>U8/'Output-Calculation-sheet'!U7*'Output-Calculation-sheet'!U79</f>
        <v>307685534.64100122</v>
      </c>
      <c r="V96" s="2">
        <f>V8/'Output-Calculation-sheet'!V7*'Output-Calculation-sheet'!V79</f>
        <v>159643300.38922361</v>
      </c>
      <c r="W96" s="2">
        <f>W8/'Output-Calculation-sheet'!W7*'Output-Calculation-sheet'!W79</f>
        <v>471733009.92332584</v>
      </c>
      <c r="X96" s="2">
        <f>X8/'Output-Calculation-sheet'!X7*'Output-Calculation-sheet'!X79</f>
        <v>165800803.176624</v>
      </c>
      <c r="Y96" s="2">
        <f>Y8/'Output-Calculation-sheet'!Y7*'Output-Calculation-sheet'!Y79</f>
        <v>259310169.92641607</v>
      </c>
      <c r="AA96" s="2">
        <f t="shared" si="8"/>
        <v>49.388654926757745</v>
      </c>
    </row>
    <row r="97" spans="1:27" x14ac:dyDescent="0.25">
      <c r="A97" s="2">
        <v>2032</v>
      </c>
      <c r="B97" s="2">
        <f>B9/'Output-Calculation-sheet'!B8*'Output-Calculation-sheet'!B80</f>
        <v>15687543209.845787</v>
      </c>
      <c r="C97" s="2">
        <f>C9/'Output-Calculation-sheet'!C8*'Output-Calculation-sheet'!C80</f>
        <v>5343261776.6173649</v>
      </c>
      <c r="D97" s="2">
        <f>D9/'Output-Calculation-sheet'!D8*'Output-Calculation-sheet'!D80</f>
        <v>5324040231.08461</v>
      </c>
      <c r="E97" s="2">
        <f>E9/'Output-Calculation-sheet'!E8*'Output-Calculation-sheet'!E80</f>
        <v>9736873097.3108444</v>
      </c>
      <c r="F97" s="2">
        <f>F9/'Output-Calculation-sheet'!F8*'Output-Calculation-sheet'!F80</f>
        <v>4022303065.1721315</v>
      </c>
      <c r="G97" s="2">
        <f>G9/'Output-Calculation-sheet'!G8*'Output-Calculation-sheet'!G80</f>
        <v>3044662433.6623178</v>
      </c>
      <c r="H97" s="2">
        <f>H9/'Output-Calculation-sheet'!H8*'Output-Calculation-sheet'!H80</f>
        <v>2678687973.8838029</v>
      </c>
      <c r="I97" s="2">
        <f>I9/'Output-Calculation-sheet'!I8*'Output-Calculation-sheet'!I80</f>
        <v>2203469447.2309504</v>
      </c>
      <c r="J97" s="2">
        <f>J9/'Output-Calculation-sheet'!J8*'Output-Calculation-sheet'!J80</f>
        <v>1448577780.3853524</v>
      </c>
      <c r="K97" s="2">
        <f>K9/'Output-Calculation-sheet'!K8*'Output-Calculation-sheet'!K80</f>
        <v>2088430076.7765279</v>
      </c>
      <c r="L97" s="2">
        <f>L9/'Output-Calculation-sheet'!L8*'Output-Calculation-sheet'!L80</f>
        <v>1520031144.0106149</v>
      </c>
      <c r="M97" s="2">
        <f>M9/'Output-Calculation-sheet'!M8*'Output-Calculation-sheet'!M80</f>
        <v>2005511040.1632566</v>
      </c>
      <c r="N97" s="2">
        <f>N9/'Output-Calculation-sheet'!N8*'Output-Calculation-sheet'!N80</f>
        <v>1465293954.7534077</v>
      </c>
      <c r="O97" s="2">
        <f>O9/'Output-Calculation-sheet'!O8*'Output-Calculation-sheet'!O80</f>
        <v>758047123.81914389</v>
      </c>
      <c r="P97" s="2">
        <f>P9/'Output-Calculation-sheet'!P8*'Output-Calculation-sheet'!P80</f>
        <v>2480187646.0152745</v>
      </c>
      <c r="Q97" s="2">
        <f>Q9/'Output-Calculation-sheet'!Q8*'Output-Calculation-sheet'!Q80</f>
        <v>1160136672.5146778</v>
      </c>
      <c r="R97" s="2">
        <f>R9/'Output-Calculation-sheet'!R8*'Output-Calculation-sheet'!R80</f>
        <v>1465829729.0465496</v>
      </c>
      <c r="S97" s="2">
        <f>S9/'Output-Calculation-sheet'!S8*'Output-Calculation-sheet'!S80</f>
        <v>850763333.13208306</v>
      </c>
      <c r="T97" s="2">
        <f>T9/'Output-Calculation-sheet'!T8*'Output-Calculation-sheet'!T80</f>
        <v>640654710.40508294</v>
      </c>
      <c r="U97" s="2">
        <f>U9/'Output-Calculation-sheet'!U8*'Output-Calculation-sheet'!U80</f>
        <v>409565961.68651509</v>
      </c>
      <c r="V97" s="2">
        <f>V9/'Output-Calculation-sheet'!V8*'Output-Calculation-sheet'!V80</f>
        <v>214751982.03119636</v>
      </c>
      <c r="W97" s="2">
        <f>W9/'Output-Calculation-sheet'!W8*'Output-Calculation-sheet'!W80</f>
        <v>621925889.41349006</v>
      </c>
      <c r="X97" s="2">
        <f>X9/'Output-Calculation-sheet'!X8*'Output-Calculation-sheet'!X80</f>
        <v>223331411.10420817</v>
      </c>
      <c r="Y97" s="2">
        <f>Y9/'Output-Calculation-sheet'!Y8*'Output-Calculation-sheet'!Y80</f>
        <v>341850725.96922171</v>
      </c>
      <c r="AA97" s="2">
        <f t="shared" si="8"/>
        <v>65.735730416034414</v>
      </c>
    </row>
    <row r="98" spans="1:27" x14ac:dyDescent="0.25">
      <c r="A98" s="2">
        <v>2033</v>
      </c>
      <c r="B98" s="2">
        <f>B10/'Output-Calculation-sheet'!B9*'Output-Calculation-sheet'!B81</f>
        <v>19669421451.447411</v>
      </c>
      <c r="C98" s="2">
        <f>C10/'Output-Calculation-sheet'!C9*'Output-Calculation-sheet'!C81</f>
        <v>6743653054.6746569</v>
      </c>
      <c r="D98" s="2">
        <f>D10/'Output-Calculation-sheet'!D9*'Output-Calculation-sheet'!D81</f>
        <v>6417903756.6863365</v>
      </c>
      <c r="E98" s="2">
        <f>E10/'Output-Calculation-sheet'!E9*'Output-Calculation-sheet'!E81</f>
        <v>12072480779.073711</v>
      </c>
      <c r="F98" s="2">
        <f>F10/'Output-Calculation-sheet'!F9*'Output-Calculation-sheet'!F81</f>
        <v>4978982878.2214813</v>
      </c>
      <c r="G98" s="2">
        <f>G10/'Output-Calculation-sheet'!G9*'Output-Calculation-sheet'!G81</f>
        <v>3655721566.7344079</v>
      </c>
      <c r="H98" s="2">
        <f>H10/'Output-Calculation-sheet'!H9*'Output-Calculation-sheet'!H81</f>
        <v>3312113607.6057081</v>
      </c>
      <c r="I98" s="2">
        <f>I10/'Output-Calculation-sheet'!I9*'Output-Calculation-sheet'!I81</f>
        <v>2753344230.0926032</v>
      </c>
      <c r="J98" s="2">
        <f>J10/'Output-Calculation-sheet'!J9*'Output-Calculation-sheet'!J81</f>
        <v>1760557697.8258388</v>
      </c>
      <c r="K98" s="2">
        <f>K10/'Output-Calculation-sheet'!K9*'Output-Calculation-sheet'!K81</f>
        <v>2557279874.2603908</v>
      </c>
      <c r="L98" s="2">
        <f>L10/'Output-Calculation-sheet'!L9*'Output-Calculation-sheet'!L81</f>
        <v>1917998185.2593243</v>
      </c>
      <c r="M98" s="2">
        <f>M10/'Output-Calculation-sheet'!M9*'Output-Calculation-sheet'!M81</f>
        <v>2487258256.1035337</v>
      </c>
      <c r="N98" s="2">
        <f>N10/'Output-Calculation-sheet'!N9*'Output-Calculation-sheet'!N81</f>
        <v>1784413729.9684584</v>
      </c>
      <c r="O98" s="2">
        <f>O10/'Output-Calculation-sheet'!O9*'Output-Calculation-sheet'!O81</f>
        <v>944947881.4670198</v>
      </c>
      <c r="P98" s="2">
        <f>P10/'Output-Calculation-sheet'!P9*'Output-Calculation-sheet'!P81</f>
        <v>3019779256.9031277</v>
      </c>
      <c r="Q98" s="2">
        <f>Q10/'Output-Calculation-sheet'!Q9*'Output-Calculation-sheet'!Q81</f>
        <v>1419823653.4131527</v>
      </c>
      <c r="R98" s="2">
        <f>R10/'Output-Calculation-sheet'!R9*'Output-Calculation-sheet'!R81</f>
        <v>1816169255.3070972</v>
      </c>
      <c r="S98" s="2">
        <f>S10/'Output-Calculation-sheet'!S9*'Output-Calculation-sheet'!S81</f>
        <v>1050069178.1555365</v>
      </c>
      <c r="T98" s="2">
        <f>T10/'Output-Calculation-sheet'!T9*'Output-Calculation-sheet'!T81</f>
        <v>779194529.61452043</v>
      </c>
      <c r="U98" s="2">
        <f>U10/'Output-Calculation-sheet'!U9*'Output-Calculation-sheet'!U81</f>
        <v>506994496.72706169</v>
      </c>
      <c r="V98" s="2">
        <f>V10/'Output-Calculation-sheet'!V9*'Output-Calculation-sheet'!V81</f>
        <v>268512823.13552731</v>
      </c>
      <c r="W98" s="2">
        <f>W10/'Output-Calculation-sheet'!W9*'Output-Calculation-sheet'!W81</f>
        <v>761326490.59615886</v>
      </c>
      <c r="X98" s="2">
        <f>X10/'Output-Calculation-sheet'!X9*'Output-Calculation-sheet'!X81</f>
        <v>279764451.15913033</v>
      </c>
      <c r="Y98" s="2">
        <f>Y10/'Output-Calculation-sheet'!Y9*'Output-Calculation-sheet'!Y81</f>
        <v>418624452.54493582</v>
      </c>
      <c r="AA98" s="2">
        <f t="shared" si="8"/>
        <v>81.376335536977109</v>
      </c>
    </row>
    <row r="99" spans="1:27" x14ac:dyDescent="0.25">
      <c r="A99" s="2">
        <v>2034</v>
      </c>
      <c r="B99" s="2">
        <f>B11/'Output-Calculation-sheet'!B10*'Output-Calculation-sheet'!B82</f>
        <v>23393023464.838657</v>
      </c>
      <c r="C99" s="2">
        <f>C11/'Output-Calculation-sheet'!C10*'Output-Calculation-sheet'!C82</f>
        <v>8071552859.2277231</v>
      </c>
      <c r="D99" s="2">
        <f>D11/'Output-Calculation-sheet'!D10*'Output-Calculation-sheet'!D82</f>
        <v>7342842702.4208784</v>
      </c>
      <c r="E99" s="2">
        <f>E11/'Output-Calculation-sheet'!E10*'Output-Calculation-sheet'!E82</f>
        <v>14204085321.738619</v>
      </c>
      <c r="F99" s="2">
        <f>F11/'Output-Calculation-sheet'!F10*'Output-Calculation-sheet'!F82</f>
        <v>5849934912.3381376</v>
      </c>
      <c r="G99" s="2">
        <f>G11/'Output-Calculation-sheet'!G10*'Output-Calculation-sheet'!G82</f>
        <v>4158887439.5785871</v>
      </c>
      <c r="H99" s="2">
        <f>H11/'Output-Calculation-sheet'!H10*'Output-Calculation-sheet'!H82</f>
        <v>3887235396.7982225</v>
      </c>
      <c r="I99" s="2">
        <f>I11/'Output-Calculation-sheet'!I10*'Output-Calculation-sheet'!I82</f>
        <v>3265007115.9769168</v>
      </c>
      <c r="J99" s="2">
        <f>J11/'Output-Calculation-sheet'!J10*'Output-Calculation-sheet'!J82</f>
        <v>2031812679.5411429</v>
      </c>
      <c r="K99" s="2">
        <f>K11/'Output-Calculation-sheet'!K10*'Output-Calculation-sheet'!K82</f>
        <v>2972808578.499361</v>
      </c>
      <c r="L99" s="2">
        <f>L11/'Output-Calculation-sheet'!L10*'Output-Calculation-sheet'!L82</f>
        <v>2295225622.2691936</v>
      </c>
      <c r="M99" s="2">
        <f>M11/'Output-Calculation-sheet'!M10*'Output-Calculation-sheet'!M82</f>
        <v>2928182373.1291451</v>
      </c>
      <c r="N99" s="2">
        <f>N11/'Output-Calculation-sheet'!N10*'Output-Calculation-sheet'!N82</f>
        <v>2062907217.8889925</v>
      </c>
      <c r="O99" s="2">
        <f>O11/'Output-Calculation-sheet'!O10*'Output-Calculation-sheet'!O82</f>
        <v>1118405531.7626059</v>
      </c>
      <c r="P99" s="2">
        <f>P11/'Output-Calculation-sheet'!P10*'Output-Calculation-sheet'!P82</f>
        <v>3486323407.1903477</v>
      </c>
      <c r="Q99" s="2">
        <f>Q11/'Output-Calculation-sheet'!Q10*'Output-Calculation-sheet'!Q82</f>
        <v>1649947318.7292228</v>
      </c>
      <c r="R99" s="2">
        <f>R11/'Output-Calculation-sheet'!R10*'Output-Calculation-sheet'!R82</f>
        <v>2135849173.7390628</v>
      </c>
      <c r="S99" s="2">
        <f>S11/'Output-Calculation-sheet'!S10*'Output-Calculation-sheet'!S82</f>
        <v>1230308834.9441688</v>
      </c>
      <c r="T99" s="2">
        <f>T11/'Output-Calculation-sheet'!T10*'Output-Calculation-sheet'!T82</f>
        <v>899211918.33072591</v>
      </c>
      <c r="U99" s="2">
        <f>U11/'Output-Calculation-sheet'!U10*'Output-Calculation-sheet'!U82</f>
        <v>595476259.04574192</v>
      </c>
      <c r="V99" s="2">
        <f>V11/'Output-Calculation-sheet'!V10*'Output-Calculation-sheet'!V82</f>
        <v>318393731.66120231</v>
      </c>
      <c r="W99" s="2">
        <f>W11/'Output-Calculation-sheet'!W10*'Output-Calculation-sheet'!W82</f>
        <v>882916965.43830049</v>
      </c>
      <c r="X99" s="2">
        <f>X11/'Output-Calculation-sheet'!X10*'Output-Calculation-sheet'!X82</f>
        <v>332530836.86049205</v>
      </c>
      <c r="Y99" s="2">
        <f>Y11/'Output-Calculation-sheet'!Y10*'Output-Calculation-sheet'!Y82</f>
        <v>485884359.7903387</v>
      </c>
      <c r="AA99" s="2">
        <f t="shared" si="8"/>
        <v>95.598754021737776</v>
      </c>
    </row>
    <row r="100" spans="1:27" x14ac:dyDescent="0.25">
      <c r="A100" s="2">
        <v>2035</v>
      </c>
      <c r="B100" s="2">
        <f>B12/'Output-Calculation-sheet'!B11*'Output-Calculation-sheet'!B83</f>
        <v>26674250554.421616</v>
      </c>
      <c r="C100" s="2">
        <f>C12/'Output-Calculation-sheet'!C11*'Output-Calculation-sheet'!C83</f>
        <v>9260866539.4412003</v>
      </c>
      <c r="D100" s="2">
        <f>D12/'Output-Calculation-sheet'!D11*'Output-Calculation-sheet'!D83</f>
        <v>8060396874.5182123</v>
      </c>
      <c r="E100" s="2">
        <f>E12/'Output-Calculation-sheet'!E11*'Output-Calculation-sheet'!E83</f>
        <v>16030049568.480289</v>
      </c>
      <c r="F100" s="2">
        <f>F12/'Output-Calculation-sheet'!F11*'Output-Calculation-sheet'!F83</f>
        <v>6594123228.1837978</v>
      </c>
      <c r="G100" s="2">
        <f>G12/'Output-Calculation-sheet'!G11*'Output-Calculation-sheet'!G83</f>
        <v>4531446657.618762</v>
      </c>
      <c r="H100" s="2">
        <f>H12/'Output-Calculation-sheet'!H11*'Output-Calculation-sheet'!H83</f>
        <v>4377038826.9623566</v>
      </c>
      <c r="I100" s="2">
        <f>I12/'Output-Calculation-sheet'!I11*'Output-Calculation-sheet'!I83</f>
        <v>3713830990.9911976</v>
      </c>
      <c r="J100" s="2">
        <f>J12/'Output-Calculation-sheet'!J11*'Output-Calculation-sheet'!J83</f>
        <v>2250741425.6894083</v>
      </c>
      <c r="K100" s="2">
        <f>K12/'Output-Calculation-sheet'!K11*'Output-Calculation-sheet'!K83</f>
        <v>3316300842.0496473</v>
      </c>
      <c r="L100" s="2">
        <f>L12/'Output-Calculation-sheet'!L11*'Output-Calculation-sheet'!L83</f>
        <v>2632953775.0801969</v>
      </c>
      <c r="M100" s="2">
        <f>M12/'Output-Calculation-sheet'!M11*'Output-Calculation-sheet'!M83</f>
        <v>3307573382.1436157</v>
      </c>
      <c r="N100" s="2">
        <f>N12/'Output-Calculation-sheet'!N11*'Output-Calculation-sheet'!N83</f>
        <v>2288579540.1356812</v>
      </c>
      <c r="O100" s="2">
        <f>O12/'Output-Calculation-sheet'!O11*'Output-Calculation-sheet'!O83</f>
        <v>1270306959.0639746</v>
      </c>
      <c r="P100" s="2">
        <f>P12/'Output-Calculation-sheet'!P11*'Output-Calculation-sheet'!P83</f>
        <v>3858012496.8639016</v>
      </c>
      <c r="Q100" s="2">
        <f>Q12/'Output-Calculation-sheet'!Q11*'Output-Calculation-sheet'!Q83</f>
        <v>1840289646.7117152</v>
      </c>
      <c r="R100" s="2">
        <f>R12/'Output-Calculation-sheet'!R11*'Output-Calculation-sheet'!R83</f>
        <v>2409756721.8303814</v>
      </c>
      <c r="S100" s="2">
        <f>S12/'Output-Calculation-sheet'!S11*'Output-Calculation-sheet'!S83</f>
        <v>1383076547.1180761</v>
      </c>
      <c r="T100" s="2">
        <f>T12/'Output-Calculation-sheet'!T11*'Output-Calculation-sheet'!T83</f>
        <v>995335911.70592904</v>
      </c>
      <c r="U100" s="2">
        <f>U12/'Output-Calculation-sheet'!U11*'Output-Calculation-sheet'!U83</f>
        <v>670743708.38924706</v>
      </c>
      <c r="V100" s="2">
        <f>V12/'Output-Calculation-sheet'!V11*'Output-Calculation-sheet'!V83</f>
        <v>361905201.86845386</v>
      </c>
      <c r="W100" s="2">
        <f>W12/'Output-Calculation-sheet'!W11*'Output-Calculation-sheet'!W83</f>
        <v>980490102.0419035</v>
      </c>
      <c r="X100" s="2">
        <f>X12/'Output-Calculation-sheet'!X11*'Output-Calculation-sheet'!X83</f>
        <v>379066786.72256529</v>
      </c>
      <c r="Y100" s="2">
        <f>Y12/'Output-Calculation-sheet'!Y11*'Output-Calculation-sheet'!Y83</f>
        <v>540308571.37558579</v>
      </c>
      <c r="AA100" s="2">
        <f t="shared" si="8"/>
        <v>107.72744485940773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95554804588.765823</v>
      </c>
      <c r="C8" s="2">
        <v>45030232310.630737</v>
      </c>
      <c r="D8" s="2">
        <v>40134110431.721672</v>
      </c>
      <c r="E8" s="2">
        <v>31842343946.535206</v>
      </c>
      <c r="F8" s="2">
        <v>20498059449.835583</v>
      </c>
      <c r="G8" s="2">
        <v>14402499123.512083</v>
      </c>
      <c r="H8" s="2">
        <v>14049085029.373405</v>
      </c>
      <c r="I8" s="2">
        <v>13121810425.940281</v>
      </c>
      <c r="J8" s="2">
        <v>12771863988.90353</v>
      </c>
      <c r="K8" s="2">
        <v>12649425250.606451</v>
      </c>
      <c r="L8" s="2">
        <v>10147533396.060501</v>
      </c>
      <c r="M8" s="2">
        <v>9692643967.9612389</v>
      </c>
      <c r="N8" s="2">
        <v>9513302061.3583851</v>
      </c>
      <c r="O8" s="2">
        <v>8749413243.0501595</v>
      </c>
      <c r="P8" s="2">
        <v>8660394881.1205921</v>
      </c>
      <c r="Q8" s="2">
        <v>8520428903.2438965</v>
      </c>
      <c r="R8" s="2">
        <v>8197044509.6586819</v>
      </c>
      <c r="S8" s="2">
        <v>5448175688.8503914</v>
      </c>
      <c r="T8" s="2">
        <v>3013163077.6833973</v>
      </c>
      <c r="U8" s="2">
        <v>2624362085.1880598</v>
      </c>
      <c r="V8" s="2">
        <v>2020811292.8365111</v>
      </c>
      <c r="W8" s="2">
        <v>1749574723.4587054</v>
      </c>
      <c r="X8" s="2">
        <v>1049744834.0752238</v>
      </c>
      <c r="Y8" s="2">
        <v>1020866353.6898128</v>
      </c>
    </row>
    <row r="9" spans="1:27" x14ac:dyDescent="0.25">
      <c r="A9" s="2">
        <v>2032</v>
      </c>
      <c r="B9" s="2">
        <v>104102537958.37828</v>
      </c>
      <c r="C9" s="2">
        <v>49058354402.65406</v>
      </c>
      <c r="D9" s="2">
        <v>43724256175.552437</v>
      </c>
      <c r="E9" s="2">
        <v>34690760277.768806</v>
      </c>
      <c r="F9" s="2">
        <v>22331687256.68119</v>
      </c>
      <c r="G9" s="2">
        <v>15690856343.158701</v>
      </c>
      <c r="H9" s="2">
        <v>15305828041.249298</v>
      </c>
      <c r="I9" s="2">
        <v>14295605268.912781</v>
      </c>
      <c r="J9" s="2">
        <v>13914354818.955807</v>
      </c>
      <c r="K9" s="2">
        <v>13780963479.231943</v>
      </c>
      <c r="L9" s="2">
        <v>11055268074.625902</v>
      </c>
      <c r="M9" s="2">
        <v>10559687091.970261</v>
      </c>
      <c r="N9" s="2">
        <v>10364302383.477575</v>
      </c>
      <c r="O9" s="2">
        <v>9532080863.6267376</v>
      </c>
      <c r="P9" s="2">
        <v>9435099477.4824429</v>
      </c>
      <c r="Q9" s="2">
        <v>9282613021.2807064</v>
      </c>
      <c r="R9" s="2">
        <v>8930300688.5494041</v>
      </c>
      <c r="S9" s="2">
        <v>5935535307.6525726</v>
      </c>
      <c r="T9" s="2">
        <v>3282701743.9811516</v>
      </c>
      <c r="U9" s="2">
        <v>2859121053.7825603</v>
      </c>
      <c r="V9" s="2">
        <v>2201580393.8336482</v>
      </c>
      <c r="W9" s="2">
        <v>1906080702.5217052</v>
      </c>
      <c r="X9" s="2">
        <v>1143648421.5130241</v>
      </c>
      <c r="Y9" s="2">
        <v>1112186653.4371989</v>
      </c>
    </row>
    <row r="10" spans="1:27" x14ac:dyDescent="0.25">
      <c r="A10" s="2">
        <v>2033</v>
      </c>
      <c r="B10" s="2">
        <v>110329916736.84514</v>
      </c>
      <c r="C10" s="2">
        <v>51993008649.371269</v>
      </c>
      <c r="D10" s="2">
        <v>46339826461.847939</v>
      </c>
      <c r="E10" s="2">
        <v>36765949880.245468</v>
      </c>
      <c r="F10" s="2">
        <v>23667561271.253407</v>
      </c>
      <c r="G10" s="2">
        <v>16629478087.869917</v>
      </c>
      <c r="H10" s="2">
        <v>16221417522.545586</v>
      </c>
      <c r="I10" s="2">
        <v>15150763564.021393</v>
      </c>
      <c r="J10" s="2">
        <v>14746706840.481619</v>
      </c>
      <c r="K10" s="2">
        <v>14605336075.716646</v>
      </c>
      <c r="L10" s="2">
        <v>11716590489.509897</v>
      </c>
      <c r="M10" s="2">
        <v>11191364019.290491</v>
      </c>
      <c r="N10" s="2">
        <v>10984291463.304684</v>
      </c>
      <c r="O10" s="2">
        <v>10102286732.272438</v>
      </c>
      <c r="P10" s="2">
        <v>9999503952.2541275</v>
      </c>
      <c r="Q10" s="2">
        <v>9837895807.5712318</v>
      </c>
      <c r="R10" s="2">
        <v>9464508269.6886387</v>
      </c>
      <c r="S10" s="2">
        <v>6290597031.7816677</v>
      </c>
      <c r="T10" s="2">
        <v>3479071857.3080492</v>
      </c>
      <c r="U10" s="2">
        <v>3030152712.8042827</v>
      </c>
      <c r="V10" s="2">
        <v>2333278191.9135556</v>
      </c>
      <c r="W10" s="2">
        <v>2020101808.5361872</v>
      </c>
      <c r="X10" s="2">
        <v>1212061085.1217132</v>
      </c>
      <c r="Y10" s="2">
        <v>1178717284.670013</v>
      </c>
    </row>
    <row r="11" spans="1:27" x14ac:dyDescent="0.25">
      <c r="A11" s="2">
        <v>2034</v>
      </c>
      <c r="B11" s="2">
        <v>114770067070.44748</v>
      </c>
      <c r="C11" s="2">
        <v>54085430918.2118</v>
      </c>
      <c r="D11" s="2">
        <v>48204740367.42453</v>
      </c>
      <c r="E11" s="2">
        <v>38245569818.827934</v>
      </c>
      <c r="F11" s="2">
        <v>24620045721.366436</v>
      </c>
      <c r="G11" s="2">
        <v>17298719802.749508</v>
      </c>
      <c r="H11" s="2">
        <v>16874237125.373953</v>
      </c>
      <c r="I11" s="2">
        <v>15760495447.111397</v>
      </c>
      <c r="J11" s="2">
        <v>15340177743.332703</v>
      </c>
      <c r="K11" s="2">
        <v>15193117611.015411</v>
      </c>
      <c r="L11" s="2">
        <v>12188116479.099503</v>
      </c>
      <c r="M11" s="2">
        <v>11641752636.932976</v>
      </c>
      <c r="N11" s="2">
        <v>11426346590.759434</v>
      </c>
      <c r="O11" s="2">
        <v>10508846196.206722</v>
      </c>
      <c r="P11" s="2">
        <v>10401926995.093531</v>
      </c>
      <c r="Q11" s="2">
        <v>10233815043.657677</v>
      </c>
      <c r="R11" s="2">
        <v>9845400785.4627037</v>
      </c>
      <c r="S11" s="2">
        <v>6543757709.6406374</v>
      </c>
      <c r="T11" s="2">
        <v>3619084670.9195914</v>
      </c>
      <c r="U11" s="2">
        <v>3152099089.4222841</v>
      </c>
      <c r="V11" s="2">
        <v>2427179340.8369489</v>
      </c>
      <c r="W11" s="2">
        <v>2101399392.9481881</v>
      </c>
      <c r="X11" s="2">
        <v>1260839635.7689135</v>
      </c>
      <c r="Y11" s="2">
        <v>1226153937.3889089</v>
      </c>
    </row>
    <row r="12" spans="1:27" x14ac:dyDescent="0.25">
      <c r="A12" s="2">
        <v>2035</v>
      </c>
      <c r="B12" s="2">
        <v>117682725542.31569</v>
      </c>
      <c r="C12" s="2">
        <v>55458022157.283539</v>
      </c>
      <c r="D12" s="2">
        <v>49428090226.83696</v>
      </c>
      <c r="E12" s="2">
        <v>39216173790.644554</v>
      </c>
      <c r="F12" s="2">
        <v>25244858327.811146</v>
      </c>
      <c r="G12" s="2">
        <v>17737730287.556717</v>
      </c>
      <c r="H12" s="2">
        <v>17302475001.103039</v>
      </c>
      <c r="I12" s="2">
        <v>16160468556.447409</v>
      </c>
      <c r="J12" s="2">
        <v>15729483943.150959</v>
      </c>
      <c r="K12" s="2">
        <v>15578691688.415327</v>
      </c>
      <c r="L12" s="2">
        <v>12497429016.986017</v>
      </c>
      <c r="M12" s="2">
        <v>11937199440.362509</v>
      </c>
      <c r="N12" s="2">
        <v>11716326775.049555</v>
      </c>
      <c r="O12" s="2">
        <v>10775541865.942225</v>
      </c>
      <c r="P12" s="2">
        <v>10665909247.255299</v>
      </c>
      <c r="Q12" s="2">
        <v>10493530915.986526</v>
      </c>
      <c r="R12" s="2">
        <v>10095259400.50659</v>
      </c>
      <c r="S12" s="2">
        <v>6709826544.6369486</v>
      </c>
      <c r="T12" s="2">
        <v>3710930549.346168</v>
      </c>
      <c r="U12" s="2">
        <v>3232093711.2894864</v>
      </c>
      <c r="V12" s="2">
        <v>2488776799.567132</v>
      </c>
      <c r="W12" s="2">
        <v>2154729140.8596559</v>
      </c>
      <c r="X12" s="2">
        <v>1292837484.5157943</v>
      </c>
      <c r="Y12" s="2">
        <v>1257271525.3167627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1850.6595340831959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577.38068467895425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398.34869509122126</v>
      </c>
      <c r="N16" s="2">
        <f>N5/'Output-Calculation-sheet'!N4*'Output-Calculation-sheet'!N22</f>
        <v>0</v>
      </c>
      <c r="O16" s="2">
        <f>O5/'Output-Calculation-sheet'!O4*'Output-Calculation-sheet'!O22</f>
        <v>359.57940612887347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43.142474550429625</v>
      </c>
      <c r="Y16" s="2">
        <f>Y5/'Output-Calculation-sheet'!Y4*'Output-Calculation-sheet'!Y22</f>
        <v>0</v>
      </c>
      <c r="AA16" s="2">
        <f t="shared" ref="AA16:AA23" si="0">SUM(B16:Y16)/1000</f>
        <v>3.2291107945326742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5261.6838008287832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1551.6288465196244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1071.0901873996486</v>
      </c>
      <c r="N17" s="2">
        <f>N6/'Output-Calculation-sheet'!N5*'Output-Calculation-sheet'!N23</f>
        <v>0</v>
      </c>
      <c r="O17" s="2">
        <f>O6/'Output-Calculation-sheet'!O5*'Output-Calculation-sheet'!O23</f>
        <v>1028.7789608679711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119.09908324580296</v>
      </c>
      <c r="Y17" s="2">
        <f>Y6/'Output-Calculation-sheet'!Y5*'Output-Calculation-sheet'!Y23</f>
        <v>0</v>
      </c>
      <c r="AA17" s="2">
        <f t="shared" si="0"/>
        <v>9.0322808788618296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9815.8604256411891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3109.3070625998366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2144.4455618048505</v>
      </c>
      <c r="N18" s="2">
        <f>N7/'Output-Calculation-sheet'!N6*'Output-Calculation-sheet'!N24</f>
        <v>664.59784636372979</v>
      </c>
      <c r="O18" s="2">
        <f>O7/'Output-Calculation-sheet'!O6*'Output-Calculation-sheet'!O24</f>
        <v>1415.5661484894149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145.29209719637518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240.43569678599329</v>
      </c>
      <c r="Y18" s="2">
        <f>Y7/'Output-Calculation-sheet'!Y6*'Output-Calculation-sheet'!Y24</f>
        <v>0</v>
      </c>
      <c r="AA18" s="2">
        <f t="shared" si="0"/>
        <v>17.535504838881387</v>
      </c>
    </row>
    <row r="19" spans="1:27" x14ac:dyDescent="0.25">
      <c r="A19" s="2">
        <v>2031</v>
      </c>
      <c r="B19" s="2">
        <f>B8/'Output-Calculation-sheet'!B7*'Output-Calculation-sheet'!B25</f>
        <v>1062.4034465893317</v>
      </c>
      <c r="C19" s="2">
        <f>C8/'Output-Calculation-sheet'!C7*'Output-Calculation-sheet'!C25</f>
        <v>14025.319750642497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4766.4942090534414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3312.0160062003138</v>
      </c>
      <c r="N19" s="2">
        <f>N8/'Output-Calculation-sheet'!N7*'Output-Calculation-sheet'!N25</f>
        <v>1133.9252157217427</v>
      </c>
      <c r="O19" s="2">
        <f>O8/'Output-Calculation-sheet'!O7*'Output-Calculation-sheet'!O25</f>
        <v>1810.1935352483674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404.60241731275005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370.05174071934294</v>
      </c>
      <c r="Y19" s="2">
        <f>Y8/'Output-Calculation-sheet'!Y7*'Output-Calculation-sheet'!Y25</f>
        <v>0</v>
      </c>
      <c r="AA19" s="2">
        <f t="shared" si="0"/>
        <v>26.885006321487786</v>
      </c>
    </row>
    <row r="20" spans="1:27" x14ac:dyDescent="0.25">
      <c r="A20" s="2">
        <v>2032</v>
      </c>
      <c r="B20" s="2">
        <f>B9/'Output-Calculation-sheet'!B8*'Output-Calculation-sheet'!B26</f>
        <v>5979.2567118786374</v>
      </c>
      <c r="C20" s="2">
        <f>C9/'Output-Calculation-sheet'!C8*'Output-Calculation-sheet'!C26</f>
        <v>20299.970799108065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6496.9952341719691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4519.7283960978993</v>
      </c>
      <c r="N20" s="2">
        <f>N9/'Output-Calculation-sheet'!N8*'Output-Calculation-sheet'!N26</f>
        <v>2039.847550838291</v>
      </c>
      <c r="O20" s="2">
        <f>O9/'Output-Calculation-sheet'!O8*'Output-Calculation-sheet'!O26</f>
        <v>2140.555565675922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741.33598065095805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505.65640941478262</v>
      </c>
      <c r="Y20" s="2">
        <f>Y9/'Output-Calculation-sheet'!Y8*'Output-Calculation-sheet'!Y26</f>
        <v>0</v>
      </c>
      <c r="AA20" s="2">
        <f t="shared" si="0"/>
        <v>42.723346647836529</v>
      </c>
    </row>
    <row r="21" spans="1:27" x14ac:dyDescent="0.25">
      <c r="A21" s="2">
        <v>2033</v>
      </c>
      <c r="B21" s="2">
        <f>B10/'Output-Calculation-sheet'!B9*'Output-Calculation-sheet'!B27</f>
        <v>14329.397020843102</v>
      </c>
      <c r="C21" s="2">
        <f>C10/'Output-Calculation-sheet'!C9*'Output-Calculation-sheet'!C27</f>
        <v>24608.343953743191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8294.1161157732658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5760.779962485436</v>
      </c>
      <c r="N21" s="2">
        <f>N10/'Output-Calculation-sheet'!N9*'Output-Calculation-sheet'!N27</f>
        <v>3152.1833911251683</v>
      </c>
      <c r="O21" s="2">
        <f>O10/'Output-Calculation-sheet'!O9*'Output-Calculation-sheet'!O27</f>
        <v>2455.2747850561018</v>
      </c>
      <c r="P21" s="2">
        <f>P10/'Output-Calculation-sheet'!P9*'Output-Calculation-sheet'!P27</f>
        <v>0</v>
      </c>
      <c r="Q21" s="2">
        <f>Q10/'Output-Calculation-sheet'!Q9*'Output-Calculation-sheet'!Q27</f>
        <v>214.99978043648269</v>
      </c>
      <c r="R21" s="2">
        <f>R10/'Output-Calculation-sheet'!R9*'Output-Calculation-sheet'!R27</f>
        <v>0</v>
      </c>
      <c r="S21" s="2">
        <f>S10/'Output-Calculation-sheet'!S9*'Output-Calculation-sheet'!S27</f>
        <v>1369.1126683927448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677.41837055927829</v>
      </c>
      <c r="Y21" s="2">
        <f>Y10/'Output-Calculation-sheet'!Y9*'Output-Calculation-sheet'!Y27</f>
        <v>0</v>
      </c>
      <c r="AA21" s="2">
        <f t="shared" si="0"/>
        <v>60.86162604841477</v>
      </c>
    </row>
    <row r="22" spans="1:27" x14ac:dyDescent="0.25">
      <c r="A22" s="2">
        <v>2034</v>
      </c>
      <c r="B22" s="2">
        <f>B11/'Output-Calculation-sheet'!B10*'Output-Calculation-sheet'!B28</f>
        <v>28387.324960287991</v>
      </c>
      <c r="C22" s="2">
        <f>C11/'Output-Calculation-sheet'!C10*'Output-Calculation-sheet'!C28</f>
        <v>27234.073937150763</v>
      </c>
      <c r="D22" s="2">
        <f>D11/'Output-Calculation-sheet'!D10*'Output-Calculation-sheet'!D28</f>
        <v>0</v>
      </c>
      <c r="E22" s="2">
        <f>E11/'Output-Calculation-sheet'!E10*'Output-Calculation-sheet'!E28</f>
        <v>1454.5230023862239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10392.471072888791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867.32631195579052</v>
      </c>
      <c r="M22" s="2">
        <f>M11/'Output-Calculation-sheet'!M10*'Output-Calculation-sheet'!M28</f>
        <v>7577.0249441628857</v>
      </c>
      <c r="N22" s="2">
        <f>N11/'Output-Calculation-sheet'!N10*'Output-Calculation-sheet'!N28</f>
        <v>4521.8789450697241</v>
      </c>
      <c r="O22" s="2">
        <f>O11/'Output-Calculation-sheet'!O10*'Output-Calculation-sheet'!O28</f>
        <v>2794.8172186196957</v>
      </c>
      <c r="P22" s="2">
        <f>P11/'Output-Calculation-sheet'!P10*'Output-Calculation-sheet'!P28</f>
        <v>0</v>
      </c>
      <c r="Q22" s="2">
        <f>Q11/'Output-Calculation-sheet'!Q10*'Output-Calculation-sheet'!Q28</f>
        <v>1027.2293713217716</v>
      </c>
      <c r="R22" s="2">
        <f>R11/'Output-Calculation-sheet'!R10*'Output-Calculation-sheet'!R28</f>
        <v>0</v>
      </c>
      <c r="S22" s="2">
        <f>S11/'Output-Calculation-sheet'!S10*'Output-Calculation-sheet'!S28</f>
        <v>2306.7959473546371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760.86219845874882</v>
      </c>
      <c r="Y22" s="2">
        <f>Y11/'Output-Calculation-sheet'!Y10*'Output-Calculation-sheet'!Y28</f>
        <v>78.92183709347853</v>
      </c>
      <c r="AA22" s="2">
        <f t="shared" si="0"/>
        <v>87.403249746750504</v>
      </c>
    </row>
    <row r="23" spans="1:27" x14ac:dyDescent="0.25">
      <c r="A23" s="2">
        <v>2035</v>
      </c>
      <c r="B23" s="2">
        <f>B12/'Output-Calculation-sheet'!B11*'Output-Calculation-sheet'!B29</f>
        <v>35208.531643871305</v>
      </c>
      <c r="C23" s="2">
        <f>C12/'Output-Calculation-sheet'!C11*'Output-Calculation-sheet'!C29</f>
        <v>28757.890286647948</v>
      </c>
      <c r="D23" s="2">
        <f>D12/'Output-Calculation-sheet'!D11*'Output-Calculation-sheet'!D29</f>
        <v>0</v>
      </c>
      <c r="E23" s="2">
        <f>E12/'Output-Calculation-sheet'!E11*'Output-Calculation-sheet'!E29</f>
        <v>5428.2964928464853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11070.266207084165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1230.5510116384203</v>
      </c>
      <c r="M23" s="2">
        <f>M12/'Output-Calculation-sheet'!M11*'Output-Calculation-sheet'!M29</f>
        <v>8110.7218580153049</v>
      </c>
      <c r="N23" s="2">
        <f>N12/'Output-Calculation-sheet'!N11*'Output-Calculation-sheet'!N29</f>
        <v>4731.4364738918457</v>
      </c>
      <c r="O23" s="2">
        <f>O12/'Output-Calculation-sheet'!O11*'Output-Calculation-sheet'!O29</f>
        <v>3189.5698320999668</v>
      </c>
      <c r="P23" s="2">
        <f>P12/'Output-Calculation-sheet'!P11*'Output-Calculation-sheet'!P29</f>
        <v>577.858335189223</v>
      </c>
      <c r="Q23" s="2">
        <f>Q12/'Output-Calculation-sheet'!Q11*'Output-Calculation-sheet'!Q29</f>
        <v>1297.2855065878421</v>
      </c>
      <c r="R23" s="2">
        <f>R12/'Output-Calculation-sheet'!R11*'Output-Calculation-sheet'!R29</f>
        <v>0</v>
      </c>
      <c r="S23" s="2">
        <f>S12/'Output-Calculation-sheet'!S11*'Output-Calculation-sheet'!S29</f>
        <v>2532.7387501843682</v>
      </c>
      <c r="T23" s="2">
        <f>T12/'Output-Calculation-sheet'!T11*'Output-Calculation-sheet'!T29</f>
        <v>0</v>
      </c>
      <c r="U23" s="2">
        <f>U12/'Output-Calculation-sheet'!U11*'Output-Calculation-sheet'!U29</f>
        <v>110.44627453842371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803.49319654419764</v>
      </c>
      <c r="Y23" s="2">
        <f>Y12/'Output-Calculation-sheet'!Y11*'Output-Calculation-sheet'!Y29</f>
        <v>237.87885425849072</v>
      </c>
      <c r="AA23" s="2">
        <f t="shared" si="0"/>
        <v>103.28696472339797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2336.2795538332343</v>
      </c>
      <c r="C27" s="2">
        <f>C5/'Output-Calculation-sheet'!C4*'Output-Calculation-sheet'!C13</f>
        <v>0</v>
      </c>
      <c r="D27" s="2">
        <f>D5/'Output-Calculation-sheet'!D4*'Output-Calculation-sheet'!D13</f>
        <v>417.3490220932062</v>
      </c>
      <c r="E27" s="2">
        <f>E5/'Output-Calculation-sheet'!E4*'Output-Calculation-sheet'!E13</f>
        <v>449.01598760657197</v>
      </c>
      <c r="F27" s="2">
        <f>F5/'Output-Calculation-sheet'!F4*'Output-Calculation-sheet'!F13</f>
        <v>226.54986742942003</v>
      </c>
      <c r="G27" s="2">
        <f>G5/'Output-Calculation-sheet'!G4*'Output-Calculation-sheet'!G13</f>
        <v>148.35638298524847</v>
      </c>
      <c r="H27" s="2">
        <f>H5/'Output-Calculation-sheet'!H4*'Output-Calculation-sheet'!H13</f>
        <v>0</v>
      </c>
      <c r="I27" s="2">
        <f>I5/'Output-Calculation-sheet'!I4*'Output-Calculation-sheet'!I13</f>
        <v>144.62864690300205</v>
      </c>
      <c r="J27" s="2">
        <f>J5/'Output-Calculation-sheet'!J4*'Output-Calculation-sheet'!J13</f>
        <v>128.74764243636827</v>
      </c>
      <c r="K27" s="2">
        <f>K5/'Output-Calculation-sheet'!K4*'Output-Calculation-sheet'!K13</f>
        <v>171.89490677747332</v>
      </c>
      <c r="L27" s="2">
        <f>L5/'Output-Calculation-sheet'!L4*'Output-Calculation-sheet'!L13</f>
        <v>145.19547581060485</v>
      </c>
      <c r="M27" s="2">
        <f>M5/'Output-Calculation-sheet'!M4*'Output-Calculation-sheet'!M13</f>
        <v>0</v>
      </c>
      <c r="N27" s="2">
        <f>N5/'Output-Calculation-sheet'!N4*'Output-Calculation-sheet'!N13</f>
        <v>278.68633088122652</v>
      </c>
      <c r="O27" s="2">
        <f>O5/'Output-Calculation-sheet'!O4*'Output-Calculation-sheet'!O13</f>
        <v>0</v>
      </c>
      <c r="P27" s="2">
        <f>P5/'Output-Calculation-sheet'!P4*'Output-Calculation-sheet'!P13</f>
        <v>170.25460187077002</v>
      </c>
      <c r="Q27" s="2">
        <f>Q5/'Output-Calculation-sheet'!Q4*'Output-Calculation-sheet'!Q13</f>
        <v>189.47473795616474</v>
      </c>
      <c r="R27" s="2">
        <f>R5/'Output-Calculation-sheet'!R4*'Output-Calculation-sheet'!R13</f>
        <v>128.09305084483944</v>
      </c>
      <c r="S27" s="2">
        <f>S5/'Output-Calculation-sheet'!S4*'Output-Calculation-sheet'!S13</f>
        <v>147.83866089292081</v>
      </c>
      <c r="T27" s="2">
        <f>T5/'Output-Calculation-sheet'!T4*'Output-Calculation-sheet'!T13</f>
        <v>38.824910069583346</v>
      </c>
      <c r="U27" s="2">
        <f>U5/'Output-Calculation-sheet'!U4*'Output-Calculation-sheet'!U13</f>
        <v>38.756890874304347</v>
      </c>
      <c r="V27" s="2">
        <f>V5/'Output-Calculation-sheet'!V4*'Output-Calculation-sheet'!V13</f>
        <v>30.163741540282189</v>
      </c>
      <c r="W27" s="2">
        <f>W5/'Output-Calculation-sheet'!W4*'Output-Calculation-sheet'!W13</f>
        <v>18.294724247388917</v>
      </c>
      <c r="X27" s="2">
        <f>X5/'Output-Calculation-sheet'!X4*'Output-Calculation-sheet'!X13</f>
        <v>0</v>
      </c>
      <c r="Y27" s="2">
        <f>Y5/'Output-Calculation-sheet'!Y4*'Output-Calculation-sheet'!Y13</f>
        <v>15.468317945121104</v>
      </c>
      <c r="AA27" s="2">
        <f t="shared" ref="AA27:AA34" si="1">SUM(B27:Y27)/1000</f>
        <v>5.2238734529977293</v>
      </c>
    </row>
    <row r="28" spans="1:27" x14ac:dyDescent="0.25">
      <c r="A28" s="2">
        <v>2029</v>
      </c>
      <c r="B28" s="2">
        <f>B6/'Output-Calculation-sheet'!B5*'Output-Calculation-sheet'!B14</f>
        <v>6212.843182130503</v>
      </c>
      <c r="C28" s="2">
        <f>C6/'Output-Calculation-sheet'!C5*'Output-Calculation-sheet'!C14</f>
        <v>0</v>
      </c>
      <c r="D28" s="2">
        <f>D6/'Output-Calculation-sheet'!D5*'Output-Calculation-sheet'!D14</f>
        <v>1109.7722278118511</v>
      </c>
      <c r="E28" s="2">
        <f>E6/'Output-Calculation-sheet'!E5*'Output-Calculation-sheet'!E14</f>
        <v>1194.0822533988289</v>
      </c>
      <c r="F28" s="2">
        <f>F6/'Output-Calculation-sheet'!F5*'Output-Calculation-sheet'!F14</f>
        <v>602.42085087638884</v>
      </c>
      <c r="G28" s="2">
        <f>G6/'Output-Calculation-sheet'!G5*'Output-Calculation-sheet'!G14</f>
        <v>394.51410682638539</v>
      </c>
      <c r="H28" s="2">
        <f>H6/'Output-Calculation-sheet'!H5*'Output-Calculation-sheet'!H14</f>
        <v>0</v>
      </c>
      <c r="I28" s="2">
        <f>I6/'Output-Calculation-sheet'!I5*'Output-Calculation-sheet'!I14</f>
        <v>384.60119009587874</v>
      </c>
      <c r="J28" s="2">
        <f>J6/'Output-Calculation-sheet'!J5*'Output-Calculation-sheet'!J14</f>
        <v>342.35207973187318</v>
      </c>
      <c r="K28" s="2">
        <f>K6/'Output-Calculation-sheet'!K5*'Output-Calculation-sheet'!K14</f>
        <v>457.10851296544973</v>
      </c>
      <c r="L28" s="2">
        <f>L6/'Output-Calculation-sheet'!L5*'Output-Calculation-sheet'!L14</f>
        <v>386.10851991685803</v>
      </c>
      <c r="M28" s="2">
        <f>M6/'Output-Calculation-sheet'!M5*'Output-Calculation-sheet'!M14</f>
        <v>0</v>
      </c>
      <c r="N28" s="2">
        <f>N6/'Output-Calculation-sheet'!N5*'Output-Calculation-sheet'!N14</f>
        <v>741.10485393629119</v>
      </c>
      <c r="O28" s="2">
        <f>O6/'Output-Calculation-sheet'!O5*'Output-Calculation-sheet'!O14</f>
        <v>0</v>
      </c>
      <c r="P28" s="2">
        <f>P6/'Output-Calculation-sheet'!P5*'Output-Calculation-sheet'!P14</f>
        <v>452.74656094040381</v>
      </c>
      <c r="Q28" s="2">
        <f>Q6/'Output-Calculation-sheet'!Q5*'Output-Calculation-sheet'!Q14</f>
        <v>503.86886662982977</v>
      </c>
      <c r="R28" s="2">
        <f>R6/'Output-Calculation-sheet'!R5*'Output-Calculation-sheet'!R14</f>
        <v>340.62919658632683</v>
      </c>
      <c r="S28" s="2">
        <f>S6/'Output-Calculation-sheet'!S5*'Output-Calculation-sheet'!S14</f>
        <v>393.14488501068331</v>
      </c>
      <c r="T28" s="2">
        <f>T6/'Output-Calculation-sheet'!T5*'Output-Calculation-sheet'!T14</f>
        <v>103.24446047083413</v>
      </c>
      <c r="U28" s="2">
        <f>U6/'Output-Calculation-sheet'!U5*'Output-Calculation-sheet'!U14</f>
        <v>103.05991361578518</v>
      </c>
      <c r="V28" s="2">
        <f>V6/'Output-Calculation-sheet'!V5*'Output-Calculation-sheet'!V14</f>
        <v>80.209571755682759</v>
      </c>
      <c r="W28" s="2">
        <f>W6/'Output-Calculation-sheet'!W5*'Output-Calculation-sheet'!W14</f>
        <v>48.652373412955463</v>
      </c>
      <c r="X28" s="2">
        <f>X6/'Output-Calculation-sheet'!X5*'Output-Calculation-sheet'!X14</f>
        <v>0</v>
      </c>
      <c r="Y28" s="2">
        <f>Y6/'Output-Calculation-sheet'!Y5*'Output-Calculation-sheet'!Y14</f>
        <v>41.13385292517404</v>
      </c>
      <c r="AA28" s="2">
        <f t="shared" si="1"/>
        <v>13.891597459037982</v>
      </c>
    </row>
    <row r="29" spans="1:27" x14ac:dyDescent="0.25">
      <c r="A29" s="2">
        <v>2030</v>
      </c>
      <c r="B29" s="2">
        <f>B7/'Output-Calculation-sheet'!B6*'Output-Calculation-sheet'!B15</f>
        <v>11616.730180549072</v>
      </c>
      <c r="C29" s="2">
        <f>C7/'Output-Calculation-sheet'!C6*'Output-Calculation-sheet'!C15</f>
        <v>0</v>
      </c>
      <c r="D29" s="2">
        <f>D7/'Output-Calculation-sheet'!D6*'Output-Calculation-sheet'!D15</f>
        <v>2032.1215168953299</v>
      </c>
      <c r="E29" s="2">
        <f>E7/'Output-Calculation-sheet'!E6*'Output-Calculation-sheet'!E15</f>
        <v>2186.4391918240967</v>
      </c>
      <c r="F29" s="2">
        <f>F7/'Output-Calculation-sheet'!F6*'Output-Calculation-sheet'!F15</f>
        <v>1103.1009034218368</v>
      </c>
      <c r="G29" s="2">
        <f>G7/'Output-Calculation-sheet'!G6*'Output-Calculation-sheet'!G15</f>
        <v>722.38891997434996</v>
      </c>
      <c r="H29" s="2">
        <f>H7/'Output-Calculation-sheet'!H6*'Output-Calculation-sheet'!H15</f>
        <v>0</v>
      </c>
      <c r="I29" s="2">
        <f>I7/'Output-Calculation-sheet'!I6*'Output-Calculation-sheet'!I15</f>
        <v>704.23752541877388</v>
      </c>
      <c r="J29" s="2">
        <f>J7/'Output-Calculation-sheet'!J6*'Output-Calculation-sheet'!J15</f>
        <v>626.88668865865975</v>
      </c>
      <c r="K29" s="2">
        <f>K7/'Output-Calculation-sheet'!K6*'Output-Calculation-sheet'!K15</f>
        <v>837.0262200790761</v>
      </c>
      <c r="L29" s="2">
        <f>L7/'Output-Calculation-sheet'!L6*'Output-Calculation-sheet'!L15</f>
        <v>707.01476024054239</v>
      </c>
      <c r="M29" s="2">
        <f>M7/'Output-Calculation-sheet'!M6*'Output-Calculation-sheet'!M15</f>
        <v>0</v>
      </c>
      <c r="N29" s="2">
        <f>N7/'Output-Calculation-sheet'!N6*'Output-Calculation-sheet'!N15</f>
        <v>912.18024565140388</v>
      </c>
      <c r="O29" s="2">
        <f>O7/'Output-Calculation-sheet'!O6*'Output-Calculation-sheet'!O15</f>
        <v>0</v>
      </c>
      <c r="P29" s="2">
        <f>P7/'Output-Calculation-sheet'!P6*'Output-Calculation-sheet'!P15</f>
        <v>829.01750158143022</v>
      </c>
      <c r="Q29" s="2">
        <f>Q7/'Output-Calculation-sheet'!Q6*'Output-Calculation-sheet'!Q15</f>
        <v>934.14147484604746</v>
      </c>
      <c r="R29" s="2">
        <f>R7/'Output-Calculation-sheet'!R6*'Output-Calculation-sheet'!R15</f>
        <v>623.72106136629043</v>
      </c>
      <c r="S29" s="2">
        <f>S7/'Output-Calculation-sheet'!S6*'Output-Calculation-sheet'!S15</f>
        <v>644.23786651817909</v>
      </c>
      <c r="T29" s="2">
        <f>T7/'Output-Calculation-sheet'!T6*'Output-Calculation-sheet'!T15</f>
        <v>189.0493977334049</v>
      </c>
      <c r="U29" s="2">
        <f>U7/'Output-Calculation-sheet'!U6*'Output-Calculation-sheet'!U15</f>
        <v>188.71371553813944</v>
      </c>
      <c r="V29" s="2">
        <f>V7/'Output-Calculation-sheet'!V6*'Output-Calculation-sheet'!V15</f>
        <v>146.87228154625217</v>
      </c>
      <c r="W29" s="2">
        <f>W7/'Output-Calculation-sheet'!W6*'Output-Calculation-sheet'!W15</f>
        <v>89.085143292634385</v>
      </c>
      <c r="X29" s="2">
        <f>X7/'Output-Calculation-sheet'!X6*'Output-Calculation-sheet'!X15</f>
        <v>0</v>
      </c>
      <c r="Y29" s="2">
        <f>Y7/'Output-Calculation-sheet'!Y6*'Output-Calculation-sheet'!Y15</f>
        <v>75.31958699280888</v>
      </c>
      <c r="AA29" s="2">
        <f t="shared" si="1"/>
        <v>25.168284182128328</v>
      </c>
    </row>
    <row r="30" spans="1:27" x14ac:dyDescent="0.25">
      <c r="A30" s="2">
        <v>2031</v>
      </c>
      <c r="B30" s="2">
        <f>B8/'Output-Calculation-sheet'!B7*'Output-Calculation-sheet'!B16</f>
        <v>18517.346956163343</v>
      </c>
      <c r="C30" s="2">
        <f>C8/'Output-Calculation-sheet'!C7*'Output-Calculation-sheet'!C16</f>
        <v>0</v>
      </c>
      <c r="D30" s="2">
        <f>D8/'Output-Calculation-sheet'!D7*'Output-Calculation-sheet'!D16</f>
        <v>3118.0764344784916</v>
      </c>
      <c r="E30" s="2">
        <f>E8/'Output-Calculation-sheet'!E7*'Output-Calculation-sheet'!E16</f>
        <v>3354.8740788592727</v>
      </c>
      <c r="F30" s="2">
        <f>F8/'Output-Calculation-sheet'!F7*'Output-Calculation-sheet'!F16</f>
        <v>1692.551824982618</v>
      </c>
      <c r="G30" s="2">
        <f>G8/'Output-Calculation-sheet'!G7*'Output-Calculation-sheet'!G16</f>
        <v>1108.420418249101</v>
      </c>
      <c r="H30" s="2">
        <f>H8/'Output-Calculation-sheet'!H7*'Output-Calculation-sheet'!H16</f>
        <v>0</v>
      </c>
      <c r="I30" s="2">
        <f>I8/'Output-Calculation-sheet'!I7*'Output-Calculation-sheet'!I16</f>
        <v>1080.5439425531615</v>
      </c>
      <c r="J30" s="2">
        <f>J8/'Output-Calculation-sheet'!J7*'Output-Calculation-sheet'!J16</f>
        <v>961.89187997831584</v>
      </c>
      <c r="K30" s="2">
        <f>K8/'Output-Calculation-sheet'!K7*'Output-Calculation-sheet'!K16</f>
        <v>1284.3095156006209</v>
      </c>
      <c r="L30" s="2">
        <f>L8/'Output-Calculation-sheet'!L7*'Output-Calculation-sheet'!L16</f>
        <v>1084.8239949056795</v>
      </c>
      <c r="M30" s="2">
        <f>M8/'Output-Calculation-sheet'!M7*'Output-Calculation-sheet'!M16</f>
        <v>0</v>
      </c>
      <c r="N30" s="2">
        <f>N8/'Output-Calculation-sheet'!N7*'Output-Calculation-sheet'!N16</f>
        <v>1540.9010896739892</v>
      </c>
      <c r="O30" s="2">
        <f>O8/'Output-Calculation-sheet'!O7*'Output-Calculation-sheet'!O16</f>
        <v>0</v>
      </c>
      <c r="P30" s="2">
        <f>P8/'Output-Calculation-sheet'!P7*'Output-Calculation-sheet'!P16</f>
        <v>1384.9113383965396</v>
      </c>
      <c r="Q30" s="2">
        <f>Q8/'Output-Calculation-sheet'!Q7*'Output-Calculation-sheet'!Q16</f>
        <v>1522.9450916462438</v>
      </c>
      <c r="R30" s="2">
        <f>R8/'Output-Calculation-sheet'!R7*'Output-Calculation-sheet'!R16</f>
        <v>966.31527995393321</v>
      </c>
      <c r="S30" s="2">
        <f>S8/'Output-Calculation-sheet'!S7*'Output-Calculation-sheet'!S16</f>
        <v>971.82981647185261</v>
      </c>
      <c r="T30" s="2">
        <f>T8/'Output-Calculation-sheet'!T7*'Output-Calculation-sheet'!T16</f>
        <v>290.07395699375024</v>
      </c>
      <c r="U30" s="2">
        <f>U8/'Output-Calculation-sheet'!U7*'Output-Calculation-sheet'!U16</f>
        <v>289.55545715123401</v>
      </c>
      <c r="V30" s="2">
        <f>V8/'Output-Calculation-sheet'!V7*'Output-Calculation-sheet'!V16</f>
        <v>225.35550829400415</v>
      </c>
      <c r="W30" s="2">
        <f>W8/'Output-Calculation-sheet'!W7*'Output-Calculation-sheet'!W16</f>
        <v>136.68947652296612</v>
      </c>
      <c r="X30" s="2">
        <f>X8/'Output-Calculation-sheet'!X7*'Output-Calculation-sheet'!X16</f>
        <v>0</v>
      </c>
      <c r="Y30" s="2">
        <f>Y8/'Output-Calculation-sheet'!Y7*'Output-Calculation-sheet'!Y16</f>
        <v>115.69210201273341</v>
      </c>
      <c r="AA30" s="2">
        <f t="shared" si="1"/>
        <v>39.647108162887847</v>
      </c>
    </row>
    <row r="31" spans="1:27" x14ac:dyDescent="0.25">
      <c r="A31" s="2">
        <v>2032</v>
      </c>
      <c r="B31" s="2">
        <f>B9/'Output-Calculation-sheet'!B8*'Output-Calculation-sheet'!B17</f>
        <v>25318.148389720234</v>
      </c>
      <c r="C31" s="2">
        <f>C9/'Output-Calculation-sheet'!C8*'Output-Calculation-sheet'!C17</f>
        <v>0</v>
      </c>
      <c r="D31" s="2">
        <f>D9/'Output-Calculation-sheet'!D8*'Output-Calculation-sheet'!D17</f>
        <v>4246.1859031176382</v>
      </c>
      <c r="E31" s="2">
        <f>E9/'Output-Calculation-sheet'!E8*'Output-Calculation-sheet'!E17</f>
        <v>4990.8113803225851</v>
      </c>
      <c r="F31" s="2">
        <f>F9/'Output-Calculation-sheet'!F8*'Output-Calculation-sheet'!F17</f>
        <v>2304.9674715369933</v>
      </c>
      <c r="G31" s="2">
        <f>G9/'Output-Calculation-sheet'!G8*'Output-Calculation-sheet'!G17</f>
        <v>1509.4659441931481</v>
      </c>
      <c r="H31" s="2">
        <f>H9/'Output-Calculation-sheet'!H8*'Output-Calculation-sheet'!H17</f>
        <v>0</v>
      </c>
      <c r="I31" s="2">
        <f>I9/'Output-Calculation-sheet'!I8*'Output-Calculation-sheet'!I17</f>
        <v>1471.5101737256446</v>
      </c>
      <c r="J31" s="2">
        <f>J9/'Output-Calculation-sheet'!J8*'Output-Calculation-sheet'!J17</f>
        <v>1309.9276878549144</v>
      </c>
      <c r="K31" s="2">
        <f>K9/'Output-Calculation-sheet'!K8*'Output-Calculation-sheet'!K17</f>
        <v>1864.9892227784455</v>
      </c>
      <c r="L31" s="2">
        <f>L9/'Output-Calculation-sheet'!L8*'Output-Calculation-sheet'!L17</f>
        <v>1590.5079502139633</v>
      </c>
      <c r="M31" s="2">
        <f>M9/'Output-Calculation-sheet'!M8*'Output-Calculation-sheet'!M17</f>
        <v>0</v>
      </c>
      <c r="N31" s="2">
        <f>N9/'Output-Calculation-sheet'!N8*'Output-Calculation-sheet'!N17</f>
        <v>1729.0448126043798</v>
      </c>
      <c r="O31" s="2">
        <f>O9/'Output-Calculation-sheet'!O8*'Output-Calculation-sheet'!O17</f>
        <v>0</v>
      </c>
      <c r="P31" s="2">
        <f>P9/'Output-Calculation-sheet'!P8*'Output-Calculation-sheet'!P17</f>
        <v>2146.0129793310434</v>
      </c>
      <c r="Q31" s="2">
        <f>Q9/'Output-Calculation-sheet'!Q8*'Output-Calculation-sheet'!Q17</f>
        <v>2287.8470050931437</v>
      </c>
      <c r="R31" s="2">
        <f>R9/'Output-Calculation-sheet'!R8*'Output-Calculation-sheet'!R17</f>
        <v>1496.8304220443267</v>
      </c>
      <c r="S31" s="2">
        <f>S9/'Output-Calculation-sheet'!S8*'Output-Calculation-sheet'!S17</f>
        <v>1287.9561520983298</v>
      </c>
      <c r="T31" s="2">
        <f>T9/'Output-Calculation-sheet'!T8*'Output-Calculation-sheet'!T17</f>
        <v>406.17587097412604</v>
      </c>
      <c r="U31" s="2">
        <f>U9/'Output-Calculation-sheet'!U8*'Output-Calculation-sheet'!U17</f>
        <v>466.82556525126097</v>
      </c>
      <c r="V31" s="2">
        <f>V9/'Output-Calculation-sheet'!V8*'Output-Calculation-sheet'!V17</f>
        <v>334.36500202277091</v>
      </c>
      <c r="W31" s="2">
        <f>W9/'Output-Calculation-sheet'!W8*'Output-Calculation-sheet'!W17</f>
        <v>186.14888572668326</v>
      </c>
      <c r="X31" s="2">
        <f>X9/'Output-Calculation-sheet'!X8*'Output-Calculation-sheet'!X17</f>
        <v>0</v>
      </c>
      <c r="Y31" s="2">
        <f>Y9/'Output-Calculation-sheet'!Y8*'Output-Calculation-sheet'!Y17</f>
        <v>179.86015324372917</v>
      </c>
      <c r="AA31" s="2">
        <f t="shared" si="1"/>
        <v>55.127580971853348</v>
      </c>
    </row>
    <row r="32" spans="1:27" x14ac:dyDescent="0.25">
      <c r="A32" s="2">
        <v>2033</v>
      </c>
      <c r="B32" s="2">
        <f>B10/'Output-Calculation-sheet'!B9*'Output-Calculation-sheet'!B18</f>
        <v>29090.446502825755</v>
      </c>
      <c r="C32" s="2">
        <f>C10/'Output-Calculation-sheet'!C9*'Output-Calculation-sheet'!C18</f>
        <v>0</v>
      </c>
      <c r="D32" s="2">
        <f>D10/'Output-Calculation-sheet'!D9*'Output-Calculation-sheet'!D18</f>
        <v>5588.1775188717584</v>
      </c>
      <c r="E32" s="2">
        <f>E10/'Output-Calculation-sheet'!E9*'Output-Calculation-sheet'!E18</f>
        <v>7806.3995997816646</v>
      </c>
      <c r="F32" s="2">
        <f>F10/'Output-Calculation-sheet'!F9*'Output-Calculation-sheet'!F18</f>
        <v>3151.3342451700391</v>
      </c>
      <c r="G32" s="2">
        <f>G10/'Output-Calculation-sheet'!G9*'Output-Calculation-sheet'!G18</f>
        <v>1965.9412757708799</v>
      </c>
      <c r="H32" s="2">
        <f>H10/'Output-Calculation-sheet'!H9*'Output-Calculation-sheet'!H18</f>
        <v>0</v>
      </c>
      <c r="I32" s="2">
        <f>I10/'Output-Calculation-sheet'!I9*'Output-Calculation-sheet'!I18</f>
        <v>2075.5723450713767</v>
      </c>
      <c r="J32" s="2">
        <f>J10/'Output-Calculation-sheet'!J9*'Output-Calculation-sheet'!J18</f>
        <v>1665.9214116643161</v>
      </c>
      <c r="K32" s="2">
        <f>K10/'Output-Calculation-sheet'!K9*'Output-Calculation-sheet'!K18</f>
        <v>2772.7214075777124</v>
      </c>
      <c r="L32" s="2">
        <f>L10/'Output-Calculation-sheet'!L9*'Output-Calculation-sheet'!L18</f>
        <v>2395.1785044327321</v>
      </c>
      <c r="M32" s="2">
        <f>M10/'Output-Calculation-sheet'!M9*'Output-Calculation-sheet'!M18</f>
        <v>0</v>
      </c>
      <c r="N32" s="2">
        <f>N10/'Output-Calculation-sheet'!N9*'Output-Calculation-sheet'!N18</f>
        <v>1772.6708493758406</v>
      </c>
      <c r="O32" s="2">
        <f>O10/'Output-Calculation-sheet'!O9*'Output-Calculation-sheet'!O18</f>
        <v>0</v>
      </c>
      <c r="P32" s="2">
        <f>P10/'Output-Calculation-sheet'!P9*'Output-Calculation-sheet'!P18</f>
        <v>2853.9693213593555</v>
      </c>
      <c r="Q32" s="2">
        <f>Q10/'Output-Calculation-sheet'!Q9*'Output-Calculation-sheet'!Q18</f>
        <v>3106.6256218802164</v>
      </c>
      <c r="R32" s="2">
        <f>R10/'Output-Calculation-sheet'!R9*'Output-Calculation-sheet'!R18</f>
        <v>2049.2981987032572</v>
      </c>
      <c r="S32" s="2">
        <f>S10/'Output-Calculation-sheet'!S9*'Output-Calculation-sheet'!S18</f>
        <v>1344.7613924743694</v>
      </c>
      <c r="T32" s="2">
        <f>T10/'Output-Calculation-sheet'!T9*'Output-Calculation-sheet'!T18</f>
        <v>598.1758692219264</v>
      </c>
      <c r="U32" s="2">
        <f>U10/'Output-Calculation-sheet'!U9*'Output-Calculation-sheet'!U18</f>
        <v>661.57570012589713</v>
      </c>
      <c r="V32" s="2">
        <f>V10/'Output-Calculation-sheet'!V9*'Output-Calculation-sheet'!V18</f>
        <v>488.55926002690529</v>
      </c>
      <c r="W32" s="2">
        <f>W10/'Output-Calculation-sheet'!W9*'Output-Calculation-sheet'!W18</f>
        <v>243.7073443046155</v>
      </c>
      <c r="X32" s="2">
        <f>X10/'Output-Calculation-sheet'!X9*'Output-Calculation-sheet'!X18</f>
        <v>0</v>
      </c>
      <c r="Y32" s="2">
        <f>Y10/'Output-Calculation-sheet'!Y9*'Output-Calculation-sheet'!Y18</f>
        <v>283.018728118561</v>
      </c>
      <c r="AA32" s="2">
        <f t="shared" si="1"/>
        <v>69.914055096757181</v>
      </c>
    </row>
    <row r="33" spans="1:27" x14ac:dyDescent="0.25">
      <c r="A33" s="2">
        <v>2034</v>
      </c>
      <c r="B33" s="2">
        <f>B11/'Output-Calculation-sheet'!B10*'Output-Calculation-sheet'!B19</f>
        <v>28633.123035015371</v>
      </c>
      <c r="C33" s="2">
        <f>C11/'Output-Calculation-sheet'!C10*'Output-Calculation-sheet'!C19</f>
        <v>0</v>
      </c>
      <c r="D33" s="2">
        <f>D11/'Output-Calculation-sheet'!D10*'Output-Calculation-sheet'!D19</f>
        <v>8540.9461111529326</v>
      </c>
      <c r="E33" s="2">
        <f>E11/'Output-Calculation-sheet'!E10*'Output-Calculation-sheet'!E19</f>
        <v>10578.532873593074</v>
      </c>
      <c r="F33" s="2">
        <f>F11/'Output-Calculation-sheet'!F10*'Output-Calculation-sheet'!F19</f>
        <v>4854.1874974876837</v>
      </c>
      <c r="G33" s="2">
        <f>G11/'Output-Calculation-sheet'!G10*'Output-Calculation-sheet'!G19</f>
        <v>2907.2572776859388</v>
      </c>
      <c r="H33" s="2">
        <f>H11/'Output-Calculation-sheet'!H10*'Output-Calculation-sheet'!H19</f>
        <v>0</v>
      </c>
      <c r="I33" s="2">
        <f>I11/'Output-Calculation-sheet'!I10*'Output-Calculation-sheet'!I19</f>
        <v>3172.2253818214758</v>
      </c>
      <c r="J33" s="2">
        <f>J11/'Output-Calculation-sheet'!J10*'Output-Calculation-sheet'!J19</f>
        <v>2682.3209802853762</v>
      </c>
      <c r="K33" s="2">
        <f>K11/'Output-Calculation-sheet'!K10*'Output-Calculation-sheet'!K19</f>
        <v>3722.1074342434686</v>
      </c>
      <c r="L33" s="2">
        <f>L11/'Output-Calculation-sheet'!L10*'Output-Calculation-sheet'!L19</f>
        <v>3026.960039781075</v>
      </c>
      <c r="M33" s="2">
        <f>M11/'Output-Calculation-sheet'!M10*'Output-Calculation-sheet'!M19</f>
        <v>0</v>
      </c>
      <c r="N33" s="2">
        <f>N11/'Output-Calculation-sheet'!N10*'Output-Calculation-sheet'!N19</f>
        <v>1711.6172807412895</v>
      </c>
      <c r="O33" s="2">
        <f>O11/'Output-Calculation-sheet'!O10*'Output-Calculation-sheet'!O19</f>
        <v>0</v>
      </c>
      <c r="P33" s="2">
        <f>P11/'Output-Calculation-sheet'!P10*'Output-Calculation-sheet'!P19</f>
        <v>3766.116138346048</v>
      </c>
      <c r="Q33" s="2">
        <f>Q11/'Output-Calculation-sheet'!Q10*'Output-Calculation-sheet'!Q19</f>
        <v>3101.3571016821465</v>
      </c>
      <c r="R33" s="2">
        <f>R11/'Output-Calculation-sheet'!R10*'Output-Calculation-sheet'!R19</f>
        <v>2688.9462200607318</v>
      </c>
      <c r="S33" s="2">
        <f>S11/'Output-Calculation-sheet'!S10*'Output-Calculation-sheet'!S19</f>
        <v>1253.4920486791673</v>
      </c>
      <c r="T33" s="2">
        <f>T11/'Output-Calculation-sheet'!T10*'Output-Calculation-sheet'!T19</f>
        <v>789.01477010085318</v>
      </c>
      <c r="U33" s="2">
        <f>U11/'Output-Calculation-sheet'!U10*'Output-Calculation-sheet'!U19</f>
        <v>908.08803188642094</v>
      </c>
      <c r="V33" s="2">
        <f>V11/'Output-Calculation-sheet'!V10*'Output-Calculation-sheet'!V19</f>
        <v>618.74157177142024</v>
      </c>
      <c r="W33" s="2">
        <f>W11/'Output-Calculation-sheet'!W10*'Output-Calculation-sheet'!W19</f>
        <v>385.85565171975969</v>
      </c>
      <c r="X33" s="2">
        <f>X11/'Output-Calculation-sheet'!X10*'Output-Calculation-sheet'!X19</f>
        <v>111.56995952625236</v>
      </c>
      <c r="Y33" s="2">
        <f>Y11/'Output-Calculation-sheet'!Y10*'Output-Calculation-sheet'!Y19</f>
        <v>347.25608321130557</v>
      </c>
      <c r="AA33" s="2">
        <f t="shared" si="1"/>
        <v>83.799715488791804</v>
      </c>
    </row>
    <row r="34" spans="1:27" x14ac:dyDescent="0.25">
      <c r="A34" s="2">
        <v>2035</v>
      </c>
      <c r="B34" s="2">
        <f>B12/'Output-Calculation-sheet'!B11*'Output-Calculation-sheet'!B20</f>
        <v>28022.174577901656</v>
      </c>
      <c r="C34" s="2">
        <f>C12/'Output-Calculation-sheet'!C11*'Output-Calculation-sheet'!C20</f>
        <v>0</v>
      </c>
      <c r="D34" s="2">
        <f>D12/'Output-Calculation-sheet'!D11*'Output-Calculation-sheet'!D20</f>
        <v>8794.2129615447266</v>
      </c>
      <c r="E34" s="2">
        <f>E12/'Output-Calculation-sheet'!E11*'Output-Calculation-sheet'!E20</f>
        <v>9608.9699199501429</v>
      </c>
      <c r="F34" s="2">
        <f>F12/'Output-Calculation-sheet'!F11*'Output-Calculation-sheet'!F20</f>
        <v>6054.1016289368263</v>
      </c>
      <c r="G34" s="2">
        <f>G12/'Output-Calculation-sheet'!G11*'Output-Calculation-sheet'!G20</f>
        <v>3235.1321674439901</v>
      </c>
      <c r="H34" s="2">
        <f>H12/'Output-Calculation-sheet'!H11*'Output-Calculation-sheet'!H20</f>
        <v>0</v>
      </c>
      <c r="I34" s="2">
        <f>I12/'Output-Calculation-sheet'!I11*'Output-Calculation-sheet'!I20</f>
        <v>3516.1481413400575</v>
      </c>
      <c r="J34" s="2">
        <f>J12/'Output-Calculation-sheet'!J11*'Output-Calculation-sheet'!J20</f>
        <v>3018.6162156181458</v>
      </c>
      <c r="K34" s="2">
        <f>K12/'Output-Calculation-sheet'!K11*'Output-Calculation-sheet'!K20</f>
        <v>3968.7453558106276</v>
      </c>
      <c r="L34" s="2">
        <f>L12/'Output-Calculation-sheet'!L11*'Output-Calculation-sheet'!L20</f>
        <v>3136.5630235293379</v>
      </c>
      <c r="M34" s="2">
        <f>M12/'Output-Calculation-sheet'!M11*'Output-Calculation-sheet'!M20</f>
        <v>0</v>
      </c>
      <c r="N34" s="2">
        <f>N12/'Output-Calculation-sheet'!N11*'Output-Calculation-sheet'!N20</f>
        <v>1745.497838412183</v>
      </c>
      <c r="O34" s="2">
        <f>O12/'Output-Calculation-sheet'!O11*'Output-Calculation-sheet'!O20</f>
        <v>0</v>
      </c>
      <c r="P34" s="2">
        <f>P12/'Output-Calculation-sheet'!P11*'Output-Calculation-sheet'!P20</f>
        <v>3900.8688261911675</v>
      </c>
      <c r="Q34" s="2">
        <f>Q12/'Output-Calculation-sheet'!Q11*'Output-Calculation-sheet'!Q20</f>
        <v>3086.642082613057</v>
      </c>
      <c r="R34" s="2">
        <f>R12/'Output-Calculation-sheet'!R11*'Output-Calculation-sheet'!R20</f>
        <v>3098.0629289372773</v>
      </c>
      <c r="S34" s="2">
        <f>S12/'Output-Calculation-sheet'!S11*'Output-Calculation-sheet'!S20</f>
        <v>1183.3848659726973</v>
      </c>
      <c r="T34" s="2">
        <f>T12/'Output-Calculation-sheet'!T11*'Output-Calculation-sheet'!T20</f>
        <v>973.315670800627</v>
      </c>
      <c r="U34" s="2">
        <f>U12/'Output-Calculation-sheet'!U11*'Output-Calculation-sheet'!U20</f>
        <v>887.99972398078773</v>
      </c>
      <c r="V34" s="2">
        <f>V12/'Output-Calculation-sheet'!V11*'Output-Calculation-sheet'!V20</f>
        <v>815.71876605215539</v>
      </c>
      <c r="W34" s="2">
        <f>W12/'Output-Calculation-sheet'!W11*'Output-Calculation-sheet'!W20</f>
        <v>524.80464844706478</v>
      </c>
      <c r="X34" s="2">
        <f>X12/'Output-Calculation-sheet'!X11*'Output-Calculation-sheet'!X20</f>
        <v>106.06499395823292</v>
      </c>
      <c r="Y34" s="2">
        <f>Y12/'Output-Calculation-sheet'!Y11*'Output-Calculation-sheet'!Y20</f>
        <v>294.17283144606688</v>
      </c>
      <c r="AA34" s="2">
        <f t="shared" si="1"/>
        <v>85.971197168886818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0.87710993856598318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0.17039886480802641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1.0475088033740096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1.0093661510515732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0.39218537780118001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1.4015515288527531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1.0996577148157587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0.64090173207368395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1.7405594468894425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1.1654388691576341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0.67924025795087273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1.8446791271085068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2.4246822826624914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0.37319636056086858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0.25679561542073404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0.94210107608931459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0.22113063113598197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2.817111206448154E-2</v>
      </c>
      <c r="Y44" s="2">
        <f>Y11/'Output-Calculation-sheet'!Y10*'Output-Calculation-sheet'!Y37*0.0114</f>
        <v>0</v>
      </c>
      <c r="AA44" s="2">
        <f t="shared" si="2"/>
        <v>4.2460770779338723</v>
      </c>
    </row>
    <row r="45" spans="1:27" x14ac:dyDescent="0.25">
      <c r="A45" s="2">
        <v>2035</v>
      </c>
      <c r="B45" s="2">
        <f>B12/'Output-Calculation-sheet'!B11*'Output-Calculation-sheet'!B38*0.0114</f>
        <v>2.6191524841604266</v>
      </c>
      <c r="C45" s="2">
        <f>C12/'Output-Calculation-sheet'!C11*'Output-Calculation-sheet'!C38*0.0114</f>
        <v>2.4862163705344686</v>
      </c>
      <c r="D45" s="2">
        <f>D12/'Output-Calculation-sheet'!D11*'Output-Calculation-sheet'!D38*0.0114</f>
        <v>1.1011843738231792</v>
      </c>
      <c r="E45" s="2">
        <f>E12/'Output-Calculation-sheet'!E11*'Output-Calculation-sheet'!E38*0.0114</f>
        <v>0.87514785561581554</v>
      </c>
      <c r="F45" s="2">
        <f>F12/'Output-Calculation-sheet'!F11*'Output-Calculation-sheet'!F38*0.0114</f>
        <v>0.55040798910520472</v>
      </c>
      <c r="G45" s="2">
        <f>G12/'Output-Calculation-sheet'!G11*'Output-Calculation-sheet'!G38*0.0114</f>
        <v>0.39501849437536402</v>
      </c>
      <c r="H45" s="2">
        <f>H12/'Output-Calculation-sheet'!H11*'Output-Calculation-sheet'!H38*0.0114</f>
        <v>0.38266741489588768</v>
      </c>
      <c r="I45" s="2">
        <f>I12/'Output-Calculation-sheet'!I11*'Output-Calculation-sheet'!I38*0.0114</f>
        <v>0.35529555138120933</v>
      </c>
      <c r="J45" s="2">
        <f>J12/'Output-Calculation-sheet'!J11*'Output-Calculation-sheet'!J38*0.0114</f>
        <v>0.35162594627395483</v>
      </c>
      <c r="K45" s="2">
        <f>K12/'Output-Calculation-sheet'!K11*'Output-Calculation-sheet'!K38*0.0114</f>
        <v>0.34919960063166589</v>
      </c>
      <c r="L45" s="2">
        <f>L12/'Output-Calculation-sheet'!L11*'Output-Calculation-sheet'!L38*0.0114</f>
        <v>0.27766678937251082</v>
      </c>
      <c r="M45" s="2">
        <f>M12/'Output-Calculation-sheet'!M11*'Output-Calculation-sheet'!M38*0.0114</f>
        <v>0.26331262759895913</v>
      </c>
      <c r="N45" s="2">
        <f>N12/'Output-Calculation-sheet'!N11*'Output-Calculation-sheet'!N38*0.0114</f>
        <v>0.25879406109895808</v>
      </c>
      <c r="O45" s="2">
        <f>O12/'Output-Calculation-sheet'!O11*'Output-Calculation-sheet'!O38*0.0114</f>
        <v>0.96600991182209639</v>
      </c>
      <c r="P45" s="2">
        <f>P12/'Output-Calculation-sheet'!P11*'Output-Calculation-sheet'!P38*0.0114</f>
        <v>0.23907908184500049</v>
      </c>
      <c r="Q45" s="2">
        <f>Q12/'Output-Calculation-sheet'!Q11*'Output-Calculation-sheet'!Q38*0.0114</f>
        <v>0.22674252997518399</v>
      </c>
      <c r="R45" s="2">
        <f>R12/'Output-Calculation-sheet'!R11*'Output-Calculation-sheet'!R38*0.0114</f>
        <v>0.22485749732526653</v>
      </c>
      <c r="S45" s="2">
        <f>S12/'Output-Calculation-sheet'!S11*'Output-Calculation-sheet'!S38*0.0114</f>
        <v>0.14834928711967221</v>
      </c>
      <c r="T45" s="2">
        <f>T12/'Output-Calculation-sheet'!T11*'Output-Calculation-sheet'!T38*0.0114</f>
        <v>8.318937357270316E-2</v>
      </c>
      <c r="U45" s="2">
        <f>U12/'Output-Calculation-sheet'!U11*'Output-Calculation-sheet'!U38*0.0114</f>
        <v>7.2344721313377977E-2</v>
      </c>
      <c r="V45" s="2">
        <f>V12/'Output-Calculation-sheet'!V11*'Output-Calculation-sheet'!V38*0.0114</f>
        <v>5.5784341435728892E-2</v>
      </c>
      <c r="W45" s="2">
        <f>W12/'Output-Calculation-sheet'!W11*'Output-Calculation-sheet'!W38*0.0114</f>
        <v>4.8305044587147281E-2</v>
      </c>
      <c r="X45" s="2">
        <f>X12/'Output-Calculation-sheet'!X11*'Output-Calculation-sheet'!X38*0.0114</f>
        <v>2.8886044366178247E-2</v>
      </c>
      <c r="Y45" s="2">
        <f>Y12/'Output-Calculation-sheet'!Y11*'Output-Calculation-sheet'!Y38*0.0114</f>
        <v>2.7875568583892295E-2</v>
      </c>
      <c r="AA45" s="2">
        <f t="shared" si="2"/>
        <v>12.387112960813852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8001.704702707214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1752.6429767627296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1238.5841948653988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175.20819045408629</v>
      </c>
      <c r="Y51" s="2">
        <f>Y7/'Output-Calculation-sheet'!Y6*'Output-Calculation-sheet'!Y42</f>
        <v>0</v>
      </c>
      <c r="AA51" s="2">
        <f t="shared" si="3"/>
        <v>11.16814006478943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20718.568363690189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6759.3996137101994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4613.619279523421</v>
      </c>
      <c r="N52" s="2">
        <f>N8/'Output-Calculation-sheet'!N7*'Output-Calculation-sheet'!N43</f>
        <v>147.46170531355463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596.65190428556036</v>
      </c>
      <c r="Y52" s="2">
        <f>Y8/'Output-Calculation-sheet'!Y7*'Output-Calculation-sheet'!Y43</f>
        <v>0</v>
      </c>
      <c r="AA52" s="2">
        <f t="shared" si="3"/>
        <v>32.83570086652292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47169.528293412797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13035.561735838639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8908.4454341142828</v>
      </c>
      <c r="N53" s="2">
        <f>N9/'Output-Calculation-sheet'!N8*'Output-Calculation-sheet'!N44</f>
        <v>3172.8909117372855</v>
      </c>
      <c r="O53" s="2">
        <f>O9/'Output-Calculation-sheet'!O8*'Output-Calculation-sheet'!O44</f>
        <v>0</v>
      </c>
      <c r="P53" s="2">
        <f>P9/'Output-Calculation-sheet'!P8*'Output-Calculation-sheet'!P44</f>
        <v>148.41415177302616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989.98283130407435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1114.0077461928922</v>
      </c>
      <c r="Y53" s="2">
        <f>Y9/'Output-Calculation-sheet'!Y8*'Output-Calculation-sheet'!Y44</f>
        <v>0</v>
      </c>
      <c r="AA53" s="2">
        <f t="shared" si="3"/>
        <v>74.538831104372989</v>
      </c>
    </row>
    <row r="54" spans="1:27" x14ac:dyDescent="0.25">
      <c r="A54" s="2">
        <v>2033</v>
      </c>
      <c r="B54" s="2">
        <f>B10/'Output-Calculation-sheet'!B9*'Output-Calculation-sheet'!B45</f>
        <v>27570.616280370337</v>
      </c>
      <c r="C54" s="2">
        <f>C10/'Output-Calculation-sheet'!C9*'Output-Calculation-sheet'!C45</f>
        <v>63179.054485913846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19983.471192141416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258.45918393594485</v>
      </c>
      <c r="L54" s="2">
        <f>L10/'Output-Calculation-sheet'!L9*'Output-Calculation-sheet'!L45</f>
        <v>0</v>
      </c>
      <c r="M54" s="2">
        <f>M10/'Output-Calculation-sheet'!M9*'Output-Calculation-sheet'!M45</f>
        <v>13707.274749854458</v>
      </c>
      <c r="N54" s="2">
        <f>N10/'Output-Calculation-sheet'!N9*'Output-Calculation-sheet'!N45</f>
        <v>7683.1131409717555</v>
      </c>
      <c r="O54" s="2">
        <f>O10/'Output-Calculation-sheet'!O9*'Output-Calculation-sheet'!O45</f>
        <v>0</v>
      </c>
      <c r="P54" s="2">
        <f>P10/'Output-Calculation-sheet'!P9*'Output-Calculation-sheet'!P45</f>
        <v>2084.1221319561273</v>
      </c>
      <c r="Q54" s="2">
        <f>Q10/'Output-Calculation-sheet'!Q9*'Output-Calculation-sheet'!Q45</f>
        <v>820.46750556853772</v>
      </c>
      <c r="R54" s="2">
        <f>R10/'Output-Calculation-sheet'!R9*'Output-Calculation-sheet'!R45</f>
        <v>1368.4055071154478</v>
      </c>
      <c r="S54" s="2">
        <f>S10/'Output-Calculation-sheet'!S9*'Output-Calculation-sheet'!S45</f>
        <v>3269.6101934491953</v>
      </c>
      <c r="T54" s="2">
        <f>T10/'Output-Calculation-sheet'!T9*'Output-Calculation-sheet'!T45</f>
        <v>68.413778146271682</v>
      </c>
      <c r="U54" s="2">
        <f>U10/'Output-Calculation-sheet'!U9*'Output-Calculation-sheet'!U45</f>
        <v>493.81088787972323</v>
      </c>
      <c r="V54" s="2">
        <f>V10/'Output-Calculation-sheet'!V9*'Output-Calculation-sheet'!V45</f>
        <v>36.701010190292898</v>
      </c>
      <c r="W54" s="2">
        <f>W10/'Output-Calculation-sheet'!W9*'Output-Calculation-sheet'!W45</f>
        <v>0</v>
      </c>
      <c r="X54" s="2">
        <f>X10/'Output-Calculation-sheet'!X9*'Output-Calculation-sheet'!X45</f>
        <v>1574.9882687473535</v>
      </c>
      <c r="Y54" s="2">
        <f>Y10/'Output-Calculation-sheet'!Y9*'Output-Calculation-sheet'!Y45</f>
        <v>16.04713460419358</v>
      </c>
      <c r="AA54" s="2">
        <f t="shared" si="3"/>
        <v>142.1145554508449</v>
      </c>
    </row>
    <row r="55" spans="1:27" x14ac:dyDescent="0.25">
      <c r="A55" s="2">
        <v>2034</v>
      </c>
      <c r="B55" s="2">
        <f>B11/'Output-Calculation-sheet'!B10*'Output-Calculation-sheet'!B46</f>
        <v>81559.251778273698</v>
      </c>
      <c r="C55" s="2">
        <f>C11/'Output-Calculation-sheet'!C10*'Output-Calculation-sheet'!C46</f>
        <v>67104.145629825973</v>
      </c>
      <c r="D55" s="2">
        <f>D11/'Output-Calculation-sheet'!D10*'Output-Calculation-sheet'!D46</f>
        <v>7536.3505789754981</v>
      </c>
      <c r="E55" s="2">
        <f>E11/'Output-Calculation-sheet'!E10*'Output-Calculation-sheet'!E46</f>
        <v>9283.5522079417206</v>
      </c>
      <c r="F55" s="2">
        <f>F11/'Output-Calculation-sheet'!F10*'Output-Calculation-sheet'!F46</f>
        <v>282.51859992556194</v>
      </c>
      <c r="G55" s="2">
        <f>G11/'Output-Calculation-sheet'!G10*'Output-Calculation-sheet'!G46</f>
        <v>3345.520457636293</v>
      </c>
      <c r="H55" s="2">
        <f>H11/'Output-Calculation-sheet'!H10*'Output-Calculation-sheet'!H46</f>
        <v>24192.290390744023</v>
      </c>
      <c r="I55" s="2">
        <f>I11/'Output-Calculation-sheet'!I10*'Output-Calculation-sheet'!I46</f>
        <v>1823.6944906846852</v>
      </c>
      <c r="J55" s="2">
        <f>J11/'Output-Calculation-sheet'!J10*'Output-Calculation-sheet'!J46</f>
        <v>1323.5631168841151</v>
      </c>
      <c r="K55" s="2">
        <f>K11/'Output-Calculation-sheet'!K10*'Output-Calculation-sheet'!K46</f>
        <v>3554.9358300023496</v>
      </c>
      <c r="L55" s="2">
        <f>L11/'Output-Calculation-sheet'!L10*'Output-Calculation-sheet'!L46</f>
        <v>1306.4647429016645</v>
      </c>
      <c r="M55" s="2">
        <f>M11/'Output-Calculation-sheet'!M10*'Output-Calculation-sheet'!M46</f>
        <v>17097.181763538345</v>
      </c>
      <c r="N55" s="2">
        <f>N11/'Output-Calculation-sheet'!N10*'Output-Calculation-sheet'!N46</f>
        <v>13040.09233300073</v>
      </c>
      <c r="O55" s="2">
        <f>O11/'Output-Calculation-sheet'!O10*'Output-Calculation-sheet'!O46</f>
        <v>289.24155844847377</v>
      </c>
      <c r="P55" s="2">
        <f>P11/'Output-Calculation-sheet'!P10*'Output-Calculation-sheet'!P46</f>
        <v>4847.3121903148922</v>
      </c>
      <c r="Q55" s="2">
        <f>Q11/'Output-Calculation-sheet'!Q10*'Output-Calculation-sheet'!Q46</f>
        <v>2851.4212962271358</v>
      </c>
      <c r="R55" s="2">
        <f>R11/'Output-Calculation-sheet'!R10*'Output-Calculation-sheet'!R46</f>
        <v>3924.177162894634</v>
      </c>
      <c r="S55" s="2">
        <f>S11/'Output-Calculation-sheet'!S10*'Output-Calculation-sheet'!S46</f>
        <v>6408.9651167660168</v>
      </c>
      <c r="T55" s="2">
        <f>T11/'Output-Calculation-sheet'!T10*'Output-Calculation-sheet'!T46</f>
        <v>889.58803498400482</v>
      </c>
      <c r="U55" s="2">
        <f>U11/'Output-Calculation-sheet'!U10*'Output-Calculation-sheet'!U46</f>
        <v>1485.3512145190798</v>
      </c>
      <c r="V55" s="2">
        <f>V11/'Output-Calculation-sheet'!V10*'Output-Calculation-sheet'!V46</f>
        <v>601.30376265444147</v>
      </c>
      <c r="W55" s="2">
        <f>W11/'Output-Calculation-sheet'!W10*'Output-Calculation-sheet'!W46</f>
        <v>78.515817020717265</v>
      </c>
      <c r="X55" s="2">
        <f>X11/'Output-Calculation-sheet'!X10*'Output-Calculation-sheet'!X46</f>
        <v>1749.5743282151691</v>
      </c>
      <c r="Y55" s="2">
        <f>Y11/'Output-Calculation-sheet'!Y10*'Output-Calculation-sheet'!Y46</f>
        <v>455.4787999653845</v>
      </c>
      <c r="AA55" s="2">
        <f t="shared" si="3"/>
        <v>255.03049120234468</v>
      </c>
    </row>
    <row r="56" spans="1:27" x14ac:dyDescent="0.25">
      <c r="A56" s="2">
        <v>2035</v>
      </c>
      <c r="B56" s="2">
        <f>B12/'Output-Calculation-sheet'!B11*'Output-Calculation-sheet'!B47</f>
        <v>106374.35089177873</v>
      </c>
      <c r="C56" s="2">
        <f>C12/'Output-Calculation-sheet'!C11*'Output-Calculation-sheet'!C47</f>
        <v>69897.574276868167</v>
      </c>
      <c r="D56" s="2">
        <f>D12/'Output-Calculation-sheet'!D11*'Output-Calculation-sheet'!D47</f>
        <v>8500.3706049508583</v>
      </c>
      <c r="E56" s="2">
        <f>E12/'Output-Calculation-sheet'!E11*'Output-Calculation-sheet'!E47</f>
        <v>23874.647640045496</v>
      </c>
      <c r="F56" s="2">
        <f>F12/'Output-Calculation-sheet'!F11*'Output-Calculation-sheet'!F47</f>
        <v>2945.1655557383756</v>
      </c>
      <c r="G56" s="2">
        <f>G12/'Output-Calculation-sheet'!G11*'Output-Calculation-sheet'!G47</f>
        <v>6652.9430631640253</v>
      </c>
      <c r="H56" s="2">
        <f>H12/'Output-Calculation-sheet'!H11*'Output-Calculation-sheet'!H47</f>
        <v>25410.459041770784</v>
      </c>
      <c r="I56" s="2">
        <f>I12/'Output-Calculation-sheet'!I11*'Output-Calculation-sheet'!I47</f>
        <v>3365.9578551904042</v>
      </c>
      <c r="J56" s="2">
        <f>J12/'Output-Calculation-sheet'!J11*'Output-Calculation-sheet'!J47</f>
        <v>3053.5937439580289</v>
      </c>
      <c r="K56" s="2">
        <f>K12/'Output-Calculation-sheet'!K11*'Output-Calculation-sheet'!K47</f>
        <v>4410.9423237684114</v>
      </c>
      <c r="L56" s="2">
        <f>L12/'Output-Calculation-sheet'!L11*'Output-Calculation-sheet'!L47</f>
        <v>2435.6735909869367</v>
      </c>
      <c r="M56" s="2">
        <f>M12/'Output-Calculation-sheet'!M11*'Output-Calculation-sheet'!M47</f>
        <v>17715.858365649266</v>
      </c>
      <c r="N56" s="2">
        <f>N12/'Output-Calculation-sheet'!N11*'Output-Calculation-sheet'!N47</f>
        <v>13529.935124120966</v>
      </c>
      <c r="O56" s="2">
        <f>O12/'Output-Calculation-sheet'!O11*'Output-Calculation-sheet'!O47</f>
        <v>1271.065673450127</v>
      </c>
      <c r="P56" s="2">
        <f>P12/'Output-Calculation-sheet'!P11*'Output-Calculation-sheet'!P47</f>
        <v>7025.5695103574699</v>
      </c>
      <c r="Q56" s="2">
        <f>Q12/'Output-Calculation-sheet'!Q11*'Output-Calculation-sheet'!Q47</f>
        <v>3560.2555145226256</v>
      </c>
      <c r="R56" s="2">
        <f>R12/'Output-Calculation-sheet'!R11*'Output-Calculation-sheet'!R47</f>
        <v>5187.5019119776398</v>
      </c>
      <c r="S56" s="2">
        <f>S12/'Output-Calculation-sheet'!S11*'Output-Calculation-sheet'!S47</f>
        <v>6870.9143508058705</v>
      </c>
      <c r="T56" s="2">
        <f>T12/'Output-Calculation-sheet'!T11*'Output-Calculation-sheet'!T47</f>
        <v>1817.031054351148</v>
      </c>
      <c r="U56" s="2">
        <f>U12/'Output-Calculation-sheet'!U11*'Output-Calculation-sheet'!U47</f>
        <v>1738.811722795225</v>
      </c>
      <c r="V56" s="2">
        <f>V12/'Output-Calculation-sheet'!V11*'Output-Calculation-sheet'!V47</f>
        <v>1213.5540943912952</v>
      </c>
      <c r="W56" s="2">
        <f>W12/'Output-Calculation-sheet'!W11*'Output-Calculation-sheet'!W47</f>
        <v>690.67739190394798</v>
      </c>
      <c r="X56" s="2">
        <f>X12/'Output-Calculation-sheet'!X11*'Output-Calculation-sheet'!X47</f>
        <v>1829.4494765246222</v>
      </c>
      <c r="Y56" s="2">
        <f>Y12/'Output-Calculation-sheet'!Y11*'Output-Calculation-sheet'!Y47</f>
        <v>936.52129540620604</v>
      </c>
      <c r="AA56" s="2">
        <f t="shared" si="3"/>
        <v>320.30882407447655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4.7325266218002033</v>
      </c>
      <c r="C60" s="2">
        <f>C5*'Output-Calculation-sheet'!C49/10^9</f>
        <v>1.9088279039896519</v>
      </c>
      <c r="D60" s="2">
        <f>D5*'Output-Calculation-sheet'!D49/10^9</f>
        <v>1.2479113103982364</v>
      </c>
      <c r="E60" s="2">
        <f>E5*'Output-Calculation-sheet'!E49/10^9</f>
        <v>1.4478570355749143</v>
      </c>
      <c r="F60" s="2">
        <f>F5*'Output-Calculation-sheet'!F49/10^9</f>
        <v>0.66495763205205372</v>
      </c>
      <c r="G60" s="2">
        <f>G5*'Output-Calculation-sheet'!G49/10^9</f>
        <v>0.52456376982493724</v>
      </c>
      <c r="H60" s="2">
        <f>H5*'Output-Calculation-sheet'!H49/10^9</f>
        <v>0.5015586382936702</v>
      </c>
      <c r="I60" s="2">
        <f>I5*'Output-Calculation-sheet'!I49/10^9</f>
        <v>0.39488767836277638</v>
      </c>
      <c r="J60" s="2">
        <f>J5*'Output-Calculation-sheet'!J49/10^9</f>
        <v>0.61200494979529396</v>
      </c>
      <c r="K60" s="2">
        <f>K5*'Output-Calculation-sheet'!K49/10^9</f>
        <v>0.33969559657159665</v>
      </c>
      <c r="L60" s="2">
        <f>L5*'Output-Calculation-sheet'!L49/10^9</f>
        <v>0.44360234327415821</v>
      </c>
      <c r="M60" s="2">
        <f>M5*'Output-Calculation-sheet'!M49/10^9</f>
        <v>0.38393605865104324</v>
      </c>
      <c r="N60" s="2">
        <f>N5*'Output-Calculation-sheet'!N49/10^9</f>
        <v>0.32138992630717933</v>
      </c>
      <c r="O60" s="2">
        <f>O5*'Output-Calculation-sheet'!O49/10^9</f>
        <v>0.32214782965874689</v>
      </c>
      <c r="P60" s="2">
        <f>P5*'Output-Calculation-sheet'!P49/10^9</f>
        <v>0.33610445220847507</v>
      </c>
      <c r="Q60" s="2">
        <f>Q5*'Output-Calculation-sheet'!Q49/10^9</f>
        <v>0.291508831213391</v>
      </c>
      <c r="R60" s="2">
        <f>R5*'Output-Calculation-sheet'!R49/10^9</f>
        <v>0.30477495988604686</v>
      </c>
      <c r="S60" s="2">
        <f>S5*'Output-Calculation-sheet'!S49/10^9</f>
        <v>0.2147449171205105</v>
      </c>
      <c r="T60" s="2">
        <f>T5*'Output-Calculation-sheet'!T49/10^9</f>
        <v>0.13358478288436523</v>
      </c>
      <c r="U60" s="2">
        <f>U5*'Output-Calculation-sheet'!U49/10^9</f>
        <v>9.8155441098423488E-2</v>
      </c>
      <c r="V60" s="2">
        <f>V5*'Output-Calculation-sheet'!V49/10^9</f>
        <v>0.1866653328911749</v>
      </c>
      <c r="W60" s="2">
        <f>W5*'Output-Calculation-sheet'!W49/10^9</f>
        <v>7.4329551844645445E-2</v>
      </c>
      <c r="X60" s="2">
        <f>X5*'Output-Calculation-sheet'!X49/10^9</f>
        <v>5.4517657013671124E-2</v>
      </c>
      <c r="Y60" s="2">
        <f>Y5*'Output-Calculation-sheet'!Y49/10^9</f>
        <v>3.9426699172199708E-2</v>
      </c>
      <c r="AA60" s="2">
        <f t="shared" ref="AA60:AA67" si="4">SUM(B60:Y60)</f>
        <v>15.579679919887363</v>
      </c>
    </row>
    <row r="61" spans="1:27" x14ac:dyDescent="0.25">
      <c r="A61" s="2">
        <v>2029</v>
      </c>
      <c r="B61" s="2">
        <f>B6*'Output-Calculation-sheet'!B50/10^9</f>
        <v>5.8230241322488219</v>
      </c>
      <c r="C61" s="2">
        <f>C6*'Output-Calculation-sheet'!C50/10^9</f>
        <v>2.4956706135048767</v>
      </c>
      <c r="D61" s="2">
        <f>D6*'Output-Calculation-sheet'!D50/10^9</f>
        <v>1.4989299605219628</v>
      </c>
      <c r="E61" s="2">
        <f>E6*'Output-Calculation-sheet'!E50/10^9</f>
        <v>1.7326290389010897</v>
      </c>
      <c r="F61" s="2">
        <f>F6*'Output-Calculation-sheet'!F50/10^9</f>
        <v>0.79947958404968023</v>
      </c>
      <c r="G61" s="2">
        <f>G6*'Output-Calculation-sheet'!G50/10^9</f>
        <v>0.62510338692268219</v>
      </c>
      <c r="H61" s="2">
        <f>H6*'Output-Calculation-sheet'!H50/10^9</f>
        <v>0.64710172834274493</v>
      </c>
      <c r="I61" s="2">
        <f>I6*'Output-Calculation-sheet'!I50/10^9</f>
        <v>0.47662973874048392</v>
      </c>
      <c r="J61" s="2">
        <f>J6*'Output-Calculation-sheet'!J50/10^9</f>
        <v>0.72115226805161692</v>
      </c>
      <c r="K61" s="2">
        <f>K6*'Output-Calculation-sheet'!K50/10^9</f>
        <v>0.41874233049484172</v>
      </c>
      <c r="L61" s="2">
        <f>L6*'Output-Calculation-sheet'!L50/10^9</f>
        <v>0.53225349243892373</v>
      </c>
      <c r="M61" s="2">
        <f>M6*'Output-Calculation-sheet'!M50/10^9</f>
        <v>0.49001028372722777</v>
      </c>
      <c r="N61" s="2">
        <f>N6*'Output-Calculation-sheet'!N50/10^9</f>
        <v>0.41751227209840053</v>
      </c>
      <c r="O61" s="2">
        <f>O6*'Output-Calculation-sheet'!O50/10^9</f>
        <v>0.43472283745547308</v>
      </c>
      <c r="P61" s="2">
        <f>P6*'Output-Calculation-sheet'!P50/10^9</f>
        <v>0.41434755793657824</v>
      </c>
      <c r="Q61" s="2">
        <f>Q6*'Output-Calculation-sheet'!Q50/10^9</f>
        <v>0.36705748239279634</v>
      </c>
      <c r="R61" s="2">
        <f>R6*'Output-Calculation-sheet'!R50/10^9</f>
        <v>0.37089122044638057</v>
      </c>
      <c r="S61" s="2">
        <f>S6*'Output-Calculation-sheet'!S50/10^9</f>
        <v>0.27191710796217078</v>
      </c>
      <c r="T61" s="2">
        <f>T6*'Output-Calculation-sheet'!T50/10^9</f>
        <v>0.15938015899136332</v>
      </c>
      <c r="U61" s="2">
        <f>U6*'Output-Calculation-sheet'!U50/10^9</f>
        <v>0.11898962464208346</v>
      </c>
      <c r="V61" s="2">
        <f>V6*'Output-Calculation-sheet'!V50/10^9</f>
        <v>0.21828204799572898</v>
      </c>
      <c r="W61" s="2">
        <f>W6*'Output-Calculation-sheet'!W50/10^9</f>
        <v>8.8074593080952224E-2</v>
      </c>
      <c r="X61" s="2">
        <f>X6*'Output-Calculation-sheet'!X50/10^9</f>
        <v>6.8759094375623803E-2</v>
      </c>
      <c r="Y61" s="2">
        <f>Y6*'Output-Calculation-sheet'!Y50/10^9</f>
        <v>4.7777096463677435E-2</v>
      </c>
      <c r="AA61" s="2">
        <f t="shared" si="4"/>
        <v>19.238437651786185</v>
      </c>
    </row>
    <row r="62" spans="1:27" x14ac:dyDescent="0.25">
      <c r="A62" s="2">
        <v>2030</v>
      </c>
      <c r="B62" s="2">
        <f>B7*'Output-Calculation-sheet'!B51/10^9</f>
        <v>6.5468753784999008</v>
      </c>
      <c r="C62" s="2">
        <f>C7*'Output-Calculation-sheet'!C51/10^9</f>
        <v>3.2536589211629336</v>
      </c>
      <c r="D62" s="2">
        <f>D7*'Output-Calculation-sheet'!D51/10^9</f>
        <v>1.6309802394373847</v>
      </c>
      <c r="E62" s="2">
        <f>E7*'Output-Calculation-sheet'!E51/10^9</f>
        <v>1.8767775071727353</v>
      </c>
      <c r="F62" s="2">
        <f>F7*'Output-Calculation-sheet'!F51/10^9</f>
        <v>0.87091549275422409</v>
      </c>
      <c r="G62" s="2">
        <f>G7*'Output-Calculation-sheet'!G51/10^9</f>
        <v>0.67363822312895216</v>
      </c>
      <c r="H62" s="2">
        <f>H7*'Output-Calculation-sheet'!H51/10^9</f>
        <v>0.82019687170554023</v>
      </c>
      <c r="I62" s="2">
        <f>I7*'Output-Calculation-sheet'!I51/10^9</f>
        <v>0.52165194029721884</v>
      </c>
      <c r="J62" s="2">
        <f>J7*'Output-Calculation-sheet'!J51/10^9</f>
        <v>0.76635689867630996</v>
      </c>
      <c r="K62" s="2">
        <f>K7*'Output-Calculation-sheet'!K51/10^9</f>
        <v>0.46970224681949979</v>
      </c>
      <c r="L62" s="2">
        <f>L7*'Output-Calculation-sheet'!L51/10^9</f>
        <v>0.57838143696816857</v>
      </c>
      <c r="M62" s="2">
        <f>M7*'Output-Calculation-sheet'!M51/10^9</f>
        <v>0.61113282077709796</v>
      </c>
      <c r="N62" s="2">
        <f>N7*'Output-Calculation-sheet'!N51/10^9</f>
        <v>0.49928753376206381</v>
      </c>
      <c r="O62" s="2">
        <f>O7*'Output-Calculation-sheet'!O51/10^9</f>
        <v>0.56811361237276481</v>
      </c>
      <c r="P62" s="2">
        <f>P7*'Output-Calculation-sheet'!P51/10^9</f>
        <v>0.46481353248536339</v>
      </c>
      <c r="Q62" s="2">
        <f>Q7*'Output-Calculation-sheet'!Q51/10^9</f>
        <v>0.42298319769711906</v>
      </c>
      <c r="R62" s="2">
        <f>R7*'Output-Calculation-sheet'!R51/10^9</f>
        <v>0.40988120642848858</v>
      </c>
      <c r="S62" s="2">
        <f>S7*'Output-Calculation-sheet'!S51/10^9</f>
        <v>0.31778009361782761</v>
      </c>
      <c r="T62" s="2">
        <f>T7*'Output-Calculation-sheet'!T51/10^9</f>
        <v>0.17200909071845374</v>
      </c>
      <c r="U62" s="2">
        <f>U7*'Output-Calculation-sheet'!U51/10^9</f>
        <v>0.13090339822213007</v>
      </c>
      <c r="V62" s="2">
        <f>V7*'Output-Calculation-sheet'!V51/10^9</f>
        <v>0.22972465608049525</v>
      </c>
      <c r="W62" s="2">
        <f>W7*'Output-Calculation-sheet'!W51/10^9</f>
        <v>9.4249671522577669E-2</v>
      </c>
      <c r="X62" s="2">
        <f>X7*'Output-Calculation-sheet'!X51/10^9</f>
        <v>8.4540314754887769E-2</v>
      </c>
      <c r="Y62" s="2">
        <f>Y7*'Output-Calculation-sheet'!Y51/10^9</f>
        <v>5.2537076193140519E-2</v>
      </c>
      <c r="AA62" s="2">
        <f t="shared" si="4"/>
        <v>22.067091361255276</v>
      </c>
    </row>
    <row r="63" spans="1:27" x14ac:dyDescent="0.25">
      <c r="A63" s="2">
        <v>2031</v>
      </c>
      <c r="B63" s="2">
        <f>B8*'Output-Calculation-sheet'!B52/10^9</f>
        <v>7.0396563395450542</v>
      </c>
      <c r="C63" s="2">
        <f>C8*'Output-Calculation-sheet'!C52/10^9</f>
        <v>4.0059322862421469</v>
      </c>
      <c r="D63" s="2">
        <f>D8*'Output-Calculation-sheet'!D52/10^9</f>
        <v>1.648258587440901</v>
      </c>
      <c r="E63" s="2">
        <f>E8*'Output-Calculation-sheet'!E52/10^9</f>
        <v>1.8856898726386624</v>
      </c>
      <c r="F63" s="2">
        <f>F8*'Output-Calculation-sheet'!F52/10^9</f>
        <v>0.88143978541888868</v>
      </c>
      <c r="G63" s="2">
        <f>G8*'Output-Calculation-sheet'!G52/10^9</f>
        <v>0.67233130492628179</v>
      </c>
      <c r="H63" s="2">
        <f>H8*'Output-Calculation-sheet'!H52/10^9</f>
        <v>1.0049740612240878</v>
      </c>
      <c r="I63" s="2">
        <f>I8*'Output-Calculation-sheet'!I52/10^9</f>
        <v>0.53109704492612775</v>
      </c>
      <c r="J63" s="2">
        <f>J8*'Output-Calculation-sheet'!J52/10^9</f>
        <v>0.75079552939855254</v>
      </c>
      <c r="K63" s="2">
        <f>K8*'Output-Calculation-sheet'!K52/10^9</f>
        <v>0.49285916565678167</v>
      </c>
      <c r="L63" s="2">
        <f>L8*'Output-Calculation-sheet'!L52/10^9</f>
        <v>0.58352476725480762</v>
      </c>
      <c r="M63" s="2">
        <f>M8*'Output-Calculation-sheet'!M52/10^9</f>
        <v>0.73581658318619969</v>
      </c>
      <c r="N63" s="2">
        <f>N8*'Output-Calculation-sheet'!N52/10^9</f>
        <v>0.58670499312766555</v>
      </c>
      <c r="O63" s="2">
        <f>O8*'Output-Calculation-sheet'!O52/10^9</f>
        <v>0.69627623144711248</v>
      </c>
      <c r="P63" s="2">
        <f>P8*'Output-Calculation-sheet'!P52/10^9</f>
        <v>0.50124713117063779</v>
      </c>
      <c r="Q63" s="2">
        <f>Q8*'Output-Calculation-sheet'!Q52/10^9</f>
        <v>0.46755319867102701</v>
      </c>
      <c r="R63" s="2">
        <f>R8*'Output-Calculation-sheet'!R52/10^9</f>
        <v>0.42349339545723669</v>
      </c>
      <c r="S63" s="2">
        <f>S8*'Output-Calculation-sheet'!S52/10^9</f>
        <v>0.35931943454205073</v>
      </c>
      <c r="T63" s="2">
        <f>T8*'Output-Calculation-sheet'!T52/10^9</f>
        <v>0.17200702903884713</v>
      </c>
      <c r="U63" s="2">
        <f>U8*'Output-Calculation-sheet'!U52/10^9</f>
        <v>0.13413954211229612</v>
      </c>
      <c r="V63" s="2">
        <f>V8*'Output-Calculation-sheet'!V52/10^9</f>
        <v>0.2220961260624405</v>
      </c>
      <c r="W63" s="2">
        <f>W8*'Output-Calculation-sheet'!W52/10^9</f>
        <v>9.3201421626238706E-2</v>
      </c>
      <c r="X63" s="2">
        <f>X8*'Output-Calculation-sheet'!X52/10^9</f>
        <v>9.9317644435058153E-2</v>
      </c>
      <c r="Y63" s="2">
        <f>Y8*'Output-Calculation-sheet'!Y52/10^9</f>
        <v>5.3820328129868839E-2</v>
      </c>
      <c r="AA63" s="2">
        <f t="shared" si="4"/>
        <v>24.041551803678971</v>
      </c>
    </row>
    <row r="64" spans="1:27" x14ac:dyDescent="0.25">
      <c r="A64" s="2">
        <v>2032</v>
      </c>
      <c r="B64" s="2">
        <f>B9*'Output-Calculation-sheet'!B53/10^9</f>
        <v>7.3563275487418505</v>
      </c>
      <c r="C64" s="2">
        <f>C9*'Output-Calculation-sheet'!C53/10^9</f>
        <v>4.6214425326101356</v>
      </c>
      <c r="D64" s="2">
        <f>D9*'Output-Calculation-sheet'!D53/10^9</f>
        <v>1.5447205188961364</v>
      </c>
      <c r="E64" s="2">
        <f>E9*'Output-Calculation-sheet'!E53/10^9</f>
        <v>1.8036507362392431</v>
      </c>
      <c r="F64" s="2">
        <f>F9*'Output-Calculation-sheet'!F53/10^9</f>
        <v>0.82766563193631648</v>
      </c>
      <c r="G64" s="2">
        <f>G9*'Output-Calculation-sheet'!G53/10^9</f>
        <v>0.61972102089233005</v>
      </c>
      <c r="H64" s="2">
        <f>H9*'Output-Calculation-sheet'!H53/10^9</f>
        <v>1.1541601251428393</v>
      </c>
      <c r="I64" s="2">
        <f>I9*'Output-Calculation-sheet'!I53/10^9</f>
        <v>0.50255133162211585</v>
      </c>
      <c r="J64" s="2">
        <f>J9*'Output-Calculation-sheet'!J53/10^9</f>
        <v>0.67453184769478791</v>
      </c>
      <c r="K64" s="2">
        <f>K9*'Output-Calculation-sheet'!K53/10^9</f>
        <v>0.49795397733549518</v>
      </c>
      <c r="L64" s="2">
        <f>L9*'Output-Calculation-sheet'!L53/10^9</f>
        <v>0.55903844415494486</v>
      </c>
      <c r="M64" s="2">
        <f>M9*'Output-Calculation-sheet'!M53/10^9</f>
        <v>0.83231143493702597</v>
      </c>
      <c r="N64" s="2">
        <f>N9*'Output-Calculation-sheet'!N53/10^9</f>
        <v>0.68023433771594533</v>
      </c>
      <c r="O64" s="2">
        <f>O9*'Output-Calculation-sheet'!O53/10^9</f>
        <v>0.80358083401387115</v>
      </c>
      <c r="P64" s="2">
        <f>P9*'Output-Calculation-sheet'!P53/10^9</f>
        <v>0.53133221203036329</v>
      </c>
      <c r="Q64" s="2">
        <f>Q9*'Output-Calculation-sheet'!Q53/10^9</f>
        <v>0.50399414106847618</v>
      </c>
      <c r="R64" s="2">
        <f>R9*'Output-Calculation-sheet'!R53/10^9</f>
        <v>0.42875694927894747</v>
      </c>
      <c r="S64" s="2">
        <f>S9*'Output-Calculation-sheet'!S53/10^9</f>
        <v>0.4030885579207148</v>
      </c>
      <c r="T64" s="2">
        <f>T9*'Output-Calculation-sheet'!T53/10^9</f>
        <v>0.16027809119484746</v>
      </c>
      <c r="U64" s="2">
        <f>U9*'Output-Calculation-sheet'!U53/10^9</f>
        <v>0.1365560385415539</v>
      </c>
      <c r="V64" s="2">
        <f>V9*'Output-Calculation-sheet'!V53/10^9</f>
        <v>0.19902600186366337</v>
      </c>
      <c r="W64" s="2">
        <f>W9*'Output-Calculation-sheet'!W53/10^9</f>
        <v>8.4831540989713947E-2</v>
      </c>
      <c r="X64" s="2">
        <f>X9*'Output-Calculation-sheet'!X53/10^9</f>
        <v>0.10964838592116667</v>
      </c>
      <c r="Y64" s="2">
        <f>Y9*'Output-Calculation-sheet'!Y53/10^9</f>
        <v>5.3957563878992462E-2</v>
      </c>
      <c r="AA64" s="2">
        <f t="shared" si="4"/>
        <v>25.089359804621473</v>
      </c>
    </row>
    <row r="65" spans="1:27" x14ac:dyDescent="0.25">
      <c r="A65" s="2">
        <v>2033</v>
      </c>
      <c r="B65" s="2">
        <f>B10*'Output-Calculation-sheet'!B54/10^9</f>
        <v>7.8046034170531255</v>
      </c>
      <c r="C65" s="2">
        <f>C10*'Output-Calculation-sheet'!C54/10^9</f>
        <v>5.1293745805394622</v>
      </c>
      <c r="D65" s="2">
        <f>D10*'Output-Calculation-sheet'!D54/10^9</f>
        <v>1.3911410282036998</v>
      </c>
      <c r="E65" s="2">
        <f>E10*'Output-Calculation-sheet'!E54/10^9</f>
        <v>1.7716457056863555</v>
      </c>
      <c r="F65" s="2">
        <f>F10*'Output-Calculation-sheet'!F54/10^9</f>
        <v>0.76129144642778102</v>
      </c>
      <c r="G65" s="2">
        <f>G10*'Output-Calculation-sheet'!G54/10^9</f>
        <v>0.54200193235066296</v>
      </c>
      <c r="H65" s="2">
        <f>H10*'Output-Calculation-sheet'!H54/10^9</f>
        <v>1.2735549407548774</v>
      </c>
      <c r="I65" s="2">
        <f>I10*'Output-Calculation-sheet'!I54/10^9</f>
        <v>0.47522243796843783</v>
      </c>
      <c r="J65" s="2">
        <f>J10*'Output-Calculation-sheet'!J54/10^9</f>
        <v>0.56226359446789609</v>
      </c>
      <c r="K65" s="2">
        <f>K10*'Output-Calculation-sheet'!K54/10^9</f>
        <v>0.52613613552180805</v>
      </c>
      <c r="L65" s="2">
        <f>L10*'Output-Calculation-sheet'!L54/10^9</f>
        <v>0.54262076998934983</v>
      </c>
      <c r="M65" s="2">
        <f>M10*'Output-Calculation-sheet'!M54/10^9</f>
        <v>0.90557710216359677</v>
      </c>
      <c r="N65" s="2">
        <f>N10*'Output-Calculation-sheet'!N54/10^9</f>
        <v>0.77164495621131379</v>
      </c>
      <c r="O65" s="2">
        <f>O10*'Output-Calculation-sheet'!O54/10^9</f>
        <v>0.89785611061771664</v>
      </c>
      <c r="P65" s="2">
        <f>P10*'Output-Calculation-sheet'!P54/10^9</f>
        <v>0.56922132809874937</v>
      </c>
      <c r="Q65" s="2">
        <f>Q10*'Output-Calculation-sheet'!Q54/10^9</f>
        <v>0.56170484395625631</v>
      </c>
      <c r="R65" s="2">
        <f>R10*'Output-Calculation-sheet'!R54/10^9</f>
        <v>0.44529601286646003</v>
      </c>
      <c r="S65" s="2">
        <f>S10*'Output-Calculation-sheet'!S54/10^9</f>
        <v>0.44692369742608268</v>
      </c>
      <c r="T65" s="2">
        <f>T10*'Output-Calculation-sheet'!T54/10^9</f>
        <v>0.15079412381981128</v>
      </c>
      <c r="U65" s="2">
        <f>U10*'Output-Calculation-sheet'!U54/10^9</f>
        <v>0.14482780315139671</v>
      </c>
      <c r="V65" s="2">
        <f>V10*'Output-Calculation-sheet'!V54/10^9</f>
        <v>0.17064067675652408</v>
      </c>
      <c r="W65" s="2">
        <f>W10*'Output-Calculation-sheet'!W54/10^9</f>
        <v>7.2928468620673467E-2</v>
      </c>
      <c r="X65" s="2">
        <f>X10*'Output-Calculation-sheet'!X54/10^9</f>
        <v>0.11722989442935547</v>
      </c>
      <c r="Y65" s="2">
        <f>Y10*'Output-Calculation-sheet'!Y54/10^9</f>
        <v>5.6573852797422844E-2</v>
      </c>
      <c r="AA65" s="2">
        <f t="shared" si="4"/>
        <v>26.091074859878812</v>
      </c>
    </row>
    <row r="66" spans="1:27" x14ac:dyDescent="0.25">
      <c r="A66" s="2">
        <v>2034</v>
      </c>
      <c r="B66" s="2">
        <f>B11*'Output-Calculation-sheet'!B55/10^9</f>
        <v>8.3824883145636253</v>
      </c>
      <c r="C66" s="2">
        <f>C11*'Output-Calculation-sheet'!C55/10^9</f>
        <v>5.5709973560591868</v>
      </c>
      <c r="D66" s="2">
        <f>D11*'Output-Calculation-sheet'!D55/10^9</f>
        <v>1.5165312848489325</v>
      </c>
      <c r="E66" s="2">
        <f>E11*'Output-Calculation-sheet'!E55/10^9</f>
        <v>1.9641502556336476</v>
      </c>
      <c r="F66" s="2">
        <f>F11*'Output-Calculation-sheet'!F55/10^9</f>
        <v>0.77298866453279758</v>
      </c>
      <c r="G66" s="2">
        <f>G11*'Output-Calculation-sheet'!G55/10^9</f>
        <v>0.56392641010013611</v>
      </c>
      <c r="H66" s="2">
        <f>H11*'Output-Calculation-sheet'!H55/10^9</f>
        <v>1.407325767334342</v>
      </c>
      <c r="I66" s="2">
        <f>I11*'Output-Calculation-sheet'!I55/10^9</f>
        <v>0.52423460429095448</v>
      </c>
      <c r="J66" s="2">
        <f>J11*'Output-Calculation-sheet'!J55/10^9</f>
        <v>0.52782990349523917</v>
      </c>
      <c r="K66" s="2">
        <f>K11*'Output-Calculation-sheet'!K55/10^9</f>
        <v>0.60098178735865437</v>
      </c>
      <c r="L66" s="2">
        <f>L11*'Output-Calculation-sheet'!L55/10^9</f>
        <v>0.58264429068144263</v>
      </c>
      <c r="M66" s="2">
        <f>M11*'Output-Calculation-sheet'!M55/10^9</f>
        <v>0.98908532075497446</v>
      </c>
      <c r="N66" s="2">
        <f>N11*'Output-Calculation-sheet'!N55/10^9</f>
        <v>0.85983086586481006</v>
      </c>
      <c r="O66" s="2">
        <f>O11*'Output-Calculation-sheet'!O55/10^9</f>
        <v>0.98032374555934465</v>
      </c>
      <c r="P66" s="2">
        <f>P11*'Output-Calculation-sheet'!P55/10^9</f>
        <v>0.62862263852838884</v>
      </c>
      <c r="Q66" s="2">
        <f>Q11*'Output-Calculation-sheet'!Q55/10^9</f>
        <v>0.64660388137769398</v>
      </c>
      <c r="R66" s="2">
        <f>R11*'Output-Calculation-sheet'!R55/10^9</f>
        <v>0.47841019198406165</v>
      </c>
      <c r="S66" s="2">
        <f>S11*'Output-Calculation-sheet'!S55/10^9</f>
        <v>0.49661924221737613</v>
      </c>
      <c r="T66" s="2">
        <f>T11*'Output-Calculation-sheet'!T55/10^9</f>
        <v>0.14989548279448969</v>
      </c>
      <c r="U66" s="2">
        <f>U11*'Output-Calculation-sheet'!U55/10^9</f>
        <v>0.16314144028975489</v>
      </c>
      <c r="V66" s="2">
        <f>V11*'Output-Calculation-sheet'!V55/10^9</f>
        <v>0.1416650826962636</v>
      </c>
      <c r="W66" s="2">
        <f>W11*'Output-Calculation-sheet'!W55/10^9</f>
        <v>6.9402270944165637E-2</v>
      </c>
      <c r="X66" s="2">
        <f>X11*'Output-Calculation-sheet'!X55/10^9</f>
        <v>0.12969080413675646</v>
      </c>
      <c r="Y66" s="2">
        <f>Y11*'Output-Calculation-sheet'!Y55/10^9</f>
        <v>6.6591068657743363E-2</v>
      </c>
      <c r="AA66" s="2">
        <f t="shared" si="4"/>
        <v>28.213980674704786</v>
      </c>
    </row>
    <row r="67" spans="1:27" x14ac:dyDescent="0.25">
      <c r="A67" s="2">
        <v>2035</v>
      </c>
      <c r="B67" s="2">
        <f>B12*'Output-Calculation-sheet'!B56/10^9</f>
        <v>9.419236725953402</v>
      </c>
      <c r="C67" s="2">
        <f>C12*'Output-Calculation-sheet'!C56/10^9</f>
        <v>5.9522549592642848</v>
      </c>
      <c r="D67" s="2">
        <f>D12*'Output-Calculation-sheet'!D56/10^9</f>
        <v>1.8683020837987743</v>
      </c>
      <c r="E67" s="2">
        <f>E12*'Output-Calculation-sheet'!E56/10^9</f>
        <v>2.5550072461105873</v>
      </c>
      <c r="F67" s="2">
        <f>F12*'Output-Calculation-sheet'!F56/10^9</f>
        <v>1.0013930210794897</v>
      </c>
      <c r="G67" s="2">
        <f>G12*'Output-Calculation-sheet'!G56/10^9</f>
        <v>0.73885650547230652</v>
      </c>
      <c r="H67" s="2">
        <f>H12*'Output-Calculation-sheet'!H56/10^9</f>
        <v>1.5711086712700344</v>
      </c>
      <c r="I67" s="2">
        <f>I12*'Output-Calculation-sheet'!I56/10^9</f>
        <v>0.67697458039942837</v>
      </c>
      <c r="J67" s="2">
        <f>J12*'Output-Calculation-sheet'!J56/10^9</f>
        <v>0.6193165688693294</v>
      </c>
      <c r="K67" s="2">
        <f>K12*'Output-Calculation-sheet'!K56/10^9</f>
        <v>0.74201879169292673</v>
      </c>
      <c r="L67" s="2">
        <f>L12*'Output-Calculation-sheet'!L56/10^9</f>
        <v>0.69178405658265452</v>
      </c>
      <c r="M67" s="2">
        <f>M12*'Output-Calculation-sheet'!M56/10^9</f>
        <v>1.1116362975264467</v>
      </c>
      <c r="N67" s="2">
        <f>N12*'Output-Calculation-sheet'!N56/10^9</f>
        <v>0.94944045232747065</v>
      </c>
      <c r="O67" s="2">
        <f>O12*'Output-Calculation-sheet'!O56/10^9</f>
        <v>1.0501206409171915</v>
      </c>
      <c r="P67" s="2">
        <f>P12*'Output-Calculation-sheet'!P56/10^9</f>
        <v>0.77049263505028698</v>
      </c>
      <c r="Q67" s="2">
        <f>Q12*'Output-Calculation-sheet'!Q56/10^9</f>
        <v>0.72784605696901472</v>
      </c>
      <c r="R67" s="2">
        <f>R12*'Output-Calculation-sheet'!R56/10^9</f>
        <v>0.57153399850511999</v>
      </c>
      <c r="S67" s="2">
        <f>S12*'Output-Calculation-sheet'!S56/10^9</f>
        <v>0.55172464080645145</v>
      </c>
      <c r="T67" s="2">
        <f>T12*'Output-Calculation-sheet'!T56/10^9</f>
        <v>0.17772400858852824</v>
      </c>
      <c r="U67" s="2">
        <f>U12*'Output-Calculation-sheet'!U56/10^9</f>
        <v>0.19214506284788951</v>
      </c>
      <c r="V67" s="2">
        <f>V12*'Output-Calculation-sheet'!V56/10^9</f>
        <v>0.13716806317274022</v>
      </c>
      <c r="W67" s="2">
        <f>W12*'Output-Calculation-sheet'!W56/10^9</f>
        <v>9.3015527953456134E-2</v>
      </c>
      <c r="X67" s="2">
        <f>X12*'Output-Calculation-sheet'!X56/10^9</f>
        <v>0.14439376918648997</v>
      </c>
      <c r="Y67" s="2">
        <f>Y12*'Output-Calculation-sheet'!Y56/10^9</f>
        <v>8.6792934358563945E-2</v>
      </c>
      <c r="AA67" s="2">
        <f t="shared" si="4"/>
        <v>32.400287298702871</v>
      </c>
    </row>
    <row r="68" spans="1:27" x14ac:dyDescent="0.25">
      <c r="B68" s="2">
        <f>SUM(B60:B67)</f>
        <v>57.104738478405984</v>
      </c>
      <c r="C68" s="2">
        <f t="shared" ref="C68:Y68" si="5">SUM(C60:C67)</f>
        <v>32.938159153372681</v>
      </c>
      <c r="D68" s="2">
        <f t="shared" si="5"/>
        <v>12.346775013546027</v>
      </c>
      <c r="E68" s="2">
        <f t="shared" si="5"/>
        <v>15.037407397957235</v>
      </c>
      <c r="F68" s="2">
        <f t="shared" si="5"/>
        <v>6.5801312582512308</v>
      </c>
      <c r="G68" s="2">
        <f t="shared" si="5"/>
        <v>4.9601425536182893</v>
      </c>
      <c r="H68" s="2">
        <f t="shared" si="5"/>
        <v>8.3799808040681363</v>
      </c>
      <c r="I68" s="2">
        <f t="shared" si="5"/>
        <v>4.1032493566075434</v>
      </c>
      <c r="J68" s="2">
        <f t="shared" si="5"/>
        <v>5.2342515604490263</v>
      </c>
      <c r="K68" s="2">
        <f t="shared" si="5"/>
        <v>4.0880900314516042</v>
      </c>
      <c r="L68" s="2">
        <f t="shared" si="5"/>
        <v>4.5138496013444502</v>
      </c>
      <c r="M68" s="2">
        <f t="shared" si="5"/>
        <v>6.0595059017236128</v>
      </c>
      <c r="N68" s="2">
        <f t="shared" si="5"/>
        <v>5.0860453374148493</v>
      </c>
      <c r="O68" s="2">
        <f t="shared" si="5"/>
        <v>5.753141842042222</v>
      </c>
      <c r="P68" s="2">
        <f t="shared" si="5"/>
        <v>4.2161814875088428</v>
      </c>
      <c r="Q68" s="2">
        <f t="shared" si="5"/>
        <v>3.9892516333457744</v>
      </c>
      <c r="R68" s="2">
        <f t="shared" si="5"/>
        <v>3.4330379348527416</v>
      </c>
      <c r="S68" s="2">
        <f t="shared" si="5"/>
        <v>3.0621176916131851</v>
      </c>
      <c r="T68" s="2">
        <f t="shared" si="5"/>
        <v>1.2756727680307061</v>
      </c>
      <c r="U68" s="2">
        <f t="shared" si="5"/>
        <v>1.1188583509055281</v>
      </c>
      <c r="V68" s="2">
        <f t="shared" si="5"/>
        <v>1.5052679875190309</v>
      </c>
      <c r="W68" s="2">
        <f t="shared" si="5"/>
        <v>0.67003304658242324</v>
      </c>
      <c r="X68" s="2">
        <f t="shared" si="5"/>
        <v>0.80809756425300938</v>
      </c>
      <c r="Y68" s="2">
        <f t="shared" si="5"/>
        <v>0.45747661965160913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1931.4884120842491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457.51087002872498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312.85658932672447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41.70491284410685</v>
      </c>
      <c r="Y73" s="2">
        <f>Y7/'Output-Calculation-sheet'!Y6*'Output-Calculation-sheet'!Y60</f>
        <v>0</v>
      </c>
      <c r="AA73" s="2">
        <f t="shared" si="6"/>
        <v>2.7435607842838055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4340.4515313026513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1452.1806912035461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969.72275799608951</v>
      </c>
      <c r="N74" s="2">
        <f>N8/'Output-Calculation-sheet'!N7*'Output-Calculation-sheet'!N61</f>
        <v>40.533536248063328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120.17598062490988</v>
      </c>
      <c r="Y74" s="2">
        <f>Y8/'Output-Calculation-sheet'!Y7*'Output-Calculation-sheet'!Y61</f>
        <v>0</v>
      </c>
      <c r="AA74" s="2">
        <f t="shared" si="6"/>
        <v>6.9230644973752602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8615.6252731753593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2481.1514066587815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1684.4113145480444</v>
      </c>
      <c r="N75" s="2">
        <f>N9/'Output-Calculation-sheet'!N8*'Output-Calculation-sheet'!N62</f>
        <v>650.64345278663325</v>
      </c>
      <c r="O75" s="2">
        <f>O9/'Output-Calculation-sheet'!O8*'Output-Calculation-sheet'!O62</f>
        <v>0</v>
      </c>
      <c r="P75" s="2">
        <f>P9/'Output-Calculation-sheet'!P8*'Output-Calculation-sheet'!P62</f>
        <v>43.559553545383174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218.01494002404493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203.36805394784935</v>
      </c>
      <c r="Y75" s="2">
        <f>Y9/'Output-Calculation-sheet'!Y8*'Output-Calculation-sheet'!Y62</f>
        <v>0</v>
      </c>
      <c r="AA75" s="2">
        <f t="shared" si="6"/>
        <v>13.896773994686095</v>
      </c>
    </row>
    <row r="76" spans="1:27" x14ac:dyDescent="0.25">
      <c r="A76" s="2">
        <v>2033</v>
      </c>
      <c r="B76" s="2">
        <f>B10/'Output-Calculation-sheet'!B9*'Output-Calculation-sheet'!B63</f>
        <v>5547.2941537863881</v>
      </c>
      <c r="C76" s="2">
        <f>C10/'Output-Calculation-sheet'!C9*'Output-Calculation-sheet'!C63</f>
        <v>11330.110437807216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3612.4451309384463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94.682214381867794</v>
      </c>
      <c r="L76" s="2">
        <f>L10/'Output-Calculation-sheet'!L9*'Output-Calculation-sheet'!L63</f>
        <v>0</v>
      </c>
      <c r="M76" s="2">
        <f>M10/'Output-Calculation-sheet'!M9*'Output-Calculation-sheet'!M63</f>
        <v>2459.7087386433145</v>
      </c>
      <c r="N76" s="2">
        <f>N10/'Output-Calculation-sheet'!N9*'Output-Calculation-sheet'!N63</f>
        <v>1405.0945417367182</v>
      </c>
      <c r="O76" s="2">
        <f>O10/'Output-Calculation-sheet'!O9*'Output-Calculation-sheet'!O63</f>
        <v>0</v>
      </c>
      <c r="P76" s="2">
        <f>P10/'Output-Calculation-sheet'!P9*'Output-Calculation-sheet'!P63</f>
        <v>487.92051723229486</v>
      </c>
      <c r="Q76" s="2">
        <f>Q10/'Output-Calculation-sheet'!Q9*'Output-Calculation-sheet'!Q63</f>
        <v>220.0717613799973</v>
      </c>
      <c r="R76" s="2">
        <f>R10/'Output-Calculation-sheet'!R9*'Output-Calculation-sheet'!R63</f>
        <v>371.87344254177913</v>
      </c>
      <c r="S76" s="2">
        <f>S10/'Output-Calculation-sheet'!S9*'Output-Calculation-sheet'!S63</f>
        <v>624.81274793771308</v>
      </c>
      <c r="T76" s="2">
        <f>T10/'Output-Calculation-sheet'!T9*'Output-Calculation-sheet'!T63</f>
        <v>25.292573780676641</v>
      </c>
      <c r="U76" s="2">
        <f>U10/'Output-Calculation-sheet'!U9*'Output-Calculation-sheet'!U63</f>
        <v>131.4072419349331</v>
      </c>
      <c r="V76" s="2">
        <f>V10/'Output-Calculation-sheet'!V9*'Output-Calculation-sheet'!V63</f>
        <v>10.083602549782974</v>
      </c>
      <c r="W76" s="2">
        <f>W10/'Output-Calculation-sheet'!W9*'Output-Calculation-sheet'!W63</f>
        <v>0</v>
      </c>
      <c r="X76" s="2">
        <f>X10/'Output-Calculation-sheet'!X9*'Output-Calculation-sheet'!X63</f>
        <v>289.64818193076326</v>
      </c>
      <c r="Y76" s="2">
        <f>Y10/'Output-Calculation-sheet'!Y9*'Output-Calculation-sheet'!Y63</f>
        <v>5.4949973780360022</v>
      </c>
      <c r="AA76" s="2">
        <f t="shared" si="6"/>
        <v>26.61594028395993</v>
      </c>
    </row>
    <row r="77" spans="1:27" x14ac:dyDescent="0.25">
      <c r="A77" s="2">
        <v>2034</v>
      </c>
      <c r="B77" s="2">
        <f>B11/'Output-Calculation-sheet'!B10*'Output-Calculation-sheet'!B64</f>
        <v>13967.694058664905</v>
      </c>
      <c r="C77" s="2">
        <f>C11/'Output-Calculation-sheet'!C10*'Output-Calculation-sheet'!C64</f>
        <v>12270.062153127878</v>
      </c>
      <c r="D77" s="2">
        <f>D11/'Output-Calculation-sheet'!D10*'Output-Calculation-sheet'!D64</f>
        <v>1721.5850853847153</v>
      </c>
      <c r="E77" s="2">
        <f>E11/'Output-Calculation-sheet'!E10*'Output-Calculation-sheet'!E64</f>
        <v>2127.2810680359362</v>
      </c>
      <c r="F77" s="2">
        <f>F11/'Output-Calculation-sheet'!F10*'Output-Calculation-sheet'!F64</f>
        <v>132.45413693176761</v>
      </c>
      <c r="G77" s="2">
        <f>G11/'Output-Calculation-sheet'!G10*'Output-Calculation-sheet'!G64</f>
        <v>909.00156353493583</v>
      </c>
      <c r="H77" s="2">
        <f>H11/'Output-Calculation-sheet'!H10*'Output-Calculation-sheet'!H64</f>
        <v>4503.628922375422</v>
      </c>
      <c r="I77" s="2">
        <f>I11/'Output-Calculation-sheet'!I10*'Output-Calculation-sheet'!I64</f>
        <v>536.25736498583171</v>
      </c>
      <c r="J77" s="2">
        <f>J11/'Output-Calculation-sheet'!J10*'Output-Calculation-sheet'!J64</f>
        <v>382.26909294007578</v>
      </c>
      <c r="K77" s="2">
        <f>K11/'Output-Calculation-sheet'!K10*'Output-Calculation-sheet'!K64</f>
        <v>810.4954958301995</v>
      </c>
      <c r="L77" s="2">
        <f>L11/'Output-Calculation-sheet'!L10*'Output-Calculation-sheet'!L64</f>
        <v>351.91409392887562</v>
      </c>
      <c r="M77" s="2">
        <f>M11/'Output-Calculation-sheet'!M10*'Output-Calculation-sheet'!M64</f>
        <v>3203.2099393371755</v>
      </c>
      <c r="N77" s="2">
        <f>N11/'Output-Calculation-sheet'!N10*'Output-Calculation-sheet'!N64</f>
        <v>2279.0052031693754</v>
      </c>
      <c r="O77" s="2">
        <f>O11/'Output-Calculation-sheet'!O10*'Output-Calculation-sheet'!O64</f>
        <v>79.458788128059297</v>
      </c>
      <c r="P77" s="2">
        <f>P11/'Output-Calculation-sheet'!P10*'Output-Calculation-sheet'!P64</f>
        <v>1005.8684114754701</v>
      </c>
      <c r="Q77" s="2">
        <f>Q11/'Output-Calculation-sheet'!Q10*'Output-Calculation-sheet'!Q64</f>
        <v>573.96976976436019</v>
      </c>
      <c r="R77" s="2">
        <f>R11/'Output-Calculation-sheet'!R10*'Output-Calculation-sheet'!R64</f>
        <v>860.7605662159126</v>
      </c>
      <c r="S77" s="2">
        <f>S11/'Output-Calculation-sheet'!S10*'Output-Calculation-sheet'!S64</f>
        <v>1150.885151710745</v>
      </c>
      <c r="T77" s="2">
        <f>T11/'Output-Calculation-sheet'!T10*'Output-Calculation-sheet'!T64</f>
        <v>236.80833491274208</v>
      </c>
      <c r="U77" s="2">
        <f>U11/'Output-Calculation-sheet'!U10*'Output-Calculation-sheet'!U64</f>
        <v>314.74592235659298</v>
      </c>
      <c r="V77" s="2">
        <f>V11/'Output-Calculation-sheet'!V10*'Output-Calculation-sheet'!V64</f>
        <v>125.46727955514223</v>
      </c>
      <c r="W77" s="2">
        <f>W11/'Output-Calculation-sheet'!W10*'Output-Calculation-sheet'!W64</f>
        <v>26.509419273047435</v>
      </c>
      <c r="X77" s="2">
        <f>X11/'Output-Calculation-sheet'!X10*'Output-Calculation-sheet'!X64</f>
        <v>325.48013265236773</v>
      </c>
      <c r="Y77" s="2">
        <f>Y11/'Output-Calculation-sheet'!Y10*'Output-Calculation-sheet'!Y64</f>
        <v>78.807371217047432</v>
      </c>
      <c r="AA77" s="2">
        <f t="shared" si="6"/>
        <v>47.973619325508579</v>
      </c>
    </row>
    <row r="78" spans="1:27" x14ac:dyDescent="0.25">
      <c r="A78" s="2">
        <v>2035</v>
      </c>
      <c r="B78" s="2">
        <f>B12/'Output-Calculation-sheet'!B11*'Output-Calculation-sheet'!B65</f>
        <v>18228.841789320752</v>
      </c>
      <c r="C78" s="2">
        <f>C12/'Output-Calculation-sheet'!C11*'Output-Calculation-sheet'!C65</f>
        <v>12872.821436752831</v>
      </c>
      <c r="D78" s="2">
        <f>D12/'Output-Calculation-sheet'!D11*'Output-Calculation-sheet'!D65</f>
        <v>1935.2832394339823</v>
      </c>
      <c r="E78" s="2">
        <f>E12/'Output-Calculation-sheet'!E11*'Output-Calculation-sheet'!E65</f>
        <v>3678.9219898839237</v>
      </c>
      <c r="F78" s="2">
        <f>F12/'Output-Calculation-sheet'!F11*'Output-Calculation-sheet'!F65</f>
        <v>779.26183720684242</v>
      </c>
      <c r="G78" s="2">
        <f>G12/'Output-Calculation-sheet'!G11*'Output-Calculation-sheet'!G65</f>
        <v>1462.1921426010185</v>
      </c>
      <c r="H78" s="2">
        <f>H12/'Output-Calculation-sheet'!H11*'Output-Calculation-sheet'!H65</f>
        <v>4707.681953463918</v>
      </c>
      <c r="I78" s="2">
        <f>I12/'Output-Calculation-sheet'!I11*'Output-Calculation-sheet'!I65</f>
        <v>859.81523434252665</v>
      </c>
      <c r="J78" s="2">
        <f>J12/'Output-Calculation-sheet'!J11*'Output-Calculation-sheet'!J65</f>
        <v>771.10953130253256</v>
      </c>
      <c r="K78" s="2">
        <f>K12/'Output-Calculation-sheet'!K11*'Output-Calculation-sheet'!K65</f>
        <v>973.10288709357565</v>
      </c>
      <c r="L78" s="2">
        <f>L12/'Output-Calculation-sheet'!L11*'Output-Calculation-sheet'!L65</f>
        <v>578.59426153894685</v>
      </c>
      <c r="M78" s="2">
        <f>M12/'Output-Calculation-sheet'!M11*'Output-Calculation-sheet'!M65</f>
        <v>3351.0689429771737</v>
      </c>
      <c r="N78" s="2">
        <f>N12/'Output-Calculation-sheet'!N11*'Output-Calculation-sheet'!N65</f>
        <v>2356.3426275394431</v>
      </c>
      <c r="O78" s="2">
        <f>O12/'Output-Calculation-sheet'!O11*'Output-Calculation-sheet'!O65</f>
        <v>330.32878410179711</v>
      </c>
      <c r="P78" s="2">
        <f>P12/'Output-Calculation-sheet'!P11*'Output-Calculation-sheet'!P65</f>
        <v>1339.5559012076808</v>
      </c>
      <c r="Q78" s="2">
        <f>Q12/'Output-Calculation-sheet'!Q11*'Output-Calculation-sheet'!Q65</f>
        <v>673.78332854730979</v>
      </c>
      <c r="R78" s="2">
        <f>R12/'Output-Calculation-sheet'!R11*'Output-Calculation-sheet'!R65</f>
        <v>1110.5987933681101</v>
      </c>
      <c r="S78" s="2">
        <f>S12/'Output-Calculation-sheet'!S11*'Output-Calculation-sheet'!S65</f>
        <v>1252.926847583884</v>
      </c>
      <c r="T78" s="2">
        <f>T12/'Output-Calculation-sheet'!T11*'Output-Calculation-sheet'!T65</f>
        <v>399.34547971633162</v>
      </c>
      <c r="U78" s="2">
        <f>U12/'Output-Calculation-sheet'!U11*'Output-Calculation-sheet'!U65</f>
        <v>342.16514769953631</v>
      </c>
      <c r="V78" s="2">
        <f>V12/'Output-Calculation-sheet'!V11*'Output-Calculation-sheet'!V65</f>
        <v>215.51839910998311</v>
      </c>
      <c r="W78" s="2">
        <f>W12/'Output-Calculation-sheet'!W11*'Output-Calculation-sheet'!W65</f>
        <v>151.79648397280386</v>
      </c>
      <c r="X78" s="2">
        <f>X12/'Output-Calculation-sheet'!X11*'Output-Calculation-sheet'!X65</f>
        <v>345.38587153201962</v>
      </c>
      <c r="Y78" s="2">
        <f>Y12/'Output-Calculation-sheet'!Y11*'Output-Calculation-sheet'!Y65</f>
        <v>148.16842792464504</v>
      </c>
      <c r="AA78" s="2">
        <f t="shared" si="6"/>
        <v>58.864611338221565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76.939468295261676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89.683613056855989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0.16662308135211765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265.62267132936137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189.21224367600789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0.45483491500536921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192.92240610802781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299.83706763681118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0.49275947374483897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408.9259190026786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397.21652511746936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0.80614244412014791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850.76571321490928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32.736522856216538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22.525931177257373</v>
      </c>
      <c r="N88" s="2">
        <f>N11/'Output-Calculation-sheet'!N10*'Output-Calculation-sheet'!N73</f>
        <v>0</v>
      </c>
      <c r="O88" s="2">
        <f>O11/'Output-Calculation-sheet'!O10*'Output-Calculation-sheet'!O73</f>
        <v>475.18256030820686</v>
      </c>
      <c r="P88" s="2">
        <f>P11/'Output-Calculation-sheet'!P10*'Output-Calculation-sheet'!P73</f>
        <v>0</v>
      </c>
      <c r="Q88" s="2">
        <f>Q11/'Output-Calculation-sheet'!Q10*'Output-Calculation-sheet'!Q73</f>
        <v>19.397423783858066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2.4711501810948717</v>
      </c>
      <c r="Y88" s="2">
        <f>Y11/'Output-Calculation-sheet'!Y10*'Output-Calculation-sheet'!Y73</f>
        <v>0</v>
      </c>
      <c r="AA88" s="2">
        <f t="shared" si="7"/>
        <v>1.4030793015215428</v>
      </c>
    </row>
    <row r="89" spans="1:27" x14ac:dyDescent="0.25">
      <c r="A89" s="2">
        <v>2035</v>
      </c>
      <c r="B89" s="2">
        <f>B12/'Output-Calculation-sheet'!B11*'Output-Calculation-sheet'!B74</f>
        <v>459.50043581761867</v>
      </c>
      <c r="C89" s="2">
        <f>C12/'Output-Calculation-sheet'!C11*'Output-Calculation-sheet'!C74</f>
        <v>1417.5795095152671</v>
      </c>
      <c r="D89" s="2">
        <f>D12/'Output-Calculation-sheet'!D11*'Output-Calculation-sheet'!D74</f>
        <v>193.1902410216104</v>
      </c>
      <c r="E89" s="2">
        <f>E12/'Output-Calculation-sheet'!E11*'Output-Calculation-sheet'!E74</f>
        <v>153.53471151154659</v>
      </c>
      <c r="F89" s="2">
        <f>F12/'Output-Calculation-sheet'!F11*'Output-Calculation-sheet'!F74</f>
        <v>48.281402553088128</v>
      </c>
      <c r="G89" s="2">
        <f>G12/'Output-Calculation-sheet'!G11*'Output-Calculation-sheet'!G74</f>
        <v>69.30149024129193</v>
      </c>
      <c r="H89" s="2">
        <f>H12/'Output-Calculation-sheet'!H11*'Output-Calculation-sheet'!H74</f>
        <v>167.83658548065247</v>
      </c>
      <c r="I89" s="2">
        <f>I12/'Output-Calculation-sheet'!I11*'Output-Calculation-sheet'!I74</f>
        <v>62.332552873896375</v>
      </c>
      <c r="J89" s="2">
        <f>J12/'Output-Calculation-sheet'!J11*'Output-Calculation-sheet'!J74</f>
        <v>30.8443812521013</v>
      </c>
      <c r="K89" s="2">
        <f>K12/'Output-Calculation-sheet'!K11*'Output-Calculation-sheet'!K74</f>
        <v>61.263087830116824</v>
      </c>
      <c r="L89" s="2">
        <f>L12/'Output-Calculation-sheet'!L11*'Output-Calculation-sheet'!L74</f>
        <v>48.713471819738736</v>
      </c>
      <c r="M89" s="2">
        <f>M12/'Output-Calculation-sheet'!M11*'Output-Calculation-sheet'!M74</f>
        <v>92.390395648757575</v>
      </c>
      <c r="N89" s="2">
        <f>N12/'Output-Calculation-sheet'!N11*'Output-Calculation-sheet'!N74</f>
        <v>68.103700289199494</v>
      </c>
      <c r="O89" s="2">
        <f>O12/'Output-Calculation-sheet'!O11*'Output-Calculation-sheet'!O74</f>
        <v>550.79512516172167</v>
      </c>
      <c r="P89" s="2">
        <f>P12/'Output-Calculation-sheet'!P11*'Output-Calculation-sheet'!P74</f>
        <v>41.943698569298327</v>
      </c>
      <c r="Q89" s="2">
        <f>Q12/'Output-Calculation-sheet'!Q11*'Output-Calculation-sheet'!Q74</f>
        <v>59.669086835574731</v>
      </c>
      <c r="R89" s="2">
        <f>R12/'Output-Calculation-sheet'!R11*'Output-Calculation-sheet'!R74</f>
        <v>39.448683741274827</v>
      </c>
      <c r="S89" s="2">
        <f>S12/'Output-Calculation-sheet'!S11*'Output-Calculation-sheet'!S74</f>
        <v>39.039286084124264</v>
      </c>
      <c r="T89" s="2">
        <f>T12/'Output-Calculation-sheet'!T11*'Output-Calculation-sheet'!T74</f>
        <v>7.2973134712897512</v>
      </c>
      <c r="U89" s="2">
        <f>U12/'Output-Calculation-sheet'!U11*'Output-Calculation-sheet'!U74</f>
        <v>12.692056370768066</v>
      </c>
      <c r="V89" s="2">
        <f>V12/'Output-Calculation-sheet'!V11*'Output-Calculation-sheet'!V74</f>
        <v>4.8933632838358676</v>
      </c>
      <c r="W89" s="2">
        <f>W12/'Output-Calculation-sheet'!W11*'Output-Calculation-sheet'!W74</f>
        <v>4.237284612907656</v>
      </c>
      <c r="X89" s="2">
        <f>X12/'Output-Calculation-sheet'!X11*'Output-Calculation-sheet'!X74</f>
        <v>15.203181245356971</v>
      </c>
      <c r="Y89" s="2">
        <f>Y12/'Output-Calculation-sheet'!Y11*'Output-Calculation-sheet'!Y74</f>
        <v>4.890450628753034</v>
      </c>
      <c r="AA89" s="2">
        <f t="shared" si="7"/>
        <v>3.6529814958597902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1629246374.5792322</v>
      </c>
      <c r="C93" s="2">
        <f>C5/'Output-Calculation-sheet'!C4*'Output-Calculation-sheet'!C76</f>
        <v>539760133.46424901</v>
      </c>
      <c r="D93" s="2">
        <f>D5/'Output-Calculation-sheet'!D4*'Output-Calculation-sheet'!D76</f>
        <v>597466261.48821986</v>
      </c>
      <c r="E93" s="2">
        <f>E5/'Output-Calculation-sheet'!E4*'Output-Calculation-sheet'!E76</f>
        <v>999744858.77362835</v>
      </c>
      <c r="F93" s="2">
        <f>F5/'Output-Calculation-sheet'!F4*'Output-Calculation-sheet'!F76</f>
        <v>429568478.24697286</v>
      </c>
      <c r="G93" s="2">
        <f>G5/'Output-Calculation-sheet'!G4*'Output-Calculation-sheet'!G76</f>
        <v>334098303.34714204</v>
      </c>
      <c r="H93" s="2">
        <f>H5/'Output-Calculation-sheet'!H4*'Output-Calculation-sheet'!H76</f>
        <v>282609225.61553085</v>
      </c>
      <c r="I93" s="2">
        <f>I5/'Output-Calculation-sheet'!I4*'Output-Calculation-sheet'!I76</f>
        <v>231901569.20781788</v>
      </c>
      <c r="J93" s="2">
        <f>J5/'Output-Calculation-sheet'!J4*'Output-Calculation-sheet'!J76</f>
        <v>157365768.15576404</v>
      </c>
      <c r="K93" s="2">
        <f>K5/'Output-Calculation-sheet'!K4*'Output-Calculation-sheet'!K76</f>
        <v>229999353.40538996</v>
      </c>
      <c r="L93" s="2">
        <f>L5/'Output-Calculation-sheet'!L4*'Output-Calculation-sheet'!L76</f>
        <v>153526242.26344407</v>
      </c>
      <c r="M93" s="2">
        <f>M5/'Output-Calculation-sheet'!M4*'Output-Calculation-sheet'!M76</f>
        <v>206464973.09713775</v>
      </c>
      <c r="N93" s="2">
        <f>N5/'Output-Calculation-sheet'!N4*'Output-Calculation-sheet'!N76</f>
        <v>155905265.13577422</v>
      </c>
      <c r="O93" s="2">
        <f>O5/'Output-Calculation-sheet'!O4*'Output-Calculation-sheet'!O76</f>
        <v>76095446.181501076</v>
      </c>
      <c r="P93" s="2">
        <f>P5/'Output-Calculation-sheet'!P4*'Output-Calculation-sheet'!P76</f>
        <v>270130008.26512927</v>
      </c>
      <c r="Q93" s="2">
        <f>Q5/'Output-Calculation-sheet'!Q4*'Output-Calculation-sheet'!Q76</f>
        <v>124015686.12279825</v>
      </c>
      <c r="R93" s="2">
        <f>R5/'Output-Calculation-sheet'!R4*'Output-Calculation-sheet'!R76</f>
        <v>155177627.20317355</v>
      </c>
      <c r="S93" s="2">
        <f>S5/'Output-Calculation-sheet'!S4*'Output-Calculation-sheet'!S76</f>
        <v>91420680.882570475</v>
      </c>
      <c r="T93" s="2">
        <f>T5/'Output-Calculation-sheet'!T4*'Output-Calculation-sheet'!T76</f>
        <v>70299511.893065676</v>
      </c>
      <c r="U93" s="2">
        <f>U5/'Output-Calculation-sheet'!U4*'Output-Calculation-sheet'!U76</f>
        <v>45574782.200702898</v>
      </c>
      <c r="V93" s="2">
        <f>V5/'Output-Calculation-sheet'!V4*'Output-Calculation-sheet'!V76</f>
        <v>23360222.420539867</v>
      </c>
      <c r="W93" s="2">
        <f>W5/'Output-Calculation-sheet'!W4*'Output-Calculation-sheet'!W76</f>
        <v>65435100.510446936</v>
      </c>
      <c r="X93" s="2">
        <f>X5/'Output-Calculation-sheet'!X4*'Output-Calculation-sheet'!X76</f>
        <v>22710849.810509179</v>
      </c>
      <c r="Y93" s="2">
        <f>Y5/'Output-Calculation-sheet'!Y4*'Output-Calculation-sheet'!Y76</f>
        <v>35772196.627414413</v>
      </c>
      <c r="AA93" s="2">
        <f t="shared" ref="AA93:AA100" si="8">SUM(B93:Y93)/10^9</f>
        <v>6.9276489188981536</v>
      </c>
    </row>
    <row r="94" spans="1:27" x14ac:dyDescent="0.25">
      <c r="A94" s="2">
        <v>2029</v>
      </c>
      <c r="B94" s="2">
        <f>B6/'Output-Calculation-sheet'!B5*'Output-Calculation-sheet'!B77</f>
        <v>4248991140.1462688</v>
      </c>
      <c r="C94" s="2">
        <f>C6/'Output-Calculation-sheet'!C5*'Output-Calculation-sheet'!C77</f>
        <v>1417228436.9684463</v>
      </c>
      <c r="D94" s="2">
        <f>D6/'Output-Calculation-sheet'!D5*'Output-Calculation-sheet'!D77</f>
        <v>1559324056.9586747</v>
      </c>
      <c r="E94" s="2">
        <f>E6/'Output-Calculation-sheet'!E5*'Output-Calculation-sheet'!E77</f>
        <v>2652057527.8578758</v>
      </c>
      <c r="F94" s="2">
        <f>F6/'Output-Calculation-sheet'!F5*'Output-Calculation-sheet'!F77</f>
        <v>1119745954.2854421</v>
      </c>
      <c r="G94" s="2">
        <f>G6/'Output-Calculation-sheet'!G5*'Output-Calculation-sheet'!G77</f>
        <v>883016422.89512682</v>
      </c>
      <c r="H94" s="2">
        <f>H6/'Output-Calculation-sheet'!H5*'Output-Calculation-sheet'!H77</f>
        <v>742166857.0713712</v>
      </c>
      <c r="I94" s="2">
        <f>I6/'Output-Calculation-sheet'!I5*'Output-Calculation-sheet'!I77</f>
        <v>603035751.25771022</v>
      </c>
      <c r="J94" s="2">
        <f>J6/'Output-Calculation-sheet'!J5*'Output-Calculation-sheet'!J77</f>
        <v>414280959.45719826</v>
      </c>
      <c r="K94" s="2">
        <f>K6/'Output-Calculation-sheet'!K5*'Output-Calculation-sheet'!K77</f>
        <v>596892926.52941906</v>
      </c>
      <c r="L94" s="2">
        <f>L6/'Output-Calculation-sheet'!L5*'Output-Calculation-sheet'!L77</f>
        <v>403401186.66627371</v>
      </c>
      <c r="M94" s="2">
        <f>M6/'Output-Calculation-sheet'!M5*'Output-Calculation-sheet'!M77</f>
        <v>547013898.45106816</v>
      </c>
      <c r="N94" s="2">
        <f>N6/'Output-Calculation-sheet'!N5*'Output-Calculation-sheet'!N77</f>
        <v>413819430.23757708</v>
      </c>
      <c r="O94" s="2">
        <f>O6/'Output-Calculation-sheet'!O5*'Output-Calculation-sheet'!O77</f>
        <v>203244792.26279789</v>
      </c>
      <c r="P94" s="2">
        <f>P6/'Output-Calculation-sheet'!P5*'Output-Calculation-sheet'!P77</f>
        <v>707704331.91354501</v>
      </c>
      <c r="Q94" s="2">
        <f>Q6/'Output-Calculation-sheet'!Q5*'Output-Calculation-sheet'!Q77</f>
        <v>326932133.67693597</v>
      </c>
      <c r="R94" s="2">
        <f>R6/'Output-Calculation-sheet'!R5*'Output-Calculation-sheet'!R77</f>
        <v>405903386.49793798</v>
      </c>
      <c r="S94" s="2">
        <f>S6/'Output-Calculation-sheet'!S5*'Output-Calculation-sheet'!S77</f>
        <v>238331140.03725183</v>
      </c>
      <c r="T94" s="2">
        <f>T6/'Output-Calculation-sheet'!T5*'Output-Calculation-sheet'!T77</f>
        <v>183849036.31867337</v>
      </c>
      <c r="U94" s="2">
        <f>U6/'Output-Calculation-sheet'!U5*'Output-Calculation-sheet'!U77</f>
        <v>116379427.17650668</v>
      </c>
      <c r="V94" s="2">
        <f>V6/'Output-Calculation-sheet'!V5*'Output-Calculation-sheet'!V77</f>
        <v>59693977.66134657</v>
      </c>
      <c r="W94" s="2">
        <f>W6/'Output-Calculation-sheet'!W5*'Output-Calculation-sheet'!W77</f>
        <v>173214548.15327573</v>
      </c>
      <c r="X94" s="2">
        <f>X6/'Output-Calculation-sheet'!X5*'Output-Calculation-sheet'!X77</f>
        <v>59901127.037608653</v>
      </c>
      <c r="Y94" s="2">
        <f>Y6/'Output-Calculation-sheet'!Y5*'Output-Calculation-sheet'!Y77</f>
        <v>94974270.172473267</v>
      </c>
      <c r="AA94" s="2">
        <f t="shared" si="8"/>
        <v>18.171102719690804</v>
      </c>
    </row>
    <row r="95" spans="1:27" x14ac:dyDescent="0.25">
      <c r="A95" s="2">
        <v>2030</v>
      </c>
      <c r="B95" s="2">
        <f>B7/'Output-Calculation-sheet'!B6*'Output-Calculation-sheet'!B78</f>
        <v>7622328020.5885344</v>
      </c>
      <c r="C95" s="2">
        <f>C7/'Output-Calculation-sheet'!C6*'Output-Calculation-sheet'!C78</f>
        <v>2559416802.8664169</v>
      </c>
      <c r="D95" s="2">
        <f>D7/'Output-Calculation-sheet'!D6*'Output-Calculation-sheet'!D78</f>
        <v>2801901360.943625</v>
      </c>
      <c r="E95" s="2">
        <f>E7/'Output-Calculation-sheet'!E6*'Output-Calculation-sheet'!E78</f>
        <v>4843783956.8494005</v>
      </c>
      <c r="F95" s="2">
        <f>F7/'Output-Calculation-sheet'!F6*'Output-Calculation-sheet'!F78</f>
        <v>2008323607.602324</v>
      </c>
      <c r="G95" s="2">
        <f>G7/'Output-Calculation-sheet'!G6*'Output-Calculation-sheet'!G78</f>
        <v>1606733832.0526998</v>
      </c>
      <c r="H95" s="2">
        <f>H7/'Output-Calculation-sheet'!H6*'Output-Calculation-sheet'!H78</f>
        <v>1340954957.3614662</v>
      </c>
      <c r="I95" s="2">
        <f>I7/'Output-Calculation-sheet'!I6*'Output-Calculation-sheet'!I78</f>
        <v>1079178861.6099992</v>
      </c>
      <c r="J95" s="2">
        <f>J7/'Output-Calculation-sheet'!J6*'Output-Calculation-sheet'!J78</f>
        <v>750951927.84988725</v>
      </c>
      <c r="K95" s="2">
        <f>K7/'Output-Calculation-sheet'!K6*'Output-Calculation-sheet'!K78</f>
        <v>1065953799.0144868</v>
      </c>
      <c r="L95" s="2">
        <f>L7/'Output-Calculation-sheet'!L6*'Output-Calculation-sheet'!L78</f>
        <v>729509653.29521561</v>
      </c>
      <c r="M95" s="2">
        <f>M7/'Output-Calculation-sheet'!M6*'Output-Calculation-sheet'!M78</f>
        <v>997707111.165254</v>
      </c>
      <c r="N95" s="2">
        <f>N7/'Output-Calculation-sheet'!N6*'Output-Calculation-sheet'!N78</f>
        <v>756275572.99651313</v>
      </c>
      <c r="O95" s="2">
        <f>O7/'Output-Calculation-sheet'!O6*'Output-Calculation-sheet'!O78</f>
        <v>373667521.16483265</v>
      </c>
      <c r="P95" s="2">
        <f>P7/'Output-Calculation-sheet'!P6*'Output-Calculation-sheet'!P78</f>
        <v>1275443685.135396</v>
      </c>
      <c r="Q95" s="2">
        <f>Q7/'Output-Calculation-sheet'!Q6*'Output-Calculation-sheet'!Q78</f>
        <v>593325787.36160111</v>
      </c>
      <c r="R95" s="2">
        <f>R7/'Output-Calculation-sheet'!R6*'Output-Calculation-sheet'!R78</f>
        <v>730508225.01357377</v>
      </c>
      <c r="S95" s="2">
        <f>S7/'Output-Calculation-sheet'!S6*'Output-Calculation-sheet'!S78</f>
        <v>427431739.34490931</v>
      </c>
      <c r="T95" s="2">
        <f>T7/'Output-Calculation-sheet'!T6*'Output-Calculation-sheet'!T78</f>
        <v>330867905.35257918</v>
      </c>
      <c r="U95" s="2">
        <f>U7/'Output-Calculation-sheet'!U6*'Output-Calculation-sheet'!U78</f>
        <v>204254186.57971448</v>
      </c>
      <c r="V95" s="2">
        <f>V7/'Output-Calculation-sheet'!V6*'Output-Calculation-sheet'!V78</f>
        <v>104826703.04075125</v>
      </c>
      <c r="W95" s="2">
        <f>W7/'Output-Calculation-sheet'!W6*'Output-Calculation-sheet'!W78</f>
        <v>315675389.25910026</v>
      </c>
      <c r="X95" s="2">
        <f>X7/'Output-Calculation-sheet'!X6*'Output-Calculation-sheet'!X78</f>
        <v>108772444.86513057</v>
      </c>
      <c r="Y95" s="2">
        <f>Y7/'Output-Calculation-sheet'!Y6*'Output-Calculation-sheet'!Y78</f>
        <v>173608059.39965627</v>
      </c>
      <c r="AA95" s="2">
        <f t="shared" si="8"/>
        <v>32.80140111071308</v>
      </c>
    </row>
    <row r="96" spans="1:27" x14ac:dyDescent="0.25">
      <c r="A96" s="2">
        <v>2031</v>
      </c>
      <c r="B96" s="2">
        <f>B8/'Output-Calculation-sheet'!B7*'Output-Calculation-sheet'!B79</f>
        <v>11681692075.137392</v>
      </c>
      <c r="C96" s="2">
        <f>C8/'Output-Calculation-sheet'!C7*'Output-Calculation-sheet'!C79</f>
        <v>3951969520.3944159</v>
      </c>
      <c r="D96" s="2">
        <f>D8/'Output-Calculation-sheet'!D7*'Output-Calculation-sheet'!D79</f>
        <v>4125595911.6740398</v>
      </c>
      <c r="E96" s="2">
        <f>E8/'Output-Calculation-sheet'!E7*'Output-Calculation-sheet'!E79</f>
        <v>7334958257.4133596</v>
      </c>
      <c r="F96" s="2">
        <f>F8/'Output-Calculation-sheet'!F7*'Output-Calculation-sheet'!F79</f>
        <v>3035866942.6137419</v>
      </c>
      <c r="G96" s="2">
        <f>G8/'Output-Calculation-sheet'!G7*'Output-Calculation-sheet'!G79</f>
        <v>2364690716.6098404</v>
      </c>
      <c r="H96" s="2">
        <f>H8/'Output-Calculation-sheet'!H7*'Output-Calculation-sheet'!H79</f>
        <v>2024041706.7967191</v>
      </c>
      <c r="I96" s="2">
        <f>I8/'Output-Calculation-sheet'!I7*'Output-Calculation-sheet'!I79</f>
        <v>1647258480.8925126</v>
      </c>
      <c r="J96" s="2">
        <f>J8/'Output-Calculation-sheet'!J7*'Output-Calculation-sheet'!J79</f>
        <v>1113918732.5750294</v>
      </c>
      <c r="K96" s="2">
        <f>K8/'Output-Calculation-sheet'!K7*'Output-Calculation-sheet'!K79</f>
        <v>1593685418.8572526</v>
      </c>
      <c r="L96" s="2">
        <f>L8/'Output-Calculation-sheet'!L7*'Output-Calculation-sheet'!L79</f>
        <v>1124503044.8336525</v>
      </c>
      <c r="M96" s="2">
        <f>M8/'Output-Calculation-sheet'!M7*'Output-Calculation-sheet'!M79</f>
        <v>1510907988.8496525</v>
      </c>
      <c r="N96" s="2">
        <f>N8/'Output-Calculation-sheet'!N7*'Output-Calculation-sheet'!N79</f>
        <v>1124235875.7198522</v>
      </c>
      <c r="O96" s="2">
        <f>O8/'Output-Calculation-sheet'!O7*'Output-Calculation-sheet'!O79</f>
        <v>568339740.51884532</v>
      </c>
      <c r="P96" s="2">
        <f>P8/'Output-Calculation-sheet'!P7*'Output-Calculation-sheet'!P79</f>
        <v>1900977231.5151753</v>
      </c>
      <c r="Q96" s="2">
        <f>Q8/'Output-Calculation-sheet'!Q7*'Output-Calculation-sheet'!Q79</f>
        <v>885936699.43870318</v>
      </c>
      <c r="R96" s="2">
        <f>R8/'Output-Calculation-sheet'!R7*'Output-Calculation-sheet'!R79</f>
        <v>1105311347.2241697</v>
      </c>
      <c r="S96" s="2">
        <f>S8/'Output-Calculation-sheet'!S7*'Output-Calculation-sheet'!S79</f>
        <v>644047019.66899276</v>
      </c>
      <c r="T96" s="2">
        <f>T8/'Output-Calculation-sheet'!T7*'Output-Calculation-sheet'!T79</f>
        <v>491903654.95478189</v>
      </c>
      <c r="U96" s="2">
        <f>U8/'Output-Calculation-sheet'!U7*'Output-Calculation-sheet'!U79</f>
        <v>309001233.68281412</v>
      </c>
      <c r="V96" s="2">
        <f>V8/'Output-Calculation-sheet'!V7*'Output-Calculation-sheet'!V79</f>
        <v>160325953.66247228</v>
      </c>
      <c r="W96" s="2">
        <f>W8/'Output-Calculation-sheet'!W7*'Output-Calculation-sheet'!W79</f>
        <v>473750195.00117415</v>
      </c>
      <c r="X96" s="2">
        <f>X8/'Output-Calculation-sheet'!X7*'Output-Calculation-sheet'!X79</f>
        <v>166509786.64614531</v>
      </c>
      <c r="Y96" s="2">
        <f>Y8/'Output-Calculation-sheet'!Y7*'Output-Calculation-sheet'!Y79</f>
        <v>260419010.29651213</v>
      </c>
      <c r="AA96" s="2">
        <f t="shared" si="8"/>
        <v>49.599846544977247</v>
      </c>
    </row>
    <row r="97" spans="1:27" x14ac:dyDescent="0.25">
      <c r="A97" s="2">
        <v>2032</v>
      </c>
      <c r="B97" s="2">
        <f>B9/'Output-Calculation-sheet'!B8*'Output-Calculation-sheet'!B80</f>
        <v>15899406565.651165</v>
      </c>
      <c r="C97" s="2">
        <f>C9/'Output-Calculation-sheet'!C8*'Output-Calculation-sheet'!C80</f>
        <v>5415423577.5952425</v>
      </c>
      <c r="D97" s="2">
        <f>D9/'Output-Calculation-sheet'!D8*'Output-Calculation-sheet'!D80</f>
        <v>5395942441.3103943</v>
      </c>
      <c r="E97" s="2">
        <f>E9/'Output-Calculation-sheet'!E8*'Output-Calculation-sheet'!E80</f>
        <v>9868371483.1226311</v>
      </c>
      <c r="F97" s="2">
        <f>F9/'Output-Calculation-sheet'!F8*'Output-Calculation-sheet'!F80</f>
        <v>4076625059.0021639</v>
      </c>
      <c r="G97" s="2">
        <f>G9/'Output-Calculation-sheet'!G8*'Output-Calculation-sheet'!G80</f>
        <v>3085781198.52318</v>
      </c>
      <c r="H97" s="2">
        <f>H9/'Output-Calculation-sheet'!H8*'Output-Calculation-sheet'!H80</f>
        <v>2714864181.7011204</v>
      </c>
      <c r="I97" s="2">
        <f>I9/'Output-Calculation-sheet'!I8*'Output-Calculation-sheet'!I80</f>
        <v>2233227735.4001245</v>
      </c>
      <c r="J97" s="2">
        <f>J9/'Output-Calculation-sheet'!J8*'Output-Calculation-sheet'!J80</f>
        <v>1468141108.1539049</v>
      </c>
      <c r="K97" s="2">
        <f>K9/'Output-Calculation-sheet'!K8*'Output-Calculation-sheet'!K80</f>
        <v>2116634735.6266825</v>
      </c>
      <c r="L97" s="2">
        <f>L9/'Output-Calculation-sheet'!L8*'Output-Calculation-sheet'!L80</f>
        <v>1540559463.5053246</v>
      </c>
      <c r="M97" s="2">
        <f>M9/'Output-Calculation-sheet'!M8*'Output-Calculation-sheet'!M80</f>
        <v>2032595861.1189713</v>
      </c>
      <c r="N97" s="2">
        <f>N9/'Output-Calculation-sheet'!N8*'Output-Calculation-sheet'!N80</f>
        <v>1485083037.7438245</v>
      </c>
      <c r="O97" s="2">
        <f>O9/'Output-Calculation-sheet'!O8*'Output-Calculation-sheet'!O80</f>
        <v>768284699.28667402</v>
      </c>
      <c r="P97" s="2">
        <f>P9/'Output-Calculation-sheet'!P8*'Output-Calculation-sheet'!P80</f>
        <v>2513683067.8721557</v>
      </c>
      <c r="Q97" s="2">
        <f>Q9/'Output-Calculation-sheet'!Q8*'Output-Calculation-sheet'!Q80</f>
        <v>1175804546.403151</v>
      </c>
      <c r="R97" s="2">
        <f>R9/'Output-Calculation-sheet'!R8*'Output-Calculation-sheet'!R80</f>
        <v>1485626047.7741487</v>
      </c>
      <c r="S97" s="2">
        <f>S9/'Output-Calculation-sheet'!S8*'Output-Calculation-sheet'!S80</f>
        <v>862253059.23785114</v>
      </c>
      <c r="T97" s="2">
        <f>T9/'Output-Calculation-sheet'!T8*'Output-Calculation-sheet'!T80</f>
        <v>649306878.24572706</v>
      </c>
      <c r="U97" s="2">
        <f>U9/'Output-Calculation-sheet'!U8*'Output-Calculation-sheet'!U80</f>
        <v>415097230.53504336</v>
      </c>
      <c r="V97" s="2">
        <f>V9/'Output-Calculation-sheet'!V8*'Output-Calculation-sheet'!V80</f>
        <v>217652249.77678126</v>
      </c>
      <c r="W97" s="2">
        <f>W9/'Output-Calculation-sheet'!W8*'Output-Calculation-sheet'!W80</f>
        <v>630325120.84385753</v>
      </c>
      <c r="X97" s="2">
        <f>X9/'Output-Calculation-sheet'!X8*'Output-Calculation-sheet'!X80</f>
        <v>226347545.72646007</v>
      </c>
      <c r="Y97" s="2">
        <f>Y9/'Output-Calculation-sheet'!Y8*'Output-Calculation-sheet'!Y80</f>
        <v>346467487.24404573</v>
      </c>
      <c r="AA97" s="2">
        <f t="shared" si="8"/>
        <v>66.623504381400636</v>
      </c>
    </row>
    <row r="98" spans="1:27" x14ac:dyDescent="0.25">
      <c r="A98" s="2">
        <v>2033</v>
      </c>
      <c r="B98" s="2">
        <f>B10/'Output-Calculation-sheet'!B9*'Output-Calculation-sheet'!B81</f>
        <v>20211663392.664005</v>
      </c>
      <c r="C98" s="2">
        <f>C10/'Output-Calculation-sheet'!C9*'Output-Calculation-sheet'!C81</f>
        <v>6929560481.1988306</v>
      </c>
      <c r="D98" s="2">
        <f>D10/'Output-Calculation-sheet'!D9*'Output-Calculation-sheet'!D81</f>
        <v>6594831003.8937397</v>
      </c>
      <c r="E98" s="2">
        <f>E10/'Output-Calculation-sheet'!E9*'Output-Calculation-sheet'!E81</f>
        <v>12405292063.284777</v>
      </c>
      <c r="F98" s="2">
        <f>F10/'Output-Calculation-sheet'!F9*'Output-Calculation-sheet'!F81</f>
        <v>5116242296.2392035</v>
      </c>
      <c r="G98" s="2">
        <f>G10/'Output-Calculation-sheet'!G9*'Output-Calculation-sheet'!G81</f>
        <v>3756501631.0482745</v>
      </c>
      <c r="H98" s="2">
        <f>H10/'Output-Calculation-sheet'!H9*'Output-Calculation-sheet'!H81</f>
        <v>3403421169.2719846</v>
      </c>
      <c r="I98" s="2">
        <f>I10/'Output-Calculation-sheet'!I9*'Output-Calculation-sheet'!I81</f>
        <v>2829247770.2067966</v>
      </c>
      <c r="J98" s="2">
        <f>J10/'Output-Calculation-sheet'!J9*'Output-Calculation-sheet'!J81</f>
        <v>1809092334.4977603</v>
      </c>
      <c r="K98" s="2">
        <f>K10/'Output-Calculation-sheet'!K9*'Output-Calculation-sheet'!K81</f>
        <v>2627778358.7570477</v>
      </c>
      <c r="L98" s="2">
        <f>L10/'Output-Calculation-sheet'!L9*'Output-Calculation-sheet'!L81</f>
        <v>1970873103.9137509</v>
      </c>
      <c r="M98" s="2">
        <f>M10/'Output-Calculation-sheet'!M9*'Output-Calculation-sheet'!M81</f>
        <v>2555826401.2533917</v>
      </c>
      <c r="N98" s="2">
        <f>N10/'Output-Calculation-sheet'!N9*'Output-Calculation-sheet'!N81</f>
        <v>1833606024.0712636</v>
      </c>
      <c r="O98" s="2">
        <f>O10/'Output-Calculation-sheet'!O9*'Output-Calculation-sheet'!O81</f>
        <v>970997980.34054208</v>
      </c>
      <c r="P98" s="2">
        <f>P10/'Output-Calculation-sheet'!P9*'Output-Calculation-sheet'!P81</f>
        <v>3103027814.5869765</v>
      </c>
      <c r="Q98" s="2">
        <f>Q10/'Output-Calculation-sheet'!Q9*'Output-Calculation-sheet'!Q81</f>
        <v>1458965014.8361304</v>
      </c>
      <c r="R98" s="2">
        <f>R10/'Output-Calculation-sheet'!R9*'Output-Calculation-sheet'!R81</f>
        <v>1866236978.1939414</v>
      </c>
      <c r="S98" s="2">
        <f>S10/'Output-Calculation-sheet'!S9*'Output-Calculation-sheet'!S81</f>
        <v>1079017235.9812472</v>
      </c>
      <c r="T98" s="2">
        <f>T10/'Output-Calculation-sheet'!T9*'Output-Calculation-sheet'!T81</f>
        <v>800675179.43263888</v>
      </c>
      <c r="U98" s="2">
        <f>U10/'Output-Calculation-sheet'!U9*'Output-Calculation-sheet'!U81</f>
        <v>520971200.65656036</v>
      </c>
      <c r="V98" s="2">
        <f>V10/'Output-Calculation-sheet'!V9*'Output-Calculation-sheet'!V81</f>
        <v>275915120.90101856</v>
      </c>
      <c r="W98" s="2">
        <f>W10/'Output-Calculation-sheet'!W9*'Output-Calculation-sheet'!W81</f>
        <v>782314558.55634272</v>
      </c>
      <c r="X98" s="2">
        <f>X10/'Output-Calculation-sheet'!X9*'Output-Calculation-sheet'!X81</f>
        <v>287476931.13493359</v>
      </c>
      <c r="Y98" s="2">
        <f>Y10/'Output-Calculation-sheet'!Y9*'Output-Calculation-sheet'!Y81</f>
        <v>430164992.07473463</v>
      </c>
      <c r="AA98" s="2">
        <f t="shared" si="8"/>
        <v>83.619699036995868</v>
      </c>
    </row>
    <row r="99" spans="1:27" x14ac:dyDescent="0.25">
      <c r="A99" s="2">
        <v>2034</v>
      </c>
      <c r="B99" s="2">
        <f>B11/'Output-Calculation-sheet'!B10*'Output-Calculation-sheet'!B82</f>
        <v>24520923485.465092</v>
      </c>
      <c r="C99" s="2">
        <f>C11/'Output-Calculation-sheet'!C10*'Output-Calculation-sheet'!C82</f>
        <v>8460724641.5795927</v>
      </c>
      <c r="D99" s="2">
        <f>D11/'Output-Calculation-sheet'!D10*'Output-Calculation-sheet'!D82</f>
        <v>7696879556.5267878</v>
      </c>
      <c r="E99" s="2">
        <f>E11/'Output-Calculation-sheet'!E10*'Output-Calculation-sheet'!E82</f>
        <v>14888938570.889977</v>
      </c>
      <c r="F99" s="2">
        <f>F11/'Output-Calculation-sheet'!F10*'Output-Calculation-sheet'!F82</f>
        <v>6131990873.0910082</v>
      </c>
      <c r="G99" s="2">
        <f>G11/'Output-Calculation-sheet'!G10*'Output-Calculation-sheet'!G82</f>
        <v>4359409156.4885168</v>
      </c>
      <c r="H99" s="2">
        <f>H11/'Output-Calculation-sheet'!H10*'Output-Calculation-sheet'!H82</f>
        <v>4074659347.8244171</v>
      </c>
      <c r="I99" s="2">
        <f>I11/'Output-Calculation-sheet'!I10*'Output-Calculation-sheet'!I82</f>
        <v>3422430186.9617786</v>
      </c>
      <c r="J99" s="2">
        <f>J11/'Output-Calculation-sheet'!J10*'Output-Calculation-sheet'!J82</f>
        <v>2129776996.4071553</v>
      </c>
      <c r="K99" s="2">
        <f>K11/'Output-Calculation-sheet'!K10*'Output-Calculation-sheet'!K82</f>
        <v>3116143229.6207824</v>
      </c>
      <c r="L99" s="2">
        <f>L11/'Output-Calculation-sheet'!L10*'Output-Calculation-sheet'!L82</f>
        <v>2405890454.9100399</v>
      </c>
      <c r="M99" s="2">
        <f>M11/'Output-Calculation-sheet'!M10*'Output-Calculation-sheet'!M82</f>
        <v>3069365361.4681478</v>
      </c>
      <c r="N99" s="2">
        <f>N11/'Output-Calculation-sheet'!N10*'Output-Calculation-sheet'!N82</f>
        <v>2162370765.0916314</v>
      </c>
      <c r="O99" s="2">
        <f>O11/'Output-Calculation-sheet'!O10*'Output-Calculation-sheet'!O82</f>
        <v>1172329712.373112</v>
      </c>
      <c r="P99" s="2">
        <f>P11/'Output-Calculation-sheet'!P10*'Output-Calculation-sheet'!P82</f>
        <v>3654417294.1900702</v>
      </c>
      <c r="Q99" s="2">
        <f>Q11/'Output-Calculation-sheet'!Q10*'Output-Calculation-sheet'!Q82</f>
        <v>1729499909.16818</v>
      </c>
      <c r="R99" s="2">
        <f>R11/'Output-Calculation-sheet'!R10*'Output-Calculation-sheet'!R82</f>
        <v>2238829634.1629229</v>
      </c>
      <c r="S99" s="2">
        <f>S11/'Output-Calculation-sheet'!S10*'Output-Calculation-sheet'!S82</f>
        <v>1289628459.121701</v>
      </c>
      <c r="T99" s="2">
        <f>T11/'Output-Calculation-sheet'!T10*'Output-Calculation-sheet'!T82</f>
        <v>942567628.32508421</v>
      </c>
      <c r="U99" s="2">
        <f>U11/'Output-Calculation-sheet'!U10*'Output-Calculation-sheet'!U82</f>
        <v>624187284.1883347</v>
      </c>
      <c r="V99" s="2">
        <f>V11/'Output-Calculation-sheet'!V10*'Output-Calculation-sheet'!V82</f>
        <v>333745158.85263723</v>
      </c>
      <c r="W99" s="2">
        <f>W11/'Output-Calculation-sheet'!W10*'Output-Calculation-sheet'!W82</f>
        <v>925487010.52144742</v>
      </c>
      <c r="X99" s="2">
        <f>X11/'Output-Calculation-sheet'!X10*'Output-Calculation-sheet'!X82</f>
        <v>348563887.83902925</v>
      </c>
      <c r="Y99" s="2">
        <f>Y11/'Output-Calculation-sheet'!Y10*'Output-Calculation-sheet'!Y82</f>
        <v>509311386.2391991</v>
      </c>
      <c r="AA99" s="2">
        <f t="shared" si="8"/>
        <v>100.20806999130664</v>
      </c>
    </row>
    <row r="100" spans="1:27" x14ac:dyDescent="0.25">
      <c r="A100" s="2">
        <v>2035</v>
      </c>
      <c r="B100" s="2">
        <f>B12/'Output-Calculation-sheet'!B11*'Output-Calculation-sheet'!B83</f>
        <v>28727875347.230354</v>
      </c>
      <c r="C100" s="2">
        <f>C12/'Output-Calculation-sheet'!C11*'Output-Calculation-sheet'!C83</f>
        <v>9973851711.7701321</v>
      </c>
      <c r="D100" s="2">
        <f>D12/'Output-Calculation-sheet'!D11*'Output-Calculation-sheet'!D83</f>
        <v>8680959046.5506287</v>
      </c>
      <c r="E100" s="2">
        <f>E12/'Output-Calculation-sheet'!E11*'Output-Calculation-sheet'!E83</f>
        <v>17264187605.709129</v>
      </c>
      <c r="F100" s="2">
        <f>F12/'Output-Calculation-sheet'!F11*'Output-Calculation-sheet'!F83</f>
        <v>7101798408.0583286</v>
      </c>
      <c r="G100" s="2">
        <f>G12/'Output-Calculation-sheet'!G11*'Output-Calculation-sheet'!G83</f>
        <v>4880318360.1016521</v>
      </c>
      <c r="H100" s="2">
        <f>H12/'Output-Calculation-sheet'!H11*'Output-Calculation-sheet'!H83</f>
        <v>4714022819.6633768</v>
      </c>
      <c r="I100" s="2">
        <f>I12/'Output-Calculation-sheet'!I11*'Output-Calculation-sheet'!I83</f>
        <v>3999755252.8121824</v>
      </c>
      <c r="J100" s="2">
        <f>J12/'Output-Calculation-sheet'!J11*'Output-Calculation-sheet'!J83</f>
        <v>2424023834.6765761</v>
      </c>
      <c r="K100" s="2">
        <f>K12/'Output-Calculation-sheet'!K11*'Output-Calculation-sheet'!K83</f>
        <v>3571619641.5694618</v>
      </c>
      <c r="L100" s="2">
        <f>L12/'Output-Calculation-sheet'!L11*'Output-Calculation-sheet'!L83</f>
        <v>2835662343.7724028</v>
      </c>
      <c r="M100" s="2">
        <f>M12/'Output-Calculation-sheet'!M11*'Output-Calculation-sheet'!M83</f>
        <v>3562220262.9527354</v>
      </c>
      <c r="N100" s="2">
        <f>N12/'Output-Calculation-sheet'!N11*'Output-Calculation-sheet'!N83</f>
        <v>2464775069.0165634</v>
      </c>
      <c r="O100" s="2">
        <f>O12/'Output-Calculation-sheet'!O11*'Output-Calculation-sheet'!O83</f>
        <v>1368106665.1996291</v>
      </c>
      <c r="P100" s="2">
        <f>P12/'Output-Calculation-sheet'!P11*'Output-Calculation-sheet'!P83</f>
        <v>4155037153.5964732</v>
      </c>
      <c r="Q100" s="2">
        <f>Q12/'Output-Calculation-sheet'!Q11*'Output-Calculation-sheet'!Q83</f>
        <v>1981971769.5787044</v>
      </c>
      <c r="R100" s="2">
        <f>R12/'Output-Calculation-sheet'!R11*'Output-Calculation-sheet'!R83</f>
        <v>2595281564.9179811</v>
      </c>
      <c r="S100" s="2">
        <f>S12/'Output-Calculation-sheet'!S11*'Output-Calculation-sheet'!S83</f>
        <v>1489558274.9446588</v>
      </c>
      <c r="T100" s="2">
        <f>T12/'Output-Calculation-sheet'!T11*'Output-Calculation-sheet'!T83</f>
        <v>1071965862.4249518</v>
      </c>
      <c r="U100" s="2">
        <f>U12/'Output-Calculation-sheet'!U11*'Output-Calculation-sheet'!U83</f>
        <v>722383618.80990934</v>
      </c>
      <c r="V100" s="2">
        <f>V12/'Output-Calculation-sheet'!V11*'Output-Calculation-sheet'!V83</f>
        <v>389767933.89487672</v>
      </c>
      <c r="W100" s="2">
        <f>W12/'Output-Calculation-sheet'!W11*'Output-Calculation-sheet'!W83</f>
        <v>1055977088.2104073</v>
      </c>
      <c r="X100" s="2">
        <f>X12/'Output-Calculation-sheet'!X11*'Output-Calculation-sheet'!X83</f>
        <v>408250772.59521663</v>
      </c>
      <c r="Y100" s="2">
        <f>Y12/'Output-Calculation-sheet'!Y11*'Output-Calculation-sheet'!Y83</f>
        <v>581906406.54925466</v>
      </c>
      <c r="AA100" s="2">
        <f t="shared" si="8"/>
        <v>116.02127681460557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92535391847.685913</v>
      </c>
      <c r="C8" s="2">
        <v>43607333087.952705</v>
      </c>
      <c r="D8" s="2">
        <v>38865922558.689323</v>
      </c>
      <c r="E8" s="2">
        <v>30836165560.929249</v>
      </c>
      <c r="F8" s="2">
        <v>19850346316.659195</v>
      </c>
      <c r="G8" s="2">
        <v>13947398100.135208</v>
      </c>
      <c r="H8" s="2">
        <v>13605151450.933624</v>
      </c>
      <c r="I8" s="2">
        <v>12707177569.365141</v>
      </c>
      <c r="J8" s="2">
        <v>12368289003.622583</v>
      </c>
      <c r="K8" s="2">
        <v>12249719176.868015</v>
      </c>
      <c r="L8" s="2">
        <v>9826883986.9757271</v>
      </c>
      <c r="M8" s="2">
        <v>9386368497.9044037</v>
      </c>
      <c r="N8" s="2">
        <v>9212693572.0476933</v>
      </c>
      <c r="O8" s="2">
        <v>8472942688.4115639</v>
      </c>
      <c r="P8" s="2">
        <v>8386737195.7809982</v>
      </c>
      <c r="Q8" s="2">
        <v>8251193968.3744392</v>
      </c>
      <c r="R8" s="2">
        <v>7938028118.6129484</v>
      </c>
      <c r="S8" s="2">
        <v>5276020126.8003941</v>
      </c>
      <c r="T8" s="2">
        <v>2917950879.5436668</v>
      </c>
      <c r="U8" s="2">
        <v>2541435513.8730321</v>
      </c>
      <c r="V8" s="2">
        <v>1956956174.3925135</v>
      </c>
      <c r="W8" s="2">
        <v>1694290342.58202</v>
      </c>
      <c r="X8" s="2">
        <v>1016574205.5492126</v>
      </c>
      <c r="Y8" s="2">
        <v>988608249.1545521</v>
      </c>
    </row>
    <row r="9" spans="1:27" x14ac:dyDescent="0.25">
      <c r="A9" s="2">
        <v>2032</v>
      </c>
      <c r="B9" s="2">
        <v>92363380224.151535</v>
      </c>
      <c r="C9" s="2">
        <v>43526272555.191254</v>
      </c>
      <c r="D9" s="2">
        <v>38793675710.148552</v>
      </c>
      <c r="E9" s="2">
        <v>30778845017.991032</v>
      </c>
      <c r="F9" s="2">
        <v>19813447026.242096</v>
      </c>
      <c r="G9" s="2">
        <v>13921471646.01446</v>
      </c>
      <c r="H9" s="2">
        <v>13579861190.172009</v>
      </c>
      <c r="I9" s="2">
        <v>12683556528.803234</v>
      </c>
      <c r="J9" s="2">
        <v>12345297914.166159</v>
      </c>
      <c r="K9" s="2">
        <v>12226948493.766338</v>
      </c>
      <c r="L9" s="2">
        <v>9808617048.941185</v>
      </c>
      <c r="M9" s="2">
        <v>9368920422.6093407</v>
      </c>
      <c r="N9" s="2">
        <v>9195568336.5371437</v>
      </c>
      <c r="O9" s="2">
        <v>8457192556.5015335</v>
      </c>
      <c r="P9" s="2">
        <v>8371147309.0101404</v>
      </c>
      <c r="Q9" s="2">
        <v>8235856039.3695745</v>
      </c>
      <c r="R9" s="2">
        <v>7923272325.428524</v>
      </c>
      <c r="S9" s="2">
        <v>5266212670.7590904</v>
      </c>
      <c r="T9" s="2">
        <v>2912526776.8499641</v>
      </c>
      <c r="U9" s="2">
        <v>2536711305.7606506</v>
      </c>
      <c r="V9" s="2">
        <v>1953318439.6618176</v>
      </c>
      <c r="W9" s="2">
        <v>1691140870.5070992</v>
      </c>
      <c r="X9" s="2">
        <v>1014684522.3042603</v>
      </c>
      <c r="Y9" s="2">
        <v>986770551.09566832</v>
      </c>
    </row>
    <row r="10" spans="1:27" x14ac:dyDescent="0.25">
      <c r="A10" s="2">
        <v>2033</v>
      </c>
      <c r="B10" s="2">
        <v>84635419472.346741</v>
      </c>
      <c r="C10" s="2">
        <v>39884468572.243027</v>
      </c>
      <c r="D10" s="2">
        <v>35547843838.483467</v>
      </c>
      <c r="E10" s="2">
        <v>28203606804.451488</v>
      </c>
      <c r="F10" s="2">
        <v>18155673776.658001</v>
      </c>
      <c r="G10" s="2">
        <v>12756674664.497845</v>
      </c>
      <c r="H10" s="2">
        <v>12443646447.511852</v>
      </c>
      <c r="I10" s="2">
        <v>11622334789.083288</v>
      </c>
      <c r="J10" s="2">
        <v>11312377967.77092</v>
      </c>
      <c r="K10" s="2">
        <v>11203930736.676308</v>
      </c>
      <c r="L10" s="2">
        <v>8987938903.5577583</v>
      </c>
      <c r="M10" s="2">
        <v>8585031297.5362062</v>
      </c>
      <c r="N10" s="2">
        <v>8426183424.2175732</v>
      </c>
      <c r="O10" s="2">
        <v>7749586880.0041084</v>
      </c>
      <c r="P10" s="2">
        <v>7670740960.7949753</v>
      </c>
      <c r="Q10" s="2">
        <v>7546769389.711422</v>
      </c>
      <c r="R10" s="2">
        <v>7260339273.3014212</v>
      </c>
      <c r="S10" s="2">
        <v>4825593404.4273701</v>
      </c>
      <c r="T10" s="2">
        <v>2668838287.2618403</v>
      </c>
      <c r="U10" s="2">
        <v>2324466957.8166614</v>
      </c>
      <c r="V10" s="2">
        <v>1789886046.8579865</v>
      </c>
      <c r="W10" s="2">
        <v>1549644638.5444396</v>
      </c>
      <c r="X10" s="2">
        <v>929786783.12666428</v>
      </c>
      <c r="Y10" s="2">
        <v>904208348.7228483</v>
      </c>
    </row>
    <row r="11" spans="1:27" x14ac:dyDescent="0.25">
      <c r="A11" s="2">
        <v>2034</v>
      </c>
      <c r="B11" s="2">
        <v>71162912104.398483</v>
      </c>
      <c r="C11" s="2">
        <v>33535545153.935715</v>
      </c>
      <c r="D11" s="2">
        <v>29889236709.052021</v>
      </c>
      <c r="E11" s="2">
        <v>23714076264.582912</v>
      </c>
      <c r="F11" s="2">
        <v>15265601862.900787</v>
      </c>
      <c r="G11" s="2">
        <v>10726030822.009182</v>
      </c>
      <c r="H11" s="2">
        <v>10462831329.049273</v>
      </c>
      <c r="I11" s="2">
        <v>9772258401.9762726</v>
      </c>
      <c r="J11" s="2">
        <v>9511641391.1700859</v>
      </c>
      <c r="K11" s="2">
        <v>9420457099.5051422</v>
      </c>
      <c r="L11" s="2">
        <v>7557213164.1949978</v>
      </c>
      <c r="M11" s="2">
        <v>7218441539.5931549</v>
      </c>
      <c r="N11" s="2">
        <v>7084879523.6260939</v>
      </c>
      <c r="O11" s="2">
        <v>6515985546.3033466</v>
      </c>
      <c r="P11" s="2">
        <v>6449690545.3043451</v>
      </c>
      <c r="Q11" s="2">
        <v>6345453122.3499327</v>
      </c>
      <c r="R11" s="2">
        <v>6104617768.4849072</v>
      </c>
      <c r="S11" s="2">
        <v>4057441688.5005393</v>
      </c>
      <c r="T11" s="2">
        <v>2244004999.8136039</v>
      </c>
      <c r="U11" s="2">
        <v>1954451680.3952577</v>
      </c>
      <c r="V11" s="2">
        <v>1504966882.9379573</v>
      </c>
      <c r="W11" s="2">
        <v>1302967786.9301708</v>
      </c>
      <c r="X11" s="2">
        <v>781780672.15810299</v>
      </c>
      <c r="Y11" s="2">
        <v>760273885.86703229</v>
      </c>
    </row>
    <row r="12" spans="1:27" x14ac:dyDescent="0.25">
      <c r="A12" s="2">
        <v>2035</v>
      </c>
      <c r="B12" s="2">
        <v>54171441340.111244</v>
      </c>
      <c r="C12" s="2">
        <v>25528309106.434032</v>
      </c>
      <c r="D12" s="2">
        <v>22752624719.878967</v>
      </c>
      <c r="E12" s="2">
        <v>18051898851.710655</v>
      </c>
      <c r="F12" s="2">
        <v>11620655076.965431</v>
      </c>
      <c r="G12" s="2">
        <v>8164991177.3464632</v>
      </c>
      <c r="H12" s="2">
        <v>7964635465.7546186</v>
      </c>
      <c r="I12" s="2">
        <v>7438949687.8156395</v>
      </c>
      <c r="J12" s="2">
        <v>7240559842.6613121</v>
      </c>
      <c r="K12" s="2">
        <v>7171147499.0542879</v>
      </c>
      <c r="L12" s="2">
        <v>5752787758.5774374</v>
      </c>
      <c r="M12" s="2">
        <v>5494904169.3998299</v>
      </c>
      <c r="N12" s="2">
        <v>5393232572.5066013</v>
      </c>
      <c r="O12" s="2">
        <v>4960172628.6404619</v>
      </c>
      <c r="P12" s="2">
        <v>4909706793.9583254</v>
      </c>
      <c r="Q12" s="2">
        <v>4830357997.2882929</v>
      </c>
      <c r="R12" s="2">
        <v>4647026570.0220137</v>
      </c>
      <c r="S12" s="2">
        <v>3088651910.3810463</v>
      </c>
      <c r="T12" s="2">
        <v>1708207008.6730676</v>
      </c>
      <c r="U12" s="2">
        <v>1487789937.5631301</v>
      </c>
      <c r="V12" s="2">
        <v>1145628007.7223623</v>
      </c>
      <c r="W12" s="2">
        <v>991859958.37541926</v>
      </c>
      <c r="X12" s="2">
        <v>595115975.02525198</v>
      </c>
      <c r="Y12" s="2">
        <v>578744334.55230629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1850.6595340831959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577.38068467895425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398.34869509122126</v>
      </c>
      <c r="N16" s="2">
        <f>N5/'Output-Calculation-sheet'!N4*'Output-Calculation-sheet'!N22</f>
        <v>0</v>
      </c>
      <c r="O16" s="2">
        <f>O5/'Output-Calculation-sheet'!O4*'Output-Calculation-sheet'!O22</f>
        <v>359.57940612887347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43.142474550429625</v>
      </c>
      <c r="Y16" s="2">
        <f>Y5/'Output-Calculation-sheet'!Y4*'Output-Calculation-sheet'!Y22</f>
        <v>0</v>
      </c>
      <c r="AA16" s="2">
        <f t="shared" ref="AA16:AA23" si="0">SUM(B16:Y16)/1000</f>
        <v>3.2291107945326742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5261.6838008287832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1551.6288465196244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1071.0901873996486</v>
      </c>
      <c r="N17" s="2">
        <f>N6/'Output-Calculation-sheet'!N5*'Output-Calculation-sheet'!N23</f>
        <v>0</v>
      </c>
      <c r="O17" s="2">
        <f>O6/'Output-Calculation-sheet'!O5*'Output-Calculation-sheet'!O23</f>
        <v>1028.7789608679711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119.09908324580296</v>
      </c>
      <c r="Y17" s="2">
        <f>Y6/'Output-Calculation-sheet'!Y5*'Output-Calculation-sheet'!Y23</f>
        <v>0</v>
      </c>
      <c r="AA17" s="2">
        <f t="shared" si="0"/>
        <v>9.0322808788618296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9815.8604256411891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3109.3070625998366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2144.4455618048505</v>
      </c>
      <c r="N18" s="2">
        <f>N7/'Output-Calculation-sheet'!N6*'Output-Calculation-sheet'!N24</f>
        <v>664.59784636372979</v>
      </c>
      <c r="O18" s="2">
        <f>O7/'Output-Calculation-sheet'!O6*'Output-Calculation-sheet'!O24</f>
        <v>1415.5661484894149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145.29209719637518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240.43569678599329</v>
      </c>
      <c r="Y18" s="2">
        <f>Y7/'Output-Calculation-sheet'!Y6*'Output-Calculation-sheet'!Y24</f>
        <v>0</v>
      </c>
      <c r="AA18" s="2">
        <f t="shared" si="0"/>
        <v>17.535504838881387</v>
      </c>
    </row>
    <row r="19" spans="1:27" x14ac:dyDescent="0.25">
      <c r="A19" s="2">
        <v>2031</v>
      </c>
      <c r="B19" s="2">
        <f>B8/'Output-Calculation-sheet'!B7*'Output-Calculation-sheet'!B25</f>
        <v>1028.8328216835048</v>
      </c>
      <c r="C19" s="2">
        <f>C8/'Output-Calculation-sheet'!C7*'Output-Calculation-sheet'!C25</f>
        <v>13582.137125393443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4615.8789322284019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3207.3604279610022</v>
      </c>
      <c r="N19" s="2">
        <f>N8/'Output-Calculation-sheet'!N7*'Output-Calculation-sheet'!N25</f>
        <v>1098.0945920444008</v>
      </c>
      <c r="O19" s="2">
        <f>O8/'Output-Calculation-sheet'!O7*'Output-Calculation-sheet'!O25</f>
        <v>1752.9936754645303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391.81748515613634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358.35856688475224</v>
      </c>
      <c r="Y19" s="2">
        <f>Y8/'Output-Calculation-sheet'!Y7*'Output-Calculation-sheet'!Y25</f>
        <v>0</v>
      </c>
      <c r="AA19" s="2">
        <f t="shared" si="0"/>
        <v>26.035473626816174</v>
      </c>
    </row>
    <row r="20" spans="1:27" x14ac:dyDescent="0.25">
      <c r="A20" s="2">
        <v>2032</v>
      </c>
      <c r="B20" s="2">
        <f>B9/'Output-Calculation-sheet'!B8*'Output-Calculation-sheet'!B26</f>
        <v>5305.0038161207949</v>
      </c>
      <c r="C20" s="2">
        <f>C9/'Output-Calculation-sheet'!C8*'Output-Calculation-sheet'!C26</f>
        <v>18010.837758891466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5764.3593796747655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4010.0597021524154</v>
      </c>
      <c r="N20" s="2">
        <f>N9/'Output-Calculation-sheet'!N8*'Output-Calculation-sheet'!N26</f>
        <v>1809.8234551467838</v>
      </c>
      <c r="O20" s="2">
        <f>O9/'Output-Calculation-sheet'!O8*'Output-Calculation-sheet'!O26</f>
        <v>1899.17509679251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657.73897925605729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448.63589420105978</v>
      </c>
      <c r="Y20" s="2">
        <f>Y9/'Output-Calculation-sheet'!Y8*'Output-Calculation-sheet'!Y26</f>
        <v>0</v>
      </c>
      <c r="AA20" s="2">
        <f t="shared" si="0"/>
        <v>37.905634082235856</v>
      </c>
    </row>
    <row r="21" spans="1:27" x14ac:dyDescent="0.25">
      <c r="A21" s="2">
        <v>2033</v>
      </c>
      <c r="B21" s="2">
        <f>B10/'Output-Calculation-sheet'!B9*'Output-Calculation-sheet'!B27</f>
        <v>10992.254535435903</v>
      </c>
      <c r="C21" s="2">
        <f>C10/'Output-Calculation-sheet'!C9*'Output-Calculation-sheet'!C27</f>
        <v>18877.359601498763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6362.5172335183479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4419.1642940850697</v>
      </c>
      <c r="N21" s="2">
        <f>N10/'Output-Calculation-sheet'!N9*'Output-Calculation-sheet'!N27</f>
        <v>2418.078173646883</v>
      </c>
      <c r="O21" s="2">
        <f>O10/'Output-Calculation-sheet'!O9*'Output-Calculation-sheet'!O27</f>
        <v>1883.4711155338193</v>
      </c>
      <c r="P21" s="2">
        <f>P10/'Output-Calculation-sheet'!P9*'Output-Calculation-sheet'!P27</f>
        <v>0</v>
      </c>
      <c r="Q21" s="2">
        <f>Q10/'Output-Calculation-sheet'!Q9*'Output-Calculation-sheet'!Q27</f>
        <v>164.92894349867063</v>
      </c>
      <c r="R21" s="2">
        <f>R10/'Output-Calculation-sheet'!R9*'Output-Calculation-sheet'!R27</f>
        <v>0</v>
      </c>
      <c r="S21" s="2">
        <f>S10/'Output-Calculation-sheet'!S9*'Output-Calculation-sheet'!S27</f>
        <v>1050.2629605957713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519.65586167628589</v>
      </c>
      <c r="Y21" s="2">
        <f>Y10/'Output-Calculation-sheet'!Y9*'Output-Calculation-sheet'!Y27</f>
        <v>0</v>
      </c>
      <c r="AA21" s="2">
        <f t="shared" si="0"/>
        <v>46.687692719489519</v>
      </c>
    </row>
    <row r="22" spans="1:27" x14ac:dyDescent="0.25">
      <c r="A22" s="2">
        <v>2034</v>
      </c>
      <c r="B22" s="2">
        <f>B11/'Output-Calculation-sheet'!B10*'Output-Calculation-sheet'!B28</f>
        <v>17601.49455857676</v>
      </c>
      <c r="C22" s="2">
        <f>C11/'Output-Calculation-sheet'!C10*'Output-Calculation-sheet'!C28</f>
        <v>16886.423954466656</v>
      </c>
      <c r="D22" s="2">
        <f>D11/'Output-Calculation-sheet'!D10*'Output-Calculation-sheet'!D28</f>
        <v>0</v>
      </c>
      <c r="E22" s="2">
        <f>E11/'Output-Calculation-sheet'!E10*'Output-Calculation-sheet'!E28</f>
        <v>901.8735913877432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6443.8274228204236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537.78365456261781</v>
      </c>
      <c r="M22" s="2">
        <f>M11/'Output-Calculation-sheet'!M10*'Output-Calculation-sheet'!M28</f>
        <v>4698.11662463635</v>
      </c>
      <c r="N22" s="2">
        <f>N11/'Output-Calculation-sheet'!N10*'Output-Calculation-sheet'!N28</f>
        <v>2803.7804815188229</v>
      </c>
      <c r="O22" s="2">
        <f>O11/'Output-Calculation-sheet'!O10*'Output-Calculation-sheet'!O28</f>
        <v>1732.9198906402401</v>
      </c>
      <c r="P22" s="2">
        <f>P11/'Output-Calculation-sheet'!P10*'Output-Calculation-sheet'!P28</f>
        <v>0</v>
      </c>
      <c r="Q22" s="2">
        <f>Q11/'Output-Calculation-sheet'!Q10*'Output-Calculation-sheet'!Q28</f>
        <v>636.93117315647771</v>
      </c>
      <c r="R22" s="2">
        <f>R11/'Output-Calculation-sheet'!R10*'Output-Calculation-sheet'!R28</f>
        <v>0</v>
      </c>
      <c r="S22" s="2">
        <f>S11/'Output-Calculation-sheet'!S10*'Output-Calculation-sheet'!S28</f>
        <v>1430.3234408987316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471.7708295774043</v>
      </c>
      <c r="Y22" s="2">
        <f>Y11/'Output-Calculation-sheet'!Y10*'Output-Calculation-sheet'!Y28</f>
        <v>48.935300811086037</v>
      </c>
      <c r="AA22" s="2">
        <f t="shared" si="0"/>
        <v>54.194180923053324</v>
      </c>
    </row>
    <row r="23" spans="1:27" x14ac:dyDescent="0.25">
      <c r="A23" s="2">
        <v>2035</v>
      </c>
      <c r="B23" s="2">
        <f>B12/'Output-Calculation-sheet'!B11*'Output-Calculation-sheet'!B29</f>
        <v>16207.110243479277</v>
      </c>
      <c r="C23" s="2">
        <f>C12/'Output-Calculation-sheet'!C11*'Output-Calculation-sheet'!C29</f>
        <v>13237.765861977245</v>
      </c>
      <c r="D23" s="2">
        <f>D12/'Output-Calculation-sheet'!D11*'Output-Calculation-sheet'!D29</f>
        <v>0</v>
      </c>
      <c r="E23" s="2">
        <f>E12/'Output-Calculation-sheet'!E11*'Output-Calculation-sheet'!E29</f>
        <v>2498.7409467605244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5095.8394589598583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566.44440920104046</v>
      </c>
      <c r="M23" s="2">
        <f>M12/'Output-Calculation-sheet'!M11*'Output-Calculation-sheet'!M29</f>
        <v>3733.5088164613262</v>
      </c>
      <c r="N23" s="2">
        <f>N12/'Output-Calculation-sheet'!N11*'Output-Calculation-sheet'!N29</f>
        <v>2177.9639468643409</v>
      </c>
      <c r="O23" s="2">
        <f>O12/'Output-Calculation-sheet'!O11*'Output-Calculation-sheet'!O29</f>
        <v>1468.2154433758697</v>
      </c>
      <c r="P23" s="2">
        <f>P12/'Output-Calculation-sheet'!P11*'Output-Calculation-sheet'!P29</f>
        <v>265.99841874278667</v>
      </c>
      <c r="Q23" s="2">
        <f>Q12/'Output-Calculation-sheet'!Q11*'Output-Calculation-sheet'!Q29</f>
        <v>597.16347830702125</v>
      </c>
      <c r="R23" s="2">
        <f>R12/'Output-Calculation-sheet'!R11*'Output-Calculation-sheet'!R29</f>
        <v>0</v>
      </c>
      <c r="S23" s="2">
        <f>S12/'Output-Calculation-sheet'!S11*'Output-Calculation-sheet'!S29</f>
        <v>1165.8644716390834</v>
      </c>
      <c r="T23" s="2">
        <f>T12/'Output-Calculation-sheet'!T11*'Output-Calculation-sheet'!T29</f>
        <v>0</v>
      </c>
      <c r="U23" s="2">
        <f>U12/'Output-Calculation-sheet'!U11*'Output-Calculation-sheet'!U29</f>
        <v>50.840374870827546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369.86213875647792</v>
      </c>
      <c r="Y23" s="2">
        <f>Y12/'Output-Calculation-sheet'!Y11*'Output-Calculation-sheet'!Y29</f>
        <v>109.49984664387416</v>
      </c>
      <c r="AA23" s="2">
        <f t="shared" si="0"/>
        <v>47.54481785603955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2336.2795538332343</v>
      </c>
      <c r="C27" s="2">
        <f>C5/'Output-Calculation-sheet'!C4*'Output-Calculation-sheet'!C13</f>
        <v>0</v>
      </c>
      <c r="D27" s="2">
        <f>D5/'Output-Calculation-sheet'!D4*'Output-Calculation-sheet'!D13</f>
        <v>417.3490220932062</v>
      </c>
      <c r="E27" s="2">
        <f>E5/'Output-Calculation-sheet'!E4*'Output-Calculation-sheet'!E13</f>
        <v>449.01598760657197</v>
      </c>
      <c r="F27" s="2">
        <f>F5/'Output-Calculation-sheet'!F4*'Output-Calculation-sheet'!F13</f>
        <v>226.54986742942003</v>
      </c>
      <c r="G27" s="2">
        <f>G5/'Output-Calculation-sheet'!G4*'Output-Calculation-sheet'!G13</f>
        <v>148.35638298524847</v>
      </c>
      <c r="H27" s="2">
        <f>H5/'Output-Calculation-sheet'!H4*'Output-Calculation-sheet'!H13</f>
        <v>0</v>
      </c>
      <c r="I27" s="2">
        <f>I5/'Output-Calculation-sheet'!I4*'Output-Calculation-sheet'!I13</f>
        <v>144.62864690300205</v>
      </c>
      <c r="J27" s="2">
        <f>J5/'Output-Calculation-sheet'!J4*'Output-Calculation-sheet'!J13</f>
        <v>128.74764243636827</v>
      </c>
      <c r="K27" s="2">
        <f>K5/'Output-Calculation-sheet'!K4*'Output-Calculation-sheet'!K13</f>
        <v>171.89490677747332</v>
      </c>
      <c r="L27" s="2">
        <f>L5/'Output-Calculation-sheet'!L4*'Output-Calculation-sheet'!L13</f>
        <v>145.19547581060485</v>
      </c>
      <c r="M27" s="2">
        <f>M5/'Output-Calculation-sheet'!M4*'Output-Calculation-sheet'!M13</f>
        <v>0</v>
      </c>
      <c r="N27" s="2">
        <f>N5/'Output-Calculation-sheet'!N4*'Output-Calculation-sheet'!N13</f>
        <v>278.68633088122652</v>
      </c>
      <c r="O27" s="2">
        <f>O5/'Output-Calculation-sheet'!O4*'Output-Calculation-sheet'!O13</f>
        <v>0</v>
      </c>
      <c r="P27" s="2">
        <f>P5/'Output-Calculation-sheet'!P4*'Output-Calculation-sheet'!P13</f>
        <v>170.25460187077002</v>
      </c>
      <c r="Q27" s="2">
        <f>Q5/'Output-Calculation-sheet'!Q4*'Output-Calculation-sheet'!Q13</f>
        <v>189.47473795616474</v>
      </c>
      <c r="R27" s="2">
        <f>R5/'Output-Calculation-sheet'!R4*'Output-Calculation-sheet'!R13</f>
        <v>128.09305084483944</v>
      </c>
      <c r="S27" s="2">
        <f>S5/'Output-Calculation-sheet'!S4*'Output-Calculation-sheet'!S13</f>
        <v>147.83866089292081</v>
      </c>
      <c r="T27" s="2">
        <f>T5/'Output-Calculation-sheet'!T4*'Output-Calculation-sheet'!T13</f>
        <v>38.824910069583346</v>
      </c>
      <c r="U27" s="2">
        <f>U5/'Output-Calculation-sheet'!U4*'Output-Calculation-sheet'!U13</f>
        <v>38.756890874304347</v>
      </c>
      <c r="V27" s="2">
        <f>V5/'Output-Calculation-sheet'!V4*'Output-Calculation-sheet'!V13</f>
        <v>30.163741540282189</v>
      </c>
      <c r="W27" s="2">
        <f>W5/'Output-Calculation-sheet'!W4*'Output-Calculation-sheet'!W13</f>
        <v>18.294724247388917</v>
      </c>
      <c r="X27" s="2">
        <f>X5/'Output-Calculation-sheet'!X4*'Output-Calculation-sheet'!X13</f>
        <v>0</v>
      </c>
      <c r="Y27" s="2">
        <f>Y5/'Output-Calculation-sheet'!Y4*'Output-Calculation-sheet'!Y13</f>
        <v>15.468317945121104</v>
      </c>
      <c r="AA27" s="2">
        <f t="shared" ref="AA27:AA34" si="1">SUM(B27:Y27)/1000</f>
        <v>5.2238734529977293</v>
      </c>
    </row>
    <row r="28" spans="1:27" x14ac:dyDescent="0.25">
      <c r="A28" s="2">
        <v>2029</v>
      </c>
      <c r="B28" s="2">
        <f>B6/'Output-Calculation-sheet'!B5*'Output-Calculation-sheet'!B14</f>
        <v>6212.843182130503</v>
      </c>
      <c r="C28" s="2">
        <f>C6/'Output-Calculation-sheet'!C5*'Output-Calculation-sheet'!C14</f>
        <v>0</v>
      </c>
      <c r="D28" s="2">
        <f>D6/'Output-Calculation-sheet'!D5*'Output-Calculation-sheet'!D14</f>
        <v>1109.7722278118511</v>
      </c>
      <c r="E28" s="2">
        <f>E6/'Output-Calculation-sheet'!E5*'Output-Calculation-sheet'!E14</f>
        <v>1194.0822533988289</v>
      </c>
      <c r="F28" s="2">
        <f>F6/'Output-Calculation-sheet'!F5*'Output-Calculation-sheet'!F14</f>
        <v>602.42085087638884</v>
      </c>
      <c r="G28" s="2">
        <f>G6/'Output-Calculation-sheet'!G5*'Output-Calculation-sheet'!G14</f>
        <v>394.51410682638539</v>
      </c>
      <c r="H28" s="2">
        <f>H6/'Output-Calculation-sheet'!H5*'Output-Calculation-sheet'!H14</f>
        <v>0</v>
      </c>
      <c r="I28" s="2">
        <f>I6/'Output-Calculation-sheet'!I5*'Output-Calculation-sheet'!I14</f>
        <v>384.60119009587874</v>
      </c>
      <c r="J28" s="2">
        <f>J6/'Output-Calculation-sheet'!J5*'Output-Calculation-sheet'!J14</f>
        <v>342.35207973187318</v>
      </c>
      <c r="K28" s="2">
        <f>K6/'Output-Calculation-sheet'!K5*'Output-Calculation-sheet'!K14</f>
        <v>457.10851296544973</v>
      </c>
      <c r="L28" s="2">
        <f>L6/'Output-Calculation-sheet'!L5*'Output-Calculation-sheet'!L14</f>
        <v>386.10851991685803</v>
      </c>
      <c r="M28" s="2">
        <f>M6/'Output-Calculation-sheet'!M5*'Output-Calculation-sheet'!M14</f>
        <v>0</v>
      </c>
      <c r="N28" s="2">
        <f>N6/'Output-Calculation-sheet'!N5*'Output-Calculation-sheet'!N14</f>
        <v>741.10485393629119</v>
      </c>
      <c r="O28" s="2">
        <f>O6/'Output-Calculation-sheet'!O5*'Output-Calculation-sheet'!O14</f>
        <v>0</v>
      </c>
      <c r="P28" s="2">
        <f>P6/'Output-Calculation-sheet'!P5*'Output-Calculation-sheet'!P14</f>
        <v>452.74656094040381</v>
      </c>
      <c r="Q28" s="2">
        <f>Q6/'Output-Calculation-sheet'!Q5*'Output-Calculation-sheet'!Q14</f>
        <v>503.86886662982977</v>
      </c>
      <c r="R28" s="2">
        <f>R6/'Output-Calculation-sheet'!R5*'Output-Calculation-sheet'!R14</f>
        <v>340.62919658632683</v>
      </c>
      <c r="S28" s="2">
        <f>S6/'Output-Calculation-sheet'!S5*'Output-Calculation-sheet'!S14</f>
        <v>393.14488501068331</v>
      </c>
      <c r="T28" s="2">
        <f>T6/'Output-Calculation-sheet'!T5*'Output-Calculation-sheet'!T14</f>
        <v>103.24446047083413</v>
      </c>
      <c r="U28" s="2">
        <f>U6/'Output-Calculation-sheet'!U5*'Output-Calculation-sheet'!U14</f>
        <v>103.05991361578518</v>
      </c>
      <c r="V28" s="2">
        <f>V6/'Output-Calculation-sheet'!V5*'Output-Calculation-sheet'!V14</f>
        <v>80.209571755682759</v>
      </c>
      <c r="W28" s="2">
        <f>W6/'Output-Calculation-sheet'!W5*'Output-Calculation-sheet'!W14</f>
        <v>48.652373412955463</v>
      </c>
      <c r="X28" s="2">
        <f>X6/'Output-Calculation-sheet'!X5*'Output-Calculation-sheet'!X14</f>
        <v>0</v>
      </c>
      <c r="Y28" s="2">
        <f>Y6/'Output-Calculation-sheet'!Y5*'Output-Calculation-sheet'!Y14</f>
        <v>41.13385292517404</v>
      </c>
      <c r="AA28" s="2">
        <f t="shared" si="1"/>
        <v>13.891597459037982</v>
      </c>
    </row>
    <row r="29" spans="1:27" x14ac:dyDescent="0.25">
      <c r="A29" s="2">
        <v>2030</v>
      </c>
      <c r="B29" s="2">
        <f>B7/'Output-Calculation-sheet'!B6*'Output-Calculation-sheet'!B15</f>
        <v>11616.730180549072</v>
      </c>
      <c r="C29" s="2">
        <f>C7/'Output-Calculation-sheet'!C6*'Output-Calculation-sheet'!C15</f>
        <v>0</v>
      </c>
      <c r="D29" s="2">
        <f>D7/'Output-Calculation-sheet'!D6*'Output-Calculation-sheet'!D15</f>
        <v>2032.1215168953299</v>
      </c>
      <c r="E29" s="2">
        <f>E7/'Output-Calculation-sheet'!E6*'Output-Calculation-sheet'!E15</f>
        <v>2186.4391918240967</v>
      </c>
      <c r="F29" s="2">
        <f>F7/'Output-Calculation-sheet'!F6*'Output-Calculation-sheet'!F15</f>
        <v>1103.1009034218368</v>
      </c>
      <c r="G29" s="2">
        <f>G7/'Output-Calculation-sheet'!G6*'Output-Calculation-sheet'!G15</f>
        <v>722.38891997434996</v>
      </c>
      <c r="H29" s="2">
        <f>H7/'Output-Calculation-sheet'!H6*'Output-Calculation-sheet'!H15</f>
        <v>0</v>
      </c>
      <c r="I29" s="2">
        <f>I7/'Output-Calculation-sheet'!I6*'Output-Calculation-sheet'!I15</f>
        <v>704.23752541877388</v>
      </c>
      <c r="J29" s="2">
        <f>J7/'Output-Calculation-sheet'!J6*'Output-Calculation-sheet'!J15</f>
        <v>626.88668865865975</v>
      </c>
      <c r="K29" s="2">
        <f>K7/'Output-Calculation-sheet'!K6*'Output-Calculation-sheet'!K15</f>
        <v>837.0262200790761</v>
      </c>
      <c r="L29" s="2">
        <f>L7/'Output-Calculation-sheet'!L6*'Output-Calculation-sheet'!L15</f>
        <v>707.01476024054239</v>
      </c>
      <c r="M29" s="2">
        <f>M7/'Output-Calculation-sheet'!M6*'Output-Calculation-sheet'!M15</f>
        <v>0</v>
      </c>
      <c r="N29" s="2">
        <f>N7/'Output-Calculation-sheet'!N6*'Output-Calculation-sheet'!N15</f>
        <v>912.18024565140388</v>
      </c>
      <c r="O29" s="2">
        <f>O7/'Output-Calculation-sheet'!O6*'Output-Calculation-sheet'!O15</f>
        <v>0</v>
      </c>
      <c r="P29" s="2">
        <f>P7/'Output-Calculation-sheet'!P6*'Output-Calculation-sheet'!P15</f>
        <v>829.01750158143022</v>
      </c>
      <c r="Q29" s="2">
        <f>Q7/'Output-Calculation-sheet'!Q6*'Output-Calculation-sheet'!Q15</f>
        <v>934.14147484604746</v>
      </c>
      <c r="R29" s="2">
        <f>R7/'Output-Calculation-sheet'!R6*'Output-Calculation-sheet'!R15</f>
        <v>623.72106136629043</v>
      </c>
      <c r="S29" s="2">
        <f>S7/'Output-Calculation-sheet'!S6*'Output-Calculation-sheet'!S15</f>
        <v>644.23786651817909</v>
      </c>
      <c r="T29" s="2">
        <f>T7/'Output-Calculation-sheet'!T6*'Output-Calculation-sheet'!T15</f>
        <v>189.0493977334049</v>
      </c>
      <c r="U29" s="2">
        <f>U7/'Output-Calculation-sheet'!U6*'Output-Calculation-sheet'!U15</f>
        <v>188.71371553813944</v>
      </c>
      <c r="V29" s="2">
        <f>V7/'Output-Calculation-sheet'!V6*'Output-Calculation-sheet'!V15</f>
        <v>146.87228154625217</v>
      </c>
      <c r="W29" s="2">
        <f>W7/'Output-Calculation-sheet'!W6*'Output-Calculation-sheet'!W15</f>
        <v>89.085143292634385</v>
      </c>
      <c r="X29" s="2">
        <f>X7/'Output-Calculation-sheet'!X6*'Output-Calculation-sheet'!X15</f>
        <v>0</v>
      </c>
      <c r="Y29" s="2">
        <f>Y7/'Output-Calculation-sheet'!Y6*'Output-Calculation-sheet'!Y15</f>
        <v>75.31958699280888</v>
      </c>
      <c r="AA29" s="2">
        <f t="shared" si="1"/>
        <v>25.168284182128328</v>
      </c>
    </row>
    <row r="30" spans="1:27" x14ac:dyDescent="0.25">
      <c r="A30" s="2">
        <v>2031</v>
      </c>
      <c r="B30" s="2">
        <f>B8/'Output-Calculation-sheet'!B7*'Output-Calculation-sheet'!B16</f>
        <v>17932.221869349964</v>
      </c>
      <c r="C30" s="2">
        <f>C8/'Output-Calculation-sheet'!C7*'Output-Calculation-sheet'!C16</f>
        <v>0</v>
      </c>
      <c r="D30" s="2">
        <f>D8/'Output-Calculation-sheet'!D7*'Output-Calculation-sheet'!D16</f>
        <v>3019.5491050109345</v>
      </c>
      <c r="E30" s="2">
        <f>E8/'Output-Calculation-sheet'!E7*'Output-Calculation-sheet'!E16</f>
        <v>3248.8642389352494</v>
      </c>
      <c r="F30" s="2">
        <f>F8/'Output-Calculation-sheet'!F7*'Output-Calculation-sheet'!F16</f>
        <v>1639.0692966337356</v>
      </c>
      <c r="G30" s="2">
        <f>G8/'Output-Calculation-sheet'!G7*'Output-Calculation-sheet'!G16</f>
        <v>1073.3957143868743</v>
      </c>
      <c r="H30" s="2">
        <f>H8/'Output-Calculation-sheet'!H7*'Output-Calculation-sheet'!H16</f>
        <v>0</v>
      </c>
      <c r="I30" s="2">
        <f>I8/'Output-Calculation-sheet'!I7*'Output-Calculation-sheet'!I16</f>
        <v>1046.4001005822333</v>
      </c>
      <c r="J30" s="2">
        <f>J8/'Output-Calculation-sheet'!J7*'Output-Calculation-sheet'!J16</f>
        <v>931.4972953161722</v>
      </c>
      <c r="K30" s="2">
        <f>K8/'Output-Calculation-sheet'!K7*'Output-Calculation-sheet'!K16</f>
        <v>1243.7269354615728</v>
      </c>
      <c r="L30" s="2">
        <f>L8/'Output-Calculation-sheet'!L7*'Output-Calculation-sheet'!L16</f>
        <v>1050.5449086143713</v>
      </c>
      <c r="M30" s="2">
        <f>M8/'Output-Calculation-sheet'!M7*'Output-Calculation-sheet'!M16</f>
        <v>0</v>
      </c>
      <c r="N30" s="2">
        <f>N8/'Output-Calculation-sheet'!N7*'Output-Calculation-sheet'!N16</f>
        <v>1492.2105355681149</v>
      </c>
      <c r="O30" s="2">
        <f>O8/'Output-Calculation-sheet'!O7*'Output-Calculation-sheet'!O16</f>
        <v>0</v>
      </c>
      <c r="P30" s="2">
        <f>P8/'Output-Calculation-sheet'!P7*'Output-Calculation-sheet'!P16</f>
        <v>1341.1498660308457</v>
      </c>
      <c r="Q30" s="2">
        <f>Q8/'Output-Calculation-sheet'!Q7*'Output-Calculation-sheet'!Q16</f>
        <v>1474.8219247006186</v>
      </c>
      <c r="R30" s="2">
        <f>R8/'Output-Calculation-sheet'!R7*'Output-Calculation-sheet'!R16</f>
        <v>935.78092136516455</v>
      </c>
      <c r="S30" s="2">
        <f>S8/'Output-Calculation-sheet'!S7*'Output-Calculation-sheet'!S16</f>
        <v>941.1212054015366</v>
      </c>
      <c r="T30" s="2">
        <f>T8/'Output-Calculation-sheet'!T7*'Output-Calculation-sheet'!T16</f>
        <v>280.90798145362169</v>
      </c>
      <c r="U30" s="2">
        <f>U8/'Output-Calculation-sheet'!U7*'Output-Calculation-sheet'!U16</f>
        <v>280.40586555995532</v>
      </c>
      <c r="V30" s="2">
        <f>V8/'Output-Calculation-sheet'!V7*'Output-Calculation-sheet'!V16</f>
        <v>218.23455507826759</v>
      </c>
      <c r="W30" s="2">
        <f>W8/'Output-Calculation-sheet'!W7*'Output-Calculation-sheet'!W16</f>
        <v>132.37025941231224</v>
      </c>
      <c r="X30" s="2">
        <f>X8/'Output-Calculation-sheet'!X7*'Output-Calculation-sheet'!X16</f>
        <v>0</v>
      </c>
      <c r="Y30" s="2">
        <f>Y8/'Output-Calculation-sheet'!Y7*'Output-Calculation-sheet'!Y16</f>
        <v>112.03637576889959</v>
      </c>
      <c r="AA30" s="2">
        <f t="shared" si="1"/>
        <v>38.394308954630446</v>
      </c>
    </row>
    <row r="31" spans="1:27" x14ac:dyDescent="0.25">
      <c r="A31" s="2">
        <v>2032</v>
      </c>
      <c r="B31" s="2">
        <f>B9/'Output-Calculation-sheet'!B8*'Output-Calculation-sheet'!B17</f>
        <v>22463.138864358662</v>
      </c>
      <c r="C31" s="2">
        <f>C9/'Output-Calculation-sheet'!C8*'Output-Calculation-sheet'!C17</f>
        <v>0</v>
      </c>
      <c r="D31" s="2">
        <f>D9/'Output-Calculation-sheet'!D8*'Output-Calculation-sheet'!D17</f>
        <v>3767.3633204686225</v>
      </c>
      <c r="E31" s="2">
        <f>E9/'Output-Calculation-sheet'!E8*'Output-Calculation-sheet'!E17</f>
        <v>4428.020855092499</v>
      </c>
      <c r="F31" s="2">
        <f>F9/'Output-Calculation-sheet'!F8*'Output-Calculation-sheet'!F17</f>
        <v>2045.047038747422</v>
      </c>
      <c r="G31" s="2">
        <f>G9/'Output-Calculation-sheet'!G8*'Output-Calculation-sheet'!G17</f>
        <v>1339.2505089036499</v>
      </c>
      <c r="H31" s="2">
        <f>H9/'Output-Calculation-sheet'!H8*'Output-Calculation-sheet'!H17</f>
        <v>0</v>
      </c>
      <c r="I31" s="2">
        <f>I9/'Output-Calculation-sheet'!I8*'Output-Calculation-sheet'!I17</f>
        <v>1305.5748336689855</v>
      </c>
      <c r="J31" s="2">
        <f>J9/'Output-Calculation-sheet'!J8*'Output-Calculation-sheet'!J17</f>
        <v>1162.2132512068101</v>
      </c>
      <c r="K31" s="2">
        <f>K9/'Output-Calculation-sheet'!K8*'Output-Calculation-sheet'!K17</f>
        <v>1654.6830853086519</v>
      </c>
      <c r="L31" s="2">
        <f>L9/'Output-Calculation-sheet'!L8*'Output-Calculation-sheet'!L17</f>
        <v>1411.1537858364495</v>
      </c>
      <c r="M31" s="2">
        <f>M9/'Output-Calculation-sheet'!M8*'Output-Calculation-sheet'!M17</f>
        <v>0</v>
      </c>
      <c r="N31" s="2">
        <f>N9/'Output-Calculation-sheet'!N8*'Output-Calculation-sheet'!N17</f>
        <v>1534.0684923073227</v>
      </c>
      <c r="O31" s="2">
        <f>O9/'Output-Calculation-sheet'!O8*'Output-Calculation-sheet'!O17</f>
        <v>0</v>
      </c>
      <c r="P31" s="2">
        <f>P9/'Output-Calculation-sheet'!P8*'Output-Calculation-sheet'!P17</f>
        <v>1904.0171033598226</v>
      </c>
      <c r="Q31" s="2">
        <f>Q9/'Output-Calculation-sheet'!Q8*'Output-Calculation-sheet'!Q17</f>
        <v>2029.8571674649334</v>
      </c>
      <c r="R31" s="2">
        <f>R9/'Output-Calculation-sheet'!R8*'Output-Calculation-sheet'!R17</f>
        <v>1328.0398356631104</v>
      </c>
      <c r="S31" s="2">
        <f>S9/'Output-Calculation-sheet'!S8*'Output-Calculation-sheet'!S17</f>
        <v>1142.7193430755276</v>
      </c>
      <c r="T31" s="2">
        <f>T9/'Output-Calculation-sheet'!T8*'Output-Calculation-sheet'!T17</f>
        <v>360.37331216322974</v>
      </c>
      <c r="U31" s="2">
        <f>U9/'Output-Calculation-sheet'!U8*'Output-Calculation-sheet'!U17</f>
        <v>414.18382325026244</v>
      </c>
      <c r="V31" s="2">
        <f>V9/'Output-Calculation-sheet'!V8*'Output-Calculation-sheet'!V17</f>
        <v>296.66022002101334</v>
      </c>
      <c r="W31" s="2">
        <f>W9/'Output-Calculation-sheet'!W8*'Output-Calculation-sheet'!W17</f>
        <v>165.15774396921938</v>
      </c>
      <c r="X31" s="2">
        <f>X9/'Output-Calculation-sheet'!X8*'Output-Calculation-sheet'!X17</f>
        <v>0</v>
      </c>
      <c r="Y31" s="2">
        <f>Y9/'Output-Calculation-sheet'!Y8*'Output-Calculation-sheet'!Y17</f>
        <v>159.57816252151929</v>
      </c>
      <c r="AA31" s="2">
        <f t="shared" si="1"/>
        <v>48.911100747387721</v>
      </c>
    </row>
    <row r="32" spans="1:27" x14ac:dyDescent="0.25">
      <c r="A32" s="2">
        <v>2033</v>
      </c>
      <c r="B32" s="2">
        <f>B10/'Output-Calculation-sheet'!B9*'Output-Calculation-sheet'!B18</f>
        <v>22315.634917743912</v>
      </c>
      <c r="C32" s="2">
        <f>C10/'Output-Calculation-sheet'!C9*'Output-Calculation-sheet'!C18</f>
        <v>0</v>
      </c>
      <c r="D32" s="2">
        <f>D10/'Output-Calculation-sheet'!D9*'Output-Calculation-sheet'!D18</f>
        <v>4286.7588627274199</v>
      </c>
      <c r="E32" s="2">
        <f>E10/'Output-Calculation-sheet'!E9*'Output-Calculation-sheet'!E18</f>
        <v>5988.3839690748</v>
      </c>
      <c r="F32" s="2">
        <f>F10/'Output-Calculation-sheet'!F9*'Output-Calculation-sheet'!F18</f>
        <v>2417.4267834688485</v>
      </c>
      <c r="G32" s="2">
        <f>G10/'Output-Calculation-sheet'!G9*'Output-Calculation-sheet'!G18</f>
        <v>1508.0974358906853</v>
      </c>
      <c r="H32" s="2">
        <f>H10/'Output-Calculation-sheet'!H9*'Output-Calculation-sheet'!H18</f>
        <v>0</v>
      </c>
      <c r="I32" s="2">
        <f>I10/'Output-Calculation-sheet'!I9*'Output-Calculation-sheet'!I18</f>
        <v>1592.1967610046577</v>
      </c>
      <c r="J32" s="2">
        <f>J10/'Output-Calculation-sheet'!J9*'Output-Calculation-sheet'!J18</f>
        <v>1277.9485533418085</v>
      </c>
      <c r="K32" s="2">
        <f>K10/'Output-Calculation-sheet'!K9*'Output-Calculation-sheet'!K18</f>
        <v>2126.9882761719355</v>
      </c>
      <c r="L32" s="2">
        <f>L10/'Output-Calculation-sheet'!L9*'Output-Calculation-sheet'!L18</f>
        <v>1837.3705285876852</v>
      </c>
      <c r="M32" s="2">
        <f>M10/'Output-Calculation-sheet'!M9*'Output-Calculation-sheet'!M18</f>
        <v>0</v>
      </c>
      <c r="N32" s="2">
        <f>N10/'Output-Calculation-sheet'!N9*'Output-Calculation-sheet'!N18</f>
        <v>1359.8373438563658</v>
      </c>
      <c r="O32" s="2">
        <f>O10/'Output-Calculation-sheet'!O9*'Output-Calculation-sheet'!O18</f>
        <v>0</v>
      </c>
      <c r="P32" s="2">
        <f>P10/'Output-Calculation-sheet'!P9*'Output-Calculation-sheet'!P18</f>
        <v>2189.3145378744962</v>
      </c>
      <c r="Q32" s="2">
        <f>Q10/'Output-Calculation-sheet'!Q9*'Output-Calculation-sheet'!Q18</f>
        <v>2383.1302554003059</v>
      </c>
      <c r="R32" s="2">
        <f>R10/'Output-Calculation-sheet'!R9*'Output-Calculation-sheet'!R18</f>
        <v>1572.0415441340822</v>
      </c>
      <c r="S32" s="2">
        <f>S10/'Output-Calculation-sheet'!S9*'Output-Calculation-sheet'!S18</f>
        <v>1031.5828010071955</v>
      </c>
      <c r="T32" s="2">
        <f>T10/'Output-Calculation-sheet'!T9*'Output-Calculation-sheet'!T18</f>
        <v>458.86797622250282</v>
      </c>
      <c r="U32" s="2">
        <f>U10/'Output-Calculation-sheet'!U9*'Output-Calculation-sheet'!U18</f>
        <v>507.50275672208301</v>
      </c>
      <c r="V32" s="2">
        <f>V10/'Output-Calculation-sheet'!V9*'Output-Calculation-sheet'!V18</f>
        <v>374.77974363110934</v>
      </c>
      <c r="W32" s="2">
        <f>W10/'Output-Calculation-sheet'!W9*'Output-Calculation-sheet'!W18</f>
        <v>186.95086449589004</v>
      </c>
      <c r="X32" s="2">
        <f>X10/'Output-Calculation-sheet'!X9*'Output-Calculation-sheet'!X18</f>
        <v>0</v>
      </c>
      <c r="Y32" s="2">
        <f>Y10/'Output-Calculation-sheet'!Y9*'Output-Calculation-sheet'!Y18</f>
        <v>217.10710459409893</v>
      </c>
      <c r="AA32" s="2">
        <f t="shared" si="1"/>
        <v>53.631921015949871</v>
      </c>
    </row>
    <row r="33" spans="1:27" x14ac:dyDescent="0.25">
      <c r="A33" s="2">
        <v>2034</v>
      </c>
      <c r="B33" s="2">
        <f>B11/'Output-Calculation-sheet'!B10*'Output-Calculation-sheet'!B19</f>
        <v>17753.901080884694</v>
      </c>
      <c r="C33" s="2">
        <f>C11/'Output-Calculation-sheet'!C10*'Output-Calculation-sheet'!C19</f>
        <v>0</v>
      </c>
      <c r="D33" s="2">
        <f>D11/'Output-Calculation-sheet'!D10*'Output-Calculation-sheet'!D19</f>
        <v>5295.7936935185799</v>
      </c>
      <c r="E33" s="2">
        <f>E11/'Output-Calculation-sheet'!E10*'Output-Calculation-sheet'!E19</f>
        <v>6559.1946079016852</v>
      </c>
      <c r="F33" s="2">
        <f>F11/'Output-Calculation-sheet'!F10*'Output-Calculation-sheet'!F19</f>
        <v>3009.8276235209587</v>
      </c>
      <c r="G33" s="2">
        <f>G11/'Output-Calculation-sheet'!G10*'Output-Calculation-sheet'!G19</f>
        <v>1802.6380867220889</v>
      </c>
      <c r="H33" s="2">
        <f>H11/'Output-Calculation-sheet'!H10*'Output-Calculation-sheet'!H19</f>
        <v>0</v>
      </c>
      <c r="I33" s="2">
        <f>I11/'Output-Calculation-sheet'!I10*'Output-Calculation-sheet'!I19</f>
        <v>1966.9309410034434</v>
      </c>
      <c r="J33" s="2">
        <f>J11/'Output-Calculation-sheet'!J10*'Output-Calculation-sheet'!J19</f>
        <v>1663.1668607343961</v>
      </c>
      <c r="K33" s="2">
        <f>K11/'Output-Calculation-sheet'!K10*'Output-Calculation-sheet'!K19</f>
        <v>2307.8840236593351</v>
      </c>
      <c r="L33" s="2">
        <f>L11/'Output-Calculation-sheet'!L10*'Output-Calculation-sheet'!L19</f>
        <v>1876.8595048589377</v>
      </c>
      <c r="M33" s="2">
        <f>M11/'Output-Calculation-sheet'!M10*'Output-Calculation-sheet'!M19</f>
        <v>0</v>
      </c>
      <c r="N33" s="2">
        <f>N11/'Output-Calculation-sheet'!N10*'Output-Calculation-sheet'!N19</f>
        <v>1061.2842983789239</v>
      </c>
      <c r="O33" s="2">
        <f>O11/'Output-Calculation-sheet'!O10*'Output-Calculation-sheet'!O19</f>
        <v>0</v>
      </c>
      <c r="P33" s="2">
        <f>P11/'Output-Calculation-sheet'!P10*'Output-Calculation-sheet'!P19</f>
        <v>2335.1715178799145</v>
      </c>
      <c r="Q33" s="2">
        <f>Q11/'Output-Calculation-sheet'!Q10*'Output-Calculation-sheet'!Q19</f>
        <v>1922.9892293771065</v>
      </c>
      <c r="R33" s="2">
        <f>R11/'Output-Calculation-sheet'!R10*'Output-Calculation-sheet'!R19</f>
        <v>1667.2748251874864</v>
      </c>
      <c r="S33" s="2">
        <f>S11/'Output-Calculation-sheet'!S10*'Output-Calculation-sheet'!S19</f>
        <v>777.22481793937106</v>
      </c>
      <c r="T33" s="2">
        <f>T11/'Output-Calculation-sheet'!T10*'Output-Calculation-sheet'!T19</f>
        <v>489.22676588917909</v>
      </c>
      <c r="U33" s="2">
        <f>U11/'Output-Calculation-sheet'!U10*'Output-Calculation-sheet'!U19</f>
        <v>563.05786382893348</v>
      </c>
      <c r="V33" s="2">
        <f>V11/'Output-Calculation-sheet'!V10*'Output-Calculation-sheet'!V19</f>
        <v>383.64926684481082</v>
      </c>
      <c r="W33" s="2">
        <f>W11/'Output-Calculation-sheet'!W10*'Output-Calculation-sheet'!W19</f>
        <v>239.24889589429418</v>
      </c>
      <c r="X33" s="2">
        <f>X11/'Output-Calculation-sheet'!X10*'Output-Calculation-sheet'!X19</f>
        <v>69.178692893718775</v>
      </c>
      <c r="Y33" s="2">
        <f>Y11/'Output-Calculation-sheet'!Y10*'Output-Calculation-sheet'!Y19</f>
        <v>215.31532356877855</v>
      </c>
      <c r="AA33" s="2">
        <f t="shared" si="1"/>
        <v>51.959817920486628</v>
      </c>
    </row>
    <row r="34" spans="1:27" x14ac:dyDescent="0.25">
      <c r="A34" s="2">
        <v>2035</v>
      </c>
      <c r="B34" s="2">
        <f>B12/'Output-Calculation-sheet'!B11*'Output-Calculation-sheet'!B20</f>
        <v>12899.102900394008</v>
      </c>
      <c r="C34" s="2">
        <f>C12/'Output-Calculation-sheet'!C11*'Output-Calculation-sheet'!C20</f>
        <v>0</v>
      </c>
      <c r="D34" s="2">
        <f>D12/'Output-Calculation-sheet'!D11*'Output-Calculation-sheet'!D20</f>
        <v>4048.1318679814785</v>
      </c>
      <c r="E34" s="2">
        <f>E12/'Output-Calculation-sheet'!E11*'Output-Calculation-sheet'!E20</f>
        <v>4423.1789156710392</v>
      </c>
      <c r="F34" s="2">
        <f>F12/'Output-Calculation-sheet'!F11*'Output-Calculation-sheet'!F20</f>
        <v>2786.8101265304008</v>
      </c>
      <c r="G34" s="2">
        <f>G12/'Output-Calculation-sheet'!G11*'Output-Calculation-sheet'!G20</f>
        <v>1489.1885927062672</v>
      </c>
      <c r="H34" s="2">
        <f>H12/'Output-Calculation-sheet'!H11*'Output-Calculation-sheet'!H20</f>
        <v>0</v>
      </c>
      <c r="I34" s="2">
        <f>I12/'Output-Calculation-sheet'!I11*'Output-Calculation-sheet'!I20</f>
        <v>1618.5452189688979</v>
      </c>
      <c r="J34" s="2">
        <f>J12/'Output-Calculation-sheet'!J11*'Output-Calculation-sheet'!J20</f>
        <v>1389.5224681371637</v>
      </c>
      <c r="K34" s="2">
        <f>K12/'Output-Calculation-sheet'!K11*'Output-Calculation-sheet'!K20</f>
        <v>1826.8837269479154</v>
      </c>
      <c r="L34" s="2">
        <f>L12/'Output-Calculation-sheet'!L11*'Output-Calculation-sheet'!L20</f>
        <v>1443.8154712654527</v>
      </c>
      <c r="M34" s="2">
        <f>M12/'Output-Calculation-sheet'!M11*'Output-Calculation-sheet'!M20</f>
        <v>0</v>
      </c>
      <c r="N34" s="2">
        <f>N12/'Output-Calculation-sheet'!N11*'Output-Calculation-sheet'!N20</f>
        <v>803.48354719942802</v>
      </c>
      <c r="O34" s="2">
        <f>O12/'Output-Calculation-sheet'!O11*'Output-Calculation-sheet'!O20</f>
        <v>0</v>
      </c>
      <c r="P34" s="2">
        <f>P12/'Output-Calculation-sheet'!P11*'Output-Calculation-sheet'!P20</f>
        <v>1795.638959071352</v>
      </c>
      <c r="Q34" s="2">
        <f>Q12/'Output-Calculation-sheet'!Q11*'Output-Calculation-sheet'!Q20</f>
        <v>1420.8359786506501</v>
      </c>
      <c r="R34" s="2">
        <f>R12/'Output-Calculation-sheet'!R11*'Output-Calculation-sheet'!R20</f>
        <v>1426.0931963421669</v>
      </c>
      <c r="S34" s="2">
        <f>S12/'Output-Calculation-sheet'!S11*'Output-Calculation-sheet'!S20</f>
        <v>544.7329975950006</v>
      </c>
      <c r="T34" s="2">
        <f>T12/'Output-Calculation-sheet'!T11*'Output-Calculation-sheet'!T20</f>
        <v>448.03442920964886</v>
      </c>
      <c r="U34" s="2">
        <f>U12/'Output-Calculation-sheet'!U11*'Output-Calculation-sheet'!U20</f>
        <v>408.76198894937363</v>
      </c>
      <c r="V34" s="2">
        <f>V12/'Output-Calculation-sheet'!V11*'Output-Calculation-sheet'!V20</f>
        <v>375.48978477162439</v>
      </c>
      <c r="W34" s="2">
        <f>W12/'Output-Calculation-sheet'!W11*'Output-Calculation-sheet'!W20</f>
        <v>241.57686778035557</v>
      </c>
      <c r="X34" s="2">
        <f>X12/'Output-Calculation-sheet'!X11*'Output-Calculation-sheet'!X20</f>
        <v>48.82359387896453</v>
      </c>
      <c r="Y34" s="2">
        <f>Y12/'Output-Calculation-sheet'!Y11*'Output-Calculation-sheet'!Y20</f>
        <v>135.41296064565526</v>
      </c>
      <c r="AA34" s="2">
        <f t="shared" si="1"/>
        <v>39.574063592696845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0.87710993856598318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0.17039886480802641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1.0475088033740096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0.97747143858770402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0.37979280861855902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1.357264247206263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0.97565444245516797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0.56863023252618816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1.5442846749813561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0.89402231487040906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0.52105345362758548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1.4150757684979944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1.5034185878473967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0.2313995319700648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0.15922552173611237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0.58414757246810178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0.13711153150638908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1.7467432257378769E-2</v>
      </c>
      <c r="Y44" s="2">
        <f>Y11/'Output-Calculation-sheet'!Y10*'Output-Calculation-sheet'!Y37*0.0114</f>
        <v>0</v>
      </c>
      <c r="AA44" s="2">
        <f t="shared" si="2"/>
        <v>2.6327701777854435</v>
      </c>
    </row>
    <row r="45" spans="1:27" x14ac:dyDescent="0.25">
      <c r="A45" s="2">
        <v>2035</v>
      </c>
      <c r="B45" s="2">
        <f>B12/'Output-Calculation-sheet'!B11*'Output-Calculation-sheet'!B38*0.0114</f>
        <v>1.2056422427562286</v>
      </c>
      <c r="C45" s="2">
        <f>C12/'Output-Calculation-sheet'!C11*'Output-Calculation-sheet'!C38*0.0114</f>
        <v>1.1444493969236298</v>
      </c>
      <c r="D45" s="2">
        <f>D12/'Output-Calculation-sheet'!D11*'Output-Calculation-sheet'!D38*0.0114</f>
        <v>0.50689465625742902</v>
      </c>
      <c r="E45" s="2">
        <f>E12/'Output-Calculation-sheet'!E11*'Output-Calculation-sheet'!E38*0.0114</f>
        <v>0.40284604648597788</v>
      </c>
      <c r="F45" s="2">
        <f>F12/'Output-Calculation-sheet'!F11*'Output-Calculation-sheet'!F38*0.0114</f>
        <v>0.25336253861846503</v>
      </c>
      <c r="G45" s="2">
        <f>G12/'Output-Calculation-sheet'!G11*'Output-Calculation-sheet'!G38*0.0114</f>
        <v>0.18183400407921088</v>
      </c>
      <c r="H45" s="2">
        <f>H12/'Output-Calculation-sheet'!H11*'Output-Calculation-sheet'!H38*0.0114</f>
        <v>0.17614858360287328</v>
      </c>
      <c r="I45" s="2">
        <f>I12/'Output-Calculation-sheet'!I11*'Output-Calculation-sheet'!I38*0.0114</f>
        <v>0.16354883039421939</v>
      </c>
      <c r="J45" s="2">
        <f>J12/'Output-Calculation-sheet'!J11*'Output-Calculation-sheet'!J38*0.0114</f>
        <v>0.16185964621792723</v>
      </c>
      <c r="K45" s="2">
        <f>K12/'Output-Calculation-sheet'!K11*'Output-Calculation-sheet'!K38*0.0114</f>
        <v>0.16074275637681948</v>
      </c>
      <c r="L45" s="2">
        <f>L12/'Output-Calculation-sheet'!L11*'Output-Calculation-sheet'!L38*0.0114</f>
        <v>0.12781493735188357</v>
      </c>
      <c r="M45" s="2">
        <f>M12/'Output-Calculation-sheet'!M11*'Output-Calculation-sheet'!M38*0.0114</f>
        <v>0.1212074626446223</v>
      </c>
      <c r="N45" s="2">
        <f>N12/'Output-Calculation-sheet'!N11*'Output-Calculation-sheet'!N38*0.0114</f>
        <v>0.11912748651415632</v>
      </c>
      <c r="O45" s="2">
        <f>O12/'Output-Calculation-sheet'!O11*'Output-Calculation-sheet'!O38*0.0114</f>
        <v>0.44467145905301242</v>
      </c>
      <c r="P45" s="2">
        <f>P12/'Output-Calculation-sheet'!P11*'Output-Calculation-sheet'!P38*0.0114</f>
        <v>0.11005233264381827</v>
      </c>
      <c r="Q45" s="2">
        <f>Q12/'Output-Calculation-sheet'!Q11*'Output-Calculation-sheet'!Q38*0.0114</f>
        <v>0.10437359948331967</v>
      </c>
      <c r="R45" s="2">
        <f>R12/'Output-Calculation-sheet'!R11*'Output-Calculation-sheet'!R38*0.0114</f>
        <v>0.1035058855928687</v>
      </c>
      <c r="S45" s="2">
        <f>S12/'Output-Calculation-sheet'!S11*'Output-Calculation-sheet'!S38*0.0114</f>
        <v>6.8287802377257109E-2</v>
      </c>
      <c r="T45" s="2">
        <f>T12/'Output-Calculation-sheet'!T11*'Output-Calculation-sheet'!T38*0.0114</f>
        <v>3.829354095808965E-2</v>
      </c>
      <c r="U45" s="2">
        <f>U12/'Output-Calculation-sheet'!U11*'Output-Calculation-sheet'!U38*0.0114</f>
        <v>3.3301555592245118E-2</v>
      </c>
      <c r="V45" s="2">
        <f>V12/'Output-Calculation-sheet'!V11*'Output-Calculation-sheet'!V38*0.0114</f>
        <v>2.5678519645567867E-2</v>
      </c>
      <c r="W45" s="2">
        <f>W12/'Output-Calculation-sheet'!W11*'Output-Calculation-sheet'!W38*0.0114</f>
        <v>2.2235666936038026E-2</v>
      </c>
      <c r="X45" s="2">
        <f>X12/'Output-Calculation-sheet'!X11*'Output-Calculation-sheet'!X38*0.0114</f>
        <v>1.3296757452882191E-2</v>
      </c>
      <c r="Y45" s="2">
        <f>Y12/'Output-Calculation-sheet'!Y11*'Output-Calculation-sheet'!Y38*0.0114</f>
        <v>1.2831617566688583E-2</v>
      </c>
      <c r="AA45" s="2">
        <f t="shared" si="2"/>
        <v>5.702007325525229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8001.704702707214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1752.6429767627296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1238.5841948653988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175.20819045408629</v>
      </c>
      <c r="Y51" s="2">
        <f>Y7/'Output-Calculation-sheet'!Y6*'Output-Calculation-sheet'!Y42</f>
        <v>0</v>
      </c>
      <c r="AA51" s="2">
        <f t="shared" si="3"/>
        <v>11.16814006478943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20063.887423642347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6545.8110097302942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4467.8346599531505</v>
      </c>
      <c r="N52" s="2">
        <f>N8/'Output-Calculation-sheet'!N7*'Output-Calculation-sheet'!N43</f>
        <v>142.80209919786734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577.79844767976647</v>
      </c>
      <c r="Y52" s="2">
        <f>Y8/'Output-Calculation-sheet'!Y7*'Output-Calculation-sheet'!Y43</f>
        <v>0</v>
      </c>
      <c r="AA52" s="2">
        <f t="shared" si="3"/>
        <v>31.798133640203428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41850.44055794536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11565.602228872129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7903.8815861163494</v>
      </c>
      <c r="N53" s="2">
        <f>N9/'Output-Calculation-sheet'!N8*'Output-Calculation-sheet'!N44</f>
        <v>2815.0988000668631</v>
      </c>
      <c r="O53" s="2">
        <f>O9/'Output-Calculation-sheet'!O8*'Output-Calculation-sheet'!O44</f>
        <v>0</v>
      </c>
      <c r="P53" s="2">
        <f>P9/'Output-Calculation-sheet'!P8*'Output-Calculation-sheet'!P44</f>
        <v>131.67817999151586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878.34708409970381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988.38628771377842</v>
      </c>
      <c r="Y53" s="2">
        <f>Y9/'Output-Calculation-sheet'!Y8*'Output-Calculation-sheet'!Y44</f>
        <v>0</v>
      </c>
      <c r="AA53" s="2">
        <f t="shared" si="3"/>
        <v>66.133434724805696</v>
      </c>
    </row>
    <row r="54" spans="1:27" x14ac:dyDescent="0.25">
      <c r="A54" s="2">
        <v>2033</v>
      </c>
      <c r="B54" s="2">
        <f>B10/'Output-Calculation-sheet'!B9*'Output-Calculation-sheet'!B45</f>
        <v>21149.754690433751</v>
      </c>
      <c r="C54" s="2">
        <f>C10/'Output-Calculation-sheet'!C9*'Output-Calculation-sheet'!C45</f>
        <v>48465.420227185336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15329.56352078553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198.26717988987599</v>
      </c>
      <c r="L54" s="2">
        <f>L10/'Output-Calculation-sheet'!L9*'Output-Calculation-sheet'!L45</f>
        <v>0</v>
      </c>
      <c r="M54" s="2">
        <f>M10/'Output-Calculation-sheet'!M9*'Output-Calculation-sheet'!M45</f>
        <v>10515.016983505178</v>
      </c>
      <c r="N54" s="2">
        <f>N10/'Output-Calculation-sheet'!N9*'Output-Calculation-sheet'!N45</f>
        <v>5893.8094287755957</v>
      </c>
      <c r="O54" s="2">
        <f>O10/'Output-Calculation-sheet'!O9*'Output-Calculation-sheet'!O45</f>
        <v>0</v>
      </c>
      <c r="P54" s="2">
        <f>P10/'Output-Calculation-sheet'!P9*'Output-Calculation-sheet'!P45</f>
        <v>1598.7554063910759</v>
      </c>
      <c r="Q54" s="2">
        <f>Q10/'Output-Calculation-sheet'!Q9*'Output-Calculation-sheet'!Q45</f>
        <v>629.39059097497898</v>
      </c>
      <c r="R54" s="2">
        <f>R10/'Output-Calculation-sheet'!R9*'Output-Calculation-sheet'!R45</f>
        <v>1049.7204885890046</v>
      </c>
      <c r="S54" s="2">
        <f>S10/'Output-Calculation-sheet'!S9*'Output-Calculation-sheet'!S45</f>
        <v>2508.157700269704</v>
      </c>
      <c r="T54" s="2">
        <f>T10/'Output-Calculation-sheet'!T9*'Output-Calculation-sheet'!T45</f>
        <v>52.481040341110862</v>
      </c>
      <c r="U54" s="2">
        <f>U10/'Output-Calculation-sheet'!U9*'Output-Calculation-sheet'!U45</f>
        <v>378.80833115643168</v>
      </c>
      <c r="V54" s="2">
        <f>V10/'Output-Calculation-sheet'!V9*'Output-Calculation-sheet'!V45</f>
        <v>28.153790779368745</v>
      </c>
      <c r="W54" s="2">
        <f>W10/'Output-Calculation-sheet'!W9*'Output-Calculation-sheet'!W45</f>
        <v>0</v>
      </c>
      <c r="X54" s="2">
        <f>X10/'Output-Calculation-sheet'!X9*'Output-Calculation-sheet'!X45</f>
        <v>1208.1926347084914</v>
      </c>
      <c r="Y54" s="2">
        <f>Y10/'Output-Calculation-sheet'!Y9*'Output-Calculation-sheet'!Y45</f>
        <v>12.309951903567173</v>
      </c>
      <c r="AA54" s="2">
        <f t="shared" si="3"/>
        <v>109.01780196568902</v>
      </c>
    </row>
    <row r="55" spans="1:27" x14ac:dyDescent="0.25">
      <c r="A55" s="2">
        <v>2034</v>
      </c>
      <c r="B55" s="2">
        <f>B11/'Output-Calculation-sheet'!B10*'Output-Calculation-sheet'!B46</f>
        <v>50570.623628155787</v>
      </c>
      <c r="C55" s="2">
        <f>C11/'Output-Calculation-sheet'!C10*'Output-Calculation-sheet'!C46</f>
        <v>41607.768812794173</v>
      </c>
      <c r="D55" s="2">
        <f>D11/'Output-Calculation-sheet'!D10*'Output-Calculation-sheet'!D46</f>
        <v>4672.8965794746136</v>
      </c>
      <c r="E55" s="2">
        <f>E11/'Output-Calculation-sheet'!E10*'Output-Calculation-sheet'!E46</f>
        <v>5756.244869882652</v>
      </c>
      <c r="F55" s="2">
        <f>F11/'Output-Calculation-sheet'!F10*'Output-Calculation-sheet'!F46</f>
        <v>175.17499821638896</v>
      </c>
      <c r="G55" s="2">
        <f>G11/'Output-Calculation-sheet'!G10*'Output-Calculation-sheet'!G46</f>
        <v>2074.3821481266846</v>
      </c>
      <c r="H55" s="2">
        <f>H11/'Output-Calculation-sheet'!H10*'Output-Calculation-sheet'!H46</f>
        <v>15000.373168936656</v>
      </c>
      <c r="I55" s="2">
        <f>I11/'Output-Calculation-sheet'!I10*'Output-Calculation-sheet'!I46</f>
        <v>1130.7775107093871</v>
      </c>
      <c r="J55" s="2">
        <f>J11/'Output-Calculation-sheet'!J10*'Output-Calculation-sheet'!J46</f>
        <v>820.67222016724713</v>
      </c>
      <c r="K55" s="2">
        <f>K11/'Output-Calculation-sheet'!K10*'Output-Calculation-sheet'!K46</f>
        <v>2204.2296607873518</v>
      </c>
      <c r="L55" s="2">
        <f>L11/'Output-Calculation-sheet'!L10*'Output-Calculation-sheet'!L46</f>
        <v>810.07041330331617</v>
      </c>
      <c r="M55" s="2">
        <f>M11/'Output-Calculation-sheet'!M10*'Output-Calculation-sheet'!M46</f>
        <v>10601.067631378008</v>
      </c>
      <c r="N55" s="2">
        <f>N11/'Output-Calculation-sheet'!N10*'Output-Calculation-sheet'!N46</f>
        <v>8085.4788030834707</v>
      </c>
      <c r="O55" s="2">
        <f>O11/'Output-Calculation-sheet'!O10*'Output-Calculation-sheet'!O46</f>
        <v>179.343552950733</v>
      </c>
      <c r="P55" s="2">
        <f>P11/'Output-Calculation-sheet'!P10*'Output-Calculation-sheet'!P46</f>
        <v>3005.5646053619844</v>
      </c>
      <c r="Q55" s="2">
        <f>Q11/'Output-Calculation-sheet'!Q10*'Output-Calculation-sheet'!Q46</f>
        <v>1768.0171167929116</v>
      </c>
      <c r="R55" s="2">
        <f>R11/'Output-Calculation-sheet'!R10*'Output-Calculation-sheet'!R46</f>
        <v>2433.176887086312</v>
      </c>
      <c r="S55" s="2">
        <f>S11/'Output-Calculation-sheet'!S10*'Output-Calculation-sheet'!S46</f>
        <v>3973.863856022906</v>
      </c>
      <c r="T55" s="2">
        <f>T11/'Output-Calculation-sheet'!T10*'Output-Calculation-sheet'!T46</f>
        <v>551.5869839462008</v>
      </c>
      <c r="U55" s="2">
        <f>U11/'Output-Calculation-sheet'!U10*'Output-Calculation-sheet'!U46</f>
        <v>920.98855233831569</v>
      </c>
      <c r="V55" s="2">
        <f>V11/'Output-Calculation-sheet'!V10*'Output-Calculation-sheet'!V46</f>
        <v>372.83699401828073</v>
      </c>
      <c r="W55" s="2">
        <f>W11/'Output-Calculation-sheet'!W10*'Output-Calculation-sheet'!W46</f>
        <v>48.683549013007926</v>
      </c>
      <c r="X55" s="2">
        <f>X11/'Output-Calculation-sheet'!X10*'Output-Calculation-sheet'!X46</f>
        <v>1084.8194770372079</v>
      </c>
      <c r="Y55" s="2">
        <f>Y11/'Output-Calculation-sheet'!Y10*'Output-Calculation-sheet'!Y46</f>
        <v>282.41856639726342</v>
      </c>
      <c r="AA55" s="2">
        <f t="shared" si="3"/>
        <v>158.13106058598092</v>
      </c>
    </row>
    <row r="56" spans="1:27" x14ac:dyDescent="0.25">
      <c r="A56" s="2">
        <v>2035</v>
      </c>
      <c r="B56" s="2">
        <f>B12/'Output-Calculation-sheet'!B11*'Output-Calculation-sheet'!B47</f>
        <v>48965.996350538051</v>
      </c>
      <c r="C56" s="2">
        <f>C12/'Output-Calculation-sheet'!C11*'Output-Calculation-sheet'!C47</f>
        <v>32175.090501230115</v>
      </c>
      <c r="D56" s="2">
        <f>D12/'Output-Calculation-sheet'!D11*'Output-Calculation-sheet'!D47</f>
        <v>3912.8710307591014</v>
      </c>
      <c r="E56" s="2">
        <f>E12/'Output-Calculation-sheet'!E11*'Output-Calculation-sheet'!E47</f>
        <v>10989.922847117467</v>
      </c>
      <c r="F56" s="2">
        <f>F12/'Output-Calculation-sheet'!F11*'Output-Calculation-sheet'!F47</f>
        <v>1355.7118294496813</v>
      </c>
      <c r="G56" s="2">
        <f>G12/'Output-Calculation-sheet'!G11*'Output-Calculation-sheet'!G47</f>
        <v>3062.4674371235515</v>
      </c>
      <c r="H56" s="2">
        <f>H12/'Output-Calculation-sheet'!H11*'Output-Calculation-sheet'!H47</f>
        <v>11696.88401643641</v>
      </c>
      <c r="I56" s="2">
        <f>I12/'Output-Calculation-sheet'!I11*'Output-Calculation-sheet'!I47</f>
        <v>1549.4099721557625</v>
      </c>
      <c r="J56" s="2">
        <f>J12/'Output-Calculation-sheet'!J11*'Output-Calculation-sheet'!J47</f>
        <v>1405.6232434714734</v>
      </c>
      <c r="K56" s="2">
        <f>K12/'Output-Calculation-sheet'!K11*'Output-Calculation-sheet'!K47</f>
        <v>2030.4348173914036</v>
      </c>
      <c r="L56" s="2">
        <f>L12/'Output-Calculation-sheet'!L11*'Output-Calculation-sheet'!L47</f>
        <v>1121.1836609814347</v>
      </c>
      <c r="M56" s="2">
        <f>M12/'Output-Calculation-sheet'!M11*'Output-Calculation-sheet'!M47</f>
        <v>8154.9231445987107</v>
      </c>
      <c r="N56" s="2">
        <f>N12/'Output-Calculation-sheet'!N11*'Output-Calculation-sheet'!N47</f>
        <v>6228.0685931962425</v>
      </c>
      <c r="O56" s="2">
        <f>O12/'Output-Calculation-sheet'!O11*'Output-Calculation-sheet'!O47</f>
        <v>585.09402506975312</v>
      </c>
      <c r="P56" s="2">
        <f>P12/'Output-Calculation-sheet'!P11*'Output-Calculation-sheet'!P47</f>
        <v>3233.9939855858875</v>
      </c>
      <c r="Q56" s="2">
        <f>Q12/'Output-Calculation-sheet'!Q11*'Output-Calculation-sheet'!Q47</f>
        <v>1638.8486234661598</v>
      </c>
      <c r="R56" s="2">
        <f>R12/'Output-Calculation-sheet'!R11*'Output-Calculation-sheet'!R47</f>
        <v>2387.8989395547778</v>
      </c>
      <c r="S56" s="2">
        <f>S12/'Output-Calculation-sheet'!S11*'Output-Calculation-sheet'!S47</f>
        <v>3162.8034785255923</v>
      </c>
      <c r="T56" s="2">
        <f>T12/'Output-Calculation-sheet'!T11*'Output-Calculation-sheet'!T47</f>
        <v>836.41155250564236</v>
      </c>
      <c r="U56" s="2">
        <f>U12/'Output-Calculation-sheet'!U11*'Output-Calculation-sheet'!U47</f>
        <v>800.40580984869837</v>
      </c>
      <c r="V56" s="2">
        <f>V12/'Output-Calculation-sheet'!V11*'Output-Calculation-sheet'!V47</f>
        <v>558.62042737726586</v>
      </c>
      <c r="W56" s="2">
        <f>W12/'Output-Calculation-sheet'!W11*'Output-Calculation-sheet'!W47</f>
        <v>317.93102724335068</v>
      </c>
      <c r="X56" s="2">
        <f>X12/'Output-Calculation-sheet'!X11*'Output-Calculation-sheet'!X47</f>
        <v>842.12797201587205</v>
      </c>
      <c r="Y56" s="2">
        <f>Y12/'Output-Calculation-sheet'!Y11*'Output-Calculation-sheet'!Y47</f>
        <v>431.09732702120414</v>
      </c>
      <c r="AA56" s="2">
        <f t="shared" si="3"/>
        <v>147.44382061266364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4.7325266218002033</v>
      </c>
      <c r="C60" s="2">
        <f>C5*'Output-Calculation-sheet'!C49/10^9</f>
        <v>1.9088279039896519</v>
      </c>
      <c r="D60" s="2">
        <f>D5*'Output-Calculation-sheet'!D49/10^9</f>
        <v>1.2479113103982364</v>
      </c>
      <c r="E60" s="2">
        <f>E5*'Output-Calculation-sheet'!E49/10^9</f>
        <v>1.4478570355749143</v>
      </c>
      <c r="F60" s="2">
        <f>F5*'Output-Calculation-sheet'!F49/10^9</f>
        <v>0.66495763205205372</v>
      </c>
      <c r="G60" s="2">
        <f>G5*'Output-Calculation-sheet'!G49/10^9</f>
        <v>0.52456376982493724</v>
      </c>
      <c r="H60" s="2">
        <f>H5*'Output-Calculation-sheet'!H49/10^9</f>
        <v>0.5015586382936702</v>
      </c>
      <c r="I60" s="2">
        <f>I5*'Output-Calculation-sheet'!I49/10^9</f>
        <v>0.39488767836277638</v>
      </c>
      <c r="J60" s="2">
        <f>J5*'Output-Calculation-sheet'!J49/10^9</f>
        <v>0.61200494979529396</v>
      </c>
      <c r="K60" s="2">
        <f>K5*'Output-Calculation-sheet'!K49/10^9</f>
        <v>0.33969559657159665</v>
      </c>
      <c r="L60" s="2">
        <f>L5*'Output-Calculation-sheet'!L49/10^9</f>
        <v>0.44360234327415821</v>
      </c>
      <c r="M60" s="2">
        <f>M5*'Output-Calculation-sheet'!M49/10^9</f>
        <v>0.38393605865104324</v>
      </c>
      <c r="N60" s="2">
        <f>N5*'Output-Calculation-sheet'!N49/10^9</f>
        <v>0.32138992630717933</v>
      </c>
      <c r="O60" s="2">
        <f>O5*'Output-Calculation-sheet'!O49/10^9</f>
        <v>0.32214782965874689</v>
      </c>
      <c r="P60" s="2">
        <f>P5*'Output-Calculation-sheet'!P49/10^9</f>
        <v>0.33610445220847507</v>
      </c>
      <c r="Q60" s="2">
        <f>Q5*'Output-Calculation-sheet'!Q49/10^9</f>
        <v>0.291508831213391</v>
      </c>
      <c r="R60" s="2">
        <f>R5*'Output-Calculation-sheet'!R49/10^9</f>
        <v>0.30477495988604686</v>
      </c>
      <c r="S60" s="2">
        <f>S5*'Output-Calculation-sheet'!S49/10^9</f>
        <v>0.2147449171205105</v>
      </c>
      <c r="T60" s="2">
        <f>T5*'Output-Calculation-sheet'!T49/10^9</f>
        <v>0.13358478288436523</v>
      </c>
      <c r="U60" s="2">
        <f>U5*'Output-Calculation-sheet'!U49/10^9</f>
        <v>9.8155441098423488E-2</v>
      </c>
      <c r="V60" s="2">
        <f>V5*'Output-Calculation-sheet'!V49/10^9</f>
        <v>0.1866653328911749</v>
      </c>
      <c r="W60" s="2">
        <f>W5*'Output-Calculation-sheet'!W49/10^9</f>
        <v>7.4329551844645445E-2</v>
      </c>
      <c r="X60" s="2">
        <f>X5*'Output-Calculation-sheet'!X49/10^9</f>
        <v>5.4517657013671124E-2</v>
      </c>
      <c r="Y60" s="2">
        <f>Y5*'Output-Calculation-sheet'!Y49/10^9</f>
        <v>3.9426699172199708E-2</v>
      </c>
      <c r="AA60" s="2">
        <f t="shared" ref="AA60:AA67" si="4">SUM(B60:Y60)</f>
        <v>15.579679919887363</v>
      </c>
    </row>
    <row r="61" spans="1:27" x14ac:dyDescent="0.25">
      <c r="A61" s="2">
        <v>2029</v>
      </c>
      <c r="B61" s="2">
        <f>B6*'Output-Calculation-sheet'!B50/10^9</f>
        <v>5.8230241322488219</v>
      </c>
      <c r="C61" s="2">
        <f>C6*'Output-Calculation-sheet'!C50/10^9</f>
        <v>2.4956706135048767</v>
      </c>
      <c r="D61" s="2">
        <f>D6*'Output-Calculation-sheet'!D50/10^9</f>
        <v>1.4989299605219628</v>
      </c>
      <c r="E61" s="2">
        <f>E6*'Output-Calculation-sheet'!E50/10^9</f>
        <v>1.7326290389010897</v>
      </c>
      <c r="F61" s="2">
        <f>F6*'Output-Calculation-sheet'!F50/10^9</f>
        <v>0.79947958404968023</v>
      </c>
      <c r="G61" s="2">
        <f>G6*'Output-Calculation-sheet'!G50/10^9</f>
        <v>0.62510338692268219</v>
      </c>
      <c r="H61" s="2">
        <f>H6*'Output-Calculation-sheet'!H50/10^9</f>
        <v>0.64710172834274493</v>
      </c>
      <c r="I61" s="2">
        <f>I6*'Output-Calculation-sheet'!I50/10^9</f>
        <v>0.47662973874048392</v>
      </c>
      <c r="J61" s="2">
        <f>J6*'Output-Calculation-sheet'!J50/10^9</f>
        <v>0.72115226805161692</v>
      </c>
      <c r="K61" s="2">
        <f>K6*'Output-Calculation-sheet'!K50/10^9</f>
        <v>0.41874233049484172</v>
      </c>
      <c r="L61" s="2">
        <f>L6*'Output-Calculation-sheet'!L50/10^9</f>
        <v>0.53225349243892373</v>
      </c>
      <c r="M61" s="2">
        <f>M6*'Output-Calculation-sheet'!M50/10^9</f>
        <v>0.49001028372722777</v>
      </c>
      <c r="N61" s="2">
        <f>N6*'Output-Calculation-sheet'!N50/10^9</f>
        <v>0.41751227209840053</v>
      </c>
      <c r="O61" s="2">
        <f>O6*'Output-Calculation-sheet'!O50/10^9</f>
        <v>0.43472283745547308</v>
      </c>
      <c r="P61" s="2">
        <f>P6*'Output-Calculation-sheet'!P50/10^9</f>
        <v>0.41434755793657824</v>
      </c>
      <c r="Q61" s="2">
        <f>Q6*'Output-Calculation-sheet'!Q50/10^9</f>
        <v>0.36705748239279634</v>
      </c>
      <c r="R61" s="2">
        <f>R6*'Output-Calculation-sheet'!R50/10^9</f>
        <v>0.37089122044638057</v>
      </c>
      <c r="S61" s="2">
        <f>S6*'Output-Calculation-sheet'!S50/10^9</f>
        <v>0.27191710796217078</v>
      </c>
      <c r="T61" s="2">
        <f>T6*'Output-Calculation-sheet'!T50/10^9</f>
        <v>0.15938015899136332</v>
      </c>
      <c r="U61" s="2">
        <f>U6*'Output-Calculation-sheet'!U50/10^9</f>
        <v>0.11898962464208346</v>
      </c>
      <c r="V61" s="2">
        <f>V6*'Output-Calculation-sheet'!V50/10^9</f>
        <v>0.21828204799572898</v>
      </c>
      <c r="W61" s="2">
        <f>W6*'Output-Calculation-sheet'!W50/10^9</f>
        <v>8.8074593080952224E-2</v>
      </c>
      <c r="X61" s="2">
        <f>X6*'Output-Calculation-sheet'!X50/10^9</f>
        <v>6.8759094375623803E-2</v>
      </c>
      <c r="Y61" s="2">
        <f>Y6*'Output-Calculation-sheet'!Y50/10^9</f>
        <v>4.7777096463677435E-2</v>
      </c>
      <c r="AA61" s="2">
        <f t="shared" si="4"/>
        <v>19.238437651786185</v>
      </c>
    </row>
    <row r="62" spans="1:27" x14ac:dyDescent="0.25">
      <c r="A62" s="2">
        <v>2030</v>
      </c>
      <c r="B62" s="2">
        <f>B7*'Output-Calculation-sheet'!B51/10^9</f>
        <v>6.5468753784999008</v>
      </c>
      <c r="C62" s="2">
        <f>C7*'Output-Calculation-sheet'!C51/10^9</f>
        <v>3.2536589211629336</v>
      </c>
      <c r="D62" s="2">
        <f>D7*'Output-Calculation-sheet'!D51/10^9</f>
        <v>1.6309802394373847</v>
      </c>
      <c r="E62" s="2">
        <f>E7*'Output-Calculation-sheet'!E51/10^9</f>
        <v>1.8767775071727353</v>
      </c>
      <c r="F62" s="2">
        <f>F7*'Output-Calculation-sheet'!F51/10^9</f>
        <v>0.87091549275422409</v>
      </c>
      <c r="G62" s="2">
        <f>G7*'Output-Calculation-sheet'!G51/10^9</f>
        <v>0.67363822312895216</v>
      </c>
      <c r="H62" s="2">
        <f>H7*'Output-Calculation-sheet'!H51/10^9</f>
        <v>0.82019687170554023</v>
      </c>
      <c r="I62" s="2">
        <f>I7*'Output-Calculation-sheet'!I51/10^9</f>
        <v>0.52165194029721884</v>
      </c>
      <c r="J62" s="2">
        <f>J7*'Output-Calculation-sheet'!J51/10^9</f>
        <v>0.76635689867630996</v>
      </c>
      <c r="K62" s="2">
        <f>K7*'Output-Calculation-sheet'!K51/10^9</f>
        <v>0.46970224681949979</v>
      </c>
      <c r="L62" s="2">
        <f>L7*'Output-Calculation-sheet'!L51/10^9</f>
        <v>0.57838143696816857</v>
      </c>
      <c r="M62" s="2">
        <f>M7*'Output-Calculation-sheet'!M51/10^9</f>
        <v>0.61113282077709796</v>
      </c>
      <c r="N62" s="2">
        <f>N7*'Output-Calculation-sheet'!N51/10^9</f>
        <v>0.49928753376206381</v>
      </c>
      <c r="O62" s="2">
        <f>O7*'Output-Calculation-sheet'!O51/10^9</f>
        <v>0.56811361237276481</v>
      </c>
      <c r="P62" s="2">
        <f>P7*'Output-Calculation-sheet'!P51/10^9</f>
        <v>0.46481353248536339</v>
      </c>
      <c r="Q62" s="2">
        <f>Q7*'Output-Calculation-sheet'!Q51/10^9</f>
        <v>0.42298319769711906</v>
      </c>
      <c r="R62" s="2">
        <f>R7*'Output-Calculation-sheet'!R51/10^9</f>
        <v>0.40988120642848858</v>
      </c>
      <c r="S62" s="2">
        <f>S7*'Output-Calculation-sheet'!S51/10^9</f>
        <v>0.31778009361782761</v>
      </c>
      <c r="T62" s="2">
        <f>T7*'Output-Calculation-sheet'!T51/10^9</f>
        <v>0.17200909071845374</v>
      </c>
      <c r="U62" s="2">
        <f>U7*'Output-Calculation-sheet'!U51/10^9</f>
        <v>0.13090339822213007</v>
      </c>
      <c r="V62" s="2">
        <f>V7*'Output-Calculation-sheet'!V51/10^9</f>
        <v>0.22972465608049525</v>
      </c>
      <c r="W62" s="2">
        <f>W7*'Output-Calculation-sheet'!W51/10^9</f>
        <v>9.4249671522577669E-2</v>
      </c>
      <c r="X62" s="2">
        <f>X7*'Output-Calculation-sheet'!X51/10^9</f>
        <v>8.4540314754887769E-2</v>
      </c>
      <c r="Y62" s="2">
        <f>Y7*'Output-Calculation-sheet'!Y51/10^9</f>
        <v>5.2537076193140519E-2</v>
      </c>
      <c r="AA62" s="2">
        <f t="shared" si="4"/>
        <v>22.067091361255276</v>
      </c>
    </row>
    <row r="63" spans="1:27" x14ac:dyDescent="0.25">
      <c r="A63" s="2">
        <v>2031</v>
      </c>
      <c r="B63" s="2">
        <f>B8*'Output-Calculation-sheet'!B52/10^9</f>
        <v>6.8172119722950448</v>
      </c>
      <c r="C63" s="2">
        <f>C8*'Output-Calculation-sheet'!C52/10^9</f>
        <v>3.8793498183375985</v>
      </c>
      <c r="D63" s="2">
        <f>D8*'Output-Calculation-sheet'!D52/10^9</f>
        <v>1.5961756701984695</v>
      </c>
      <c r="E63" s="2">
        <f>E8*'Output-Calculation-sheet'!E52/10^9</f>
        <v>1.8261044226796144</v>
      </c>
      <c r="F63" s="2">
        <f>F8*'Output-Calculation-sheet'!F52/10^9</f>
        <v>0.85358738668245271</v>
      </c>
      <c r="G63" s="2">
        <f>G8*'Output-Calculation-sheet'!G52/10^9</f>
        <v>0.65108647357470406</v>
      </c>
      <c r="H63" s="2">
        <f>H8*'Output-Calculation-sheet'!H52/10^9</f>
        <v>0.9732181333251827</v>
      </c>
      <c r="I63" s="2">
        <f>I8*'Output-Calculation-sheet'!I52/10^9</f>
        <v>0.51431504017920615</v>
      </c>
      <c r="J63" s="2">
        <f>J8*'Output-Calculation-sheet'!J52/10^9</f>
        <v>0.72707132633866434</v>
      </c>
      <c r="K63" s="2">
        <f>K8*'Output-Calculation-sheet'!K52/10^9</f>
        <v>0.47728543024131459</v>
      </c>
      <c r="L63" s="2">
        <f>L8*'Output-Calculation-sheet'!L52/10^9</f>
        <v>0.56508611181966284</v>
      </c>
      <c r="M63" s="2">
        <f>M8*'Output-Calculation-sheet'!M52/10^9</f>
        <v>0.71256569615930609</v>
      </c>
      <c r="N63" s="2">
        <f>N8*'Output-Calculation-sheet'!N52/10^9</f>
        <v>0.56816584651825319</v>
      </c>
      <c r="O63" s="2">
        <f>O8*'Output-Calculation-sheet'!O52/10^9</f>
        <v>0.674274770258528</v>
      </c>
      <c r="P63" s="2">
        <f>P8*'Output-Calculation-sheet'!P52/10^9</f>
        <v>0.48540834649832509</v>
      </c>
      <c r="Q63" s="2">
        <f>Q8*'Output-Calculation-sheet'!Q52/10^9</f>
        <v>0.4527791002750795</v>
      </c>
      <c r="R63" s="2">
        <f>R8*'Output-Calculation-sheet'!R52/10^9</f>
        <v>0.41011153193389166</v>
      </c>
      <c r="S63" s="2">
        <f>S8*'Output-Calculation-sheet'!S52/10^9</f>
        <v>0.34796538820766632</v>
      </c>
      <c r="T63" s="2">
        <f>T8*'Output-Calculation-sheet'!T52/10^9</f>
        <v>0.16657182128272915</v>
      </c>
      <c r="U63" s="2">
        <f>U8*'Output-Calculation-sheet'!U52/10^9</f>
        <v>0.12990089975119704</v>
      </c>
      <c r="V63" s="2">
        <f>V8*'Output-Calculation-sheet'!V52/10^9</f>
        <v>0.2150781652632589</v>
      </c>
      <c r="W63" s="2">
        <f>W8*'Output-Calculation-sheet'!W52/10^9</f>
        <v>9.0256372853901923E-2</v>
      </c>
      <c r="X63" s="2">
        <f>X8*'Output-Calculation-sheet'!X52/10^9</f>
        <v>9.6179330644225333E-2</v>
      </c>
      <c r="Y63" s="2">
        <f>Y8*'Output-Calculation-sheet'!Y52/10^9</f>
        <v>5.2119672833844791E-2</v>
      </c>
      <c r="AA63" s="2">
        <f t="shared" si="4"/>
        <v>23.281868728152112</v>
      </c>
    </row>
    <row r="64" spans="1:27" x14ac:dyDescent="0.25">
      <c r="A64" s="2">
        <v>2032</v>
      </c>
      <c r="B64" s="2">
        <f>B9*'Output-Calculation-sheet'!B53/10^9</f>
        <v>6.5267887965373186</v>
      </c>
      <c r="C64" s="2">
        <f>C9*'Output-Calculation-sheet'!C53/10^9</f>
        <v>4.1003040098234456</v>
      </c>
      <c r="D64" s="2">
        <f>D9*'Output-Calculation-sheet'!D53/10^9</f>
        <v>1.3705295896234186</v>
      </c>
      <c r="E64" s="2">
        <f>E9*'Output-Calculation-sheet'!E53/10^9</f>
        <v>1.6002614538508342</v>
      </c>
      <c r="F64" s="2">
        <f>F9*'Output-Calculation-sheet'!F53/10^9</f>
        <v>0.73433363835530041</v>
      </c>
      <c r="G64" s="2">
        <f>G9*'Output-Calculation-sheet'!G53/10^9</f>
        <v>0.54983797137071577</v>
      </c>
      <c r="H64" s="2">
        <f>H9*'Output-Calculation-sheet'!H53/10^9</f>
        <v>1.0240108701359758</v>
      </c>
      <c r="I64" s="2">
        <f>I9*'Output-Calculation-sheet'!I53/10^9</f>
        <v>0.44588096155086532</v>
      </c>
      <c r="J64" s="2">
        <f>J9*'Output-Calculation-sheet'!J53/10^9</f>
        <v>0.59846803683924066</v>
      </c>
      <c r="K64" s="2">
        <f>K9*'Output-Calculation-sheet'!K53/10^9</f>
        <v>0.44180202946786418</v>
      </c>
      <c r="L64" s="2">
        <f>L9*'Output-Calculation-sheet'!L53/10^9</f>
        <v>0.49599828582513128</v>
      </c>
      <c r="M64" s="2">
        <f>M9*'Output-Calculation-sheet'!M53/10^9</f>
        <v>0.73845555581683797</v>
      </c>
      <c r="N64" s="2">
        <f>N9*'Output-Calculation-sheet'!N53/10^9</f>
        <v>0.60352748365368025</v>
      </c>
      <c r="O64" s="2">
        <f>O9*'Output-Calculation-sheet'!O53/10^9</f>
        <v>0.71296477077762321</v>
      </c>
      <c r="P64" s="2">
        <f>P9*'Output-Calculation-sheet'!P53/10^9</f>
        <v>0.47141635629211176</v>
      </c>
      <c r="Q64" s="2">
        <f>Q9*'Output-Calculation-sheet'!Q53/10^9</f>
        <v>0.44716107210435119</v>
      </c>
      <c r="R64" s="2">
        <f>R9*'Output-Calculation-sheet'!R53/10^9</f>
        <v>0.38040802757212244</v>
      </c>
      <c r="S64" s="2">
        <f>S9*'Output-Calculation-sheet'!S53/10^9</f>
        <v>0.35763414100548879</v>
      </c>
      <c r="T64" s="2">
        <f>T9*'Output-Calculation-sheet'!T53/10^9</f>
        <v>0.14220427829098384</v>
      </c>
      <c r="U64" s="2">
        <f>U9*'Output-Calculation-sheet'!U53/10^9</f>
        <v>0.12115725089008118</v>
      </c>
      <c r="V64" s="2">
        <f>V9*'Output-Calculation-sheet'!V53/10^9</f>
        <v>0.17658276777052176</v>
      </c>
      <c r="W64" s="2">
        <f>W9*'Output-Calculation-sheet'!W53/10^9</f>
        <v>7.5265483715356934E-2</v>
      </c>
      <c r="X64" s="2">
        <f>X9*'Output-Calculation-sheet'!X53/10^9</f>
        <v>9.7283848774660467E-2</v>
      </c>
      <c r="Y64" s="2">
        <f>Y9*'Output-Calculation-sheet'!Y53/10^9</f>
        <v>4.7873021025835925E-2</v>
      </c>
      <c r="AA64" s="2">
        <f t="shared" si="4"/>
        <v>22.260149701069764</v>
      </c>
    </row>
    <row r="65" spans="1:27" x14ac:dyDescent="0.25">
      <c r="A65" s="2">
        <v>2033</v>
      </c>
      <c r="B65" s="2">
        <f>B10*'Output-Calculation-sheet'!B54/10^9</f>
        <v>5.987006095482803</v>
      </c>
      <c r="C65" s="2">
        <f>C10*'Output-Calculation-sheet'!C54/10^9</f>
        <v>3.9348055549630585</v>
      </c>
      <c r="D65" s="2">
        <f>D10*'Output-Calculation-sheet'!D54/10^9</f>
        <v>1.067161183018388</v>
      </c>
      <c r="E65" s="2">
        <f>E10*'Output-Calculation-sheet'!E54/10^9</f>
        <v>1.3590509436781986</v>
      </c>
      <c r="F65" s="2">
        <f>F10*'Output-Calculation-sheet'!F54/10^9</f>
        <v>0.58399591710747134</v>
      </c>
      <c r="G65" s="2">
        <f>G10*'Output-Calculation-sheet'!G54/10^9</f>
        <v>0.41577626681922014</v>
      </c>
      <c r="H65" s="2">
        <f>H10*'Output-Calculation-sheet'!H54/10^9</f>
        <v>0.97695946684125923</v>
      </c>
      <c r="I65" s="2">
        <f>I10*'Output-Calculation-sheet'!I54/10^9</f>
        <v>0.36454890540761342</v>
      </c>
      <c r="J65" s="2">
        <f>J10*'Output-Calculation-sheet'!J54/10^9</f>
        <v>0.43131923397824729</v>
      </c>
      <c r="K65" s="2">
        <f>K10*'Output-Calculation-sheet'!K54/10^9</f>
        <v>0.40360542132609806</v>
      </c>
      <c r="L65" s="2">
        <f>L10*'Output-Calculation-sheet'!L54/10^9</f>
        <v>0.41625098468980881</v>
      </c>
      <c r="M65" s="2">
        <f>M10*'Output-Calculation-sheet'!M54/10^9</f>
        <v>0.69467919647738363</v>
      </c>
      <c r="N65" s="2">
        <f>N10*'Output-Calculation-sheet'!N54/10^9</f>
        <v>0.59193822024208187</v>
      </c>
      <c r="O65" s="2">
        <f>O10*'Output-Calculation-sheet'!O54/10^9</f>
        <v>0.68875633006403669</v>
      </c>
      <c r="P65" s="2">
        <f>P10*'Output-Calculation-sheet'!P54/10^9</f>
        <v>0.43665659597253459</v>
      </c>
      <c r="Q65" s="2">
        <f>Q10*'Output-Calculation-sheet'!Q54/10^9</f>
        <v>0.4308906096727852</v>
      </c>
      <c r="R65" s="2">
        <f>R10*'Output-Calculation-sheet'!R54/10^9</f>
        <v>0.34159198115056999</v>
      </c>
      <c r="S65" s="2">
        <f>S10*'Output-Calculation-sheet'!S54/10^9</f>
        <v>0.34284059775019005</v>
      </c>
      <c r="T65" s="2">
        <f>T10*'Output-Calculation-sheet'!T54/10^9</f>
        <v>0.11567600430530031</v>
      </c>
      <c r="U65" s="2">
        <f>U10*'Output-Calculation-sheet'!U54/10^9</f>
        <v>0.11109916723868477</v>
      </c>
      <c r="V65" s="2">
        <f>V10*'Output-Calculation-sheet'!V54/10^9</f>
        <v>0.13090053616899447</v>
      </c>
      <c r="W65" s="2">
        <f>W10*'Output-Calculation-sheet'!W54/10^9</f>
        <v>5.5944314250762947E-2</v>
      </c>
      <c r="X65" s="2">
        <f>X10*'Output-Calculation-sheet'!X54/10^9</f>
        <v>8.9928476184682887E-2</v>
      </c>
      <c r="Y65" s="2">
        <f>Y10*'Output-Calculation-sheet'!Y54/10^9</f>
        <v>4.3398489768620083E-2</v>
      </c>
      <c r="AA65" s="2">
        <f t="shared" si="4"/>
        <v>20.014780492558796</v>
      </c>
    </row>
    <row r="66" spans="1:27" x14ac:dyDescent="0.25">
      <c r="A66" s="2">
        <v>2034</v>
      </c>
      <c r="B66" s="2">
        <f>B11*'Output-Calculation-sheet'!B55/10^9</f>
        <v>5.1975423067347775</v>
      </c>
      <c r="C66" s="2">
        <f>C11*'Output-Calculation-sheet'!C55/10^9</f>
        <v>3.454283902611389</v>
      </c>
      <c r="D66" s="2">
        <f>D11*'Output-Calculation-sheet'!D55/10^9</f>
        <v>0.94032168214236378</v>
      </c>
      <c r="E66" s="2">
        <f>E11*'Output-Calculation-sheet'!E55/10^9</f>
        <v>1.2178667798084795</v>
      </c>
      <c r="F66" s="2">
        <f>F11*'Output-Calculation-sheet'!F55/10^9</f>
        <v>0.47928981655189823</v>
      </c>
      <c r="G66" s="2">
        <f>G11*'Output-Calculation-sheet'!G55/10^9</f>
        <v>0.34966125384131919</v>
      </c>
      <c r="H66" s="2">
        <f>H11*'Output-Calculation-sheet'!H55/10^9</f>
        <v>0.87260905599711658</v>
      </c>
      <c r="I66" s="2">
        <f>I11*'Output-Calculation-sheet'!I55/10^9</f>
        <v>0.32505044232780944</v>
      </c>
      <c r="J66" s="2">
        <f>J11*'Output-Calculation-sheet'!J55/10^9</f>
        <v>0.32727969920457406</v>
      </c>
      <c r="K66" s="2">
        <f>K11*'Output-Calculation-sheet'!K55/10^9</f>
        <v>0.37263735398792486</v>
      </c>
      <c r="L66" s="2">
        <f>L11*'Output-Calculation-sheet'!L55/10^9</f>
        <v>0.36126723199039978</v>
      </c>
      <c r="M66" s="2">
        <f>M11*'Output-Calculation-sheet'!M55/10^9</f>
        <v>0.61328004366707389</v>
      </c>
      <c r="N66" s="2">
        <f>N11*'Output-Calculation-sheet'!N55/10^9</f>
        <v>0.53313612071541461</v>
      </c>
      <c r="O66" s="2">
        <f>O11*'Output-Calculation-sheet'!O55/10^9</f>
        <v>0.607847449424884</v>
      </c>
      <c r="P66" s="2">
        <f>P11*'Output-Calculation-sheet'!P55/10^9</f>
        <v>0.38977599921564959</v>
      </c>
      <c r="Q66" s="2">
        <f>Q11*'Output-Calculation-sheet'!Q55/10^9</f>
        <v>0.40092522685901688</v>
      </c>
      <c r="R66" s="2">
        <f>R11*'Output-Calculation-sheet'!R55/10^9</f>
        <v>0.29663712247473772</v>
      </c>
      <c r="S66" s="2">
        <f>S11*'Output-Calculation-sheet'!S55/10^9</f>
        <v>0.3079276015546405</v>
      </c>
      <c r="T66" s="2">
        <f>T11*'Output-Calculation-sheet'!T55/10^9</f>
        <v>9.2942344107920502E-2</v>
      </c>
      <c r="U66" s="2">
        <f>U11*'Output-Calculation-sheet'!U55/10^9</f>
        <v>0.10115546912418073</v>
      </c>
      <c r="V66" s="2">
        <f>V11*'Output-Calculation-sheet'!V55/10^9</f>
        <v>8.7839103744607086E-2</v>
      </c>
      <c r="W66" s="2">
        <f>W11*'Output-Calculation-sheet'!W55/10^9</f>
        <v>4.3032716047937493E-2</v>
      </c>
      <c r="X66" s="2">
        <f>X11*'Output-Calculation-sheet'!X55/10^9</f>
        <v>8.0414480283153983E-2</v>
      </c>
      <c r="Y66" s="2">
        <f>Y11*'Output-Calculation-sheet'!Y55/10^9</f>
        <v>4.1289636634264611E-2</v>
      </c>
      <c r="AA66" s="2">
        <f t="shared" si="4"/>
        <v>17.494012839051532</v>
      </c>
    </row>
    <row r="67" spans="1:27" x14ac:dyDescent="0.25">
      <c r="A67" s="2">
        <v>2035</v>
      </c>
      <c r="B67" s="2">
        <f>B12*'Output-Calculation-sheet'!B56/10^9</f>
        <v>4.3358413685374071</v>
      </c>
      <c r="C67" s="2">
        <f>C12*'Output-Calculation-sheet'!C56/10^9</f>
        <v>2.7399283019769074</v>
      </c>
      <c r="D67" s="2">
        <f>D12*'Output-Calculation-sheet'!D56/10^9</f>
        <v>0.8600125147655665</v>
      </c>
      <c r="E67" s="2">
        <f>E12*'Output-Calculation-sheet'!E56/10^9</f>
        <v>1.1761150544263241</v>
      </c>
      <c r="F67" s="2">
        <f>F12*'Output-Calculation-sheet'!F56/10^9</f>
        <v>0.46095893046170622</v>
      </c>
      <c r="G67" s="2">
        <f>G12*'Output-Calculation-sheet'!G56/10^9</f>
        <v>0.34010872590268726</v>
      </c>
      <c r="H67" s="2">
        <f>H12*'Output-Calculation-sheet'!H56/10^9</f>
        <v>0.72320912718869423</v>
      </c>
      <c r="I67" s="2">
        <f>I12*'Output-Calculation-sheet'!I56/10^9</f>
        <v>0.31162338059265537</v>
      </c>
      <c r="J67" s="2">
        <f>J12*'Output-Calculation-sheet'!J56/10^9</f>
        <v>0.28508237744205189</v>
      </c>
      <c r="K67" s="2">
        <f>K12*'Output-Calculation-sheet'!K56/10^9</f>
        <v>0.34156438221682817</v>
      </c>
      <c r="L67" s="2">
        <f>L12*'Output-Calculation-sheet'!L56/10^9</f>
        <v>0.31844044458093751</v>
      </c>
      <c r="M67" s="2">
        <f>M12*'Output-Calculation-sheet'!M56/10^9</f>
        <v>0.51170586171832977</v>
      </c>
      <c r="N67" s="2">
        <f>N12*'Output-Calculation-sheet'!N56/10^9</f>
        <v>0.43704424359794786</v>
      </c>
      <c r="O67" s="2">
        <f>O12*'Output-Calculation-sheet'!O56/10^9</f>
        <v>0.48338911626439779</v>
      </c>
      <c r="P67" s="2">
        <f>P12*'Output-Calculation-sheet'!P56/10^9</f>
        <v>0.35467139625013344</v>
      </c>
      <c r="Q67" s="2">
        <f>Q12*'Output-Calculation-sheet'!Q56/10^9</f>
        <v>0.33504042159144909</v>
      </c>
      <c r="R67" s="2">
        <f>R12*'Output-Calculation-sheet'!R56/10^9</f>
        <v>0.26308721463768803</v>
      </c>
      <c r="S67" s="2">
        <f>S12*'Output-Calculation-sheet'!S56/10^9</f>
        <v>0.2539686166989204</v>
      </c>
      <c r="T67" s="2">
        <f>T12*'Output-Calculation-sheet'!T56/10^9</f>
        <v>8.1809506549209363E-2</v>
      </c>
      <c r="U67" s="2">
        <f>U12*'Output-Calculation-sheet'!U56/10^9</f>
        <v>8.8447773051565717E-2</v>
      </c>
      <c r="V67" s="2">
        <f>V12*'Output-Calculation-sheet'!V56/10^9</f>
        <v>6.3140887106892502E-2</v>
      </c>
      <c r="W67" s="2">
        <f>W12*'Output-Calculation-sheet'!W56/10^9</f>
        <v>4.2816693724843313E-2</v>
      </c>
      <c r="X67" s="2">
        <f>X12*'Output-Calculation-sheet'!X56/10^9</f>
        <v>6.6467007467046688E-2</v>
      </c>
      <c r="Y67" s="2">
        <f>Y12*'Output-Calculation-sheet'!Y56/10^9</f>
        <v>3.9952323764378329E-2</v>
      </c>
      <c r="AA67" s="2">
        <f t="shared" si="4"/>
        <v>14.914425670514568</v>
      </c>
    </row>
    <row r="68" spans="1:27" x14ac:dyDescent="0.25">
      <c r="B68" s="2">
        <f>SUM(B60:B67)</f>
        <v>45.966816672136275</v>
      </c>
      <c r="C68" s="2">
        <f t="shared" ref="C68:Y68" si="5">SUM(C60:C67)</f>
        <v>25.766829026369862</v>
      </c>
      <c r="D68" s="2">
        <f t="shared" si="5"/>
        <v>10.21202215010579</v>
      </c>
      <c r="E68" s="2">
        <f t="shared" si="5"/>
        <v>12.23666223609219</v>
      </c>
      <c r="F68" s="2">
        <f t="shared" si="5"/>
        <v>5.4475183980147879</v>
      </c>
      <c r="G68" s="2">
        <f t="shared" si="5"/>
        <v>4.1297760713852183</v>
      </c>
      <c r="H68" s="2">
        <f t="shared" si="5"/>
        <v>6.538863891830184</v>
      </c>
      <c r="I68" s="2">
        <f t="shared" si="5"/>
        <v>3.3545880874586294</v>
      </c>
      <c r="J68" s="2">
        <f t="shared" si="5"/>
        <v>4.4687347903259989</v>
      </c>
      <c r="K68" s="2">
        <f t="shared" si="5"/>
        <v>3.2650347911259683</v>
      </c>
      <c r="L68" s="2">
        <f t="shared" si="5"/>
        <v>3.7112803315871914</v>
      </c>
      <c r="M68" s="2">
        <f t="shared" si="5"/>
        <v>4.7557655169943001</v>
      </c>
      <c r="N68" s="2">
        <f t="shared" si="5"/>
        <v>3.9720016468950212</v>
      </c>
      <c r="O68" s="2">
        <f t="shared" si="5"/>
        <v>4.492216716276455</v>
      </c>
      <c r="P68" s="2">
        <f t="shared" si="5"/>
        <v>3.3531942368591712</v>
      </c>
      <c r="Q68" s="2">
        <f t="shared" si="5"/>
        <v>3.1483459418059887</v>
      </c>
      <c r="R68" s="2">
        <f t="shared" si="5"/>
        <v>2.7773832645299259</v>
      </c>
      <c r="S68" s="2">
        <f t="shared" si="5"/>
        <v>2.4147784639174148</v>
      </c>
      <c r="T68" s="2">
        <f t="shared" si="5"/>
        <v>1.0641779871303254</v>
      </c>
      <c r="U68" s="2">
        <f t="shared" si="5"/>
        <v>0.89980902401834639</v>
      </c>
      <c r="V68" s="2">
        <f t="shared" si="5"/>
        <v>1.3082134970216741</v>
      </c>
      <c r="W68" s="2">
        <f t="shared" si="5"/>
        <v>0.56396939704097793</v>
      </c>
      <c r="X68" s="2">
        <f t="shared" si="5"/>
        <v>0.63809020949795203</v>
      </c>
      <c r="Y68" s="2">
        <f t="shared" si="5"/>
        <v>0.36437401585596141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1931.4884120842491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457.51087002872498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312.85658932672447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41.70491284410685</v>
      </c>
      <c r="Y73" s="2">
        <f>Y7/'Output-Calculation-sheet'!Y6*'Output-Calculation-sheet'!Y60</f>
        <v>0</v>
      </c>
      <c r="AA73" s="2">
        <f t="shared" si="6"/>
        <v>2.7435607842838055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4203.2986721444231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1406.2935911227021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939.08072734771383</v>
      </c>
      <c r="N74" s="2">
        <f>N8/'Output-Calculation-sheet'!N7*'Output-Calculation-sheet'!N61</f>
        <v>39.252727017013783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116.37856940490634</v>
      </c>
      <c r="Y74" s="2">
        <f>Y8/'Output-Calculation-sheet'!Y7*'Output-Calculation-sheet'!Y61</f>
        <v>0</v>
      </c>
      <c r="AA74" s="2">
        <f t="shared" si="6"/>
        <v>6.7043042870367602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7644.0813891901953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2201.3635331209507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1494.4681056831323</v>
      </c>
      <c r="N75" s="2">
        <f>N9/'Output-Calculation-sheet'!N8*'Output-Calculation-sheet'!N62</f>
        <v>577.27342482383779</v>
      </c>
      <c r="O75" s="2">
        <f>O9/'Output-Calculation-sheet'!O8*'Output-Calculation-sheet'!O62</f>
        <v>0</v>
      </c>
      <c r="P75" s="2">
        <f>P9/'Output-Calculation-sheet'!P8*'Output-Calculation-sheet'!P62</f>
        <v>38.647545827509902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193.43041192749175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180.43518688988152</v>
      </c>
      <c r="Y75" s="2">
        <f>Y9/'Output-Calculation-sheet'!Y8*'Output-Calculation-sheet'!Y62</f>
        <v>0</v>
      </c>
      <c r="AA75" s="2">
        <f t="shared" si="6"/>
        <v>12.329699597462998</v>
      </c>
    </row>
    <row r="76" spans="1:27" x14ac:dyDescent="0.25">
      <c r="A76" s="2">
        <v>2033</v>
      </c>
      <c r="B76" s="2">
        <f>B10/'Output-Calculation-sheet'!B9*'Output-Calculation-sheet'!B63</f>
        <v>4255.3967366986781</v>
      </c>
      <c r="C76" s="2">
        <f>C10/'Output-Calculation-sheet'!C9*'Output-Calculation-sheet'!C63</f>
        <v>8691.4653607419041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2771.1505457495605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72.631876899657911</v>
      </c>
      <c r="L76" s="2">
        <f>L10/'Output-Calculation-sheet'!L9*'Output-Calculation-sheet'!L63</f>
        <v>0</v>
      </c>
      <c r="M76" s="2">
        <f>M10/'Output-Calculation-sheet'!M9*'Output-Calculation-sheet'!M63</f>
        <v>1886.8724551964765</v>
      </c>
      <c r="N76" s="2">
        <f>N10/'Output-Calculation-sheet'!N9*'Output-Calculation-sheet'!N63</f>
        <v>1077.8650927638914</v>
      </c>
      <c r="O76" s="2">
        <f>O10/'Output-Calculation-sheet'!O9*'Output-Calculation-sheet'!O63</f>
        <v>0</v>
      </c>
      <c r="P76" s="2">
        <f>P10/'Output-Calculation-sheet'!P9*'Output-Calculation-sheet'!P63</f>
        <v>374.28975627359375</v>
      </c>
      <c r="Q76" s="2">
        <f>Q10/'Output-Calculation-sheet'!Q9*'Output-Calculation-sheet'!Q63</f>
        <v>168.81972169742505</v>
      </c>
      <c r="R76" s="2">
        <f>R10/'Output-Calculation-sheet'!R9*'Output-Calculation-sheet'!R63</f>
        <v>285.268635480066</v>
      </c>
      <c r="S76" s="2">
        <f>S10/'Output-Calculation-sheet'!S9*'Output-Calculation-sheet'!S63</f>
        <v>479.3014494836292</v>
      </c>
      <c r="T76" s="2">
        <f>T10/'Output-Calculation-sheet'!T9*'Output-Calculation-sheet'!T63</f>
        <v>19.402240614108685</v>
      </c>
      <c r="U76" s="2">
        <f>U10/'Output-Calculation-sheet'!U9*'Output-Calculation-sheet'!U63</f>
        <v>100.80409168978441</v>
      </c>
      <c r="V76" s="2">
        <f>V10/'Output-Calculation-sheet'!V9*'Output-Calculation-sheet'!V63</f>
        <v>7.7352540166315622</v>
      </c>
      <c r="W76" s="2">
        <f>W10/'Output-Calculation-sheet'!W9*'Output-Calculation-sheet'!W63</f>
        <v>0</v>
      </c>
      <c r="X76" s="2">
        <f>X10/'Output-Calculation-sheet'!X9*'Output-Calculation-sheet'!X63</f>
        <v>222.19263915139013</v>
      </c>
      <c r="Y76" s="2">
        <f>Y10/'Output-Calculation-sheet'!Y9*'Output-Calculation-sheet'!Y63</f>
        <v>4.2152792446929306</v>
      </c>
      <c r="AA76" s="2">
        <f t="shared" si="6"/>
        <v>20.417411135701489</v>
      </c>
    </row>
    <row r="77" spans="1:27" x14ac:dyDescent="0.25">
      <c r="A77" s="2">
        <v>2034</v>
      </c>
      <c r="B77" s="2">
        <f>B11/'Output-Calculation-sheet'!B10*'Output-Calculation-sheet'!B64</f>
        <v>8660.636087175757</v>
      </c>
      <c r="C77" s="2">
        <f>C11/'Output-Calculation-sheet'!C10*'Output-Calculation-sheet'!C64</f>
        <v>7608.0233880370515</v>
      </c>
      <c r="D77" s="2">
        <f>D11/'Output-Calculation-sheet'!D10*'Output-Calculation-sheet'!D64</f>
        <v>1067.464812373732</v>
      </c>
      <c r="E77" s="2">
        <f>E11/'Output-Calculation-sheet'!E10*'Output-Calculation-sheet'!E64</f>
        <v>1319.0156591358523</v>
      </c>
      <c r="F77" s="2">
        <f>F11/'Output-Calculation-sheet'!F10*'Output-Calculation-sheet'!F64</f>
        <v>82.127878330450358</v>
      </c>
      <c r="G77" s="2">
        <f>G11/'Output-Calculation-sheet'!G10*'Output-Calculation-sheet'!G64</f>
        <v>563.62429699454231</v>
      </c>
      <c r="H77" s="2">
        <f>H11/'Output-Calculation-sheet'!H10*'Output-Calculation-sheet'!H64</f>
        <v>2792.4645975601538</v>
      </c>
      <c r="I77" s="2">
        <f>I11/'Output-Calculation-sheet'!I10*'Output-Calculation-sheet'!I64</f>
        <v>332.50512702409526</v>
      </c>
      <c r="J77" s="2">
        <f>J11/'Output-Calculation-sheet'!J10*'Output-Calculation-sheet'!J64</f>
        <v>237.02505849739492</v>
      </c>
      <c r="K77" s="2">
        <f>K11/'Output-Calculation-sheet'!K10*'Output-Calculation-sheet'!K64</f>
        <v>502.54583972119025</v>
      </c>
      <c r="L77" s="2">
        <f>L11/'Output-Calculation-sheet'!L10*'Output-Calculation-sheet'!L64</f>
        <v>218.20351223797505</v>
      </c>
      <c r="M77" s="2">
        <f>M11/'Output-Calculation-sheet'!M10*'Output-Calculation-sheet'!M64</f>
        <v>1986.1428435435892</v>
      </c>
      <c r="N77" s="2">
        <f>N11/'Output-Calculation-sheet'!N10*'Output-Calculation-sheet'!N64</f>
        <v>1413.0918548567222</v>
      </c>
      <c r="O77" s="2">
        <f>O11/'Output-Calculation-sheet'!O10*'Output-Calculation-sheet'!O64</f>
        <v>49.268236046322798</v>
      </c>
      <c r="P77" s="2">
        <f>P11/'Output-Calculation-sheet'!P10*'Output-Calculation-sheet'!P64</f>
        <v>623.68635988060089</v>
      </c>
      <c r="Q77" s="2">
        <f>Q11/'Output-Calculation-sheet'!Q10*'Output-Calculation-sheet'!Q64</f>
        <v>355.88861555035544</v>
      </c>
      <c r="R77" s="2">
        <f>R11/'Output-Calculation-sheet'!R10*'Output-Calculation-sheet'!R64</f>
        <v>533.7125792473098</v>
      </c>
      <c r="S77" s="2">
        <f>S11/'Output-Calculation-sheet'!S10*'Output-Calculation-sheet'!S64</f>
        <v>713.60365105631138</v>
      </c>
      <c r="T77" s="2">
        <f>T11/'Output-Calculation-sheet'!T10*'Output-Calculation-sheet'!T64</f>
        <v>146.83245512647864</v>
      </c>
      <c r="U77" s="2">
        <f>U11/'Output-Calculation-sheet'!U10*'Output-Calculation-sheet'!U64</f>
        <v>195.15747424048911</v>
      </c>
      <c r="V77" s="2">
        <f>V11/'Output-Calculation-sheet'!V10*'Output-Calculation-sheet'!V64</f>
        <v>77.795693728052527</v>
      </c>
      <c r="W77" s="2">
        <f>W11/'Output-Calculation-sheet'!W10*'Output-Calculation-sheet'!W64</f>
        <v>16.437103522023467</v>
      </c>
      <c r="X77" s="2">
        <f>X11/'Output-Calculation-sheet'!X10*'Output-Calculation-sheet'!X64</f>
        <v>201.81319627051511</v>
      </c>
      <c r="Y77" s="2">
        <f>Y11/'Output-Calculation-sheet'!Y10*'Output-Calculation-sheet'!Y64</f>
        <v>48.864326511677298</v>
      </c>
      <c r="AA77" s="2">
        <f t="shared" si="6"/>
        <v>29.74593064666864</v>
      </c>
    </row>
    <row r="78" spans="1:27" x14ac:dyDescent="0.25">
      <c r="A78" s="2">
        <v>2035</v>
      </c>
      <c r="B78" s="2">
        <f>B12/'Output-Calculation-sheet'!B11*'Output-Calculation-sheet'!B65</f>
        <v>8391.058493400411</v>
      </c>
      <c r="C78" s="2">
        <f>C12/'Output-Calculation-sheet'!C11*'Output-Calculation-sheet'!C65</f>
        <v>5925.5875331680445</v>
      </c>
      <c r="D78" s="2">
        <f>D12/'Output-Calculation-sheet'!D11*'Output-Calculation-sheet'!D65</f>
        <v>890.84512615066592</v>
      </c>
      <c r="E78" s="2">
        <f>E12/'Output-Calculation-sheet'!E11*'Output-Calculation-sheet'!E65</f>
        <v>1693.4729022585541</v>
      </c>
      <c r="F78" s="2">
        <f>F12/'Output-Calculation-sheet'!F11*'Output-Calculation-sheet'!F65</f>
        <v>358.70801520193208</v>
      </c>
      <c r="G78" s="2">
        <f>G12/'Output-Calculation-sheet'!G11*'Output-Calculation-sheet'!G65</f>
        <v>673.07292141531059</v>
      </c>
      <c r="H78" s="2">
        <f>H12/'Output-Calculation-sheet'!H11*'Output-Calculation-sheet'!H65</f>
        <v>2167.0293206989973</v>
      </c>
      <c r="I78" s="2">
        <f>I12/'Output-Calculation-sheet'!I11*'Output-Calculation-sheet'!I65</f>
        <v>395.78816955401089</v>
      </c>
      <c r="J78" s="2">
        <f>J12/'Output-Calculation-sheet'!J11*'Output-Calculation-sheet'!J65</f>
        <v>354.9553645129983</v>
      </c>
      <c r="K78" s="2">
        <f>K12/'Output-Calculation-sheet'!K11*'Output-Calculation-sheet'!K65</f>
        <v>447.93648110340359</v>
      </c>
      <c r="L78" s="2">
        <f>L12/'Output-Calculation-sheet'!L11*'Output-Calculation-sheet'!L65</f>
        <v>266.33717866613983</v>
      </c>
      <c r="M78" s="2">
        <f>M12/'Output-Calculation-sheet'!M11*'Output-Calculation-sheet'!M65</f>
        <v>1542.5563423569945</v>
      </c>
      <c r="N78" s="2">
        <f>N12/'Output-Calculation-sheet'!N11*'Output-Calculation-sheet'!N65</f>
        <v>1084.6662144909121</v>
      </c>
      <c r="O78" s="2">
        <f>O12/'Output-Calculation-sheet'!O11*'Output-Calculation-sheet'!O65</f>
        <v>152.05618554854433</v>
      </c>
      <c r="P78" s="2">
        <f>P12/'Output-Calculation-sheet'!P11*'Output-Calculation-sheet'!P65</f>
        <v>616.62128906063572</v>
      </c>
      <c r="Q78" s="2">
        <f>Q12/'Output-Calculation-sheet'!Q11*'Output-Calculation-sheet'!Q65</f>
        <v>310.15439088569622</v>
      </c>
      <c r="R78" s="2">
        <f>R12/'Output-Calculation-sheet'!R11*'Output-Calculation-sheet'!R65</f>
        <v>511.22828019228638</v>
      </c>
      <c r="S78" s="2">
        <f>S12/'Output-Calculation-sheet'!S11*'Output-Calculation-sheet'!S65</f>
        <v>576.74440249886572</v>
      </c>
      <c r="T78" s="2">
        <f>T12/'Output-Calculation-sheet'!T11*'Output-Calculation-sheet'!T65</f>
        <v>183.82579201153123</v>
      </c>
      <c r="U78" s="2">
        <f>U12/'Output-Calculation-sheet'!U11*'Output-Calculation-sheet'!U65</f>
        <v>157.50467319497125</v>
      </c>
      <c r="V78" s="2">
        <f>V12/'Output-Calculation-sheet'!V11*'Output-Calculation-sheet'!V65</f>
        <v>99.206933399100478</v>
      </c>
      <c r="W78" s="2">
        <f>W12/'Output-Calculation-sheet'!W11*'Output-Calculation-sheet'!W65</f>
        <v>69.874608097949661</v>
      </c>
      <c r="X78" s="2">
        <f>X12/'Output-Calculation-sheet'!X11*'Output-Calculation-sheet'!X65</f>
        <v>158.98722937609347</v>
      </c>
      <c r="Y78" s="2">
        <f>Y12/'Output-Calculation-sheet'!Y11*'Output-Calculation-sheet'!Y65</f>
        <v>68.204549688903043</v>
      </c>
      <c r="AA78" s="2">
        <f t="shared" si="6"/>
        <v>27.096422396932955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76.939468295261676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89.683613056855989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0.16662308135211765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257.22932594413265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183.23337257912934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0.44046269852326203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171.16744604476631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266.02583977833365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0.43719328582309991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313.69204030540669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304.70962200443591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0.6184016623098425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527.51529398154264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20.298204558777613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13.967151029483542</v>
      </c>
      <c r="N88" s="2">
        <f>N11/'Output-Calculation-sheet'!N10*'Output-Calculation-sheet'!N73</f>
        <v>0</v>
      </c>
      <c r="O88" s="2">
        <f>O11/'Output-Calculation-sheet'!O10*'Output-Calculation-sheet'!O73</f>
        <v>294.63583699048996</v>
      </c>
      <c r="P88" s="2">
        <f>P11/'Output-Calculation-sheet'!P10*'Output-Calculation-sheet'!P73</f>
        <v>0</v>
      </c>
      <c r="Q88" s="2">
        <f>Q11/'Output-Calculation-sheet'!Q10*'Output-Calculation-sheet'!Q73</f>
        <v>12.027327325121847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1.5322308997700675</v>
      </c>
      <c r="Y88" s="2">
        <f>Y11/'Output-Calculation-sheet'!Y10*'Output-Calculation-sheet'!Y73</f>
        <v>0</v>
      </c>
      <c r="AA88" s="2">
        <f t="shared" si="7"/>
        <v>0.86997604478518553</v>
      </c>
    </row>
    <row r="89" spans="1:27" x14ac:dyDescent="0.25">
      <c r="A89" s="2">
        <v>2035</v>
      </c>
      <c r="B89" s="2">
        <f>B12/'Output-Calculation-sheet'!B11*'Output-Calculation-sheet'!B74</f>
        <v>211.5161829396892</v>
      </c>
      <c r="C89" s="2">
        <f>C12/'Output-Calculation-sheet'!C11*'Output-Calculation-sheet'!C74</f>
        <v>652.53693684242046</v>
      </c>
      <c r="D89" s="2">
        <f>D12/'Output-Calculation-sheet'!D11*'Output-Calculation-sheet'!D74</f>
        <v>88.928887062706849</v>
      </c>
      <c r="E89" s="2">
        <f>E12/'Output-Calculation-sheet'!E11*'Output-Calculation-sheet'!E74</f>
        <v>70.674744997539975</v>
      </c>
      <c r="F89" s="2">
        <f>F12/'Output-Calculation-sheet'!F11*'Output-Calculation-sheet'!F74</f>
        <v>22.224784089339039</v>
      </c>
      <c r="G89" s="2">
        <f>G12/'Output-Calculation-sheet'!G11*'Output-Calculation-sheet'!G74</f>
        <v>31.900702470036997</v>
      </c>
      <c r="H89" s="2">
        <f>H12/'Output-Calculation-sheet'!H11*'Output-Calculation-sheet'!H74</f>
        <v>77.258150703014593</v>
      </c>
      <c r="I89" s="2">
        <f>I12/'Output-Calculation-sheet'!I11*'Output-Calculation-sheet'!I74</f>
        <v>28.69277726214375</v>
      </c>
      <c r="J89" s="2">
        <f>J12/'Output-Calculation-sheet'!J11*'Output-Calculation-sheet'!J74</f>
        <v>14.198214580519933</v>
      </c>
      <c r="K89" s="2">
        <f>K12/'Output-Calculation-sheet'!K11*'Output-Calculation-sheet'!K74</f>
        <v>28.200483574880607</v>
      </c>
      <c r="L89" s="2">
        <f>L12/'Output-Calculation-sheet'!L11*'Output-Calculation-sheet'!L74</f>
        <v>22.423673219628697</v>
      </c>
      <c r="M89" s="2">
        <f>M12/'Output-Calculation-sheet'!M11*'Output-Calculation-sheet'!M74</f>
        <v>42.528934261270983</v>
      </c>
      <c r="N89" s="2">
        <f>N12/'Output-Calculation-sheet'!N11*'Output-Calculation-sheet'!N74</f>
        <v>31.349338556356926</v>
      </c>
      <c r="O89" s="2">
        <f>O12/'Output-Calculation-sheet'!O11*'Output-Calculation-sheet'!O74</f>
        <v>253.54074419689303</v>
      </c>
      <c r="P89" s="2">
        <f>P12/'Output-Calculation-sheet'!P11*'Output-Calculation-sheet'!P74</f>
        <v>19.307426779617238</v>
      </c>
      <c r="Q89" s="2">
        <f>Q12/'Output-Calculation-sheet'!Q11*'Output-Calculation-sheet'!Q74</f>
        <v>27.466736706136757</v>
      </c>
      <c r="R89" s="2">
        <f>R12/'Output-Calculation-sheet'!R11*'Output-Calculation-sheet'!R74</f>
        <v>18.158927296994509</v>
      </c>
      <c r="S89" s="2">
        <f>S12/'Output-Calculation-sheet'!S11*'Output-Calculation-sheet'!S74</f>
        <v>17.970474309804501</v>
      </c>
      <c r="T89" s="2">
        <f>T12/'Output-Calculation-sheet'!T11*'Output-Calculation-sheet'!T74</f>
        <v>3.3590825401833024</v>
      </c>
      <c r="U89" s="2">
        <f>U12/'Output-Calculation-sheet'!U11*'Output-Calculation-sheet'!U74</f>
        <v>5.8423781740780907</v>
      </c>
      <c r="V89" s="2">
        <f>V12/'Output-Calculation-sheet'!V11*'Output-Calculation-sheet'!V74</f>
        <v>2.2525017232954267</v>
      </c>
      <c r="W89" s="2">
        <f>W12/'Output-Calculation-sheet'!W11*'Output-Calculation-sheet'!W74</f>
        <v>1.9504970996524582</v>
      </c>
      <c r="X89" s="2">
        <f>X12/'Output-Calculation-sheet'!X11*'Output-Calculation-sheet'!X74</f>
        <v>6.9982933962537848</v>
      </c>
      <c r="Y89" s="2">
        <f>Y12/'Output-Calculation-sheet'!Y11*'Output-Calculation-sheet'!Y74</f>
        <v>2.2511609766120322</v>
      </c>
      <c r="AA89" s="2">
        <f t="shared" si="7"/>
        <v>1.6815320337590689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1629246374.5792322</v>
      </c>
      <c r="C93" s="2">
        <f>C5/'Output-Calculation-sheet'!C4*'Output-Calculation-sheet'!C76</f>
        <v>539760133.46424901</v>
      </c>
      <c r="D93" s="2">
        <f>D5/'Output-Calculation-sheet'!D4*'Output-Calculation-sheet'!D76</f>
        <v>597466261.48821986</v>
      </c>
      <c r="E93" s="2">
        <f>E5/'Output-Calculation-sheet'!E4*'Output-Calculation-sheet'!E76</f>
        <v>999744858.77362835</v>
      </c>
      <c r="F93" s="2">
        <f>F5/'Output-Calculation-sheet'!F4*'Output-Calculation-sheet'!F76</f>
        <v>429568478.24697286</v>
      </c>
      <c r="G93" s="2">
        <f>G5/'Output-Calculation-sheet'!G4*'Output-Calculation-sheet'!G76</f>
        <v>334098303.34714204</v>
      </c>
      <c r="H93" s="2">
        <f>H5/'Output-Calculation-sheet'!H4*'Output-Calculation-sheet'!H76</f>
        <v>282609225.61553085</v>
      </c>
      <c r="I93" s="2">
        <f>I5/'Output-Calculation-sheet'!I4*'Output-Calculation-sheet'!I76</f>
        <v>231901569.20781788</v>
      </c>
      <c r="J93" s="2">
        <f>J5/'Output-Calculation-sheet'!J4*'Output-Calculation-sheet'!J76</f>
        <v>157365768.15576404</v>
      </c>
      <c r="K93" s="2">
        <f>K5/'Output-Calculation-sheet'!K4*'Output-Calculation-sheet'!K76</f>
        <v>229999353.40538996</v>
      </c>
      <c r="L93" s="2">
        <f>L5/'Output-Calculation-sheet'!L4*'Output-Calculation-sheet'!L76</f>
        <v>153526242.26344407</v>
      </c>
      <c r="M93" s="2">
        <f>M5/'Output-Calculation-sheet'!M4*'Output-Calculation-sheet'!M76</f>
        <v>206464973.09713775</v>
      </c>
      <c r="N93" s="2">
        <f>N5/'Output-Calculation-sheet'!N4*'Output-Calculation-sheet'!N76</f>
        <v>155905265.13577422</v>
      </c>
      <c r="O93" s="2">
        <f>O5/'Output-Calculation-sheet'!O4*'Output-Calculation-sheet'!O76</f>
        <v>76095446.181501076</v>
      </c>
      <c r="P93" s="2">
        <f>P5/'Output-Calculation-sheet'!P4*'Output-Calculation-sheet'!P76</f>
        <v>270130008.26512927</v>
      </c>
      <c r="Q93" s="2">
        <f>Q5/'Output-Calculation-sheet'!Q4*'Output-Calculation-sheet'!Q76</f>
        <v>124015686.12279825</v>
      </c>
      <c r="R93" s="2">
        <f>R5/'Output-Calculation-sheet'!R4*'Output-Calculation-sheet'!R76</f>
        <v>155177627.20317355</v>
      </c>
      <c r="S93" s="2">
        <f>S5/'Output-Calculation-sheet'!S4*'Output-Calculation-sheet'!S76</f>
        <v>91420680.882570475</v>
      </c>
      <c r="T93" s="2">
        <f>T5/'Output-Calculation-sheet'!T4*'Output-Calculation-sheet'!T76</f>
        <v>70299511.893065676</v>
      </c>
      <c r="U93" s="2">
        <f>U5/'Output-Calculation-sheet'!U4*'Output-Calculation-sheet'!U76</f>
        <v>45574782.200702898</v>
      </c>
      <c r="V93" s="2">
        <f>V5/'Output-Calculation-sheet'!V4*'Output-Calculation-sheet'!V76</f>
        <v>23360222.420539867</v>
      </c>
      <c r="W93" s="2">
        <f>W5/'Output-Calculation-sheet'!W4*'Output-Calculation-sheet'!W76</f>
        <v>65435100.510446936</v>
      </c>
      <c r="X93" s="2">
        <f>X5/'Output-Calculation-sheet'!X4*'Output-Calculation-sheet'!X76</f>
        <v>22710849.810509179</v>
      </c>
      <c r="Y93" s="2">
        <f>Y5/'Output-Calculation-sheet'!Y4*'Output-Calculation-sheet'!Y76</f>
        <v>35772196.627414413</v>
      </c>
      <c r="AA93" s="2">
        <f t="shared" ref="AA93:AA100" si="8">SUM(B93:Y93)/10^9</f>
        <v>6.9276489188981536</v>
      </c>
    </row>
    <row r="94" spans="1:27" x14ac:dyDescent="0.25">
      <c r="A94" s="2">
        <v>2029</v>
      </c>
      <c r="B94" s="2">
        <f>B6/'Output-Calculation-sheet'!B5*'Output-Calculation-sheet'!B77</f>
        <v>4248991140.1462688</v>
      </c>
      <c r="C94" s="2">
        <f>C6/'Output-Calculation-sheet'!C5*'Output-Calculation-sheet'!C77</f>
        <v>1417228436.9684463</v>
      </c>
      <c r="D94" s="2">
        <f>D6/'Output-Calculation-sheet'!D5*'Output-Calculation-sheet'!D77</f>
        <v>1559324056.9586747</v>
      </c>
      <c r="E94" s="2">
        <f>E6/'Output-Calculation-sheet'!E5*'Output-Calculation-sheet'!E77</f>
        <v>2652057527.8578758</v>
      </c>
      <c r="F94" s="2">
        <f>F6/'Output-Calculation-sheet'!F5*'Output-Calculation-sheet'!F77</f>
        <v>1119745954.2854421</v>
      </c>
      <c r="G94" s="2">
        <f>G6/'Output-Calculation-sheet'!G5*'Output-Calculation-sheet'!G77</f>
        <v>883016422.89512682</v>
      </c>
      <c r="H94" s="2">
        <f>H6/'Output-Calculation-sheet'!H5*'Output-Calculation-sheet'!H77</f>
        <v>742166857.0713712</v>
      </c>
      <c r="I94" s="2">
        <f>I6/'Output-Calculation-sheet'!I5*'Output-Calculation-sheet'!I77</f>
        <v>603035751.25771022</v>
      </c>
      <c r="J94" s="2">
        <f>J6/'Output-Calculation-sheet'!J5*'Output-Calculation-sheet'!J77</f>
        <v>414280959.45719826</v>
      </c>
      <c r="K94" s="2">
        <f>K6/'Output-Calculation-sheet'!K5*'Output-Calculation-sheet'!K77</f>
        <v>596892926.52941906</v>
      </c>
      <c r="L94" s="2">
        <f>L6/'Output-Calculation-sheet'!L5*'Output-Calculation-sheet'!L77</f>
        <v>403401186.66627371</v>
      </c>
      <c r="M94" s="2">
        <f>M6/'Output-Calculation-sheet'!M5*'Output-Calculation-sheet'!M77</f>
        <v>547013898.45106816</v>
      </c>
      <c r="N94" s="2">
        <f>N6/'Output-Calculation-sheet'!N5*'Output-Calculation-sheet'!N77</f>
        <v>413819430.23757708</v>
      </c>
      <c r="O94" s="2">
        <f>O6/'Output-Calculation-sheet'!O5*'Output-Calculation-sheet'!O77</f>
        <v>203244792.26279789</v>
      </c>
      <c r="P94" s="2">
        <f>P6/'Output-Calculation-sheet'!P5*'Output-Calculation-sheet'!P77</f>
        <v>707704331.91354501</v>
      </c>
      <c r="Q94" s="2">
        <f>Q6/'Output-Calculation-sheet'!Q5*'Output-Calculation-sheet'!Q77</f>
        <v>326932133.67693597</v>
      </c>
      <c r="R94" s="2">
        <f>R6/'Output-Calculation-sheet'!R5*'Output-Calculation-sheet'!R77</f>
        <v>405903386.49793798</v>
      </c>
      <c r="S94" s="2">
        <f>S6/'Output-Calculation-sheet'!S5*'Output-Calculation-sheet'!S77</f>
        <v>238331140.03725183</v>
      </c>
      <c r="T94" s="2">
        <f>T6/'Output-Calculation-sheet'!T5*'Output-Calculation-sheet'!T77</f>
        <v>183849036.31867337</v>
      </c>
      <c r="U94" s="2">
        <f>U6/'Output-Calculation-sheet'!U5*'Output-Calculation-sheet'!U77</f>
        <v>116379427.17650668</v>
      </c>
      <c r="V94" s="2">
        <f>V6/'Output-Calculation-sheet'!V5*'Output-Calculation-sheet'!V77</f>
        <v>59693977.66134657</v>
      </c>
      <c r="W94" s="2">
        <f>W6/'Output-Calculation-sheet'!W5*'Output-Calculation-sheet'!W77</f>
        <v>173214548.15327573</v>
      </c>
      <c r="X94" s="2">
        <f>X6/'Output-Calculation-sheet'!X5*'Output-Calculation-sheet'!X77</f>
        <v>59901127.037608653</v>
      </c>
      <c r="Y94" s="2">
        <f>Y6/'Output-Calculation-sheet'!Y5*'Output-Calculation-sheet'!Y77</f>
        <v>94974270.172473267</v>
      </c>
      <c r="AA94" s="2">
        <f t="shared" si="8"/>
        <v>18.171102719690804</v>
      </c>
    </row>
    <row r="95" spans="1:27" x14ac:dyDescent="0.25">
      <c r="A95" s="2">
        <v>2030</v>
      </c>
      <c r="B95" s="2">
        <f>B7/'Output-Calculation-sheet'!B6*'Output-Calculation-sheet'!B78</f>
        <v>7622328020.5885344</v>
      </c>
      <c r="C95" s="2">
        <f>C7/'Output-Calculation-sheet'!C6*'Output-Calculation-sheet'!C78</f>
        <v>2559416802.8664169</v>
      </c>
      <c r="D95" s="2">
        <f>D7/'Output-Calculation-sheet'!D6*'Output-Calculation-sheet'!D78</f>
        <v>2801901360.943625</v>
      </c>
      <c r="E95" s="2">
        <f>E7/'Output-Calculation-sheet'!E6*'Output-Calculation-sheet'!E78</f>
        <v>4843783956.8494005</v>
      </c>
      <c r="F95" s="2">
        <f>F7/'Output-Calculation-sheet'!F6*'Output-Calculation-sheet'!F78</f>
        <v>2008323607.602324</v>
      </c>
      <c r="G95" s="2">
        <f>G7/'Output-Calculation-sheet'!G6*'Output-Calculation-sheet'!G78</f>
        <v>1606733832.0526998</v>
      </c>
      <c r="H95" s="2">
        <f>H7/'Output-Calculation-sheet'!H6*'Output-Calculation-sheet'!H78</f>
        <v>1340954957.3614662</v>
      </c>
      <c r="I95" s="2">
        <f>I7/'Output-Calculation-sheet'!I6*'Output-Calculation-sheet'!I78</f>
        <v>1079178861.6099992</v>
      </c>
      <c r="J95" s="2">
        <f>J7/'Output-Calculation-sheet'!J6*'Output-Calculation-sheet'!J78</f>
        <v>750951927.84988725</v>
      </c>
      <c r="K95" s="2">
        <f>K7/'Output-Calculation-sheet'!K6*'Output-Calculation-sheet'!K78</f>
        <v>1065953799.0144868</v>
      </c>
      <c r="L95" s="2">
        <f>L7/'Output-Calculation-sheet'!L6*'Output-Calculation-sheet'!L78</f>
        <v>729509653.29521561</v>
      </c>
      <c r="M95" s="2">
        <f>M7/'Output-Calculation-sheet'!M6*'Output-Calculation-sheet'!M78</f>
        <v>997707111.165254</v>
      </c>
      <c r="N95" s="2">
        <f>N7/'Output-Calculation-sheet'!N6*'Output-Calculation-sheet'!N78</f>
        <v>756275572.99651313</v>
      </c>
      <c r="O95" s="2">
        <f>O7/'Output-Calculation-sheet'!O6*'Output-Calculation-sheet'!O78</f>
        <v>373667521.16483265</v>
      </c>
      <c r="P95" s="2">
        <f>P7/'Output-Calculation-sheet'!P6*'Output-Calculation-sheet'!P78</f>
        <v>1275443685.135396</v>
      </c>
      <c r="Q95" s="2">
        <f>Q7/'Output-Calculation-sheet'!Q6*'Output-Calculation-sheet'!Q78</f>
        <v>593325787.36160111</v>
      </c>
      <c r="R95" s="2">
        <f>R7/'Output-Calculation-sheet'!R6*'Output-Calculation-sheet'!R78</f>
        <v>730508225.01357377</v>
      </c>
      <c r="S95" s="2">
        <f>S7/'Output-Calculation-sheet'!S6*'Output-Calculation-sheet'!S78</f>
        <v>427431739.34490931</v>
      </c>
      <c r="T95" s="2">
        <f>T7/'Output-Calculation-sheet'!T6*'Output-Calculation-sheet'!T78</f>
        <v>330867905.35257918</v>
      </c>
      <c r="U95" s="2">
        <f>U7/'Output-Calculation-sheet'!U6*'Output-Calculation-sheet'!U78</f>
        <v>204254186.57971448</v>
      </c>
      <c r="V95" s="2">
        <f>V7/'Output-Calculation-sheet'!V6*'Output-Calculation-sheet'!V78</f>
        <v>104826703.04075125</v>
      </c>
      <c r="W95" s="2">
        <f>W7/'Output-Calculation-sheet'!W6*'Output-Calculation-sheet'!W78</f>
        <v>315675389.25910026</v>
      </c>
      <c r="X95" s="2">
        <f>X7/'Output-Calculation-sheet'!X6*'Output-Calculation-sheet'!X78</f>
        <v>108772444.86513057</v>
      </c>
      <c r="Y95" s="2">
        <f>Y7/'Output-Calculation-sheet'!Y6*'Output-Calculation-sheet'!Y78</f>
        <v>173608059.39965627</v>
      </c>
      <c r="AA95" s="2">
        <f t="shared" si="8"/>
        <v>32.80140111071308</v>
      </c>
    </row>
    <row r="96" spans="1:27" x14ac:dyDescent="0.25">
      <c r="A96" s="2">
        <v>2031</v>
      </c>
      <c r="B96" s="2">
        <f>B8/'Output-Calculation-sheet'!B7*'Output-Calculation-sheet'!B79</f>
        <v>11312565163.718967</v>
      </c>
      <c r="C96" s="2">
        <f>C8/'Output-Calculation-sheet'!C7*'Output-Calculation-sheet'!C79</f>
        <v>3827092208.6402645</v>
      </c>
      <c r="D96" s="2">
        <f>D8/'Output-Calculation-sheet'!D7*'Output-Calculation-sheet'!D79</f>
        <v>3995232222.3350706</v>
      </c>
      <c r="E96" s="2">
        <f>E8/'Output-Calculation-sheet'!E7*'Output-Calculation-sheet'!E79</f>
        <v>7103182717.5748634</v>
      </c>
      <c r="F96" s="2">
        <f>F8/'Output-Calculation-sheet'!F7*'Output-Calculation-sheet'!F79</f>
        <v>2939937330.6366072</v>
      </c>
      <c r="G96" s="2">
        <f>G8/'Output-Calculation-sheet'!G7*'Output-Calculation-sheet'!G79</f>
        <v>2289969436.9298382</v>
      </c>
      <c r="H96" s="2">
        <f>H8/'Output-Calculation-sheet'!H7*'Output-Calculation-sheet'!H79</f>
        <v>1960084511.2974398</v>
      </c>
      <c r="I96" s="2">
        <f>I8/'Output-Calculation-sheet'!I7*'Output-Calculation-sheet'!I79</f>
        <v>1595207165.7706401</v>
      </c>
      <c r="J96" s="2">
        <f>J8/'Output-Calculation-sheet'!J7*'Output-Calculation-sheet'!J79</f>
        <v>1078720288.8323057</v>
      </c>
      <c r="K96" s="2">
        <f>K8/'Output-Calculation-sheet'!K7*'Output-Calculation-sheet'!K79</f>
        <v>1543326945.730967</v>
      </c>
      <c r="L96" s="2">
        <f>L8/'Output-Calculation-sheet'!L7*'Output-Calculation-sheet'!L79</f>
        <v>1088970150.0141172</v>
      </c>
      <c r="M96" s="2">
        <f>M8/'Output-Calculation-sheet'!M7*'Output-Calculation-sheet'!M79</f>
        <v>1463165179.3513181</v>
      </c>
      <c r="N96" s="2">
        <f>N8/'Output-Calculation-sheet'!N7*'Output-Calculation-sheet'!N79</f>
        <v>1088711423.1113567</v>
      </c>
      <c r="O96" s="2">
        <f>O8/'Output-Calculation-sheet'!O7*'Output-Calculation-sheet'!O79</f>
        <v>550380913.00441611</v>
      </c>
      <c r="P96" s="2">
        <f>P8/'Output-Calculation-sheet'!P7*'Output-Calculation-sheet'!P79</f>
        <v>1840908720.0673006</v>
      </c>
      <c r="Q96" s="2">
        <f>Q8/'Output-Calculation-sheet'!Q7*'Output-Calculation-sheet'!Q79</f>
        <v>857942203.82346141</v>
      </c>
      <c r="R96" s="2">
        <f>R8/'Output-Calculation-sheet'!R7*'Output-Calculation-sheet'!R79</f>
        <v>1070384886.1316922</v>
      </c>
      <c r="S96" s="2">
        <f>S8/'Output-Calculation-sheet'!S7*'Output-Calculation-sheet'!S79</f>
        <v>623695936.48262489</v>
      </c>
      <c r="T96" s="2">
        <f>T8/'Output-Calculation-sheet'!T7*'Output-Calculation-sheet'!T79</f>
        <v>476360112.4867053</v>
      </c>
      <c r="U96" s="2">
        <f>U8/'Output-Calculation-sheet'!U7*'Output-Calculation-sheet'!U79</f>
        <v>299237179.78718209</v>
      </c>
      <c r="V96" s="2">
        <f>V8/'Output-Calculation-sheet'!V7*'Output-Calculation-sheet'!V79</f>
        <v>155259853.33086041</v>
      </c>
      <c r="W96" s="2">
        <f>W8/'Output-Calculation-sheet'!W7*'Output-Calculation-sheet'!W79</f>
        <v>458780279.24411958</v>
      </c>
      <c r="X96" s="2">
        <f>X8/'Output-Calculation-sheet'!X7*'Output-Calculation-sheet'!X79</f>
        <v>161248284.8987703</v>
      </c>
      <c r="Y96" s="2">
        <f>Y8/'Output-Calculation-sheet'!Y7*'Output-Calculation-sheet'!Y79</f>
        <v>252190094.1149269</v>
      </c>
      <c r="AA96" s="2">
        <f t="shared" si="8"/>
        <v>48.032553207315821</v>
      </c>
    </row>
    <row r="97" spans="1:27" x14ac:dyDescent="0.25">
      <c r="A97" s="2">
        <v>2032</v>
      </c>
      <c r="B97" s="2">
        <f>B9/'Output-Calculation-sheet'!B8*'Output-Calculation-sheet'!B80</f>
        <v>14106504632.468683</v>
      </c>
      <c r="C97" s="2">
        <f>C9/'Output-Calculation-sheet'!C8*'Output-Calculation-sheet'!C80</f>
        <v>4804751515.0134611</v>
      </c>
      <c r="D97" s="2">
        <f>D9/'Output-Calculation-sheet'!D8*'Output-Calculation-sheet'!D80</f>
        <v>4787467175.6192074</v>
      </c>
      <c r="E97" s="2">
        <f>E9/'Output-Calculation-sheet'!E8*'Output-Calculation-sheet'!E80</f>
        <v>8755561251.0931435</v>
      </c>
      <c r="F97" s="2">
        <f>F9/'Output-Calculation-sheet'!F8*'Output-Calculation-sheet'!F80</f>
        <v>3616923062.01472</v>
      </c>
      <c r="G97" s="2">
        <f>G9/'Output-Calculation-sheet'!G8*'Output-Calculation-sheet'!G80</f>
        <v>2737812042.9848404</v>
      </c>
      <c r="H97" s="2">
        <f>H9/'Output-Calculation-sheet'!H8*'Output-Calculation-sheet'!H80</f>
        <v>2408721608.4169412</v>
      </c>
      <c r="I97" s="2">
        <f>I9/'Output-Calculation-sheet'!I8*'Output-Calculation-sheet'!I80</f>
        <v>1981397058.1039221</v>
      </c>
      <c r="J97" s="2">
        <f>J9/'Output-Calculation-sheet'!J8*'Output-Calculation-sheet'!J80</f>
        <v>1302585681.910485</v>
      </c>
      <c r="K97" s="2">
        <f>K9/'Output-Calculation-sheet'!K8*'Output-Calculation-sheet'!K80</f>
        <v>1877951707.1956241</v>
      </c>
      <c r="L97" s="2">
        <f>L9/'Output-Calculation-sheet'!L8*'Output-Calculation-sheet'!L80</f>
        <v>1366837757.0443799</v>
      </c>
      <c r="M97" s="2">
        <f>M9/'Output-Calculation-sheet'!M8*'Output-Calculation-sheet'!M80</f>
        <v>1803389504.6596124</v>
      </c>
      <c r="N97" s="2">
        <f>N9/'Output-Calculation-sheet'!N8*'Output-Calculation-sheet'!N80</f>
        <v>1317617149.1074729</v>
      </c>
      <c r="O97" s="2">
        <f>O9/'Output-Calculation-sheet'!O8*'Output-Calculation-sheet'!O80</f>
        <v>681648816.56376529</v>
      </c>
      <c r="P97" s="2">
        <f>P9/'Output-Calculation-sheet'!P8*'Output-Calculation-sheet'!P80</f>
        <v>2230226750.6073046</v>
      </c>
      <c r="Q97" s="2">
        <f>Q9/'Output-Calculation-sheet'!Q8*'Output-Calculation-sheet'!Q80</f>
        <v>1043214550.947266</v>
      </c>
      <c r="R97" s="2">
        <f>R9/'Output-Calculation-sheet'!R8*'Output-Calculation-sheet'!R80</f>
        <v>1318098926.4289482</v>
      </c>
      <c r="S97" s="2">
        <f>S9/'Output-Calculation-sheet'!S8*'Output-Calculation-sheet'!S80</f>
        <v>765020802.77490449</v>
      </c>
      <c r="T97" s="2">
        <f>T9/'Output-Calculation-sheet'!T8*'Output-Calculation-sheet'!T80</f>
        <v>576087569.56093359</v>
      </c>
      <c r="U97" s="2">
        <f>U9/'Output-Calculation-sheet'!U8*'Output-Calculation-sheet'!U80</f>
        <v>368288651.61029315</v>
      </c>
      <c r="V97" s="2">
        <f>V9/'Output-Calculation-sheet'!V8*'Output-Calculation-sheet'!V80</f>
        <v>193108620.56804386</v>
      </c>
      <c r="W97" s="2">
        <f>W9/'Output-Calculation-sheet'!W8*'Output-Calculation-sheet'!W80</f>
        <v>559246296.42182481</v>
      </c>
      <c r="X97" s="2">
        <f>X9/'Output-Calculation-sheet'!X8*'Output-Calculation-sheet'!X80</f>
        <v>200823388.54308406</v>
      </c>
      <c r="Y97" s="2">
        <f>Y9/'Output-Calculation-sheet'!Y8*'Output-Calculation-sheet'!Y80</f>
        <v>307397964.42256385</v>
      </c>
      <c r="AA97" s="2">
        <f t="shared" si="8"/>
        <v>59.110682484081423</v>
      </c>
    </row>
    <row r="98" spans="1:27" x14ac:dyDescent="0.25">
      <c r="A98" s="2">
        <v>2033</v>
      </c>
      <c r="B98" s="2">
        <f>B10/'Output-Calculation-sheet'!B9*'Output-Calculation-sheet'!B81</f>
        <v>15504612530.000425</v>
      </c>
      <c r="C98" s="2">
        <f>C10/'Output-Calculation-sheet'!C9*'Output-Calculation-sheet'!C81</f>
        <v>5315750028.9257488</v>
      </c>
      <c r="D98" s="2">
        <f>D10/'Output-Calculation-sheet'!D9*'Output-Calculation-sheet'!D81</f>
        <v>5058974980.4223833</v>
      </c>
      <c r="E98" s="2">
        <f>E10/'Output-Calculation-sheet'!E9*'Output-Calculation-sheet'!E81</f>
        <v>9516250247.4947796</v>
      </c>
      <c r="F98" s="2">
        <f>F10/'Output-Calculation-sheet'!F9*'Output-Calculation-sheet'!F81</f>
        <v>3924731620.1387124</v>
      </c>
      <c r="G98" s="2">
        <f>G10/'Output-Calculation-sheet'!G9*'Output-Calculation-sheet'!G81</f>
        <v>2881658037.0548797</v>
      </c>
      <c r="H98" s="2">
        <f>H10/'Output-Calculation-sheet'!H9*'Output-Calculation-sheet'!H81</f>
        <v>2610805725.4266353</v>
      </c>
      <c r="I98" s="2">
        <f>I10/'Output-Calculation-sheet'!I9*'Output-Calculation-sheet'!I81</f>
        <v>2170350335.6554885</v>
      </c>
      <c r="J98" s="2">
        <f>J10/'Output-Calculation-sheet'!J9*'Output-Calculation-sheet'!J81</f>
        <v>1387776707.5599735</v>
      </c>
      <c r="K98" s="2">
        <f>K10/'Output-Calculation-sheet'!K9*'Output-Calculation-sheet'!K81</f>
        <v>2015800702.5802925</v>
      </c>
      <c r="L98" s="2">
        <f>L10/'Output-Calculation-sheet'!L9*'Output-Calculation-sheet'!L81</f>
        <v>1511880701.173419</v>
      </c>
      <c r="M98" s="2">
        <f>M10/'Output-Calculation-sheet'!M9*'Output-Calculation-sheet'!M81</f>
        <v>1960605481.8705437</v>
      </c>
      <c r="N98" s="2">
        <f>N10/'Output-Calculation-sheet'!N9*'Output-Calculation-sheet'!N81</f>
        <v>1406581456.6364815</v>
      </c>
      <c r="O98" s="2">
        <f>O10/'Output-Calculation-sheet'!O9*'Output-Calculation-sheet'!O81</f>
        <v>744864346.89276469</v>
      </c>
      <c r="P98" s="2">
        <f>P10/'Output-Calculation-sheet'!P9*'Output-Calculation-sheet'!P81</f>
        <v>2380370333.7176819</v>
      </c>
      <c r="Q98" s="2">
        <f>Q10/'Output-Calculation-sheet'!Q9*'Output-Calculation-sheet'!Q81</f>
        <v>1119189787.1241465</v>
      </c>
      <c r="R98" s="2">
        <f>R10/'Output-Calculation-sheet'!R9*'Output-Calculation-sheet'!R81</f>
        <v>1431613057.961287</v>
      </c>
      <c r="S98" s="2">
        <f>S10/'Output-Calculation-sheet'!S9*'Output-Calculation-sheet'!S81</f>
        <v>827727230.16718531</v>
      </c>
      <c r="T98" s="2">
        <f>T10/'Output-Calculation-sheet'!T9*'Output-Calculation-sheet'!T81</f>
        <v>614207657.14896369</v>
      </c>
      <c r="U98" s="2">
        <f>U10/'Output-Calculation-sheet'!U9*'Output-Calculation-sheet'!U81</f>
        <v>399643337.04473108</v>
      </c>
      <c r="V98" s="2">
        <f>V10/'Output-Calculation-sheet'!V9*'Output-Calculation-sheet'!V81</f>
        <v>211657841.19931644</v>
      </c>
      <c r="W98" s="2">
        <f>W10/'Output-Calculation-sheet'!W9*'Output-Calculation-sheet'!W81</f>
        <v>600123001.82066774</v>
      </c>
      <c r="X98" s="2">
        <f>X10/'Output-Calculation-sheet'!X9*'Output-Calculation-sheet'!X81</f>
        <v>220527046.28845868</v>
      </c>
      <c r="Y98" s="2">
        <f>Y10/'Output-Calculation-sheet'!Y9*'Output-Calculation-sheet'!Y81</f>
        <v>329984791.28196001</v>
      </c>
      <c r="AA98" s="2">
        <f t="shared" si="8"/>
        <v>64.14568698558692</v>
      </c>
    </row>
    <row r="99" spans="1:27" x14ac:dyDescent="0.25">
      <c r="A99" s="2">
        <v>2034</v>
      </c>
      <c r="B99" s="2">
        <f>B11/'Output-Calculation-sheet'!B10*'Output-Calculation-sheet'!B82</f>
        <v>15204141351.975853</v>
      </c>
      <c r="C99" s="2">
        <f>C11/'Output-Calculation-sheet'!C10*'Output-Calculation-sheet'!C82</f>
        <v>5246052558.6229343</v>
      </c>
      <c r="D99" s="2">
        <f>D11/'Output-Calculation-sheet'!D10*'Output-Calculation-sheet'!D82</f>
        <v>4772432197.1777849</v>
      </c>
      <c r="E99" s="2">
        <f>E11/'Output-Calculation-sheet'!E10*'Output-Calculation-sheet'!E82</f>
        <v>9231851595.9189186</v>
      </c>
      <c r="F99" s="2">
        <f>F11/'Output-Calculation-sheet'!F10*'Output-Calculation-sheet'!F82</f>
        <v>3802126622.9538646</v>
      </c>
      <c r="G99" s="2">
        <f>G11/'Output-Calculation-sheet'!G10*'Output-Calculation-sheet'!G82</f>
        <v>2703041468.4682531</v>
      </c>
      <c r="H99" s="2">
        <f>H11/'Output-Calculation-sheet'!H10*'Output-Calculation-sheet'!H82</f>
        <v>2526483014.4832997</v>
      </c>
      <c r="I99" s="2">
        <f>I11/'Output-Calculation-sheet'!I10*'Output-Calculation-sheet'!I82</f>
        <v>2122069846.2144022</v>
      </c>
      <c r="J99" s="2">
        <f>J11/'Output-Calculation-sheet'!J10*'Output-Calculation-sheet'!J82</f>
        <v>1320563253.6945531</v>
      </c>
      <c r="K99" s="2">
        <f>K11/'Output-Calculation-sheet'!K10*'Output-Calculation-sheet'!K82</f>
        <v>1932157333.4805539</v>
      </c>
      <c r="L99" s="2">
        <f>L11/'Output-Calculation-sheet'!L10*'Output-Calculation-sheet'!L82</f>
        <v>1491766758.9275105</v>
      </c>
      <c r="M99" s="2">
        <f>M11/'Output-Calculation-sheet'!M10*'Output-Calculation-sheet'!M82</f>
        <v>1903152825.5566039</v>
      </c>
      <c r="N99" s="2">
        <f>N11/'Output-Calculation-sheet'!N10*'Output-Calculation-sheet'!N82</f>
        <v>1340772943.8624671</v>
      </c>
      <c r="O99" s="2">
        <f>O11/'Output-Calculation-sheet'!O10*'Output-Calculation-sheet'!O82</f>
        <v>726900300.82298589</v>
      </c>
      <c r="P99" s="2">
        <f>P11/'Output-Calculation-sheet'!P10*'Output-Calculation-sheet'!P82</f>
        <v>2265912910.3724742</v>
      </c>
      <c r="Q99" s="2">
        <f>Q11/'Output-Calculation-sheet'!Q10*'Output-Calculation-sheet'!Q82</f>
        <v>1072372380.3799331</v>
      </c>
      <c r="R99" s="2">
        <f>R11/'Output-Calculation-sheet'!R10*'Output-Calculation-sheet'!R82</f>
        <v>1388181087.102309</v>
      </c>
      <c r="S99" s="2">
        <f>S11/'Output-Calculation-sheet'!S10*'Output-Calculation-sheet'!S82</f>
        <v>799631114.85746932</v>
      </c>
      <c r="T99" s="2">
        <f>T11/'Output-Calculation-sheet'!T10*'Output-Calculation-sheet'!T82</f>
        <v>584436857.09251356</v>
      </c>
      <c r="U99" s="2">
        <f>U11/'Output-Calculation-sheet'!U10*'Output-Calculation-sheet'!U82</f>
        <v>387025868.11343998</v>
      </c>
      <c r="V99" s="2">
        <f>V11/'Output-Calculation-sheet'!V10*'Output-Calculation-sheet'!V82</f>
        <v>206937906.46755028</v>
      </c>
      <c r="W99" s="2">
        <f>W11/'Output-Calculation-sheet'!W10*'Output-Calculation-sheet'!W82</f>
        <v>573846059.90579641</v>
      </c>
      <c r="X99" s="2">
        <f>X11/'Output-Calculation-sheet'!X10*'Output-Calculation-sheet'!X82</f>
        <v>216126224.77453727</v>
      </c>
      <c r="Y99" s="2">
        <f>Y11/'Output-Calculation-sheet'!Y10*'Output-Calculation-sheet'!Y82</f>
        <v>315797335.81982082</v>
      </c>
      <c r="AA99" s="2">
        <f t="shared" si="8"/>
        <v>62.133779817045827</v>
      </c>
    </row>
    <row r="100" spans="1:27" x14ac:dyDescent="0.25">
      <c r="A100" s="2">
        <v>2035</v>
      </c>
      <c r="B100" s="2">
        <f>B12/'Output-Calculation-sheet'!B11*'Output-Calculation-sheet'!B83</f>
        <v>13223949454.152781</v>
      </c>
      <c r="C100" s="2">
        <f>C12/'Output-Calculation-sheet'!C11*'Output-Calculation-sheet'!C83</f>
        <v>4591140462.1984768</v>
      </c>
      <c r="D100" s="2">
        <f>D12/'Output-Calculation-sheet'!D11*'Output-Calculation-sheet'!D83</f>
        <v>3995999086.5187078</v>
      </c>
      <c r="E100" s="2">
        <f>E12/'Output-Calculation-sheet'!E11*'Output-Calculation-sheet'!E83</f>
        <v>7947011100.0366325</v>
      </c>
      <c r="F100" s="2">
        <f>F12/'Output-Calculation-sheet'!F11*'Output-Calculation-sheet'!F83</f>
        <v>3269083496.3122401</v>
      </c>
      <c r="G100" s="2">
        <f>G12/'Output-Calculation-sheet'!G11*'Output-Calculation-sheet'!G83</f>
        <v>2246496914.0288339</v>
      </c>
      <c r="H100" s="2">
        <f>H12/'Output-Calculation-sheet'!H11*'Output-Calculation-sheet'!H83</f>
        <v>2169948133.6325569</v>
      </c>
      <c r="I100" s="2">
        <f>I12/'Output-Calculation-sheet'!I11*'Output-Calculation-sheet'!I83</f>
        <v>1841158131.3572402</v>
      </c>
      <c r="J100" s="2">
        <f>J12/'Output-Calculation-sheet'!J11*'Output-Calculation-sheet'!J83</f>
        <v>1115821071.9720023</v>
      </c>
      <c r="K100" s="2">
        <f>K12/'Output-Calculation-sheet'!K11*'Output-Calculation-sheet'!K83</f>
        <v>1644079732.270467</v>
      </c>
      <c r="L100" s="2">
        <f>L12/'Output-Calculation-sheet'!L11*'Output-Calculation-sheet'!L83</f>
        <v>1305305562.971467</v>
      </c>
      <c r="M100" s="2">
        <f>M12/'Output-Calculation-sheet'!M11*'Output-Calculation-sheet'!M83</f>
        <v>1639753031.9410598</v>
      </c>
      <c r="N100" s="2">
        <f>N12/'Output-Calculation-sheet'!N11*'Output-Calculation-sheet'!N83</f>
        <v>1134579586.3623917</v>
      </c>
      <c r="O100" s="2">
        <f>O12/'Output-Calculation-sheet'!O11*'Output-Calculation-sheet'!O83</f>
        <v>629763711.02339935</v>
      </c>
      <c r="P100" s="2">
        <f>P12/'Output-Calculation-sheet'!P11*'Output-Calculation-sheet'!P83</f>
        <v>1912637138.4991376</v>
      </c>
      <c r="Q100" s="2">
        <f>Q12/'Output-Calculation-sheet'!Q11*'Output-Calculation-sheet'!Q83</f>
        <v>912336682.87945187</v>
      </c>
      <c r="R100" s="2">
        <f>R12/'Output-Calculation-sheet'!R11*'Output-Calculation-sheet'!R83</f>
        <v>1194654036.1565123</v>
      </c>
      <c r="S100" s="2">
        <f>S12/'Output-Calculation-sheet'!S11*'Output-Calculation-sheet'!S83</f>
        <v>685670036.46450436</v>
      </c>
      <c r="T100" s="2">
        <f>T12/'Output-Calculation-sheet'!T11*'Output-Calculation-sheet'!T83</f>
        <v>493444858.34562486</v>
      </c>
      <c r="U100" s="2">
        <f>U12/'Output-Calculation-sheet'!U11*'Output-Calculation-sheet'!U83</f>
        <v>332525964.63146341</v>
      </c>
      <c r="V100" s="2">
        <f>V12/'Output-Calculation-sheet'!V11*'Output-Calculation-sheet'!V83</f>
        <v>179417078.16454771</v>
      </c>
      <c r="W100" s="2">
        <f>W12/'Output-Calculation-sheet'!W11*'Output-Calculation-sheet'!W83</f>
        <v>486084942.60206884</v>
      </c>
      <c r="X100" s="2">
        <f>X12/'Output-Calculation-sheet'!X11*'Output-Calculation-sheet'!X83</f>
        <v>187925055.93137962</v>
      </c>
      <c r="Y100" s="2">
        <f>Y12/'Output-Calculation-sheet'!Y11*'Output-Calculation-sheet'!Y83</f>
        <v>267861817.63340548</v>
      </c>
      <c r="AA100" s="2">
        <f t="shared" si="8"/>
        <v>53.406647086086366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94188539892.915421</v>
      </c>
      <c r="C8" s="2">
        <v>44386379634.496544</v>
      </c>
      <c r="D8" s="2">
        <v>39560263638.583344</v>
      </c>
      <c r="E8" s="2">
        <v>31387054748.315319</v>
      </c>
      <c r="F8" s="2">
        <v>20204973455.046726</v>
      </c>
      <c r="G8" s="2">
        <v>14196568860.04541</v>
      </c>
      <c r="H8" s="2">
        <v>13848207962.362062</v>
      </c>
      <c r="I8" s="2">
        <v>12934191745.668165</v>
      </c>
      <c r="J8" s="2">
        <v>12589248923.723505</v>
      </c>
      <c r="K8" s="2">
        <v>12468560842.824133</v>
      </c>
      <c r="L8" s="2">
        <v>10002441616.650064</v>
      </c>
      <c r="M8" s="2">
        <v>9554056302.8002377</v>
      </c>
      <c r="N8" s="2">
        <v>9377278668.2560463</v>
      </c>
      <c r="O8" s="2">
        <v>8624312108.9435997</v>
      </c>
      <c r="P8" s="2">
        <v>8536566552.1409969</v>
      </c>
      <c r="Q8" s="2">
        <v>8398601840.1872025</v>
      </c>
      <c r="R8" s="2">
        <v>8079841271.4535599</v>
      </c>
      <c r="S8" s="2">
        <v>5370276412.8014097</v>
      </c>
      <c r="T8" s="2">
        <v>2970080175.1166873</v>
      </c>
      <c r="U8" s="2">
        <v>2586838349.133637</v>
      </c>
      <c r="V8" s="2">
        <v>1991917265.5998845</v>
      </c>
      <c r="W8" s="2">
        <v>1724558899.4224231</v>
      </c>
      <c r="X8" s="2">
        <v>1034735339.6534547</v>
      </c>
      <c r="Y8" s="2">
        <v>1006269770.4595864</v>
      </c>
    </row>
    <row r="9" spans="1:27" x14ac:dyDescent="0.25">
      <c r="A9" s="2">
        <v>2032</v>
      </c>
      <c r="B9" s="2">
        <v>97946231641.274658</v>
      </c>
      <c r="C9" s="2">
        <v>46157193076.150017</v>
      </c>
      <c r="D9" s="2">
        <v>41138537135.620567</v>
      </c>
      <c r="E9" s="2">
        <v>32639254610.072769</v>
      </c>
      <c r="F9" s="2">
        <v>21011059440.817036</v>
      </c>
      <c r="G9" s="2">
        <v>14762946996.080399</v>
      </c>
      <c r="H9" s="2">
        <v>14400688092.629429</v>
      </c>
      <c r="I9" s="2">
        <v>13450206811.29771</v>
      </c>
      <c r="J9" s="2">
        <v>13091502349.166771</v>
      </c>
      <c r="K9" s="2">
        <v>12965999366.091013</v>
      </c>
      <c r="L9" s="2">
        <v>10401493267.40358</v>
      </c>
      <c r="M9" s="2">
        <v>9935219431.278595</v>
      </c>
      <c r="N9" s="2">
        <v>9751389178.0254135</v>
      </c>
      <c r="O9" s="2">
        <v>8968382698.4643307</v>
      </c>
      <c r="P9" s="2">
        <v>8877136495.4564953</v>
      </c>
      <c r="Q9" s="2">
        <v>8733667622.8026543</v>
      </c>
      <c r="R9" s="2">
        <v>8402189965.9795847</v>
      </c>
      <c r="S9" s="2">
        <v>5584525868.0507956</v>
      </c>
      <c r="T9" s="2">
        <v>3088572783.439208</v>
      </c>
      <c r="U9" s="2">
        <v>2690041362.2595458</v>
      </c>
      <c r="V9" s="2">
        <v>2071385649.7670968</v>
      </c>
      <c r="W9" s="2">
        <v>1793360908.1730292</v>
      </c>
      <c r="X9" s="2">
        <v>1076016544.9038181</v>
      </c>
      <c r="Y9" s="2">
        <v>1046415329.7535124</v>
      </c>
    </row>
    <row r="10" spans="1:27" x14ac:dyDescent="0.25">
      <c r="A10" s="2">
        <v>2033</v>
      </c>
      <c r="B10" s="2">
        <v>95304299326.597229</v>
      </c>
      <c r="C10" s="2">
        <v>44912181625.486923</v>
      </c>
      <c r="D10" s="2">
        <v>40028895357.515099</v>
      </c>
      <c r="E10" s="2">
        <v>31758866462.041168</v>
      </c>
      <c r="F10" s="2">
        <v>20444321997.506241</v>
      </c>
      <c r="G10" s="2">
        <v>14364741714.720913</v>
      </c>
      <c r="H10" s="2">
        <v>14012254126.483089</v>
      </c>
      <c r="I10" s="2">
        <v>13087410454.37398</v>
      </c>
      <c r="J10" s="2">
        <v>12738381432.472265</v>
      </c>
      <c r="K10" s="2">
        <v>12616263678.016539</v>
      </c>
      <c r="L10" s="2">
        <v>10120930751.382563</v>
      </c>
      <c r="M10" s="2">
        <v>9667233855.6309319</v>
      </c>
      <c r="N10" s="2">
        <v>9488362109.4927959</v>
      </c>
      <c r="O10" s="2">
        <v>8726475892.4092979</v>
      </c>
      <c r="P10" s="2">
        <v>8637690899.8868351</v>
      </c>
      <c r="Q10" s="2">
        <v>8498091855.0401793</v>
      </c>
      <c r="R10" s="2">
        <v>8175555241.8742228</v>
      </c>
      <c r="S10" s="2">
        <v>5433892820.656064</v>
      </c>
      <c r="T10" s="2">
        <v>3005263807.6259651</v>
      </c>
      <c r="U10" s="2">
        <v>2617482090.8748002</v>
      </c>
      <c r="V10" s="2">
        <v>2015513559.6154149</v>
      </c>
      <c r="W10" s="2">
        <v>1744988060.5831985</v>
      </c>
      <c r="X10" s="2">
        <v>1046992836.3499199</v>
      </c>
      <c r="Y10" s="2">
        <v>1018190063.4219319</v>
      </c>
    </row>
    <row r="11" spans="1:27" x14ac:dyDescent="0.25">
      <c r="A11" s="2">
        <v>2034</v>
      </c>
      <c r="B11" s="2">
        <v>87035895270.265305</v>
      </c>
      <c r="C11" s="2">
        <v>41015693561.938919</v>
      </c>
      <c r="D11" s="2">
        <v>36556071118.91124</v>
      </c>
      <c r="E11" s="2">
        <v>29003532839.79438</v>
      </c>
      <c r="F11" s="2">
        <v>18670614870.676117</v>
      </c>
      <c r="G11" s="2">
        <v>13118486409.331852</v>
      </c>
      <c r="H11" s="2">
        <v>12796579915.808388</v>
      </c>
      <c r="I11" s="2">
        <v>11951973769.434971</v>
      </c>
      <c r="J11" s="2">
        <v>11633225784.17967</v>
      </c>
      <c r="K11" s="2">
        <v>11521702713.735332</v>
      </c>
      <c r="L11" s="2">
        <v>9242859715.0297279</v>
      </c>
      <c r="M11" s="2">
        <v>8828524624.3559837</v>
      </c>
      <c r="N11" s="2">
        <v>8665171421.2613583</v>
      </c>
      <c r="O11" s="2">
        <v>7969384877.8789253</v>
      </c>
      <c r="P11" s="2">
        <v>7888302687.8270864</v>
      </c>
      <c r="Q11" s="2">
        <v>7760814967.6197805</v>
      </c>
      <c r="R11" s="2">
        <v>7466260964.4668093</v>
      </c>
      <c r="S11" s="2">
        <v>4962459509.0693884</v>
      </c>
      <c r="T11" s="2">
        <v>2744533330.2718611</v>
      </c>
      <c r="U11" s="2">
        <v>2390394753.8869977</v>
      </c>
      <c r="V11" s="2">
        <v>1840651768.3880672</v>
      </c>
      <c r="W11" s="2">
        <v>1593596502.5913305</v>
      </c>
      <c r="X11" s="2">
        <v>956157901.55479896</v>
      </c>
      <c r="Y11" s="2">
        <v>929853997.68302488</v>
      </c>
    </row>
    <row r="12" spans="1:27" x14ac:dyDescent="0.25">
      <c r="A12" s="2">
        <v>2035</v>
      </c>
      <c r="B12" s="2">
        <v>74486357146.907959</v>
      </c>
      <c r="C12" s="2">
        <v>35101719696.177528</v>
      </c>
      <c r="D12" s="2">
        <v>31285121624.769958</v>
      </c>
      <c r="E12" s="2">
        <v>24821569295.27282</v>
      </c>
      <c r="F12" s="2">
        <v>15978534868.758558</v>
      </c>
      <c r="G12" s="2">
        <v>11226957117.843088</v>
      </c>
      <c r="H12" s="2">
        <v>10951465701.686089</v>
      </c>
      <c r="I12" s="2">
        <v>10228641688.99696</v>
      </c>
      <c r="J12" s="2">
        <v>9955853361.8836651</v>
      </c>
      <c r="K12" s="2">
        <v>9860410588.1930866</v>
      </c>
      <c r="L12" s="2">
        <v>7910149572.8243294</v>
      </c>
      <c r="M12" s="2">
        <v>7555556660.9391041</v>
      </c>
      <c r="N12" s="2">
        <v>7415757041.6094627</v>
      </c>
      <c r="O12" s="2">
        <v>6820294619.9561472</v>
      </c>
      <c r="P12" s="2">
        <v>6750903514.737999</v>
      </c>
      <c r="Q12" s="2">
        <v>6641798003.3886986</v>
      </c>
      <c r="R12" s="2">
        <v>6389715174.6917067</v>
      </c>
      <c r="S12" s="2">
        <v>4246932029.2715282</v>
      </c>
      <c r="T12" s="2">
        <v>2348804354.8632693</v>
      </c>
      <c r="U12" s="2">
        <v>2045728337.7993951</v>
      </c>
      <c r="V12" s="2">
        <v>1575251734.6722915</v>
      </c>
      <c r="W12" s="2">
        <v>1363818891.8662624</v>
      </c>
      <c r="X12" s="2">
        <v>818291335.11975801</v>
      </c>
      <c r="Y12" s="2">
        <v>795780140.49061203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1850.6595340831959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577.38068467895425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398.34869509122126</v>
      </c>
      <c r="N16" s="2">
        <f>N5/'Output-Calculation-sheet'!N4*'Output-Calculation-sheet'!N22</f>
        <v>0</v>
      </c>
      <c r="O16" s="2">
        <f>O5/'Output-Calculation-sheet'!O4*'Output-Calculation-sheet'!O22</f>
        <v>359.57940612887347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43.142474550429625</v>
      </c>
      <c r="Y16" s="2">
        <f>Y5/'Output-Calculation-sheet'!Y4*'Output-Calculation-sheet'!Y22</f>
        <v>0</v>
      </c>
      <c r="AA16" s="2">
        <f t="shared" ref="AA16:AA23" si="0">SUM(B16:Y16)/1000</f>
        <v>3.2291107945326742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5261.6838008287832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1551.6288465196244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1071.0901873996486</v>
      </c>
      <c r="N17" s="2">
        <f>N6/'Output-Calculation-sheet'!N5*'Output-Calculation-sheet'!N23</f>
        <v>0</v>
      </c>
      <c r="O17" s="2">
        <f>O6/'Output-Calculation-sheet'!O5*'Output-Calculation-sheet'!O23</f>
        <v>1028.7789608679711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119.09908324580296</v>
      </c>
      <c r="Y17" s="2">
        <f>Y6/'Output-Calculation-sheet'!Y5*'Output-Calculation-sheet'!Y23</f>
        <v>0</v>
      </c>
      <c r="AA17" s="2">
        <f t="shared" si="0"/>
        <v>9.0322808788618296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9815.8604256411891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3109.3070625998366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2144.4455618048505</v>
      </c>
      <c r="N18" s="2">
        <f>N7/'Output-Calculation-sheet'!N6*'Output-Calculation-sheet'!N24</f>
        <v>664.59784636372979</v>
      </c>
      <c r="O18" s="2">
        <f>O7/'Output-Calculation-sheet'!O6*'Output-Calculation-sheet'!O24</f>
        <v>1415.5661484894149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145.29209719637518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240.43569678599329</v>
      </c>
      <c r="Y18" s="2">
        <f>Y7/'Output-Calculation-sheet'!Y6*'Output-Calculation-sheet'!Y24</f>
        <v>0</v>
      </c>
      <c r="AA18" s="2">
        <f t="shared" si="0"/>
        <v>17.535504838881387</v>
      </c>
    </row>
    <row r="19" spans="1:27" x14ac:dyDescent="0.25">
      <c r="A19" s="2">
        <v>2031</v>
      </c>
      <c r="B19" s="2">
        <f>B8/'Output-Calculation-sheet'!B7*'Output-Calculation-sheet'!B25</f>
        <v>1047.2129563981619</v>
      </c>
      <c r="C19" s="2">
        <f>C8/'Output-Calculation-sheet'!C7*'Output-Calculation-sheet'!C25</f>
        <v>13824.782485082864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4698.3417724613546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3264.6600353431991</v>
      </c>
      <c r="N19" s="2">
        <f>N8/'Output-Calculation-sheet'!N7*'Output-Calculation-sheet'!N25</f>
        <v>1117.7120907340188</v>
      </c>
      <c r="O19" s="2">
        <f>O8/'Output-Calculation-sheet'!O7*'Output-Calculation-sheet'!O25</f>
        <v>1784.3109694212462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398.8173183738827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364.76065534526151</v>
      </c>
      <c r="Y19" s="2">
        <f>Y8/'Output-Calculation-sheet'!Y7*'Output-Calculation-sheet'!Y25</f>
        <v>0</v>
      </c>
      <c r="AA19" s="2">
        <f t="shared" si="0"/>
        <v>26.500598283159992</v>
      </c>
    </row>
    <row r="20" spans="1:27" x14ac:dyDescent="0.25">
      <c r="A20" s="2">
        <v>2032</v>
      </c>
      <c r="B20" s="2">
        <f>B9/'Output-Calculation-sheet'!B8*'Output-Calculation-sheet'!B26</f>
        <v>5625.6617218925157</v>
      </c>
      <c r="C20" s="2">
        <f>C9/'Output-Calculation-sheet'!C8*'Output-Calculation-sheet'!C26</f>
        <v>19099.492492637444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6112.7827683979222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4252.4454554301628</v>
      </c>
      <c r="N20" s="2">
        <f>N9/'Output-Calculation-sheet'!N8*'Output-Calculation-sheet'!N26</f>
        <v>1919.21719340959</v>
      </c>
      <c r="O20" s="2">
        <f>O9/'Output-Calculation-sheet'!O8*'Output-Calculation-sheet'!O26</f>
        <v>2013.9696436655418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697.4956337172224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475.75343290129183</v>
      </c>
      <c r="Y20" s="2">
        <f>Y9/'Output-Calculation-sheet'!Y8*'Output-Calculation-sheet'!Y26</f>
        <v>0</v>
      </c>
      <c r="AA20" s="2">
        <f t="shared" si="0"/>
        <v>40.196818342051692</v>
      </c>
    </row>
    <row r="21" spans="1:27" x14ac:dyDescent="0.25">
      <c r="A21" s="2">
        <v>2033</v>
      </c>
      <c r="B21" s="2">
        <f>B10/'Output-Calculation-sheet'!B9*'Output-Calculation-sheet'!B27</f>
        <v>12377.904227929286</v>
      </c>
      <c r="C21" s="2">
        <f>C10/'Output-Calculation-sheet'!C9*'Output-Calculation-sheet'!C27</f>
        <v>21256.981310819607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7164.5565257934277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4976.2305106138592</v>
      </c>
      <c r="N21" s="2">
        <f>N10/'Output-Calculation-sheet'!N9*'Output-Calculation-sheet'!N27</f>
        <v>2722.893647755252</v>
      </c>
      <c r="O21" s="2">
        <f>O10/'Output-Calculation-sheet'!O9*'Output-Calculation-sheet'!O27</f>
        <v>2120.8956733118666</v>
      </c>
      <c r="P21" s="2">
        <f>P10/'Output-Calculation-sheet'!P9*'Output-Calculation-sheet'!P27</f>
        <v>0</v>
      </c>
      <c r="Q21" s="2">
        <f>Q10/'Output-Calculation-sheet'!Q9*'Output-Calculation-sheet'!Q27</f>
        <v>185.71937726323307</v>
      </c>
      <c r="R21" s="2">
        <f>R10/'Output-Calculation-sheet'!R9*'Output-Calculation-sheet'!R27</f>
        <v>0</v>
      </c>
      <c r="S21" s="2">
        <f>S10/'Output-Calculation-sheet'!S9*'Output-Calculation-sheet'!S27</f>
        <v>1182.6558690473776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585.16207631249711</v>
      </c>
      <c r="Y21" s="2">
        <f>Y10/'Output-Calculation-sheet'!Y9*'Output-Calculation-sheet'!Y27</f>
        <v>0</v>
      </c>
      <c r="AA21" s="2">
        <f t="shared" si="0"/>
        <v>52.572999218846405</v>
      </c>
    </row>
    <row r="22" spans="1:27" x14ac:dyDescent="0.25">
      <c r="A22" s="2">
        <v>2034</v>
      </c>
      <c r="B22" s="2">
        <f>B11/'Output-Calculation-sheet'!B10*'Output-Calculation-sheet'!B28</f>
        <v>21527.531570841144</v>
      </c>
      <c r="C22" s="2">
        <f>C11/'Output-Calculation-sheet'!C10*'Output-Calculation-sheet'!C28</f>
        <v>20652.96350765018</v>
      </c>
      <c r="D22" s="2">
        <f>D11/'Output-Calculation-sheet'!D10*'Output-Calculation-sheet'!D28</f>
        <v>0</v>
      </c>
      <c r="E22" s="2">
        <f>E11/'Output-Calculation-sheet'!E10*'Output-Calculation-sheet'!E28</f>
        <v>1103.0377077864125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7881.1317879949002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657.73702132798883</v>
      </c>
      <c r="M22" s="2">
        <f>M11/'Output-Calculation-sheet'!M10*'Output-Calculation-sheet'!M28</f>
        <v>5746.0378505795843</v>
      </c>
      <c r="N22" s="2">
        <f>N11/'Output-Calculation-sheet'!N10*'Output-Calculation-sheet'!N28</f>
        <v>3429.1674853368331</v>
      </c>
      <c r="O22" s="2">
        <f>O11/'Output-Calculation-sheet'!O10*'Output-Calculation-sheet'!O28</f>
        <v>2119.4500007568008</v>
      </c>
      <c r="P22" s="2">
        <f>P11/'Output-Calculation-sheet'!P10*'Output-Calculation-sheet'!P28</f>
        <v>0</v>
      </c>
      <c r="Q22" s="2">
        <f>Q11/'Output-Calculation-sheet'!Q10*'Output-Calculation-sheet'!Q28</f>
        <v>778.99952716786004</v>
      </c>
      <c r="R22" s="2">
        <f>R11/'Output-Calculation-sheet'!R10*'Output-Calculation-sheet'!R28</f>
        <v>0</v>
      </c>
      <c r="S22" s="2">
        <f>S11/'Output-Calculation-sheet'!S10*'Output-Calculation-sheet'!S28</f>
        <v>1749.3590063042541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576.99994702896947</v>
      </c>
      <c r="Y22" s="2">
        <f>Y11/'Output-Calculation-sheet'!Y10*'Output-Calculation-sheet'!Y28</f>
        <v>59.8503854109332</v>
      </c>
      <c r="AA22" s="2">
        <f t="shared" si="0"/>
        <v>66.282265798185847</v>
      </c>
    </row>
    <row r="23" spans="1:27" x14ac:dyDescent="0.25">
      <c r="A23" s="2">
        <v>2035</v>
      </c>
      <c r="B23" s="2">
        <f>B12/'Output-Calculation-sheet'!B11*'Output-Calculation-sheet'!B29</f>
        <v>22284.963664447125</v>
      </c>
      <c r="C23" s="2">
        <f>C12/'Output-Calculation-sheet'!C11*'Output-Calculation-sheet'!C29</f>
        <v>18202.080864558335</v>
      </c>
      <c r="D23" s="2">
        <f>D12/'Output-Calculation-sheet'!D11*'Output-Calculation-sheet'!D29</f>
        <v>0</v>
      </c>
      <c r="E23" s="2">
        <f>E12/'Output-Calculation-sheet'!E11*'Output-Calculation-sheet'!E29</f>
        <v>3435.7976449150392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7006.8380776558233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778.86760115383231</v>
      </c>
      <c r="M23" s="2">
        <f>M12/'Output-Calculation-sheet'!M11*'Output-Calculation-sheet'!M29</f>
        <v>5133.6177187545545</v>
      </c>
      <c r="N23" s="2">
        <f>N12/'Output-Calculation-sheet'!N11*'Output-Calculation-sheet'!N29</f>
        <v>2994.72556730929</v>
      </c>
      <c r="O23" s="2">
        <f>O12/'Output-Calculation-sheet'!O11*'Output-Calculation-sheet'!O29</f>
        <v>2018.8131823423305</v>
      </c>
      <c r="P23" s="2">
        <f>P12/'Output-Calculation-sheet'!P11*'Output-Calculation-sheet'!P29</f>
        <v>365.75089620732069</v>
      </c>
      <c r="Q23" s="2">
        <f>Q12/'Output-Calculation-sheet'!Q11*'Output-Calculation-sheet'!Q29</f>
        <v>821.10667576664605</v>
      </c>
      <c r="R23" s="2">
        <f>R12/'Output-Calculation-sheet'!R11*'Output-Calculation-sheet'!R29</f>
        <v>0</v>
      </c>
      <c r="S23" s="2">
        <f>S12/'Output-Calculation-sheet'!S11*'Output-Calculation-sheet'!S29</f>
        <v>1603.0771061485216</v>
      </c>
      <c r="T23" s="2">
        <f>T12/'Output-Calculation-sheet'!T11*'Output-Calculation-sheet'!T29</f>
        <v>0</v>
      </c>
      <c r="U23" s="2">
        <f>U12/'Output-Calculation-sheet'!U11*'Output-Calculation-sheet'!U29</f>
        <v>69.906102300939239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508.56471013140799</v>
      </c>
      <c r="Y23" s="2">
        <f>Y12/'Output-Calculation-sheet'!Y11*'Output-Calculation-sheet'!Y29</f>
        <v>150.56355309874266</v>
      </c>
      <c r="AA23" s="2">
        <f t="shared" si="0"/>
        <v>65.374673364789913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2336.2795538332343</v>
      </c>
      <c r="C27" s="2">
        <f>C5/'Output-Calculation-sheet'!C4*'Output-Calculation-sheet'!C13</f>
        <v>0</v>
      </c>
      <c r="D27" s="2">
        <f>D5/'Output-Calculation-sheet'!D4*'Output-Calculation-sheet'!D13</f>
        <v>417.3490220932062</v>
      </c>
      <c r="E27" s="2">
        <f>E5/'Output-Calculation-sheet'!E4*'Output-Calculation-sheet'!E13</f>
        <v>449.01598760657197</v>
      </c>
      <c r="F27" s="2">
        <f>F5/'Output-Calculation-sheet'!F4*'Output-Calculation-sheet'!F13</f>
        <v>226.54986742942003</v>
      </c>
      <c r="G27" s="2">
        <f>G5/'Output-Calculation-sheet'!G4*'Output-Calculation-sheet'!G13</f>
        <v>148.35638298524847</v>
      </c>
      <c r="H27" s="2">
        <f>H5/'Output-Calculation-sheet'!H4*'Output-Calculation-sheet'!H13</f>
        <v>0</v>
      </c>
      <c r="I27" s="2">
        <f>I5/'Output-Calculation-sheet'!I4*'Output-Calculation-sheet'!I13</f>
        <v>144.62864690300205</v>
      </c>
      <c r="J27" s="2">
        <f>J5/'Output-Calculation-sheet'!J4*'Output-Calculation-sheet'!J13</f>
        <v>128.74764243636827</v>
      </c>
      <c r="K27" s="2">
        <f>K5/'Output-Calculation-sheet'!K4*'Output-Calculation-sheet'!K13</f>
        <v>171.89490677747332</v>
      </c>
      <c r="L27" s="2">
        <f>L5/'Output-Calculation-sheet'!L4*'Output-Calculation-sheet'!L13</f>
        <v>145.19547581060485</v>
      </c>
      <c r="M27" s="2">
        <f>M5/'Output-Calculation-sheet'!M4*'Output-Calculation-sheet'!M13</f>
        <v>0</v>
      </c>
      <c r="N27" s="2">
        <f>N5/'Output-Calculation-sheet'!N4*'Output-Calculation-sheet'!N13</f>
        <v>278.68633088122652</v>
      </c>
      <c r="O27" s="2">
        <f>O5/'Output-Calculation-sheet'!O4*'Output-Calculation-sheet'!O13</f>
        <v>0</v>
      </c>
      <c r="P27" s="2">
        <f>P5/'Output-Calculation-sheet'!P4*'Output-Calculation-sheet'!P13</f>
        <v>170.25460187077002</v>
      </c>
      <c r="Q27" s="2">
        <f>Q5/'Output-Calculation-sheet'!Q4*'Output-Calculation-sheet'!Q13</f>
        <v>189.47473795616474</v>
      </c>
      <c r="R27" s="2">
        <f>R5/'Output-Calculation-sheet'!R4*'Output-Calculation-sheet'!R13</f>
        <v>128.09305084483944</v>
      </c>
      <c r="S27" s="2">
        <f>S5/'Output-Calculation-sheet'!S4*'Output-Calculation-sheet'!S13</f>
        <v>147.83866089292081</v>
      </c>
      <c r="T27" s="2">
        <f>T5/'Output-Calculation-sheet'!T4*'Output-Calculation-sheet'!T13</f>
        <v>38.824910069583346</v>
      </c>
      <c r="U27" s="2">
        <f>U5/'Output-Calculation-sheet'!U4*'Output-Calculation-sheet'!U13</f>
        <v>38.756890874304347</v>
      </c>
      <c r="V27" s="2">
        <f>V5/'Output-Calculation-sheet'!V4*'Output-Calculation-sheet'!V13</f>
        <v>30.163741540282189</v>
      </c>
      <c r="W27" s="2">
        <f>W5/'Output-Calculation-sheet'!W4*'Output-Calculation-sheet'!W13</f>
        <v>18.294724247388917</v>
      </c>
      <c r="X27" s="2">
        <f>X5/'Output-Calculation-sheet'!X4*'Output-Calculation-sheet'!X13</f>
        <v>0</v>
      </c>
      <c r="Y27" s="2">
        <f>Y5/'Output-Calculation-sheet'!Y4*'Output-Calculation-sheet'!Y13</f>
        <v>15.468317945121104</v>
      </c>
      <c r="AA27" s="2">
        <f t="shared" ref="AA27:AA34" si="1">SUM(B27:Y27)/1000</f>
        <v>5.2238734529977293</v>
      </c>
    </row>
    <row r="28" spans="1:27" x14ac:dyDescent="0.25">
      <c r="A28" s="2">
        <v>2029</v>
      </c>
      <c r="B28" s="2">
        <f>B6/'Output-Calculation-sheet'!B5*'Output-Calculation-sheet'!B14</f>
        <v>6212.843182130503</v>
      </c>
      <c r="C28" s="2">
        <f>C6/'Output-Calculation-sheet'!C5*'Output-Calculation-sheet'!C14</f>
        <v>0</v>
      </c>
      <c r="D28" s="2">
        <f>D6/'Output-Calculation-sheet'!D5*'Output-Calculation-sheet'!D14</f>
        <v>1109.7722278118511</v>
      </c>
      <c r="E28" s="2">
        <f>E6/'Output-Calculation-sheet'!E5*'Output-Calculation-sheet'!E14</f>
        <v>1194.0822533988289</v>
      </c>
      <c r="F28" s="2">
        <f>F6/'Output-Calculation-sheet'!F5*'Output-Calculation-sheet'!F14</f>
        <v>602.42085087638884</v>
      </c>
      <c r="G28" s="2">
        <f>G6/'Output-Calculation-sheet'!G5*'Output-Calculation-sheet'!G14</f>
        <v>394.51410682638539</v>
      </c>
      <c r="H28" s="2">
        <f>H6/'Output-Calculation-sheet'!H5*'Output-Calculation-sheet'!H14</f>
        <v>0</v>
      </c>
      <c r="I28" s="2">
        <f>I6/'Output-Calculation-sheet'!I5*'Output-Calculation-sheet'!I14</f>
        <v>384.60119009587874</v>
      </c>
      <c r="J28" s="2">
        <f>J6/'Output-Calculation-sheet'!J5*'Output-Calculation-sheet'!J14</f>
        <v>342.35207973187318</v>
      </c>
      <c r="K28" s="2">
        <f>K6/'Output-Calculation-sheet'!K5*'Output-Calculation-sheet'!K14</f>
        <v>457.10851296544973</v>
      </c>
      <c r="L28" s="2">
        <f>L6/'Output-Calculation-sheet'!L5*'Output-Calculation-sheet'!L14</f>
        <v>386.10851991685803</v>
      </c>
      <c r="M28" s="2">
        <f>M6/'Output-Calculation-sheet'!M5*'Output-Calculation-sheet'!M14</f>
        <v>0</v>
      </c>
      <c r="N28" s="2">
        <f>N6/'Output-Calculation-sheet'!N5*'Output-Calculation-sheet'!N14</f>
        <v>741.10485393629119</v>
      </c>
      <c r="O28" s="2">
        <f>O6/'Output-Calculation-sheet'!O5*'Output-Calculation-sheet'!O14</f>
        <v>0</v>
      </c>
      <c r="P28" s="2">
        <f>P6/'Output-Calculation-sheet'!P5*'Output-Calculation-sheet'!P14</f>
        <v>452.74656094040381</v>
      </c>
      <c r="Q28" s="2">
        <f>Q6/'Output-Calculation-sheet'!Q5*'Output-Calculation-sheet'!Q14</f>
        <v>503.86886662982977</v>
      </c>
      <c r="R28" s="2">
        <f>R6/'Output-Calculation-sheet'!R5*'Output-Calculation-sheet'!R14</f>
        <v>340.62919658632683</v>
      </c>
      <c r="S28" s="2">
        <f>S6/'Output-Calculation-sheet'!S5*'Output-Calculation-sheet'!S14</f>
        <v>393.14488501068331</v>
      </c>
      <c r="T28" s="2">
        <f>T6/'Output-Calculation-sheet'!T5*'Output-Calculation-sheet'!T14</f>
        <v>103.24446047083413</v>
      </c>
      <c r="U28" s="2">
        <f>U6/'Output-Calculation-sheet'!U5*'Output-Calculation-sheet'!U14</f>
        <v>103.05991361578518</v>
      </c>
      <c r="V28" s="2">
        <f>V6/'Output-Calculation-sheet'!V5*'Output-Calculation-sheet'!V14</f>
        <v>80.209571755682759</v>
      </c>
      <c r="W28" s="2">
        <f>W6/'Output-Calculation-sheet'!W5*'Output-Calculation-sheet'!W14</f>
        <v>48.652373412955463</v>
      </c>
      <c r="X28" s="2">
        <f>X6/'Output-Calculation-sheet'!X5*'Output-Calculation-sheet'!X14</f>
        <v>0</v>
      </c>
      <c r="Y28" s="2">
        <f>Y6/'Output-Calculation-sheet'!Y5*'Output-Calculation-sheet'!Y14</f>
        <v>41.13385292517404</v>
      </c>
      <c r="AA28" s="2">
        <f t="shared" si="1"/>
        <v>13.891597459037982</v>
      </c>
    </row>
    <row r="29" spans="1:27" x14ac:dyDescent="0.25">
      <c r="A29" s="2">
        <v>2030</v>
      </c>
      <c r="B29" s="2">
        <f>B7/'Output-Calculation-sheet'!B6*'Output-Calculation-sheet'!B15</f>
        <v>11616.730180549072</v>
      </c>
      <c r="C29" s="2">
        <f>C7/'Output-Calculation-sheet'!C6*'Output-Calculation-sheet'!C15</f>
        <v>0</v>
      </c>
      <c r="D29" s="2">
        <f>D7/'Output-Calculation-sheet'!D6*'Output-Calculation-sheet'!D15</f>
        <v>2032.1215168953299</v>
      </c>
      <c r="E29" s="2">
        <f>E7/'Output-Calculation-sheet'!E6*'Output-Calculation-sheet'!E15</f>
        <v>2186.4391918240967</v>
      </c>
      <c r="F29" s="2">
        <f>F7/'Output-Calculation-sheet'!F6*'Output-Calculation-sheet'!F15</f>
        <v>1103.1009034218368</v>
      </c>
      <c r="G29" s="2">
        <f>G7/'Output-Calculation-sheet'!G6*'Output-Calculation-sheet'!G15</f>
        <v>722.38891997434996</v>
      </c>
      <c r="H29" s="2">
        <f>H7/'Output-Calculation-sheet'!H6*'Output-Calculation-sheet'!H15</f>
        <v>0</v>
      </c>
      <c r="I29" s="2">
        <f>I7/'Output-Calculation-sheet'!I6*'Output-Calculation-sheet'!I15</f>
        <v>704.23752541877388</v>
      </c>
      <c r="J29" s="2">
        <f>J7/'Output-Calculation-sheet'!J6*'Output-Calculation-sheet'!J15</f>
        <v>626.88668865865975</v>
      </c>
      <c r="K29" s="2">
        <f>K7/'Output-Calculation-sheet'!K6*'Output-Calculation-sheet'!K15</f>
        <v>837.0262200790761</v>
      </c>
      <c r="L29" s="2">
        <f>L7/'Output-Calculation-sheet'!L6*'Output-Calculation-sheet'!L15</f>
        <v>707.01476024054239</v>
      </c>
      <c r="M29" s="2">
        <f>M7/'Output-Calculation-sheet'!M6*'Output-Calculation-sheet'!M15</f>
        <v>0</v>
      </c>
      <c r="N29" s="2">
        <f>N7/'Output-Calculation-sheet'!N6*'Output-Calculation-sheet'!N15</f>
        <v>912.18024565140388</v>
      </c>
      <c r="O29" s="2">
        <f>O7/'Output-Calculation-sheet'!O6*'Output-Calculation-sheet'!O15</f>
        <v>0</v>
      </c>
      <c r="P29" s="2">
        <f>P7/'Output-Calculation-sheet'!P6*'Output-Calculation-sheet'!P15</f>
        <v>829.01750158143022</v>
      </c>
      <c r="Q29" s="2">
        <f>Q7/'Output-Calculation-sheet'!Q6*'Output-Calculation-sheet'!Q15</f>
        <v>934.14147484604746</v>
      </c>
      <c r="R29" s="2">
        <f>R7/'Output-Calculation-sheet'!R6*'Output-Calculation-sheet'!R15</f>
        <v>623.72106136629043</v>
      </c>
      <c r="S29" s="2">
        <f>S7/'Output-Calculation-sheet'!S6*'Output-Calculation-sheet'!S15</f>
        <v>644.23786651817909</v>
      </c>
      <c r="T29" s="2">
        <f>T7/'Output-Calculation-sheet'!T6*'Output-Calculation-sheet'!T15</f>
        <v>189.0493977334049</v>
      </c>
      <c r="U29" s="2">
        <f>U7/'Output-Calculation-sheet'!U6*'Output-Calculation-sheet'!U15</f>
        <v>188.71371553813944</v>
      </c>
      <c r="V29" s="2">
        <f>V7/'Output-Calculation-sheet'!V6*'Output-Calculation-sheet'!V15</f>
        <v>146.87228154625217</v>
      </c>
      <c r="W29" s="2">
        <f>W7/'Output-Calculation-sheet'!W6*'Output-Calculation-sheet'!W15</f>
        <v>89.085143292634385</v>
      </c>
      <c r="X29" s="2">
        <f>X7/'Output-Calculation-sheet'!X6*'Output-Calculation-sheet'!X15</f>
        <v>0</v>
      </c>
      <c r="Y29" s="2">
        <f>Y7/'Output-Calculation-sheet'!Y6*'Output-Calculation-sheet'!Y15</f>
        <v>75.31958699280888</v>
      </c>
      <c r="AA29" s="2">
        <f t="shared" si="1"/>
        <v>25.168284182128328</v>
      </c>
    </row>
    <row r="30" spans="1:27" x14ac:dyDescent="0.25">
      <c r="A30" s="2">
        <v>2031</v>
      </c>
      <c r="B30" s="2">
        <f>B8/'Output-Calculation-sheet'!B7*'Output-Calculation-sheet'!B16</f>
        <v>18252.581646706643</v>
      </c>
      <c r="C30" s="2">
        <f>C8/'Output-Calculation-sheet'!C7*'Output-Calculation-sheet'!C16</f>
        <v>0</v>
      </c>
      <c r="D30" s="2">
        <f>D8/'Output-Calculation-sheet'!D7*'Output-Calculation-sheet'!D16</f>
        <v>3073.493456472047</v>
      </c>
      <c r="E30" s="2">
        <f>E8/'Output-Calculation-sheet'!E7*'Output-Calculation-sheet'!E16</f>
        <v>3306.9053133670977</v>
      </c>
      <c r="F30" s="2">
        <f>F8/'Output-Calculation-sheet'!F7*'Output-Calculation-sheet'!F16</f>
        <v>1668.3513275369583</v>
      </c>
      <c r="G30" s="2">
        <f>G8/'Output-Calculation-sheet'!G7*'Output-Calculation-sheet'!G16</f>
        <v>1092.5719667543706</v>
      </c>
      <c r="H30" s="2">
        <f>H8/'Output-Calculation-sheet'!H7*'Output-Calculation-sheet'!H16</f>
        <v>0</v>
      </c>
      <c r="I30" s="2">
        <f>I8/'Output-Calculation-sheet'!I7*'Output-Calculation-sheet'!I16</f>
        <v>1065.0940753551811</v>
      </c>
      <c r="J30" s="2">
        <f>J8/'Output-Calculation-sheet'!J7*'Output-Calculation-sheet'!J16</f>
        <v>948.13852741278652</v>
      </c>
      <c r="K30" s="2">
        <f>K8/'Output-Calculation-sheet'!K7*'Output-Calculation-sheet'!K16</f>
        <v>1265.9461611124664</v>
      </c>
      <c r="L30" s="2">
        <f>L8/'Output-Calculation-sheet'!L7*'Output-Calculation-sheet'!L16</f>
        <v>1069.3129305292755</v>
      </c>
      <c r="M30" s="2">
        <f>M8/'Output-Calculation-sheet'!M7*'Output-Calculation-sheet'!M16</f>
        <v>0</v>
      </c>
      <c r="N30" s="2">
        <f>N8/'Output-Calculation-sheet'!N7*'Output-Calculation-sheet'!N16</f>
        <v>1518.8689295154354</v>
      </c>
      <c r="O30" s="2">
        <f>O8/'Output-Calculation-sheet'!O7*'Output-Calculation-sheet'!O16</f>
        <v>0</v>
      </c>
      <c r="P30" s="2">
        <f>P8/'Output-Calculation-sheet'!P7*'Output-Calculation-sheet'!P16</f>
        <v>1365.1095557789381</v>
      </c>
      <c r="Q30" s="2">
        <f>Q8/'Output-Calculation-sheet'!Q7*'Output-Calculation-sheet'!Q16</f>
        <v>1501.1696705003399</v>
      </c>
      <c r="R30" s="2">
        <f>R8/'Output-Calculation-sheet'!R7*'Output-Calculation-sheet'!R16</f>
        <v>952.49868059251207</v>
      </c>
      <c r="S30" s="2">
        <f>S8/'Output-Calculation-sheet'!S7*'Output-Calculation-sheet'!S16</f>
        <v>957.93436899190056</v>
      </c>
      <c r="T30" s="2">
        <f>T8/'Output-Calculation-sheet'!T7*'Output-Calculation-sheet'!T16</f>
        <v>285.92641246857642</v>
      </c>
      <c r="U30" s="2">
        <f>U8/'Output-Calculation-sheet'!U7*'Output-Calculation-sheet'!U16</f>
        <v>285.4153262567267</v>
      </c>
      <c r="V30" s="2">
        <f>V8/'Output-Calculation-sheet'!V7*'Output-Calculation-sheet'!V16</f>
        <v>222.13332311637134</v>
      </c>
      <c r="W30" s="2">
        <f>W8/'Output-Calculation-sheet'!W7*'Output-Calculation-sheet'!W16</f>
        <v>134.73505877420587</v>
      </c>
      <c r="X30" s="2">
        <f>X8/'Output-Calculation-sheet'!X7*'Output-Calculation-sheet'!X16</f>
        <v>0</v>
      </c>
      <c r="Y30" s="2">
        <f>Y8/'Output-Calculation-sheet'!Y7*'Output-Calculation-sheet'!Y16</f>
        <v>114.03790958097676</v>
      </c>
      <c r="AA30" s="2">
        <f t="shared" si="1"/>
        <v>39.080224640822806</v>
      </c>
    </row>
    <row r="31" spans="1:27" x14ac:dyDescent="0.25">
      <c r="A31" s="2">
        <v>2032</v>
      </c>
      <c r="B31" s="2">
        <f>B9/'Output-Calculation-sheet'!B8*'Output-Calculation-sheet'!B17</f>
        <v>23820.910378757246</v>
      </c>
      <c r="C31" s="2">
        <f>C9/'Output-Calculation-sheet'!C8*'Output-Calculation-sheet'!C17</f>
        <v>0</v>
      </c>
      <c r="D31" s="2">
        <f>D9/'Output-Calculation-sheet'!D8*'Output-Calculation-sheet'!D17</f>
        <v>3995.0794304837932</v>
      </c>
      <c r="E31" s="2">
        <f>E9/'Output-Calculation-sheet'!E8*'Output-Calculation-sheet'!E17</f>
        <v>4695.6700299701397</v>
      </c>
      <c r="F31" s="2">
        <f>F9/'Output-Calculation-sheet'!F8*'Output-Calculation-sheet'!F17</f>
        <v>2168.658731288846</v>
      </c>
      <c r="G31" s="2">
        <f>G9/'Output-Calculation-sheet'!G8*'Output-Calculation-sheet'!G17</f>
        <v>1420.2007359673466</v>
      </c>
      <c r="H31" s="2">
        <f>H9/'Output-Calculation-sheet'!H8*'Output-Calculation-sheet'!H17</f>
        <v>0</v>
      </c>
      <c r="I31" s="2">
        <f>I9/'Output-Calculation-sheet'!I8*'Output-Calculation-sheet'!I17</f>
        <v>1384.4895539035672</v>
      </c>
      <c r="J31" s="2">
        <f>J9/'Output-Calculation-sheet'!J8*'Output-Calculation-sheet'!J17</f>
        <v>1232.4625630093094</v>
      </c>
      <c r="K31" s="2">
        <f>K9/'Output-Calculation-sheet'!K8*'Output-Calculation-sheet'!K17</f>
        <v>1754.6994531081657</v>
      </c>
      <c r="L31" s="2">
        <f>L9/'Output-Calculation-sheet'!L8*'Output-Calculation-sheet'!L17</f>
        <v>1496.4501651365181</v>
      </c>
      <c r="M31" s="2">
        <f>M9/'Output-Calculation-sheet'!M8*'Output-Calculation-sheet'!M17</f>
        <v>0</v>
      </c>
      <c r="N31" s="2">
        <f>N9/'Output-Calculation-sheet'!N8*'Output-Calculation-sheet'!N17</f>
        <v>1626.7943803752692</v>
      </c>
      <c r="O31" s="2">
        <f>O9/'Output-Calculation-sheet'!O8*'Output-Calculation-sheet'!O17</f>
        <v>0</v>
      </c>
      <c r="P31" s="2">
        <f>P9/'Output-Calculation-sheet'!P8*'Output-Calculation-sheet'!P17</f>
        <v>2019.1043225361034</v>
      </c>
      <c r="Q31" s="2">
        <f>Q9/'Output-Calculation-sheet'!Q8*'Output-Calculation-sheet'!Q17</f>
        <v>2152.5507169694793</v>
      </c>
      <c r="R31" s="2">
        <f>R9/'Output-Calculation-sheet'!R8*'Output-Calculation-sheet'!R17</f>
        <v>1408.312440027898</v>
      </c>
      <c r="S31" s="2">
        <f>S9/'Output-Calculation-sheet'!S8*'Output-Calculation-sheet'!S17</f>
        <v>1211.7903568082518</v>
      </c>
      <c r="T31" s="2">
        <f>T9/'Output-Calculation-sheet'!T8*'Output-Calculation-sheet'!T17</f>
        <v>382.15586983512566</v>
      </c>
      <c r="U31" s="2">
        <f>U9/'Output-Calculation-sheet'!U8*'Output-Calculation-sheet'!U17</f>
        <v>439.21892632867451</v>
      </c>
      <c r="V31" s="2">
        <f>V9/'Output-Calculation-sheet'!V8*'Output-Calculation-sheet'!V17</f>
        <v>314.59167646759425</v>
      </c>
      <c r="W31" s="2">
        <f>W9/'Output-Calculation-sheet'!W8*'Output-Calculation-sheet'!W17</f>
        <v>175.1406088527884</v>
      </c>
      <c r="X31" s="2">
        <f>X9/'Output-Calculation-sheet'!X8*'Output-Calculation-sheet'!X17</f>
        <v>0</v>
      </c>
      <c r="Y31" s="2">
        <f>Y9/'Output-Calculation-sheet'!Y8*'Output-Calculation-sheet'!Y17</f>
        <v>169.22377281223285</v>
      </c>
      <c r="AA31" s="2">
        <f t="shared" si="1"/>
        <v>51.867504112638358</v>
      </c>
    </row>
    <row r="32" spans="1:27" x14ac:dyDescent="0.25">
      <c r="A32" s="2">
        <v>2033</v>
      </c>
      <c r="B32" s="2">
        <f>B10/'Output-Calculation-sheet'!B9*'Output-Calculation-sheet'!B18</f>
        <v>25128.675005369598</v>
      </c>
      <c r="C32" s="2">
        <f>C10/'Output-Calculation-sheet'!C9*'Output-Calculation-sheet'!C18</f>
        <v>0</v>
      </c>
      <c r="D32" s="2">
        <f>D10/'Output-Calculation-sheet'!D9*'Output-Calculation-sheet'!D18</f>
        <v>4827.1344590878243</v>
      </c>
      <c r="E32" s="2">
        <f>E10/'Output-Calculation-sheet'!E9*'Output-Calculation-sheet'!E18</f>
        <v>6743.2611763420664</v>
      </c>
      <c r="F32" s="2">
        <f>F10/'Output-Calculation-sheet'!F9*'Output-Calculation-sheet'!F18</f>
        <v>2722.1601453410995</v>
      </c>
      <c r="G32" s="2">
        <f>G10/'Output-Calculation-sheet'!G9*'Output-Calculation-sheet'!G18</f>
        <v>1698.2035457478946</v>
      </c>
      <c r="H32" s="2">
        <f>H10/'Output-Calculation-sheet'!H9*'Output-Calculation-sheet'!H18</f>
        <v>0</v>
      </c>
      <c r="I32" s="2">
        <f>I10/'Output-Calculation-sheet'!I9*'Output-Calculation-sheet'!I18</f>
        <v>1792.904172315305</v>
      </c>
      <c r="J32" s="2">
        <f>J10/'Output-Calculation-sheet'!J9*'Output-Calculation-sheet'!J18</f>
        <v>1439.0428051399194</v>
      </c>
      <c r="K32" s="2">
        <f>K10/'Output-Calculation-sheet'!K9*'Output-Calculation-sheet'!K18</f>
        <v>2395.1098559000557</v>
      </c>
      <c r="L32" s="2">
        <f>L10/'Output-Calculation-sheet'!L9*'Output-Calculation-sheet'!L18</f>
        <v>2068.9837886087757</v>
      </c>
      <c r="M32" s="2">
        <f>M10/'Output-Calculation-sheet'!M9*'Output-Calculation-sheet'!M18</f>
        <v>0</v>
      </c>
      <c r="N32" s="2">
        <f>N10/'Output-Calculation-sheet'!N9*'Output-Calculation-sheet'!N18</f>
        <v>1531.2542439364431</v>
      </c>
      <c r="O32" s="2">
        <f>O10/'Output-Calculation-sheet'!O9*'Output-Calculation-sheet'!O18</f>
        <v>0</v>
      </c>
      <c r="P32" s="2">
        <f>P10/'Output-Calculation-sheet'!P9*'Output-Calculation-sheet'!P18</f>
        <v>2465.2927738585295</v>
      </c>
      <c r="Q32" s="2">
        <f>Q10/'Output-Calculation-sheet'!Q9*'Output-Calculation-sheet'!Q18</f>
        <v>2683.5403027588168</v>
      </c>
      <c r="R32" s="2">
        <f>R10/'Output-Calculation-sheet'!R9*'Output-Calculation-sheet'!R18</f>
        <v>1770.2082509906236</v>
      </c>
      <c r="S32" s="2">
        <f>S10/'Output-Calculation-sheet'!S9*'Output-Calculation-sheet'!S18</f>
        <v>1161.6209461746917</v>
      </c>
      <c r="T32" s="2">
        <f>T10/'Output-Calculation-sheet'!T9*'Output-Calculation-sheet'!T18</f>
        <v>516.71145756639237</v>
      </c>
      <c r="U32" s="2">
        <f>U10/'Output-Calculation-sheet'!U9*'Output-Calculation-sheet'!U18</f>
        <v>571.47698844356592</v>
      </c>
      <c r="V32" s="2">
        <f>V10/'Output-Calculation-sheet'!V9*'Output-Calculation-sheet'!V18</f>
        <v>422.02332181073353</v>
      </c>
      <c r="W32" s="2">
        <f>W10/'Output-Calculation-sheet'!W9*'Output-Calculation-sheet'!W18</f>
        <v>210.51731367744816</v>
      </c>
      <c r="X32" s="2">
        <f>X10/'Output-Calculation-sheet'!X9*'Output-Calculation-sheet'!X18</f>
        <v>0</v>
      </c>
      <c r="Y32" s="2">
        <f>Y10/'Output-Calculation-sheet'!Y9*'Output-Calculation-sheet'!Y18</f>
        <v>244.47495636182654</v>
      </c>
      <c r="AA32" s="2">
        <f t="shared" si="1"/>
        <v>60.392595509431601</v>
      </c>
    </row>
    <row r="33" spans="1:27" x14ac:dyDescent="0.25">
      <c r="A33" s="2">
        <v>2034</v>
      </c>
      <c r="B33" s="2">
        <f>B11/'Output-Calculation-sheet'!B10*'Output-Calculation-sheet'!B19</f>
        <v>21713.932572737165</v>
      </c>
      <c r="C33" s="2">
        <f>C11/'Output-Calculation-sheet'!C10*'Output-Calculation-sheet'!C19</f>
        <v>0</v>
      </c>
      <c r="D33" s="2">
        <f>D11/'Output-Calculation-sheet'!D10*'Output-Calculation-sheet'!D19</f>
        <v>6477.0275927694274</v>
      </c>
      <c r="E33" s="2">
        <f>E11/'Output-Calculation-sheet'!E10*'Output-Calculation-sheet'!E19</f>
        <v>8022.231778726411</v>
      </c>
      <c r="F33" s="2">
        <f>F11/'Output-Calculation-sheet'!F10*'Output-Calculation-sheet'!F19</f>
        <v>3681.1737192262835</v>
      </c>
      <c r="G33" s="2">
        <f>G11/'Output-Calculation-sheet'!G10*'Output-Calculation-sheet'!G19</f>
        <v>2204.7189341544345</v>
      </c>
      <c r="H33" s="2">
        <f>H11/'Output-Calculation-sheet'!H10*'Output-Calculation-sheet'!H19</f>
        <v>0</v>
      </c>
      <c r="I33" s="2">
        <f>I11/'Output-Calculation-sheet'!I10*'Output-Calculation-sheet'!I19</f>
        <v>2405.6575303421123</v>
      </c>
      <c r="J33" s="2">
        <f>J11/'Output-Calculation-sheet'!J10*'Output-Calculation-sheet'!J19</f>
        <v>2034.1384638039237</v>
      </c>
      <c r="K33" s="2">
        <f>K11/'Output-Calculation-sheet'!K10*'Output-Calculation-sheet'!K19</f>
        <v>2822.6606562200677</v>
      </c>
      <c r="L33" s="2">
        <f>L11/'Output-Calculation-sheet'!L10*'Output-Calculation-sheet'!L19</f>
        <v>2295.4955393373766</v>
      </c>
      <c r="M33" s="2">
        <f>M11/'Output-Calculation-sheet'!M10*'Output-Calculation-sheet'!M19</f>
        <v>0</v>
      </c>
      <c r="N33" s="2">
        <f>N11/'Output-Calculation-sheet'!N10*'Output-Calculation-sheet'!N19</f>
        <v>1298.0051871707446</v>
      </c>
      <c r="O33" s="2">
        <f>O11/'Output-Calculation-sheet'!O10*'Output-Calculation-sheet'!O19</f>
        <v>0</v>
      </c>
      <c r="P33" s="2">
        <f>P11/'Output-Calculation-sheet'!P10*'Output-Calculation-sheet'!P19</f>
        <v>2856.0346626925129</v>
      </c>
      <c r="Q33" s="2">
        <f>Q11/'Output-Calculation-sheet'!Q10*'Output-Calculation-sheet'!Q19</f>
        <v>2351.9145608934282</v>
      </c>
      <c r="R33" s="2">
        <f>R11/'Output-Calculation-sheet'!R10*'Output-Calculation-sheet'!R19</f>
        <v>2039.1627152481117</v>
      </c>
      <c r="S33" s="2">
        <f>S11/'Output-Calculation-sheet'!S10*'Output-Calculation-sheet'!S19</f>
        <v>950.58585793091765</v>
      </c>
      <c r="T33" s="2">
        <f>T11/'Output-Calculation-sheet'!T10*'Output-Calculation-sheet'!T19</f>
        <v>598.34945339047408</v>
      </c>
      <c r="U33" s="2">
        <f>U11/'Output-Calculation-sheet'!U10*'Output-Calculation-sheet'!U19</f>
        <v>688.64867693188944</v>
      </c>
      <c r="V33" s="2">
        <f>V11/'Output-Calculation-sheet'!V10*'Output-Calculation-sheet'!V19</f>
        <v>469.2227513207003</v>
      </c>
      <c r="W33" s="2">
        <f>W11/'Output-Calculation-sheet'!W10*'Output-Calculation-sheet'!W19</f>
        <v>292.61368360015911</v>
      </c>
      <c r="X33" s="2">
        <f>X11/'Output-Calculation-sheet'!X10*'Output-Calculation-sheet'!X19</f>
        <v>84.609093298465538</v>
      </c>
      <c r="Y33" s="2">
        <f>Y11/'Output-Calculation-sheet'!Y10*'Output-Calculation-sheet'!Y19</f>
        <v>263.34169580810607</v>
      </c>
      <c r="AA33" s="2">
        <f t="shared" si="1"/>
        <v>63.54952512560272</v>
      </c>
    </row>
    <row r="34" spans="1:27" x14ac:dyDescent="0.25">
      <c r="A34" s="2">
        <v>2035</v>
      </c>
      <c r="B34" s="2">
        <f>B12/'Output-Calculation-sheet'!B11*'Output-Calculation-sheet'!B20</f>
        <v>17736.415383174135</v>
      </c>
      <c r="C34" s="2">
        <f>C12/'Output-Calculation-sheet'!C11*'Output-Calculation-sheet'!C20</f>
        <v>0</v>
      </c>
      <c r="D34" s="2">
        <f>D12/'Output-Calculation-sheet'!D11*'Output-Calculation-sheet'!D20</f>
        <v>5566.2280463078578</v>
      </c>
      <c r="E34" s="2">
        <f>E12/'Output-Calculation-sheet'!E11*'Output-Calculation-sheet'!E20</f>
        <v>6081.9220660719757</v>
      </c>
      <c r="F34" s="2">
        <f>F12/'Output-Calculation-sheet'!F11*'Output-Calculation-sheet'!F20</f>
        <v>3831.896092298749</v>
      </c>
      <c r="G34" s="2">
        <f>G12/'Output-Calculation-sheet'!G11*'Output-Calculation-sheet'!G20</f>
        <v>2047.6515047659702</v>
      </c>
      <c r="H34" s="2">
        <f>H12/'Output-Calculation-sheet'!H11*'Output-Calculation-sheet'!H20</f>
        <v>0</v>
      </c>
      <c r="I34" s="2">
        <f>I12/'Output-Calculation-sheet'!I11*'Output-Calculation-sheet'!I20</f>
        <v>2225.5183590485231</v>
      </c>
      <c r="J34" s="2">
        <f>J12/'Output-Calculation-sheet'!J11*'Output-Calculation-sheet'!J20</f>
        <v>1910.6094330312917</v>
      </c>
      <c r="K34" s="2">
        <f>K12/'Output-Calculation-sheet'!K11*'Output-Calculation-sheet'!K20</f>
        <v>2511.9862123837906</v>
      </c>
      <c r="L34" s="2">
        <f>L12/'Output-Calculation-sheet'!L11*'Output-Calculation-sheet'!L20</f>
        <v>1985.2629390401391</v>
      </c>
      <c r="M34" s="2">
        <f>M12/'Output-Calculation-sheet'!M11*'Output-Calculation-sheet'!M20</f>
        <v>0</v>
      </c>
      <c r="N34" s="2">
        <f>N12/'Output-Calculation-sheet'!N11*'Output-Calculation-sheet'!N20</f>
        <v>1104.799152058858</v>
      </c>
      <c r="O34" s="2">
        <f>O12/'Output-Calculation-sheet'!O11*'Output-Calculation-sheet'!O20</f>
        <v>0</v>
      </c>
      <c r="P34" s="2">
        <f>P12/'Output-Calculation-sheet'!P11*'Output-Calculation-sheet'!P20</f>
        <v>2469.0242958932527</v>
      </c>
      <c r="Q34" s="2">
        <f>Q12/'Output-Calculation-sheet'!Q11*'Output-Calculation-sheet'!Q20</f>
        <v>1953.6658714410992</v>
      </c>
      <c r="R34" s="2">
        <f>R12/'Output-Calculation-sheet'!R11*'Output-Calculation-sheet'!R20</f>
        <v>1960.8946064513195</v>
      </c>
      <c r="S34" s="2">
        <f>S12/'Output-Calculation-sheet'!S11*'Output-Calculation-sheet'!S20</f>
        <v>749.01415957937763</v>
      </c>
      <c r="T34" s="2">
        <f>T12/'Output-Calculation-sheet'!T11*'Output-Calculation-sheet'!T20</f>
        <v>616.05251185203986</v>
      </c>
      <c r="U34" s="2">
        <f>U12/'Output-Calculation-sheet'!U11*'Output-Calculation-sheet'!U20</f>
        <v>562.05245316998548</v>
      </c>
      <c r="V34" s="2">
        <f>V12/'Output-Calculation-sheet'!V11*'Output-Calculation-sheet'!V20</f>
        <v>516.30278836249602</v>
      </c>
      <c r="W34" s="2">
        <f>W12/'Output-Calculation-sheet'!W11*'Output-Calculation-sheet'!W20</f>
        <v>332.17098173452399</v>
      </c>
      <c r="X34" s="2">
        <f>X12/'Output-Calculation-sheet'!X11*'Output-Calculation-sheet'!X20</f>
        <v>67.133005157301469</v>
      </c>
      <c r="Y34" s="2">
        <f>Y12/'Output-Calculation-sheet'!Y11*'Output-Calculation-sheet'!Y20</f>
        <v>186.19438396784881</v>
      </c>
      <c r="AA34" s="2">
        <f t="shared" si="1"/>
        <v>54.414794245790539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0.87710993856598318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0.17039886480802641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1.0475088033740096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0.9949340003784265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0.38657782056505235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1.3815118209434789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1.0346273143169866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0.60300076002067449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1.6376280743376612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1.0067200095688771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0.58673584439320725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1.5934558539620842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1.8387581239971267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0.28301350850550894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0.19474098830928907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0.71444247342108069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0.16769444284445123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2.1363566493222599E-2</v>
      </c>
      <c r="Y44" s="2">
        <f>Y11/'Output-Calculation-sheet'!Y10*'Output-Calculation-sheet'!Y37*0.0114</f>
        <v>0</v>
      </c>
      <c r="AA44" s="2">
        <f t="shared" si="2"/>
        <v>3.2200131035706789</v>
      </c>
    </row>
    <row r="45" spans="1:27" x14ac:dyDescent="0.25">
      <c r="A45" s="2">
        <v>2035</v>
      </c>
      <c r="B45" s="2">
        <f>B12/'Output-Calculation-sheet'!B11*'Output-Calculation-sheet'!B38*0.0114</f>
        <v>1.6577720005918366</v>
      </c>
      <c r="C45" s="2">
        <f>C12/'Output-Calculation-sheet'!C11*'Output-Calculation-sheet'!C38*0.0114</f>
        <v>1.5736311312192581</v>
      </c>
      <c r="D45" s="2">
        <f>D12/'Output-Calculation-sheet'!D11*'Output-Calculation-sheet'!D38*0.0114</f>
        <v>0.69698600346993234</v>
      </c>
      <c r="E45" s="2">
        <f>E12/'Output-Calculation-sheet'!E11*'Output-Calculation-sheet'!E38*0.0114</f>
        <v>0.55391796399473137</v>
      </c>
      <c r="F45" s="2">
        <f>F12/'Output-Calculation-sheet'!F11*'Output-Calculation-sheet'!F38*0.0114</f>
        <v>0.34837641517964257</v>
      </c>
      <c r="G45" s="2">
        <f>G12/'Output-Calculation-sheet'!G11*'Output-Calculation-sheet'!G38*0.0114</f>
        <v>0.25002385452992654</v>
      </c>
      <c r="H45" s="2">
        <f>H12/'Output-Calculation-sheet'!H11*'Output-Calculation-sheet'!H38*0.0114</f>
        <v>0.24220633574780662</v>
      </c>
      <c r="I45" s="2">
        <f>I12/'Output-Calculation-sheet'!I11*'Output-Calculation-sheet'!I38*0.0114</f>
        <v>0.22488152964618691</v>
      </c>
      <c r="J45" s="2">
        <f>J12/'Output-Calculation-sheet'!J11*'Output-Calculation-sheet'!J38*0.0114</f>
        <v>0.22255888190542911</v>
      </c>
      <c r="K45" s="2">
        <f>K12/'Output-Calculation-sheet'!K11*'Output-Calculation-sheet'!K38*0.0114</f>
        <v>0.22102314548157834</v>
      </c>
      <c r="L45" s="2">
        <f>L12/'Output-Calculation-sheet'!L11*'Output-Calculation-sheet'!L38*0.0114</f>
        <v>0.17574701423446595</v>
      </c>
      <c r="M45" s="2">
        <f>M12/'Output-Calculation-sheet'!M11*'Output-Calculation-sheet'!M38*0.0114</f>
        <v>0.16666166024149773</v>
      </c>
      <c r="N45" s="2">
        <f>N12/'Output-Calculation-sheet'!N11*'Output-Calculation-sheet'!N38*0.0114</f>
        <v>0.16380166905281549</v>
      </c>
      <c r="O45" s="2">
        <f>O12/'Output-Calculation-sheet'!O11*'Output-Calculation-sheet'!O38*0.0114</f>
        <v>0.61142838906769481</v>
      </c>
      <c r="P45" s="2">
        <f>P12/'Output-Calculation-sheet'!P11*'Output-Calculation-sheet'!P38*0.0114</f>
        <v>0.15132322772604545</v>
      </c>
      <c r="Q45" s="2">
        <f>Q12/'Output-Calculation-sheet'!Q11*'Output-Calculation-sheet'!Q38*0.0114</f>
        <v>0.14351490408039624</v>
      </c>
      <c r="R45" s="2">
        <f>R12/'Output-Calculation-sheet'!R11*'Output-Calculation-sheet'!R38*0.0114</f>
        <v>0.14232178746495175</v>
      </c>
      <c r="S45" s="2">
        <f>S12/'Output-Calculation-sheet'!S11*'Output-Calculation-sheet'!S38*0.0114</f>
        <v>9.3896516519000911E-2</v>
      </c>
      <c r="T45" s="2">
        <f>T12/'Output-Calculation-sheet'!T11*'Output-Calculation-sheet'!T38*0.0114</f>
        <v>5.2654060842054692E-2</v>
      </c>
      <c r="U45" s="2">
        <f>U12/'Output-Calculation-sheet'!U11*'Output-Calculation-sheet'!U38*0.0114</f>
        <v>4.5790023341226574E-2</v>
      </c>
      <c r="V45" s="2">
        <f>V12/'Output-Calculation-sheet'!V11*'Output-Calculation-sheet'!V38*0.0114</f>
        <v>3.5308260921375977E-2</v>
      </c>
      <c r="W45" s="2">
        <f>W12/'Output-Calculation-sheet'!W11*'Output-Calculation-sheet'!W38*0.0114</f>
        <v>3.0574298704713399E-2</v>
      </c>
      <c r="X45" s="2">
        <f>X12/'Output-Calculation-sheet'!X11*'Output-Calculation-sheet'!X38*0.0114</f>
        <v>1.828319498299617E-2</v>
      </c>
      <c r="Y45" s="2">
        <f>Y12/'Output-Calculation-sheet'!Y11*'Output-Calculation-sheet'!Y38*0.0114</f>
        <v>1.7643622270341851E-2</v>
      </c>
      <c r="AA45" s="2">
        <f t="shared" si="2"/>
        <v>7.8403258912159046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8001.704702707214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1752.6429767627296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1238.5841948653988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175.20819045408629</v>
      </c>
      <c r="Y51" s="2">
        <f>Y7/'Output-Calculation-sheet'!Y6*'Output-Calculation-sheet'!Y42</f>
        <v>0</v>
      </c>
      <c r="AA51" s="2">
        <f t="shared" si="3"/>
        <v>11.16814006478943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20422.329481451914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6662.7521547247316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4547.6526840305487</v>
      </c>
      <c r="N52" s="2">
        <f>N8/'Output-Calculation-sheet'!N7*'Output-Calculation-sheet'!N43</f>
        <v>145.35326374615391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588.12083736490115</v>
      </c>
      <c r="Y52" s="2">
        <f>Y8/'Output-Calculation-sheet'!Y7*'Output-Calculation-sheet'!Y43</f>
        <v>0</v>
      </c>
      <c r="AA52" s="2">
        <f t="shared" si="3"/>
        <v>32.366208421318248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44380.066377281262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12264.678406429102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8381.6271645775923</v>
      </c>
      <c r="N53" s="2">
        <f>N9/'Output-Calculation-sheet'!N8*'Output-Calculation-sheet'!N44</f>
        <v>2985.25582861166</v>
      </c>
      <c r="O53" s="2">
        <f>O9/'Output-Calculation-sheet'!O8*'Output-Calculation-sheet'!O44</f>
        <v>0</v>
      </c>
      <c r="P53" s="2">
        <f>P9/'Output-Calculation-sheet'!P8*'Output-Calculation-sheet'!P44</f>
        <v>139.63739187815059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931.43826862858884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1048.1287286426027</v>
      </c>
      <c r="Y53" s="2">
        <f>Y9/'Output-Calculation-sheet'!Y8*'Output-Calculation-sheet'!Y44</f>
        <v>0</v>
      </c>
      <c r="AA53" s="2">
        <f t="shared" si="3"/>
        <v>70.130832166048961</v>
      </c>
    </row>
    <row r="54" spans="1:27" x14ac:dyDescent="0.25">
      <c r="A54" s="2">
        <v>2033</v>
      </c>
      <c r="B54" s="2">
        <f>B10/'Output-Calculation-sheet'!B9*'Output-Calculation-sheet'!B45</f>
        <v>23815.82751367809</v>
      </c>
      <c r="C54" s="2">
        <f>C10/'Output-Calculation-sheet'!C9*'Output-Calculation-sheet'!C45</f>
        <v>54574.821571365435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17261.961002135511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223.26012887593606</v>
      </c>
      <c r="L54" s="2">
        <f>L10/'Output-Calculation-sheet'!L9*'Output-Calculation-sheet'!L45</f>
        <v>0</v>
      </c>
      <c r="M54" s="2">
        <f>M10/'Output-Calculation-sheet'!M9*'Output-Calculation-sheet'!M45</f>
        <v>11840.507582616276</v>
      </c>
      <c r="N54" s="2">
        <f>N10/'Output-Calculation-sheet'!N9*'Output-Calculation-sheet'!N45</f>
        <v>6636.7648612822031</v>
      </c>
      <c r="O54" s="2">
        <f>O10/'Output-Calculation-sheet'!O9*'Output-Calculation-sheet'!O45</f>
        <v>0</v>
      </c>
      <c r="P54" s="2">
        <f>P10/'Output-Calculation-sheet'!P9*'Output-Calculation-sheet'!P45</f>
        <v>1800.2895803038416</v>
      </c>
      <c r="Q54" s="2">
        <f>Q10/'Output-Calculation-sheet'!Q9*'Output-Calculation-sheet'!Q45</f>
        <v>708.72962702361281</v>
      </c>
      <c r="R54" s="2">
        <f>R10/'Output-Calculation-sheet'!R9*'Output-Calculation-sheet'!R45</f>
        <v>1182.0450146931189</v>
      </c>
      <c r="S54" s="2">
        <f>S10/'Output-Calculation-sheet'!S9*'Output-Calculation-sheet'!S45</f>
        <v>2824.328321583087</v>
      </c>
      <c r="T54" s="2">
        <f>T10/'Output-Calculation-sheet'!T9*'Output-Calculation-sheet'!T45</f>
        <v>59.096638367517855</v>
      </c>
      <c r="U54" s="2">
        <f>U10/'Output-Calculation-sheet'!U9*'Output-Calculation-sheet'!U45</f>
        <v>426.55974065015533</v>
      </c>
      <c r="V54" s="2">
        <f>V10/'Output-Calculation-sheet'!V9*'Output-Calculation-sheet'!V45</f>
        <v>31.702770782533154</v>
      </c>
      <c r="W54" s="2">
        <f>W10/'Output-Calculation-sheet'!W9*'Output-Calculation-sheet'!W45</f>
        <v>0</v>
      </c>
      <c r="X54" s="2">
        <f>X10/'Output-Calculation-sheet'!X9*'Output-Calculation-sheet'!X45</f>
        <v>1360.493670620612</v>
      </c>
      <c r="Y54" s="2">
        <f>Y10/'Output-Calculation-sheet'!Y9*'Output-Calculation-sheet'!Y45</f>
        <v>13.861706460814581</v>
      </c>
      <c r="AA54" s="2">
        <f t="shared" si="3"/>
        <v>122.76024973043873</v>
      </c>
    </row>
    <row r="55" spans="1:27" x14ac:dyDescent="0.25">
      <c r="A55" s="2">
        <v>2034</v>
      </c>
      <c r="B55" s="2">
        <f>B11/'Output-Calculation-sheet'!B10*'Output-Calculation-sheet'!B46</f>
        <v>61850.469179719294</v>
      </c>
      <c r="C55" s="2">
        <f>C11/'Output-Calculation-sheet'!C10*'Output-Calculation-sheet'!C46</f>
        <v>50888.437554481883</v>
      </c>
      <c r="D55" s="2">
        <f>D11/'Output-Calculation-sheet'!D10*'Output-Calculation-sheet'!D46</f>
        <v>5715.1924404565671</v>
      </c>
      <c r="E55" s="2">
        <f>E11/'Output-Calculation-sheet'!E10*'Output-Calculation-sheet'!E46</f>
        <v>7040.1830227257124</v>
      </c>
      <c r="F55" s="2">
        <f>F11/'Output-Calculation-sheet'!F10*'Output-Calculation-sheet'!F46</f>
        <v>214.24801694966294</v>
      </c>
      <c r="G55" s="2">
        <f>G11/'Output-Calculation-sheet'!G10*'Output-Calculation-sheet'!G46</f>
        <v>2537.0758735954364</v>
      </c>
      <c r="H55" s="2">
        <f>H11/'Output-Calculation-sheet'!H10*'Output-Calculation-sheet'!H46</f>
        <v>18346.226560137817</v>
      </c>
      <c r="I55" s="2">
        <f>I11/'Output-Calculation-sheet'!I10*'Output-Calculation-sheet'!I46</f>
        <v>1382.9989538889374</v>
      </c>
      <c r="J55" s="2">
        <f>J11/'Output-Calculation-sheet'!J10*'Output-Calculation-sheet'!J46</f>
        <v>1003.7242616056145</v>
      </c>
      <c r="K55" s="2">
        <f>K11/'Output-Calculation-sheet'!K10*'Output-Calculation-sheet'!K46</f>
        <v>2695.8860484300303</v>
      </c>
      <c r="L55" s="2">
        <f>L11/'Output-Calculation-sheet'!L10*'Output-Calculation-sheet'!L46</f>
        <v>990.75770747512911</v>
      </c>
      <c r="M55" s="2">
        <f>M11/'Output-Calculation-sheet'!M10*'Output-Calculation-sheet'!M46</f>
        <v>12965.650011118456</v>
      </c>
      <c r="N55" s="2">
        <f>N11/'Output-Calculation-sheet'!N10*'Output-Calculation-sheet'!N46</f>
        <v>9888.9557144981773</v>
      </c>
      <c r="O55" s="2">
        <f>O11/'Output-Calculation-sheet'!O10*'Output-Calculation-sheet'!O46</f>
        <v>219.34637341875282</v>
      </c>
      <c r="P55" s="2">
        <f>P11/'Output-Calculation-sheet'!P10*'Output-Calculation-sheet'!P46</f>
        <v>3675.9598291387697</v>
      </c>
      <c r="Q55" s="2">
        <f>Q11/'Output-Calculation-sheet'!Q10*'Output-Calculation-sheet'!Q46</f>
        <v>2162.3757103626608</v>
      </c>
      <c r="R55" s="2">
        <f>R11/'Output-Calculation-sheet'!R10*'Output-Calculation-sheet'!R46</f>
        <v>2975.9002611893525</v>
      </c>
      <c r="S55" s="2">
        <f>S11/'Output-Calculation-sheet'!S10*'Output-Calculation-sheet'!S46</f>
        <v>4860.2395287548188</v>
      </c>
      <c r="T55" s="2">
        <f>T11/'Output-Calculation-sheet'!T10*'Output-Calculation-sheet'!T46</f>
        <v>674.6192018779924</v>
      </c>
      <c r="U55" s="2">
        <f>U11/'Output-Calculation-sheet'!U10*'Output-Calculation-sheet'!U46</f>
        <v>1126.4162864616155</v>
      </c>
      <c r="V55" s="2">
        <f>V11/'Output-Calculation-sheet'!V10*'Output-Calculation-sheet'!V46</f>
        <v>455.99878651185645</v>
      </c>
      <c r="W55" s="2">
        <f>W11/'Output-Calculation-sheet'!W10*'Output-Calculation-sheet'!W46</f>
        <v>59.542480036017082</v>
      </c>
      <c r="X55" s="2">
        <f>X11/'Output-Calculation-sheet'!X10*'Output-Calculation-sheet'!X46</f>
        <v>1326.7899190527719</v>
      </c>
      <c r="Y55" s="2">
        <f>Y11/'Output-Calculation-sheet'!Y10*'Output-Calculation-sheet'!Y46</f>
        <v>345.41240711552325</v>
      </c>
      <c r="AA55" s="2">
        <f t="shared" si="3"/>
        <v>193.4024061290028</v>
      </c>
    </row>
    <row r="56" spans="1:27" x14ac:dyDescent="0.25">
      <c r="A56" s="2">
        <v>2035</v>
      </c>
      <c r="B56" s="2">
        <f>B12/'Output-Calculation-sheet'!B11*'Output-Calculation-sheet'!B47</f>
        <v>67328.810199475469</v>
      </c>
      <c r="C56" s="2">
        <f>C12/'Output-Calculation-sheet'!C11*'Output-Calculation-sheet'!C47</f>
        <v>44241.12083822563</v>
      </c>
      <c r="D56" s="2">
        <f>D12/'Output-Calculation-sheet'!D11*'Output-Calculation-sheet'!D47</f>
        <v>5380.2428338029858</v>
      </c>
      <c r="E56" s="2">
        <f>E12/'Output-Calculation-sheet'!E11*'Output-Calculation-sheet'!E47</f>
        <v>15111.27077213697</v>
      </c>
      <c r="F56" s="2">
        <f>F12/'Output-Calculation-sheet'!F11*'Output-Calculation-sheet'!F47</f>
        <v>1864.1194145577365</v>
      </c>
      <c r="G56" s="2">
        <f>G12/'Output-Calculation-sheet'!G11*'Output-Calculation-sheet'!G47</f>
        <v>4210.9280762934995</v>
      </c>
      <c r="H56" s="2">
        <f>H12/'Output-Calculation-sheet'!H11*'Output-Calculation-sheet'!H47</f>
        <v>16083.350540446456</v>
      </c>
      <c r="I56" s="2">
        <f>I12/'Output-Calculation-sheet'!I11*'Output-Calculation-sheet'!I47</f>
        <v>2130.4565966480864</v>
      </c>
      <c r="J56" s="2">
        <f>J12/'Output-Calculation-sheet'!J11*'Output-Calculation-sheet'!J47</f>
        <v>1932.7481849682001</v>
      </c>
      <c r="K56" s="2">
        <f>K12/'Output-Calculation-sheet'!K11*'Output-Calculation-sheet'!K47</f>
        <v>2791.8713113462527</v>
      </c>
      <c r="L56" s="2">
        <f>L12/'Output-Calculation-sheet'!L11*'Output-Calculation-sheet'!L47</f>
        <v>1541.6404757409293</v>
      </c>
      <c r="M56" s="2">
        <f>M12/'Output-Calculation-sheet'!M11*'Output-Calculation-sheet'!M47</f>
        <v>11213.113456599012</v>
      </c>
      <c r="N56" s="2">
        <f>N12/'Output-Calculation-sheet'!N11*'Output-Calculation-sheet'!N47</f>
        <v>8563.6662066208792</v>
      </c>
      <c r="O56" s="2">
        <f>O12/'Output-Calculation-sheet'!O11*'Output-Calculation-sheet'!O47</f>
        <v>804.51103824696679</v>
      </c>
      <c r="P56" s="2">
        <f>P12/'Output-Calculation-sheet'!P11*'Output-Calculation-sheet'!P47</f>
        <v>4446.7790603706335</v>
      </c>
      <c r="Q56" s="2">
        <f>Q12/'Output-Calculation-sheet'!Q11*'Output-Calculation-sheet'!Q47</f>
        <v>2253.4357745956954</v>
      </c>
      <c r="R56" s="2">
        <f>R12/'Output-Calculation-sheet'!R11*'Output-Calculation-sheet'!R47</f>
        <v>3283.3886055510798</v>
      </c>
      <c r="S56" s="2">
        <f>S12/'Output-Calculation-sheet'!S11*'Output-Calculation-sheet'!S47</f>
        <v>4348.8912914063576</v>
      </c>
      <c r="T56" s="2">
        <f>T12/'Output-Calculation-sheet'!T11*'Output-Calculation-sheet'!T47</f>
        <v>1150.0755394448788</v>
      </c>
      <c r="U56" s="2">
        <f>U12/'Output-Calculation-sheet'!U11*'Output-Calculation-sheet'!U47</f>
        <v>1100.567227675095</v>
      </c>
      <c r="V56" s="2">
        <f>V12/'Output-Calculation-sheet'!V11*'Output-Calculation-sheet'!V47</f>
        <v>768.10953583344224</v>
      </c>
      <c r="W56" s="2">
        <f>W12/'Output-Calculation-sheet'!W11*'Output-Calculation-sheet'!W47</f>
        <v>437.15883235686704</v>
      </c>
      <c r="X56" s="2">
        <f>X12/'Output-Calculation-sheet'!X11*'Output-Calculation-sheet'!X47</f>
        <v>1157.9356822564241</v>
      </c>
      <c r="Y56" s="2">
        <f>Y12/'Output-Calculation-sheet'!Y11*'Output-Calculation-sheet'!Y47</f>
        <v>592.76380083692356</v>
      </c>
      <c r="AA56" s="2">
        <f t="shared" si="3"/>
        <v>202.73695529543645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4.7325266218002033</v>
      </c>
      <c r="C60" s="2">
        <f>C5*'Output-Calculation-sheet'!C49/10^9</f>
        <v>1.9088279039896519</v>
      </c>
      <c r="D60" s="2">
        <f>D5*'Output-Calculation-sheet'!D49/10^9</f>
        <v>1.2479113103982364</v>
      </c>
      <c r="E60" s="2">
        <f>E5*'Output-Calculation-sheet'!E49/10^9</f>
        <v>1.4478570355749143</v>
      </c>
      <c r="F60" s="2">
        <f>F5*'Output-Calculation-sheet'!F49/10^9</f>
        <v>0.66495763205205372</v>
      </c>
      <c r="G60" s="2">
        <f>G5*'Output-Calculation-sheet'!G49/10^9</f>
        <v>0.52456376982493724</v>
      </c>
      <c r="H60" s="2">
        <f>H5*'Output-Calculation-sheet'!H49/10^9</f>
        <v>0.5015586382936702</v>
      </c>
      <c r="I60" s="2">
        <f>I5*'Output-Calculation-sheet'!I49/10^9</f>
        <v>0.39488767836277638</v>
      </c>
      <c r="J60" s="2">
        <f>J5*'Output-Calculation-sheet'!J49/10^9</f>
        <v>0.61200494979529396</v>
      </c>
      <c r="K60" s="2">
        <f>K5*'Output-Calculation-sheet'!K49/10^9</f>
        <v>0.33969559657159665</v>
      </c>
      <c r="L60" s="2">
        <f>L5*'Output-Calculation-sheet'!L49/10^9</f>
        <v>0.44360234327415821</v>
      </c>
      <c r="M60" s="2">
        <f>M5*'Output-Calculation-sheet'!M49/10^9</f>
        <v>0.38393605865104324</v>
      </c>
      <c r="N60" s="2">
        <f>N5*'Output-Calculation-sheet'!N49/10^9</f>
        <v>0.32138992630717933</v>
      </c>
      <c r="O60" s="2">
        <f>O5*'Output-Calculation-sheet'!O49/10^9</f>
        <v>0.32214782965874689</v>
      </c>
      <c r="P60" s="2">
        <f>P5*'Output-Calculation-sheet'!P49/10^9</f>
        <v>0.33610445220847507</v>
      </c>
      <c r="Q60" s="2">
        <f>Q5*'Output-Calculation-sheet'!Q49/10^9</f>
        <v>0.291508831213391</v>
      </c>
      <c r="R60" s="2">
        <f>R5*'Output-Calculation-sheet'!R49/10^9</f>
        <v>0.30477495988604686</v>
      </c>
      <c r="S60" s="2">
        <f>S5*'Output-Calculation-sheet'!S49/10^9</f>
        <v>0.2147449171205105</v>
      </c>
      <c r="T60" s="2">
        <f>T5*'Output-Calculation-sheet'!T49/10^9</f>
        <v>0.13358478288436523</v>
      </c>
      <c r="U60" s="2">
        <f>U5*'Output-Calculation-sheet'!U49/10^9</f>
        <v>9.8155441098423488E-2</v>
      </c>
      <c r="V60" s="2">
        <f>V5*'Output-Calculation-sheet'!V49/10^9</f>
        <v>0.1866653328911749</v>
      </c>
      <c r="W60" s="2">
        <f>W5*'Output-Calculation-sheet'!W49/10^9</f>
        <v>7.4329551844645445E-2</v>
      </c>
      <c r="X60" s="2">
        <f>X5*'Output-Calculation-sheet'!X49/10^9</f>
        <v>5.4517657013671124E-2</v>
      </c>
      <c r="Y60" s="2">
        <f>Y5*'Output-Calculation-sheet'!Y49/10^9</f>
        <v>3.9426699172199708E-2</v>
      </c>
      <c r="AA60" s="2">
        <f t="shared" ref="AA60:AA67" si="4">SUM(B60:Y60)</f>
        <v>15.579679919887363</v>
      </c>
    </row>
    <row r="61" spans="1:27" x14ac:dyDescent="0.25">
      <c r="A61" s="2">
        <v>2029</v>
      </c>
      <c r="B61" s="2">
        <f>B6*'Output-Calculation-sheet'!B50/10^9</f>
        <v>5.8230241322488219</v>
      </c>
      <c r="C61" s="2">
        <f>C6*'Output-Calculation-sheet'!C50/10^9</f>
        <v>2.4956706135048767</v>
      </c>
      <c r="D61" s="2">
        <f>D6*'Output-Calculation-sheet'!D50/10^9</f>
        <v>1.4989299605219628</v>
      </c>
      <c r="E61" s="2">
        <f>E6*'Output-Calculation-sheet'!E50/10^9</f>
        <v>1.7326290389010897</v>
      </c>
      <c r="F61" s="2">
        <f>F6*'Output-Calculation-sheet'!F50/10^9</f>
        <v>0.79947958404968023</v>
      </c>
      <c r="G61" s="2">
        <f>G6*'Output-Calculation-sheet'!G50/10^9</f>
        <v>0.62510338692268219</v>
      </c>
      <c r="H61" s="2">
        <f>H6*'Output-Calculation-sheet'!H50/10^9</f>
        <v>0.64710172834274493</v>
      </c>
      <c r="I61" s="2">
        <f>I6*'Output-Calculation-sheet'!I50/10^9</f>
        <v>0.47662973874048392</v>
      </c>
      <c r="J61" s="2">
        <f>J6*'Output-Calculation-sheet'!J50/10^9</f>
        <v>0.72115226805161692</v>
      </c>
      <c r="K61" s="2">
        <f>K6*'Output-Calculation-sheet'!K50/10^9</f>
        <v>0.41874233049484172</v>
      </c>
      <c r="L61" s="2">
        <f>L6*'Output-Calculation-sheet'!L50/10^9</f>
        <v>0.53225349243892373</v>
      </c>
      <c r="M61" s="2">
        <f>M6*'Output-Calculation-sheet'!M50/10^9</f>
        <v>0.49001028372722777</v>
      </c>
      <c r="N61" s="2">
        <f>N6*'Output-Calculation-sheet'!N50/10^9</f>
        <v>0.41751227209840053</v>
      </c>
      <c r="O61" s="2">
        <f>O6*'Output-Calculation-sheet'!O50/10^9</f>
        <v>0.43472283745547308</v>
      </c>
      <c r="P61" s="2">
        <f>P6*'Output-Calculation-sheet'!P50/10^9</f>
        <v>0.41434755793657824</v>
      </c>
      <c r="Q61" s="2">
        <f>Q6*'Output-Calculation-sheet'!Q50/10^9</f>
        <v>0.36705748239279634</v>
      </c>
      <c r="R61" s="2">
        <f>R6*'Output-Calculation-sheet'!R50/10^9</f>
        <v>0.37089122044638057</v>
      </c>
      <c r="S61" s="2">
        <f>S6*'Output-Calculation-sheet'!S50/10^9</f>
        <v>0.27191710796217078</v>
      </c>
      <c r="T61" s="2">
        <f>T6*'Output-Calculation-sheet'!T50/10^9</f>
        <v>0.15938015899136332</v>
      </c>
      <c r="U61" s="2">
        <f>U6*'Output-Calculation-sheet'!U50/10^9</f>
        <v>0.11898962464208346</v>
      </c>
      <c r="V61" s="2">
        <f>V6*'Output-Calculation-sheet'!V50/10^9</f>
        <v>0.21828204799572898</v>
      </c>
      <c r="W61" s="2">
        <f>W6*'Output-Calculation-sheet'!W50/10^9</f>
        <v>8.8074593080952224E-2</v>
      </c>
      <c r="X61" s="2">
        <f>X6*'Output-Calculation-sheet'!X50/10^9</f>
        <v>6.8759094375623803E-2</v>
      </c>
      <c r="Y61" s="2">
        <f>Y6*'Output-Calculation-sheet'!Y50/10^9</f>
        <v>4.7777096463677435E-2</v>
      </c>
      <c r="AA61" s="2">
        <f t="shared" si="4"/>
        <v>19.238437651786185</v>
      </c>
    </row>
    <row r="62" spans="1:27" x14ac:dyDescent="0.25">
      <c r="A62" s="2">
        <v>2030</v>
      </c>
      <c r="B62" s="2">
        <f>B7*'Output-Calculation-sheet'!B51/10^9</f>
        <v>6.5468753784999008</v>
      </c>
      <c r="C62" s="2">
        <f>C7*'Output-Calculation-sheet'!C51/10^9</f>
        <v>3.2536589211629336</v>
      </c>
      <c r="D62" s="2">
        <f>D7*'Output-Calculation-sheet'!D51/10^9</f>
        <v>1.6309802394373847</v>
      </c>
      <c r="E62" s="2">
        <f>E7*'Output-Calculation-sheet'!E51/10^9</f>
        <v>1.8767775071727353</v>
      </c>
      <c r="F62" s="2">
        <f>F7*'Output-Calculation-sheet'!F51/10^9</f>
        <v>0.87091549275422409</v>
      </c>
      <c r="G62" s="2">
        <f>G7*'Output-Calculation-sheet'!G51/10^9</f>
        <v>0.67363822312895216</v>
      </c>
      <c r="H62" s="2">
        <f>H7*'Output-Calculation-sheet'!H51/10^9</f>
        <v>0.82019687170554023</v>
      </c>
      <c r="I62" s="2">
        <f>I7*'Output-Calculation-sheet'!I51/10^9</f>
        <v>0.52165194029721884</v>
      </c>
      <c r="J62" s="2">
        <f>J7*'Output-Calculation-sheet'!J51/10^9</f>
        <v>0.76635689867630996</v>
      </c>
      <c r="K62" s="2">
        <f>K7*'Output-Calculation-sheet'!K51/10^9</f>
        <v>0.46970224681949979</v>
      </c>
      <c r="L62" s="2">
        <f>L7*'Output-Calculation-sheet'!L51/10^9</f>
        <v>0.57838143696816857</v>
      </c>
      <c r="M62" s="2">
        <f>M7*'Output-Calculation-sheet'!M51/10^9</f>
        <v>0.61113282077709796</v>
      </c>
      <c r="N62" s="2">
        <f>N7*'Output-Calculation-sheet'!N51/10^9</f>
        <v>0.49928753376206381</v>
      </c>
      <c r="O62" s="2">
        <f>O7*'Output-Calculation-sheet'!O51/10^9</f>
        <v>0.56811361237276481</v>
      </c>
      <c r="P62" s="2">
        <f>P7*'Output-Calculation-sheet'!P51/10^9</f>
        <v>0.46481353248536339</v>
      </c>
      <c r="Q62" s="2">
        <f>Q7*'Output-Calculation-sheet'!Q51/10^9</f>
        <v>0.42298319769711906</v>
      </c>
      <c r="R62" s="2">
        <f>R7*'Output-Calculation-sheet'!R51/10^9</f>
        <v>0.40988120642848858</v>
      </c>
      <c r="S62" s="2">
        <f>S7*'Output-Calculation-sheet'!S51/10^9</f>
        <v>0.31778009361782761</v>
      </c>
      <c r="T62" s="2">
        <f>T7*'Output-Calculation-sheet'!T51/10^9</f>
        <v>0.17200909071845374</v>
      </c>
      <c r="U62" s="2">
        <f>U7*'Output-Calculation-sheet'!U51/10^9</f>
        <v>0.13090339822213007</v>
      </c>
      <c r="V62" s="2">
        <f>V7*'Output-Calculation-sheet'!V51/10^9</f>
        <v>0.22972465608049525</v>
      </c>
      <c r="W62" s="2">
        <f>W7*'Output-Calculation-sheet'!W51/10^9</f>
        <v>9.4249671522577669E-2</v>
      </c>
      <c r="X62" s="2">
        <f>X7*'Output-Calculation-sheet'!X51/10^9</f>
        <v>8.4540314754887769E-2</v>
      </c>
      <c r="Y62" s="2">
        <f>Y7*'Output-Calculation-sheet'!Y51/10^9</f>
        <v>5.2537076193140519E-2</v>
      </c>
      <c r="AA62" s="2">
        <f t="shared" si="4"/>
        <v>22.067091361255276</v>
      </c>
    </row>
    <row r="63" spans="1:27" x14ac:dyDescent="0.25">
      <c r="A63" s="2">
        <v>2031</v>
      </c>
      <c r="B63" s="2">
        <f>B8*'Output-Calculation-sheet'!B52/10^9</f>
        <v>6.939001705076044</v>
      </c>
      <c r="C63" s="2">
        <f>C8*'Output-Calculation-sheet'!C52/10^9</f>
        <v>3.9486545399245809</v>
      </c>
      <c r="D63" s="2">
        <f>D8*'Output-Calculation-sheet'!D52/10^9</f>
        <v>1.6246914049497183</v>
      </c>
      <c r="E63" s="2">
        <f>E8*'Output-Calculation-sheet'!E52/10^9</f>
        <v>1.8587278427188003</v>
      </c>
      <c r="F63" s="2">
        <f>F8*'Output-Calculation-sheet'!F52/10^9</f>
        <v>0.86883675550826744</v>
      </c>
      <c r="G63" s="2">
        <f>G8*'Output-Calculation-sheet'!G52/10^9</f>
        <v>0.66271815643218912</v>
      </c>
      <c r="H63" s="2">
        <f>H8*'Output-Calculation-sheet'!H52/10^9</f>
        <v>0.99060470966709346</v>
      </c>
      <c r="I63" s="2">
        <f>I8*'Output-Calculation-sheet'!I52/10^9</f>
        <v>0.52350329654606609</v>
      </c>
      <c r="J63" s="2">
        <f>J8*'Output-Calculation-sheet'!J52/10^9</f>
        <v>0.74006048127581103</v>
      </c>
      <c r="K63" s="2">
        <f>K8*'Output-Calculation-sheet'!K52/10^9</f>
        <v>0.48581215131813993</v>
      </c>
      <c r="L63" s="2">
        <f>L8*'Output-Calculation-sheet'!L52/10^9</f>
        <v>0.57518139517544797</v>
      </c>
      <c r="M63" s="2">
        <f>M8*'Output-Calculation-sheet'!M52/10^9</f>
        <v>0.72529570750072136</v>
      </c>
      <c r="N63" s="2">
        <f>N8*'Output-Calculation-sheet'!N52/10^9</f>
        <v>0.57831614944325571</v>
      </c>
      <c r="O63" s="2">
        <f>O8*'Output-Calculation-sheet'!O52/10^9</f>
        <v>0.68632071285566121</v>
      </c>
      <c r="P63" s="2">
        <f>P8*'Output-Calculation-sheet'!P52/10^9</f>
        <v>0.49408018376111684</v>
      </c>
      <c r="Q63" s="2">
        <f>Q8*'Output-Calculation-sheet'!Q52/10^9</f>
        <v>0.46086801490109164</v>
      </c>
      <c r="R63" s="2">
        <f>R8*'Output-Calculation-sheet'!R52/10^9</f>
        <v>0.41743818894376894</v>
      </c>
      <c r="S63" s="2">
        <f>S8*'Output-Calculation-sheet'!S52/10^9</f>
        <v>0.35418180216385153</v>
      </c>
      <c r="T63" s="2">
        <f>T8*'Output-Calculation-sheet'!T52/10^9</f>
        <v>0.16954763275599893</v>
      </c>
      <c r="U63" s="2">
        <f>U8*'Output-Calculation-sheet'!U52/10^9</f>
        <v>0.13222158391548647</v>
      </c>
      <c r="V63" s="2">
        <f>V8*'Output-Calculation-sheet'!V52/10^9</f>
        <v>0.21892054428578198</v>
      </c>
      <c r="W63" s="2">
        <f>W8*'Output-Calculation-sheet'!W52/10^9</f>
        <v>9.1868806144275034E-2</v>
      </c>
      <c r="X63" s="2">
        <f>X8*'Output-Calculation-sheet'!X52/10^9</f>
        <v>9.7897577784818793E-2</v>
      </c>
      <c r="Y63" s="2">
        <f>Y8*'Output-Calculation-sheet'!Y52/10^9</f>
        <v>5.3050792630744706E-2</v>
      </c>
      <c r="AA63" s="2">
        <f t="shared" si="4"/>
        <v>23.69780013567874</v>
      </c>
    </row>
    <row r="64" spans="1:27" x14ac:dyDescent="0.25">
      <c r="A64" s="2">
        <v>2032</v>
      </c>
      <c r="B64" s="2">
        <f>B9*'Output-Calculation-sheet'!B53/10^9</f>
        <v>6.9212967930353031</v>
      </c>
      <c r="C64" s="2">
        <f>C9*'Output-Calculation-sheet'!C53/10^9</f>
        <v>4.3481445283961166</v>
      </c>
      <c r="D64" s="2">
        <f>D9*'Output-Calculation-sheet'!D53/10^9</f>
        <v>1.453370462738601</v>
      </c>
      <c r="E64" s="2">
        <f>E9*'Output-Calculation-sheet'!E53/10^9</f>
        <v>1.6969883374243582</v>
      </c>
      <c r="F64" s="2">
        <f>F9*'Output-Calculation-sheet'!F53/10^9</f>
        <v>0.77872001295077087</v>
      </c>
      <c r="G64" s="2">
        <f>G9*'Output-Calculation-sheet'!G53/10^9</f>
        <v>0.58307261144349698</v>
      </c>
      <c r="H64" s="2">
        <f>H9*'Output-Calculation-sheet'!H53/10^9</f>
        <v>1.0859066184684218</v>
      </c>
      <c r="I64" s="2">
        <f>I9*'Output-Calculation-sheet'!I53/10^9</f>
        <v>0.47283197993089165</v>
      </c>
      <c r="J64" s="2">
        <f>J9*'Output-Calculation-sheet'!J53/10^9</f>
        <v>0.63464209326141119</v>
      </c>
      <c r="K64" s="2">
        <f>K9*'Output-Calculation-sheet'!K53/10^9</f>
        <v>0.46850649914314763</v>
      </c>
      <c r="L64" s="2">
        <f>L9*'Output-Calculation-sheet'!L53/10^9</f>
        <v>0.52597861705802185</v>
      </c>
      <c r="M64" s="2">
        <f>M9*'Output-Calculation-sheet'!M53/10^9</f>
        <v>0.78309107734354444</v>
      </c>
      <c r="N64" s="2">
        <f>N9*'Output-Calculation-sheet'!N53/10^9</f>
        <v>0.64000735542982878</v>
      </c>
      <c r="O64" s="2">
        <f>O9*'Output-Calculation-sheet'!O53/10^9</f>
        <v>0.75605951645751246</v>
      </c>
      <c r="P64" s="2">
        <f>P9*'Output-Calculation-sheet'!P53/10^9</f>
        <v>0.49991084692674803</v>
      </c>
      <c r="Q64" s="2">
        <f>Q9*'Output-Calculation-sheet'!Q53/10^9</f>
        <v>0.47418946603083606</v>
      </c>
      <c r="R64" s="2">
        <f>R9*'Output-Calculation-sheet'!R53/10^9</f>
        <v>0.40340157209877359</v>
      </c>
      <c r="S64" s="2">
        <f>S9*'Output-Calculation-sheet'!S53/10^9</f>
        <v>0.37925113105152891</v>
      </c>
      <c r="T64" s="2">
        <f>T9*'Output-Calculation-sheet'!T53/10^9</f>
        <v>0.15079973413778269</v>
      </c>
      <c r="U64" s="2">
        <f>U9*'Output-Calculation-sheet'!U53/10^9</f>
        <v>0.12848053126575504</v>
      </c>
      <c r="V64" s="2">
        <f>V9*'Output-Calculation-sheet'!V53/10^9</f>
        <v>0.18725621164941306</v>
      </c>
      <c r="W64" s="2">
        <f>W9*'Output-Calculation-sheet'!W53/10^9</f>
        <v>7.9814862607738166E-2</v>
      </c>
      <c r="X64" s="2">
        <f>X9*'Output-Calculation-sheet'!X53/10^9</f>
        <v>0.1031641150844981</v>
      </c>
      <c r="Y64" s="2">
        <f>Y9*'Output-Calculation-sheet'!Y53/10^9</f>
        <v>5.0766678259118583E-2</v>
      </c>
      <c r="AA64" s="2">
        <f t="shared" si="4"/>
        <v>23.605651652193622</v>
      </c>
    </row>
    <row r="65" spans="1:27" x14ac:dyDescent="0.25">
      <c r="A65" s="2">
        <v>2033</v>
      </c>
      <c r="B65" s="2">
        <f>B10*'Output-Calculation-sheet'!B54/10^9</f>
        <v>6.7417096122561961</v>
      </c>
      <c r="C65" s="2">
        <f>C10*'Output-Calculation-sheet'!C54/10^9</f>
        <v>4.4308150032231284</v>
      </c>
      <c r="D65" s="2">
        <f>D10*'Output-Calculation-sheet'!D54/10^9</f>
        <v>1.2016842292527485</v>
      </c>
      <c r="E65" s="2">
        <f>E10*'Output-Calculation-sheet'!E54/10^9</f>
        <v>1.5303687125780849</v>
      </c>
      <c r="F65" s="2">
        <f>F10*'Output-Calculation-sheet'!F54/10^9</f>
        <v>0.6576126406238969</v>
      </c>
      <c r="G65" s="2">
        <f>G10*'Output-Calculation-sheet'!G54/10^9</f>
        <v>0.46818774022595855</v>
      </c>
      <c r="H65" s="2">
        <f>H10*'Output-Calculation-sheet'!H54/10^9</f>
        <v>1.1001119630323792</v>
      </c>
      <c r="I65" s="2">
        <f>I10*'Output-Calculation-sheet'!I54/10^9</f>
        <v>0.41050281568584063</v>
      </c>
      <c r="J65" s="2">
        <f>J10*'Output-Calculation-sheet'!J54/10^9</f>
        <v>0.48569000587056133</v>
      </c>
      <c r="K65" s="2">
        <f>K10*'Output-Calculation-sheet'!K54/10^9</f>
        <v>0.45448267550050681</v>
      </c>
      <c r="L65" s="2">
        <f>L10*'Output-Calculation-sheet'!L54/10^9</f>
        <v>0.46872229956667338</v>
      </c>
      <c r="M65" s="2">
        <f>M10*'Output-Calculation-sheet'!M54/10^9</f>
        <v>0.78224831270166173</v>
      </c>
      <c r="N65" s="2">
        <f>N10*'Output-Calculation-sheet'!N54/10^9</f>
        <v>0.66655612598738345</v>
      </c>
      <c r="O65" s="2">
        <f>O10*'Output-Calculation-sheet'!O54/10^9</f>
        <v>0.77557882802198241</v>
      </c>
      <c r="P65" s="2">
        <f>P10*'Output-Calculation-sheet'!P54/10^9</f>
        <v>0.49170017925056292</v>
      </c>
      <c r="Q65" s="2">
        <f>Q10*'Output-Calculation-sheet'!Q54/10^9</f>
        <v>0.48520735050758107</v>
      </c>
      <c r="R65" s="2">
        <f>R10*'Output-Calculation-sheet'!R54/10^9</f>
        <v>0.38465201238562019</v>
      </c>
      <c r="S65" s="2">
        <f>S10*'Output-Calculation-sheet'!S54/10^9</f>
        <v>0.38605802574144965</v>
      </c>
      <c r="T65" s="2">
        <f>T10*'Output-Calculation-sheet'!T54/10^9</f>
        <v>0.13025776451452625</v>
      </c>
      <c r="U65" s="2">
        <f>U10*'Output-Calculation-sheet'!U54/10^9</f>
        <v>0.12510398548814222</v>
      </c>
      <c r="V65" s="2">
        <f>V10*'Output-Calculation-sheet'!V54/10^9</f>
        <v>0.14740145389293008</v>
      </c>
      <c r="W65" s="2">
        <f>W10*'Output-Calculation-sheet'!W54/10^9</f>
        <v>6.2996481901031853E-2</v>
      </c>
      <c r="X65" s="2">
        <f>X10*'Output-Calculation-sheet'!X54/10^9</f>
        <v>0.10126458243749928</v>
      </c>
      <c r="Y65" s="2">
        <f>Y10*'Output-Calculation-sheet'!Y54/10^9</f>
        <v>4.886916949212057E-2</v>
      </c>
      <c r="AA65" s="2">
        <f t="shared" si="4"/>
        <v>22.537781970138465</v>
      </c>
    </row>
    <row r="66" spans="1:27" x14ac:dyDescent="0.25">
      <c r="A66" s="2">
        <v>2034</v>
      </c>
      <c r="B66" s="2">
        <f>B11*'Output-Calculation-sheet'!B55/10^9</f>
        <v>6.3568611021439736</v>
      </c>
      <c r="C66" s="2">
        <f>C11*'Output-Calculation-sheet'!C55/10^9</f>
        <v>4.2247665685798381</v>
      </c>
      <c r="D66" s="2">
        <f>D11*'Output-Calculation-sheet'!D55/10^9</f>
        <v>1.1500616968462134</v>
      </c>
      <c r="E66" s="2">
        <f>E11*'Output-Calculation-sheet'!E55/10^9</f>
        <v>1.4895136014816692</v>
      </c>
      <c r="F66" s="2">
        <f>F11*'Output-Calculation-sheet'!F55/10^9</f>
        <v>0.58619605415132114</v>
      </c>
      <c r="G66" s="2">
        <f>G11*'Output-Calculation-sheet'!G55/10^9</f>
        <v>0.42765366634738489</v>
      </c>
      <c r="H66" s="2">
        <f>H11*'Output-Calculation-sheet'!H55/10^9</f>
        <v>1.0672456784544073</v>
      </c>
      <c r="I66" s="2">
        <f>I11*'Output-Calculation-sheet'!I55/10^9</f>
        <v>0.39755338025645531</v>
      </c>
      <c r="J66" s="2">
        <f>J11*'Output-Calculation-sheet'!J55/10^9</f>
        <v>0.40027987587501507</v>
      </c>
      <c r="K66" s="2">
        <f>K11*'Output-Calculation-sheet'!K55/10^9</f>
        <v>0.4557546165044753</v>
      </c>
      <c r="L66" s="2">
        <f>L11*'Output-Calculation-sheet'!L55/10^9</f>
        <v>0.44184837351746897</v>
      </c>
      <c r="M66" s="2">
        <f>M11*'Output-Calculation-sheet'!M55/10^9</f>
        <v>0.75007298146602952</v>
      </c>
      <c r="N66" s="2">
        <f>N11*'Output-Calculation-sheet'!N55/10^9</f>
        <v>0.65205284881131642</v>
      </c>
      <c r="O66" s="2">
        <f>O11*'Output-Calculation-sheet'!O55/10^9</f>
        <v>0.74342863977838969</v>
      </c>
      <c r="P66" s="2">
        <f>P11*'Output-Calculation-sheet'!P55/10^9</f>
        <v>0.47671605957929114</v>
      </c>
      <c r="Q66" s="2">
        <f>Q11*'Output-Calculation-sheet'!Q55/10^9</f>
        <v>0.4903521374296308</v>
      </c>
      <c r="R66" s="2">
        <f>R11*'Output-Calculation-sheet'!R55/10^9</f>
        <v>0.36280243123142719</v>
      </c>
      <c r="S66" s="2">
        <f>S11*'Output-Calculation-sheet'!S55/10^9</f>
        <v>0.37661126684101998</v>
      </c>
      <c r="T66" s="2">
        <f>T11*'Output-Calculation-sheet'!T55/10^9</f>
        <v>0.1136732588470046</v>
      </c>
      <c r="U66" s="2">
        <f>U11*'Output-Calculation-sheet'!U55/10^9</f>
        <v>0.12371833243404573</v>
      </c>
      <c r="V66" s="2">
        <f>V11*'Output-Calculation-sheet'!V55/10^9</f>
        <v>0.10743173386347485</v>
      </c>
      <c r="W66" s="2">
        <f>W11*'Output-Calculation-sheet'!W55/10^9</f>
        <v>5.2631221185113E-2</v>
      </c>
      <c r="X66" s="2">
        <f>X11*'Output-Calculation-sheet'!X55/10^9</f>
        <v>9.8351038162543203E-2</v>
      </c>
      <c r="Y66" s="2">
        <f>Y11*'Output-Calculation-sheet'!Y55/10^9</f>
        <v>5.0499345566059867E-2</v>
      </c>
      <c r="AA66" s="2">
        <f t="shared" si="4"/>
        <v>21.39607590935357</v>
      </c>
    </row>
    <row r="67" spans="1:27" x14ac:dyDescent="0.25">
      <c r="A67" s="2">
        <v>2035</v>
      </c>
      <c r="B67" s="2">
        <f>B12*'Output-Calculation-sheet'!B56/10^9</f>
        <v>5.9618319306205905</v>
      </c>
      <c r="C67" s="2">
        <f>C12*'Output-Calculation-sheet'!C56/10^9</f>
        <v>3.7674330423779332</v>
      </c>
      <c r="D67" s="2">
        <f>D12*'Output-Calculation-sheet'!D56/10^9</f>
        <v>1.1825271349796229</v>
      </c>
      <c r="E67" s="2">
        <f>E12*'Output-Calculation-sheet'!E56/10^9</f>
        <v>1.6171717758040809</v>
      </c>
      <c r="F67" s="2">
        <f>F12*'Output-Calculation-sheet'!F56/10^9</f>
        <v>0.63382385026192567</v>
      </c>
      <c r="G67" s="2">
        <f>G12*'Output-Calculation-sheet'!G56/10^9</f>
        <v>0.46765342401198451</v>
      </c>
      <c r="H67" s="2">
        <f>H12*'Output-Calculation-sheet'!H56/10^9</f>
        <v>0.99442089793156763</v>
      </c>
      <c r="I67" s="2">
        <f>I12*'Output-Calculation-sheet'!I56/10^9</f>
        <v>0.42848574540261047</v>
      </c>
      <c r="J67" s="2">
        <f>J12*'Output-Calculation-sheet'!J56/10^9</f>
        <v>0.39199155970611083</v>
      </c>
      <c r="K67" s="2">
        <f>K12*'Output-Calculation-sheet'!K56/10^9</f>
        <v>0.46965496824665803</v>
      </c>
      <c r="L67" s="2">
        <f>L12*'Output-Calculation-sheet'!L56/10^9</f>
        <v>0.43785928707628435</v>
      </c>
      <c r="M67" s="2">
        <f>M12*'Output-Calculation-sheet'!M56/10^9</f>
        <v>0.70360146651470923</v>
      </c>
      <c r="N67" s="2">
        <f>N12*'Output-Calculation-sheet'!N56/10^9</f>
        <v>0.60094087977556732</v>
      </c>
      <c r="O67" s="2">
        <f>O12*'Output-Calculation-sheet'!O56/10^9</f>
        <v>0.66466561465363094</v>
      </c>
      <c r="P67" s="2">
        <f>P12*'Output-Calculation-sheet'!P56/10^9</f>
        <v>0.48767726383751608</v>
      </c>
      <c r="Q67" s="2">
        <f>Q12*'Output-Calculation-sheet'!Q56/10^9</f>
        <v>0.46068444708028589</v>
      </c>
      <c r="R67" s="2">
        <f>R12*'Output-Calculation-sheet'!R56/10^9</f>
        <v>0.36174795695860329</v>
      </c>
      <c r="S67" s="2">
        <f>S12*'Output-Calculation-sheet'!S56/10^9</f>
        <v>0.34920977953626503</v>
      </c>
      <c r="T67" s="2">
        <f>T12*'Output-Calculation-sheet'!T56/10^9</f>
        <v>0.11248901583729212</v>
      </c>
      <c r="U67" s="2">
        <f>U12*'Output-Calculation-sheet'!U56/10^9</f>
        <v>0.12161670890394767</v>
      </c>
      <c r="V67" s="2">
        <f>V12*'Output-Calculation-sheet'!V56/10^9</f>
        <v>8.6819448611092365E-2</v>
      </c>
      <c r="W67" s="2">
        <f>W12*'Output-Calculation-sheet'!W56/10^9</f>
        <v>5.8873448107369539E-2</v>
      </c>
      <c r="X67" s="2">
        <f>X12*'Output-Calculation-sheet'!X56/10^9</f>
        <v>9.1392902499914747E-2</v>
      </c>
      <c r="Y67" s="2">
        <f>Y12*'Output-Calculation-sheet'!Y56/10^9</f>
        <v>5.4934906348132834E-2</v>
      </c>
      <c r="AA67" s="2">
        <f t="shared" si="4"/>
        <v>20.507507455083697</v>
      </c>
    </row>
    <row r="68" spans="1:27" x14ac:dyDescent="0.25">
      <c r="B68" s="2">
        <f>SUM(B60:B67)</f>
        <v>50.023127275681034</v>
      </c>
      <c r="C68" s="2">
        <f t="shared" ref="C68:Y68" si="5">SUM(C60:C67)</f>
        <v>28.37797112115906</v>
      </c>
      <c r="D68" s="2">
        <f t="shared" si="5"/>
        <v>10.990156439124489</v>
      </c>
      <c r="E68" s="2">
        <f t="shared" si="5"/>
        <v>13.250033851655733</v>
      </c>
      <c r="F68" s="2">
        <f t="shared" si="5"/>
        <v>5.8605420223521394</v>
      </c>
      <c r="G68" s="2">
        <f t="shared" si="5"/>
        <v>4.4325909783375863</v>
      </c>
      <c r="H68" s="2">
        <f t="shared" si="5"/>
        <v>7.2071471058958245</v>
      </c>
      <c r="I68" s="2">
        <f t="shared" si="5"/>
        <v>3.6260465752223436</v>
      </c>
      <c r="J68" s="2">
        <f t="shared" si="5"/>
        <v>4.7521781325121299</v>
      </c>
      <c r="K68" s="2">
        <f t="shared" si="5"/>
        <v>3.5623510845988657</v>
      </c>
      <c r="L68" s="2">
        <f t="shared" si="5"/>
        <v>4.0038272450751471</v>
      </c>
      <c r="M68" s="2">
        <f t="shared" si="5"/>
        <v>5.2293887086820359</v>
      </c>
      <c r="N68" s="2">
        <f t="shared" si="5"/>
        <v>4.3760630916149958</v>
      </c>
      <c r="O68" s="2">
        <f t="shared" si="5"/>
        <v>4.9510375912541615</v>
      </c>
      <c r="P68" s="2">
        <f t="shared" si="5"/>
        <v>3.6653500759856517</v>
      </c>
      <c r="Q68" s="2">
        <f t="shared" si="5"/>
        <v>3.4528509272527321</v>
      </c>
      <c r="R68" s="2">
        <f t="shared" si="5"/>
        <v>3.0155895483791095</v>
      </c>
      <c r="S68" s="2">
        <f t="shared" si="5"/>
        <v>2.6497541240346241</v>
      </c>
      <c r="T68" s="2">
        <f t="shared" si="5"/>
        <v>1.141741438686787</v>
      </c>
      <c r="U68" s="2">
        <f t="shared" si="5"/>
        <v>0.97918960597001414</v>
      </c>
      <c r="V68" s="2">
        <f t="shared" si="5"/>
        <v>1.3825014292700915</v>
      </c>
      <c r="W68" s="2">
        <f t="shared" si="5"/>
        <v>0.60283863639370294</v>
      </c>
      <c r="X68" s="2">
        <f t="shared" si="5"/>
        <v>0.69988728211345674</v>
      </c>
      <c r="Y68" s="2">
        <f t="shared" si="5"/>
        <v>0.39786176412519414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1931.4884120842491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457.51087002872498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312.85658932672447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41.70491284410685</v>
      </c>
      <c r="Y73" s="2">
        <f>Y7/'Output-Calculation-sheet'!Y6*'Output-Calculation-sheet'!Y60</f>
        <v>0</v>
      </c>
      <c r="AA73" s="2">
        <f t="shared" si="6"/>
        <v>2.7435607842838055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4278.3907514518614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1431.4170758215068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955.85743772554304</v>
      </c>
      <c r="N74" s="2">
        <f>N8/'Output-Calculation-sheet'!N7*'Output-Calculation-sheet'!N61</f>
        <v>39.953978372224057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118.45767665972842</v>
      </c>
      <c r="Y74" s="2">
        <f>Y8/'Output-Calculation-sheet'!Y7*'Output-Calculation-sheet'!Y61</f>
        <v>0</v>
      </c>
      <c r="AA74" s="2">
        <f t="shared" si="6"/>
        <v>6.8240769200308629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8106.1234941096736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2334.4236862970456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1584.8003711481929</v>
      </c>
      <c r="N75" s="2">
        <f>N9/'Output-Calculation-sheet'!N8*'Output-Calculation-sheet'!N62</f>
        <v>612.16638510770747</v>
      </c>
      <c r="O75" s="2">
        <f>O9/'Output-Calculation-sheet'!O8*'Output-Calculation-sheet'!O62</f>
        <v>0</v>
      </c>
      <c r="P75" s="2">
        <f>P9/'Output-Calculation-sheet'!P8*'Output-Calculation-sheet'!P62</f>
        <v>40.983574516237198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205.12220197159121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191.34148802765259</v>
      </c>
      <c r="Y75" s="2">
        <f>Y9/'Output-Calculation-sheet'!Y8*'Output-Calculation-sheet'!Y62</f>
        <v>0</v>
      </c>
      <c r="AA75" s="2">
        <f t="shared" si="6"/>
        <v>13.074961201178102</v>
      </c>
    </row>
    <row r="76" spans="1:27" x14ac:dyDescent="0.25">
      <c r="A76" s="2">
        <v>2033</v>
      </c>
      <c r="B76" s="2">
        <f>B10/'Output-Calculation-sheet'!B9*'Output-Calculation-sheet'!B63</f>
        <v>4791.8189202130125</v>
      </c>
      <c r="C76" s="2">
        <f>C10/'Output-Calculation-sheet'!C9*'Output-Calculation-sheet'!C63</f>
        <v>9787.0846684648677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3120.473233756119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81.787627211551239</v>
      </c>
      <c r="L76" s="2">
        <f>L10/'Output-Calculation-sheet'!L9*'Output-Calculation-sheet'!L63</f>
        <v>0</v>
      </c>
      <c r="M76" s="2">
        <f>M10/'Output-Calculation-sheet'!M9*'Output-Calculation-sheet'!M63</f>
        <v>2124.725775358294</v>
      </c>
      <c r="N76" s="2">
        <f>N10/'Output-Calculation-sheet'!N9*'Output-Calculation-sheet'!N63</f>
        <v>1213.7374408361525</v>
      </c>
      <c r="O76" s="2">
        <f>O10/'Output-Calculation-sheet'!O9*'Output-Calculation-sheet'!O63</f>
        <v>0</v>
      </c>
      <c r="P76" s="2">
        <f>P10/'Output-Calculation-sheet'!P9*'Output-Calculation-sheet'!P63</f>
        <v>421.4715681586805</v>
      </c>
      <c r="Q76" s="2">
        <f>Q10/'Output-Calculation-sheet'!Q9*'Output-Calculation-sheet'!Q63</f>
        <v>190.10061495756088</v>
      </c>
      <c r="R76" s="2">
        <f>R10/'Output-Calculation-sheet'!R9*'Output-Calculation-sheet'!R63</f>
        <v>321.22871953349488</v>
      </c>
      <c r="S76" s="2">
        <f>S10/'Output-Calculation-sheet'!S9*'Output-Calculation-sheet'!S63</f>
        <v>539.72071142371726</v>
      </c>
      <c r="T76" s="2">
        <f>T10/'Output-Calculation-sheet'!T9*'Output-Calculation-sheet'!T63</f>
        <v>21.84802720447135</v>
      </c>
      <c r="U76" s="2">
        <f>U10/'Output-Calculation-sheet'!U9*'Output-Calculation-sheet'!U63</f>
        <v>113.51114447879495</v>
      </c>
      <c r="V76" s="2">
        <f>V10/'Output-Calculation-sheet'!V9*'Output-Calculation-sheet'!V63</f>
        <v>8.7103362725009834</v>
      </c>
      <c r="W76" s="2">
        <f>W10/'Output-Calculation-sheet'!W9*'Output-Calculation-sheet'!W63</f>
        <v>0</v>
      </c>
      <c r="X76" s="2">
        <f>X10/'Output-Calculation-sheet'!X9*'Output-Calculation-sheet'!X63</f>
        <v>250.20155771508385</v>
      </c>
      <c r="Y76" s="2">
        <f>Y10/'Output-Calculation-sheet'!Y9*'Output-Calculation-sheet'!Y63</f>
        <v>4.7466443409389356</v>
      </c>
      <c r="AA76" s="2">
        <f t="shared" si="6"/>
        <v>22.99116698992524</v>
      </c>
    </row>
    <row r="77" spans="1:27" x14ac:dyDescent="0.25">
      <c r="A77" s="2">
        <v>2034</v>
      </c>
      <c r="B77" s="2">
        <f>B11/'Output-Calculation-sheet'!B10*'Output-Calculation-sheet'!B64</f>
        <v>10592.402603641047</v>
      </c>
      <c r="C77" s="2">
        <f>C11/'Output-Calculation-sheet'!C10*'Output-Calculation-sheet'!C64</f>
        <v>9305.0032275730027</v>
      </c>
      <c r="D77" s="2">
        <f>D11/'Output-Calculation-sheet'!D10*'Output-Calculation-sheet'!D64</f>
        <v>1305.564273116797</v>
      </c>
      <c r="E77" s="2">
        <f>E11/'Output-Calculation-sheet'!E10*'Output-Calculation-sheet'!E64</f>
        <v>1613.2238742558743</v>
      </c>
      <c r="F77" s="2">
        <f>F11/'Output-Calculation-sheet'!F10*'Output-Calculation-sheet'!F64</f>
        <v>100.44661194656699</v>
      </c>
      <c r="G77" s="2">
        <f>G11/'Output-Calculation-sheet'!G10*'Output-Calculation-sheet'!G64</f>
        <v>689.34145377619848</v>
      </c>
      <c r="H77" s="2">
        <f>H11/'Output-Calculation-sheet'!H10*'Output-Calculation-sheet'!H64</f>
        <v>3415.3275782561295</v>
      </c>
      <c r="I77" s="2">
        <f>I11/'Output-Calculation-sheet'!I10*'Output-Calculation-sheet'!I64</f>
        <v>406.67084239104207</v>
      </c>
      <c r="J77" s="2">
        <f>J11/'Output-Calculation-sheet'!J10*'Output-Calculation-sheet'!J64</f>
        <v>289.8938162837307</v>
      </c>
      <c r="K77" s="2">
        <f>K11/'Output-Calculation-sheet'!K10*'Output-Calculation-sheet'!K64</f>
        <v>614.63936453743827</v>
      </c>
      <c r="L77" s="2">
        <f>L11/'Output-Calculation-sheet'!L10*'Output-Calculation-sheet'!L64</f>
        <v>266.87409884080068</v>
      </c>
      <c r="M77" s="2">
        <f>M11/'Output-Calculation-sheet'!M10*'Output-Calculation-sheet'!M64</f>
        <v>2429.1546735587031</v>
      </c>
      <c r="N77" s="2">
        <f>N11/'Output-Calculation-sheet'!N10*'Output-Calculation-sheet'!N64</f>
        <v>1728.283891841643</v>
      </c>
      <c r="O77" s="2">
        <f>O11/'Output-Calculation-sheet'!O10*'Output-Calculation-sheet'!O64</f>
        <v>60.257582297751668</v>
      </c>
      <c r="P77" s="2">
        <f>P11/'Output-Calculation-sheet'!P10*'Output-Calculation-sheet'!P64</f>
        <v>762.80044049385947</v>
      </c>
      <c r="Q77" s="2">
        <f>Q11/'Output-Calculation-sheet'!Q10*'Output-Calculation-sheet'!Q64</f>
        <v>435.27004945327297</v>
      </c>
      <c r="R77" s="2">
        <f>R11/'Output-Calculation-sheet'!R10*'Output-Calculation-sheet'!R64</f>
        <v>652.75788719333309</v>
      </c>
      <c r="S77" s="2">
        <f>S11/'Output-Calculation-sheet'!S10*'Output-Calculation-sheet'!S64</f>
        <v>872.77390428738761</v>
      </c>
      <c r="T77" s="2">
        <f>T11/'Output-Calculation-sheet'!T10*'Output-Calculation-sheet'!T64</f>
        <v>179.58363153992158</v>
      </c>
      <c r="U77" s="2">
        <f>U11/'Output-Calculation-sheet'!U10*'Output-Calculation-sheet'!U64</f>
        <v>238.68761110121633</v>
      </c>
      <c r="V77" s="2">
        <f>V11/'Output-Calculation-sheet'!V10*'Output-Calculation-sheet'!V64</f>
        <v>95.148127747485859</v>
      </c>
      <c r="W77" s="2">
        <f>W11/'Output-Calculation-sheet'!W10*'Output-Calculation-sheet'!W64</f>
        <v>20.103421549002611</v>
      </c>
      <c r="X77" s="2">
        <f>X11/'Output-Calculation-sheet'!X10*'Output-Calculation-sheet'!X64</f>
        <v>246.82790087327496</v>
      </c>
      <c r="Y77" s="2">
        <f>Y11/'Output-Calculation-sheet'!Y10*'Output-Calculation-sheet'!Y64</f>
        <v>59.7635801986738</v>
      </c>
      <c r="AA77" s="2">
        <f t="shared" si="6"/>
        <v>36.380800446754151</v>
      </c>
    </row>
    <row r="78" spans="1:27" x14ac:dyDescent="0.25">
      <c r="A78" s="2">
        <v>2035</v>
      </c>
      <c r="B78" s="2">
        <f>B12/'Output-Calculation-sheet'!B11*'Output-Calculation-sheet'!B65</f>
        <v>11537.802286926097</v>
      </c>
      <c r="C78" s="2">
        <f>C12/'Output-Calculation-sheet'!C11*'Output-Calculation-sheet'!C65</f>
        <v>8147.7512575247647</v>
      </c>
      <c r="D78" s="2">
        <f>D12/'Output-Calculation-sheet'!D11*'Output-Calculation-sheet'!D65</f>
        <v>1224.9223315368502</v>
      </c>
      <c r="E78" s="2">
        <f>E12/'Output-Calculation-sheet'!E11*'Output-Calculation-sheet'!E65</f>
        <v>2328.5447884666237</v>
      </c>
      <c r="F78" s="2">
        <f>F12/'Output-Calculation-sheet'!F11*'Output-Calculation-sheet'!F65</f>
        <v>493.22766149117814</v>
      </c>
      <c r="G78" s="2">
        <f>G12/'Output-Calculation-sheet'!G11*'Output-Calculation-sheet'!G65</f>
        <v>925.48303626788061</v>
      </c>
      <c r="H78" s="2">
        <f>H12/'Output-Calculation-sheet'!H11*'Output-Calculation-sheet'!H65</f>
        <v>2979.690330112885</v>
      </c>
      <c r="I78" s="2">
        <f>I12/'Output-Calculation-sheet'!I11*'Output-Calculation-sheet'!I65</f>
        <v>544.21330174377226</v>
      </c>
      <c r="J78" s="2">
        <f>J12/'Output-Calculation-sheet'!J11*'Output-Calculation-sheet'!J65</f>
        <v>488.06772347681823</v>
      </c>
      <c r="K78" s="2">
        <f>K12/'Output-Calculation-sheet'!K11*'Output-Calculation-sheet'!K65</f>
        <v>615.9178320753316</v>
      </c>
      <c r="L78" s="2">
        <f>L12/'Output-Calculation-sheet'!L11*'Output-Calculation-sheet'!L65</f>
        <v>366.21669501225773</v>
      </c>
      <c r="M78" s="2">
        <f>M12/'Output-Calculation-sheet'!M11*'Output-Calculation-sheet'!M65</f>
        <v>2121.0327765629136</v>
      </c>
      <c r="N78" s="2">
        <f>N12/'Output-Calculation-sheet'!N11*'Output-Calculation-sheet'!N65</f>
        <v>1491.4285652933456</v>
      </c>
      <c r="O78" s="2">
        <f>O12/'Output-Calculation-sheet'!O11*'Output-Calculation-sheet'!O65</f>
        <v>209.07901032308254</v>
      </c>
      <c r="P78" s="2">
        <f>P12/'Output-Calculation-sheet'!P11*'Output-Calculation-sheet'!P65</f>
        <v>847.86139015556375</v>
      </c>
      <c r="Q78" s="2">
        <f>Q12/'Output-Calculation-sheet'!Q11*'Output-Calculation-sheet'!Q65</f>
        <v>426.46586759890374</v>
      </c>
      <c r="R78" s="2">
        <f>R12/'Output-Calculation-sheet'!R11*'Output-Calculation-sheet'!R65</f>
        <v>702.94478640364673</v>
      </c>
      <c r="S78" s="2">
        <f>S12/'Output-Calculation-sheet'!S11*'Output-Calculation-sheet'!S65</f>
        <v>793.0302108317934</v>
      </c>
      <c r="T78" s="2">
        <f>T12/'Output-Calculation-sheet'!T11*'Output-Calculation-sheet'!T65</f>
        <v>252.76258592819676</v>
      </c>
      <c r="U78" s="2">
        <f>U12/'Output-Calculation-sheet'!U11*'Output-Calculation-sheet'!U65</f>
        <v>216.57074372914514</v>
      </c>
      <c r="V78" s="2">
        <f>V12/'Output-Calculation-sheet'!V11*'Output-Calculation-sheet'!V65</f>
        <v>136.41067857545281</v>
      </c>
      <c r="W78" s="2">
        <f>W12/'Output-Calculation-sheet'!W11*'Output-Calculation-sheet'!W65</f>
        <v>96.078392701548481</v>
      </c>
      <c r="X78" s="2">
        <f>X12/'Output-Calculation-sheet'!X11*'Output-Calculation-sheet'!X65</f>
        <v>218.60927559142473</v>
      </c>
      <c r="Y78" s="2">
        <f>Y12/'Output-Calculation-sheet'!Y11*'Output-Calculation-sheet'!Y65</f>
        <v>93.782043111523194</v>
      </c>
      <c r="AA78" s="2">
        <f t="shared" si="6"/>
        <v>37.257893571441009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76.939468295261676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89.683613056855989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0.16662308135211765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261.82473694169119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186.50684325506913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0.44833158019676034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181.51356391526079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282.10561872312252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0.46361918263838331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353.23509107679894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343.12037683813287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0.69635546791493175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645.1782891217988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24.825746360132364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17.082542834148164</v>
      </c>
      <c r="N88" s="2">
        <f>N11/'Output-Calculation-sheet'!N10*'Output-Calculation-sheet'!N73</f>
        <v>0</v>
      </c>
      <c r="O88" s="2">
        <f>O11/'Output-Calculation-sheet'!O10*'Output-Calculation-sheet'!O73</f>
        <v>360.35475633080824</v>
      </c>
      <c r="P88" s="2">
        <f>P11/'Output-Calculation-sheet'!P10*'Output-Calculation-sheet'!P73</f>
        <v>0</v>
      </c>
      <c r="Q88" s="2">
        <f>Q11/'Output-Calculation-sheet'!Q10*'Output-Calculation-sheet'!Q73</f>
        <v>14.710038846004494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1.8739970608089997</v>
      </c>
      <c r="Y88" s="2">
        <f>Y11/'Output-Calculation-sheet'!Y10*'Output-Calculation-sheet'!Y73</f>
        <v>0</v>
      </c>
      <c r="AA88" s="2">
        <f t="shared" si="7"/>
        <v>1.0640253705537008</v>
      </c>
    </row>
    <row r="89" spans="1:27" x14ac:dyDescent="0.25">
      <c r="A89" s="2">
        <v>2035</v>
      </c>
      <c r="B89" s="2">
        <f>B12/'Output-Calculation-sheet'!B11*'Output-Calculation-sheet'!B74</f>
        <v>290.83719308628713</v>
      </c>
      <c r="C89" s="2">
        <f>C12/'Output-Calculation-sheet'!C11*'Output-Calculation-sheet'!C74</f>
        <v>897.24582043203304</v>
      </c>
      <c r="D89" s="2">
        <f>D12/'Output-Calculation-sheet'!D11*'Output-Calculation-sheet'!D74</f>
        <v>122.27824622279513</v>
      </c>
      <c r="E89" s="2">
        <f>E12/'Output-Calculation-sheet'!E11*'Output-Calculation-sheet'!E74</f>
        <v>97.17859017451427</v>
      </c>
      <c r="F89" s="2">
        <f>F12/'Output-Calculation-sheet'!F11*'Output-Calculation-sheet'!F74</f>
        <v>30.559334664880925</v>
      </c>
      <c r="G89" s="2">
        <f>G12/'Output-Calculation-sheet'!G11*'Output-Calculation-sheet'!G74</f>
        <v>43.863834128057285</v>
      </c>
      <c r="H89" s="2">
        <f>H12/'Output-Calculation-sheet'!H11*'Output-Calculation-sheet'!H74</f>
        <v>106.23084901219588</v>
      </c>
      <c r="I89" s="2">
        <f>I12/'Output-Calculation-sheet'!I11*'Output-Calculation-sheet'!I74</f>
        <v>39.452899937927526</v>
      </c>
      <c r="J89" s="2">
        <f>J12/'Output-Calculation-sheet'!J11*'Output-Calculation-sheet'!J74</f>
        <v>19.522708939072729</v>
      </c>
      <c r="K89" s="2">
        <f>K12/'Output-Calculation-sheet'!K11*'Output-Calculation-sheet'!K74</f>
        <v>38.775990435364619</v>
      </c>
      <c r="L89" s="2">
        <f>L12/'Output-Calculation-sheet'!L11*'Output-Calculation-sheet'!L74</f>
        <v>30.832809514818585</v>
      </c>
      <c r="M89" s="2">
        <f>M12/'Output-Calculation-sheet'!M11*'Output-Calculation-sheet'!M74</f>
        <v>58.477775523332532</v>
      </c>
      <c r="N89" s="2">
        <f>N12/'Output-Calculation-sheet'!N11*'Output-Calculation-sheet'!N74</f>
        <v>43.105702382319862</v>
      </c>
      <c r="O89" s="2">
        <f>O12/'Output-Calculation-sheet'!O11*'Output-Calculation-sheet'!O74</f>
        <v>348.62144990701893</v>
      </c>
      <c r="P89" s="2">
        <f>P12/'Output-Calculation-sheet'!P11*'Output-Calculation-sheet'!P74</f>
        <v>26.5479346887799</v>
      </c>
      <c r="Q89" s="2">
        <f>Q12/'Output-Calculation-sheet'!Q11*'Output-Calculation-sheet'!Q74</f>
        <v>37.767080021156907</v>
      </c>
      <c r="R89" s="2">
        <f>R12/'Output-Calculation-sheet'!R11*'Output-Calculation-sheet'!R74</f>
        <v>24.968734642973992</v>
      </c>
      <c r="S89" s="2">
        <f>S12/'Output-Calculation-sheet'!S11*'Output-Calculation-sheet'!S74</f>
        <v>24.709609610263399</v>
      </c>
      <c r="T89" s="2">
        <f>T12/'Output-Calculation-sheet'!T11*'Output-Calculation-sheet'!T74</f>
        <v>4.6187772668469025</v>
      </c>
      <c r="U89" s="2">
        <f>U12/'Output-Calculation-sheet'!U11*'Output-Calculation-sheet'!U74</f>
        <v>8.033337428285364</v>
      </c>
      <c r="V89" s="2">
        <f>V12/'Output-Calculation-sheet'!V11*'Output-Calculation-sheet'!V74</f>
        <v>3.0972158702961381</v>
      </c>
      <c r="W89" s="2">
        <f>W12/'Output-Calculation-sheet'!W11*'Output-Calculation-sheet'!W74</f>
        <v>2.6819560267292455</v>
      </c>
      <c r="X89" s="2">
        <f>X12/'Output-Calculation-sheet'!X11*'Output-Calculation-sheet'!X74</f>
        <v>9.6227342015769324</v>
      </c>
      <c r="Y89" s="2">
        <f>Y12/'Output-Calculation-sheet'!Y11*'Output-Calculation-sheet'!Y74</f>
        <v>3.0953723281301491</v>
      </c>
      <c r="AA89" s="2">
        <f t="shared" si="7"/>
        <v>2.3121259564456569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1629246374.5792322</v>
      </c>
      <c r="C93" s="2">
        <f>C5/'Output-Calculation-sheet'!C4*'Output-Calculation-sheet'!C76</f>
        <v>539760133.46424901</v>
      </c>
      <c r="D93" s="2">
        <f>D5/'Output-Calculation-sheet'!D4*'Output-Calculation-sheet'!D76</f>
        <v>597466261.48821986</v>
      </c>
      <c r="E93" s="2">
        <f>E5/'Output-Calculation-sheet'!E4*'Output-Calculation-sheet'!E76</f>
        <v>999744858.77362835</v>
      </c>
      <c r="F93" s="2">
        <f>F5/'Output-Calculation-sheet'!F4*'Output-Calculation-sheet'!F76</f>
        <v>429568478.24697286</v>
      </c>
      <c r="G93" s="2">
        <f>G5/'Output-Calculation-sheet'!G4*'Output-Calculation-sheet'!G76</f>
        <v>334098303.34714204</v>
      </c>
      <c r="H93" s="2">
        <f>H5/'Output-Calculation-sheet'!H4*'Output-Calculation-sheet'!H76</f>
        <v>282609225.61553085</v>
      </c>
      <c r="I93" s="2">
        <f>I5/'Output-Calculation-sheet'!I4*'Output-Calculation-sheet'!I76</f>
        <v>231901569.20781788</v>
      </c>
      <c r="J93" s="2">
        <f>J5/'Output-Calculation-sheet'!J4*'Output-Calculation-sheet'!J76</f>
        <v>157365768.15576404</v>
      </c>
      <c r="K93" s="2">
        <f>K5/'Output-Calculation-sheet'!K4*'Output-Calculation-sheet'!K76</f>
        <v>229999353.40538996</v>
      </c>
      <c r="L93" s="2">
        <f>L5/'Output-Calculation-sheet'!L4*'Output-Calculation-sheet'!L76</f>
        <v>153526242.26344407</v>
      </c>
      <c r="M93" s="2">
        <f>M5/'Output-Calculation-sheet'!M4*'Output-Calculation-sheet'!M76</f>
        <v>206464973.09713775</v>
      </c>
      <c r="N93" s="2">
        <f>N5/'Output-Calculation-sheet'!N4*'Output-Calculation-sheet'!N76</f>
        <v>155905265.13577422</v>
      </c>
      <c r="O93" s="2">
        <f>O5/'Output-Calculation-sheet'!O4*'Output-Calculation-sheet'!O76</f>
        <v>76095446.181501076</v>
      </c>
      <c r="P93" s="2">
        <f>P5/'Output-Calculation-sheet'!P4*'Output-Calculation-sheet'!P76</f>
        <v>270130008.26512927</v>
      </c>
      <c r="Q93" s="2">
        <f>Q5/'Output-Calculation-sheet'!Q4*'Output-Calculation-sheet'!Q76</f>
        <v>124015686.12279825</v>
      </c>
      <c r="R93" s="2">
        <f>R5/'Output-Calculation-sheet'!R4*'Output-Calculation-sheet'!R76</f>
        <v>155177627.20317355</v>
      </c>
      <c r="S93" s="2">
        <f>S5/'Output-Calculation-sheet'!S4*'Output-Calculation-sheet'!S76</f>
        <v>91420680.882570475</v>
      </c>
      <c r="T93" s="2">
        <f>T5/'Output-Calculation-sheet'!T4*'Output-Calculation-sheet'!T76</f>
        <v>70299511.893065676</v>
      </c>
      <c r="U93" s="2">
        <f>U5/'Output-Calculation-sheet'!U4*'Output-Calculation-sheet'!U76</f>
        <v>45574782.200702898</v>
      </c>
      <c r="V93" s="2">
        <f>V5/'Output-Calculation-sheet'!V4*'Output-Calculation-sheet'!V76</f>
        <v>23360222.420539867</v>
      </c>
      <c r="W93" s="2">
        <f>W5/'Output-Calculation-sheet'!W4*'Output-Calculation-sheet'!W76</f>
        <v>65435100.510446936</v>
      </c>
      <c r="X93" s="2">
        <f>X5/'Output-Calculation-sheet'!X4*'Output-Calculation-sheet'!X76</f>
        <v>22710849.810509179</v>
      </c>
      <c r="Y93" s="2">
        <f>Y5/'Output-Calculation-sheet'!Y4*'Output-Calculation-sheet'!Y76</f>
        <v>35772196.627414413</v>
      </c>
      <c r="AA93" s="2">
        <f t="shared" ref="AA93:AA100" si="8">SUM(B93:Y93)/10^9</f>
        <v>6.9276489188981536</v>
      </c>
    </row>
    <row r="94" spans="1:27" x14ac:dyDescent="0.25">
      <c r="A94" s="2">
        <v>2029</v>
      </c>
      <c r="B94" s="2">
        <f>B6/'Output-Calculation-sheet'!B5*'Output-Calculation-sheet'!B77</f>
        <v>4248991140.1462688</v>
      </c>
      <c r="C94" s="2">
        <f>C6/'Output-Calculation-sheet'!C5*'Output-Calculation-sheet'!C77</f>
        <v>1417228436.9684463</v>
      </c>
      <c r="D94" s="2">
        <f>D6/'Output-Calculation-sheet'!D5*'Output-Calculation-sheet'!D77</f>
        <v>1559324056.9586747</v>
      </c>
      <c r="E94" s="2">
        <f>E6/'Output-Calculation-sheet'!E5*'Output-Calculation-sheet'!E77</f>
        <v>2652057527.8578758</v>
      </c>
      <c r="F94" s="2">
        <f>F6/'Output-Calculation-sheet'!F5*'Output-Calculation-sheet'!F77</f>
        <v>1119745954.2854421</v>
      </c>
      <c r="G94" s="2">
        <f>G6/'Output-Calculation-sheet'!G5*'Output-Calculation-sheet'!G77</f>
        <v>883016422.89512682</v>
      </c>
      <c r="H94" s="2">
        <f>H6/'Output-Calculation-sheet'!H5*'Output-Calculation-sheet'!H77</f>
        <v>742166857.0713712</v>
      </c>
      <c r="I94" s="2">
        <f>I6/'Output-Calculation-sheet'!I5*'Output-Calculation-sheet'!I77</f>
        <v>603035751.25771022</v>
      </c>
      <c r="J94" s="2">
        <f>J6/'Output-Calculation-sheet'!J5*'Output-Calculation-sheet'!J77</f>
        <v>414280959.45719826</v>
      </c>
      <c r="K94" s="2">
        <f>K6/'Output-Calculation-sheet'!K5*'Output-Calculation-sheet'!K77</f>
        <v>596892926.52941906</v>
      </c>
      <c r="L94" s="2">
        <f>L6/'Output-Calculation-sheet'!L5*'Output-Calculation-sheet'!L77</f>
        <v>403401186.66627371</v>
      </c>
      <c r="M94" s="2">
        <f>M6/'Output-Calculation-sheet'!M5*'Output-Calculation-sheet'!M77</f>
        <v>547013898.45106816</v>
      </c>
      <c r="N94" s="2">
        <f>N6/'Output-Calculation-sheet'!N5*'Output-Calculation-sheet'!N77</f>
        <v>413819430.23757708</v>
      </c>
      <c r="O94" s="2">
        <f>O6/'Output-Calculation-sheet'!O5*'Output-Calculation-sheet'!O77</f>
        <v>203244792.26279789</v>
      </c>
      <c r="P94" s="2">
        <f>P6/'Output-Calculation-sheet'!P5*'Output-Calculation-sheet'!P77</f>
        <v>707704331.91354501</v>
      </c>
      <c r="Q94" s="2">
        <f>Q6/'Output-Calculation-sheet'!Q5*'Output-Calculation-sheet'!Q77</f>
        <v>326932133.67693597</v>
      </c>
      <c r="R94" s="2">
        <f>R6/'Output-Calculation-sheet'!R5*'Output-Calculation-sheet'!R77</f>
        <v>405903386.49793798</v>
      </c>
      <c r="S94" s="2">
        <f>S6/'Output-Calculation-sheet'!S5*'Output-Calculation-sheet'!S77</f>
        <v>238331140.03725183</v>
      </c>
      <c r="T94" s="2">
        <f>T6/'Output-Calculation-sheet'!T5*'Output-Calculation-sheet'!T77</f>
        <v>183849036.31867337</v>
      </c>
      <c r="U94" s="2">
        <f>U6/'Output-Calculation-sheet'!U5*'Output-Calculation-sheet'!U77</f>
        <v>116379427.17650668</v>
      </c>
      <c r="V94" s="2">
        <f>V6/'Output-Calculation-sheet'!V5*'Output-Calculation-sheet'!V77</f>
        <v>59693977.66134657</v>
      </c>
      <c r="W94" s="2">
        <f>W6/'Output-Calculation-sheet'!W5*'Output-Calculation-sheet'!W77</f>
        <v>173214548.15327573</v>
      </c>
      <c r="X94" s="2">
        <f>X6/'Output-Calculation-sheet'!X5*'Output-Calculation-sheet'!X77</f>
        <v>59901127.037608653</v>
      </c>
      <c r="Y94" s="2">
        <f>Y6/'Output-Calculation-sheet'!Y5*'Output-Calculation-sheet'!Y77</f>
        <v>94974270.172473267</v>
      </c>
      <c r="AA94" s="2">
        <f t="shared" si="8"/>
        <v>18.171102719690804</v>
      </c>
    </row>
    <row r="95" spans="1:27" x14ac:dyDescent="0.25">
      <c r="A95" s="2">
        <v>2030</v>
      </c>
      <c r="B95" s="2">
        <f>B7/'Output-Calculation-sheet'!B6*'Output-Calculation-sheet'!B78</f>
        <v>7622328020.5885344</v>
      </c>
      <c r="C95" s="2">
        <f>C7/'Output-Calculation-sheet'!C6*'Output-Calculation-sheet'!C78</f>
        <v>2559416802.8664169</v>
      </c>
      <c r="D95" s="2">
        <f>D7/'Output-Calculation-sheet'!D6*'Output-Calculation-sheet'!D78</f>
        <v>2801901360.943625</v>
      </c>
      <c r="E95" s="2">
        <f>E7/'Output-Calculation-sheet'!E6*'Output-Calculation-sheet'!E78</f>
        <v>4843783956.8494005</v>
      </c>
      <c r="F95" s="2">
        <f>F7/'Output-Calculation-sheet'!F6*'Output-Calculation-sheet'!F78</f>
        <v>2008323607.602324</v>
      </c>
      <c r="G95" s="2">
        <f>G7/'Output-Calculation-sheet'!G6*'Output-Calculation-sheet'!G78</f>
        <v>1606733832.0526998</v>
      </c>
      <c r="H95" s="2">
        <f>H7/'Output-Calculation-sheet'!H6*'Output-Calculation-sheet'!H78</f>
        <v>1340954957.3614662</v>
      </c>
      <c r="I95" s="2">
        <f>I7/'Output-Calculation-sheet'!I6*'Output-Calculation-sheet'!I78</f>
        <v>1079178861.6099992</v>
      </c>
      <c r="J95" s="2">
        <f>J7/'Output-Calculation-sheet'!J6*'Output-Calculation-sheet'!J78</f>
        <v>750951927.84988725</v>
      </c>
      <c r="K95" s="2">
        <f>K7/'Output-Calculation-sheet'!K6*'Output-Calculation-sheet'!K78</f>
        <v>1065953799.0144868</v>
      </c>
      <c r="L95" s="2">
        <f>L7/'Output-Calculation-sheet'!L6*'Output-Calculation-sheet'!L78</f>
        <v>729509653.29521561</v>
      </c>
      <c r="M95" s="2">
        <f>M7/'Output-Calculation-sheet'!M6*'Output-Calculation-sheet'!M78</f>
        <v>997707111.165254</v>
      </c>
      <c r="N95" s="2">
        <f>N7/'Output-Calculation-sheet'!N6*'Output-Calculation-sheet'!N78</f>
        <v>756275572.99651313</v>
      </c>
      <c r="O95" s="2">
        <f>O7/'Output-Calculation-sheet'!O6*'Output-Calculation-sheet'!O78</f>
        <v>373667521.16483265</v>
      </c>
      <c r="P95" s="2">
        <f>P7/'Output-Calculation-sheet'!P6*'Output-Calculation-sheet'!P78</f>
        <v>1275443685.135396</v>
      </c>
      <c r="Q95" s="2">
        <f>Q7/'Output-Calculation-sheet'!Q6*'Output-Calculation-sheet'!Q78</f>
        <v>593325787.36160111</v>
      </c>
      <c r="R95" s="2">
        <f>R7/'Output-Calculation-sheet'!R6*'Output-Calculation-sheet'!R78</f>
        <v>730508225.01357377</v>
      </c>
      <c r="S95" s="2">
        <f>S7/'Output-Calculation-sheet'!S6*'Output-Calculation-sheet'!S78</f>
        <v>427431739.34490931</v>
      </c>
      <c r="T95" s="2">
        <f>T7/'Output-Calculation-sheet'!T6*'Output-Calculation-sheet'!T78</f>
        <v>330867905.35257918</v>
      </c>
      <c r="U95" s="2">
        <f>U7/'Output-Calculation-sheet'!U6*'Output-Calculation-sheet'!U78</f>
        <v>204254186.57971448</v>
      </c>
      <c r="V95" s="2">
        <f>V7/'Output-Calculation-sheet'!V6*'Output-Calculation-sheet'!V78</f>
        <v>104826703.04075125</v>
      </c>
      <c r="W95" s="2">
        <f>W7/'Output-Calculation-sheet'!W6*'Output-Calculation-sheet'!W78</f>
        <v>315675389.25910026</v>
      </c>
      <c r="X95" s="2">
        <f>X7/'Output-Calculation-sheet'!X6*'Output-Calculation-sheet'!X78</f>
        <v>108772444.86513057</v>
      </c>
      <c r="Y95" s="2">
        <f>Y7/'Output-Calculation-sheet'!Y6*'Output-Calculation-sheet'!Y78</f>
        <v>173608059.39965627</v>
      </c>
      <c r="AA95" s="2">
        <f t="shared" si="8"/>
        <v>32.80140111071308</v>
      </c>
    </row>
    <row r="96" spans="1:27" x14ac:dyDescent="0.25">
      <c r="A96" s="2">
        <v>2031</v>
      </c>
      <c r="B96" s="2">
        <f>B8/'Output-Calculation-sheet'!B7*'Output-Calculation-sheet'!B79</f>
        <v>11514664540.114498</v>
      </c>
      <c r="C96" s="2">
        <f>C8/'Output-Calculation-sheet'!C7*'Output-Calculation-sheet'!C79</f>
        <v>3895463346.1834068</v>
      </c>
      <c r="D96" s="2">
        <f>D8/'Output-Calculation-sheet'!D7*'Output-Calculation-sheet'!D79</f>
        <v>4066607187.1643395</v>
      </c>
      <c r="E96" s="2">
        <f>E8/'Output-Calculation-sheet'!E7*'Output-Calculation-sheet'!E79</f>
        <v>7230081327.8254719</v>
      </c>
      <c r="F96" s="2">
        <f>F8/'Output-Calculation-sheet'!F7*'Output-Calculation-sheet'!F79</f>
        <v>2992459414.9353256</v>
      </c>
      <c r="G96" s="2">
        <f>G8/'Output-Calculation-sheet'!G7*'Output-Calculation-sheet'!G79</f>
        <v>2330879821.8399391</v>
      </c>
      <c r="H96" s="2">
        <f>H8/'Output-Calculation-sheet'!H7*'Output-Calculation-sheet'!H79</f>
        <v>1995101490.3541617</v>
      </c>
      <c r="I96" s="2">
        <f>I8/'Output-Calculation-sheet'!I7*'Output-Calculation-sheet'!I79</f>
        <v>1623705598.1560624</v>
      </c>
      <c r="J96" s="2">
        <f>J8/'Output-Calculation-sheet'!J7*'Output-Calculation-sheet'!J79</f>
        <v>1097991664.9104211</v>
      </c>
      <c r="K96" s="2">
        <f>K8/'Output-Calculation-sheet'!K7*'Output-Calculation-sheet'!K79</f>
        <v>1570898536.1521184</v>
      </c>
      <c r="L96" s="2">
        <f>L8/'Output-Calculation-sheet'!L7*'Output-Calculation-sheet'!L79</f>
        <v>1108424640.2244389</v>
      </c>
      <c r="M96" s="2">
        <f>M8/'Output-Calculation-sheet'!M7*'Output-Calculation-sheet'!M79</f>
        <v>1489304676.9834664</v>
      </c>
      <c r="N96" s="2">
        <f>N8/'Output-Calculation-sheet'!N7*'Output-Calculation-sheet'!N79</f>
        <v>1108161291.1564183</v>
      </c>
      <c r="O96" s="2">
        <f>O8/'Output-Calculation-sheet'!O7*'Output-Calculation-sheet'!O79</f>
        <v>560213487.46373773</v>
      </c>
      <c r="P96" s="2">
        <f>P8/'Output-Calculation-sheet'!P7*'Output-Calculation-sheet'!P79</f>
        <v>1873796619.4024489</v>
      </c>
      <c r="Q96" s="2">
        <f>Q8/'Output-Calculation-sheet'!Q7*'Output-Calculation-sheet'!Q79</f>
        <v>873269371.61138391</v>
      </c>
      <c r="R96" s="2">
        <f>R8/'Output-Calculation-sheet'!R7*'Output-Calculation-sheet'!R79</f>
        <v>1089507349.9460175</v>
      </c>
      <c r="S96" s="2">
        <f>S8/'Output-Calculation-sheet'!S7*'Output-Calculation-sheet'!S79</f>
        <v>634838286.4270761</v>
      </c>
      <c r="T96" s="2">
        <f>T8/'Output-Calculation-sheet'!T7*'Output-Calculation-sheet'!T79</f>
        <v>484870302.72914702</v>
      </c>
      <c r="U96" s="2">
        <f>U8/'Output-Calculation-sheet'!U7*'Output-Calculation-sheet'!U79</f>
        <v>304583062.57805431</v>
      </c>
      <c r="V96" s="2">
        <f>V8/'Output-Calculation-sheet'!V7*'Output-Calculation-sheet'!V79</f>
        <v>158033576.09694549</v>
      </c>
      <c r="W96" s="2">
        <f>W8/'Output-Calculation-sheet'!W7*'Output-Calculation-sheet'!W79</f>
        <v>466976405.14447391</v>
      </c>
      <c r="X96" s="2">
        <f>X8/'Output-Calculation-sheet'!X7*'Output-Calculation-sheet'!X79</f>
        <v>164128991.20642594</v>
      </c>
      <c r="Y96" s="2">
        <f>Y8/'Output-Calculation-sheet'!Y7*'Output-Calculation-sheet'!Y79</f>
        <v>256695479.05778819</v>
      </c>
      <c r="AA96" s="2">
        <f t="shared" si="8"/>
        <v>48.890656467663568</v>
      </c>
    </row>
    <row r="97" spans="1:27" x14ac:dyDescent="0.25">
      <c r="A97" s="2">
        <v>2032</v>
      </c>
      <c r="B97" s="2">
        <f>B9/'Output-Calculation-sheet'!B8*'Output-Calculation-sheet'!B80</f>
        <v>14959164195.023743</v>
      </c>
      <c r="C97" s="2">
        <f>C9/'Output-Calculation-sheet'!C8*'Output-Calculation-sheet'!C80</f>
        <v>5095171958.0442305</v>
      </c>
      <c r="D97" s="2">
        <f>D9/'Output-Calculation-sheet'!D8*'Output-Calculation-sheet'!D80</f>
        <v>5076842876.6922092</v>
      </c>
      <c r="E97" s="2">
        <f>E9/'Output-Calculation-sheet'!E8*'Output-Calculation-sheet'!E80</f>
        <v>9284786117.2657223</v>
      </c>
      <c r="F97" s="2">
        <f>F9/'Output-Calculation-sheet'!F8*'Output-Calculation-sheet'!F80</f>
        <v>3835545897.0970817</v>
      </c>
      <c r="G97" s="2">
        <f>G9/'Output-Calculation-sheet'!G8*'Output-Calculation-sheet'!G80</f>
        <v>2903297517.9306564</v>
      </c>
      <c r="H97" s="2">
        <f>H9/'Output-Calculation-sheet'!H8*'Output-Calculation-sheet'!H80</f>
        <v>2554315401.2423072</v>
      </c>
      <c r="I97" s="2">
        <f>I9/'Output-Calculation-sheet'!I8*'Output-Calculation-sheet'!I80</f>
        <v>2101161464.1582882</v>
      </c>
      <c r="J97" s="2">
        <f>J9/'Output-Calculation-sheet'!J8*'Output-Calculation-sheet'!J80</f>
        <v>1381319724.5855138</v>
      </c>
      <c r="K97" s="2">
        <f>K9/'Output-Calculation-sheet'!K8*'Output-Calculation-sheet'!K80</f>
        <v>1991463418.4859867</v>
      </c>
      <c r="L97" s="2">
        <f>L9/'Output-Calculation-sheet'!L8*'Output-Calculation-sheet'!L80</f>
        <v>1449455479.4617896</v>
      </c>
      <c r="M97" s="2">
        <f>M9/'Output-Calculation-sheet'!M8*'Output-Calculation-sheet'!M80</f>
        <v>1912394346.4841568</v>
      </c>
      <c r="N97" s="2">
        <f>N9/'Output-Calculation-sheet'!N8*'Output-Calculation-sheet'!N80</f>
        <v>1397259760.1754994</v>
      </c>
      <c r="O97" s="2">
        <f>O9/'Output-Calculation-sheet'!O8*'Output-Calculation-sheet'!O80</f>
        <v>722850687.3950175</v>
      </c>
      <c r="P97" s="2">
        <f>P9/'Output-Calculation-sheet'!P8*'Output-Calculation-sheet'!P80</f>
        <v>2365031524.3706427</v>
      </c>
      <c r="Q97" s="2">
        <f>Q9/'Output-Calculation-sheet'!Q8*'Output-Calculation-sheet'!Q80</f>
        <v>1106271054.7259841</v>
      </c>
      <c r="R97" s="2">
        <f>R9/'Output-Calculation-sheet'!R8*'Output-Calculation-sheet'!R80</f>
        <v>1397770658.2501936</v>
      </c>
      <c r="S97" s="2">
        <f>S9/'Output-Calculation-sheet'!S8*'Output-Calculation-sheet'!S80</f>
        <v>811262045.38139522</v>
      </c>
      <c r="T97" s="2">
        <f>T9/'Output-Calculation-sheet'!T8*'Output-Calculation-sheet'!T80</f>
        <v>610908851.50519562</v>
      </c>
      <c r="U97" s="2">
        <f>U9/'Output-Calculation-sheet'!U8*'Output-Calculation-sheet'!U80</f>
        <v>390549647.42446816</v>
      </c>
      <c r="V97" s="2">
        <f>V9/'Output-Calculation-sheet'!V8*'Output-Calculation-sheet'!V80</f>
        <v>204780960.11842215</v>
      </c>
      <c r="W97" s="2">
        <f>W9/'Output-Calculation-sheet'!W8*'Output-Calculation-sheet'!W80</f>
        <v>593049617.29339075</v>
      </c>
      <c r="X97" s="2">
        <f>X9/'Output-Calculation-sheet'!X8*'Output-Calculation-sheet'!X80</f>
        <v>212962042.80842516</v>
      </c>
      <c r="Y97" s="2">
        <f>Y9/'Output-Calculation-sheet'!Y8*'Output-Calculation-sheet'!Y80</f>
        <v>325978457.65627211</v>
      </c>
      <c r="AA97" s="2">
        <f t="shared" si="8"/>
        <v>62.683593703576591</v>
      </c>
    </row>
    <row r="98" spans="1:27" x14ac:dyDescent="0.25">
      <c r="A98" s="2">
        <v>2033</v>
      </c>
      <c r="B98" s="2">
        <f>B10/'Output-Calculation-sheet'!B9*'Output-Calculation-sheet'!B81</f>
        <v>17459076149.375866</v>
      </c>
      <c r="C98" s="2">
        <f>C10/'Output-Calculation-sheet'!C9*'Output-Calculation-sheet'!C81</f>
        <v>5985837076.9655762</v>
      </c>
      <c r="D98" s="2">
        <f>D10/'Output-Calculation-sheet'!D9*'Output-Calculation-sheet'!D81</f>
        <v>5696693758.0722141</v>
      </c>
      <c r="E98" s="2">
        <f>E10/'Output-Calculation-sheet'!E9*'Output-Calculation-sheet'!E81</f>
        <v>10715839393.34495</v>
      </c>
      <c r="F98" s="2">
        <f>F10/'Output-Calculation-sheet'!F9*'Output-Calculation-sheet'!F81</f>
        <v>4419471179.2557917</v>
      </c>
      <c r="G98" s="2">
        <f>G10/'Output-Calculation-sheet'!G9*'Output-Calculation-sheet'!G81</f>
        <v>3244910958.468224</v>
      </c>
      <c r="H98" s="2">
        <f>H10/'Output-Calculation-sheet'!H9*'Output-Calculation-sheet'!H81</f>
        <v>2939915840.0928369</v>
      </c>
      <c r="I98" s="2">
        <f>I10/'Output-Calculation-sheet'!I9*'Output-Calculation-sheet'!I81</f>
        <v>2443938002.8177714</v>
      </c>
      <c r="J98" s="2">
        <f>J10/'Output-Calculation-sheet'!J9*'Output-Calculation-sheet'!J81</f>
        <v>1562715557.6276133</v>
      </c>
      <c r="K98" s="2">
        <f>K10/'Output-Calculation-sheet'!K9*'Output-Calculation-sheet'!K81</f>
        <v>2269906319.8268604</v>
      </c>
      <c r="L98" s="2">
        <f>L10/'Output-Calculation-sheet'!L9*'Output-Calculation-sheet'!L81</f>
        <v>1702463717.779716</v>
      </c>
      <c r="M98" s="2">
        <f>M10/'Output-Calculation-sheet'!M9*'Output-Calculation-sheet'!M81</f>
        <v>2207753359.887455</v>
      </c>
      <c r="N98" s="2">
        <f>N10/'Output-Calculation-sheet'!N9*'Output-Calculation-sheet'!N81</f>
        <v>1583890775.354686</v>
      </c>
      <c r="O98" s="2">
        <f>O10/'Output-Calculation-sheet'!O9*'Output-Calculation-sheet'!O81</f>
        <v>838759648.34288836</v>
      </c>
      <c r="P98" s="2">
        <f>P10/'Output-Calculation-sheet'!P9*'Output-Calculation-sheet'!P81</f>
        <v>2680432473.864028</v>
      </c>
      <c r="Q98" s="2">
        <f>Q10/'Output-Calculation-sheet'!Q9*'Output-Calculation-sheet'!Q81</f>
        <v>1260271398.6689804</v>
      </c>
      <c r="R98" s="2">
        <f>R10/'Output-Calculation-sheet'!R9*'Output-Calculation-sheet'!R81</f>
        <v>1612077783.1128595</v>
      </c>
      <c r="S98" s="2">
        <f>S10/'Output-Calculation-sheet'!S9*'Output-Calculation-sheet'!S81</f>
        <v>932067971.02722907</v>
      </c>
      <c r="T98" s="2">
        <f>T10/'Output-Calculation-sheet'!T9*'Output-Calculation-sheet'!T81</f>
        <v>691632779.40317583</v>
      </c>
      <c r="U98" s="2">
        <f>U10/'Output-Calculation-sheet'!U9*'Output-Calculation-sheet'!U81</f>
        <v>450021143.09879196</v>
      </c>
      <c r="V98" s="2">
        <f>V10/'Output-Calculation-sheet'!V9*'Output-Calculation-sheet'!V81</f>
        <v>238338775.63603121</v>
      </c>
      <c r="W98" s="2">
        <f>W10/'Output-Calculation-sheet'!W9*'Output-Calculation-sheet'!W81</f>
        <v>675772655.87937784</v>
      </c>
      <c r="X98" s="2">
        <f>X10/'Output-Calculation-sheet'!X9*'Output-Calculation-sheet'!X81</f>
        <v>248326005.35468075</v>
      </c>
      <c r="Y98" s="2">
        <f>Y10/'Output-Calculation-sheet'!Y9*'Output-Calculation-sheet'!Y81</f>
        <v>371581655.97366798</v>
      </c>
      <c r="AA98" s="2">
        <f t="shared" si="8"/>
        <v>72.231694379231257</v>
      </c>
    </row>
    <row r="99" spans="1:27" x14ac:dyDescent="0.25">
      <c r="A99" s="2">
        <v>2034</v>
      </c>
      <c r="B99" s="2">
        <f>B11/'Output-Calculation-sheet'!B10*'Output-Calculation-sheet'!B82</f>
        <v>18595445510.205429</v>
      </c>
      <c r="C99" s="2">
        <f>C11/'Output-Calculation-sheet'!C10*'Output-Calculation-sheet'!C82</f>
        <v>6416191630.8985844</v>
      </c>
      <c r="D99" s="2">
        <f>D11/'Output-Calculation-sheet'!D10*'Output-Calculation-sheet'!D82</f>
        <v>5836929611.433567</v>
      </c>
      <c r="E99" s="2">
        <f>E11/'Output-Calculation-sheet'!E10*'Output-Calculation-sheet'!E82</f>
        <v>11291028499.146637</v>
      </c>
      <c r="F99" s="2">
        <f>F11/'Output-Calculation-sheet'!F10*'Output-Calculation-sheet'!F82</f>
        <v>4650196075.0879145</v>
      </c>
      <c r="G99" s="2">
        <f>G11/'Output-Calculation-sheet'!G10*'Output-Calculation-sheet'!G82</f>
        <v>3305958500.0632057</v>
      </c>
      <c r="H99" s="2">
        <f>H11/'Output-Calculation-sheet'!H10*'Output-Calculation-sheet'!H82</f>
        <v>3090018445.6768632</v>
      </c>
      <c r="I99" s="2">
        <f>I11/'Output-Calculation-sheet'!I10*'Output-Calculation-sheet'!I82</f>
        <v>2595400376.8191614</v>
      </c>
      <c r="J99" s="2">
        <f>J11/'Output-Calculation-sheet'!J10*'Output-Calculation-sheet'!J82</f>
        <v>1615116661.8603826</v>
      </c>
      <c r="K99" s="2">
        <f>K11/'Output-Calculation-sheet'!K10*'Output-Calculation-sheet'!K82</f>
        <v>2363127622.9362516</v>
      </c>
      <c r="L99" s="2">
        <f>L11/'Output-Calculation-sheet'!L10*'Output-Calculation-sheet'!L82</f>
        <v>1824507338.9801996</v>
      </c>
      <c r="M99" s="2">
        <f>M11/'Output-Calculation-sheet'!M10*'Output-Calculation-sheet'!M82</f>
        <v>2327653620.5467615</v>
      </c>
      <c r="N99" s="2">
        <f>N11/'Output-Calculation-sheet'!N10*'Output-Calculation-sheet'!N82</f>
        <v>1639834150.5758331</v>
      </c>
      <c r="O99" s="2">
        <f>O11/'Output-Calculation-sheet'!O10*'Output-Calculation-sheet'!O82</f>
        <v>889036389.65111041</v>
      </c>
      <c r="P99" s="2">
        <f>P11/'Output-Calculation-sheet'!P10*'Output-Calculation-sheet'!P82</f>
        <v>2771327829.7183547</v>
      </c>
      <c r="Q99" s="2">
        <f>Q11/'Output-Calculation-sheet'!Q10*'Output-Calculation-sheet'!Q82</f>
        <v>1311566480.7610373</v>
      </c>
      <c r="R99" s="2">
        <f>R11/'Output-Calculation-sheet'!R10*'Output-Calculation-sheet'!R82</f>
        <v>1697816743.8672283</v>
      </c>
      <c r="S99" s="2">
        <f>S11/'Output-Calculation-sheet'!S10*'Output-Calculation-sheet'!S82</f>
        <v>977989909.48374236</v>
      </c>
      <c r="T99" s="2">
        <f>T11/'Output-Calculation-sheet'!T10*'Output-Calculation-sheet'!T82</f>
        <v>714796283.36967659</v>
      </c>
      <c r="U99" s="2">
        <f>U11/'Output-Calculation-sheet'!U10*'Output-Calculation-sheet'!U82</f>
        <v>473352508.0394066</v>
      </c>
      <c r="V99" s="2">
        <f>V11/'Output-Calculation-sheet'!V10*'Output-Calculation-sheet'!V82</f>
        <v>253095684.56578696</v>
      </c>
      <c r="W99" s="2">
        <f>W11/'Output-Calculation-sheet'!W10*'Output-Calculation-sheet'!W82</f>
        <v>701843194.63970089</v>
      </c>
      <c r="X99" s="2">
        <f>X11/'Output-Calculation-sheet'!X10*'Output-Calculation-sheet'!X82</f>
        <v>264333469.61741009</v>
      </c>
      <c r="Y99" s="2">
        <f>Y11/'Output-Calculation-sheet'!Y10*'Output-Calculation-sheet'!Y82</f>
        <v>386236355.90854174</v>
      </c>
      <c r="AA99" s="2">
        <f t="shared" si="8"/>
        <v>75.992802893852797</v>
      </c>
    </row>
    <row r="100" spans="1:27" x14ac:dyDescent="0.25">
      <c r="A100" s="2">
        <v>2035</v>
      </c>
      <c r="B100" s="2">
        <f>B12/'Output-Calculation-sheet'!B11*'Output-Calculation-sheet'!B83</f>
        <v>18183083144.316055</v>
      </c>
      <c r="C100" s="2">
        <f>C12/'Output-Calculation-sheet'!C11*'Output-Calculation-sheet'!C83</f>
        <v>6312871131.3375893</v>
      </c>
      <c r="D100" s="2">
        <f>D12/'Output-Calculation-sheet'!D11*'Output-Calculation-sheet'!D83</f>
        <v>5494544870.0246677</v>
      </c>
      <c r="E100" s="2">
        <f>E12/'Output-Calculation-sheet'!E11*'Output-Calculation-sheet'!E83</f>
        <v>10927231995.384731</v>
      </c>
      <c r="F100" s="2">
        <f>F12/'Output-Calculation-sheet'!F11*'Output-Calculation-sheet'!F83</f>
        <v>4495027542.6597319</v>
      </c>
      <c r="G100" s="2">
        <f>G12/'Output-Calculation-sheet'!G11*'Output-Calculation-sheet'!G83</f>
        <v>3088959188.2406926</v>
      </c>
      <c r="H100" s="2">
        <f>H12/'Output-Calculation-sheet'!H11*'Output-Calculation-sheet'!H83</f>
        <v>2983703731.5885653</v>
      </c>
      <c r="I100" s="2">
        <f>I12/'Output-Calculation-sheet'!I11*'Output-Calculation-sheet'!I83</f>
        <v>2531613683.2169337</v>
      </c>
      <c r="J100" s="2">
        <f>J12/'Output-Calculation-sheet'!J11*'Output-Calculation-sheet'!J83</f>
        <v>1534266853.9522669</v>
      </c>
      <c r="K100" s="2">
        <f>K12/'Output-Calculation-sheet'!K11*'Output-Calculation-sheet'!K83</f>
        <v>2260628609.5846267</v>
      </c>
      <c r="L100" s="2">
        <f>L12/'Output-Calculation-sheet'!L11*'Output-Calculation-sheet'!L83</f>
        <v>1794810216.3075805</v>
      </c>
      <c r="M100" s="2">
        <f>M12/'Output-Calculation-sheet'!M11*'Output-Calculation-sheet'!M83</f>
        <v>2254679346.6883259</v>
      </c>
      <c r="N100" s="2">
        <f>N12/'Output-Calculation-sheet'!N11*'Output-Calculation-sheet'!N83</f>
        <v>1560060027.7697291</v>
      </c>
      <c r="O100" s="2">
        <f>O12/'Output-Calculation-sheet'!O11*'Output-Calculation-sheet'!O83</f>
        <v>865932372.05814278</v>
      </c>
      <c r="P100" s="2">
        <f>P12/'Output-Calculation-sheet'!P11*'Output-Calculation-sheet'!P83</f>
        <v>2629898143.1235867</v>
      </c>
      <c r="Q100" s="2">
        <f>Q12/'Output-Calculation-sheet'!Q11*'Output-Calculation-sheet'!Q83</f>
        <v>1254473470.1172824</v>
      </c>
      <c r="R100" s="2">
        <f>R12/'Output-Calculation-sheet'!R11*'Output-Calculation-sheet'!R83</f>
        <v>1642663089.6796873</v>
      </c>
      <c r="S100" s="2">
        <f>S12/'Output-Calculation-sheet'!S11*'Output-Calculation-sheet'!S83</f>
        <v>942804214.86979032</v>
      </c>
      <c r="T100" s="2">
        <f>T12/'Output-Calculation-sheet'!T11*'Output-Calculation-sheet'!T83</f>
        <v>678492376.0893631</v>
      </c>
      <c r="U100" s="2">
        <f>U12/'Output-Calculation-sheet'!U11*'Output-Calculation-sheet'!U83</f>
        <v>457227039.73577541</v>
      </c>
      <c r="V100" s="2">
        <f>V12/'Output-Calculation-sheet'!V11*'Output-Calculation-sheet'!V83</f>
        <v>246700553.4985413</v>
      </c>
      <c r="W100" s="2">
        <f>W12/'Output-Calculation-sheet'!W11*'Output-Calculation-sheet'!W83</f>
        <v>668372406.98601663</v>
      </c>
      <c r="X100" s="2">
        <f>X12/'Output-Calculation-sheet'!X11*'Output-Calculation-sheet'!X83</f>
        <v>258399121.136042</v>
      </c>
      <c r="Y100" s="2">
        <f>Y12/'Output-Calculation-sheet'!Y11*'Output-Calculation-sheet'!Y83</f>
        <v>368313091.1912486</v>
      </c>
      <c r="AA100" s="2">
        <f t="shared" si="8"/>
        <v>73.434756219556974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4246-DF73-449B-B346-25B90C56EDBD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94498368606.833923</v>
      </c>
      <c r="C8" s="2">
        <v>44532386515.304863</v>
      </c>
      <c r="D8" s="2">
        <v>39690395240.78627</v>
      </c>
      <c r="E8" s="2">
        <v>31490300969.32497</v>
      </c>
      <c r="F8" s="2">
        <v>20271436752.465412</v>
      </c>
      <c r="G8" s="2">
        <v>14243267796.847744</v>
      </c>
      <c r="H8" s="2">
        <v>13893760982.590773</v>
      </c>
      <c r="I8" s="2">
        <v>12976738153.104694</v>
      </c>
      <c r="J8" s="2">
        <v>12630660658.183683</v>
      </c>
      <c r="K8" s="2">
        <v>12509575579.592945</v>
      </c>
      <c r="L8" s="2">
        <v>10035344171.734314</v>
      </c>
      <c r="M8" s="2">
        <v>9585483915.7600212</v>
      </c>
      <c r="N8" s="2">
        <v>9408124779.6104031</v>
      </c>
      <c r="O8" s="2">
        <v>8652681372.6797581</v>
      </c>
      <c r="P8" s="2">
        <v>8564647181.0491056</v>
      </c>
      <c r="Q8" s="2">
        <v>8426228640.7493219</v>
      </c>
      <c r="R8" s="2">
        <v>8106419524.3136864</v>
      </c>
      <c r="S8" s="2">
        <v>5387941681.1690569</v>
      </c>
      <c r="T8" s="2">
        <v>2979850112.3291917</v>
      </c>
      <c r="U8" s="2">
        <v>2595347630.6209431</v>
      </c>
      <c r="V8" s="2">
        <v>1998469582.5307398</v>
      </c>
      <c r="W8" s="2">
        <v>1730231753.7472937</v>
      </c>
      <c r="X8" s="2">
        <v>1038139052.2483771</v>
      </c>
      <c r="Y8" s="2">
        <v>1009579846.9210224</v>
      </c>
    </row>
    <row r="9" spans="1:27" x14ac:dyDescent="0.25">
      <c r="A9" s="2">
        <v>2032</v>
      </c>
      <c r="B9" s="2">
        <v>100095429294.80331</v>
      </c>
      <c r="C9" s="2">
        <v>47170003159.70739</v>
      </c>
      <c r="D9" s="2">
        <v>42041224722.472229</v>
      </c>
      <c r="E9" s="2">
        <v>33355445608.39323</v>
      </c>
      <c r="F9" s="2">
        <v>21472097286.701096</v>
      </c>
      <c r="G9" s="2">
        <v>15086884839.440704</v>
      </c>
      <c r="H9" s="2">
        <v>14716677023.895615</v>
      </c>
      <c r="I9" s="2">
        <v>13745339686.07933</v>
      </c>
      <c r="J9" s="2">
        <v>13378764305.635315</v>
      </c>
      <c r="K9" s="2">
        <v>13250507457.380495</v>
      </c>
      <c r="L9" s="2">
        <v>10629729357.234699</v>
      </c>
      <c r="M9" s="2">
        <v>10153224248.117285</v>
      </c>
      <c r="N9" s="2">
        <v>9965360276.135788</v>
      </c>
      <c r="O9" s="2">
        <v>9165172577.2427177</v>
      </c>
      <c r="P9" s="2">
        <v>9071924192.8123646</v>
      </c>
      <c r="Q9" s="2">
        <v>8925307236.1608524</v>
      </c>
      <c r="R9" s="2">
        <v>8586556088.6653643</v>
      </c>
      <c r="S9" s="2">
        <v>5707065037.6601238</v>
      </c>
      <c r="T9" s="2">
        <v>3156344184.8263621</v>
      </c>
      <c r="U9" s="2">
        <v>2749067937.2158699</v>
      </c>
      <c r="V9" s="2">
        <v>2116837293.0149655</v>
      </c>
      <c r="W9" s="2">
        <v>1832711958.1439121</v>
      </c>
      <c r="X9" s="2">
        <v>1099627174.886348</v>
      </c>
      <c r="Y9" s="2">
        <v>1069376431.3052227</v>
      </c>
    </row>
    <row r="10" spans="1:27" x14ac:dyDescent="0.25">
      <c r="A10" s="2">
        <v>2033</v>
      </c>
      <c r="B10" s="2">
        <v>101562886816.75562</v>
      </c>
      <c r="C10" s="2">
        <v>47861542987.598618</v>
      </c>
      <c r="D10" s="2">
        <v>42657573659.538849</v>
      </c>
      <c r="E10" s="2">
        <v>33844455944.838722</v>
      </c>
      <c r="F10" s="2">
        <v>21786890788.237106</v>
      </c>
      <c r="G10" s="2">
        <v>15308067392.894371</v>
      </c>
      <c r="H10" s="2">
        <v>14932432114.302919</v>
      </c>
      <c r="I10" s="2">
        <v>13946854403.147173</v>
      </c>
      <c r="J10" s="2">
        <v>13574904813.279362</v>
      </c>
      <c r="K10" s="2">
        <v>13444767644.633898</v>
      </c>
      <c r="L10" s="2">
        <v>10785567405.1005</v>
      </c>
      <c r="M10" s="2">
        <v>10302076452.458065</v>
      </c>
      <c r="N10" s="2">
        <v>10111458284.798203</v>
      </c>
      <c r="O10" s="2">
        <v>9299539366.3480816</v>
      </c>
      <c r="P10" s="2">
        <v>9204923906.0771408</v>
      </c>
      <c r="Q10" s="2">
        <v>9056157459.110239</v>
      </c>
      <c r="R10" s="2">
        <v>8712440021.7155571</v>
      </c>
      <c r="S10" s="2">
        <v>5790733948.1866922</v>
      </c>
      <c r="T10" s="2">
        <v>3202618036.1752796</v>
      </c>
      <c r="U10" s="2">
        <v>2789370880.6294384</v>
      </c>
      <c r="V10" s="2">
        <v>2147871365.5022817</v>
      </c>
      <c r="W10" s="2">
        <v>1859580587.0862911</v>
      </c>
      <c r="X10" s="2">
        <v>1115748352.2517753</v>
      </c>
      <c r="Y10" s="2">
        <v>1085054115.0813274</v>
      </c>
    </row>
    <row r="11" spans="1:27" x14ac:dyDescent="0.25">
      <c r="A11" s="2">
        <v>2034</v>
      </c>
      <c r="B11" s="2">
        <v>99492697554.035187</v>
      </c>
      <c r="C11" s="2">
        <v>46885965633.550705</v>
      </c>
      <c r="D11" s="2">
        <v>41788070500.15136</v>
      </c>
      <c r="E11" s="2">
        <v>33154593422.261627</v>
      </c>
      <c r="F11" s="2">
        <v>21342801526.977257</v>
      </c>
      <c r="G11" s="2">
        <v>14996038090.232386</v>
      </c>
      <c r="H11" s="2">
        <v>14628059507.357374</v>
      </c>
      <c r="I11" s="2">
        <v>13662571146.348719</v>
      </c>
      <c r="J11" s="2">
        <v>13298203125.608681</v>
      </c>
      <c r="K11" s="2">
        <v>13170718585.080187</v>
      </c>
      <c r="L11" s="2">
        <v>10565721686.509693</v>
      </c>
      <c r="M11" s="2">
        <v>10092085886.769606</v>
      </c>
      <c r="N11" s="2">
        <v>9905353151.045927</v>
      </c>
      <c r="O11" s="2">
        <v>9109983839.2469807</v>
      </c>
      <c r="P11" s="2">
        <v>9017296956.5901604</v>
      </c>
      <c r="Q11" s="2">
        <v>8871562864.362442</v>
      </c>
      <c r="R11" s="2">
        <v>8534851530.9749069</v>
      </c>
      <c r="S11" s="2">
        <v>5672699539.963975</v>
      </c>
      <c r="T11" s="2">
        <v>3137338034.0122166</v>
      </c>
      <c r="U11" s="2">
        <v>2732514229.2697477</v>
      </c>
      <c r="V11" s="2">
        <v>2104090606.8222926</v>
      </c>
      <c r="W11" s="2">
        <v>1821676152.8464971</v>
      </c>
      <c r="X11" s="2">
        <v>1093005691.7078989</v>
      </c>
      <c r="Y11" s="2">
        <v>1062937105.1290128</v>
      </c>
    </row>
    <row r="12" spans="1:27" x14ac:dyDescent="0.25">
      <c r="A12" s="2">
        <v>2035</v>
      </c>
      <c r="B12" s="2">
        <v>94422210588.068222</v>
      </c>
      <c r="C12" s="2">
        <v>44496497024.53466</v>
      </c>
      <c r="D12" s="2">
        <v>39658408002.169037</v>
      </c>
      <c r="E12" s="2">
        <v>31464922341.444763</v>
      </c>
      <c r="F12" s="2">
        <v>20255099618.995678</v>
      </c>
      <c r="G12" s="2">
        <v>14231788878.511383</v>
      </c>
      <c r="H12" s="2">
        <v>13882563738.392403</v>
      </c>
      <c r="I12" s="2">
        <v>12966279954.911945</v>
      </c>
      <c r="J12" s="2">
        <v>12620481370.375748</v>
      </c>
      <c r="K12" s="2">
        <v>12499493876.535135</v>
      </c>
      <c r="L12" s="2">
        <v>10027256498.465254</v>
      </c>
      <c r="M12" s="2">
        <v>9577758793.3616428</v>
      </c>
      <c r="N12" s="2">
        <v>9400542594.2872181</v>
      </c>
      <c r="O12" s="2">
        <v>8645708013.4560032</v>
      </c>
      <c r="P12" s="2">
        <v>8557744770.241889</v>
      </c>
      <c r="Q12" s="2">
        <v>8419437784.0561647</v>
      </c>
      <c r="R12" s="2">
        <v>8099886407.82335</v>
      </c>
      <c r="S12" s="2">
        <v>5383599437.2794275</v>
      </c>
      <c r="T12" s="2">
        <v>2977448594.8837643</v>
      </c>
      <c r="U12" s="2">
        <v>2593255990.9823928</v>
      </c>
      <c r="V12" s="2">
        <v>1996858978.1762636</v>
      </c>
      <c r="W12" s="2">
        <v>1728837327.321594</v>
      </c>
      <c r="X12" s="2">
        <v>1037302396.3929571</v>
      </c>
      <c r="Y12" s="2">
        <v>1008766207.4681852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1850.6595340831959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577.38068467895425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398.34869509122126</v>
      </c>
      <c r="N16" s="2">
        <f>N5/'Output-Calculation-sheet'!N4*'Output-Calculation-sheet'!N22</f>
        <v>0</v>
      </c>
      <c r="O16" s="2">
        <f>O5/'Output-Calculation-sheet'!O4*'Output-Calculation-sheet'!O22</f>
        <v>359.57940612887347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43.142474550429625</v>
      </c>
      <c r="Y16" s="2">
        <f>Y5/'Output-Calculation-sheet'!Y4*'Output-Calculation-sheet'!Y22</f>
        <v>0</v>
      </c>
      <c r="AA16" s="2">
        <f t="shared" ref="AA16:AA23" si="0">SUM(B16:Y16)/1000</f>
        <v>3.2291107945326742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5261.6838008287832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1551.6288465196244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1071.0901873996486</v>
      </c>
      <c r="N17" s="2">
        <f>N6/'Output-Calculation-sheet'!N5*'Output-Calculation-sheet'!N23</f>
        <v>0</v>
      </c>
      <c r="O17" s="2">
        <f>O6/'Output-Calculation-sheet'!O5*'Output-Calculation-sheet'!O23</f>
        <v>1028.7789608679711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119.09908324580296</v>
      </c>
      <c r="Y17" s="2">
        <f>Y6/'Output-Calculation-sheet'!Y5*'Output-Calculation-sheet'!Y23</f>
        <v>0</v>
      </c>
      <c r="AA17" s="2">
        <f t="shared" si="0"/>
        <v>9.0322808788618296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9815.8604256411891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3109.3070625998366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2144.4455618048505</v>
      </c>
      <c r="N18" s="2">
        <f>N7/'Output-Calculation-sheet'!N6*'Output-Calculation-sheet'!N24</f>
        <v>664.59784636372979</v>
      </c>
      <c r="O18" s="2">
        <f>O7/'Output-Calculation-sheet'!O6*'Output-Calculation-sheet'!O24</f>
        <v>1415.5661484894149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145.29209719637518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240.43569678599329</v>
      </c>
      <c r="Y18" s="2">
        <f>Y7/'Output-Calculation-sheet'!Y6*'Output-Calculation-sheet'!Y24</f>
        <v>0</v>
      </c>
      <c r="AA18" s="2">
        <f t="shared" si="0"/>
        <v>17.535504838881387</v>
      </c>
    </row>
    <row r="19" spans="1:27" x14ac:dyDescent="0.25">
      <c r="A19" s="2">
        <v>2031</v>
      </c>
      <c r="B19" s="2">
        <f>B8/'Output-Calculation-sheet'!B7*'Output-Calculation-sheet'!B25</f>
        <v>1050.6577135188106</v>
      </c>
      <c r="C19" s="2">
        <f>C8/'Output-Calculation-sheet'!C7*'Output-Calculation-sheet'!C25</f>
        <v>13870.258448320283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4713.7967438471123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3275.398978969266</v>
      </c>
      <c r="N19" s="2">
        <f>N8/'Output-Calculation-sheet'!N7*'Output-Calculation-sheet'!N25</f>
        <v>1121.3887513978002</v>
      </c>
      <c r="O19" s="2">
        <f>O8/'Output-Calculation-sheet'!O7*'Output-Calculation-sheet'!O25</f>
        <v>1790.1803753332072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400.12920893913287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365.96051814027021</v>
      </c>
      <c r="Y19" s="2">
        <f>Y8/'Output-Calculation-sheet'!Y7*'Output-Calculation-sheet'!Y25</f>
        <v>0</v>
      </c>
      <c r="AA19" s="2">
        <f t="shared" si="0"/>
        <v>26.587770738465881</v>
      </c>
    </row>
    <row r="20" spans="1:27" x14ac:dyDescent="0.25">
      <c r="A20" s="2">
        <v>2032</v>
      </c>
      <c r="B20" s="2">
        <f>B9/'Output-Calculation-sheet'!B8*'Output-Calculation-sheet'!B26</f>
        <v>5749.1035202101784</v>
      </c>
      <c r="C20" s="2">
        <f>C9/'Output-Calculation-sheet'!C8*'Output-Calculation-sheet'!C26</f>
        <v>19518.585537473544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6246.9132822750353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4345.7552810500147</v>
      </c>
      <c r="N20" s="2">
        <f>N9/'Output-Calculation-sheet'!N8*'Output-Calculation-sheet'!N26</f>
        <v>1961.3298609371632</v>
      </c>
      <c r="O20" s="2">
        <f>O9/'Output-Calculation-sheet'!O8*'Output-Calculation-sheet'!O26</f>
        <v>2058.1614288921196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712.80052043120804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486.19271315246573</v>
      </c>
      <c r="Y20" s="2">
        <f>Y9/'Output-Calculation-sheet'!Y8*'Output-Calculation-sheet'!Y26</f>
        <v>0</v>
      </c>
      <c r="AA20" s="2">
        <f t="shared" si="0"/>
        <v>41.078842144421721</v>
      </c>
    </row>
    <row r="21" spans="1:27" x14ac:dyDescent="0.25">
      <c r="A21" s="2">
        <v>2033</v>
      </c>
      <c r="B21" s="2">
        <f>B10/'Output-Calculation-sheet'!B9*'Output-Calculation-sheet'!B27</f>
        <v>13190.755244123444</v>
      </c>
      <c r="C21" s="2">
        <f>C10/'Output-Calculation-sheet'!C9*'Output-Calculation-sheet'!C27</f>
        <v>22652.917047721854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7635.0495062958234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5303.0171744048048</v>
      </c>
      <c r="N21" s="2">
        <f>N10/'Output-Calculation-sheet'!N9*'Output-Calculation-sheet'!N27</f>
        <v>2901.7047637414626</v>
      </c>
      <c r="O21" s="2">
        <f>O10/'Output-Calculation-sheet'!O9*'Output-Calculation-sheet'!O27</f>
        <v>2260.1738719105765</v>
      </c>
      <c r="P21" s="2">
        <f>P10/'Output-Calculation-sheet'!P9*'Output-Calculation-sheet'!P27</f>
        <v>0</v>
      </c>
      <c r="Q21" s="2">
        <f>Q10/'Output-Calculation-sheet'!Q9*'Output-Calculation-sheet'!Q27</f>
        <v>197.91547942685594</v>
      </c>
      <c r="R21" s="2">
        <f>R10/'Output-Calculation-sheet'!R9*'Output-Calculation-sheet'!R27</f>
        <v>0</v>
      </c>
      <c r="S21" s="2">
        <f>S10/'Output-Calculation-sheet'!S9*'Output-Calculation-sheet'!S27</f>
        <v>1260.3203110450811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623.58938836873733</v>
      </c>
      <c r="Y21" s="2">
        <f>Y10/'Output-Calculation-sheet'!Y9*'Output-Calculation-sheet'!Y27</f>
        <v>0</v>
      </c>
      <c r="AA21" s="2">
        <f t="shared" si="0"/>
        <v>56.025442787038642</v>
      </c>
    </row>
    <row r="22" spans="1:27" x14ac:dyDescent="0.25">
      <c r="A22" s="2">
        <v>2034</v>
      </c>
      <c r="B22" s="2">
        <f>B11/'Output-Calculation-sheet'!B10*'Output-Calculation-sheet'!B28</f>
        <v>24608.607529247434</v>
      </c>
      <c r="C22" s="2">
        <f>C11/'Output-Calculation-sheet'!C10*'Output-Calculation-sheet'!C28</f>
        <v>23608.869024446831</v>
      </c>
      <c r="D22" s="2">
        <f>D11/'Output-Calculation-sheet'!D10*'Output-Calculation-sheet'!D28</f>
        <v>0</v>
      </c>
      <c r="E22" s="2">
        <f>E11/'Output-Calculation-sheet'!E10*'Output-Calculation-sheet'!E28</f>
        <v>1260.9073154324467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9009.099739040108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751.8740438053992</v>
      </c>
      <c r="M22" s="2">
        <f>M11/'Output-Calculation-sheet'!M10*'Output-Calculation-sheet'!M28</f>
        <v>6568.4256389451202</v>
      </c>
      <c r="N22" s="2">
        <f>N11/'Output-Calculation-sheet'!N10*'Output-Calculation-sheet'!N28</f>
        <v>3919.9587988532794</v>
      </c>
      <c r="O22" s="2">
        <f>O11/'Output-Calculation-sheet'!O10*'Output-Calculation-sheet'!O28</f>
        <v>2422.791162788636</v>
      </c>
      <c r="P22" s="2">
        <f>P11/'Output-Calculation-sheet'!P10*'Output-Calculation-sheet'!P28</f>
        <v>0</v>
      </c>
      <c r="Q22" s="2">
        <f>Q11/'Output-Calculation-sheet'!Q10*'Output-Calculation-sheet'!Q28</f>
        <v>890.49195289574766</v>
      </c>
      <c r="R22" s="2">
        <f>R11/'Output-Calculation-sheet'!R10*'Output-Calculation-sheet'!R28</f>
        <v>0</v>
      </c>
      <c r="S22" s="2">
        <f>S11/'Output-Calculation-sheet'!S10*'Output-Calculation-sheet'!S28</f>
        <v>1999.7317886740707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659.58167075992674</v>
      </c>
      <c r="Y22" s="2">
        <f>Y11/'Output-Calculation-sheet'!Y10*'Output-Calculation-sheet'!Y28</f>
        <v>68.416327260055837</v>
      </c>
      <c r="AA22" s="2">
        <f t="shared" si="0"/>
        <v>75.768754992149056</v>
      </c>
    </row>
    <row r="23" spans="1:27" x14ac:dyDescent="0.25">
      <c r="A23" s="2">
        <v>2035</v>
      </c>
      <c r="B23" s="2">
        <f>B12/'Output-Calculation-sheet'!B11*'Output-Calculation-sheet'!B29</f>
        <v>28249.408518150671</v>
      </c>
      <c r="C23" s="2">
        <f>C12/'Output-Calculation-sheet'!C11*'Output-Calculation-sheet'!C29</f>
        <v>23073.765161379204</v>
      </c>
      <c r="D23" s="2">
        <f>D12/'Output-Calculation-sheet'!D11*'Output-Calculation-sheet'!D29</f>
        <v>0</v>
      </c>
      <c r="E23" s="2">
        <f>E12/'Output-Calculation-sheet'!E11*'Output-Calculation-sheet'!E29</f>
        <v>4355.3695091614991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8882.1787756387457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987.32712235241218</v>
      </c>
      <c r="M23" s="2">
        <f>M12/'Output-Calculation-sheet'!M11*'Output-Calculation-sheet'!M29</f>
        <v>6507.6015512862632</v>
      </c>
      <c r="N23" s="2">
        <f>N12/'Output-Calculation-sheet'!N11*'Output-Calculation-sheet'!N29</f>
        <v>3796.2469773122466</v>
      </c>
      <c r="O23" s="2">
        <f>O12/'Output-Calculation-sheet'!O11*'Output-Calculation-sheet'!O29</f>
        <v>2559.1371459492652</v>
      </c>
      <c r="P23" s="2">
        <f>P12/'Output-Calculation-sheet'!P11*'Output-Calculation-sheet'!P29</f>
        <v>463.64206100654917</v>
      </c>
      <c r="Q23" s="2">
        <f>Q12/'Output-Calculation-sheet'!Q11*'Output-Calculation-sheet'!Q29</f>
        <v>1040.8712470874989</v>
      </c>
      <c r="R23" s="2">
        <f>R12/'Output-Calculation-sheet'!R11*'Output-Calculation-sheet'!R29</f>
        <v>0</v>
      </c>
      <c r="S23" s="2">
        <f>S12/'Output-Calculation-sheet'!S11*'Output-Calculation-sheet'!S29</f>
        <v>2032.1316534131263</v>
      </c>
      <c r="T23" s="2">
        <f>T12/'Output-Calculation-sheet'!T11*'Output-Calculation-sheet'!T29</f>
        <v>0</v>
      </c>
      <c r="U23" s="2">
        <f>U12/'Output-Calculation-sheet'!U11*'Output-Calculation-sheet'!U29</f>
        <v>88.616076361902316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644.67918686074518</v>
      </c>
      <c r="Y23" s="2">
        <f>Y12/'Output-Calculation-sheet'!Y11*'Output-Calculation-sheet'!Y29</f>
        <v>190.86103901602095</v>
      </c>
      <c r="AA23" s="2">
        <f t="shared" si="0"/>
        <v>82.871836024976147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2336.2795538332343</v>
      </c>
      <c r="C27" s="2">
        <f>C5/'Output-Calculation-sheet'!C4*'Output-Calculation-sheet'!C13</f>
        <v>0</v>
      </c>
      <c r="D27" s="2">
        <f>D5/'Output-Calculation-sheet'!D4*'Output-Calculation-sheet'!D13</f>
        <v>417.3490220932062</v>
      </c>
      <c r="E27" s="2">
        <f>E5/'Output-Calculation-sheet'!E4*'Output-Calculation-sheet'!E13</f>
        <v>449.01598760657197</v>
      </c>
      <c r="F27" s="2">
        <f>F5/'Output-Calculation-sheet'!F4*'Output-Calculation-sheet'!F13</f>
        <v>226.54986742942003</v>
      </c>
      <c r="G27" s="2">
        <f>G5/'Output-Calculation-sheet'!G4*'Output-Calculation-sheet'!G13</f>
        <v>148.35638298524847</v>
      </c>
      <c r="H27" s="2">
        <f>H5/'Output-Calculation-sheet'!H4*'Output-Calculation-sheet'!H13</f>
        <v>0</v>
      </c>
      <c r="I27" s="2">
        <f>I5/'Output-Calculation-sheet'!I4*'Output-Calculation-sheet'!I13</f>
        <v>144.62864690300205</v>
      </c>
      <c r="J27" s="2">
        <f>J5/'Output-Calculation-sheet'!J4*'Output-Calculation-sheet'!J13</f>
        <v>128.74764243636827</v>
      </c>
      <c r="K27" s="2">
        <f>K5/'Output-Calculation-sheet'!K4*'Output-Calculation-sheet'!K13</f>
        <v>171.89490677747332</v>
      </c>
      <c r="L27" s="2">
        <f>L5/'Output-Calculation-sheet'!L4*'Output-Calculation-sheet'!L13</f>
        <v>145.19547581060485</v>
      </c>
      <c r="M27" s="2">
        <f>M5/'Output-Calculation-sheet'!M4*'Output-Calculation-sheet'!M13</f>
        <v>0</v>
      </c>
      <c r="N27" s="2">
        <f>N5/'Output-Calculation-sheet'!N4*'Output-Calculation-sheet'!N13</f>
        <v>278.68633088122652</v>
      </c>
      <c r="O27" s="2">
        <f>O5/'Output-Calculation-sheet'!O4*'Output-Calculation-sheet'!O13</f>
        <v>0</v>
      </c>
      <c r="P27" s="2">
        <f>P5/'Output-Calculation-sheet'!P4*'Output-Calculation-sheet'!P13</f>
        <v>170.25460187077002</v>
      </c>
      <c r="Q27" s="2">
        <f>Q5/'Output-Calculation-sheet'!Q4*'Output-Calculation-sheet'!Q13</f>
        <v>189.47473795616474</v>
      </c>
      <c r="R27" s="2">
        <f>R5/'Output-Calculation-sheet'!R4*'Output-Calculation-sheet'!R13</f>
        <v>128.09305084483944</v>
      </c>
      <c r="S27" s="2">
        <f>S5/'Output-Calculation-sheet'!S4*'Output-Calculation-sheet'!S13</f>
        <v>147.83866089292081</v>
      </c>
      <c r="T27" s="2">
        <f>T5/'Output-Calculation-sheet'!T4*'Output-Calculation-sheet'!T13</f>
        <v>38.824910069583346</v>
      </c>
      <c r="U27" s="2">
        <f>U5/'Output-Calculation-sheet'!U4*'Output-Calculation-sheet'!U13</f>
        <v>38.756890874304347</v>
      </c>
      <c r="V27" s="2">
        <f>V5/'Output-Calculation-sheet'!V4*'Output-Calculation-sheet'!V13</f>
        <v>30.163741540282189</v>
      </c>
      <c r="W27" s="2">
        <f>W5/'Output-Calculation-sheet'!W4*'Output-Calculation-sheet'!W13</f>
        <v>18.294724247388917</v>
      </c>
      <c r="X27" s="2">
        <f>X5/'Output-Calculation-sheet'!X4*'Output-Calculation-sheet'!X13</f>
        <v>0</v>
      </c>
      <c r="Y27" s="2">
        <f>Y5/'Output-Calculation-sheet'!Y4*'Output-Calculation-sheet'!Y13</f>
        <v>15.468317945121104</v>
      </c>
      <c r="AA27" s="2">
        <f t="shared" ref="AA27:AA34" si="1">SUM(B27:Y27)/1000</f>
        <v>5.2238734529977293</v>
      </c>
    </row>
    <row r="28" spans="1:27" x14ac:dyDescent="0.25">
      <c r="A28" s="2">
        <v>2029</v>
      </c>
      <c r="B28" s="2">
        <f>B6/'Output-Calculation-sheet'!B5*'Output-Calculation-sheet'!B14</f>
        <v>6212.843182130503</v>
      </c>
      <c r="C28" s="2">
        <f>C6/'Output-Calculation-sheet'!C5*'Output-Calculation-sheet'!C14</f>
        <v>0</v>
      </c>
      <c r="D28" s="2">
        <f>D6/'Output-Calculation-sheet'!D5*'Output-Calculation-sheet'!D14</f>
        <v>1109.7722278118511</v>
      </c>
      <c r="E28" s="2">
        <f>E6/'Output-Calculation-sheet'!E5*'Output-Calculation-sheet'!E14</f>
        <v>1194.0822533988289</v>
      </c>
      <c r="F28" s="2">
        <f>F6/'Output-Calculation-sheet'!F5*'Output-Calculation-sheet'!F14</f>
        <v>602.42085087638884</v>
      </c>
      <c r="G28" s="2">
        <f>G6/'Output-Calculation-sheet'!G5*'Output-Calculation-sheet'!G14</f>
        <v>394.51410682638539</v>
      </c>
      <c r="H28" s="2">
        <f>H6/'Output-Calculation-sheet'!H5*'Output-Calculation-sheet'!H14</f>
        <v>0</v>
      </c>
      <c r="I28" s="2">
        <f>I6/'Output-Calculation-sheet'!I5*'Output-Calculation-sheet'!I14</f>
        <v>384.60119009587874</v>
      </c>
      <c r="J28" s="2">
        <f>J6/'Output-Calculation-sheet'!J5*'Output-Calculation-sheet'!J14</f>
        <v>342.35207973187318</v>
      </c>
      <c r="K28" s="2">
        <f>K6/'Output-Calculation-sheet'!K5*'Output-Calculation-sheet'!K14</f>
        <v>457.10851296544973</v>
      </c>
      <c r="L28" s="2">
        <f>L6/'Output-Calculation-sheet'!L5*'Output-Calculation-sheet'!L14</f>
        <v>386.10851991685803</v>
      </c>
      <c r="M28" s="2">
        <f>M6/'Output-Calculation-sheet'!M5*'Output-Calculation-sheet'!M14</f>
        <v>0</v>
      </c>
      <c r="N28" s="2">
        <f>N6/'Output-Calculation-sheet'!N5*'Output-Calculation-sheet'!N14</f>
        <v>741.10485393629119</v>
      </c>
      <c r="O28" s="2">
        <f>O6/'Output-Calculation-sheet'!O5*'Output-Calculation-sheet'!O14</f>
        <v>0</v>
      </c>
      <c r="P28" s="2">
        <f>P6/'Output-Calculation-sheet'!P5*'Output-Calculation-sheet'!P14</f>
        <v>452.74656094040381</v>
      </c>
      <c r="Q28" s="2">
        <f>Q6/'Output-Calculation-sheet'!Q5*'Output-Calculation-sheet'!Q14</f>
        <v>503.86886662982977</v>
      </c>
      <c r="R28" s="2">
        <f>R6/'Output-Calculation-sheet'!R5*'Output-Calculation-sheet'!R14</f>
        <v>340.62919658632683</v>
      </c>
      <c r="S28" s="2">
        <f>S6/'Output-Calculation-sheet'!S5*'Output-Calculation-sheet'!S14</f>
        <v>393.14488501068331</v>
      </c>
      <c r="T28" s="2">
        <f>T6/'Output-Calculation-sheet'!T5*'Output-Calculation-sheet'!T14</f>
        <v>103.24446047083413</v>
      </c>
      <c r="U28" s="2">
        <f>U6/'Output-Calculation-sheet'!U5*'Output-Calculation-sheet'!U14</f>
        <v>103.05991361578518</v>
      </c>
      <c r="V28" s="2">
        <f>V6/'Output-Calculation-sheet'!V5*'Output-Calculation-sheet'!V14</f>
        <v>80.209571755682759</v>
      </c>
      <c r="W28" s="2">
        <f>W6/'Output-Calculation-sheet'!W5*'Output-Calculation-sheet'!W14</f>
        <v>48.652373412955463</v>
      </c>
      <c r="X28" s="2">
        <f>X6/'Output-Calculation-sheet'!X5*'Output-Calculation-sheet'!X14</f>
        <v>0</v>
      </c>
      <c r="Y28" s="2">
        <f>Y6/'Output-Calculation-sheet'!Y5*'Output-Calculation-sheet'!Y14</f>
        <v>41.13385292517404</v>
      </c>
      <c r="AA28" s="2">
        <f t="shared" si="1"/>
        <v>13.891597459037982</v>
      </c>
    </row>
    <row r="29" spans="1:27" x14ac:dyDescent="0.25">
      <c r="A29" s="2">
        <v>2030</v>
      </c>
      <c r="B29" s="2">
        <f>B7/'Output-Calculation-sheet'!B6*'Output-Calculation-sheet'!B15</f>
        <v>11616.730180549072</v>
      </c>
      <c r="C29" s="2">
        <f>C7/'Output-Calculation-sheet'!C6*'Output-Calculation-sheet'!C15</f>
        <v>0</v>
      </c>
      <c r="D29" s="2">
        <f>D7/'Output-Calculation-sheet'!D6*'Output-Calculation-sheet'!D15</f>
        <v>2032.1215168953299</v>
      </c>
      <c r="E29" s="2">
        <f>E7/'Output-Calculation-sheet'!E6*'Output-Calculation-sheet'!E15</f>
        <v>2186.4391918240967</v>
      </c>
      <c r="F29" s="2">
        <f>F7/'Output-Calculation-sheet'!F6*'Output-Calculation-sheet'!F15</f>
        <v>1103.1009034218368</v>
      </c>
      <c r="G29" s="2">
        <f>G7/'Output-Calculation-sheet'!G6*'Output-Calculation-sheet'!G15</f>
        <v>722.38891997434996</v>
      </c>
      <c r="H29" s="2">
        <f>H7/'Output-Calculation-sheet'!H6*'Output-Calculation-sheet'!H15</f>
        <v>0</v>
      </c>
      <c r="I29" s="2">
        <f>I7/'Output-Calculation-sheet'!I6*'Output-Calculation-sheet'!I15</f>
        <v>704.23752541877388</v>
      </c>
      <c r="J29" s="2">
        <f>J7/'Output-Calculation-sheet'!J6*'Output-Calculation-sheet'!J15</f>
        <v>626.88668865865975</v>
      </c>
      <c r="K29" s="2">
        <f>K7/'Output-Calculation-sheet'!K6*'Output-Calculation-sheet'!K15</f>
        <v>837.0262200790761</v>
      </c>
      <c r="L29" s="2">
        <f>L7/'Output-Calculation-sheet'!L6*'Output-Calculation-sheet'!L15</f>
        <v>707.01476024054239</v>
      </c>
      <c r="M29" s="2">
        <f>M7/'Output-Calculation-sheet'!M6*'Output-Calculation-sheet'!M15</f>
        <v>0</v>
      </c>
      <c r="N29" s="2">
        <f>N7/'Output-Calculation-sheet'!N6*'Output-Calculation-sheet'!N15</f>
        <v>912.18024565140388</v>
      </c>
      <c r="O29" s="2">
        <f>O7/'Output-Calculation-sheet'!O6*'Output-Calculation-sheet'!O15</f>
        <v>0</v>
      </c>
      <c r="P29" s="2">
        <f>P7/'Output-Calculation-sheet'!P6*'Output-Calculation-sheet'!P15</f>
        <v>829.01750158143022</v>
      </c>
      <c r="Q29" s="2">
        <f>Q7/'Output-Calculation-sheet'!Q6*'Output-Calculation-sheet'!Q15</f>
        <v>934.14147484604746</v>
      </c>
      <c r="R29" s="2">
        <f>R7/'Output-Calculation-sheet'!R6*'Output-Calculation-sheet'!R15</f>
        <v>623.72106136629043</v>
      </c>
      <c r="S29" s="2">
        <f>S7/'Output-Calculation-sheet'!S6*'Output-Calculation-sheet'!S15</f>
        <v>644.23786651817909</v>
      </c>
      <c r="T29" s="2">
        <f>T7/'Output-Calculation-sheet'!T6*'Output-Calculation-sheet'!T15</f>
        <v>189.0493977334049</v>
      </c>
      <c r="U29" s="2">
        <f>U7/'Output-Calculation-sheet'!U6*'Output-Calculation-sheet'!U15</f>
        <v>188.71371553813944</v>
      </c>
      <c r="V29" s="2">
        <f>V7/'Output-Calculation-sheet'!V6*'Output-Calculation-sheet'!V15</f>
        <v>146.87228154625217</v>
      </c>
      <c r="W29" s="2">
        <f>W7/'Output-Calculation-sheet'!W6*'Output-Calculation-sheet'!W15</f>
        <v>89.085143292634385</v>
      </c>
      <c r="X29" s="2">
        <f>X7/'Output-Calculation-sheet'!X6*'Output-Calculation-sheet'!X15</f>
        <v>0</v>
      </c>
      <c r="Y29" s="2">
        <f>Y7/'Output-Calculation-sheet'!Y6*'Output-Calculation-sheet'!Y15</f>
        <v>75.31958699280888</v>
      </c>
      <c r="AA29" s="2">
        <f t="shared" si="1"/>
        <v>25.168284182128328</v>
      </c>
    </row>
    <row r="30" spans="1:27" x14ac:dyDescent="0.25">
      <c r="A30" s="2">
        <v>2031</v>
      </c>
      <c r="B30" s="2">
        <f>B8/'Output-Calculation-sheet'!B7*'Output-Calculation-sheet'!B16</f>
        <v>18312.622644302752</v>
      </c>
      <c r="C30" s="2">
        <f>C8/'Output-Calculation-sheet'!C7*'Output-Calculation-sheet'!C16</f>
        <v>0</v>
      </c>
      <c r="D30" s="2">
        <f>D8/'Output-Calculation-sheet'!D7*'Output-Calculation-sheet'!D16</f>
        <v>3083.6035667459537</v>
      </c>
      <c r="E30" s="2">
        <f>E8/'Output-Calculation-sheet'!E7*'Output-Calculation-sheet'!E16</f>
        <v>3317.7832208222476</v>
      </c>
      <c r="F30" s="2">
        <f>F8/'Output-Calculation-sheet'!F7*'Output-Calculation-sheet'!F16</f>
        <v>1673.8392897323874</v>
      </c>
      <c r="G30" s="2">
        <f>G8/'Output-Calculation-sheet'!G7*'Output-Calculation-sheet'!G16</f>
        <v>1096.1659301782413</v>
      </c>
      <c r="H30" s="2">
        <f>H8/'Output-Calculation-sheet'!H7*'Output-Calculation-sheet'!H16</f>
        <v>0</v>
      </c>
      <c r="I30" s="2">
        <f>I8/'Output-Calculation-sheet'!I7*'Output-Calculation-sheet'!I16</f>
        <v>1068.5976515646084</v>
      </c>
      <c r="J30" s="2">
        <f>J8/'Output-Calculation-sheet'!J7*'Output-Calculation-sheet'!J16</f>
        <v>951.25738392015865</v>
      </c>
      <c r="K30" s="2">
        <f>K8/'Output-Calculation-sheet'!K7*'Output-Calculation-sheet'!K16</f>
        <v>1270.1104306874427</v>
      </c>
      <c r="L30" s="2">
        <f>L8/'Output-Calculation-sheet'!L7*'Output-Calculation-sheet'!L16</f>
        <v>1072.8303844617708</v>
      </c>
      <c r="M30" s="2">
        <f>M8/'Output-Calculation-sheet'!M7*'Output-Calculation-sheet'!M16</f>
        <v>0</v>
      </c>
      <c r="N30" s="2">
        <f>N8/'Output-Calculation-sheet'!N7*'Output-Calculation-sheet'!N16</f>
        <v>1523.8651764853698</v>
      </c>
      <c r="O30" s="2">
        <f>O8/'Output-Calculation-sheet'!O7*'Output-Calculation-sheet'!O16</f>
        <v>0</v>
      </c>
      <c r="P30" s="2">
        <f>P8/'Output-Calculation-sheet'!P7*'Output-Calculation-sheet'!P16</f>
        <v>1369.6000186155604</v>
      </c>
      <c r="Q30" s="2">
        <f>Q8/'Output-Calculation-sheet'!Q7*'Output-Calculation-sheet'!Q16</f>
        <v>1506.1076966011094</v>
      </c>
      <c r="R30" s="2">
        <f>R8/'Output-Calculation-sheet'!R7*'Output-Calculation-sheet'!R16</f>
        <v>955.63187961600863</v>
      </c>
      <c r="S30" s="2">
        <f>S8/'Output-Calculation-sheet'!S7*'Output-Calculation-sheet'!S16</f>
        <v>961.08544845337781</v>
      </c>
      <c r="T30" s="2">
        <f>T8/'Output-Calculation-sheet'!T7*'Output-Calculation-sheet'!T16</f>
        <v>286.8669537780732</v>
      </c>
      <c r="U30" s="2">
        <f>U8/'Output-Calculation-sheet'!U7*'Output-Calculation-sheet'!U16</f>
        <v>286.35418637248279</v>
      </c>
      <c r="V30" s="2">
        <f>V8/'Output-Calculation-sheet'!V7*'Output-Calculation-sheet'!V16</f>
        <v>222.86402009816803</v>
      </c>
      <c r="W30" s="2">
        <f>W8/'Output-Calculation-sheet'!W7*'Output-Calculation-sheet'!W16</f>
        <v>135.17826332995335</v>
      </c>
      <c r="X30" s="2">
        <f>X8/'Output-Calculation-sheet'!X7*'Output-Calculation-sheet'!X16</f>
        <v>0</v>
      </c>
      <c r="Y30" s="2">
        <f>Y8/'Output-Calculation-sheet'!Y7*'Output-Calculation-sheet'!Y16</f>
        <v>114.41303185066688</v>
      </c>
      <c r="AA30" s="2">
        <f t="shared" si="1"/>
        <v>39.208777177616327</v>
      </c>
    </row>
    <row r="31" spans="1:27" x14ac:dyDescent="0.25">
      <c r="A31" s="2">
        <v>2032</v>
      </c>
      <c r="B31" s="2">
        <f>B9/'Output-Calculation-sheet'!B8*'Output-Calculation-sheet'!B17</f>
        <v>24343.603736460325</v>
      </c>
      <c r="C31" s="2">
        <f>C9/'Output-Calculation-sheet'!C8*'Output-Calculation-sheet'!C17</f>
        <v>0</v>
      </c>
      <c r="D31" s="2">
        <f>D9/'Output-Calculation-sheet'!D8*'Output-Calculation-sheet'!D17</f>
        <v>4082.7419693459619</v>
      </c>
      <c r="E31" s="2">
        <f>E9/'Output-Calculation-sheet'!E8*'Output-Calculation-sheet'!E17</f>
        <v>4798.7053672265829</v>
      </c>
      <c r="F31" s="2">
        <f>F9/'Output-Calculation-sheet'!F8*'Output-Calculation-sheet'!F17</f>
        <v>2216.2448015080727</v>
      </c>
      <c r="G31" s="2">
        <f>G9/'Output-Calculation-sheet'!G8*'Output-Calculation-sheet'!G17</f>
        <v>1451.3636713670423</v>
      </c>
      <c r="H31" s="2">
        <f>H9/'Output-Calculation-sheet'!H8*'Output-Calculation-sheet'!H17</f>
        <v>0</v>
      </c>
      <c r="I31" s="2">
        <f>I9/'Output-Calculation-sheet'!I8*'Output-Calculation-sheet'!I17</f>
        <v>1414.8688921458213</v>
      </c>
      <c r="J31" s="2">
        <f>J9/'Output-Calculation-sheet'!J8*'Output-Calculation-sheet'!J17</f>
        <v>1259.5060296551999</v>
      </c>
      <c r="K31" s="2">
        <f>K9/'Output-Calculation-sheet'!K8*'Output-Calculation-sheet'!K17</f>
        <v>1793.2021691807956</v>
      </c>
      <c r="L31" s="2">
        <f>L9/'Output-Calculation-sheet'!L8*'Output-Calculation-sheet'!L17</f>
        <v>1529.2862133401188</v>
      </c>
      <c r="M31" s="2">
        <f>M9/'Output-Calculation-sheet'!M8*'Output-Calculation-sheet'!M17</f>
        <v>0</v>
      </c>
      <c r="N31" s="2">
        <f>N9/'Output-Calculation-sheet'!N8*'Output-Calculation-sheet'!N17</f>
        <v>1662.4905231108182</v>
      </c>
      <c r="O31" s="2">
        <f>O9/'Output-Calculation-sheet'!O8*'Output-Calculation-sheet'!O17</f>
        <v>0</v>
      </c>
      <c r="P31" s="2">
        <f>P9/'Output-Calculation-sheet'!P8*'Output-Calculation-sheet'!P17</f>
        <v>2063.4087761072956</v>
      </c>
      <c r="Q31" s="2">
        <f>Q9/'Output-Calculation-sheet'!Q8*'Output-Calculation-sheet'!Q17</f>
        <v>2199.7833350344163</v>
      </c>
      <c r="R31" s="2">
        <f>R9/'Output-Calculation-sheet'!R8*'Output-Calculation-sheet'!R17</f>
        <v>1439.2145149809037</v>
      </c>
      <c r="S31" s="2">
        <f>S9/'Output-Calculation-sheet'!S8*'Output-Calculation-sheet'!S17</f>
        <v>1238.3802209385981</v>
      </c>
      <c r="T31" s="2">
        <f>T9/'Output-Calculation-sheet'!T8*'Output-Calculation-sheet'!T17</f>
        <v>390.54137364644072</v>
      </c>
      <c r="U31" s="2">
        <f>U9/'Output-Calculation-sheet'!U8*'Output-Calculation-sheet'!U17</f>
        <v>448.85654351958607</v>
      </c>
      <c r="V31" s="2">
        <f>V9/'Output-Calculation-sheet'!V8*'Output-Calculation-sheet'!V17</f>
        <v>321.4946443669624</v>
      </c>
      <c r="W31" s="2">
        <f>W9/'Output-Calculation-sheet'!W8*'Output-Calculation-sheet'!W17</f>
        <v>178.98365395290605</v>
      </c>
      <c r="X31" s="2">
        <f>X9/'Output-Calculation-sheet'!X8*'Output-Calculation-sheet'!X17</f>
        <v>0</v>
      </c>
      <c r="Y31" s="2">
        <f>Y9/'Output-Calculation-sheet'!Y8*'Output-Calculation-sheet'!Y17</f>
        <v>172.93698698448748</v>
      </c>
      <c r="AA31" s="2">
        <f t="shared" si="1"/>
        <v>53.005613422872329</v>
      </c>
    </row>
    <row r="32" spans="1:27" x14ac:dyDescent="0.25">
      <c r="A32" s="2">
        <v>2033</v>
      </c>
      <c r="B32" s="2">
        <f>B10/'Output-Calculation-sheet'!B9*'Output-Calculation-sheet'!B18</f>
        <v>26778.863004694947</v>
      </c>
      <c r="C32" s="2">
        <f>C10/'Output-Calculation-sheet'!C9*'Output-Calculation-sheet'!C18</f>
        <v>0</v>
      </c>
      <c r="D32" s="2">
        <f>D10/'Output-Calculation-sheet'!D9*'Output-Calculation-sheet'!D18</f>
        <v>5144.1300568984707</v>
      </c>
      <c r="E32" s="2">
        <f>E10/'Output-Calculation-sheet'!E9*'Output-Calculation-sheet'!E18</f>
        <v>7186.0878939122686</v>
      </c>
      <c r="F32" s="2">
        <f>F10/'Output-Calculation-sheet'!F9*'Output-Calculation-sheet'!F18</f>
        <v>2900.9230925766278</v>
      </c>
      <c r="G32" s="2">
        <f>G10/'Output-Calculation-sheet'!G9*'Output-Calculation-sheet'!G18</f>
        <v>1809.7237556676821</v>
      </c>
      <c r="H32" s="2">
        <f>H10/'Output-Calculation-sheet'!H9*'Output-Calculation-sheet'!H18</f>
        <v>0</v>
      </c>
      <c r="I32" s="2">
        <f>I10/'Output-Calculation-sheet'!I9*'Output-Calculation-sheet'!I18</f>
        <v>1910.6433268255548</v>
      </c>
      <c r="J32" s="2">
        <f>J10/'Output-Calculation-sheet'!J9*'Output-Calculation-sheet'!J18</f>
        <v>1533.544053894577</v>
      </c>
      <c r="K32" s="2">
        <f>K10/'Output-Calculation-sheet'!K9*'Output-Calculation-sheet'!K18</f>
        <v>2552.3955679572009</v>
      </c>
      <c r="L32" s="2">
        <f>L10/'Output-Calculation-sheet'!L9*'Output-Calculation-sheet'!L18</f>
        <v>2204.8529587115104</v>
      </c>
      <c r="M32" s="2">
        <f>M10/'Output-Calculation-sheet'!M9*'Output-Calculation-sheet'!M18</f>
        <v>0</v>
      </c>
      <c r="N32" s="2">
        <f>N10/'Output-Calculation-sheet'!N9*'Output-Calculation-sheet'!N18</f>
        <v>1631.8109735180856</v>
      </c>
      <c r="O32" s="2">
        <f>O10/'Output-Calculation-sheet'!O9*'Output-Calculation-sheet'!O18</f>
        <v>0</v>
      </c>
      <c r="P32" s="2">
        <f>P10/'Output-Calculation-sheet'!P9*'Output-Calculation-sheet'!P18</f>
        <v>2627.1873643761564</v>
      </c>
      <c r="Q32" s="2">
        <f>Q10/'Output-Calculation-sheet'!Q9*'Output-Calculation-sheet'!Q18</f>
        <v>2859.7671035102389</v>
      </c>
      <c r="R32" s="2">
        <f>R10/'Output-Calculation-sheet'!R9*'Output-Calculation-sheet'!R18</f>
        <v>1886.4569752654702</v>
      </c>
      <c r="S32" s="2">
        <f>S10/'Output-Calculation-sheet'!S9*'Output-Calculation-sheet'!S18</f>
        <v>1237.904034906303</v>
      </c>
      <c r="T32" s="2">
        <f>T10/'Output-Calculation-sheet'!T9*'Output-Calculation-sheet'!T18</f>
        <v>550.64365041809526</v>
      </c>
      <c r="U32" s="2">
        <f>U10/'Output-Calculation-sheet'!U9*'Output-Calculation-sheet'!U18</f>
        <v>609.00560736273485</v>
      </c>
      <c r="V32" s="2">
        <f>V10/'Output-Calculation-sheet'!V9*'Output-Calculation-sheet'!V18</f>
        <v>449.73739033757306</v>
      </c>
      <c r="W32" s="2">
        <f>W10/'Output-Calculation-sheet'!W9*'Output-Calculation-sheet'!W18</f>
        <v>224.34188439621877</v>
      </c>
      <c r="X32" s="2">
        <f>X10/'Output-Calculation-sheet'!X9*'Output-Calculation-sheet'!X18</f>
        <v>0</v>
      </c>
      <c r="Y32" s="2">
        <f>Y10/'Output-Calculation-sheet'!Y9*'Output-Calculation-sheet'!Y18</f>
        <v>260.52950914018317</v>
      </c>
      <c r="AA32" s="2">
        <f t="shared" si="1"/>
        <v>64.358548204369896</v>
      </c>
    </row>
    <row r="33" spans="1:27" x14ac:dyDescent="0.25">
      <c r="A33" s="2">
        <v>2034</v>
      </c>
      <c r="B33" s="2">
        <f>B11/'Output-Calculation-sheet'!B10*'Output-Calculation-sheet'!B19</f>
        <v>24821.686724306237</v>
      </c>
      <c r="C33" s="2">
        <f>C11/'Output-Calculation-sheet'!C10*'Output-Calculation-sheet'!C19</f>
        <v>0</v>
      </c>
      <c r="D33" s="2">
        <f>D11/'Output-Calculation-sheet'!D10*'Output-Calculation-sheet'!D19</f>
        <v>7404.0365223508652</v>
      </c>
      <c r="E33" s="2">
        <f>E11/'Output-Calculation-sheet'!E10*'Output-Calculation-sheet'!E19</f>
        <v>9170.3943251316869</v>
      </c>
      <c r="F33" s="2">
        <f>F11/'Output-Calculation-sheet'!F10*'Output-Calculation-sheet'!F19</f>
        <v>4208.0328162714732</v>
      </c>
      <c r="G33" s="2">
        <f>G11/'Output-Calculation-sheet'!G10*'Output-Calculation-sheet'!G19</f>
        <v>2520.2640063199451</v>
      </c>
      <c r="H33" s="2">
        <f>H11/'Output-Calculation-sheet'!H10*'Output-Calculation-sheet'!H19</f>
        <v>0</v>
      </c>
      <c r="I33" s="2">
        <f>I11/'Output-Calculation-sheet'!I10*'Output-Calculation-sheet'!I19</f>
        <v>2749.9614537392408</v>
      </c>
      <c r="J33" s="2">
        <f>J11/'Output-Calculation-sheet'!J10*'Output-Calculation-sheet'!J19</f>
        <v>2325.2696181711449</v>
      </c>
      <c r="K33" s="2">
        <f>K11/'Output-Calculation-sheet'!K10*'Output-Calculation-sheet'!K19</f>
        <v>3226.6471447777599</v>
      </c>
      <c r="L33" s="2">
        <f>L11/'Output-Calculation-sheet'!L10*'Output-Calculation-sheet'!L19</f>
        <v>2624.0327938575856</v>
      </c>
      <c r="M33" s="2">
        <f>M11/'Output-Calculation-sheet'!M10*'Output-Calculation-sheet'!M19</f>
        <v>0</v>
      </c>
      <c r="N33" s="2">
        <f>N11/'Output-Calculation-sheet'!N10*'Output-Calculation-sheet'!N19</f>
        <v>1483.7790443785725</v>
      </c>
      <c r="O33" s="2">
        <f>O11/'Output-Calculation-sheet'!O10*'Output-Calculation-sheet'!O19</f>
        <v>0</v>
      </c>
      <c r="P33" s="2">
        <f>P11/'Output-Calculation-sheet'!P10*'Output-Calculation-sheet'!P19</f>
        <v>3264.7977253148902</v>
      </c>
      <c r="Q33" s="2">
        <f>Q11/'Output-Calculation-sheet'!Q10*'Output-Calculation-sheet'!Q19</f>
        <v>2688.526651599158</v>
      </c>
      <c r="R33" s="2">
        <f>R11/'Output-Calculation-sheet'!R10*'Output-Calculation-sheet'!R19</f>
        <v>2331.0129534676889</v>
      </c>
      <c r="S33" s="2">
        <f>S11/'Output-Calculation-sheet'!S10*'Output-Calculation-sheet'!S19</f>
        <v>1086.6361627990821</v>
      </c>
      <c r="T33" s="2">
        <f>T11/'Output-Calculation-sheet'!T10*'Output-Calculation-sheet'!T19</f>
        <v>683.98677365175411</v>
      </c>
      <c r="U33" s="2">
        <f>U11/'Output-Calculation-sheet'!U10*'Output-Calculation-sheet'!U19</f>
        <v>787.20985545349379</v>
      </c>
      <c r="V33" s="2">
        <f>V11/'Output-Calculation-sheet'!V10*'Output-Calculation-sheet'!V19</f>
        <v>536.37912424130332</v>
      </c>
      <c r="W33" s="2">
        <f>W11/'Output-Calculation-sheet'!W10*'Output-Calculation-sheet'!W19</f>
        <v>334.49331028538109</v>
      </c>
      <c r="X33" s="2">
        <f>X11/'Output-Calculation-sheet'!X10*'Output-Calculation-sheet'!X19</f>
        <v>96.718565411727027</v>
      </c>
      <c r="Y33" s="2">
        <f>Y11/'Output-Calculation-sheet'!Y10*'Output-Calculation-sheet'!Y19</f>
        <v>301.03183994424569</v>
      </c>
      <c r="AA33" s="2">
        <f t="shared" si="1"/>
        <v>72.644897411473224</v>
      </c>
    </row>
    <row r="34" spans="1:27" x14ac:dyDescent="0.25">
      <c r="A34" s="2">
        <v>2035</v>
      </c>
      <c r="B34" s="2">
        <f>B12/'Output-Calculation-sheet'!B11*'Output-Calculation-sheet'!B20</f>
        <v>22483.466939919221</v>
      </c>
      <c r="C34" s="2">
        <f>C12/'Output-Calculation-sheet'!C11*'Output-Calculation-sheet'!C20</f>
        <v>0</v>
      </c>
      <c r="D34" s="2">
        <f>D12/'Output-Calculation-sheet'!D11*'Output-Calculation-sheet'!D20</f>
        <v>7055.9975933996848</v>
      </c>
      <c r="E34" s="2">
        <f>E12/'Output-Calculation-sheet'!E11*'Output-Calculation-sheet'!E20</f>
        <v>7709.7142094121837</v>
      </c>
      <c r="F34" s="2">
        <f>F12/'Output-Calculation-sheet'!F11*'Output-Calculation-sheet'!F20</f>
        <v>4857.4814722785468</v>
      </c>
      <c r="G34" s="2">
        <f>G12/'Output-Calculation-sheet'!G11*'Output-Calculation-sheet'!G20</f>
        <v>2595.6938827423005</v>
      </c>
      <c r="H34" s="2">
        <f>H12/'Output-Calculation-sheet'!H11*'Output-Calculation-sheet'!H20</f>
        <v>0</v>
      </c>
      <c r="I34" s="2">
        <f>I12/'Output-Calculation-sheet'!I11*'Output-Calculation-sheet'!I20</f>
        <v>2821.1657975330963</v>
      </c>
      <c r="J34" s="2">
        <f>J12/'Output-Calculation-sheet'!J11*'Output-Calculation-sheet'!J20</f>
        <v>2421.9732733260548</v>
      </c>
      <c r="K34" s="2">
        <f>K12/'Output-Calculation-sheet'!K11*'Output-Calculation-sheet'!K20</f>
        <v>3184.3051563419372</v>
      </c>
      <c r="L34" s="2">
        <f>L12/'Output-Calculation-sheet'!L11*'Output-Calculation-sheet'!L20</f>
        <v>2516.6073692263617</v>
      </c>
      <c r="M34" s="2">
        <f>M12/'Output-Calculation-sheet'!M11*'Output-Calculation-sheet'!M20</f>
        <v>0</v>
      </c>
      <c r="N34" s="2">
        <f>N12/'Output-Calculation-sheet'!N11*'Output-Calculation-sheet'!N20</f>
        <v>1400.49241483883</v>
      </c>
      <c r="O34" s="2">
        <f>O12/'Output-Calculation-sheet'!O11*'Output-Calculation-sheet'!O20</f>
        <v>0</v>
      </c>
      <c r="P34" s="2">
        <f>P12/'Output-Calculation-sheet'!P11*'Output-Calculation-sheet'!P20</f>
        <v>3129.8447251768594</v>
      </c>
      <c r="Q34" s="2">
        <f>Q12/'Output-Calculation-sheet'!Q11*'Output-Calculation-sheet'!Q20</f>
        <v>2476.5535246690597</v>
      </c>
      <c r="R34" s="2">
        <f>R12/'Output-Calculation-sheet'!R11*'Output-Calculation-sheet'!R20</f>
        <v>2485.7169898399256</v>
      </c>
      <c r="S34" s="2">
        <f>S12/'Output-Calculation-sheet'!S11*'Output-Calculation-sheet'!S20</f>
        <v>949.48357549238494</v>
      </c>
      <c r="T34" s="2">
        <f>T12/'Output-Calculation-sheet'!T11*'Output-Calculation-sheet'!T20</f>
        <v>780.93549255840321</v>
      </c>
      <c r="U34" s="2">
        <f>U12/'Output-Calculation-sheet'!U11*'Output-Calculation-sheet'!U20</f>
        <v>712.48262269139229</v>
      </c>
      <c r="V34" s="2">
        <f>V12/'Output-Calculation-sheet'!V11*'Output-Calculation-sheet'!V20</f>
        <v>654.48831809321609</v>
      </c>
      <c r="W34" s="2">
        <f>W12/'Output-Calculation-sheet'!W11*'Output-Calculation-sheet'!W20</f>
        <v>421.07467179155191</v>
      </c>
      <c r="X34" s="2">
        <f>X12/'Output-Calculation-sheet'!X11*'Output-Calculation-sheet'!X20</f>
        <v>85.100775406033179</v>
      </c>
      <c r="Y34" s="2">
        <f>Y12/'Output-Calculation-sheet'!Y11*'Output-Calculation-sheet'!Y20</f>
        <v>236.02826083511405</v>
      </c>
      <c r="AA34" s="2">
        <f t="shared" si="1"/>
        <v>68.978607065572135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0.87710993856598318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0.17039886480802641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1.0475088033740096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0.99820678836432708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0.38784944988546927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1.3860562382497963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1.0573297558397052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0.61623218094209231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1.6735619367817975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1.0728308283094701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0.6252665050422388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1.6980973333517089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2.1019259391518132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0.32351913331860349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0.22261282188303433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0.81669532676277978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0.19169530492685621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2.4421175345936526E-2</v>
      </c>
      <c r="Y44" s="2">
        <f>Y11/'Output-Calculation-sheet'!Y10*'Output-Calculation-sheet'!Y37*0.0114</f>
        <v>0</v>
      </c>
      <c r="AA44" s="2">
        <f t="shared" si="2"/>
        <v>3.6808697013890237</v>
      </c>
    </row>
    <row r="45" spans="1:27" x14ac:dyDescent="0.25">
      <c r="A45" s="2">
        <v>2035</v>
      </c>
      <c r="B45" s="2">
        <f>B12/'Output-Calculation-sheet'!B11*'Output-Calculation-sheet'!B38*0.0114</f>
        <v>2.1014653279145277</v>
      </c>
      <c r="C45" s="2">
        <f>C12/'Output-Calculation-sheet'!C11*'Output-Calculation-sheet'!C38*0.0114</f>
        <v>1.9948046293480577</v>
      </c>
      <c r="D45" s="2">
        <f>D12/'Output-Calculation-sheet'!D11*'Output-Calculation-sheet'!D38*0.0114</f>
        <v>0.88353037680143676</v>
      </c>
      <c r="E45" s="2">
        <f>E12/'Output-Calculation-sheet'!E11*'Output-Calculation-sheet'!E38*0.0114</f>
        <v>0.70217098336102013</v>
      </c>
      <c r="F45" s="2">
        <f>F12/'Output-Calculation-sheet'!F11*'Output-Calculation-sheet'!F38*0.0114</f>
        <v>0.44161739811132639</v>
      </c>
      <c r="G45" s="2">
        <f>G12/'Output-Calculation-sheet'!G11*'Output-Calculation-sheet'!G38*0.0114</f>
        <v>0.31694132924105894</v>
      </c>
      <c r="H45" s="2">
        <f>H12/'Output-Calculation-sheet'!H11*'Output-Calculation-sheet'!H38*0.0114</f>
        <v>0.30703149564205945</v>
      </c>
      <c r="I45" s="2">
        <f>I12/'Output-Calculation-sheet'!I11*'Output-Calculation-sheet'!I38*0.0114</f>
        <v>0.28506980288672384</v>
      </c>
      <c r="J45" s="2">
        <f>J12/'Output-Calculation-sheet'!J11*'Output-Calculation-sheet'!J38*0.0114</f>
        <v>0.28212551157620652</v>
      </c>
      <c r="K45" s="2">
        <f>K12/'Output-Calculation-sheet'!K11*'Output-Calculation-sheet'!K38*0.0114</f>
        <v>0.28017874395895531</v>
      </c>
      <c r="L45" s="2">
        <f>L12/'Output-Calculation-sheet'!L11*'Output-Calculation-sheet'!L38*0.0114</f>
        <v>0.22278471150820434</v>
      </c>
      <c r="M45" s="2">
        <f>M12/'Output-Calculation-sheet'!M11*'Output-Calculation-sheet'!M38*0.0114</f>
        <v>0.21126771375384709</v>
      </c>
      <c r="N45" s="2">
        <f>N12/'Output-Calculation-sheet'!N11*'Output-Calculation-sheet'!N38*0.0114</f>
        <v>0.20764226205179689</v>
      </c>
      <c r="O45" s="2">
        <f>O12/'Output-Calculation-sheet'!O11*'Output-Calculation-sheet'!O38*0.0114</f>
        <v>0.77507374938753792</v>
      </c>
      <c r="P45" s="2">
        <f>P12/'Output-Calculation-sheet'!P11*'Output-Calculation-sheet'!P38*0.0114</f>
        <v>0.19182403627330555</v>
      </c>
      <c r="Q45" s="2">
        <f>Q12/'Output-Calculation-sheet'!Q11*'Output-Calculation-sheet'!Q38*0.0114</f>
        <v>0.18192585883719928</v>
      </c>
      <c r="R45" s="2">
        <f>R12/'Output-Calculation-sheet'!R11*'Output-Calculation-sheet'!R38*0.0114</f>
        <v>0.1804134112879463</v>
      </c>
      <c r="S45" s="2">
        <f>S12/'Output-Calculation-sheet'!S11*'Output-Calculation-sheet'!S38*0.0114</f>
        <v>0.1190273896568342</v>
      </c>
      <c r="T45" s="2">
        <f>T12/'Output-Calculation-sheet'!T11*'Output-Calculation-sheet'!T38*0.0114</f>
        <v>6.6746623295590016E-2</v>
      </c>
      <c r="U45" s="2">
        <f>U12/'Output-Calculation-sheet'!U11*'Output-Calculation-sheet'!U38*0.0114</f>
        <v>5.8045464865874884E-2</v>
      </c>
      <c r="V45" s="2">
        <f>V12/'Output-Calculation-sheet'!V11*'Output-Calculation-sheet'!V38*0.0114</f>
        <v>4.4758317843914264E-2</v>
      </c>
      <c r="W45" s="2">
        <f>W12/'Output-Calculation-sheet'!W11*'Output-Calculation-sheet'!W38*0.0114</f>
        <v>3.8757337336086779E-2</v>
      </c>
      <c r="X45" s="2">
        <f>X12/'Output-Calculation-sheet'!X11*'Output-Calculation-sheet'!X38*0.0114</f>
        <v>2.3176589016191938E-2</v>
      </c>
      <c r="Y45" s="2">
        <f>Y12/'Output-Calculation-sheet'!Y11*'Output-Calculation-sheet'!Y38*0.0114</f>
        <v>2.2365838273723456E-2</v>
      </c>
      <c r="AA45" s="2">
        <f t="shared" si="2"/>
        <v>9.9387449022294234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8001.704702707214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1752.6429767627296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1238.5841948653988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175.20819045408629</v>
      </c>
      <c r="Y51" s="2">
        <f>Y7/'Output-Calculation-sheet'!Y6*'Output-Calculation-sheet'!Y42</f>
        <v>0</v>
      </c>
      <c r="AA51" s="2">
        <f t="shared" si="3"/>
        <v>11.16814006478943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20489.507761162502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6684.6689604593057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4562.6119708402093</v>
      </c>
      <c r="N52" s="2">
        <f>N8/'Output-Calculation-sheet'!N7*'Output-Calculation-sheet'!N43</f>
        <v>145.83139638120196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590.05543283560939</v>
      </c>
      <c r="Y52" s="2">
        <f>Y8/'Output-Calculation-sheet'!Y7*'Output-Calculation-sheet'!Y43</f>
        <v>0</v>
      </c>
      <c r="AA52" s="2">
        <f t="shared" si="3"/>
        <v>32.472675521678831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45353.881632071563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12533.797673303201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8565.5420853765554</v>
      </c>
      <c r="N53" s="2">
        <f>N9/'Output-Calculation-sheet'!N8*'Output-Calculation-sheet'!N44</f>
        <v>3050.7601845682311</v>
      </c>
      <c r="O53" s="2">
        <f>O9/'Output-Calculation-sheet'!O8*'Output-Calculation-sheet'!O44</f>
        <v>0</v>
      </c>
      <c r="P53" s="2">
        <f>P9/'Output-Calculation-sheet'!P8*'Output-Calculation-sheet'!P44</f>
        <v>142.70140312126321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951.87647138329021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1071.1274266675034</v>
      </c>
      <c r="Y53" s="2">
        <f>Y9/'Output-Calculation-sheet'!Y8*'Output-Calculation-sheet'!Y44</f>
        <v>0</v>
      </c>
      <c r="AA53" s="2">
        <f t="shared" si="3"/>
        <v>71.66968687649161</v>
      </c>
    </row>
    <row r="54" spans="1:27" x14ac:dyDescent="0.25">
      <c r="A54" s="2">
        <v>2033</v>
      </c>
      <c r="B54" s="2">
        <f>B10/'Output-Calculation-sheet'!B9*'Output-Calculation-sheet'!B45</f>
        <v>25379.801449776041</v>
      </c>
      <c r="C54" s="2">
        <f>C10/'Output-Calculation-sheet'!C9*'Output-Calculation-sheet'!C45</f>
        <v>58158.723850460738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18395.545677191367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237.92151413879512</v>
      </c>
      <c r="L54" s="2">
        <f>L10/'Output-Calculation-sheet'!L9*'Output-Calculation-sheet'!L45</f>
        <v>0</v>
      </c>
      <c r="M54" s="2">
        <f>M10/'Output-Calculation-sheet'!M9*'Output-Calculation-sheet'!M45</f>
        <v>12618.068019630125</v>
      </c>
      <c r="N54" s="2">
        <f>N10/'Output-Calculation-sheet'!N9*'Output-Calculation-sheet'!N45</f>
        <v>7072.5980170730199</v>
      </c>
      <c r="O54" s="2">
        <f>O10/'Output-Calculation-sheet'!O9*'Output-Calculation-sheet'!O45</f>
        <v>0</v>
      </c>
      <c r="P54" s="2">
        <f>P10/'Output-Calculation-sheet'!P9*'Output-Calculation-sheet'!P45</f>
        <v>1918.5137310039102</v>
      </c>
      <c r="Q54" s="2">
        <f>Q10/'Output-Calculation-sheet'!Q9*'Output-Calculation-sheet'!Q45</f>
        <v>755.27156069225168</v>
      </c>
      <c r="R54" s="2">
        <f>R10/'Output-Calculation-sheet'!R9*'Output-Calculation-sheet'!R45</f>
        <v>1259.6693421792331</v>
      </c>
      <c r="S54" s="2">
        <f>S10/'Output-Calculation-sheet'!S9*'Output-Calculation-sheet'!S45</f>
        <v>3009.8006038039048</v>
      </c>
      <c r="T54" s="2">
        <f>T10/'Output-Calculation-sheet'!T9*'Output-Calculation-sheet'!T45</f>
        <v>62.977486180373454</v>
      </c>
      <c r="U54" s="2">
        <f>U10/'Output-Calculation-sheet'!U9*'Output-Calculation-sheet'!U45</f>
        <v>454.5717136199122</v>
      </c>
      <c r="V54" s="2">
        <f>V10/'Output-Calculation-sheet'!V9*'Output-Calculation-sheet'!V45</f>
        <v>33.784676489042532</v>
      </c>
      <c r="W54" s="2">
        <f>W10/'Output-Calculation-sheet'!W9*'Output-Calculation-sheet'!W45</f>
        <v>0</v>
      </c>
      <c r="X54" s="2">
        <f>X10/'Output-Calculation-sheet'!X9*'Output-Calculation-sheet'!X45</f>
        <v>1449.8366354978482</v>
      </c>
      <c r="Y54" s="2">
        <f>Y10/'Output-Calculation-sheet'!Y9*'Output-Calculation-sheet'!Y45</f>
        <v>14.771998055851689</v>
      </c>
      <c r="AA54" s="2">
        <f t="shared" si="3"/>
        <v>130.82185627579241</v>
      </c>
    </row>
    <row r="55" spans="1:27" x14ac:dyDescent="0.25">
      <c r="A55" s="2">
        <v>2034</v>
      </c>
      <c r="B55" s="2">
        <f>B11/'Output-Calculation-sheet'!B10*'Output-Calculation-sheet'!B46</f>
        <v>70702.668187240546</v>
      </c>
      <c r="C55" s="2">
        <f>C11/'Output-Calculation-sheet'!C10*'Output-Calculation-sheet'!C46</f>
        <v>58171.722263368159</v>
      </c>
      <c r="D55" s="2">
        <f>D11/'Output-Calculation-sheet'!D10*'Output-Calculation-sheet'!D46</f>
        <v>6533.1655540023521</v>
      </c>
      <c r="E55" s="2">
        <f>E11/'Output-Calculation-sheet'!E10*'Output-Calculation-sheet'!E46</f>
        <v>8047.7922129721737</v>
      </c>
      <c r="F55" s="2">
        <f>F11/'Output-Calculation-sheet'!F10*'Output-Calculation-sheet'!F46</f>
        <v>244.91174688022079</v>
      </c>
      <c r="G55" s="2">
        <f>G11/'Output-Calculation-sheet'!G10*'Output-Calculation-sheet'!G46</f>
        <v>2900.1887299423993</v>
      </c>
      <c r="H55" s="2">
        <f>H11/'Output-Calculation-sheet'!H10*'Output-Calculation-sheet'!H46</f>
        <v>20971.985923021752</v>
      </c>
      <c r="I55" s="2">
        <f>I11/'Output-Calculation-sheet'!I10*'Output-Calculation-sheet'!I46</f>
        <v>1580.9373386640839</v>
      </c>
      <c r="J55" s="2">
        <f>J11/'Output-Calculation-sheet'!J10*'Output-Calculation-sheet'!J46</f>
        <v>1147.3798721490452</v>
      </c>
      <c r="K55" s="2">
        <f>K11/'Output-Calculation-sheet'!K10*'Output-Calculation-sheet'!K46</f>
        <v>3081.7282274595768</v>
      </c>
      <c r="L55" s="2">
        <f>L11/'Output-Calculation-sheet'!L10*'Output-Calculation-sheet'!L46</f>
        <v>1132.5575112780916</v>
      </c>
      <c r="M55" s="2">
        <f>M11/'Output-Calculation-sheet'!M10*'Output-Calculation-sheet'!M46</f>
        <v>14821.327351686232</v>
      </c>
      <c r="N55" s="2">
        <f>N11/'Output-Calculation-sheet'!N10*'Output-Calculation-sheet'!N46</f>
        <v>11304.28861531967</v>
      </c>
      <c r="O55" s="2">
        <f>O11/'Output-Calculation-sheet'!O10*'Output-Calculation-sheet'!O46</f>
        <v>250.73979330436219</v>
      </c>
      <c r="P55" s="2">
        <f>P11/'Output-Calculation-sheet'!P10*'Output-Calculation-sheet'!P46</f>
        <v>4202.0727007588312</v>
      </c>
      <c r="Q55" s="2">
        <f>Q11/'Output-Calculation-sheet'!Q10*'Output-Calculation-sheet'!Q46</f>
        <v>2471.860510898935</v>
      </c>
      <c r="R55" s="2">
        <f>R11/'Output-Calculation-sheet'!R10*'Output-Calculation-sheet'!R46</f>
        <v>3401.8187980728294</v>
      </c>
      <c r="S55" s="2">
        <f>S11/'Output-Calculation-sheet'!S10*'Output-Calculation-sheet'!S46</f>
        <v>5555.8495718693575</v>
      </c>
      <c r="T55" s="2">
        <f>T11/'Output-Calculation-sheet'!T10*'Output-Calculation-sheet'!T46</f>
        <v>771.17244566934789</v>
      </c>
      <c r="U55" s="2">
        <f>U11/'Output-Calculation-sheet'!U10*'Output-Calculation-sheet'!U46</f>
        <v>1287.6318967118425</v>
      </c>
      <c r="V55" s="2">
        <f>V11/'Output-Calculation-sheet'!V10*'Output-Calculation-sheet'!V46</f>
        <v>521.26251141040177</v>
      </c>
      <c r="W55" s="2">
        <f>W11/'Output-Calculation-sheet'!W10*'Output-Calculation-sheet'!W46</f>
        <v>68.06435367207051</v>
      </c>
      <c r="X55" s="2">
        <f>X11/'Output-Calculation-sheet'!X10*'Output-Calculation-sheet'!X46</f>
        <v>1516.6835214844789</v>
      </c>
      <c r="Y55" s="2">
        <f>Y11/'Output-Calculation-sheet'!Y10*'Output-Calculation-sheet'!Y46</f>
        <v>394.84872357367175</v>
      </c>
      <c r="AA55" s="2">
        <f t="shared" si="3"/>
        <v>221.08265836141041</v>
      </c>
    </row>
    <row r="56" spans="1:27" x14ac:dyDescent="0.25">
      <c r="A56" s="2">
        <v>2035</v>
      </c>
      <c r="B56" s="2">
        <f>B12/'Output-Calculation-sheet'!B11*'Output-Calculation-sheet'!B47</f>
        <v>85348.986563546176</v>
      </c>
      <c r="C56" s="2">
        <f>C12/'Output-Calculation-sheet'!C11*'Output-Calculation-sheet'!C47</f>
        <v>56082.007342636178</v>
      </c>
      <c r="D56" s="2">
        <f>D12/'Output-Calculation-sheet'!D11*'Output-Calculation-sheet'!D47</f>
        <v>6820.234487590038</v>
      </c>
      <c r="E56" s="2">
        <f>E12/'Output-Calculation-sheet'!E11*'Output-Calculation-sheet'!E47</f>
        <v>19155.717177655901</v>
      </c>
      <c r="F56" s="2">
        <f>F12/'Output-Calculation-sheet'!F11*'Output-Calculation-sheet'!F47</f>
        <v>2363.0404635781497</v>
      </c>
      <c r="G56" s="2">
        <f>G12/'Output-Calculation-sheet'!G11*'Output-Calculation-sheet'!G47</f>
        <v>5337.959229323098</v>
      </c>
      <c r="H56" s="2">
        <f>H12/'Output-Calculation-sheet'!H11*'Output-Calculation-sheet'!H47</f>
        <v>20387.968614126228</v>
      </c>
      <c r="I56" s="2">
        <f>I12/'Output-Calculation-sheet'!I11*'Output-Calculation-sheet'!I47</f>
        <v>2700.661290505805</v>
      </c>
      <c r="J56" s="2">
        <f>J12/'Output-Calculation-sheet'!J11*'Output-Calculation-sheet'!J47</f>
        <v>2450.0373373723196</v>
      </c>
      <c r="K56" s="2">
        <f>K12/'Output-Calculation-sheet'!K11*'Output-Calculation-sheet'!K47</f>
        <v>3539.099923692067</v>
      </c>
      <c r="L56" s="2">
        <f>L12/'Output-Calculation-sheet'!L11*'Output-Calculation-sheet'!L47</f>
        <v>1954.2518553351258</v>
      </c>
      <c r="M56" s="2">
        <f>M12/'Output-Calculation-sheet'!M11*'Output-Calculation-sheet'!M47</f>
        <v>14214.240039403572</v>
      </c>
      <c r="N56" s="2">
        <f>N12/'Output-Calculation-sheet'!N11*'Output-Calculation-sheet'!N47</f>
        <v>10855.683173936048</v>
      </c>
      <c r="O56" s="2">
        <f>O12/'Output-Calculation-sheet'!O11*'Output-Calculation-sheet'!O47</f>
        <v>1019.8338807730762</v>
      </c>
      <c r="P56" s="2">
        <f>P12/'Output-Calculation-sheet'!P11*'Output-Calculation-sheet'!P47</f>
        <v>5636.9343992594168</v>
      </c>
      <c r="Q56" s="2">
        <f>Q12/'Output-Calculation-sheet'!Q11*'Output-Calculation-sheet'!Q47</f>
        <v>2856.5551519174273</v>
      </c>
      <c r="R56" s="2">
        <f>R12/'Output-Calculation-sheet'!R11*'Output-Calculation-sheet'!R47</f>
        <v>4162.1690498885855</v>
      </c>
      <c r="S56" s="2">
        <f>S12/'Output-Calculation-sheet'!S11*'Output-Calculation-sheet'!S47</f>
        <v>5512.8475209481103</v>
      </c>
      <c r="T56" s="2">
        <f>T12/'Output-Calculation-sheet'!T11*'Output-Calculation-sheet'!T47</f>
        <v>1457.8867719826239</v>
      </c>
      <c r="U56" s="2">
        <f>U12/'Output-Calculation-sheet'!U11*'Output-Calculation-sheet'!U47</f>
        <v>1395.1278397587471</v>
      </c>
      <c r="V56" s="2">
        <f>V12/'Output-Calculation-sheet'!V11*'Output-Calculation-sheet'!V47</f>
        <v>973.68972151673131</v>
      </c>
      <c r="W56" s="2">
        <f>W12/'Output-Calculation-sheet'!W11*'Output-Calculation-sheet'!W47</f>
        <v>554.1619285773811</v>
      </c>
      <c r="X56" s="2">
        <f>X12/'Output-Calculation-sheet'!X11*'Output-Calculation-sheet'!X47</f>
        <v>1467.8506376921559</v>
      </c>
      <c r="Y56" s="2">
        <f>Y12/'Output-Calculation-sheet'!Y11*'Output-Calculation-sheet'!Y47</f>
        <v>751.4136893715862</v>
      </c>
      <c r="AA56" s="2">
        <f t="shared" si="3"/>
        <v>256.99835809038655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4.7325266218002033</v>
      </c>
      <c r="C60" s="2">
        <f>C5*'Output-Calculation-sheet'!C49/10^9</f>
        <v>1.9088279039896519</v>
      </c>
      <c r="D60" s="2">
        <f>D5*'Output-Calculation-sheet'!D49/10^9</f>
        <v>1.2479113103982364</v>
      </c>
      <c r="E60" s="2">
        <f>E5*'Output-Calculation-sheet'!E49/10^9</f>
        <v>1.4478570355749143</v>
      </c>
      <c r="F60" s="2">
        <f>F5*'Output-Calculation-sheet'!F49/10^9</f>
        <v>0.66495763205205372</v>
      </c>
      <c r="G60" s="2">
        <f>G5*'Output-Calculation-sheet'!G49/10^9</f>
        <v>0.52456376982493724</v>
      </c>
      <c r="H60" s="2">
        <f>H5*'Output-Calculation-sheet'!H49/10^9</f>
        <v>0.5015586382936702</v>
      </c>
      <c r="I60" s="2">
        <f>I5*'Output-Calculation-sheet'!I49/10^9</f>
        <v>0.39488767836277638</v>
      </c>
      <c r="J60" s="2">
        <f>J5*'Output-Calculation-sheet'!J49/10^9</f>
        <v>0.61200494979529396</v>
      </c>
      <c r="K60" s="2">
        <f>K5*'Output-Calculation-sheet'!K49/10^9</f>
        <v>0.33969559657159665</v>
      </c>
      <c r="L60" s="2">
        <f>L5*'Output-Calculation-sheet'!L49/10^9</f>
        <v>0.44360234327415821</v>
      </c>
      <c r="M60" s="2">
        <f>M5*'Output-Calculation-sheet'!M49/10^9</f>
        <v>0.38393605865104324</v>
      </c>
      <c r="N60" s="2">
        <f>N5*'Output-Calculation-sheet'!N49/10^9</f>
        <v>0.32138992630717933</v>
      </c>
      <c r="O60" s="2">
        <f>O5*'Output-Calculation-sheet'!O49/10^9</f>
        <v>0.32214782965874689</v>
      </c>
      <c r="P60" s="2">
        <f>P5*'Output-Calculation-sheet'!P49/10^9</f>
        <v>0.33610445220847507</v>
      </c>
      <c r="Q60" s="2">
        <f>Q5*'Output-Calculation-sheet'!Q49/10^9</f>
        <v>0.291508831213391</v>
      </c>
      <c r="R60" s="2">
        <f>R5*'Output-Calculation-sheet'!R49/10^9</f>
        <v>0.30477495988604686</v>
      </c>
      <c r="S60" s="2">
        <f>S5*'Output-Calculation-sheet'!S49/10^9</f>
        <v>0.2147449171205105</v>
      </c>
      <c r="T60" s="2">
        <f>T5*'Output-Calculation-sheet'!T49/10^9</f>
        <v>0.13358478288436523</v>
      </c>
      <c r="U60" s="2">
        <f>U5*'Output-Calculation-sheet'!U49/10^9</f>
        <v>9.8155441098423488E-2</v>
      </c>
      <c r="V60" s="2">
        <f>V5*'Output-Calculation-sheet'!V49/10^9</f>
        <v>0.1866653328911749</v>
      </c>
      <c r="W60" s="2">
        <f>W5*'Output-Calculation-sheet'!W49/10^9</f>
        <v>7.4329551844645445E-2</v>
      </c>
      <c r="X60" s="2">
        <f>X5*'Output-Calculation-sheet'!X49/10^9</f>
        <v>5.4517657013671124E-2</v>
      </c>
      <c r="Y60" s="2">
        <f>Y5*'Output-Calculation-sheet'!Y49/10^9</f>
        <v>3.9426699172199708E-2</v>
      </c>
      <c r="AA60" s="2">
        <f t="shared" ref="AA60:AA67" si="4">SUM(B60:Y60)</f>
        <v>15.579679919887363</v>
      </c>
    </row>
    <row r="61" spans="1:27" x14ac:dyDescent="0.25">
      <c r="A61" s="2">
        <v>2029</v>
      </c>
      <c r="B61" s="2">
        <f>B6*'Output-Calculation-sheet'!B50/10^9</f>
        <v>5.8230241322488219</v>
      </c>
      <c r="C61" s="2">
        <f>C6*'Output-Calculation-sheet'!C50/10^9</f>
        <v>2.4956706135048767</v>
      </c>
      <c r="D61" s="2">
        <f>D6*'Output-Calculation-sheet'!D50/10^9</f>
        <v>1.4989299605219628</v>
      </c>
      <c r="E61" s="2">
        <f>E6*'Output-Calculation-sheet'!E50/10^9</f>
        <v>1.7326290389010897</v>
      </c>
      <c r="F61" s="2">
        <f>F6*'Output-Calculation-sheet'!F50/10^9</f>
        <v>0.79947958404968023</v>
      </c>
      <c r="G61" s="2">
        <f>G6*'Output-Calculation-sheet'!G50/10^9</f>
        <v>0.62510338692268219</v>
      </c>
      <c r="H61" s="2">
        <f>H6*'Output-Calculation-sheet'!H50/10^9</f>
        <v>0.64710172834274493</v>
      </c>
      <c r="I61" s="2">
        <f>I6*'Output-Calculation-sheet'!I50/10^9</f>
        <v>0.47662973874048392</v>
      </c>
      <c r="J61" s="2">
        <f>J6*'Output-Calculation-sheet'!J50/10^9</f>
        <v>0.72115226805161692</v>
      </c>
      <c r="K61" s="2">
        <f>K6*'Output-Calculation-sheet'!K50/10^9</f>
        <v>0.41874233049484172</v>
      </c>
      <c r="L61" s="2">
        <f>L6*'Output-Calculation-sheet'!L50/10^9</f>
        <v>0.53225349243892373</v>
      </c>
      <c r="M61" s="2">
        <f>M6*'Output-Calculation-sheet'!M50/10^9</f>
        <v>0.49001028372722777</v>
      </c>
      <c r="N61" s="2">
        <f>N6*'Output-Calculation-sheet'!N50/10^9</f>
        <v>0.41751227209840053</v>
      </c>
      <c r="O61" s="2">
        <f>O6*'Output-Calculation-sheet'!O50/10^9</f>
        <v>0.43472283745547308</v>
      </c>
      <c r="P61" s="2">
        <f>P6*'Output-Calculation-sheet'!P50/10^9</f>
        <v>0.41434755793657824</v>
      </c>
      <c r="Q61" s="2">
        <f>Q6*'Output-Calculation-sheet'!Q50/10^9</f>
        <v>0.36705748239279634</v>
      </c>
      <c r="R61" s="2">
        <f>R6*'Output-Calculation-sheet'!R50/10^9</f>
        <v>0.37089122044638057</v>
      </c>
      <c r="S61" s="2">
        <f>S6*'Output-Calculation-sheet'!S50/10^9</f>
        <v>0.27191710796217078</v>
      </c>
      <c r="T61" s="2">
        <f>T6*'Output-Calculation-sheet'!T50/10^9</f>
        <v>0.15938015899136332</v>
      </c>
      <c r="U61" s="2">
        <f>U6*'Output-Calculation-sheet'!U50/10^9</f>
        <v>0.11898962464208346</v>
      </c>
      <c r="V61" s="2">
        <f>V6*'Output-Calculation-sheet'!V50/10^9</f>
        <v>0.21828204799572898</v>
      </c>
      <c r="W61" s="2">
        <f>W6*'Output-Calculation-sheet'!W50/10^9</f>
        <v>8.8074593080952224E-2</v>
      </c>
      <c r="X61" s="2">
        <f>X6*'Output-Calculation-sheet'!X50/10^9</f>
        <v>6.8759094375623803E-2</v>
      </c>
      <c r="Y61" s="2">
        <f>Y6*'Output-Calculation-sheet'!Y50/10^9</f>
        <v>4.7777096463677435E-2</v>
      </c>
      <c r="AA61" s="2">
        <f t="shared" si="4"/>
        <v>19.238437651786185</v>
      </c>
    </row>
    <row r="62" spans="1:27" x14ac:dyDescent="0.25">
      <c r="A62" s="2">
        <v>2030</v>
      </c>
      <c r="B62" s="2">
        <f>B7*'Output-Calculation-sheet'!B51/10^9</f>
        <v>6.5468753784999008</v>
      </c>
      <c r="C62" s="2">
        <f>C7*'Output-Calculation-sheet'!C51/10^9</f>
        <v>3.2536589211629336</v>
      </c>
      <c r="D62" s="2">
        <f>D7*'Output-Calculation-sheet'!D51/10^9</f>
        <v>1.6309802394373847</v>
      </c>
      <c r="E62" s="2">
        <f>E7*'Output-Calculation-sheet'!E51/10^9</f>
        <v>1.8767775071727353</v>
      </c>
      <c r="F62" s="2">
        <f>F7*'Output-Calculation-sheet'!F51/10^9</f>
        <v>0.87091549275422409</v>
      </c>
      <c r="G62" s="2">
        <f>G7*'Output-Calculation-sheet'!G51/10^9</f>
        <v>0.67363822312895216</v>
      </c>
      <c r="H62" s="2">
        <f>H7*'Output-Calculation-sheet'!H51/10^9</f>
        <v>0.82019687170554023</v>
      </c>
      <c r="I62" s="2">
        <f>I7*'Output-Calculation-sheet'!I51/10^9</f>
        <v>0.52165194029721884</v>
      </c>
      <c r="J62" s="2">
        <f>J7*'Output-Calculation-sheet'!J51/10^9</f>
        <v>0.76635689867630996</v>
      </c>
      <c r="K62" s="2">
        <f>K7*'Output-Calculation-sheet'!K51/10^9</f>
        <v>0.46970224681949979</v>
      </c>
      <c r="L62" s="2">
        <f>L7*'Output-Calculation-sheet'!L51/10^9</f>
        <v>0.57838143696816857</v>
      </c>
      <c r="M62" s="2">
        <f>M7*'Output-Calculation-sheet'!M51/10^9</f>
        <v>0.61113282077709796</v>
      </c>
      <c r="N62" s="2">
        <f>N7*'Output-Calculation-sheet'!N51/10^9</f>
        <v>0.49928753376206381</v>
      </c>
      <c r="O62" s="2">
        <f>O7*'Output-Calculation-sheet'!O51/10^9</f>
        <v>0.56811361237276481</v>
      </c>
      <c r="P62" s="2">
        <f>P7*'Output-Calculation-sheet'!P51/10^9</f>
        <v>0.46481353248536339</v>
      </c>
      <c r="Q62" s="2">
        <f>Q7*'Output-Calculation-sheet'!Q51/10^9</f>
        <v>0.42298319769711906</v>
      </c>
      <c r="R62" s="2">
        <f>R7*'Output-Calculation-sheet'!R51/10^9</f>
        <v>0.40988120642848858</v>
      </c>
      <c r="S62" s="2">
        <f>S7*'Output-Calculation-sheet'!S51/10^9</f>
        <v>0.31778009361782761</v>
      </c>
      <c r="T62" s="2">
        <f>T7*'Output-Calculation-sheet'!T51/10^9</f>
        <v>0.17200909071845374</v>
      </c>
      <c r="U62" s="2">
        <f>U7*'Output-Calculation-sheet'!U51/10^9</f>
        <v>0.13090339822213007</v>
      </c>
      <c r="V62" s="2">
        <f>V7*'Output-Calculation-sheet'!V51/10^9</f>
        <v>0.22972465608049525</v>
      </c>
      <c r="W62" s="2">
        <f>W7*'Output-Calculation-sheet'!W51/10^9</f>
        <v>9.4249671522577669E-2</v>
      </c>
      <c r="X62" s="2">
        <f>X7*'Output-Calculation-sheet'!X51/10^9</f>
        <v>8.4540314754887769E-2</v>
      </c>
      <c r="Y62" s="2">
        <f>Y7*'Output-Calculation-sheet'!Y51/10^9</f>
        <v>5.2537076193140519E-2</v>
      </c>
      <c r="AA62" s="2">
        <f t="shared" si="4"/>
        <v>22.067091361255276</v>
      </c>
    </row>
    <row r="63" spans="1:27" x14ac:dyDescent="0.25">
      <c r="A63" s="2">
        <v>2031</v>
      </c>
      <c r="B63" s="2">
        <f>B8*'Output-Calculation-sheet'!B52/10^9</f>
        <v>6.9618272205432801</v>
      </c>
      <c r="C63" s="2">
        <f>C8*'Output-Calculation-sheet'!C52/10^9</f>
        <v>3.9616434508813092</v>
      </c>
      <c r="D63" s="2">
        <f>D8*'Output-Calculation-sheet'!D52/10^9</f>
        <v>1.6300357499101807</v>
      </c>
      <c r="E63" s="2">
        <f>E8*'Output-Calculation-sheet'!E52/10^9</f>
        <v>1.8648420393895295</v>
      </c>
      <c r="F63" s="2">
        <f>F8*'Output-Calculation-sheet'!F52/10^9</f>
        <v>0.8716947526156682</v>
      </c>
      <c r="G63" s="2">
        <f>G8*'Output-Calculation-sheet'!G52/10^9</f>
        <v>0.66489813622942628</v>
      </c>
      <c r="H63" s="2">
        <f>H8*'Output-Calculation-sheet'!H52/10^9</f>
        <v>0.99386325665748854</v>
      </c>
      <c r="I63" s="2">
        <f>I8*'Output-Calculation-sheet'!I52/10^9</f>
        <v>0.52522533569525953</v>
      </c>
      <c r="J63" s="2">
        <f>J8*'Output-Calculation-sheet'!J52/10^9</f>
        <v>0.74249487496527988</v>
      </c>
      <c r="K63" s="2">
        <f>K8*'Output-Calculation-sheet'!K52/10^9</f>
        <v>0.48741020724107914</v>
      </c>
      <c r="L63" s="2">
        <f>L8*'Output-Calculation-sheet'!L52/10^9</f>
        <v>0.57707342696763486</v>
      </c>
      <c r="M63" s="2">
        <f>M8*'Output-Calculation-sheet'!M52/10^9</f>
        <v>0.72768153317039463</v>
      </c>
      <c r="N63" s="2">
        <f>N8*'Output-Calculation-sheet'!N52/10^9</f>
        <v>0.5802184928602363</v>
      </c>
      <c r="O63" s="2">
        <f>O8*'Output-Calculation-sheet'!O52/10^9</f>
        <v>0.68857833213759778</v>
      </c>
      <c r="P63" s="2">
        <f>P8*'Output-Calculation-sheet'!P52/10^9</f>
        <v>0.49570543698280778</v>
      </c>
      <c r="Q63" s="2">
        <f>Q8*'Output-Calculation-sheet'!Q52/10^9</f>
        <v>0.46238401827586867</v>
      </c>
      <c r="R63" s="2">
        <f>R8*'Output-Calculation-sheet'!R52/10^9</f>
        <v>0.41881133197547904</v>
      </c>
      <c r="S63" s="2">
        <f>S8*'Output-Calculation-sheet'!S52/10^9</f>
        <v>0.35534686632539952</v>
      </c>
      <c r="T63" s="2">
        <f>T8*'Output-Calculation-sheet'!T52/10^9</f>
        <v>0.17010535161504955</v>
      </c>
      <c r="U63" s="2">
        <f>U8*'Output-Calculation-sheet'!U52/10^9</f>
        <v>0.13265652051545265</v>
      </c>
      <c r="V63" s="2">
        <f>V8*'Output-Calculation-sheet'!V52/10^9</f>
        <v>0.21964067298470352</v>
      </c>
      <c r="W63" s="2">
        <f>W8*'Output-Calculation-sheet'!W52/10^9</f>
        <v>9.2171004204562118E-2</v>
      </c>
      <c r="X63" s="2">
        <f>X8*'Output-Calculation-sheet'!X52/10^9</f>
        <v>9.8219607202148049E-2</v>
      </c>
      <c r="Y63" s="2">
        <f>Y8*'Output-Calculation-sheet'!Y52/10^9</f>
        <v>5.3225300685247175E-2</v>
      </c>
      <c r="AA63" s="2">
        <f t="shared" si="4"/>
        <v>23.775752920031085</v>
      </c>
    </row>
    <row r="64" spans="1:27" x14ac:dyDescent="0.25">
      <c r="A64" s="2">
        <v>2032</v>
      </c>
      <c r="B64" s="2">
        <f>B9*'Output-Calculation-sheet'!B53/10^9</f>
        <v>7.0731682287986208</v>
      </c>
      <c r="C64" s="2">
        <f>C9*'Output-Calculation-sheet'!C53/10^9</f>
        <v>4.4435542431042654</v>
      </c>
      <c r="D64" s="2">
        <f>D9*'Output-Calculation-sheet'!D53/10^9</f>
        <v>1.4852612290895273</v>
      </c>
      <c r="E64" s="2">
        <f>E9*'Output-Calculation-sheet'!E53/10^9</f>
        <v>1.73422471999613</v>
      </c>
      <c r="F64" s="2">
        <f>F9*'Output-Calculation-sheet'!F53/10^9</f>
        <v>0.7958071759436175</v>
      </c>
      <c r="G64" s="2">
        <f>G9*'Output-Calculation-sheet'!G53/10^9</f>
        <v>0.59586675642847964</v>
      </c>
      <c r="H64" s="2">
        <f>H9*'Output-Calculation-sheet'!H53/10^9</f>
        <v>1.1097342626488647</v>
      </c>
      <c r="I64" s="2">
        <f>I9*'Output-Calculation-sheet'!I53/10^9</f>
        <v>0.48320715582844542</v>
      </c>
      <c r="J64" s="2">
        <f>J9*'Output-Calculation-sheet'!J53/10^9</f>
        <v>0.64856780816449633</v>
      </c>
      <c r="K64" s="2">
        <f>K9*'Output-Calculation-sheet'!K53/10^9</f>
        <v>0.47878676262800696</v>
      </c>
      <c r="L64" s="2">
        <f>L9*'Output-Calculation-sheet'!L53/10^9</f>
        <v>0.5375199698047769</v>
      </c>
      <c r="M64" s="2">
        <f>M9*'Output-Calculation-sheet'!M53/10^9</f>
        <v>0.80027415297314031</v>
      </c>
      <c r="N64" s="2">
        <f>N9*'Output-Calculation-sheet'!N53/10^9</f>
        <v>0.65405079828088797</v>
      </c>
      <c r="O64" s="2">
        <f>O9*'Output-Calculation-sheet'!O53/10^9</f>
        <v>0.772649448622026</v>
      </c>
      <c r="P64" s="2">
        <f>P9*'Output-Calculation-sheet'!P53/10^9</f>
        <v>0.51088020430971981</v>
      </c>
      <c r="Q64" s="2">
        <f>Q9*'Output-Calculation-sheet'!Q53/10^9</f>
        <v>0.48459442873990671</v>
      </c>
      <c r="R64" s="2">
        <f>R9*'Output-Calculation-sheet'!R53/10^9</f>
        <v>0.41225326243597588</v>
      </c>
      <c r="S64" s="2">
        <f>S9*'Output-Calculation-sheet'!S53/10^9</f>
        <v>0.38757289726239508</v>
      </c>
      <c r="T64" s="2">
        <f>T9*'Output-Calculation-sheet'!T53/10^9</f>
        <v>0.15410867649657264</v>
      </c>
      <c r="U64" s="2">
        <f>U9*'Output-Calculation-sheet'!U53/10^9</f>
        <v>0.1312997316749325</v>
      </c>
      <c r="V64" s="2">
        <f>V9*'Output-Calculation-sheet'!V53/10^9</f>
        <v>0.19136510490586361</v>
      </c>
      <c r="W64" s="2">
        <f>W9*'Output-Calculation-sheet'!W53/10^9</f>
        <v>8.1566210388646324E-2</v>
      </c>
      <c r="X64" s="2">
        <f>X9*'Output-Calculation-sheet'!X53/10^9</f>
        <v>0.10542780680956629</v>
      </c>
      <c r="Y64" s="2">
        <f>Y9*'Output-Calculation-sheet'!Y53/10^9</f>
        <v>5.1880632557958231E-2</v>
      </c>
      <c r="AA64" s="2">
        <f t="shared" si="4"/>
        <v>24.123621667892824</v>
      </c>
    </row>
    <row r="65" spans="1:27" x14ac:dyDescent="0.25">
      <c r="A65" s="2">
        <v>2033</v>
      </c>
      <c r="B65" s="2">
        <f>B10*'Output-Calculation-sheet'!B54/10^9</f>
        <v>7.1844344393592676</v>
      </c>
      <c r="C65" s="2">
        <f>C10*'Output-Calculation-sheet'!C54/10^9</f>
        <v>4.7217844930186361</v>
      </c>
      <c r="D65" s="2">
        <f>D10*'Output-Calculation-sheet'!D54/10^9</f>
        <v>1.2805982545114494</v>
      </c>
      <c r="E65" s="2">
        <f>E10*'Output-Calculation-sheet'!E54/10^9</f>
        <v>1.6308672897414134</v>
      </c>
      <c r="F65" s="2">
        <f>F10*'Output-Calculation-sheet'!F54/10^9</f>
        <v>0.70079774638575343</v>
      </c>
      <c r="G65" s="2">
        <f>G10*'Output-Calculation-sheet'!G54/10^9</f>
        <v>0.49893340390249702</v>
      </c>
      <c r="H65" s="2">
        <f>H10*'Output-Calculation-sheet'!H54/10^9</f>
        <v>1.1723557864302447</v>
      </c>
      <c r="I65" s="2">
        <f>I10*'Output-Calculation-sheet'!I54/10^9</f>
        <v>0.43746033811745666</v>
      </c>
      <c r="J65" s="2">
        <f>J10*'Output-Calculation-sheet'!J54/10^9</f>
        <v>0.51758503491242658</v>
      </c>
      <c r="K65" s="2">
        <f>K10*'Output-Calculation-sheet'!K54/10^9</f>
        <v>0.48432833416941617</v>
      </c>
      <c r="L65" s="2">
        <f>L10*'Output-Calculation-sheet'!L54/10^9</f>
        <v>0.49950306749796414</v>
      </c>
      <c r="M65" s="2">
        <f>M10*'Output-Calculation-sheet'!M54/10^9</f>
        <v>0.83361818309223945</v>
      </c>
      <c r="N65" s="2">
        <f>N10*'Output-Calculation-sheet'!N54/10^9</f>
        <v>0.71032854613075103</v>
      </c>
      <c r="O65" s="2">
        <f>O10*'Output-Calculation-sheet'!O54/10^9</f>
        <v>0.82651071656203523</v>
      </c>
      <c r="P65" s="2">
        <f>P10*'Output-Calculation-sheet'!P54/10^9</f>
        <v>0.52398989348706826</v>
      </c>
      <c r="Q65" s="2">
        <f>Q10*'Output-Calculation-sheet'!Q54/10^9</f>
        <v>0.51707068380394328</v>
      </c>
      <c r="R65" s="2">
        <f>R10*'Output-Calculation-sheet'!R54/10^9</f>
        <v>0.40991192500017148</v>
      </c>
      <c r="S65" s="2">
        <f>S10*'Output-Calculation-sheet'!S54/10^9</f>
        <v>0.41141027057670837</v>
      </c>
      <c r="T65" s="2">
        <f>T10*'Output-Calculation-sheet'!T54/10^9</f>
        <v>0.13881172924903321</v>
      </c>
      <c r="U65" s="2">
        <f>U10*'Output-Calculation-sheet'!U54/10^9</f>
        <v>0.13331950403323822</v>
      </c>
      <c r="V65" s="2">
        <f>V10*'Output-Calculation-sheet'!V54/10^9</f>
        <v>0.15708123646185762</v>
      </c>
      <c r="W65" s="2">
        <f>W10*'Output-Calculation-sheet'!W54/10^9</f>
        <v>6.7133430562693719E-2</v>
      </c>
      <c r="X65" s="2">
        <f>X10*'Output-Calculation-sheet'!X54/10^9</f>
        <v>0.10791457885232601</v>
      </c>
      <c r="Y65" s="2">
        <f>Y10*'Output-Calculation-sheet'!Y54/10^9</f>
        <v>5.2078384343904917E-2</v>
      </c>
      <c r="AA65" s="2">
        <f t="shared" si="4"/>
        <v>24.017827270202496</v>
      </c>
    </row>
    <row r="66" spans="1:27" x14ac:dyDescent="0.25">
      <c r="A66" s="2">
        <v>2034</v>
      </c>
      <c r="B66" s="2">
        <f>B11*'Output-Calculation-sheet'!B55/10^9</f>
        <v>7.2666714930051777</v>
      </c>
      <c r="C66" s="2">
        <f>C11*'Output-Calculation-sheet'!C55/10^9</f>
        <v>4.8294260791928041</v>
      </c>
      <c r="D66" s="2">
        <f>D11*'Output-Calculation-sheet'!D55/10^9</f>
        <v>1.314661499344534</v>
      </c>
      <c r="E66" s="2">
        <f>E11*'Output-Calculation-sheet'!E55/10^9</f>
        <v>1.702696637917696</v>
      </c>
      <c r="F66" s="2">
        <f>F11*'Output-Calculation-sheet'!F55/10^9</f>
        <v>0.67009394850185777</v>
      </c>
      <c r="G66" s="2">
        <f>G11*'Output-Calculation-sheet'!G55/10^9</f>
        <v>0.48886056438728637</v>
      </c>
      <c r="H66" s="2">
        <f>H11*'Output-Calculation-sheet'!H55/10^9</f>
        <v>1.2199926383544828</v>
      </c>
      <c r="I66" s="2">
        <f>I11*'Output-Calculation-sheet'!I55/10^9</f>
        <v>0.45445224755392222</v>
      </c>
      <c r="J66" s="2">
        <f>J11*'Output-Calculation-sheet'!J55/10^9</f>
        <v>0.45756896627230192</v>
      </c>
      <c r="K66" s="2">
        <f>K11*'Output-Calculation-sheet'!K55/10^9</f>
        <v>0.52098339516048309</v>
      </c>
      <c r="L66" s="2">
        <f>L11*'Output-Calculation-sheet'!L55/10^9</f>
        <v>0.50508685473514647</v>
      </c>
      <c r="M66" s="2">
        <f>M11*'Output-Calculation-sheet'!M55/10^9</f>
        <v>0.85742536520961599</v>
      </c>
      <c r="N66" s="2">
        <f>N11*'Output-Calculation-sheet'!N55/10^9</f>
        <v>0.74537633782684698</v>
      </c>
      <c r="O66" s="2">
        <f>O11*'Output-Calculation-sheet'!O55/10^9</f>
        <v>0.84983006816669748</v>
      </c>
      <c r="P66" s="2">
        <f>P11*'Output-Calculation-sheet'!P55/10^9</f>
        <v>0.54494489414504377</v>
      </c>
      <c r="Q66" s="2">
        <f>Q11*'Output-Calculation-sheet'!Q55/10^9</f>
        <v>0.56053260270108618</v>
      </c>
      <c r="R66" s="2">
        <f>R11*'Output-Calculation-sheet'!R55/10^9</f>
        <v>0.41472765288724323</v>
      </c>
      <c r="S66" s="2">
        <f>S11*'Output-Calculation-sheet'!S55/10^9</f>
        <v>0.43051284473955215</v>
      </c>
      <c r="T66" s="2">
        <f>T11*'Output-Calculation-sheet'!T55/10^9</f>
        <v>0.12994246945272001</v>
      </c>
      <c r="U66" s="2">
        <f>U11*'Output-Calculation-sheet'!U55/10^9</f>
        <v>0.1414252199340027</v>
      </c>
      <c r="V66" s="2">
        <f>V11*'Output-Calculation-sheet'!V55/10^9</f>
        <v>0.12280764128172245</v>
      </c>
      <c r="W66" s="2">
        <f>W11*'Output-Calculation-sheet'!W55/10^9</f>
        <v>6.0163937591608069E-2</v>
      </c>
      <c r="X66" s="2">
        <f>X11*'Output-Calculation-sheet'!X55/10^9</f>
        <v>0.11242729294213713</v>
      </c>
      <c r="Y66" s="2">
        <f>Y11*'Output-Calculation-sheet'!Y55/10^9</f>
        <v>5.7726942423917314E-2</v>
      </c>
      <c r="AA66" s="2">
        <f t="shared" si="4"/>
        <v>24.458337593727887</v>
      </c>
    </row>
    <row r="67" spans="1:27" x14ac:dyDescent="0.25">
      <c r="A67" s="2">
        <v>2035</v>
      </c>
      <c r="B67" s="2">
        <f>B12*'Output-Calculation-sheet'!B56/10^9</f>
        <v>7.5574826264287891</v>
      </c>
      <c r="C67" s="2">
        <f>C12*'Output-Calculation-sheet'!C56/10^9</f>
        <v>4.7757652505714265</v>
      </c>
      <c r="D67" s="2">
        <f>D12*'Output-Calculation-sheet'!D56/10^9</f>
        <v>1.4990238540587018</v>
      </c>
      <c r="E67" s="2">
        <f>E12*'Output-Calculation-sheet'!E56/10^9</f>
        <v>2.0499986819182476</v>
      </c>
      <c r="F67" s="2">
        <f>F12*'Output-Calculation-sheet'!F56/10^9</f>
        <v>0.80346322947619286</v>
      </c>
      <c r="G67" s="2">
        <f>G12*'Output-Calculation-sheet'!G56/10^9</f>
        <v>0.59281822572153786</v>
      </c>
      <c r="H67" s="2">
        <f>H12*'Output-Calculation-sheet'!H56/10^9</f>
        <v>1.2605720434479339</v>
      </c>
      <c r="I67" s="2">
        <f>I12*'Output-Calculation-sheet'!I56/10^9</f>
        <v>0.54316753880975865</v>
      </c>
      <c r="J67" s="2">
        <f>J12*'Output-Calculation-sheet'!J56/10^9</f>
        <v>0.4969058901124172</v>
      </c>
      <c r="K67" s="2">
        <f>K12*'Output-Calculation-sheet'!K56/10^9</f>
        <v>0.59535547198335903</v>
      </c>
      <c r="L67" s="2">
        <f>L12*'Output-Calculation-sheet'!L56/10^9</f>
        <v>0.5550498560523921</v>
      </c>
      <c r="M67" s="2">
        <f>M12*'Output-Calculation-sheet'!M56/10^9</f>
        <v>0.891916431223719</v>
      </c>
      <c r="N67" s="2">
        <f>N12*'Output-Calculation-sheet'!N56/10^9</f>
        <v>0.76177931737534366</v>
      </c>
      <c r="O67" s="2">
        <f>O12*'Output-Calculation-sheet'!O56/10^9</f>
        <v>0.84255961818208158</v>
      </c>
      <c r="P67" s="2">
        <f>P12*'Output-Calculation-sheet'!P56/10^9</f>
        <v>0.61820133335639094</v>
      </c>
      <c r="Q67" s="2">
        <f>Q12*'Output-Calculation-sheet'!Q56/10^9</f>
        <v>0.58398404141406224</v>
      </c>
      <c r="R67" s="2">
        <f>R12*'Output-Calculation-sheet'!R56/10^9</f>
        <v>0.4585677576415963</v>
      </c>
      <c r="S67" s="2">
        <f>S12*'Output-Calculation-sheet'!S56/10^9</f>
        <v>0.44267380773842635</v>
      </c>
      <c r="T67" s="2">
        <f>T12*'Output-Calculation-sheet'!T56/10^9</f>
        <v>0.14259606656941001</v>
      </c>
      <c r="U67" s="2">
        <f>U12*'Output-Calculation-sheet'!U56/10^9</f>
        <v>0.15416673521176527</v>
      </c>
      <c r="V67" s="2">
        <f>V12*'Output-Calculation-sheet'!V56/10^9</f>
        <v>0.11005618443292103</v>
      </c>
      <c r="W67" s="2">
        <f>W12*'Output-Calculation-sheet'!W56/10^9</f>
        <v>7.4630594489618077E-2</v>
      </c>
      <c r="X67" s="2">
        <f>X12*'Output-Calculation-sheet'!X56/10^9</f>
        <v>0.11585369746411289</v>
      </c>
      <c r="Y67" s="2">
        <f>Y12*'Output-Calculation-sheet'!Y56/10^9</f>
        <v>6.9637924239050103E-2</v>
      </c>
      <c r="AA67" s="2">
        <f t="shared" si="4"/>
        <v>25.996226177919254</v>
      </c>
    </row>
    <row r="68" spans="1:27" x14ac:dyDescent="0.25">
      <c r="B68" s="2">
        <f>SUM(B60:B67)</f>
        <v>53.146010140684062</v>
      </c>
      <c r="C68" s="2">
        <f t="shared" ref="C68:Y68" si="5">SUM(C60:C67)</f>
        <v>30.390330955425902</v>
      </c>
      <c r="D68" s="2">
        <f t="shared" si="5"/>
        <v>11.587402097271978</v>
      </c>
      <c r="E68" s="2">
        <f t="shared" si="5"/>
        <v>14.039892950611755</v>
      </c>
      <c r="F68" s="2">
        <f t="shared" si="5"/>
        <v>6.1772095617790486</v>
      </c>
      <c r="G68" s="2">
        <f t="shared" si="5"/>
        <v>4.6646824665457984</v>
      </c>
      <c r="H68" s="2">
        <f t="shared" si="5"/>
        <v>7.7253752258809705</v>
      </c>
      <c r="I68" s="2">
        <f t="shared" si="5"/>
        <v>3.8366819734053217</v>
      </c>
      <c r="J68" s="2">
        <f t="shared" si="5"/>
        <v>4.9626366909501431</v>
      </c>
      <c r="K68" s="2">
        <f t="shared" si="5"/>
        <v>3.7950043450682829</v>
      </c>
      <c r="L68" s="2">
        <f t="shared" si="5"/>
        <v>4.2284704477391655</v>
      </c>
      <c r="M68" s="2">
        <f t="shared" si="5"/>
        <v>5.5959948288244785</v>
      </c>
      <c r="N68" s="2">
        <f t="shared" si="5"/>
        <v>4.6899432246417092</v>
      </c>
      <c r="O68" s="2">
        <f t="shared" si="5"/>
        <v>5.3051124631574229</v>
      </c>
      <c r="P68" s="2">
        <f t="shared" si="5"/>
        <v>3.9089873049114474</v>
      </c>
      <c r="Q68" s="2">
        <f t="shared" si="5"/>
        <v>3.6901152862381732</v>
      </c>
      <c r="R68" s="2">
        <f t="shared" si="5"/>
        <v>3.1998193167013813</v>
      </c>
      <c r="S68" s="2">
        <f t="shared" si="5"/>
        <v>2.8319588053429907</v>
      </c>
      <c r="T68" s="2">
        <f t="shared" si="5"/>
        <v>1.2005383259769675</v>
      </c>
      <c r="U68" s="2">
        <f t="shared" si="5"/>
        <v>1.0409161753320282</v>
      </c>
      <c r="V68" s="2">
        <f t="shared" si="5"/>
        <v>1.4356228770344674</v>
      </c>
      <c r="W68" s="2">
        <f t="shared" si="5"/>
        <v>0.63231899368530364</v>
      </c>
      <c r="X68" s="2">
        <f t="shared" si="5"/>
        <v>0.74766004941447306</v>
      </c>
      <c r="Y68" s="2">
        <f t="shared" si="5"/>
        <v>0.42429005607909542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1931.4884120842491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457.51087002872498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312.85658932672447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41.70491284410685</v>
      </c>
      <c r="Y73" s="2">
        <f>Y7/'Output-Calculation-sheet'!Y6*'Output-Calculation-sheet'!Y60</f>
        <v>0</v>
      </c>
      <c r="AA73" s="2">
        <f t="shared" si="6"/>
        <v>2.7435607842838055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4292.464313964565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1436.1256540857735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959.00168522058493</v>
      </c>
      <c r="N74" s="2">
        <f>N8/'Output-Calculation-sheet'!N7*'Output-Calculation-sheet'!N61</f>
        <v>40.085405080282882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118.84733754262338</v>
      </c>
      <c r="Y74" s="2">
        <f>Y8/'Output-Calculation-sheet'!Y7*'Output-Calculation-sheet'!Y61</f>
        <v>0</v>
      </c>
      <c r="AA74" s="2">
        <f t="shared" si="6"/>
        <v>6.8465243958938302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8283.9931405556963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2385.6470751386537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1619.5750549916465</v>
      </c>
      <c r="N75" s="2">
        <f>N9/'Output-Calculation-sheet'!N8*'Output-Calculation-sheet'!N62</f>
        <v>625.59892392411825</v>
      </c>
      <c r="O75" s="2">
        <f>O9/'Output-Calculation-sheet'!O8*'Output-Calculation-sheet'!O62</f>
        <v>0</v>
      </c>
      <c r="P75" s="2">
        <f>P9/'Output-Calculation-sheet'!P8*'Output-Calculation-sheet'!P62</f>
        <v>41.882861816090752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209.62312199451318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195.54002298097103</v>
      </c>
      <c r="Y75" s="2">
        <f>Y9/'Output-Calculation-sheet'!Y8*'Output-Calculation-sheet'!Y62</f>
        <v>0</v>
      </c>
      <c r="AA75" s="2">
        <f t="shared" si="6"/>
        <v>13.36186020140169</v>
      </c>
    </row>
    <row r="76" spans="1:27" x14ac:dyDescent="0.25">
      <c r="A76" s="2">
        <v>2033</v>
      </c>
      <c r="B76" s="2">
        <f>B10/'Output-Calculation-sheet'!B9*'Output-Calculation-sheet'!B63</f>
        <v>5106.4953635744705</v>
      </c>
      <c r="C76" s="2">
        <f>C10/'Output-Calculation-sheet'!C9*'Output-Calculation-sheet'!C63</f>
        <v>10429.79781051596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3325.3932098973187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87.158581346178622</v>
      </c>
      <c r="L76" s="2">
        <f>L10/'Output-Calculation-sheet'!L9*'Output-Calculation-sheet'!L63</f>
        <v>0</v>
      </c>
      <c r="M76" s="2">
        <f>M10/'Output-Calculation-sheet'!M9*'Output-Calculation-sheet'!M63</f>
        <v>2264.2554949159025</v>
      </c>
      <c r="N76" s="2">
        <f>N10/'Output-Calculation-sheet'!N9*'Output-Calculation-sheet'!N63</f>
        <v>1293.4429947012763</v>
      </c>
      <c r="O76" s="2">
        <f>O10/'Output-Calculation-sheet'!O9*'Output-Calculation-sheet'!O63</f>
        <v>0</v>
      </c>
      <c r="P76" s="2">
        <f>P10/'Output-Calculation-sheet'!P9*'Output-Calculation-sheet'!P63</f>
        <v>449.14940328861354</v>
      </c>
      <c r="Q76" s="2">
        <f>Q10/'Output-Calculation-sheet'!Q9*'Output-Calculation-sheet'!Q63</f>
        <v>202.58443089295349</v>
      </c>
      <c r="R76" s="2">
        <f>R10/'Output-Calculation-sheet'!R9*'Output-Calculation-sheet'!R63</f>
        <v>342.32365501654567</v>
      </c>
      <c r="S76" s="2">
        <f>S10/'Output-Calculation-sheet'!S9*'Output-Calculation-sheet'!S63</f>
        <v>575.16391090751176</v>
      </c>
      <c r="T76" s="2">
        <f>T10/'Output-Calculation-sheet'!T9*'Output-Calculation-sheet'!T63</f>
        <v>23.282776640884066</v>
      </c>
      <c r="U76" s="2">
        <f>U10/'Output-Calculation-sheet'!U9*'Output-Calculation-sheet'!U63</f>
        <v>120.96536673160242</v>
      </c>
      <c r="V76" s="2">
        <f>V10/'Output-Calculation-sheet'!V9*'Output-Calculation-sheet'!V63</f>
        <v>9.2823398653644347</v>
      </c>
      <c r="W76" s="2">
        <f>W10/'Output-Calculation-sheet'!W9*'Output-Calculation-sheet'!W63</f>
        <v>0</v>
      </c>
      <c r="X76" s="2">
        <f>X10/'Output-Calculation-sheet'!X9*'Output-Calculation-sheet'!X63</f>
        <v>266.63217364949793</v>
      </c>
      <c r="Y76" s="2">
        <f>Y10/'Output-Calculation-sheet'!Y9*'Output-Calculation-sheet'!Y63</f>
        <v>5.0583541914109285</v>
      </c>
      <c r="AA76" s="2">
        <f t="shared" si="6"/>
        <v>24.500985866135487</v>
      </c>
    </row>
    <row r="77" spans="1:27" x14ac:dyDescent="0.25">
      <c r="A77" s="2">
        <v>2034</v>
      </c>
      <c r="B77" s="2">
        <f>B11/'Output-Calculation-sheet'!B10*'Output-Calculation-sheet'!B64</f>
        <v>12108.41464136319</v>
      </c>
      <c r="C77" s="2">
        <f>C11/'Output-Calculation-sheet'!C10*'Output-Calculation-sheet'!C64</f>
        <v>10636.759339184082</v>
      </c>
      <c r="D77" s="2">
        <f>D11/'Output-Calculation-sheet'!D10*'Output-Calculation-sheet'!D64</f>
        <v>1492.4200062424122</v>
      </c>
      <c r="E77" s="2">
        <f>E11/'Output-Calculation-sheet'!E10*'Output-Calculation-sheet'!E64</f>
        <v>1844.1126446725109</v>
      </c>
      <c r="F77" s="2">
        <f>F11/'Output-Calculation-sheet'!F10*'Output-Calculation-sheet'!F64</f>
        <v>114.82279066234351</v>
      </c>
      <c r="G77" s="2">
        <f>G11/'Output-Calculation-sheet'!G10*'Output-Calculation-sheet'!G64</f>
        <v>788.00178431030906</v>
      </c>
      <c r="H77" s="2">
        <f>H11/'Output-Calculation-sheet'!H10*'Output-Calculation-sheet'!H64</f>
        <v>3904.1380885006065</v>
      </c>
      <c r="I77" s="2">
        <f>I11/'Output-Calculation-sheet'!I10*'Output-Calculation-sheet'!I64</f>
        <v>464.87462443417388</v>
      </c>
      <c r="J77" s="2">
        <f>J11/'Output-Calculation-sheet'!J10*'Output-Calculation-sheet'!J64</f>
        <v>331.38416852886519</v>
      </c>
      <c r="K77" s="2">
        <f>K11/'Output-Calculation-sheet'!K10*'Output-Calculation-sheet'!K64</f>
        <v>702.60813898492256</v>
      </c>
      <c r="L77" s="2">
        <f>L11/'Output-Calculation-sheet'!L10*'Output-Calculation-sheet'!L64</f>
        <v>305.06980962881681</v>
      </c>
      <c r="M77" s="2">
        <f>M11/'Output-Calculation-sheet'!M10*'Output-Calculation-sheet'!M64</f>
        <v>2776.8215688236282</v>
      </c>
      <c r="N77" s="2">
        <f>N11/'Output-Calculation-sheet'!N10*'Output-Calculation-sheet'!N64</f>
        <v>1975.6403493588991</v>
      </c>
      <c r="O77" s="2">
        <f>O11/'Output-Calculation-sheet'!O10*'Output-Calculation-sheet'!O64</f>
        <v>68.881803217755504</v>
      </c>
      <c r="P77" s="2">
        <f>P11/'Output-Calculation-sheet'!P10*'Output-Calculation-sheet'!P64</f>
        <v>871.97441106885799</v>
      </c>
      <c r="Q77" s="2">
        <f>Q11/'Output-Calculation-sheet'!Q10*'Output-Calculation-sheet'!Q64</f>
        <v>497.56702392856795</v>
      </c>
      <c r="R77" s="2">
        <f>R11/'Output-Calculation-sheet'!R10*'Output-Calculation-sheet'!R64</f>
        <v>746.1822831243378</v>
      </c>
      <c r="S77" s="2">
        <f>S11/'Output-Calculation-sheet'!S10*'Output-Calculation-sheet'!S64</f>
        <v>997.68756123756975</v>
      </c>
      <c r="T77" s="2">
        <f>T11/'Output-Calculation-sheet'!T10*'Output-Calculation-sheet'!T64</f>
        <v>205.28610503718042</v>
      </c>
      <c r="U77" s="2">
        <f>U11/'Output-Calculation-sheet'!U10*'Output-Calculation-sheet'!U64</f>
        <v>272.84919891323943</v>
      </c>
      <c r="V77" s="2">
        <f>V11/'Output-Calculation-sheet'!V10*'Output-Calculation-sheet'!V64</f>
        <v>108.76597371024502</v>
      </c>
      <c r="W77" s="2">
        <f>W11/'Output-Calculation-sheet'!W10*'Output-Calculation-sheet'!W64</f>
        <v>22.98067520033328</v>
      </c>
      <c r="X77" s="2">
        <f>X11/'Output-Calculation-sheet'!X10*'Output-Calculation-sheet'!X64</f>
        <v>282.1545479968413</v>
      </c>
      <c r="Y77" s="2">
        <f>Y11/'Output-Calculation-sheet'!Y10*'Output-Calculation-sheet'!Y64</f>
        <v>68.31709826146141</v>
      </c>
      <c r="AA77" s="2">
        <f t="shared" si="6"/>
        <v>41.587714636391155</v>
      </c>
    </row>
    <row r="78" spans="1:27" x14ac:dyDescent="0.25">
      <c r="A78" s="2">
        <v>2035</v>
      </c>
      <c r="B78" s="2">
        <f>B12/'Output-Calculation-sheet'!B11*'Output-Calculation-sheet'!B65</f>
        <v>14625.830004157408</v>
      </c>
      <c r="C78" s="2">
        <f>C12/'Output-Calculation-sheet'!C11*'Output-Calculation-sheet'!C65</f>
        <v>10328.450934174016</v>
      </c>
      <c r="D78" s="2">
        <f>D12/'Output-Calculation-sheet'!D11*'Output-Calculation-sheet'!D65</f>
        <v>1552.7658858962091</v>
      </c>
      <c r="E78" s="2">
        <f>E12/'Output-Calculation-sheet'!E11*'Output-Calculation-sheet'!E65</f>
        <v>2951.7666697903655</v>
      </c>
      <c r="F78" s="2">
        <f>F12/'Output-Calculation-sheet'!F11*'Output-Calculation-sheet'!F65</f>
        <v>625.23726364182528</v>
      </c>
      <c r="G78" s="2">
        <f>G12/'Output-Calculation-sheet'!G11*'Output-Calculation-sheet'!G65</f>
        <v>1173.1833518696671</v>
      </c>
      <c r="H78" s="2">
        <f>H12/'Output-Calculation-sheet'!H11*'Output-Calculation-sheet'!H65</f>
        <v>3777.1876436680936</v>
      </c>
      <c r="I78" s="2">
        <f>I12/'Output-Calculation-sheet'!I11*'Output-Calculation-sheet'!I65</f>
        <v>689.86892298587179</v>
      </c>
      <c r="J78" s="2">
        <f>J12/'Output-Calculation-sheet'!J11*'Output-Calculation-sheet'!J65</f>
        <v>618.69629731624229</v>
      </c>
      <c r="K78" s="2">
        <f>K12/'Output-Calculation-sheet'!K11*'Output-Calculation-sheet'!K65</f>
        <v>780.7647664989554</v>
      </c>
      <c r="L78" s="2">
        <f>L12/'Output-Calculation-sheet'!L11*'Output-Calculation-sheet'!L65</f>
        <v>464.2325282348591</v>
      </c>
      <c r="M78" s="2">
        <f>M12/'Output-Calculation-sheet'!M11*'Output-Calculation-sheet'!M65</f>
        <v>2688.7152381183682</v>
      </c>
      <c r="N78" s="2">
        <f>N12/'Output-Calculation-sheet'!N11*'Output-Calculation-sheet'!N65</f>
        <v>1890.601010215124</v>
      </c>
      <c r="O78" s="2">
        <f>O12/'Output-Calculation-sheet'!O11*'Output-Calculation-sheet'!O65</f>
        <v>265.03782838157628</v>
      </c>
      <c r="P78" s="2">
        <f>P12/'Output-Calculation-sheet'!P11*'Output-Calculation-sheet'!P65</f>
        <v>1074.7867099053612</v>
      </c>
      <c r="Q78" s="2">
        <f>Q12/'Output-Calculation-sheet'!Q11*'Output-Calculation-sheet'!Q65</f>
        <v>540.60705210254059</v>
      </c>
      <c r="R78" s="2">
        <f>R12/'Output-Calculation-sheet'!R11*'Output-Calculation-sheet'!R65</f>
        <v>891.08399438413187</v>
      </c>
      <c r="S78" s="2">
        <f>S12/'Output-Calculation-sheet'!S11*'Output-Calculation-sheet'!S65</f>
        <v>1005.2802746437991</v>
      </c>
      <c r="T78" s="2">
        <f>T12/'Output-Calculation-sheet'!T11*'Output-Calculation-sheet'!T65</f>
        <v>320.41306665361088</v>
      </c>
      <c r="U78" s="2">
        <f>U12/'Output-Calculation-sheet'!U11*'Output-Calculation-sheet'!U65</f>
        <v>274.53468198581066</v>
      </c>
      <c r="V78" s="2">
        <f>V12/'Output-Calculation-sheet'!V11*'Output-Calculation-sheet'!V65</f>
        <v>172.92022743855401</v>
      </c>
      <c r="W78" s="2">
        <f>W12/'Output-Calculation-sheet'!W11*'Output-Calculation-sheet'!W65</f>
        <v>121.7932326954362</v>
      </c>
      <c r="X78" s="2">
        <f>X12/'Output-Calculation-sheet'!X11*'Output-Calculation-sheet'!X65</f>
        <v>277.11881540518334</v>
      </c>
      <c r="Y78" s="2">
        <f>Y12/'Output-Calculation-sheet'!Y11*'Output-Calculation-sheet'!Y65</f>
        <v>118.88227808739234</v>
      </c>
      <c r="AA78" s="2">
        <f t="shared" si="6"/>
        <v>47.229758678250398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76.939468295261676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89.683613056855989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0.16662308135211765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262.6859969379808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187.12034862895445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0.44980634556693527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185.49644839293072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288.29575716589113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0.47379220555882184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376.43186958227017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365.65292692528578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0.74208479650755588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737.51787338660108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28.378871343737146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19.527440516055641</v>
      </c>
      <c r="N88" s="2">
        <f>N11/'Output-Calculation-sheet'!N10*'Output-Calculation-sheet'!N73</f>
        <v>0</v>
      </c>
      <c r="O88" s="2">
        <f>O11/'Output-Calculation-sheet'!O10*'Output-Calculation-sheet'!O73</f>
        <v>411.92966042859507</v>
      </c>
      <c r="P88" s="2">
        <f>P11/'Output-Calculation-sheet'!P10*'Output-Calculation-sheet'!P73</f>
        <v>0</v>
      </c>
      <c r="Q88" s="2">
        <f>Q11/'Output-Calculation-sheet'!Q10*'Output-Calculation-sheet'!Q73</f>
        <v>16.815377625162824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2.1422083636786424</v>
      </c>
      <c r="Y88" s="2">
        <f>Y11/'Output-Calculation-sheet'!Y10*'Output-Calculation-sheet'!Y73</f>
        <v>0</v>
      </c>
      <c r="AA88" s="2">
        <f t="shared" si="7"/>
        <v>1.2163114316638306</v>
      </c>
    </row>
    <row r="89" spans="1:27" x14ac:dyDescent="0.25">
      <c r="A89" s="2">
        <v>2035</v>
      </c>
      <c r="B89" s="2">
        <f>B12/'Output-Calculation-sheet'!B11*'Output-Calculation-sheet'!B74</f>
        <v>368.67812770430311</v>
      </c>
      <c r="C89" s="2">
        <f>C12/'Output-Calculation-sheet'!C11*'Output-Calculation-sheet'!C74</f>
        <v>1137.3886044528399</v>
      </c>
      <c r="D89" s="2">
        <f>D12/'Output-Calculation-sheet'!D11*'Output-Calculation-sheet'!D74</f>
        <v>155.00532926340995</v>
      </c>
      <c r="E89" s="2">
        <f>E12/'Output-Calculation-sheet'!E11*'Output-Calculation-sheet'!E74</f>
        <v>123.18789181772283</v>
      </c>
      <c r="F89" s="2">
        <f>F12/'Output-Calculation-sheet'!F11*'Output-Calculation-sheet'!F74</f>
        <v>38.738368255379505</v>
      </c>
      <c r="G89" s="2">
        <f>G12/'Output-Calculation-sheet'!G11*'Output-Calculation-sheet'!G74</f>
        <v>55.6037419721156</v>
      </c>
      <c r="H89" s="2">
        <f>H12/'Output-Calculation-sheet'!H11*'Output-Calculation-sheet'!H74</f>
        <v>134.66293668511378</v>
      </c>
      <c r="I89" s="2">
        <f>I12/'Output-Calculation-sheet'!I11*'Output-Calculation-sheet'!I74</f>
        <v>50.012246120477869</v>
      </c>
      <c r="J89" s="2">
        <f>J12/'Output-Calculation-sheet'!J11*'Output-Calculation-sheet'!J74</f>
        <v>24.747851892649692</v>
      </c>
      <c r="K89" s="2">
        <f>K12/'Output-Calculation-sheet'!K11*'Output-Calculation-sheet'!K74</f>
        <v>49.154165606834262</v>
      </c>
      <c r="L89" s="2">
        <f>L12/'Output-Calculation-sheet'!L11*'Output-Calculation-sheet'!L74</f>
        <v>39.085037106702515</v>
      </c>
      <c r="M89" s="2">
        <f>M12/'Output-Calculation-sheet'!M11*'Output-Calculation-sheet'!M74</f>
        <v>74.129022369770908</v>
      </c>
      <c r="N89" s="2">
        <f>N12/'Output-Calculation-sheet'!N11*'Output-Calculation-sheet'!N74</f>
        <v>54.642700539946546</v>
      </c>
      <c r="O89" s="2">
        <f>O12/'Output-Calculation-sheet'!O11*'Output-Calculation-sheet'!O74</f>
        <v>441.92801500166638</v>
      </c>
      <c r="P89" s="2">
        <f>P12/'Output-Calculation-sheet'!P11*'Output-Calculation-sheet'!P74</f>
        <v>33.653339697071146</v>
      </c>
      <c r="Q89" s="2">
        <f>Q12/'Output-Calculation-sheet'!Q11*'Output-Calculation-sheet'!Q74</f>
        <v>47.875226009789287</v>
      </c>
      <c r="R89" s="2">
        <f>R12/'Output-Calculation-sheet'!R11*'Output-Calculation-sheet'!R74</f>
        <v>31.651475664551981</v>
      </c>
      <c r="S89" s="2">
        <f>S12/'Output-Calculation-sheet'!S11*'Output-Calculation-sheet'!S74</f>
        <v>31.322997278114261</v>
      </c>
      <c r="T89" s="2">
        <f>T12/'Output-Calculation-sheet'!T11*'Output-Calculation-sheet'!T74</f>
        <v>5.8549669557535102</v>
      </c>
      <c r="U89" s="2">
        <f>U12/'Output-Calculation-sheet'!U11*'Output-Calculation-sheet'!U74</f>
        <v>10.183414888749979</v>
      </c>
      <c r="V89" s="2">
        <f>V12/'Output-Calculation-sheet'!V11*'Output-Calculation-sheet'!V74</f>
        <v>3.9261682319223037</v>
      </c>
      <c r="W89" s="2">
        <f>W12/'Output-Calculation-sheet'!W11*'Output-Calculation-sheet'!W74</f>
        <v>3.3997664329900683</v>
      </c>
      <c r="X89" s="2">
        <f>X12/'Output-Calculation-sheet'!X11*'Output-Calculation-sheet'!X74</f>
        <v>12.198204745364176</v>
      </c>
      <c r="Y89" s="2">
        <f>Y12/'Output-Calculation-sheet'!Y11*'Output-Calculation-sheet'!Y74</f>
        <v>3.9238312760918341</v>
      </c>
      <c r="AA89" s="2">
        <f t="shared" si="7"/>
        <v>2.9309534299693318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1629246374.5792322</v>
      </c>
      <c r="C93" s="2">
        <f>C5/'Output-Calculation-sheet'!C4*'Output-Calculation-sheet'!C76</f>
        <v>539760133.46424901</v>
      </c>
      <c r="D93" s="2">
        <f>D5/'Output-Calculation-sheet'!D4*'Output-Calculation-sheet'!D76</f>
        <v>597466261.48821986</v>
      </c>
      <c r="E93" s="2">
        <f>E5/'Output-Calculation-sheet'!E4*'Output-Calculation-sheet'!E76</f>
        <v>999744858.77362835</v>
      </c>
      <c r="F93" s="2">
        <f>F5/'Output-Calculation-sheet'!F4*'Output-Calculation-sheet'!F76</f>
        <v>429568478.24697286</v>
      </c>
      <c r="G93" s="2">
        <f>G5/'Output-Calculation-sheet'!G4*'Output-Calculation-sheet'!G76</f>
        <v>334098303.34714204</v>
      </c>
      <c r="H93" s="2">
        <f>H5/'Output-Calculation-sheet'!H4*'Output-Calculation-sheet'!H76</f>
        <v>282609225.61553085</v>
      </c>
      <c r="I93" s="2">
        <f>I5/'Output-Calculation-sheet'!I4*'Output-Calculation-sheet'!I76</f>
        <v>231901569.20781788</v>
      </c>
      <c r="J93" s="2">
        <f>J5/'Output-Calculation-sheet'!J4*'Output-Calculation-sheet'!J76</f>
        <v>157365768.15576404</v>
      </c>
      <c r="K93" s="2">
        <f>K5/'Output-Calculation-sheet'!K4*'Output-Calculation-sheet'!K76</f>
        <v>229999353.40538996</v>
      </c>
      <c r="L93" s="2">
        <f>L5/'Output-Calculation-sheet'!L4*'Output-Calculation-sheet'!L76</f>
        <v>153526242.26344407</v>
      </c>
      <c r="M93" s="2">
        <f>M5/'Output-Calculation-sheet'!M4*'Output-Calculation-sheet'!M76</f>
        <v>206464973.09713775</v>
      </c>
      <c r="N93" s="2">
        <f>N5/'Output-Calculation-sheet'!N4*'Output-Calculation-sheet'!N76</f>
        <v>155905265.13577422</v>
      </c>
      <c r="O93" s="2">
        <f>O5/'Output-Calculation-sheet'!O4*'Output-Calculation-sheet'!O76</f>
        <v>76095446.181501076</v>
      </c>
      <c r="P93" s="2">
        <f>P5/'Output-Calculation-sheet'!P4*'Output-Calculation-sheet'!P76</f>
        <v>270130008.26512927</v>
      </c>
      <c r="Q93" s="2">
        <f>Q5/'Output-Calculation-sheet'!Q4*'Output-Calculation-sheet'!Q76</f>
        <v>124015686.12279825</v>
      </c>
      <c r="R93" s="2">
        <f>R5/'Output-Calculation-sheet'!R4*'Output-Calculation-sheet'!R76</f>
        <v>155177627.20317355</v>
      </c>
      <c r="S93" s="2">
        <f>S5/'Output-Calculation-sheet'!S4*'Output-Calculation-sheet'!S76</f>
        <v>91420680.882570475</v>
      </c>
      <c r="T93" s="2">
        <f>T5/'Output-Calculation-sheet'!T4*'Output-Calculation-sheet'!T76</f>
        <v>70299511.893065676</v>
      </c>
      <c r="U93" s="2">
        <f>U5/'Output-Calculation-sheet'!U4*'Output-Calculation-sheet'!U76</f>
        <v>45574782.200702898</v>
      </c>
      <c r="V93" s="2">
        <f>V5/'Output-Calculation-sheet'!V4*'Output-Calculation-sheet'!V76</f>
        <v>23360222.420539867</v>
      </c>
      <c r="W93" s="2">
        <f>W5/'Output-Calculation-sheet'!W4*'Output-Calculation-sheet'!W76</f>
        <v>65435100.510446936</v>
      </c>
      <c r="X93" s="2">
        <f>X5/'Output-Calculation-sheet'!X4*'Output-Calculation-sheet'!X76</f>
        <v>22710849.810509179</v>
      </c>
      <c r="Y93" s="2">
        <f>Y5/'Output-Calculation-sheet'!Y4*'Output-Calculation-sheet'!Y76</f>
        <v>35772196.627414413</v>
      </c>
      <c r="AA93" s="2">
        <f t="shared" ref="AA93:AA100" si="8">SUM(B93:Y93)/10^9</f>
        <v>6.9276489188981536</v>
      </c>
    </row>
    <row r="94" spans="1:27" x14ac:dyDescent="0.25">
      <c r="A94" s="2">
        <v>2029</v>
      </c>
      <c r="B94" s="2">
        <f>B6/'Output-Calculation-sheet'!B5*'Output-Calculation-sheet'!B77</f>
        <v>4248991140.1462688</v>
      </c>
      <c r="C94" s="2">
        <f>C6/'Output-Calculation-sheet'!C5*'Output-Calculation-sheet'!C77</f>
        <v>1417228436.9684463</v>
      </c>
      <c r="D94" s="2">
        <f>D6/'Output-Calculation-sheet'!D5*'Output-Calculation-sheet'!D77</f>
        <v>1559324056.9586747</v>
      </c>
      <c r="E94" s="2">
        <f>E6/'Output-Calculation-sheet'!E5*'Output-Calculation-sheet'!E77</f>
        <v>2652057527.8578758</v>
      </c>
      <c r="F94" s="2">
        <f>F6/'Output-Calculation-sheet'!F5*'Output-Calculation-sheet'!F77</f>
        <v>1119745954.2854421</v>
      </c>
      <c r="G94" s="2">
        <f>G6/'Output-Calculation-sheet'!G5*'Output-Calculation-sheet'!G77</f>
        <v>883016422.89512682</v>
      </c>
      <c r="H94" s="2">
        <f>H6/'Output-Calculation-sheet'!H5*'Output-Calculation-sheet'!H77</f>
        <v>742166857.0713712</v>
      </c>
      <c r="I94" s="2">
        <f>I6/'Output-Calculation-sheet'!I5*'Output-Calculation-sheet'!I77</f>
        <v>603035751.25771022</v>
      </c>
      <c r="J94" s="2">
        <f>J6/'Output-Calculation-sheet'!J5*'Output-Calculation-sheet'!J77</f>
        <v>414280959.45719826</v>
      </c>
      <c r="K94" s="2">
        <f>K6/'Output-Calculation-sheet'!K5*'Output-Calculation-sheet'!K77</f>
        <v>596892926.52941906</v>
      </c>
      <c r="L94" s="2">
        <f>L6/'Output-Calculation-sheet'!L5*'Output-Calculation-sheet'!L77</f>
        <v>403401186.66627371</v>
      </c>
      <c r="M94" s="2">
        <f>M6/'Output-Calculation-sheet'!M5*'Output-Calculation-sheet'!M77</f>
        <v>547013898.45106816</v>
      </c>
      <c r="N94" s="2">
        <f>N6/'Output-Calculation-sheet'!N5*'Output-Calculation-sheet'!N77</f>
        <v>413819430.23757708</v>
      </c>
      <c r="O94" s="2">
        <f>O6/'Output-Calculation-sheet'!O5*'Output-Calculation-sheet'!O77</f>
        <v>203244792.26279789</v>
      </c>
      <c r="P94" s="2">
        <f>P6/'Output-Calculation-sheet'!P5*'Output-Calculation-sheet'!P77</f>
        <v>707704331.91354501</v>
      </c>
      <c r="Q94" s="2">
        <f>Q6/'Output-Calculation-sheet'!Q5*'Output-Calculation-sheet'!Q77</f>
        <v>326932133.67693597</v>
      </c>
      <c r="R94" s="2">
        <f>R6/'Output-Calculation-sheet'!R5*'Output-Calculation-sheet'!R77</f>
        <v>405903386.49793798</v>
      </c>
      <c r="S94" s="2">
        <f>S6/'Output-Calculation-sheet'!S5*'Output-Calculation-sheet'!S77</f>
        <v>238331140.03725183</v>
      </c>
      <c r="T94" s="2">
        <f>T6/'Output-Calculation-sheet'!T5*'Output-Calculation-sheet'!T77</f>
        <v>183849036.31867337</v>
      </c>
      <c r="U94" s="2">
        <f>U6/'Output-Calculation-sheet'!U5*'Output-Calculation-sheet'!U77</f>
        <v>116379427.17650668</v>
      </c>
      <c r="V94" s="2">
        <f>V6/'Output-Calculation-sheet'!V5*'Output-Calculation-sheet'!V77</f>
        <v>59693977.66134657</v>
      </c>
      <c r="W94" s="2">
        <f>W6/'Output-Calculation-sheet'!W5*'Output-Calculation-sheet'!W77</f>
        <v>173214548.15327573</v>
      </c>
      <c r="X94" s="2">
        <f>X6/'Output-Calculation-sheet'!X5*'Output-Calculation-sheet'!X77</f>
        <v>59901127.037608653</v>
      </c>
      <c r="Y94" s="2">
        <f>Y6/'Output-Calculation-sheet'!Y5*'Output-Calculation-sheet'!Y77</f>
        <v>94974270.172473267</v>
      </c>
      <c r="AA94" s="2">
        <f t="shared" si="8"/>
        <v>18.171102719690804</v>
      </c>
    </row>
    <row r="95" spans="1:27" x14ac:dyDescent="0.25">
      <c r="A95" s="2">
        <v>2030</v>
      </c>
      <c r="B95" s="2">
        <f>B7/'Output-Calculation-sheet'!B6*'Output-Calculation-sheet'!B78</f>
        <v>7622328020.5885344</v>
      </c>
      <c r="C95" s="2">
        <f>C7/'Output-Calculation-sheet'!C6*'Output-Calculation-sheet'!C78</f>
        <v>2559416802.8664169</v>
      </c>
      <c r="D95" s="2">
        <f>D7/'Output-Calculation-sheet'!D6*'Output-Calculation-sheet'!D78</f>
        <v>2801901360.943625</v>
      </c>
      <c r="E95" s="2">
        <f>E7/'Output-Calculation-sheet'!E6*'Output-Calculation-sheet'!E78</f>
        <v>4843783956.8494005</v>
      </c>
      <c r="F95" s="2">
        <f>F7/'Output-Calculation-sheet'!F6*'Output-Calculation-sheet'!F78</f>
        <v>2008323607.602324</v>
      </c>
      <c r="G95" s="2">
        <f>G7/'Output-Calculation-sheet'!G6*'Output-Calculation-sheet'!G78</f>
        <v>1606733832.0526998</v>
      </c>
      <c r="H95" s="2">
        <f>H7/'Output-Calculation-sheet'!H6*'Output-Calculation-sheet'!H78</f>
        <v>1340954957.3614662</v>
      </c>
      <c r="I95" s="2">
        <f>I7/'Output-Calculation-sheet'!I6*'Output-Calculation-sheet'!I78</f>
        <v>1079178861.6099992</v>
      </c>
      <c r="J95" s="2">
        <f>J7/'Output-Calculation-sheet'!J6*'Output-Calculation-sheet'!J78</f>
        <v>750951927.84988725</v>
      </c>
      <c r="K95" s="2">
        <f>K7/'Output-Calculation-sheet'!K6*'Output-Calculation-sheet'!K78</f>
        <v>1065953799.0144868</v>
      </c>
      <c r="L95" s="2">
        <f>L7/'Output-Calculation-sheet'!L6*'Output-Calculation-sheet'!L78</f>
        <v>729509653.29521561</v>
      </c>
      <c r="M95" s="2">
        <f>M7/'Output-Calculation-sheet'!M6*'Output-Calculation-sheet'!M78</f>
        <v>997707111.165254</v>
      </c>
      <c r="N95" s="2">
        <f>N7/'Output-Calculation-sheet'!N6*'Output-Calculation-sheet'!N78</f>
        <v>756275572.99651313</v>
      </c>
      <c r="O95" s="2">
        <f>O7/'Output-Calculation-sheet'!O6*'Output-Calculation-sheet'!O78</f>
        <v>373667521.16483265</v>
      </c>
      <c r="P95" s="2">
        <f>P7/'Output-Calculation-sheet'!P6*'Output-Calculation-sheet'!P78</f>
        <v>1275443685.135396</v>
      </c>
      <c r="Q95" s="2">
        <f>Q7/'Output-Calculation-sheet'!Q6*'Output-Calculation-sheet'!Q78</f>
        <v>593325787.36160111</v>
      </c>
      <c r="R95" s="2">
        <f>R7/'Output-Calculation-sheet'!R6*'Output-Calculation-sheet'!R78</f>
        <v>730508225.01357377</v>
      </c>
      <c r="S95" s="2">
        <f>S7/'Output-Calculation-sheet'!S6*'Output-Calculation-sheet'!S78</f>
        <v>427431739.34490931</v>
      </c>
      <c r="T95" s="2">
        <f>T7/'Output-Calculation-sheet'!T6*'Output-Calculation-sheet'!T78</f>
        <v>330867905.35257918</v>
      </c>
      <c r="U95" s="2">
        <f>U7/'Output-Calculation-sheet'!U6*'Output-Calculation-sheet'!U78</f>
        <v>204254186.57971448</v>
      </c>
      <c r="V95" s="2">
        <f>V7/'Output-Calculation-sheet'!V6*'Output-Calculation-sheet'!V78</f>
        <v>104826703.04075125</v>
      </c>
      <c r="W95" s="2">
        <f>W7/'Output-Calculation-sheet'!W6*'Output-Calculation-sheet'!W78</f>
        <v>315675389.25910026</v>
      </c>
      <c r="X95" s="2">
        <f>X7/'Output-Calculation-sheet'!X6*'Output-Calculation-sheet'!X78</f>
        <v>108772444.86513057</v>
      </c>
      <c r="Y95" s="2">
        <f>Y7/'Output-Calculation-sheet'!Y6*'Output-Calculation-sheet'!Y78</f>
        <v>173608059.39965627</v>
      </c>
      <c r="AA95" s="2">
        <f t="shared" si="8"/>
        <v>32.80140111071308</v>
      </c>
    </row>
    <row r="96" spans="1:27" x14ac:dyDescent="0.25">
      <c r="A96" s="2">
        <v>2031</v>
      </c>
      <c r="B96" s="2">
        <f>B8/'Output-Calculation-sheet'!B7*'Output-Calculation-sheet'!B79</f>
        <v>11552541480.448458</v>
      </c>
      <c r="C96" s="2">
        <f>C8/'Output-Calculation-sheet'!C7*'Output-Calculation-sheet'!C79</f>
        <v>3908277287.2428699</v>
      </c>
      <c r="D96" s="2">
        <f>D8/'Output-Calculation-sheet'!D7*'Output-Calculation-sheet'!D79</f>
        <v>4079984097.7337494</v>
      </c>
      <c r="E96" s="2">
        <f>E8/'Output-Calculation-sheet'!E7*'Output-Calculation-sheet'!E79</f>
        <v>7253864335.8418741</v>
      </c>
      <c r="F96" s="2">
        <f>F8/'Output-Calculation-sheet'!F7*'Output-Calculation-sheet'!F79</f>
        <v>3002302967.5908489</v>
      </c>
      <c r="G96" s="2">
        <f>G8/'Output-Calculation-sheet'!G7*'Output-Calculation-sheet'!G79</f>
        <v>2338547139.9480691</v>
      </c>
      <c r="H96" s="2">
        <f>H8/'Output-Calculation-sheet'!H7*'Output-Calculation-sheet'!H79</f>
        <v>2001664281.6406188</v>
      </c>
      <c r="I96" s="2">
        <f>I8/'Output-Calculation-sheet'!I7*'Output-Calculation-sheet'!I79</f>
        <v>1629046700.3520503</v>
      </c>
      <c r="J96" s="2">
        <f>J8/'Output-Calculation-sheet'!J7*'Output-Calculation-sheet'!J79</f>
        <v>1101603456.1731288</v>
      </c>
      <c r="K96" s="2">
        <f>K8/'Output-Calculation-sheet'!K7*'Output-Calculation-sheet'!K79</f>
        <v>1576065932.0338871</v>
      </c>
      <c r="L96" s="2">
        <f>L8/'Output-Calculation-sheet'!L7*'Output-Calculation-sheet'!L79</f>
        <v>1112070750.2623138</v>
      </c>
      <c r="M96" s="2">
        <f>M8/'Output-Calculation-sheet'!M7*'Output-Calculation-sheet'!M79</f>
        <v>1494203673.7534261</v>
      </c>
      <c r="N96" s="2">
        <f>N8/'Output-Calculation-sheet'!N7*'Output-Calculation-sheet'!N79</f>
        <v>1111806534.9200823</v>
      </c>
      <c r="O96" s="2">
        <f>O8/'Output-Calculation-sheet'!O7*'Output-Calculation-sheet'!O79</f>
        <v>562056283.03672385</v>
      </c>
      <c r="P96" s="2">
        <f>P8/'Output-Calculation-sheet'!P7*'Output-Calculation-sheet'!P79</f>
        <v>1879960384.0960555</v>
      </c>
      <c r="Q96" s="2">
        <f>Q8/'Output-Calculation-sheet'!Q7*'Output-Calculation-sheet'!Q79</f>
        <v>876141949.59824288</v>
      </c>
      <c r="R96" s="2">
        <f>R8/'Output-Calculation-sheet'!R7*'Output-Calculation-sheet'!R79</f>
        <v>1093091232.4589252</v>
      </c>
      <c r="S96" s="2">
        <f>S8/'Output-Calculation-sheet'!S7*'Output-Calculation-sheet'!S79</f>
        <v>636926556.72039998</v>
      </c>
      <c r="T96" s="2">
        <f>T8/'Output-Calculation-sheet'!T7*'Output-Calculation-sheet'!T79</f>
        <v>486465260.48603171</v>
      </c>
      <c r="U96" s="2">
        <f>U8/'Output-Calculation-sheet'!U7*'Output-Calculation-sheet'!U79</f>
        <v>305584974.04910177</v>
      </c>
      <c r="V96" s="2">
        <f>V8/'Output-Calculation-sheet'!V7*'Output-Calculation-sheet'!V79</f>
        <v>158553420.01525792</v>
      </c>
      <c r="W96" s="2">
        <f>W8/'Output-Calculation-sheet'!W7*'Output-Calculation-sheet'!W79</f>
        <v>468512501.77789336</v>
      </c>
      <c r="X96" s="2">
        <f>X8/'Output-Calculation-sheet'!X7*'Output-Calculation-sheet'!X79</f>
        <v>164668885.70229608</v>
      </c>
      <c r="Y96" s="2">
        <f>Y8/'Output-Calculation-sheet'!Y7*'Output-Calculation-sheet'!Y79</f>
        <v>257539866.60467649</v>
      </c>
      <c r="AA96" s="2">
        <f t="shared" si="8"/>
        <v>49.051479952486972</v>
      </c>
    </row>
    <row r="97" spans="1:27" x14ac:dyDescent="0.25">
      <c r="A97" s="2">
        <v>2032</v>
      </c>
      <c r="B97" s="2">
        <f>B9/'Output-Calculation-sheet'!B8*'Output-Calculation-sheet'!B80</f>
        <v>15287407559.244677</v>
      </c>
      <c r="C97" s="2">
        <f>C9/'Output-Calculation-sheet'!C8*'Output-Calculation-sheet'!C80</f>
        <v>5206973417.2025518</v>
      </c>
      <c r="D97" s="2">
        <f>D9/'Output-Calculation-sheet'!D8*'Output-Calculation-sheet'!D80</f>
        <v>5188242147.6501989</v>
      </c>
      <c r="E97" s="2">
        <f>E9/'Output-Calculation-sheet'!E8*'Output-Calculation-sheet'!E80</f>
        <v>9488518718.3302193</v>
      </c>
      <c r="F97" s="2">
        <f>F9/'Output-Calculation-sheet'!F8*'Output-Calculation-sheet'!F80</f>
        <v>3919707851.0988793</v>
      </c>
      <c r="G97" s="2">
        <f>G9/'Output-Calculation-sheet'!G8*'Output-Calculation-sheet'!G80</f>
        <v>2967003493.2241726</v>
      </c>
      <c r="H97" s="2">
        <f>H9/'Output-Calculation-sheet'!H8*'Output-Calculation-sheet'!H80</f>
        <v>2610363792.0249968</v>
      </c>
      <c r="I97" s="2">
        <f>I9/'Output-Calculation-sheet'!I8*'Output-Calculation-sheet'!I80</f>
        <v>2147266467.003041</v>
      </c>
      <c r="J97" s="2">
        <f>J9/'Output-Calculation-sheet'!J8*'Output-Calculation-sheet'!J80</f>
        <v>1411629508.4445283</v>
      </c>
      <c r="K97" s="2">
        <f>K9/'Output-Calculation-sheet'!K8*'Output-Calculation-sheet'!K80</f>
        <v>2035161358.0021667</v>
      </c>
      <c r="L97" s="2">
        <f>L9/'Output-Calculation-sheet'!L8*'Output-Calculation-sheet'!L80</f>
        <v>1481260340.7939</v>
      </c>
      <c r="M97" s="2">
        <f>M9/'Output-Calculation-sheet'!M8*'Output-Calculation-sheet'!M80</f>
        <v>1954357302.8247166</v>
      </c>
      <c r="N97" s="2">
        <f>N9/'Output-Calculation-sheet'!N8*'Output-Calculation-sheet'!N80</f>
        <v>1427919310.2941556</v>
      </c>
      <c r="O97" s="2">
        <f>O9/'Output-Calculation-sheet'!O8*'Output-Calculation-sheet'!O80</f>
        <v>738711930.60129774</v>
      </c>
      <c r="P97" s="2">
        <f>P9/'Output-Calculation-sheet'!P8*'Output-Calculation-sheet'!P80</f>
        <v>2416926529.5946789</v>
      </c>
      <c r="Q97" s="2">
        <f>Q9/'Output-Calculation-sheet'!Q8*'Output-Calculation-sheet'!Q80</f>
        <v>1130545548.1408162</v>
      </c>
      <c r="R97" s="2">
        <f>R9/'Output-Calculation-sheet'!R8*'Output-Calculation-sheet'!R80</f>
        <v>1428441418.8148761</v>
      </c>
      <c r="S97" s="2">
        <f>S9/'Output-Calculation-sheet'!S8*'Output-Calculation-sheet'!S80</f>
        <v>829063266.06251621</v>
      </c>
      <c r="T97" s="2">
        <f>T9/'Output-Calculation-sheet'!T8*'Output-Calculation-sheet'!T80</f>
        <v>624313796.73048556</v>
      </c>
      <c r="U97" s="2">
        <f>U9/'Output-Calculation-sheet'!U8*'Output-Calculation-sheet'!U80</f>
        <v>399119332.76882386</v>
      </c>
      <c r="V97" s="2">
        <f>V9/'Output-Calculation-sheet'!V8*'Output-Calculation-sheet'!V80</f>
        <v>209274392.39855075</v>
      </c>
      <c r="W97" s="2">
        <f>W9/'Output-Calculation-sheet'!W8*'Output-Calculation-sheet'!W80</f>
        <v>606062683.99902105</v>
      </c>
      <c r="X97" s="2">
        <f>X9/'Output-Calculation-sheet'!X8*'Output-Calculation-sheet'!X80</f>
        <v>217634989.53669587</v>
      </c>
      <c r="Y97" s="2">
        <f>Y9/'Output-Calculation-sheet'!Y8*'Output-Calculation-sheet'!Y80</f>
        <v>333131281.45108277</v>
      </c>
      <c r="AA97" s="2">
        <f t="shared" si="8"/>
        <v>64.059036436237037</v>
      </c>
    </row>
    <row r="98" spans="1:27" x14ac:dyDescent="0.25">
      <c r="A98" s="2">
        <v>2033</v>
      </c>
      <c r="B98" s="2">
        <f>B10/'Output-Calculation-sheet'!B9*'Output-Calculation-sheet'!B81</f>
        <v>18605605281.327751</v>
      </c>
      <c r="C98" s="2">
        <f>C10/'Output-Calculation-sheet'!C9*'Output-Calculation-sheet'!C81</f>
        <v>6378924118.2924509</v>
      </c>
      <c r="D98" s="2">
        <f>D10/'Output-Calculation-sheet'!D9*'Output-Calculation-sheet'!D81</f>
        <v>6070792896.74123</v>
      </c>
      <c r="E98" s="2">
        <f>E10/'Output-Calculation-sheet'!E9*'Output-Calculation-sheet'!E81</f>
        <v>11419543411.396717</v>
      </c>
      <c r="F98" s="2">
        <f>F10/'Output-Calculation-sheet'!F9*'Output-Calculation-sheet'!F81</f>
        <v>4709695725.5883675</v>
      </c>
      <c r="G98" s="2">
        <f>G10/'Output-Calculation-sheet'!G9*'Output-Calculation-sheet'!G81</f>
        <v>3458002700.1298661</v>
      </c>
      <c r="H98" s="2">
        <f>H10/'Output-Calculation-sheet'!H9*'Output-Calculation-sheet'!H81</f>
        <v>3132978699.0502238</v>
      </c>
      <c r="I98" s="2">
        <f>I10/'Output-Calculation-sheet'!I9*'Output-Calculation-sheet'!I81</f>
        <v>2604430235.7939734</v>
      </c>
      <c r="J98" s="2">
        <f>J10/'Output-Calculation-sheet'!J9*'Output-Calculation-sheet'!J81</f>
        <v>1665338336.5447295</v>
      </c>
      <c r="K98" s="2">
        <f>K10/'Output-Calculation-sheet'!K9*'Output-Calculation-sheet'!K81</f>
        <v>2418969975.8998785</v>
      </c>
      <c r="L98" s="2">
        <f>L10/'Output-Calculation-sheet'!L9*'Output-Calculation-sheet'!L81</f>
        <v>1814263691.1474559</v>
      </c>
      <c r="M98" s="2">
        <f>M10/'Output-Calculation-sheet'!M9*'Output-Calculation-sheet'!M81</f>
        <v>2352735460.9802504</v>
      </c>
      <c r="N98" s="2">
        <f>N10/'Output-Calculation-sheet'!N9*'Output-Calculation-sheet'!N81</f>
        <v>1687904120.6334925</v>
      </c>
      <c r="O98" s="2">
        <f>O10/'Output-Calculation-sheet'!O9*'Output-Calculation-sheet'!O81</f>
        <v>893840590.95995927</v>
      </c>
      <c r="P98" s="2">
        <f>P10/'Output-Calculation-sheet'!P9*'Output-Calculation-sheet'!P81</f>
        <v>2856455184.9869661</v>
      </c>
      <c r="Q98" s="2">
        <f>Q10/'Output-Calculation-sheet'!Q9*'Output-Calculation-sheet'!Q81</f>
        <v>1343032815.1595883</v>
      </c>
      <c r="R98" s="2">
        <f>R10/'Output-Calculation-sheet'!R9*'Output-Calculation-sheet'!R81</f>
        <v>1717942155.6316416</v>
      </c>
      <c r="S98" s="2">
        <f>S10/'Output-Calculation-sheet'!S9*'Output-Calculation-sheet'!S81</f>
        <v>993276426.30853593</v>
      </c>
      <c r="T98" s="2">
        <f>T10/'Output-Calculation-sheet'!T9*'Output-Calculation-sheet'!T81</f>
        <v>737051971.3131063</v>
      </c>
      <c r="U98" s="2">
        <f>U10/'Output-Calculation-sheet'!U9*'Output-Calculation-sheet'!U81</f>
        <v>479573815.08112341</v>
      </c>
      <c r="V98" s="2">
        <f>V10/'Output-Calculation-sheet'!V9*'Output-Calculation-sheet'!V81</f>
        <v>253990368.37796581</v>
      </c>
      <c r="W98" s="2">
        <f>W10/'Output-Calculation-sheet'!W9*'Output-Calculation-sheet'!W81</f>
        <v>720150321.10709405</v>
      </c>
      <c r="X98" s="2">
        <f>X10/'Output-Calculation-sheet'!X9*'Output-Calculation-sheet'!X81</f>
        <v>264633454.66783121</v>
      </c>
      <c r="Y98" s="2">
        <f>Y10/'Output-Calculation-sheet'!Y9*'Output-Calculation-sheet'!Y81</f>
        <v>395983244.57020813</v>
      </c>
      <c r="AA98" s="2">
        <f t="shared" si="8"/>
        <v>76.975115001690412</v>
      </c>
    </row>
    <row r="99" spans="1:27" x14ac:dyDescent="0.25">
      <c r="A99" s="2">
        <v>2034</v>
      </c>
      <c r="B99" s="2">
        <f>B11/'Output-Calculation-sheet'!B10*'Output-Calculation-sheet'!B82</f>
        <v>21256873733.353519</v>
      </c>
      <c r="C99" s="2">
        <f>C11/'Output-Calculation-sheet'!C10*'Output-Calculation-sheet'!C82</f>
        <v>7334493560.3806391</v>
      </c>
      <c r="D99" s="2">
        <f>D11/'Output-Calculation-sheet'!D10*'Output-Calculation-sheet'!D82</f>
        <v>6672326063.5310736</v>
      </c>
      <c r="E99" s="2">
        <f>E11/'Output-Calculation-sheet'!E10*'Output-Calculation-sheet'!E82</f>
        <v>12907029680.699739</v>
      </c>
      <c r="F99" s="2">
        <f>F11/'Output-Calculation-sheet'!F10*'Output-Calculation-sheet'!F82</f>
        <v>5315744156.2360239</v>
      </c>
      <c r="G99" s="2">
        <f>G11/'Output-Calculation-sheet'!G10*'Output-Calculation-sheet'!G82</f>
        <v>3779115825.1617513</v>
      </c>
      <c r="H99" s="2">
        <f>H11/'Output-Calculation-sheet'!H10*'Output-Calculation-sheet'!H82</f>
        <v>3532269872.073678</v>
      </c>
      <c r="I99" s="2">
        <f>I11/'Output-Calculation-sheet'!I10*'Output-Calculation-sheet'!I82</f>
        <v>2966860786.8128238</v>
      </c>
      <c r="J99" s="2">
        <f>J11/'Output-Calculation-sheet'!J10*'Output-Calculation-sheet'!J82</f>
        <v>1846276332.9310687</v>
      </c>
      <c r="K99" s="2">
        <f>K11/'Output-Calculation-sheet'!K10*'Output-Calculation-sheet'!K82</f>
        <v>2701344556.0627933</v>
      </c>
      <c r="L99" s="2">
        <f>L11/'Output-Calculation-sheet'!L10*'Output-Calculation-sheet'!L82</f>
        <v>2085635544.9507313</v>
      </c>
      <c r="M99" s="2">
        <f>M11/'Output-Calculation-sheet'!M10*'Output-Calculation-sheet'!M82</f>
        <v>2660793422.7653289</v>
      </c>
      <c r="N99" s="2">
        <f>N11/'Output-Calculation-sheet'!N10*'Output-Calculation-sheet'!N82</f>
        <v>1874531452.5162151</v>
      </c>
      <c r="O99" s="2">
        <f>O11/'Output-Calculation-sheet'!O10*'Output-Calculation-sheet'!O82</f>
        <v>1016277575.5385147</v>
      </c>
      <c r="P99" s="2">
        <f>P11/'Output-Calculation-sheet'!P10*'Output-Calculation-sheet'!P82</f>
        <v>3167967431.4724674</v>
      </c>
      <c r="Q99" s="2">
        <f>Q11/'Output-Calculation-sheet'!Q10*'Output-Calculation-sheet'!Q82</f>
        <v>1499281265.3579826</v>
      </c>
      <c r="R99" s="2">
        <f>R11/'Output-Calculation-sheet'!R10*'Output-Calculation-sheet'!R82</f>
        <v>1940812664.4210949</v>
      </c>
      <c r="S99" s="2">
        <f>S11/'Output-Calculation-sheet'!S10*'Output-Calculation-sheet'!S82</f>
        <v>1117962353.038569</v>
      </c>
      <c r="T99" s="2">
        <f>T11/'Output-Calculation-sheet'!T10*'Output-Calculation-sheet'!T82</f>
        <v>817099774.90567505</v>
      </c>
      <c r="U99" s="2">
        <f>U11/'Output-Calculation-sheet'!U10*'Output-Calculation-sheet'!U82</f>
        <v>541099942.41534674</v>
      </c>
      <c r="V99" s="2">
        <f>V11/'Output-Calculation-sheet'!V10*'Output-Calculation-sheet'!V82</f>
        <v>289319393.09111881</v>
      </c>
      <c r="W99" s="2">
        <f>W11/'Output-Calculation-sheet'!W10*'Output-Calculation-sheet'!W82</f>
        <v>802292806.63815451</v>
      </c>
      <c r="X99" s="2">
        <f>X11/'Output-Calculation-sheet'!X10*'Output-Calculation-sheet'!X82</f>
        <v>302165558.98447263</v>
      </c>
      <c r="Y99" s="2">
        <f>Y11/'Output-Calculation-sheet'!Y10*'Output-Calculation-sheet'!Y82</f>
        <v>441515501.43139124</v>
      </c>
      <c r="AA99" s="2">
        <f t="shared" si="8"/>
        <v>86.869089254770188</v>
      </c>
    </row>
    <row r="100" spans="1:27" x14ac:dyDescent="0.25">
      <c r="A100" s="2">
        <v>2035</v>
      </c>
      <c r="B100" s="2">
        <f>B12/'Output-Calculation-sheet'!B11*'Output-Calculation-sheet'!B83</f>
        <v>23049682808.447491</v>
      </c>
      <c r="C100" s="2">
        <f>C12/'Output-Calculation-sheet'!C11*'Output-Calculation-sheet'!C83</f>
        <v>8002475489.6103573</v>
      </c>
      <c r="D100" s="2">
        <f>D12/'Output-Calculation-sheet'!D11*'Output-Calculation-sheet'!D83</f>
        <v>6965128819.2255955</v>
      </c>
      <c r="E100" s="2">
        <f>E12/'Output-Calculation-sheet'!E11*'Output-Calculation-sheet'!E83</f>
        <v>13851844017.260071</v>
      </c>
      <c r="F100" s="2">
        <f>F12/'Output-Calculation-sheet'!F11*'Output-Calculation-sheet'!F83</f>
        <v>5698096315.7466307</v>
      </c>
      <c r="G100" s="2">
        <f>G12/'Output-Calculation-sheet'!G11*'Output-Calculation-sheet'!G83</f>
        <v>3915701695.4764371</v>
      </c>
      <c r="H100" s="2">
        <f>H12/'Output-Calculation-sheet'!H11*'Output-Calculation-sheet'!H83</f>
        <v>3782275209.4160571</v>
      </c>
      <c r="I100" s="2">
        <f>I12/'Output-Calculation-sheet'!I11*'Output-Calculation-sheet'!I83</f>
        <v>3209185809.0588241</v>
      </c>
      <c r="J100" s="2">
        <f>J12/'Output-Calculation-sheet'!J11*'Output-Calculation-sheet'!J83</f>
        <v>1944904725.2566249</v>
      </c>
      <c r="K100" s="2">
        <f>K12/'Output-Calculation-sheet'!K11*'Output-Calculation-sheet'!K83</f>
        <v>2865673108.6287556</v>
      </c>
      <c r="L100" s="2">
        <f>L12/'Output-Calculation-sheet'!L11*'Output-Calculation-sheet'!L83</f>
        <v>2275181049.2701154</v>
      </c>
      <c r="M100" s="2">
        <f>M12/'Output-Calculation-sheet'!M11*'Output-Calculation-sheet'!M83</f>
        <v>2858131559.067802</v>
      </c>
      <c r="N100" s="2">
        <f>N12/'Output-Calculation-sheet'!N11*'Output-Calculation-sheet'!N83</f>
        <v>1977601296.5914755</v>
      </c>
      <c r="O100" s="2">
        <f>O12/'Output-Calculation-sheet'!O11*'Output-Calculation-sheet'!O83</f>
        <v>1097694288.2068911</v>
      </c>
      <c r="P100" s="2">
        <f>P12/'Output-Calculation-sheet'!P11*'Output-Calculation-sheet'!P83</f>
        <v>3333775550.4061861</v>
      </c>
      <c r="Q100" s="2">
        <f>Q12/'Output-Calculation-sheet'!Q11*'Output-Calculation-sheet'!Q83</f>
        <v>1590226220.0706348</v>
      </c>
      <c r="R100" s="2">
        <f>R12/'Output-Calculation-sheet'!R11*'Output-Calculation-sheet'!R83</f>
        <v>2082312602.2000773</v>
      </c>
      <c r="S100" s="2">
        <f>S12/'Output-Calculation-sheet'!S11*'Output-Calculation-sheet'!S83</f>
        <v>1195140446.2454517</v>
      </c>
      <c r="T100" s="2">
        <f>T12/'Output-Calculation-sheet'!T11*'Output-Calculation-sheet'!T83</f>
        <v>860087034.34314823</v>
      </c>
      <c r="U100" s="2">
        <f>U12/'Output-Calculation-sheet'!U11*'Output-Calculation-sheet'!U83</f>
        <v>579601278.49107158</v>
      </c>
      <c r="V100" s="2">
        <f>V12/'Output-Calculation-sheet'!V11*'Output-Calculation-sheet'!V83</f>
        <v>312728565.4296388</v>
      </c>
      <c r="W100" s="2">
        <f>W12/'Output-Calculation-sheet'!W11*'Output-Calculation-sheet'!W83</f>
        <v>847258512.57860136</v>
      </c>
      <c r="X100" s="2">
        <f>X12/'Output-Calculation-sheet'!X11*'Output-Calculation-sheet'!X83</f>
        <v>327558188.7238518</v>
      </c>
      <c r="Y100" s="2">
        <f>Y12/'Output-Calculation-sheet'!Y11*'Output-Calculation-sheet'!Y83</f>
        <v>466890013.02899796</v>
      </c>
      <c r="AA100" s="2">
        <f t="shared" si="8"/>
        <v>93.089154602780766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3B3-E116-4C65-8CA6-757AE240AB3A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114460110589.66147</v>
      </c>
      <c r="C8" s="2">
        <v>53939363827.226181</v>
      </c>
      <c r="D8" s="2">
        <v>48074555101.676453</v>
      </c>
      <c r="E8" s="2">
        <v>38142281021.240814</v>
      </c>
      <c r="F8" s="2">
        <v>24553555015.876984</v>
      </c>
      <c r="G8" s="2">
        <v>17252001608.284458</v>
      </c>
      <c r="H8" s="2">
        <v>16828665320.034506</v>
      </c>
      <c r="I8" s="2">
        <v>15717931494.428228</v>
      </c>
      <c r="J8" s="2">
        <v>15298748931.541239</v>
      </c>
      <c r="K8" s="2">
        <v>15152085960.628836</v>
      </c>
      <c r="L8" s="2">
        <v>12155200355.691183</v>
      </c>
      <c r="M8" s="2">
        <v>11610312063.884342</v>
      </c>
      <c r="N8" s="2">
        <v>11395487759.115295</v>
      </c>
      <c r="O8" s="2">
        <v>10480465233.580828</v>
      </c>
      <c r="P8" s="2">
        <v>10373834786.322638</v>
      </c>
      <c r="Q8" s="2">
        <v>10206176850.382072</v>
      </c>
      <c r="R8" s="2">
        <v>9818811572.288187</v>
      </c>
      <c r="S8" s="2">
        <v>6526085156.4865847</v>
      </c>
      <c r="T8" s="2">
        <v>3609310704.7897615</v>
      </c>
      <c r="U8" s="2">
        <v>3143586298.8856506</v>
      </c>
      <c r="V8" s="2">
        <v>2420624321.8679304</v>
      </c>
      <c r="W8" s="2">
        <v>2095724199.2570984</v>
      </c>
      <c r="X8" s="2">
        <v>1257434519.55426</v>
      </c>
      <c r="Y8" s="2">
        <v>1222842495.9213202</v>
      </c>
    </row>
    <row r="9" spans="1:27" x14ac:dyDescent="0.25">
      <c r="A9" s="2">
        <v>2032</v>
      </c>
      <c r="B9" s="2">
        <v>126378241512.33607</v>
      </c>
      <c r="C9" s="2">
        <v>59555786847.148773</v>
      </c>
      <c r="D9" s="2">
        <v>53080306352.478287</v>
      </c>
      <c r="E9" s="2">
        <v>42113836671.141212</v>
      </c>
      <c r="F9" s="2">
        <v>27110187905.612698</v>
      </c>
      <c r="G9" s="2">
        <v>19048362041.508598</v>
      </c>
      <c r="H9" s="2">
        <v>18580945966.145996</v>
      </c>
      <c r="I9" s="2">
        <v>17354557253.561005</v>
      </c>
      <c r="J9" s="2">
        <v>16891727409.195318</v>
      </c>
      <c r="K9" s="2">
        <v>16729793192.432833</v>
      </c>
      <c r="L9" s="2">
        <v>13420857609.420534</v>
      </c>
      <c r="M9" s="2">
        <v>12819232957.963755</v>
      </c>
      <c r="N9" s="2">
        <v>12582040125.185955</v>
      </c>
      <c r="O9" s="2">
        <v>11571741103.758417</v>
      </c>
      <c r="P9" s="2">
        <v>11454007787.350271</v>
      </c>
      <c r="Q9" s="2">
        <v>11268892509.978954</v>
      </c>
      <c r="R9" s="2">
        <v>10841192917.376394</v>
      </c>
      <c r="S9" s="2">
        <v>7205612171.6785116</v>
      </c>
      <c r="T9" s="2">
        <v>3985129296.0761895</v>
      </c>
      <c r="U9" s="2">
        <v>3470911450.7122059</v>
      </c>
      <c r="V9" s="2">
        <v>2672671235.2774148</v>
      </c>
      <c r="W9" s="2">
        <v>2313940967.141469</v>
      </c>
      <c r="X9" s="2">
        <v>1388364580.2848823</v>
      </c>
      <c r="Y9" s="2">
        <v>1350170670.6812429</v>
      </c>
    </row>
    <row r="10" spans="1:27" x14ac:dyDescent="0.25">
      <c r="A10" s="2">
        <v>2033</v>
      </c>
      <c r="B10" s="2">
        <v>131668192161.80971</v>
      </c>
      <c r="C10" s="2">
        <v>62048677787.407936</v>
      </c>
      <c r="D10" s="2">
        <v>55302146106.722237</v>
      </c>
      <c r="E10" s="2">
        <v>43876641050.948822</v>
      </c>
      <c r="F10" s="2">
        <v>28244968342.517647</v>
      </c>
      <c r="G10" s="2">
        <v>19845689919.686512</v>
      </c>
      <c r="H10" s="2">
        <v>19358708704.456089</v>
      </c>
      <c r="I10" s="2">
        <v>18080985714.000065</v>
      </c>
      <c r="J10" s="2">
        <v>17598782700.594372</v>
      </c>
      <c r="K10" s="2">
        <v>17430070228.296093</v>
      </c>
      <c r="L10" s="2">
        <v>13982628952.160076</v>
      </c>
      <c r="M10" s="2">
        <v>13355821447.408075</v>
      </c>
      <c r="N10" s="2">
        <v>13108700177.861507</v>
      </c>
      <c r="O10" s="2">
        <v>12056111978.323816</v>
      </c>
      <c r="P10" s="2">
        <v>11933450571.240053</v>
      </c>
      <c r="Q10" s="2">
        <v>11740586723.624054</v>
      </c>
      <c r="R10" s="2">
        <v>11294984446.899664</v>
      </c>
      <c r="S10" s="2">
        <v>7507225268.4528103</v>
      </c>
      <c r="T10" s="2">
        <v>4151939160.3039393</v>
      </c>
      <c r="U10" s="2">
        <v>3616197142.8000188</v>
      </c>
      <c r="V10" s="2">
        <v>2784544123.8988719</v>
      </c>
      <c r="W10" s="2">
        <v>2410798095.2000103</v>
      </c>
      <c r="X10" s="2">
        <v>1446478857.1200073</v>
      </c>
      <c r="Y10" s="2">
        <v>1406686223.7606335</v>
      </c>
    </row>
    <row r="11" spans="1:27" x14ac:dyDescent="0.25">
      <c r="A11" s="2">
        <v>2034</v>
      </c>
      <c r="B11" s="2">
        <v>130062025121.87215</v>
      </c>
      <c r="C11" s="2">
        <v>61291771054.676582</v>
      </c>
      <c r="D11" s="2">
        <v>54627537586.197632</v>
      </c>
      <c r="E11" s="2">
        <v>43341407647.025429</v>
      </c>
      <c r="F11" s="2">
        <v>27900419393.747391</v>
      </c>
      <c r="G11" s="2">
        <v>19603600372.389858</v>
      </c>
      <c r="H11" s="2">
        <v>19122559644.107189</v>
      </c>
      <c r="I11" s="2">
        <v>17860423079.80122</v>
      </c>
      <c r="J11" s="2">
        <v>17384102265.991146</v>
      </c>
      <c r="K11" s="2">
        <v>17217447848.928406</v>
      </c>
      <c r="L11" s="2">
        <v>13812060515.046299</v>
      </c>
      <c r="M11" s="2">
        <v>13192899181.613194</v>
      </c>
      <c r="N11" s="2">
        <v>12948792444.51745</v>
      </c>
      <c r="O11" s="2">
        <v>11909044342.842173</v>
      </c>
      <c r="P11" s="2">
        <v>11787879232.668812</v>
      </c>
      <c r="Q11" s="2">
        <v>11597368053.150936</v>
      </c>
      <c r="R11" s="2">
        <v>11157201498.433849</v>
      </c>
      <c r="S11" s="2">
        <v>7415647662.733448</v>
      </c>
      <c r="T11" s="2">
        <v>4101291333.2045074</v>
      </c>
      <c r="U11" s="2">
        <v>3572084615.9602489</v>
      </c>
      <c r="V11" s="2">
        <v>2750576595.9817128</v>
      </c>
      <c r="W11" s="2">
        <v>2381389743.9734974</v>
      </c>
      <c r="X11" s="2">
        <v>1428833846.3840995</v>
      </c>
      <c r="Y11" s="2">
        <v>1389526627.2700706</v>
      </c>
    </row>
    <row r="12" spans="1:27" x14ac:dyDescent="0.25">
      <c r="A12" s="2">
        <v>2035</v>
      </c>
      <c r="B12" s="2">
        <v>121795169130.6086</v>
      </c>
      <c r="C12" s="2">
        <v>57396012517.288574</v>
      </c>
      <c r="D12" s="2">
        <v>51155363552.621948</v>
      </c>
      <c r="E12" s="2">
        <v>40586589896.487762</v>
      </c>
      <c r="F12" s="2">
        <v>26127044352.048317</v>
      </c>
      <c r="G12" s="2">
        <v>18357578399.127705</v>
      </c>
      <c r="H12" s="2">
        <v>17907113039.965408</v>
      </c>
      <c r="I12" s="2">
        <v>16725198978.797068</v>
      </c>
      <c r="J12" s="2">
        <v>16279153532.218281</v>
      </c>
      <c r="K12" s="2">
        <v>16123091815.5604</v>
      </c>
      <c r="L12" s="2">
        <v>12934153876.936422</v>
      </c>
      <c r="M12" s="2">
        <v>12354346979.004793</v>
      </c>
      <c r="N12" s="2">
        <v>12125755879.468719</v>
      </c>
      <c r="O12" s="2">
        <v>11152095075.878222</v>
      </c>
      <c r="P12" s="2">
        <v>11038631326.006075</v>
      </c>
      <c r="Q12" s="2">
        <v>10860229203.565573</v>
      </c>
      <c r="R12" s="2">
        <v>10448040019.772915</v>
      </c>
      <c r="S12" s="2">
        <v>6944302615.9965258</v>
      </c>
      <c r="T12" s="2">
        <v>3840609671.52771</v>
      </c>
      <c r="U12" s="2">
        <v>3345039795.7594185</v>
      </c>
      <c r="V12" s="2">
        <v>2575747543.5306692</v>
      </c>
      <c r="W12" s="2">
        <v>2230026530.5062771</v>
      </c>
      <c r="X12" s="2">
        <v>1338015918.3037674</v>
      </c>
      <c r="Y12" s="2">
        <v>1301207100.3912284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1983.6295847142874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618.8655377603767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426.9700839418449</v>
      </c>
      <c r="N16" s="2">
        <f>N5/'Output-Calculation-sheet'!N4*'Output-Calculation-sheet'!N22</f>
        <v>0</v>
      </c>
      <c r="O16" s="2">
        <f>O5/'Output-Calculation-sheet'!O4*'Output-Calculation-sheet'!O22</f>
        <v>385.41521815063498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46.242265149224508</v>
      </c>
      <c r="Y16" s="2">
        <f>Y5/'Output-Calculation-sheet'!Y4*'Output-Calculation-sheet'!Y22</f>
        <v>0</v>
      </c>
      <c r="AA16" s="2">
        <f t="shared" ref="AA16:AA23" si="0">SUM(B16:Y16)/1000</f>
        <v>3.4611226897163689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5907.20971218657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1741.9893210659743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1202.4961204697115</v>
      </c>
      <c r="N17" s="2">
        <f>N6/'Output-Calculation-sheet'!N5*'Output-Calculation-sheet'!N23</f>
        <v>0</v>
      </c>
      <c r="O17" s="2">
        <f>O6/'Output-Calculation-sheet'!O5*'Output-Calculation-sheet'!O23</f>
        <v>1154.9939713928168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133.71066903551042</v>
      </c>
      <c r="Y17" s="2">
        <f>Y6/'Output-Calculation-sheet'!Y5*'Output-Calculation-sheet'!Y23</f>
        <v>0</v>
      </c>
      <c r="AA17" s="2">
        <f t="shared" si="0"/>
        <v>10.140399794150582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11451.635009375932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3627.4608713827793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2501.8089914069992</v>
      </c>
      <c r="N18" s="2">
        <f>N7/'Output-Calculation-sheet'!N6*'Output-Calculation-sheet'!N24</f>
        <v>775.35046695385222</v>
      </c>
      <c r="O18" s="2">
        <f>O7/'Output-Calculation-sheet'!O6*'Output-Calculation-sheet'!O24</f>
        <v>1651.4646868636512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169.50445449421477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280.50336123624345</v>
      </c>
      <c r="Y18" s="2">
        <f>Y7/'Output-Calculation-sheet'!Y6*'Output-Calculation-sheet'!Y24</f>
        <v>0</v>
      </c>
      <c r="AA18" s="2">
        <f t="shared" si="0"/>
        <v>20.457727841713673</v>
      </c>
    </row>
    <row r="19" spans="1:27" x14ac:dyDescent="0.25">
      <c r="A19" s="2">
        <v>2031</v>
      </c>
      <c r="B19" s="2">
        <f>B8/'Output-Calculation-sheet'!B7*'Output-Calculation-sheet'!B25</f>
        <v>1272.5976104580825</v>
      </c>
      <c r="C19" s="2">
        <f>C8/'Output-Calculation-sheet'!C7*'Output-Calculation-sheet'!C25</f>
        <v>16800.198133654496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5709.5345089259881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3967.2910218999718</v>
      </c>
      <c r="N19" s="2">
        <f>N8/'Output-Calculation-sheet'!N7*'Output-Calculation-sheet'!N25</f>
        <v>1358.2698028684515</v>
      </c>
      <c r="O19" s="2">
        <f>O8/'Output-Calculation-sheet'!O7*'Output-Calculation-sheet'!O25</f>
        <v>2168.3363084139246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484.65210754987396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443.26565627881001</v>
      </c>
      <c r="Y19" s="2">
        <f>Y8/'Output-Calculation-sheet'!Y7*'Output-Calculation-sheet'!Y25</f>
        <v>0</v>
      </c>
      <c r="AA19" s="2">
        <f t="shared" si="0"/>
        <v>32.204145150049598</v>
      </c>
    </row>
    <row r="20" spans="1:27" x14ac:dyDescent="0.25">
      <c r="A20" s="2">
        <v>2032</v>
      </c>
      <c r="B20" s="2">
        <f>B9/'Output-Calculation-sheet'!B8*'Output-Calculation-sheet'!B26</f>
        <v>7258.6890158256656</v>
      </c>
      <c r="C20" s="2">
        <f>C9/'Output-Calculation-sheet'!C8*'Output-Calculation-sheet'!C26</f>
        <v>24643.727834654364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7887.2124437250595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5486.8530394580393</v>
      </c>
      <c r="N20" s="2">
        <f>N9/'Output-Calculation-sheet'!N8*'Output-Calculation-sheet'!N26</f>
        <v>2476.3310432571584</v>
      </c>
      <c r="O20" s="2">
        <f>O9/'Output-Calculation-sheet'!O8*'Output-Calculation-sheet'!O26</f>
        <v>2598.5884067276493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899.96593206929697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613.85600278863353</v>
      </c>
      <c r="Y20" s="2">
        <f>Y9/'Output-Calculation-sheet'!Y8*'Output-Calculation-sheet'!Y26</f>
        <v>0</v>
      </c>
      <c r="AA20" s="2">
        <f t="shared" si="0"/>
        <v>51.86522371850586</v>
      </c>
    </row>
    <row r="21" spans="1:27" x14ac:dyDescent="0.25">
      <c r="A21" s="2">
        <v>2033</v>
      </c>
      <c r="B21" s="2">
        <f>B10/'Output-Calculation-sheet'!B9*'Output-Calculation-sheet'!B27</f>
        <v>17100.763385903589</v>
      </c>
      <c r="C21" s="2">
        <f>C10/'Output-Calculation-sheet'!C9*'Output-Calculation-sheet'!C27</f>
        <v>29367.702399464506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9898.2334696106518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6874.9393232264365</v>
      </c>
      <c r="N21" s="2">
        <f>N10/'Output-Calculation-sheet'!N9*'Output-Calculation-sheet'!N27</f>
        <v>3761.8290736308386</v>
      </c>
      <c r="O21" s="2">
        <f>O10/'Output-Calculation-sheet'!O9*'Output-Calculation-sheet'!O27</f>
        <v>2930.135377332806</v>
      </c>
      <c r="P21" s="2">
        <f>P10/'Output-Calculation-sheet'!P9*'Output-Calculation-sheet'!P27</f>
        <v>0</v>
      </c>
      <c r="Q21" s="2">
        <f>Q10/'Output-Calculation-sheet'!Q9*'Output-Calculation-sheet'!Q27</f>
        <v>256.58165294168055</v>
      </c>
      <c r="R21" s="2">
        <f>R10/'Output-Calculation-sheet'!R9*'Output-Calculation-sheet'!R27</f>
        <v>0</v>
      </c>
      <c r="S21" s="2">
        <f>S10/'Output-Calculation-sheet'!S9*'Output-Calculation-sheet'!S27</f>
        <v>1633.9048849558546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808.43396629657946</v>
      </c>
      <c r="Y21" s="2">
        <f>Y10/'Output-Calculation-sheet'!Y9*'Output-Calculation-sheet'!Y27</f>
        <v>0</v>
      </c>
      <c r="AA21" s="2">
        <f t="shared" si="0"/>
        <v>72.632523533362942</v>
      </c>
    </row>
    <row r="22" spans="1:27" x14ac:dyDescent="0.25">
      <c r="A22" s="2">
        <v>2034</v>
      </c>
      <c r="B22" s="2">
        <f>B11/'Output-Calculation-sheet'!B10*'Output-Calculation-sheet'!B28</f>
        <v>32169.650731853751</v>
      </c>
      <c r="C22" s="2">
        <f>C11/'Output-Calculation-sheet'!C10*'Output-Calculation-sheet'!C28</f>
        <v>30862.740599519064</v>
      </c>
      <c r="D22" s="2">
        <f>D11/'Output-Calculation-sheet'!D10*'Output-Calculation-sheet'!D28</f>
        <v>0</v>
      </c>
      <c r="E22" s="2">
        <f>E11/'Output-Calculation-sheet'!E10*'Output-Calculation-sheet'!E28</f>
        <v>1648.3235751755526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11777.163403857905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982.88882679847768</v>
      </c>
      <c r="M22" s="2">
        <f>M11/'Output-Calculation-sheet'!M10*'Output-Calculation-sheet'!M28</f>
        <v>8586.5873724013909</v>
      </c>
      <c r="N22" s="2">
        <f>N11/'Output-Calculation-sheet'!N10*'Output-Calculation-sheet'!N28</f>
        <v>5124.3738717232227</v>
      </c>
      <c r="O22" s="2">
        <f>O11/'Output-Calculation-sheet'!O10*'Output-Calculation-sheet'!O28</f>
        <v>3167.1985263895904</v>
      </c>
      <c r="P22" s="2">
        <f>P11/'Output-Calculation-sheet'!P10*'Output-Calculation-sheet'!P28</f>
        <v>0</v>
      </c>
      <c r="Q22" s="2">
        <f>Q11/'Output-Calculation-sheet'!Q10*'Output-Calculation-sheet'!Q28</f>
        <v>1164.0973618737146</v>
      </c>
      <c r="R22" s="2">
        <f>R11/'Output-Calculation-sheet'!R10*'Output-Calculation-sheet'!R28</f>
        <v>0</v>
      </c>
      <c r="S22" s="2">
        <f>S11/'Output-Calculation-sheet'!S10*'Output-Calculation-sheet'!S28</f>
        <v>2614.1533251149108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862.23944009270338</v>
      </c>
      <c r="Y22" s="2">
        <f>Y11/'Output-Calculation-sheet'!Y10*'Output-Calculation-sheet'!Y28</f>
        <v>89.437378758484698</v>
      </c>
      <c r="AA22" s="2">
        <f t="shared" si="0"/>
        <v>99.048854413558757</v>
      </c>
    </row>
    <row r="23" spans="1:27" x14ac:dyDescent="0.25">
      <c r="A23" s="2">
        <v>2035</v>
      </c>
      <c r="B23" s="2">
        <f>B12/'Output-Calculation-sheet'!B11*'Output-Calculation-sheet'!B29</f>
        <v>36438.899988458827</v>
      </c>
      <c r="C23" s="2">
        <f>C12/'Output-Calculation-sheet'!C11*'Output-Calculation-sheet'!C29</f>
        <v>29762.83983193725</v>
      </c>
      <c r="D23" s="2">
        <f>D12/'Output-Calculation-sheet'!D11*'Output-Calculation-sheet'!D29</f>
        <v>0</v>
      </c>
      <c r="E23" s="2">
        <f>E12/'Output-Calculation-sheet'!E11*'Output-Calculation-sheet'!E29</f>
        <v>5617.9892706478649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11457.118611073131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1273.5528336523071</v>
      </c>
      <c r="M23" s="2">
        <f>M12/'Output-Calculation-sheet'!M11*'Output-Calculation-sheet'!M29</f>
        <v>8394.1524630400727</v>
      </c>
      <c r="N23" s="2">
        <f>N12/'Output-Calculation-sheet'!N11*'Output-Calculation-sheet'!N29</f>
        <v>4896.7773554936657</v>
      </c>
      <c r="O23" s="2">
        <f>O12/'Output-Calculation-sheet'!O11*'Output-Calculation-sheet'!O29</f>
        <v>3301.0299121158355</v>
      </c>
      <c r="P23" s="2">
        <f>P12/'Output-Calculation-sheet'!P11*'Output-Calculation-sheet'!P29</f>
        <v>598.05169657288707</v>
      </c>
      <c r="Q23" s="2">
        <f>Q12/'Output-Calculation-sheet'!Q11*'Output-Calculation-sheet'!Q29</f>
        <v>1342.6193772911863</v>
      </c>
      <c r="R23" s="2">
        <f>R12/'Output-Calculation-sheet'!R11*'Output-Calculation-sheet'!R29</f>
        <v>0</v>
      </c>
      <c r="S23" s="2">
        <f>S12/'Output-Calculation-sheet'!S11*'Output-Calculation-sheet'!S29</f>
        <v>2621.2457522615032</v>
      </c>
      <c r="T23" s="2">
        <f>T12/'Output-Calculation-sheet'!T11*'Output-Calculation-sheet'!T29</f>
        <v>0</v>
      </c>
      <c r="U23" s="2">
        <f>U12/'Output-Calculation-sheet'!U11*'Output-Calculation-sheet'!U29</f>
        <v>114.305839070799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831.57140793111023</v>
      </c>
      <c r="Y23" s="2">
        <f>Y12/'Output-Calculation-sheet'!Y11*'Output-Calculation-sheet'!Y29</f>
        <v>246.19157275203065</v>
      </c>
      <c r="AA23" s="2">
        <f t="shared" si="0"/>
        <v>106.89634591229847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2504.1414456833122</v>
      </c>
      <c r="C27" s="2">
        <f>C5/'Output-Calculation-sheet'!C4*'Output-Calculation-sheet'!C13</f>
        <v>0</v>
      </c>
      <c r="D27" s="2">
        <f>D5/'Output-Calculation-sheet'!D4*'Output-Calculation-sheet'!D13</f>
        <v>447.33558611350941</v>
      </c>
      <c r="E27" s="2">
        <f>E5/'Output-Calculation-sheet'!E4*'Output-Calculation-sheet'!E13</f>
        <v>481.27782588996712</v>
      </c>
      <c r="F27" s="2">
        <f>F5/'Output-Calculation-sheet'!F4*'Output-Calculation-sheet'!F13</f>
        <v>242.82749537111511</v>
      </c>
      <c r="G27" s="2">
        <f>G5/'Output-Calculation-sheet'!G4*'Output-Calculation-sheet'!G13</f>
        <v>159.01580217807515</v>
      </c>
      <c r="H27" s="2">
        <f>H5/'Output-Calculation-sheet'!H4*'Output-Calculation-sheet'!H13</f>
        <v>0</v>
      </c>
      <c r="I27" s="2">
        <f>I5/'Output-Calculation-sheet'!I4*'Output-Calculation-sheet'!I13</f>
        <v>155.02022792977669</v>
      </c>
      <c r="J27" s="2">
        <f>J5/'Output-Calculation-sheet'!J4*'Output-Calculation-sheet'!J13</f>
        <v>137.99817189254861</v>
      </c>
      <c r="K27" s="2">
        <f>K5/'Output-Calculation-sheet'!K4*'Output-Calculation-sheet'!K13</f>
        <v>184.24557097933075</v>
      </c>
      <c r="L27" s="2">
        <f>L5/'Output-Calculation-sheet'!L4*'Output-Calculation-sheet'!L13</f>
        <v>155.62778354434798</v>
      </c>
      <c r="M27" s="2">
        <f>M5/'Output-Calculation-sheet'!M4*'Output-Calculation-sheet'!M13</f>
        <v>0</v>
      </c>
      <c r="N27" s="2">
        <f>N5/'Output-Calculation-sheet'!N4*'Output-Calculation-sheet'!N13</f>
        <v>298.70996831696249</v>
      </c>
      <c r="O27" s="2">
        <f>O5/'Output-Calculation-sheet'!O4*'Output-Calculation-sheet'!O13</f>
        <v>0</v>
      </c>
      <c r="P27" s="2">
        <f>P5/'Output-Calculation-sheet'!P4*'Output-Calculation-sheet'!P13</f>
        <v>182.4874100205131</v>
      </c>
      <c r="Q27" s="2">
        <f>Q5/'Output-Calculation-sheet'!Q4*'Output-Calculation-sheet'!Q13</f>
        <v>203.08851457760323</v>
      </c>
      <c r="R27" s="2">
        <f>R5/'Output-Calculation-sheet'!R4*'Output-Calculation-sheet'!R13</f>
        <v>137.29654783747617</v>
      </c>
      <c r="S27" s="2">
        <f>S5/'Output-Calculation-sheet'!S4*'Output-Calculation-sheet'!S13</f>
        <v>158.46088170778449</v>
      </c>
      <c r="T27" s="2">
        <f>T5/'Output-Calculation-sheet'!T4*'Output-Calculation-sheet'!T13</f>
        <v>41.614483279902437</v>
      </c>
      <c r="U27" s="2">
        <f>U5/'Output-Calculation-sheet'!U4*'Output-Calculation-sheet'!U13</f>
        <v>41.541576899447783</v>
      </c>
      <c r="V27" s="2">
        <f>V5/'Output-Calculation-sheet'!V4*'Output-Calculation-sheet'!V13</f>
        <v>32.331009028422002</v>
      </c>
      <c r="W27" s="2">
        <f>W5/'Output-Calculation-sheet'!W4*'Output-Calculation-sheet'!W13</f>
        <v>19.609201796962768</v>
      </c>
      <c r="X27" s="2">
        <f>X5/'Output-Calculation-sheet'!X4*'Output-Calculation-sheet'!X13</f>
        <v>0</v>
      </c>
      <c r="Y27" s="2">
        <f>Y5/'Output-Calculation-sheet'!Y4*'Output-Calculation-sheet'!Y13</f>
        <v>16.579717952772711</v>
      </c>
      <c r="AA27" s="2">
        <f t="shared" ref="AA27:AA34" si="1">SUM(B27:Y27)/1000</f>
        <v>5.599209220999831</v>
      </c>
    </row>
    <row r="28" spans="1:27" x14ac:dyDescent="0.25">
      <c r="A28" s="2">
        <v>2029</v>
      </c>
      <c r="B28" s="2">
        <f>B6/'Output-Calculation-sheet'!B5*'Output-Calculation-sheet'!B14</f>
        <v>6975.0614014457879</v>
      </c>
      <c r="C28" s="2">
        <f>C6/'Output-Calculation-sheet'!C5*'Output-Calculation-sheet'!C14</f>
        <v>0</v>
      </c>
      <c r="D28" s="2">
        <f>D6/'Output-Calculation-sheet'!D5*'Output-Calculation-sheet'!D14</f>
        <v>1245.9238393254443</v>
      </c>
      <c r="E28" s="2">
        <f>E6/'Output-Calculation-sheet'!E5*'Output-Calculation-sheet'!E14</f>
        <v>1340.5773800615191</v>
      </c>
      <c r="F28" s="2">
        <f>F6/'Output-Calculation-sheet'!F5*'Output-Calculation-sheet'!F14</f>
        <v>676.32842181815863</v>
      </c>
      <c r="G28" s="2">
        <f>G6/'Output-Calculation-sheet'!G5*'Output-Calculation-sheet'!G14</f>
        <v>442.9147876716487</v>
      </c>
      <c r="H28" s="2">
        <f>H6/'Output-Calculation-sheet'!H5*'Output-Calculation-sheet'!H14</f>
        <v>0</v>
      </c>
      <c r="I28" s="2">
        <f>I6/'Output-Calculation-sheet'!I5*'Output-Calculation-sheet'!I14</f>
        <v>431.78571184665856</v>
      </c>
      <c r="J28" s="2">
        <f>J6/'Output-Calculation-sheet'!J5*'Output-Calculation-sheet'!J14</f>
        <v>384.35329961501031</v>
      </c>
      <c r="K28" s="2">
        <f>K6/'Output-Calculation-sheet'!K5*'Output-Calculation-sheet'!K14</f>
        <v>513.18854372954593</v>
      </c>
      <c r="L28" s="2">
        <f>L6/'Output-Calculation-sheet'!L5*'Output-Calculation-sheet'!L14</f>
        <v>433.47796734794025</v>
      </c>
      <c r="M28" s="2">
        <f>M6/'Output-Calculation-sheet'!M5*'Output-Calculation-sheet'!M14</f>
        <v>0</v>
      </c>
      <c r="N28" s="2">
        <f>N6/'Output-Calculation-sheet'!N5*'Output-Calculation-sheet'!N14</f>
        <v>832.02677253838363</v>
      </c>
      <c r="O28" s="2">
        <f>O6/'Output-Calculation-sheet'!O5*'Output-Calculation-sheet'!O14</f>
        <v>0</v>
      </c>
      <c r="P28" s="2">
        <f>P6/'Output-Calculation-sheet'!P5*'Output-Calculation-sheet'!P14</f>
        <v>508.2914487421229</v>
      </c>
      <c r="Q28" s="2">
        <f>Q6/'Output-Calculation-sheet'!Q5*'Output-Calculation-sheet'!Q14</f>
        <v>565.68565791721255</v>
      </c>
      <c r="R28" s="2">
        <f>R6/'Output-Calculation-sheet'!R5*'Output-Calculation-sheet'!R14</f>
        <v>382.41904578380706</v>
      </c>
      <c r="S28" s="2">
        <f>S6/'Output-Calculation-sheet'!S5*'Output-Calculation-sheet'!S14</f>
        <v>441.37758385742876</v>
      </c>
      <c r="T28" s="2">
        <f>T6/'Output-Calculation-sheet'!T5*'Output-Calculation-sheet'!T14</f>
        <v>115.91093321242691</v>
      </c>
      <c r="U28" s="2">
        <f>U6/'Output-Calculation-sheet'!U5*'Output-Calculation-sheet'!U14</f>
        <v>115.70374535854505</v>
      </c>
      <c r="V28" s="2">
        <f>V6/'Output-Calculation-sheet'!V5*'Output-Calculation-sheet'!V14</f>
        <v>90.050025661151054</v>
      </c>
      <c r="W28" s="2">
        <f>W6/'Output-Calculation-sheet'!W5*'Output-Calculation-sheet'!W14</f>
        <v>54.621255024991989</v>
      </c>
      <c r="X28" s="2">
        <f>X6/'Output-Calculation-sheet'!X5*'Output-Calculation-sheet'!X14</f>
        <v>0</v>
      </c>
      <c r="Y28" s="2">
        <f>Y6/'Output-Calculation-sheet'!Y5*'Output-Calculation-sheet'!Y14</f>
        <v>46.18033023211477</v>
      </c>
      <c r="AA28" s="2">
        <f t="shared" si="1"/>
        <v>15.595878151189893</v>
      </c>
    </row>
    <row r="29" spans="1:27" x14ac:dyDescent="0.25">
      <c r="A29" s="2">
        <v>2030</v>
      </c>
      <c r="B29" s="2">
        <f>B7/'Output-Calculation-sheet'!B6*'Output-Calculation-sheet'!B15</f>
        <v>13552.6126352148</v>
      </c>
      <c r="C29" s="2">
        <f>C7/'Output-Calculation-sheet'!C6*'Output-Calculation-sheet'!C15</f>
        <v>0</v>
      </c>
      <c r="D29" s="2">
        <f>D7/'Output-Calculation-sheet'!D6*'Output-Calculation-sheet'!D15</f>
        <v>2370.7665856164185</v>
      </c>
      <c r="E29" s="2">
        <f>E7/'Output-Calculation-sheet'!E6*'Output-Calculation-sheet'!E15</f>
        <v>2550.8006949201194</v>
      </c>
      <c r="F29" s="2">
        <f>F7/'Output-Calculation-sheet'!F6*'Output-Calculation-sheet'!F15</f>
        <v>1286.9283360530835</v>
      </c>
      <c r="G29" s="2">
        <f>G7/'Output-Calculation-sheet'!G6*'Output-Calculation-sheet'!G15</f>
        <v>842.77219598129716</v>
      </c>
      <c r="H29" s="2">
        <f>H7/'Output-Calculation-sheet'!H6*'Output-Calculation-sheet'!H15</f>
        <v>0</v>
      </c>
      <c r="I29" s="2">
        <f>I7/'Output-Calculation-sheet'!I6*'Output-Calculation-sheet'!I15</f>
        <v>821.59594282078501</v>
      </c>
      <c r="J29" s="2">
        <f>J7/'Output-Calculation-sheet'!J6*'Output-Calculation-sheet'!J15</f>
        <v>731.35489294473336</v>
      </c>
      <c r="K29" s="2">
        <f>K7/'Output-Calculation-sheet'!K6*'Output-Calculation-sheet'!K15</f>
        <v>976.51335185901678</v>
      </c>
      <c r="L29" s="2">
        <f>L7/'Output-Calculation-sheet'!L6*'Output-Calculation-sheet'!L15</f>
        <v>824.83599291676478</v>
      </c>
      <c r="M29" s="2">
        <f>M7/'Output-Calculation-sheet'!M6*'Output-Calculation-sheet'!M15</f>
        <v>0</v>
      </c>
      <c r="N29" s="2">
        <f>N7/'Output-Calculation-sheet'!N6*'Output-Calculation-sheet'!N15</f>
        <v>1064.191500591799</v>
      </c>
      <c r="O29" s="2">
        <f>O7/'Output-Calculation-sheet'!O6*'Output-Calculation-sheet'!O15</f>
        <v>0</v>
      </c>
      <c r="P29" s="2">
        <f>P7/'Output-Calculation-sheet'!P6*'Output-Calculation-sheet'!P15</f>
        <v>967.17001188157531</v>
      </c>
      <c r="Q29" s="2">
        <f>Q7/'Output-Calculation-sheet'!Q6*'Output-Calculation-sheet'!Q15</f>
        <v>1089.8124823691437</v>
      </c>
      <c r="R29" s="2">
        <f>R7/'Output-Calculation-sheet'!R6*'Output-Calculation-sheet'!R15</f>
        <v>727.66172629851314</v>
      </c>
      <c r="S29" s="2">
        <f>S7/'Output-Calculation-sheet'!S6*'Output-Calculation-sheet'!S15</f>
        <v>751.59757644000138</v>
      </c>
      <c r="T29" s="2">
        <f>T7/'Output-Calculation-sheet'!T6*'Output-Calculation-sheet'!T15</f>
        <v>220.55373728929908</v>
      </c>
      <c r="U29" s="2">
        <f>U7/'Output-Calculation-sheet'!U6*'Output-Calculation-sheet'!U15</f>
        <v>220.1621149747352</v>
      </c>
      <c r="V29" s="2">
        <f>V7/'Output-Calculation-sheet'!V6*'Output-Calculation-sheet'!V15</f>
        <v>171.34797035911538</v>
      </c>
      <c r="W29" s="2">
        <f>W7/'Output-Calculation-sheet'!W6*'Output-Calculation-sheet'!W15</f>
        <v>103.93083250045947</v>
      </c>
      <c r="X29" s="2">
        <f>X7/'Output-Calculation-sheet'!X6*'Output-Calculation-sheet'!X15</f>
        <v>0</v>
      </c>
      <c r="Y29" s="2">
        <f>Y7/'Output-Calculation-sheet'!Y6*'Output-Calculation-sheet'!Y15</f>
        <v>87.871300313670062</v>
      </c>
      <c r="AA29" s="2">
        <f t="shared" si="1"/>
        <v>29.362479881345326</v>
      </c>
    </row>
    <row r="30" spans="1:27" x14ac:dyDescent="0.25">
      <c r="A30" s="2">
        <v>2031</v>
      </c>
      <c r="B30" s="2">
        <f>B8/'Output-Calculation-sheet'!B7*'Output-Calculation-sheet'!B16</f>
        <v>22180.962951587386</v>
      </c>
      <c r="C30" s="2">
        <f>C8/'Output-Calculation-sheet'!C7*'Output-Calculation-sheet'!C16</f>
        <v>0</v>
      </c>
      <c r="D30" s="2">
        <f>D8/'Output-Calculation-sheet'!D7*'Output-Calculation-sheet'!D16</f>
        <v>3734.9809363681638</v>
      </c>
      <c r="E30" s="2">
        <f>E8/'Output-Calculation-sheet'!E7*'Output-Calculation-sheet'!E16</f>
        <v>4018.6284691096216</v>
      </c>
      <c r="F30" s="2">
        <f>F8/'Output-Calculation-sheet'!F7*'Output-Calculation-sheet'!F16</f>
        <v>2027.419446881692</v>
      </c>
      <c r="G30" s="2">
        <f>G8/'Output-Calculation-sheet'!G7*'Output-Calculation-sheet'!G16</f>
        <v>1327.7189378245739</v>
      </c>
      <c r="H30" s="2">
        <f>H8/'Output-Calculation-sheet'!H7*'Output-Calculation-sheet'!H16</f>
        <v>0</v>
      </c>
      <c r="I30" s="2">
        <f>I8/'Output-Calculation-sheet'!I7*'Output-Calculation-sheet'!I16</f>
        <v>1294.3271632849362</v>
      </c>
      <c r="J30" s="2">
        <f>J8/'Output-Calculation-sheet'!J7*'Output-Calculation-sheet'!J16</f>
        <v>1152.200053481763</v>
      </c>
      <c r="K30" s="2">
        <f>K8/'Output-Calculation-sheet'!K7*'Output-Calculation-sheet'!K16</f>
        <v>1538.4073026955293</v>
      </c>
      <c r="L30" s="2">
        <f>L8/'Output-Calculation-sheet'!L7*'Output-Calculation-sheet'!L16</f>
        <v>1299.4540144956845</v>
      </c>
      <c r="M30" s="2">
        <f>M8/'Output-Calculation-sheet'!M7*'Output-Calculation-sheet'!M16</f>
        <v>0</v>
      </c>
      <c r="N30" s="2">
        <f>N8/'Output-Calculation-sheet'!N7*'Output-Calculation-sheet'!N16</f>
        <v>1845.7649501859823</v>
      </c>
      <c r="O30" s="2">
        <f>O8/'Output-Calculation-sheet'!O7*'Output-Calculation-sheet'!O16</f>
        <v>0</v>
      </c>
      <c r="P30" s="2">
        <f>P8/'Output-Calculation-sheet'!P7*'Output-Calculation-sheet'!P16</f>
        <v>1658.9129728426078</v>
      </c>
      <c r="Q30" s="2">
        <f>Q8/'Output-Calculation-sheet'!Q7*'Output-Calculation-sheet'!Q16</f>
        <v>1824.2563978023686</v>
      </c>
      <c r="R30" s="2">
        <f>R8/'Output-Calculation-sheet'!R7*'Output-Calculation-sheet'!R16</f>
        <v>1157.4986133246766</v>
      </c>
      <c r="S30" s="2">
        <f>S8/'Output-Calculation-sheet'!S7*'Output-Calculation-sheet'!S16</f>
        <v>1164.1041886529733</v>
      </c>
      <c r="T30" s="2">
        <f>T8/'Output-Calculation-sheet'!T7*'Output-Calculation-sheet'!T16</f>
        <v>347.46444555639681</v>
      </c>
      <c r="U30" s="2">
        <f>U8/'Output-Calculation-sheet'!U7*'Output-Calculation-sheet'!U16</f>
        <v>346.84336167086599</v>
      </c>
      <c r="V30" s="2">
        <f>V8/'Output-Calculation-sheet'!V7*'Output-Calculation-sheet'!V16</f>
        <v>269.94159542610441</v>
      </c>
      <c r="W30" s="2">
        <f>W8/'Output-Calculation-sheet'!W7*'Output-Calculation-sheet'!W16</f>
        <v>163.73318606630318</v>
      </c>
      <c r="X30" s="2">
        <f>X8/'Output-Calculation-sheet'!X7*'Output-Calculation-sheet'!X16</f>
        <v>0</v>
      </c>
      <c r="Y30" s="2">
        <f>Y8/'Output-Calculation-sheet'!Y7*'Output-Calculation-sheet'!Y16</f>
        <v>138.5815276135755</v>
      </c>
      <c r="AA30" s="2">
        <f t="shared" si="1"/>
        <v>47.491200514871203</v>
      </c>
    </row>
    <row r="31" spans="1:27" x14ac:dyDescent="0.25">
      <c r="A31" s="2">
        <v>2032</v>
      </c>
      <c r="B31" s="2">
        <f>B9/'Output-Calculation-sheet'!B8*'Output-Calculation-sheet'!B17</f>
        <v>30735.687473061404</v>
      </c>
      <c r="C31" s="2">
        <f>C9/'Output-Calculation-sheet'!C8*'Output-Calculation-sheet'!C17</f>
        <v>0</v>
      </c>
      <c r="D31" s="2">
        <f>D9/'Output-Calculation-sheet'!D8*'Output-Calculation-sheet'!D17</f>
        <v>5154.7783377291771</v>
      </c>
      <c r="E31" s="2">
        <f>E9/'Output-Calculation-sheet'!E8*'Output-Calculation-sheet'!E17</f>
        <v>6058.7376478477217</v>
      </c>
      <c r="F31" s="2">
        <f>F9/'Output-Calculation-sheet'!F8*'Output-Calculation-sheet'!F17</f>
        <v>2798.1809234319139</v>
      </c>
      <c r="G31" s="2">
        <f>G9/'Output-Calculation-sheet'!G8*'Output-Calculation-sheet'!G17</f>
        <v>1832.4591829467038</v>
      </c>
      <c r="H31" s="2">
        <f>H9/'Output-Calculation-sheet'!H8*'Output-Calculation-sheet'!H17</f>
        <v>0</v>
      </c>
      <c r="I31" s="2">
        <f>I9/'Output-Calculation-sheet'!I8*'Output-Calculation-sheet'!I17</f>
        <v>1786.3816941457412</v>
      </c>
      <c r="J31" s="2">
        <f>J9/'Output-Calculation-sheet'!J8*'Output-Calculation-sheet'!J17</f>
        <v>1590.2240324401334</v>
      </c>
      <c r="K31" s="2">
        <f>K9/'Output-Calculation-sheet'!K8*'Output-Calculation-sheet'!K17</f>
        <v>2264.0567947385898</v>
      </c>
      <c r="L31" s="2">
        <f>L9/'Output-Calculation-sheet'!L8*'Output-Calculation-sheet'!L17</f>
        <v>1930.8424347905511</v>
      </c>
      <c r="M31" s="2">
        <f>M9/'Output-Calculation-sheet'!M8*'Output-Calculation-sheet'!M17</f>
        <v>0</v>
      </c>
      <c r="N31" s="2">
        <f>N9/'Output-Calculation-sheet'!N8*'Output-Calculation-sheet'!N17</f>
        <v>2099.0232053740433</v>
      </c>
      <c r="O31" s="2">
        <f>O9/'Output-Calculation-sheet'!O8*'Output-Calculation-sheet'!O17</f>
        <v>0</v>
      </c>
      <c r="P31" s="2">
        <f>P9/'Output-Calculation-sheet'!P8*'Output-Calculation-sheet'!P17</f>
        <v>2605.2135894990374</v>
      </c>
      <c r="Q31" s="2">
        <f>Q9/'Output-Calculation-sheet'!Q8*'Output-Calculation-sheet'!Q17</f>
        <v>2777.397045483523</v>
      </c>
      <c r="R31" s="2">
        <f>R9/'Output-Calculation-sheet'!R8*'Output-Calculation-sheet'!R17</f>
        <v>1817.1199308873868</v>
      </c>
      <c r="S31" s="2">
        <f>S9/'Output-Calculation-sheet'!S8*'Output-Calculation-sheet'!S17</f>
        <v>1563.5510607076596</v>
      </c>
      <c r="T31" s="2">
        <f>T9/'Output-Calculation-sheet'!T8*'Output-Calculation-sheet'!T17</f>
        <v>493.08876925723712</v>
      </c>
      <c r="U31" s="2">
        <f>U9/'Output-Calculation-sheet'!U8*'Output-Calculation-sheet'!U17</f>
        <v>566.71619334625996</v>
      </c>
      <c r="V31" s="2">
        <f>V9/'Output-Calculation-sheet'!V8*'Output-Calculation-sheet'!V17</f>
        <v>405.91191922526656</v>
      </c>
      <c r="W31" s="2">
        <f>W9/'Output-Calculation-sheet'!W8*'Output-Calculation-sheet'!W17</f>
        <v>225.98074263112335</v>
      </c>
      <c r="X31" s="2">
        <f>X9/'Output-Calculation-sheet'!X8*'Output-Calculation-sheet'!X17</f>
        <v>0</v>
      </c>
      <c r="Y31" s="2">
        <f>Y9/'Output-Calculation-sheet'!Y8*'Output-Calculation-sheet'!Y17</f>
        <v>218.34635668699772</v>
      </c>
      <c r="AA31" s="2">
        <f t="shared" si="1"/>
        <v>66.92369733423044</v>
      </c>
    </row>
    <row r="32" spans="1:27" x14ac:dyDescent="0.25">
      <c r="A32" s="2">
        <v>2033</v>
      </c>
      <c r="B32" s="2">
        <f>B10/'Output-Calculation-sheet'!B9*'Output-Calculation-sheet'!B18</f>
        <v>34716.662655902888</v>
      </c>
      <c r="C32" s="2">
        <f>C10/'Output-Calculation-sheet'!C9*'Output-Calculation-sheet'!C18</f>
        <v>0</v>
      </c>
      <c r="D32" s="2">
        <f>D10/'Output-Calculation-sheet'!D9*'Output-Calculation-sheet'!D18</f>
        <v>6668.9548324782991</v>
      </c>
      <c r="E32" s="2">
        <f>E10/'Output-Calculation-sheet'!E9*'Output-Calculation-sheet'!E18</f>
        <v>9316.1905038642199</v>
      </c>
      <c r="F32" s="2">
        <f>F10/'Output-Calculation-sheet'!F9*'Output-Calculation-sheet'!F18</f>
        <v>3760.8156992342992</v>
      </c>
      <c r="G32" s="2">
        <f>G10/'Output-Calculation-sheet'!G9*'Output-Calculation-sheet'!G18</f>
        <v>2346.16268490837</v>
      </c>
      <c r="H32" s="2">
        <f>H10/'Output-Calculation-sheet'!H9*'Output-Calculation-sheet'!H18</f>
        <v>0</v>
      </c>
      <c r="I32" s="2">
        <f>I10/'Output-Calculation-sheet'!I9*'Output-Calculation-sheet'!I18</f>
        <v>2476.9968695655757</v>
      </c>
      <c r="J32" s="2">
        <f>J10/'Output-Calculation-sheet'!J9*'Output-Calculation-sheet'!J18</f>
        <v>1988.1177022971324</v>
      </c>
      <c r="K32" s="2">
        <f>K10/'Output-Calculation-sheet'!K9*'Output-Calculation-sheet'!K18</f>
        <v>3308.9775275991487</v>
      </c>
      <c r="L32" s="2">
        <f>L10/'Output-Calculation-sheet'!L9*'Output-Calculation-sheet'!L18</f>
        <v>2858.4162202867528</v>
      </c>
      <c r="M32" s="2">
        <f>M10/'Output-Calculation-sheet'!M9*'Output-Calculation-sheet'!M18</f>
        <v>0</v>
      </c>
      <c r="N32" s="2">
        <f>N10/'Output-Calculation-sheet'!N9*'Output-Calculation-sheet'!N18</f>
        <v>2115.5129355527761</v>
      </c>
      <c r="O32" s="2">
        <f>O10/'Output-Calculation-sheet'!O9*'Output-Calculation-sheet'!O18</f>
        <v>0</v>
      </c>
      <c r="P32" s="2">
        <f>P10/'Output-Calculation-sheet'!P9*'Output-Calculation-sheet'!P18</f>
        <v>3405.9391336707222</v>
      </c>
      <c r="Q32" s="2">
        <f>Q10/'Output-Calculation-sheet'!Q9*'Output-Calculation-sheet'!Q18</f>
        <v>3707.4602379349403</v>
      </c>
      <c r="R32" s="2">
        <f>R10/'Output-Calculation-sheet'!R9*'Output-Calculation-sheet'!R18</f>
        <v>2445.6411914756841</v>
      </c>
      <c r="S32" s="2">
        <f>S10/'Output-Calculation-sheet'!S9*'Output-Calculation-sheet'!S18</f>
        <v>1604.8439686437957</v>
      </c>
      <c r="T32" s="2">
        <f>T10/'Output-Calculation-sheet'!T9*'Output-Calculation-sheet'!T18</f>
        <v>713.86562797040222</v>
      </c>
      <c r="U32" s="2">
        <f>U10/'Output-Calculation-sheet'!U9*'Output-Calculation-sheet'!U18</f>
        <v>789.52725598015593</v>
      </c>
      <c r="V32" s="2">
        <f>V10/'Output-Calculation-sheet'!V9*'Output-Calculation-sheet'!V18</f>
        <v>583.04870006460919</v>
      </c>
      <c r="W32" s="2">
        <f>W10/'Output-Calculation-sheet'!W9*'Output-Calculation-sheet'!W18</f>
        <v>290.84138183191743</v>
      </c>
      <c r="X32" s="2">
        <f>X10/'Output-Calculation-sheet'!X9*'Output-Calculation-sheet'!X18</f>
        <v>0</v>
      </c>
      <c r="Y32" s="2">
        <f>Y10/'Output-Calculation-sheet'!Y9*'Output-Calculation-sheet'!Y18</f>
        <v>337.75575457187847</v>
      </c>
      <c r="AA32" s="2">
        <f t="shared" si="1"/>
        <v>83.435730883833571</v>
      </c>
    </row>
    <row r="33" spans="1:27" x14ac:dyDescent="0.25">
      <c r="A33" s="2">
        <v>2034</v>
      </c>
      <c r="B33" s="2">
        <f>B11/'Output-Calculation-sheet'!B10*'Output-Calculation-sheet'!B19</f>
        <v>32448.198929882401</v>
      </c>
      <c r="C33" s="2">
        <f>C11/'Output-Calculation-sheet'!C10*'Output-Calculation-sheet'!C19</f>
        <v>0</v>
      </c>
      <c r="D33" s="2">
        <f>D11/'Output-Calculation-sheet'!D10*'Output-Calculation-sheet'!D19</f>
        <v>9678.9413479341401</v>
      </c>
      <c r="E33" s="2">
        <f>E11/'Output-Calculation-sheet'!E10*'Output-Calculation-sheet'!E19</f>
        <v>11988.01606967161</v>
      </c>
      <c r="F33" s="2">
        <f>F11/'Output-Calculation-sheet'!F10*'Output-Calculation-sheet'!F19</f>
        <v>5500.959199204719</v>
      </c>
      <c r="G33" s="2">
        <f>G11/'Output-Calculation-sheet'!G10*'Output-Calculation-sheet'!G19</f>
        <v>3294.6200933561918</v>
      </c>
      <c r="H33" s="2">
        <f>H11/'Output-Calculation-sheet'!H10*'Output-Calculation-sheet'!H19</f>
        <v>0</v>
      </c>
      <c r="I33" s="2">
        <f>I11/'Output-Calculation-sheet'!I10*'Output-Calculation-sheet'!I19</f>
        <v>3594.8925345617695</v>
      </c>
      <c r="J33" s="2">
        <f>J11/'Output-Calculation-sheet'!J10*'Output-Calculation-sheet'!J19</f>
        <v>3039.713294832015</v>
      </c>
      <c r="K33" s="2">
        <f>K11/'Output-Calculation-sheet'!K10*'Output-Calculation-sheet'!K19</f>
        <v>4218.0408444105096</v>
      </c>
      <c r="L33" s="2">
        <f>L11/'Output-Calculation-sheet'!L10*'Output-Calculation-sheet'!L19</f>
        <v>3430.2720455435056</v>
      </c>
      <c r="M33" s="2">
        <f>M11/'Output-Calculation-sheet'!M10*'Output-Calculation-sheet'!M19</f>
        <v>0</v>
      </c>
      <c r="N33" s="2">
        <f>N11/'Output-Calculation-sheet'!N10*'Output-Calculation-sheet'!N19</f>
        <v>1939.6730824436911</v>
      </c>
      <c r="O33" s="2">
        <f>O11/'Output-Calculation-sheet'!O10*'Output-Calculation-sheet'!O19</f>
        <v>0</v>
      </c>
      <c r="P33" s="2">
        <f>P11/'Output-Calculation-sheet'!P10*'Output-Calculation-sheet'!P19</f>
        <v>4267.9132660677806</v>
      </c>
      <c r="Q33" s="2">
        <f>Q11/'Output-Calculation-sheet'!Q10*'Output-Calculation-sheet'!Q19</f>
        <v>3514.5817682870788</v>
      </c>
      <c r="R33" s="2">
        <f>R11/'Output-Calculation-sheet'!R10*'Output-Calculation-sheet'!R19</f>
        <v>3047.2212812268635</v>
      </c>
      <c r="S33" s="2">
        <f>S11/'Output-Calculation-sheet'!S10*'Output-Calculation-sheet'!S19</f>
        <v>1420.5072671544717</v>
      </c>
      <c r="T33" s="2">
        <f>T11/'Output-Calculation-sheet'!T10*'Output-Calculation-sheet'!T19</f>
        <v>894.14305898588702</v>
      </c>
      <c r="U33" s="2">
        <f>U11/'Output-Calculation-sheet'!U10*'Output-Calculation-sheet'!U19</f>
        <v>1029.081636273567</v>
      </c>
      <c r="V33" s="2">
        <f>V11/'Output-Calculation-sheet'!V10*'Output-Calculation-sheet'!V19</f>
        <v>701.18266814538458</v>
      </c>
      <c r="W33" s="2">
        <f>W11/'Output-Calculation-sheet'!W10*'Output-Calculation-sheet'!W19</f>
        <v>437.26703964185504</v>
      </c>
      <c r="X33" s="2">
        <f>X11/'Output-Calculation-sheet'!X10*'Output-Calculation-sheet'!X19</f>
        <v>126.43553540700317</v>
      </c>
      <c r="Y33" s="2">
        <f>Y11/'Output-Calculation-sheet'!Y10*'Output-Calculation-sheet'!Y19</f>
        <v>393.52446653733267</v>
      </c>
      <c r="AA33" s="2">
        <f t="shared" si="1"/>
        <v>94.965185429567825</v>
      </c>
    </row>
    <row r="34" spans="1:27" x14ac:dyDescent="0.25">
      <c r="A34" s="2">
        <v>2035</v>
      </c>
      <c r="B34" s="2">
        <f>B12/'Output-Calculation-sheet'!B11*'Output-Calculation-sheet'!B20</f>
        <v>29001.41440806245</v>
      </c>
      <c r="C34" s="2">
        <f>C12/'Output-Calculation-sheet'!C11*'Output-Calculation-sheet'!C20</f>
        <v>0</v>
      </c>
      <c r="D34" s="2">
        <f>D12/'Output-Calculation-sheet'!D11*'Output-Calculation-sheet'!D20</f>
        <v>9101.5282836629467</v>
      </c>
      <c r="E34" s="2">
        <f>E12/'Output-Calculation-sheet'!E11*'Output-Calculation-sheet'!E20</f>
        <v>9944.7570675990046</v>
      </c>
      <c r="F34" s="2">
        <f>F12/'Output-Calculation-sheet'!F11*'Output-Calculation-sheet'!F20</f>
        <v>6265.6632775310582</v>
      </c>
      <c r="G34" s="2">
        <f>G12/'Output-Calculation-sheet'!G11*'Output-Calculation-sheet'!G20</f>
        <v>3348.1844312998369</v>
      </c>
      <c r="H34" s="2">
        <f>H12/'Output-Calculation-sheet'!H11*'Output-Calculation-sheet'!H20</f>
        <v>0</v>
      </c>
      <c r="I34" s="2">
        <f>I12/'Output-Calculation-sheet'!I11*'Output-Calculation-sheet'!I20</f>
        <v>3639.0205579390631</v>
      </c>
      <c r="J34" s="2">
        <f>J12/'Output-Calculation-sheet'!J11*'Output-Calculation-sheet'!J20</f>
        <v>3124.1022913716515</v>
      </c>
      <c r="K34" s="2">
        <f>K12/'Output-Calculation-sheet'!K11*'Output-Calculation-sheet'!K20</f>
        <v>4107.4338618497059</v>
      </c>
      <c r="L34" s="2">
        <f>L12/'Output-Calculation-sheet'!L11*'Output-Calculation-sheet'!L20</f>
        <v>3246.1707712760676</v>
      </c>
      <c r="M34" s="2">
        <f>M12/'Output-Calculation-sheet'!M11*'Output-Calculation-sheet'!M20</f>
        <v>0</v>
      </c>
      <c r="N34" s="2">
        <f>N12/'Output-Calculation-sheet'!N11*'Output-Calculation-sheet'!N20</f>
        <v>1806.4945680585927</v>
      </c>
      <c r="O34" s="2">
        <f>O12/'Output-Calculation-sheet'!O11*'Output-Calculation-sheet'!O20</f>
        <v>0</v>
      </c>
      <c r="P34" s="2">
        <f>P12/'Output-Calculation-sheet'!P11*'Output-Calculation-sheet'!P20</f>
        <v>4037.1853749379347</v>
      </c>
      <c r="Q34" s="2">
        <f>Q12/'Output-Calculation-sheet'!Q11*'Output-Calculation-sheet'!Q20</f>
        <v>3194.5053342797833</v>
      </c>
      <c r="R34" s="2">
        <f>R12/'Output-Calculation-sheet'!R11*'Output-Calculation-sheet'!R20</f>
        <v>3206.3252840919845</v>
      </c>
      <c r="S34" s="2">
        <f>S12/'Output-Calculation-sheet'!S11*'Output-Calculation-sheet'!S20</f>
        <v>1224.7384587122058</v>
      </c>
      <c r="T34" s="2">
        <f>T12/'Output-Calculation-sheet'!T11*'Output-Calculation-sheet'!T20</f>
        <v>1007.3283584854456</v>
      </c>
      <c r="U34" s="2">
        <f>U12/'Output-Calculation-sheet'!U11*'Output-Calculation-sheet'!U20</f>
        <v>919.03103086514045</v>
      </c>
      <c r="V34" s="2">
        <f>V12/'Output-Calculation-sheet'!V11*'Output-Calculation-sheet'!V20</f>
        <v>844.22420212055397</v>
      </c>
      <c r="W34" s="2">
        <f>W12/'Output-Calculation-sheet'!W11*'Output-Calculation-sheet'!W20</f>
        <v>543.14403939562328</v>
      </c>
      <c r="X34" s="2">
        <f>X12/'Output-Calculation-sheet'!X11*'Output-Calculation-sheet'!X20</f>
        <v>109.77145386843459</v>
      </c>
      <c r="Y34" s="2">
        <f>Y12/'Output-Calculation-sheet'!Y11*'Output-Calculation-sheet'!Y20</f>
        <v>304.45275289550125</v>
      </c>
      <c r="AA34" s="2">
        <f t="shared" si="1"/>
        <v>88.975475808303003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1.0232768645849679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0.19879516631024693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1.2220720308952149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1.2090670037161784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0.46977838433096236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1.6788453880471408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1.3349608087312232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0.77804091494931593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2.1130017236805392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1.3908397061795648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0.81060821446306519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2.2014479206426301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2.7477468298997803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0.42292102515602098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0.29101105049923109</v>
      </c>
      <c r="N44" s="2">
        <f>N11/'Output-Calculation-sheet'!N10*'Output-Calculation-sheet'!N37*0.0114</f>
        <v>0</v>
      </c>
      <c r="O44" s="2">
        <f>O11/'Output-Calculation-sheet'!O10*'Output-Calculation-sheet'!O37*0.0114</f>
        <v>1.0676265768012456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0.25059406547501456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3.1924629640519973E-2</v>
      </c>
      <c r="Y44" s="2">
        <f>Y11/'Output-Calculation-sheet'!Y10*'Output-Calculation-sheet'!Y37*0.0114</f>
        <v>0</v>
      </c>
      <c r="AA44" s="2">
        <f t="shared" si="2"/>
        <v>4.8118241774718129</v>
      </c>
    </row>
    <row r="45" spans="1:27" x14ac:dyDescent="0.25">
      <c r="A45" s="2">
        <v>2035</v>
      </c>
      <c r="B45" s="2">
        <f>B12/'Output-Calculation-sheet'!B11*'Output-Calculation-sheet'!B38*0.0114</f>
        <v>2.7106792294037119</v>
      </c>
      <c r="C45" s="2">
        <f>C12/'Output-Calculation-sheet'!C11*'Output-Calculation-sheet'!C38*0.0114</f>
        <v>2.5730976398541263</v>
      </c>
      <c r="D45" s="2">
        <f>D12/'Output-Calculation-sheet'!D11*'Output-Calculation-sheet'!D38*0.0114</f>
        <v>1.1396654558748445</v>
      </c>
      <c r="E45" s="2">
        <f>E12/'Output-Calculation-sheet'!E11*'Output-Calculation-sheet'!E38*0.0114</f>
        <v>0.90573005169472454</v>
      </c>
      <c r="F45" s="2">
        <f>F12/'Output-Calculation-sheet'!F11*'Output-Calculation-sheet'!F38*0.0114</f>
        <v>0.56964209330622417</v>
      </c>
      <c r="G45" s="2">
        <f>G12/'Output-Calculation-sheet'!G11*'Output-Calculation-sheet'!G38*0.0114</f>
        <v>0.4088224852921698</v>
      </c>
      <c r="H45" s="2">
        <f>H12/'Output-Calculation-sheet'!H11*'Output-Calculation-sheet'!H38*0.0114</f>
        <v>0.39603979516312865</v>
      </c>
      <c r="I45" s="2">
        <f>I12/'Output-Calculation-sheet'!I11*'Output-Calculation-sheet'!I38*0.0114</f>
        <v>0.36771141705302585</v>
      </c>
      <c r="J45" s="2">
        <f>J12/'Output-Calculation-sheet'!J11*'Output-Calculation-sheet'!J38*0.0114</f>
        <v>0.36391357694844817</v>
      </c>
      <c r="K45" s="2">
        <f>K12/'Output-Calculation-sheet'!K11*'Output-Calculation-sheet'!K38*0.0114</f>
        <v>0.36140244222999179</v>
      </c>
      <c r="L45" s="2">
        <f>L12/'Output-Calculation-sheet'!L11*'Output-Calculation-sheet'!L38*0.0114</f>
        <v>0.287369904272125</v>
      </c>
      <c r="M45" s="2">
        <f>M12/'Output-Calculation-sheet'!M11*'Output-Calculation-sheet'!M38*0.0114</f>
        <v>0.27251413378515404</v>
      </c>
      <c r="N45" s="2">
        <f>N12/'Output-Calculation-sheet'!N11*'Output-Calculation-sheet'!N38*0.0114</f>
        <v>0.26783766518231183</v>
      </c>
      <c r="O45" s="2">
        <f>O12/'Output-Calculation-sheet'!O11*'Output-Calculation-sheet'!O38*0.0114</f>
        <v>0.99976729847160695</v>
      </c>
      <c r="P45" s="2">
        <f>P12/'Output-Calculation-sheet'!P11*'Output-Calculation-sheet'!P38*0.0114</f>
        <v>0.24743374250311798</v>
      </c>
      <c r="Q45" s="2">
        <f>Q12/'Output-Calculation-sheet'!Q11*'Output-Calculation-sheet'!Q38*0.0114</f>
        <v>0.23466608765361713</v>
      </c>
      <c r="R45" s="2">
        <f>R12/'Output-Calculation-sheet'!R11*'Output-Calculation-sheet'!R38*0.0114</f>
        <v>0.23271518220546911</v>
      </c>
      <c r="S45" s="2">
        <f>S12/'Output-Calculation-sheet'!S11*'Output-Calculation-sheet'!S38*0.0114</f>
        <v>0.15353337910795428</v>
      </c>
      <c r="T45" s="2">
        <f>T12/'Output-Calculation-sheet'!T11*'Output-Calculation-sheet'!T38*0.0114</f>
        <v>8.6096440896191936E-2</v>
      </c>
      <c r="U45" s="2">
        <f>U12/'Output-Calculation-sheet'!U11*'Output-Calculation-sheet'!U38*0.0114</f>
        <v>7.4872820352051755E-2</v>
      </c>
      <c r="V45" s="2">
        <f>V12/'Output-Calculation-sheet'!V11*'Output-Calculation-sheet'!V38*0.0114</f>
        <v>5.7733735080440281E-2</v>
      </c>
      <c r="W45" s="2">
        <f>W12/'Output-Calculation-sheet'!W11*'Output-Calculation-sheet'!W38*0.0114</f>
        <v>4.9993072885091361E-2</v>
      </c>
      <c r="X45" s="2">
        <f>X12/'Output-Calculation-sheet'!X11*'Output-Calculation-sheet'!X38*0.0114</f>
        <v>2.9895472278366763E-2</v>
      </c>
      <c r="Y45" s="2">
        <f>Y12/'Output-Calculation-sheet'!Y11*'Output-Calculation-sheet'!Y38*0.0114</f>
        <v>2.8849685241749835E-2</v>
      </c>
      <c r="AA45" s="2">
        <f t="shared" si="2"/>
        <v>12.819982806735645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9335.1573611260246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2044.71404454815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1444.9893858442663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204.40594718443722</v>
      </c>
      <c r="Y51" s="2">
        <f>Y7/'Output-Calculation-sheet'!Y6*'Output-Calculation-sheet'!Y42</f>
        <v>0</v>
      </c>
      <c r="AA51" s="2">
        <f t="shared" si="3"/>
        <v>13.029266738702878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24817.691128911032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8096.731824575827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5526.4136138993254</v>
      </c>
      <c r="N52" s="2">
        <f>N8/'Output-Calculation-sheet'!N7*'Output-Calculation-sheet'!N43</f>
        <v>176.636676413798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714.69815926018225</v>
      </c>
      <c r="Y52" s="2">
        <f>Y8/'Output-Calculation-sheet'!Y7*'Output-Calculation-sheet'!Y43</f>
        <v>0</v>
      </c>
      <c r="AA52" s="2">
        <f t="shared" si="3"/>
        <v>39.332171403060165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57262.792585049843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15824.891511861522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10814.661108666605</v>
      </c>
      <c r="N53" s="2">
        <f>N9/'Output-Calculation-sheet'!N8*'Output-Calculation-sheet'!N44</f>
        <v>3851.8213081044223</v>
      </c>
      <c r="O53" s="2">
        <f>O9/'Output-Calculation-sheet'!O8*'Output-Calculation-sheet'!O44</f>
        <v>0</v>
      </c>
      <c r="P53" s="2">
        <f>P9/'Output-Calculation-sheet'!P8*'Output-Calculation-sheet'!P44</f>
        <v>180.17158740278794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1201.8178595956449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1352.3814381092895</v>
      </c>
      <c r="Y53" s="2">
        <f>Y9/'Output-Calculation-sheet'!Y8*'Output-Calculation-sheet'!Y44</f>
        <v>0</v>
      </c>
      <c r="AA53" s="2">
        <f t="shared" si="3"/>
        <v>90.488537398790129</v>
      </c>
    </row>
    <row r="54" spans="1:27" x14ac:dyDescent="0.25">
      <c r="A54" s="2">
        <v>2033</v>
      </c>
      <c r="B54" s="2">
        <f>B10/'Output-Calculation-sheet'!B9*'Output-Calculation-sheet'!B45</f>
        <v>32902.890800524001</v>
      </c>
      <c r="C54" s="2">
        <f>C10/'Output-Calculation-sheet'!C9*'Output-Calculation-sheet'!C45</f>
        <v>75398.152492892186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23848.359563822356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308.44629002695297</v>
      </c>
      <c r="L54" s="2">
        <f>L10/'Output-Calculation-sheet'!L9*'Output-Calculation-sheet'!L45</f>
        <v>0</v>
      </c>
      <c r="M54" s="2">
        <f>M10/'Output-Calculation-sheet'!M9*'Output-Calculation-sheet'!M45</f>
        <v>16358.320020156729</v>
      </c>
      <c r="N54" s="2">
        <f>N10/'Output-Calculation-sheet'!N9*'Output-Calculation-sheet'!N45</f>
        <v>9169.0599192536083</v>
      </c>
      <c r="O54" s="2">
        <f>O10/'Output-Calculation-sheet'!O9*'Output-Calculation-sheet'!O45</f>
        <v>0</v>
      </c>
      <c r="P54" s="2">
        <f>P10/'Output-Calculation-sheet'!P9*'Output-Calculation-sheet'!P45</f>
        <v>2487.2002216189353</v>
      </c>
      <c r="Q54" s="2">
        <f>Q10/'Output-Calculation-sheet'!Q9*'Output-Calculation-sheet'!Q45</f>
        <v>979.14941278698552</v>
      </c>
      <c r="R54" s="2">
        <f>R10/'Output-Calculation-sheet'!R9*'Output-Calculation-sheet'!R45</f>
        <v>1633.060955678081</v>
      </c>
      <c r="S54" s="2">
        <f>S10/'Output-Calculation-sheet'!S9*'Output-Calculation-sheet'!S45</f>
        <v>3901.9667192544157</v>
      </c>
      <c r="T54" s="2">
        <f>T10/'Output-Calculation-sheet'!T9*'Output-Calculation-sheet'!T45</f>
        <v>81.645293986435888</v>
      </c>
      <c r="U54" s="2">
        <f>U10/'Output-Calculation-sheet'!U9*'Output-Calculation-sheet'!U45</f>
        <v>589.31601509337349</v>
      </c>
      <c r="V54" s="2">
        <f>V10/'Output-Calculation-sheet'!V9*'Output-Calculation-sheet'!V45</f>
        <v>43.799141748597336</v>
      </c>
      <c r="W54" s="2">
        <f>W10/'Output-Calculation-sheet'!W9*'Output-Calculation-sheet'!W45</f>
        <v>0</v>
      </c>
      <c r="X54" s="2">
        <f>X10/'Output-Calculation-sheet'!X9*'Output-Calculation-sheet'!X45</f>
        <v>1879.5977025582988</v>
      </c>
      <c r="Y54" s="2">
        <f>Y10/'Output-Calculation-sheet'!Y9*'Output-Calculation-sheet'!Y45</f>
        <v>19.150718728003675</v>
      </c>
      <c r="AA54" s="2">
        <f t="shared" si="3"/>
        <v>169.60011526812895</v>
      </c>
    </row>
    <row r="55" spans="1:27" x14ac:dyDescent="0.25">
      <c r="A55" s="2">
        <v>2034</v>
      </c>
      <c r="B55" s="2">
        <f>B11/'Output-Calculation-sheet'!B10*'Output-Calculation-sheet'!B46</f>
        <v>92426.202445239789</v>
      </c>
      <c r="C55" s="2">
        <f>C11/'Output-Calculation-sheet'!C10*'Output-Calculation-sheet'!C46</f>
        <v>76045.098669594794</v>
      </c>
      <c r="D55" s="2">
        <f>D11/'Output-Calculation-sheet'!D10*'Output-Calculation-sheet'!D46</f>
        <v>8540.4935568112069</v>
      </c>
      <c r="E55" s="2">
        <f>E11/'Output-Calculation-sheet'!E10*'Output-Calculation-sheet'!E46</f>
        <v>10520.492244274683</v>
      </c>
      <c r="F55" s="2">
        <f>F11/'Output-Calculation-sheet'!F10*'Output-Calculation-sheet'!F46</f>
        <v>320.16136418531505</v>
      </c>
      <c r="G55" s="2">
        <f>G11/'Output-Calculation-sheet'!G10*'Output-Calculation-sheet'!G46</f>
        <v>3791.2774376941215</v>
      </c>
      <c r="H55" s="2">
        <f>H11/'Output-Calculation-sheet'!H10*'Output-Calculation-sheet'!H46</f>
        <v>27415.669964061359</v>
      </c>
      <c r="I55" s="2">
        <f>I11/'Output-Calculation-sheet'!I10*'Output-Calculation-sheet'!I46</f>
        <v>2066.6834542882921</v>
      </c>
      <c r="J55" s="2">
        <f>J11/'Output-Calculation-sheet'!J10*'Output-Calculation-sheet'!J46</f>
        <v>1499.9146010161339</v>
      </c>
      <c r="K55" s="2">
        <f>K11/'Output-Calculation-sheet'!K10*'Output-Calculation-sheet'!K46</f>
        <v>4028.5953039010133</v>
      </c>
      <c r="L55" s="2">
        <f>L11/'Output-Calculation-sheet'!L10*'Output-Calculation-sheet'!L46</f>
        <v>1480.5380405312155</v>
      </c>
      <c r="M55" s="2">
        <f>M11/'Output-Calculation-sheet'!M10*'Output-Calculation-sheet'!M46</f>
        <v>19375.209414817225</v>
      </c>
      <c r="N55" s="2">
        <f>N11/'Output-Calculation-sheet'!N10*'Output-Calculation-sheet'!N46</f>
        <v>14777.553589519393</v>
      </c>
      <c r="O55" s="2">
        <f>O11/'Output-Calculation-sheet'!O10*'Output-Calculation-sheet'!O46</f>
        <v>327.78008936880349</v>
      </c>
      <c r="P55" s="2">
        <f>P11/'Output-Calculation-sheet'!P10*'Output-Calculation-sheet'!P46</f>
        <v>5493.1678264447883</v>
      </c>
      <c r="Q55" s="2">
        <f>Q11/'Output-Calculation-sheet'!Q10*'Output-Calculation-sheet'!Q46</f>
        <v>3231.3445284936088</v>
      </c>
      <c r="R55" s="2">
        <f>R11/'Output-Calculation-sheet'!R10*'Output-Calculation-sheet'!R46</f>
        <v>4447.0343336977967</v>
      </c>
      <c r="S55" s="2">
        <f>S11/'Output-Calculation-sheet'!S10*'Output-Calculation-sheet'!S46</f>
        <v>7262.895311461054</v>
      </c>
      <c r="T55" s="2">
        <f>T11/'Output-Calculation-sheet'!T10*'Output-Calculation-sheet'!T46</f>
        <v>1008.1167007002551</v>
      </c>
      <c r="U55" s="2">
        <f>U11/'Output-Calculation-sheet'!U10*'Output-Calculation-sheet'!U46</f>
        <v>1683.2593367659399</v>
      </c>
      <c r="V55" s="2">
        <f>V11/'Output-Calculation-sheet'!V10*'Output-Calculation-sheet'!V46</f>
        <v>681.42144620542729</v>
      </c>
      <c r="W55" s="2">
        <f>W11/'Output-Calculation-sheet'!W10*'Output-Calculation-sheet'!W46</f>
        <v>88.977260591340595</v>
      </c>
      <c r="X55" s="2">
        <f>X11/'Output-Calculation-sheet'!X10*'Output-Calculation-sheet'!X46</f>
        <v>1982.6875250428193</v>
      </c>
      <c r="Y55" s="2">
        <f>Y11/'Output-Calculation-sheet'!Y10*'Output-Calculation-sheet'!Y46</f>
        <v>516.16677271100093</v>
      </c>
      <c r="AA55" s="2">
        <f t="shared" si="3"/>
        <v>289.01074121741726</v>
      </c>
    </row>
    <row r="56" spans="1:27" x14ac:dyDescent="0.25">
      <c r="A56" s="2">
        <v>2035</v>
      </c>
      <c r="B56" s="2">
        <f>B12/'Output-Calculation-sheet'!B11*'Output-Calculation-sheet'!B47</f>
        <v>110091.62133455425</v>
      </c>
      <c r="C56" s="2">
        <f>C12/'Output-Calculation-sheet'!C11*'Output-Calculation-sheet'!C47</f>
        <v>72340.157330986622</v>
      </c>
      <c r="D56" s="2">
        <f>D12/'Output-Calculation-sheet'!D11*'Output-Calculation-sheet'!D47</f>
        <v>8797.4175541216064</v>
      </c>
      <c r="E56" s="2">
        <f>E12/'Output-Calculation-sheet'!E11*'Output-Calculation-sheet'!E47</f>
        <v>24708.951410268361</v>
      </c>
      <c r="F56" s="2">
        <f>F12/'Output-Calculation-sheet'!F11*'Output-Calculation-sheet'!F47</f>
        <v>3048.0848852350591</v>
      </c>
      <c r="G56" s="2">
        <f>G12/'Output-Calculation-sheet'!G11*'Output-Calculation-sheet'!G47</f>
        <v>6885.4313312365439</v>
      </c>
      <c r="H56" s="2">
        <f>H12/'Output-Calculation-sheet'!H11*'Output-Calculation-sheet'!H47</f>
        <v>26298.432012148103</v>
      </c>
      <c r="I56" s="2">
        <f>I12/'Output-Calculation-sheet'!I11*'Output-Calculation-sheet'!I47</f>
        <v>3483.5818457655078</v>
      </c>
      <c r="J56" s="2">
        <f>J12/'Output-Calculation-sheet'!J11*'Output-Calculation-sheet'!J47</f>
        <v>3160.3021156049449</v>
      </c>
      <c r="K56" s="2">
        <f>K12/'Output-Calculation-sheet'!K11*'Output-Calculation-sheet'!K47</f>
        <v>4565.0834807998963</v>
      </c>
      <c r="L56" s="2">
        <f>L12/'Output-Calculation-sheet'!L11*'Output-Calculation-sheet'!L47</f>
        <v>2520.788633966009</v>
      </c>
      <c r="M56" s="2">
        <f>M12/'Output-Calculation-sheet'!M11*'Output-Calculation-sheet'!M47</f>
        <v>18334.942159053786</v>
      </c>
      <c r="N56" s="2">
        <f>N12/'Output-Calculation-sheet'!N11*'Output-Calculation-sheet'!N47</f>
        <v>14002.741091987531</v>
      </c>
      <c r="O56" s="2">
        <f>O12/'Output-Calculation-sheet'!O11*'Output-Calculation-sheet'!O47</f>
        <v>1315.4832874626406</v>
      </c>
      <c r="P56" s="2">
        <f>P12/'Output-Calculation-sheet'!P11*'Output-Calculation-sheet'!P47</f>
        <v>7271.0792753109226</v>
      </c>
      <c r="Q56" s="2">
        <f>Q12/'Output-Calculation-sheet'!Q11*'Output-Calculation-sheet'!Q47</f>
        <v>3684.6692710524089</v>
      </c>
      <c r="R56" s="2">
        <f>R12/'Output-Calculation-sheet'!R11*'Output-Calculation-sheet'!R47</f>
        <v>5368.7800807051199</v>
      </c>
      <c r="S56" s="2">
        <f>S12/'Output-Calculation-sheet'!S11*'Output-Calculation-sheet'!S47</f>
        <v>7111.0196639473552</v>
      </c>
      <c r="T56" s="2">
        <f>T12/'Output-Calculation-sheet'!T11*'Output-Calculation-sheet'!T47</f>
        <v>1880.5275248378766</v>
      </c>
      <c r="U56" s="2">
        <f>U12/'Output-Calculation-sheet'!U11*'Output-Calculation-sheet'!U47</f>
        <v>1799.5748049528227</v>
      </c>
      <c r="V56" s="2">
        <f>V12/'Output-Calculation-sheet'!V11*'Output-Calculation-sheet'!V47</f>
        <v>1255.9619561358938</v>
      </c>
      <c r="W56" s="2">
        <f>W12/'Output-Calculation-sheet'!W11*'Output-Calculation-sheet'!W47</f>
        <v>714.81323511139396</v>
      </c>
      <c r="X56" s="2">
        <f>X12/'Output-Calculation-sheet'!X11*'Output-Calculation-sheet'!X47</f>
        <v>1893.3799109632284</v>
      </c>
      <c r="Y56" s="2">
        <f>Y12/'Output-Calculation-sheet'!Y11*'Output-Calculation-sheet'!Y47</f>
        <v>969.24819715703393</v>
      </c>
      <c r="AA56" s="2">
        <f t="shared" si="3"/>
        <v>331.50207239336493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5.0725590766760833</v>
      </c>
      <c r="C60" s="2">
        <f>C5*'Output-Calculation-sheet'!C49/10^9</f>
        <v>2.0459773571251709</v>
      </c>
      <c r="D60" s="2">
        <f>D5*'Output-Calculation-sheet'!D49/10^9</f>
        <v>1.3375738480345654</v>
      </c>
      <c r="E60" s="2">
        <f>E5*'Output-Calculation-sheet'!E49/10^9</f>
        <v>1.5518856911873322</v>
      </c>
      <c r="F60" s="2">
        <f>F5*'Output-Calculation-sheet'!F49/10^9</f>
        <v>0.71273489652079591</v>
      </c>
      <c r="G60" s="2">
        <f>G5*'Output-Calculation-sheet'!G49/10^9</f>
        <v>0.56225372291909859</v>
      </c>
      <c r="H60" s="2">
        <f>H5*'Output-Calculation-sheet'!H49/10^9</f>
        <v>0.5375956706597611</v>
      </c>
      <c r="I60" s="2">
        <f>I5*'Output-Calculation-sheet'!I49/10^9</f>
        <v>0.42326039285642575</v>
      </c>
      <c r="J60" s="2">
        <f>J5*'Output-Calculation-sheet'!J49/10^9</f>
        <v>0.65597755937692248</v>
      </c>
      <c r="K60" s="2">
        <f>K5*'Output-Calculation-sheet'!K49/10^9</f>
        <v>0.36410275512421542</v>
      </c>
      <c r="L60" s="2">
        <f>L5*'Output-Calculation-sheet'!L49/10^9</f>
        <v>0.47547521073513976</v>
      </c>
      <c r="M60" s="2">
        <f>M5*'Output-Calculation-sheet'!M49/10^9</f>
        <v>0.41152189830318753</v>
      </c>
      <c r="N60" s="2">
        <f>N5*'Output-Calculation-sheet'!N49/10^9</f>
        <v>0.34448182083793605</v>
      </c>
      <c r="O60" s="2">
        <f>O5*'Output-Calculation-sheet'!O49/10^9</f>
        <v>0.34529417961211128</v>
      </c>
      <c r="P60" s="2">
        <f>P5*'Output-Calculation-sheet'!P49/10^9</f>
        <v>0.36025358672209928</v>
      </c>
      <c r="Q60" s="2">
        <f>Q5*'Output-Calculation-sheet'!Q49/10^9</f>
        <v>0.31245376642809941</v>
      </c>
      <c r="R60" s="2">
        <f>R5*'Output-Calculation-sheet'!R49/10^9</f>
        <v>0.32667306761509102</v>
      </c>
      <c r="S60" s="2">
        <f>S5*'Output-Calculation-sheet'!S49/10^9</f>
        <v>0.23017435834208541</v>
      </c>
      <c r="T60" s="2">
        <f>T5*'Output-Calculation-sheet'!T49/10^9</f>
        <v>0.14318286130805383</v>
      </c>
      <c r="U60" s="2">
        <f>U5*'Output-Calculation-sheet'!U49/10^9</f>
        <v>0.1052079181922398</v>
      </c>
      <c r="V60" s="2">
        <f>V5*'Output-Calculation-sheet'!V49/10^9</f>
        <v>0.20007725351108799</v>
      </c>
      <c r="W60" s="2">
        <f>W5*'Output-Calculation-sheet'!W49/10^9</f>
        <v>7.967013669569159E-2</v>
      </c>
      <c r="X60" s="2">
        <f>X5*'Output-Calculation-sheet'!X49/10^9</f>
        <v>5.8434755474997525E-2</v>
      </c>
      <c r="Y60" s="2">
        <f>Y5*'Output-Calculation-sheet'!Y49/10^9</f>
        <v>4.225951098258026E-2</v>
      </c>
      <c r="AA60" s="2">
        <f t="shared" ref="AA60:AA67" si="4">SUM(B60:Y60)</f>
        <v>16.69908129524077</v>
      </c>
    </row>
    <row r="61" spans="1:27" x14ac:dyDescent="0.25">
      <c r="A61" s="2">
        <v>2029</v>
      </c>
      <c r="B61" s="2">
        <f>B6*'Output-Calculation-sheet'!B50/10^9</f>
        <v>6.5374176804198889</v>
      </c>
      <c r="C61" s="2">
        <f>C6*'Output-Calculation-sheet'!C50/10^9</f>
        <v>2.8018501765903334</v>
      </c>
      <c r="D61" s="2">
        <f>D6*'Output-Calculation-sheet'!D50/10^9</f>
        <v>1.6828251099558802</v>
      </c>
      <c r="E61" s="2">
        <f>E6*'Output-Calculation-sheet'!E50/10^9</f>
        <v>1.9451953925093053</v>
      </c>
      <c r="F61" s="2">
        <f>F6*'Output-Calculation-sheet'!F50/10^9</f>
        <v>0.89756316463738572</v>
      </c>
      <c r="G61" s="2">
        <f>G6*'Output-Calculation-sheet'!G50/10^9</f>
        <v>0.70179374856557386</v>
      </c>
      <c r="H61" s="2">
        <f>H6*'Output-Calculation-sheet'!H50/10^9</f>
        <v>0.7264909407587119</v>
      </c>
      <c r="I61" s="2">
        <f>I6*'Output-Calculation-sheet'!I50/10^9</f>
        <v>0.53510471711759811</v>
      </c>
      <c r="J61" s="2">
        <f>J6*'Output-Calculation-sheet'!J50/10^9</f>
        <v>0.80962631793436146</v>
      </c>
      <c r="K61" s="2">
        <f>K6*'Output-Calculation-sheet'!K50/10^9</f>
        <v>0.47011543362091507</v>
      </c>
      <c r="L61" s="2">
        <f>L6*'Output-Calculation-sheet'!L50/10^9</f>
        <v>0.59755263122903535</v>
      </c>
      <c r="M61" s="2">
        <f>M6*'Output-Calculation-sheet'!M50/10^9</f>
        <v>0.55012684468968664</v>
      </c>
      <c r="N61" s="2">
        <f>N6*'Output-Calculation-sheet'!N50/10^9</f>
        <v>0.46873446639044974</v>
      </c>
      <c r="O61" s="2">
        <f>O6*'Output-Calculation-sheet'!O50/10^9</f>
        <v>0.48805649764088471</v>
      </c>
      <c r="P61" s="2">
        <f>P6*'Output-Calculation-sheet'!P50/10^9</f>
        <v>0.46518149153664606</v>
      </c>
      <c r="Q61" s="2">
        <f>Q6*'Output-Calculation-sheet'!Q50/10^9</f>
        <v>0.41208966691992105</v>
      </c>
      <c r="R61" s="2">
        <f>R6*'Output-Calculation-sheet'!R50/10^9</f>
        <v>0.41639374438283222</v>
      </c>
      <c r="S61" s="2">
        <f>S6*'Output-Calculation-sheet'!S50/10^9</f>
        <v>0.30527706374351316</v>
      </c>
      <c r="T61" s="2">
        <f>T6*'Output-Calculation-sheet'!T50/10^9</f>
        <v>0.17893359973005674</v>
      </c>
      <c r="U61" s="2">
        <f>U6*'Output-Calculation-sheet'!U50/10^9</f>
        <v>0.13358778158133225</v>
      </c>
      <c r="V61" s="2">
        <f>V6*'Output-Calculation-sheet'!V50/10^9</f>
        <v>0.24506182483129105</v>
      </c>
      <c r="W61" s="2">
        <f>W6*'Output-Calculation-sheet'!W50/10^9</f>
        <v>9.8879961498775537E-2</v>
      </c>
      <c r="X61" s="2">
        <f>X6*'Output-Calculation-sheet'!X50/10^9</f>
        <v>7.7194754658738748E-2</v>
      </c>
      <c r="Y61" s="2">
        <f>Y6*'Output-Calculation-sheet'!Y50/10^9</f>
        <v>5.3638595349620809E-2</v>
      </c>
      <c r="AA61" s="2">
        <f t="shared" si="4"/>
        <v>21.598691606292746</v>
      </c>
    </row>
    <row r="62" spans="1:27" x14ac:dyDescent="0.25">
      <c r="A62" s="2">
        <v>2030</v>
      </c>
      <c r="B62" s="2">
        <f>B7*'Output-Calculation-sheet'!B51/10^9</f>
        <v>7.6378864445348329</v>
      </c>
      <c r="C62" s="2">
        <f>C7*'Output-Calculation-sheet'!C51/10^9</f>
        <v>3.7958684001686898</v>
      </c>
      <c r="D62" s="2">
        <f>D7*'Output-Calculation-sheet'!D51/10^9</f>
        <v>1.9027766899325538</v>
      </c>
      <c r="E62" s="2">
        <f>E7*'Output-Calculation-sheet'!E51/10^9</f>
        <v>2.1895351068568885</v>
      </c>
      <c r="F62" s="2">
        <f>F7*'Output-Calculation-sheet'!F51/10^9</f>
        <v>1.0160501387101462</v>
      </c>
      <c r="G62" s="2">
        <f>G7*'Output-Calculation-sheet'!G51/10^9</f>
        <v>0.78589738699686085</v>
      </c>
      <c r="H62" s="2">
        <f>H7*'Output-Calculation-sheet'!H51/10^9</f>
        <v>0.9568794586838516</v>
      </c>
      <c r="I62" s="2">
        <f>I7*'Output-Calculation-sheet'!I51/10^9</f>
        <v>0.60858318712557469</v>
      </c>
      <c r="J62" s="2">
        <f>J7*'Output-Calculation-sheet'!J51/10^9</f>
        <v>0.89406726562996408</v>
      </c>
      <c r="K62" s="2">
        <f>K7*'Output-Calculation-sheet'!K51/10^9</f>
        <v>0.54797628128553622</v>
      </c>
      <c r="L62" s="2">
        <f>L7*'Output-Calculation-sheet'!L51/10^9</f>
        <v>0.67476643158617322</v>
      </c>
      <c r="M62" s="2">
        <f>M7*'Output-Calculation-sheet'!M51/10^9</f>
        <v>0.71297570486109774</v>
      </c>
      <c r="N62" s="2">
        <f>N7*'Output-Calculation-sheet'!N51/10^9</f>
        <v>0.58249184008758248</v>
      </c>
      <c r="O62" s="2">
        <f>O7*'Output-Calculation-sheet'!O51/10^9</f>
        <v>0.66278751435343575</v>
      </c>
      <c r="P62" s="2">
        <f>P7*'Output-Calculation-sheet'!P51/10^9</f>
        <v>0.54227288191023604</v>
      </c>
      <c r="Q62" s="2">
        <f>Q7*'Output-Calculation-sheet'!Q51/10^9</f>
        <v>0.49347168613694925</v>
      </c>
      <c r="R62" s="2">
        <f>R7*'Output-Calculation-sheet'!R51/10^9</f>
        <v>0.47818629948735392</v>
      </c>
      <c r="S62" s="2">
        <f>S7*'Output-Calculation-sheet'!S51/10^9</f>
        <v>0.37073689799526294</v>
      </c>
      <c r="T62" s="2">
        <f>T7*'Output-Calculation-sheet'!T51/10^9</f>
        <v>0.20067373004376185</v>
      </c>
      <c r="U62" s="2">
        <f>U7*'Output-Calculation-sheet'!U51/10^9</f>
        <v>0.15271793535398634</v>
      </c>
      <c r="V62" s="2">
        <f>V7*'Output-Calculation-sheet'!V51/10^9</f>
        <v>0.26800736766959493</v>
      </c>
      <c r="W62" s="2">
        <f>W7*'Output-Calculation-sheet'!W51/10^9</f>
        <v>0.10995600907391972</v>
      </c>
      <c r="X62" s="2">
        <f>X7*'Output-Calculation-sheet'!X51/10^9</f>
        <v>9.8628626138751743E-2</v>
      </c>
      <c r="Y62" s="2">
        <f>Y7*'Output-Calculation-sheet'!Y51/10^9</f>
        <v>6.1292173577775687E-2</v>
      </c>
      <c r="AA62" s="2">
        <f t="shared" si="4"/>
        <v>25.744485458200774</v>
      </c>
    </row>
    <row r="63" spans="1:27" x14ac:dyDescent="0.25">
      <c r="A63" s="2">
        <v>2031</v>
      </c>
      <c r="B63" s="2">
        <f>B8*'Output-Calculation-sheet'!B52/10^9</f>
        <v>8.4324367215782026</v>
      </c>
      <c r="C63" s="2">
        <f>C8*'Output-Calculation-sheet'!C52/10^9</f>
        <v>4.7984970977783652</v>
      </c>
      <c r="D63" s="2">
        <f>D8*'Output-Calculation-sheet'!D52/10^9</f>
        <v>1.9743628906026258</v>
      </c>
      <c r="E63" s="2">
        <f>E8*'Output-Calculation-sheet'!E52/10^9</f>
        <v>2.2587694285903166</v>
      </c>
      <c r="F63" s="2">
        <f>F8*'Output-Calculation-sheet'!F52/10^9</f>
        <v>1.0558306905797898</v>
      </c>
      <c r="G63" s="2">
        <f>G8*'Output-Calculation-sheet'!G52/10^9</f>
        <v>0.805350561344783</v>
      </c>
      <c r="H63" s="2">
        <f>H8*'Output-Calculation-sheet'!H52/10^9</f>
        <v>1.203805948664711</v>
      </c>
      <c r="I63" s="2">
        <f>I8*'Output-Calculation-sheet'!I52/10^9</f>
        <v>0.63617341647762504</v>
      </c>
      <c r="J63" s="2">
        <f>J8*'Output-Calculation-sheet'!J52/10^9</f>
        <v>0.89933875847499856</v>
      </c>
      <c r="K63" s="2">
        <f>K8*'Output-Calculation-sheet'!K52/10^9</f>
        <v>0.59037025766505336</v>
      </c>
      <c r="L63" s="2">
        <f>L8*'Output-Calculation-sheet'!L52/10^9</f>
        <v>0.69897384730400192</v>
      </c>
      <c r="M63" s="2">
        <f>M8*'Output-Calculation-sheet'!M52/10^9</f>
        <v>0.88139626100078927</v>
      </c>
      <c r="N63" s="2">
        <f>N8*'Output-Calculation-sheet'!N52/10^9</f>
        <v>0.70278327380719008</v>
      </c>
      <c r="O63" s="2">
        <f>O8*'Output-Calculation-sheet'!O52/10^9</f>
        <v>0.83403293843121828</v>
      </c>
      <c r="P63" s="2">
        <f>P8*'Output-Calculation-sheet'!P52/10^9</f>
        <v>0.60041776353846421</v>
      </c>
      <c r="Q63" s="2">
        <f>Q8*'Output-Calculation-sheet'!Q52/10^9</f>
        <v>0.56005756127858264</v>
      </c>
      <c r="R63" s="2">
        <f>R8*'Output-Calculation-sheet'!R52/10^9</f>
        <v>0.50728062379110805</v>
      </c>
      <c r="S63" s="2">
        <f>S8*'Output-Calculation-sheet'!S52/10^9</f>
        <v>0.43040998714504253</v>
      </c>
      <c r="T63" s="2">
        <f>T8*'Output-Calculation-sheet'!T52/10^9</f>
        <v>0.20603823795899656</v>
      </c>
      <c r="U63" s="2">
        <f>U8*'Output-Calculation-sheet'!U52/10^9</f>
        <v>0.16067875279214439</v>
      </c>
      <c r="V63" s="2">
        <f>V8*'Output-Calculation-sheet'!V52/10^9</f>
        <v>0.26603735165433068</v>
      </c>
      <c r="W63" s="2">
        <f>W8*'Output-Calculation-sheet'!W52/10^9</f>
        <v>0.11164111603140824</v>
      </c>
      <c r="X63" s="2">
        <f>X8*'Output-Calculation-sheet'!X52/10^9</f>
        <v>0.11896741994779751</v>
      </c>
      <c r="Y63" s="2">
        <f>Y8*'Output-Calculation-sheet'!Y52/10^9</f>
        <v>6.4468560594397428E-2</v>
      </c>
      <c r="AA63" s="2">
        <f t="shared" si="4"/>
        <v>28.798119467031942</v>
      </c>
    </row>
    <row r="64" spans="1:27" x14ac:dyDescent="0.25">
      <c r="A64" s="2">
        <v>2032</v>
      </c>
      <c r="B64" s="2">
        <f>B9*'Output-Calculation-sheet'!B53/10^9</f>
        <v>8.9304233867040637</v>
      </c>
      <c r="C64" s="2">
        <f>C9*'Output-Calculation-sheet'!C53/10^9</f>
        <v>5.610331812996697</v>
      </c>
      <c r="D64" s="2">
        <f>D9*'Output-Calculation-sheet'!D53/10^9</f>
        <v>1.875257478200661</v>
      </c>
      <c r="E64" s="2">
        <f>E9*'Output-Calculation-sheet'!E53/10^9</f>
        <v>2.1895931916614795</v>
      </c>
      <c r="F64" s="2">
        <f>F9*'Output-Calculation-sheet'!F53/10^9</f>
        <v>1.0047682715106163</v>
      </c>
      <c r="G64" s="2">
        <f>G9*'Output-Calculation-sheet'!G53/10^9</f>
        <v>0.75232798723807826</v>
      </c>
      <c r="H64" s="2">
        <f>H9*'Output-Calculation-sheet'!H53/10^9</f>
        <v>1.4011255623520626</v>
      </c>
      <c r="I64" s="2">
        <f>I9*'Output-Calculation-sheet'!I53/10^9</f>
        <v>0.61008650514820983</v>
      </c>
      <c r="J64" s="2">
        <f>J9*'Output-Calculation-sheet'!J53/10^9</f>
        <v>0.818867151825029</v>
      </c>
      <c r="K64" s="2">
        <f>K9*'Output-Calculation-sheet'!K53/10^9</f>
        <v>0.60450541594763119</v>
      </c>
      <c r="L64" s="2">
        <f>L9*'Output-Calculation-sheet'!L53/10^9</f>
        <v>0.67866064454971564</v>
      </c>
      <c r="M64" s="2">
        <f>M9*'Output-Calculation-sheet'!M53/10^9</f>
        <v>1.0104081764078163</v>
      </c>
      <c r="N64" s="2">
        <f>N9*'Output-Calculation-sheet'!N53/10^9</f>
        <v>0.82578985203243094</v>
      </c>
      <c r="O64" s="2">
        <f>O9*'Output-Calculation-sheet'!O53/10^9</f>
        <v>0.97552984497162487</v>
      </c>
      <c r="P64" s="2">
        <f>P9*'Output-Calculation-sheet'!P53/10^9</f>
        <v>0.6450258747976354</v>
      </c>
      <c r="Q64" s="2">
        <f>Q9*'Output-Calculation-sheet'!Q53/10^9</f>
        <v>0.61183804477677584</v>
      </c>
      <c r="R64" s="2">
        <f>R9*'Output-Calculation-sheet'!R53/10^9</f>
        <v>0.52050171253011557</v>
      </c>
      <c r="S64" s="2">
        <f>S9*'Output-Calculation-sheet'!S53/10^9</f>
        <v>0.48934083762809477</v>
      </c>
      <c r="T64" s="2">
        <f>T9*'Output-Calculation-sheet'!T53/10^9</f>
        <v>0.19457415463066971</v>
      </c>
      <c r="U64" s="2">
        <f>U9*'Output-Calculation-sheet'!U53/10^9</f>
        <v>0.16577609304465046</v>
      </c>
      <c r="V64" s="2">
        <f>V9*'Output-Calculation-sheet'!V53/10^9</f>
        <v>0.24161328459462791</v>
      </c>
      <c r="W64" s="2">
        <f>W9*'Output-Calculation-sheet'!W53/10^9</f>
        <v>0.10298366577141535</v>
      </c>
      <c r="X64" s="2">
        <f>X9*'Output-Calculation-sheet'!X53/10^9</f>
        <v>0.13311078163073539</v>
      </c>
      <c r="Y64" s="2">
        <f>Y9*'Output-Calculation-sheet'!Y53/10^9</f>
        <v>6.5503321754201344E-2</v>
      </c>
      <c r="AA64" s="2">
        <f t="shared" si="4"/>
        <v>30.457943052705044</v>
      </c>
    </row>
    <row r="65" spans="1:27" x14ac:dyDescent="0.25">
      <c r="A65" s="2">
        <v>2033</v>
      </c>
      <c r="B65" s="2">
        <f>B10*'Output-Calculation-sheet'!B54/10^9</f>
        <v>9.3140469317520136</v>
      </c>
      <c r="C65" s="2">
        <f>C10*'Output-Calculation-sheet'!C54/10^9</f>
        <v>6.1214174533572132</v>
      </c>
      <c r="D65" s="2">
        <f>D10*'Output-Calculation-sheet'!D54/10^9</f>
        <v>1.6601936232997467</v>
      </c>
      <c r="E65" s="2">
        <f>E10*'Output-Calculation-sheet'!E54/10^9</f>
        <v>2.1142895247110678</v>
      </c>
      <c r="F65" s="2">
        <f>F10*'Output-Calculation-sheet'!F54/10^9</f>
        <v>0.90852845197444332</v>
      </c>
      <c r="G65" s="2">
        <f>G10*'Output-Calculation-sheet'!G54/10^9</f>
        <v>0.64682741265032451</v>
      </c>
      <c r="H65" s="2">
        <f>H10*'Output-Calculation-sheet'!H54/10^9</f>
        <v>1.5198658861303727</v>
      </c>
      <c r="I65" s="2">
        <f>I10*'Output-Calculation-sheet'!I54/10^9</f>
        <v>0.56713247986287918</v>
      </c>
      <c r="J65" s="2">
        <f>J10*'Output-Calculation-sheet'!J54/10^9</f>
        <v>0.67100776644804105</v>
      </c>
      <c r="K65" s="2">
        <f>K10*'Output-Calculation-sheet'!K54/10^9</f>
        <v>0.62789310319512437</v>
      </c>
      <c r="L65" s="2">
        <f>L10*'Output-Calculation-sheet'!L54/10^9</f>
        <v>0.64756593612190416</v>
      </c>
      <c r="M65" s="2">
        <f>M10*'Output-Calculation-sheet'!M54/10^9</f>
        <v>1.0807195675621495</v>
      </c>
      <c r="N65" s="2">
        <f>N10*'Output-Calculation-sheet'!N54/10^9</f>
        <v>0.92088437461126449</v>
      </c>
      <c r="O65" s="2">
        <f>O10*'Output-Calculation-sheet'!O54/10^9</f>
        <v>1.0715053033932802</v>
      </c>
      <c r="P65" s="2">
        <f>P10*'Output-Calculation-sheet'!P54/10^9</f>
        <v>0.67931115537294129</v>
      </c>
      <c r="Q65" s="2">
        <f>Q10*'Output-Calculation-sheet'!Q54/10^9</f>
        <v>0.6703409512095907</v>
      </c>
      <c r="R65" s="2">
        <f>R10*'Output-Calculation-sheet'!R54/10^9</f>
        <v>0.53141815678909665</v>
      </c>
      <c r="S65" s="2">
        <f>S10*'Output-Calculation-sheet'!S54/10^9</f>
        <v>0.5333606424694437</v>
      </c>
      <c r="T65" s="2">
        <f>T10*'Output-Calculation-sheet'!T54/10^9</f>
        <v>0.17995834909705907</v>
      </c>
      <c r="U65" s="2">
        <f>U10*'Output-Calculation-sheet'!U54/10^9</f>
        <v>0.17283811662066276</v>
      </c>
      <c r="V65" s="2">
        <f>V10*'Output-Calculation-sheet'!V54/10^9</f>
        <v>0.20364330983217355</v>
      </c>
      <c r="W65" s="2">
        <f>W10*'Output-Calculation-sheet'!W54/10^9</f>
        <v>8.7033144811633795E-2</v>
      </c>
      <c r="X65" s="2">
        <f>X10*'Output-Calculation-sheet'!X54/10^9</f>
        <v>0.13990265490410098</v>
      </c>
      <c r="Y65" s="2">
        <f>Y10*'Output-Calculation-sheet'!Y54/10^9</f>
        <v>6.7515476688267892E-2</v>
      </c>
      <c r="AA65" s="2">
        <f t="shared" si="4"/>
        <v>31.1371997728648</v>
      </c>
    </row>
    <row r="66" spans="1:27" x14ac:dyDescent="0.25">
      <c r="A66" s="2">
        <v>2034</v>
      </c>
      <c r="B66" s="2">
        <f>B11*'Output-Calculation-sheet'!B55/10^9</f>
        <v>9.4993706423763538</v>
      </c>
      <c r="C66" s="2">
        <f>C11*'Output-Calculation-sheet'!C55/10^9</f>
        <v>6.3132767678256982</v>
      </c>
      <c r="D66" s="2">
        <f>D11*'Output-Calculation-sheet'!D55/10^9</f>
        <v>1.7185938381220625</v>
      </c>
      <c r="E66" s="2">
        <f>E11*'Output-Calculation-sheet'!E55/10^9</f>
        <v>2.2258535384016924</v>
      </c>
      <c r="F66" s="2">
        <f>F11*'Output-Calculation-sheet'!F55/10^9</f>
        <v>0.87598163590578371</v>
      </c>
      <c r="G66" s="2">
        <f>G11*'Output-Calculation-sheet'!G55/10^9</f>
        <v>0.63906393704824294</v>
      </c>
      <c r="H66" s="2">
        <f>H11*'Output-Calculation-sheet'!H55/10^9</f>
        <v>1.5948377828632345</v>
      </c>
      <c r="I66" s="2">
        <f>I11*'Output-Calculation-sheet'!I55/10^9</f>
        <v>0.59408359699914726</v>
      </c>
      <c r="J66" s="2">
        <f>J11*'Output-Calculation-sheet'!J55/10^9</f>
        <v>0.59815793369132064</v>
      </c>
      <c r="K66" s="2">
        <f>K11*'Output-Calculation-sheet'!K55/10^9</f>
        <v>0.68105657093717842</v>
      </c>
      <c r="L66" s="2">
        <f>L11*'Output-Calculation-sheet'!L55/10^9</f>
        <v>0.66027578711102775</v>
      </c>
      <c r="M66" s="2">
        <f>M11*'Output-Calculation-sheet'!M55/10^9</f>
        <v>1.1208709998988318</v>
      </c>
      <c r="N66" s="2">
        <f>N11*'Output-Calculation-sheet'!N55/10^9</f>
        <v>0.97439468784161587</v>
      </c>
      <c r="O66" s="2">
        <f>O11*'Output-Calculation-sheet'!O55/10^9</f>
        <v>1.1109420328581339</v>
      </c>
      <c r="P66" s="2">
        <f>P11*'Output-Calculation-sheet'!P55/10^9</f>
        <v>0.71238028774760098</v>
      </c>
      <c r="Q66" s="2">
        <f>Q11*'Output-Calculation-sheet'!Q55/10^9</f>
        <v>0.73275735050346147</v>
      </c>
      <c r="R66" s="2">
        <f>R11*'Output-Calculation-sheet'!R55/10^9</f>
        <v>0.54215354226635915</v>
      </c>
      <c r="S66" s="2">
        <f>S11*'Output-Calculation-sheet'!S55/10^9</f>
        <v>0.56278876545078971</v>
      </c>
      <c r="T66" s="2">
        <f>T11*'Output-Calculation-sheet'!T55/10^9</f>
        <v>0.16986754949707686</v>
      </c>
      <c r="U66" s="2">
        <f>U11*'Output-Calculation-sheet'!U55/10^9</f>
        <v>0.1848783977128835</v>
      </c>
      <c r="V66" s="2">
        <f>V11*'Output-Calculation-sheet'!V55/10^9</f>
        <v>0.16054053129744933</v>
      </c>
      <c r="W66" s="2">
        <f>W11*'Output-Calculation-sheet'!W55/10^9</f>
        <v>7.8649426086981292E-2</v>
      </c>
      <c r="X66" s="2">
        <f>X11*'Output-Calculation-sheet'!X55/10^9</f>
        <v>0.14697080045580957</v>
      </c>
      <c r="Y66" s="2">
        <f>Y11*'Output-Calculation-sheet'!Y55/10^9</f>
        <v>7.5463659347166728E-2</v>
      </c>
      <c r="AA66" s="2">
        <f t="shared" si="4"/>
        <v>31.973210062245908</v>
      </c>
    </row>
    <row r="67" spans="1:27" x14ac:dyDescent="0.25">
      <c r="A67" s="2">
        <v>2035</v>
      </c>
      <c r="B67" s="2">
        <f>B12*'Output-Calculation-sheet'!B56/10^9</f>
        <v>9.7483936136933238</v>
      </c>
      <c r="C67" s="2">
        <f>C12*'Output-Calculation-sheet'!C56/10^9</f>
        <v>6.1602575580340542</v>
      </c>
      <c r="D67" s="2">
        <f>D12*'Output-Calculation-sheet'!D56/10^9</f>
        <v>1.9335902294472174</v>
      </c>
      <c r="E67" s="2">
        <f>E12*'Output-Calculation-sheet'!E56/10^9</f>
        <v>2.6442924247031847</v>
      </c>
      <c r="F67" s="2">
        <f>F12*'Output-Calculation-sheet'!F56/10^9</f>
        <v>1.0363868767190654</v>
      </c>
      <c r="G67" s="2">
        <f>G12*'Output-Calculation-sheet'!G56/10^9</f>
        <v>0.76467597629604689</v>
      </c>
      <c r="H67" s="2">
        <f>H12*'Output-Calculation-sheet'!H56/10^9</f>
        <v>1.6260113407306644</v>
      </c>
      <c r="I67" s="2">
        <f>I12*'Output-Calculation-sheet'!I56/10^9</f>
        <v>0.70063157644342144</v>
      </c>
      <c r="J67" s="2">
        <f>J12*'Output-Calculation-sheet'!J56/10^9</f>
        <v>0.64095869553688722</v>
      </c>
      <c r="K67" s="2">
        <f>K12*'Output-Calculation-sheet'!K56/10^9</f>
        <v>0.76794876916607069</v>
      </c>
      <c r="L67" s="2">
        <f>L12*'Output-Calculation-sheet'!L56/10^9</f>
        <v>0.71595857238237248</v>
      </c>
      <c r="M67" s="2">
        <f>M12*'Output-Calculation-sheet'!M56/10^9</f>
        <v>1.1504826238943087</v>
      </c>
      <c r="N67" s="2">
        <f>N12*'Output-Calculation-sheet'!N56/10^9</f>
        <v>0.98261881629420278</v>
      </c>
      <c r="O67" s="2">
        <f>O12*'Output-Calculation-sheet'!O56/10^9</f>
        <v>1.0868172918213304</v>
      </c>
      <c r="P67" s="2">
        <f>P12*'Output-Calculation-sheet'!P56/10^9</f>
        <v>0.79741763599870663</v>
      </c>
      <c r="Q67" s="2">
        <f>Q12*'Output-Calculation-sheet'!Q56/10^9</f>
        <v>0.7532807657289694</v>
      </c>
      <c r="R67" s="2">
        <f>R12*'Output-Calculation-sheet'!R56/10^9</f>
        <v>0.59150635482855207</v>
      </c>
      <c r="S67" s="2">
        <f>S12*'Output-Calculation-sheet'!S56/10^9</f>
        <v>0.57100475563326025</v>
      </c>
      <c r="T67" s="2">
        <f>T12*'Output-Calculation-sheet'!T56/10^9</f>
        <v>0.18393460539649217</v>
      </c>
      <c r="U67" s="2">
        <f>U12*'Output-Calculation-sheet'!U56/10^9</f>
        <v>0.19885960593898072</v>
      </c>
      <c r="V67" s="2">
        <f>V12*'Output-Calculation-sheet'!V56/10^9</f>
        <v>0.14196142531925557</v>
      </c>
      <c r="W67" s="2">
        <f>W12*'Output-Calculation-sheet'!W56/10^9</f>
        <v>9.6265971973860165E-2</v>
      </c>
      <c r="X67" s="2">
        <f>X12*'Output-Calculation-sheet'!X56/10^9</f>
        <v>0.14943963490334836</v>
      </c>
      <c r="Y67" s="2">
        <f>Y12*'Output-Calculation-sheet'!Y56/10^9</f>
        <v>8.9825928748922965E-2</v>
      </c>
      <c r="AA67" s="2">
        <f t="shared" si="4"/>
        <v>33.532521049632486</v>
      </c>
    </row>
    <row r="68" spans="1:27" x14ac:dyDescent="0.25">
      <c r="B68" s="2">
        <f>SUM(B60:B67)</f>
        <v>65.172534497734773</v>
      </c>
      <c r="C68" s="2">
        <f t="shared" ref="C68:Y68" si="5">SUM(C60:C67)</f>
        <v>37.647476623876223</v>
      </c>
      <c r="D68" s="2">
        <f t="shared" si="5"/>
        <v>14.085173707595313</v>
      </c>
      <c r="E68" s="2">
        <f t="shared" si="5"/>
        <v>17.119414298621265</v>
      </c>
      <c r="F68" s="2">
        <f t="shared" si="5"/>
        <v>7.5078441265580258</v>
      </c>
      <c r="G68" s="2">
        <f t="shared" si="5"/>
        <v>5.6581907330590084</v>
      </c>
      <c r="H68" s="2">
        <f t="shared" si="5"/>
        <v>9.5666125908433717</v>
      </c>
      <c r="I68" s="2">
        <f t="shared" si="5"/>
        <v>4.6750558720308817</v>
      </c>
      <c r="J68" s="2">
        <f t="shared" si="5"/>
        <v>5.9880014489175242</v>
      </c>
      <c r="K68" s="2">
        <f t="shared" si="5"/>
        <v>4.6539685869417244</v>
      </c>
      <c r="L68" s="2">
        <f t="shared" si="5"/>
        <v>5.1492290610193701</v>
      </c>
      <c r="M68" s="2">
        <f t="shared" si="5"/>
        <v>6.9185020766178678</v>
      </c>
      <c r="N68" s="2">
        <f t="shared" si="5"/>
        <v>5.8021791319026725</v>
      </c>
      <c r="O68" s="2">
        <f t="shared" si="5"/>
        <v>6.5749656030820196</v>
      </c>
      <c r="P68" s="2">
        <f t="shared" si="5"/>
        <v>4.8022606776243304</v>
      </c>
      <c r="Q68" s="2">
        <f t="shared" si="5"/>
        <v>4.5462897929823498</v>
      </c>
      <c r="R68" s="2">
        <f t="shared" si="5"/>
        <v>3.9141135016905091</v>
      </c>
      <c r="S68" s="2">
        <f t="shared" si="5"/>
        <v>3.4930933084074929</v>
      </c>
      <c r="T68" s="2">
        <f t="shared" si="5"/>
        <v>1.4571630876621668</v>
      </c>
      <c r="U68" s="2">
        <f t="shared" si="5"/>
        <v>1.2745446012368802</v>
      </c>
      <c r="V68" s="2">
        <f t="shared" si="5"/>
        <v>1.726942348709811</v>
      </c>
      <c r="W68" s="2">
        <f t="shared" si="5"/>
        <v>0.76507943194368577</v>
      </c>
      <c r="X68" s="2">
        <f t="shared" si="5"/>
        <v>0.92264942811427986</v>
      </c>
      <c r="Y68" s="2">
        <f t="shared" si="5"/>
        <v>0.51996722704293308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2253.3633691702662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533.75325943968392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364.99291105332077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48.654872754809873</v>
      </c>
      <c r="Y73" s="2">
        <f>Y7/'Output-Calculation-sheet'!Y6*'Output-Calculation-sheet'!Y60</f>
        <v>0</v>
      </c>
      <c r="AA73" s="2">
        <f t="shared" si="6"/>
        <v>3.2007644124180805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5199.2002329977631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1739.4914177959679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1161.5802533344656</v>
      </c>
      <c r="N74" s="2">
        <f>N8/'Output-Calculation-sheet'!N7*'Output-Calculation-sheet'!N61</f>
        <v>48.553006429242721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143.95253165705694</v>
      </c>
      <c r="Y74" s="2">
        <f>Y8/'Output-Calculation-sheet'!Y7*'Output-Calculation-sheet'!Y61</f>
        <v>0</v>
      </c>
      <c r="AA74" s="2">
        <f t="shared" si="6"/>
        <v>8.2927774422144953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10459.18373275848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3012.0644304057519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2044.8390989389134</v>
      </c>
      <c r="N75" s="2">
        <f>N9/'Output-Calculation-sheet'!N8*'Output-Calculation-sheet'!N62</f>
        <v>789.86715432014739</v>
      </c>
      <c r="O75" s="2">
        <f>O9/'Output-Calculation-sheet'!O8*'Output-Calculation-sheet'!O62</f>
        <v>0</v>
      </c>
      <c r="P75" s="2">
        <f>P9/'Output-Calculation-sheet'!P8*'Output-Calculation-sheet'!P62</f>
        <v>52.880360902718259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264.66544701025487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246.88444241379443</v>
      </c>
      <c r="Y75" s="2">
        <f>Y9/'Output-Calculation-sheet'!Y8*'Output-Calculation-sheet'!Y62</f>
        <v>0</v>
      </c>
      <c r="AA75" s="2">
        <f t="shared" si="6"/>
        <v>16.870384666750059</v>
      </c>
    </row>
    <row r="76" spans="1:27" x14ac:dyDescent="0.25">
      <c r="A76" s="2">
        <v>2033</v>
      </c>
      <c r="B76" s="2">
        <f>B10/'Output-Calculation-sheet'!B9*'Output-Calculation-sheet'!B63</f>
        <v>6620.1644505991808</v>
      </c>
      <c r="C76" s="2">
        <f>C10/'Output-Calculation-sheet'!C9*'Output-Calculation-sheet'!C63</f>
        <v>13521.402013725334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4311.1073926475092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112.99415757987379</v>
      </c>
      <c r="L76" s="2">
        <f>L10/'Output-Calculation-sheet'!L9*'Output-Calculation-sheet'!L63</f>
        <v>0</v>
      </c>
      <c r="M76" s="2">
        <f>M10/'Output-Calculation-sheet'!M9*'Output-Calculation-sheet'!M63</f>
        <v>2935.4268764132426</v>
      </c>
      <c r="N76" s="2">
        <f>N10/'Output-Calculation-sheet'!N9*'Output-Calculation-sheet'!N63</f>
        <v>1676.8458057316432</v>
      </c>
      <c r="O76" s="2">
        <f>O10/'Output-Calculation-sheet'!O9*'Output-Calculation-sheet'!O63</f>
        <v>0</v>
      </c>
      <c r="P76" s="2">
        <f>P10/'Output-Calculation-sheet'!P9*'Output-Calculation-sheet'!P63</f>
        <v>582.28642169524051</v>
      </c>
      <c r="Q76" s="2">
        <f>Q10/'Output-Calculation-sheet'!Q9*'Output-Calculation-sheet'!Q63</f>
        <v>262.63457658436369</v>
      </c>
      <c r="R76" s="2">
        <f>R10/'Output-Calculation-sheet'!R9*'Output-Calculation-sheet'!R63</f>
        <v>443.79534890116497</v>
      </c>
      <c r="S76" s="2">
        <f>S10/'Output-Calculation-sheet'!S9*'Output-Calculation-sheet'!S63</f>
        <v>745.65419238767038</v>
      </c>
      <c r="T76" s="2">
        <f>T10/'Output-Calculation-sheet'!T9*'Output-Calculation-sheet'!T63</f>
        <v>30.18426518678535</v>
      </c>
      <c r="U76" s="2">
        <f>U10/'Output-Calculation-sheet'!U9*'Output-Calculation-sheet'!U63</f>
        <v>156.82196175141374</v>
      </c>
      <c r="V76" s="2">
        <f>V10/'Output-Calculation-sheet'!V9*'Output-Calculation-sheet'!V63</f>
        <v>12.033814195427118</v>
      </c>
      <c r="W76" s="2">
        <f>W10/'Output-Calculation-sheet'!W9*'Output-Calculation-sheet'!W63</f>
        <v>0</v>
      </c>
      <c r="X76" s="2">
        <f>X10/'Output-Calculation-sheet'!X9*'Output-Calculation-sheet'!X63</f>
        <v>345.66737296414902</v>
      </c>
      <c r="Y76" s="2">
        <f>Y10/'Output-Calculation-sheet'!Y9*'Output-Calculation-sheet'!Y63</f>
        <v>6.5577532558606864</v>
      </c>
      <c r="AA76" s="2">
        <f t="shared" si="6"/>
        <v>31.76357640361886</v>
      </c>
    </row>
    <row r="77" spans="1:27" x14ac:dyDescent="0.25">
      <c r="A77" s="2">
        <v>2034</v>
      </c>
      <c r="B77" s="2">
        <f>B11/'Output-Calculation-sheet'!B10*'Output-Calculation-sheet'!B64</f>
        <v>15828.748923163073</v>
      </c>
      <c r="C77" s="2">
        <f>C11/'Output-Calculation-sheet'!C10*'Output-Calculation-sheet'!C64</f>
        <v>13904.924626623104</v>
      </c>
      <c r="D77" s="2">
        <f>D11/'Output-Calculation-sheet'!D10*'Output-Calculation-sheet'!D64</f>
        <v>1950.9689968840598</v>
      </c>
      <c r="E77" s="2">
        <f>E11/'Output-Calculation-sheet'!E10*'Output-Calculation-sheet'!E64</f>
        <v>2410.7198921679101</v>
      </c>
      <c r="F77" s="2">
        <f>F11/'Output-Calculation-sheet'!F10*'Output-Calculation-sheet'!F64</f>
        <v>150.10231957554856</v>
      </c>
      <c r="G77" s="2">
        <f>G11/'Output-Calculation-sheet'!G10*'Output-Calculation-sheet'!G64</f>
        <v>1030.1168868336786</v>
      </c>
      <c r="H77" s="2">
        <f>H11/'Output-Calculation-sheet'!H10*'Output-Calculation-sheet'!H64</f>
        <v>5103.6922169091331</v>
      </c>
      <c r="I77" s="2">
        <f>I11/'Output-Calculation-sheet'!I10*'Output-Calculation-sheet'!I64</f>
        <v>607.70826973347232</v>
      </c>
      <c r="J77" s="2">
        <f>J11/'Output-Calculation-sheet'!J10*'Output-Calculation-sheet'!J64</f>
        <v>433.2026079480234</v>
      </c>
      <c r="K77" s="2">
        <f>K11/'Output-Calculation-sheet'!K10*'Output-Calculation-sheet'!K64</f>
        <v>918.48587554738151</v>
      </c>
      <c r="L77" s="2">
        <f>L11/'Output-Calculation-sheet'!L10*'Output-Calculation-sheet'!L64</f>
        <v>398.80311037218104</v>
      </c>
      <c r="M77" s="2">
        <f>M11/'Output-Calculation-sheet'!M10*'Output-Calculation-sheet'!M64</f>
        <v>3630.0054729860663</v>
      </c>
      <c r="N77" s="2">
        <f>N11/'Output-Calculation-sheet'!N10*'Output-Calculation-sheet'!N64</f>
        <v>2582.6597435509962</v>
      </c>
      <c r="O77" s="2">
        <f>O11/'Output-Calculation-sheet'!O10*'Output-Calculation-sheet'!O64</f>
        <v>90.045873122315584</v>
      </c>
      <c r="P77" s="2">
        <f>P11/'Output-Calculation-sheet'!P10*'Output-Calculation-sheet'!P64</f>
        <v>1139.8902687955895</v>
      </c>
      <c r="Q77" s="2">
        <f>Q11/'Output-Calculation-sheet'!Q10*'Output-Calculation-sheet'!Q64</f>
        <v>650.44547345663864</v>
      </c>
      <c r="R77" s="2">
        <f>R11/'Output-Calculation-sheet'!R10*'Output-Calculation-sheet'!R64</f>
        <v>975.44826142144746</v>
      </c>
      <c r="S77" s="2">
        <f>S11/'Output-Calculation-sheet'!S10*'Output-Calculation-sheet'!S64</f>
        <v>1304.2290323165262</v>
      </c>
      <c r="T77" s="2">
        <f>T11/'Output-Calculation-sheet'!T10*'Output-Calculation-sheet'!T64</f>
        <v>268.36066572640789</v>
      </c>
      <c r="U77" s="2">
        <f>U11/'Output-Calculation-sheet'!U10*'Output-Calculation-sheet'!U64</f>
        <v>356.68265346070268</v>
      </c>
      <c r="V77" s="2">
        <f>V11/'Output-Calculation-sheet'!V10*'Output-Calculation-sheet'!V64</f>
        <v>142.1845336681499</v>
      </c>
      <c r="W77" s="2">
        <f>W11/'Output-Calculation-sheet'!W10*'Output-Calculation-sheet'!W64</f>
        <v>30.041532983865785</v>
      </c>
      <c r="X77" s="2">
        <f>X11/'Output-Calculation-sheet'!X10*'Output-Calculation-sheet'!X64</f>
        <v>368.84708940457597</v>
      </c>
      <c r="Y77" s="2">
        <f>Y11/'Output-Calculation-sheet'!Y10*'Output-Calculation-sheet'!Y64</f>
        <v>89.307661454347894</v>
      </c>
      <c r="AA77" s="2">
        <f t="shared" si="6"/>
        <v>54.365621988105204</v>
      </c>
    </row>
    <row r="78" spans="1:27" x14ac:dyDescent="0.25">
      <c r="A78" s="2">
        <v>2035</v>
      </c>
      <c r="B78" s="2">
        <f>B12/'Output-Calculation-sheet'!B11*'Output-Calculation-sheet'!B65</f>
        <v>18865.851878890287</v>
      </c>
      <c r="C78" s="2">
        <f>C12/'Output-Calculation-sheet'!C11*'Output-Calculation-sheet'!C65</f>
        <v>13322.664450983311</v>
      </c>
      <c r="D78" s="2">
        <f>D12/'Output-Calculation-sheet'!D11*'Output-Calculation-sheet'!D65</f>
        <v>2002.9120533730272</v>
      </c>
      <c r="E78" s="2">
        <f>E12/'Output-Calculation-sheet'!E11*'Output-Calculation-sheet'!E65</f>
        <v>3807.4825673128316</v>
      </c>
      <c r="F78" s="2">
        <f>F12/'Output-Calculation-sheet'!F11*'Output-Calculation-sheet'!F65</f>
        <v>806.49327947039114</v>
      </c>
      <c r="G78" s="2">
        <f>G12/'Output-Calculation-sheet'!G11*'Output-Calculation-sheet'!G65</f>
        <v>1513.2887047683316</v>
      </c>
      <c r="H78" s="2">
        <f>H12/'Output-Calculation-sheet'!H11*'Output-Calculation-sheet'!H65</f>
        <v>4872.1927291621178</v>
      </c>
      <c r="I78" s="2">
        <f>I12/'Output-Calculation-sheet'!I11*'Output-Calculation-sheet'!I65</f>
        <v>889.86162926832253</v>
      </c>
      <c r="J78" s="2">
        <f>J12/'Output-Calculation-sheet'!J11*'Output-Calculation-sheet'!J65</f>
        <v>798.05608979922852</v>
      </c>
      <c r="K78" s="2">
        <f>K12/'Output-Calculation-sheet'!K11*'Output-Calculation-sheet'!K65</f>
        <v>1007.1081390142438</v>
      </c>
      <c r="L78" s="2">
        <f>L12/'Output-Calculation-sheet'!L11*'Output-Calculation-sheet'!L65</f>
        <v>598.81333999862534</v>
      </c>
      <c r="M78" s="2">
        <f>M12/'Output-Calculation-sheet'!M11*'Output-Calculation-sheet'!M65</f>
        <v>3468.1726378904827</v>
      </c>
      <c r="N78" s="2">
        <f>N12/'Output-Calculation-sheet'!N11*'Output-Calculation-sheet'!N65</f>
        <v>2438.6854360169827</v>
      </c>
      <c r="O78" s="2">
        <f>O12/'Output-Calculation-sheet'!O11*'Output-Calculation-sheet'!O65</f>
        <v>341.87218169008258</v>
      </c>
      <c r="P78" s="2">
        <f>P12/'Output-Calculation-sheet'!P11*'Output-Calculation-sheet'!P65</f>
        <v>1386.3669183021191</v>
      </c>
      <c r="Q78" s="2">
        <f>Q12/'Output-Calculation-sheet'!Q11*'Output-Calculation-sheet'!Q65</f>
        <v>697.32880573280113</v>
      </c>
      <c r="R78" s="2">
        <f>R12/'Output-Calculation-sheet'!R11*'Output-Calculation-sheet'!R65</f>
        <v>1149.4088639702757</v>
      </c>
      <c r="S78" s="2">
        <f>S12/'Output-Calculation-sheet'!S11*'Output-Calculation-sheet'!S65</f>
        <v>1296.7105971291273</v>
      </c>
      <c r="T78" s="2">
        <f>T12/'Output-Calculation-sheet'!T11*'Output-Calculation-sheet'!T65</f>
        <v>413.30067789860561</v>
      </c>
      <c r="U78" s="2">
        <f>U12/'Output-Calculation-sheet'!U11*'Output-Calculation-sheet'!U65</f>
        <v>354.12216910016895</v>
      </c>
      <c r="V78" s="2">
        <f>V12/'Output-Calculation-sheet'!V11*'Output-Calculation-sheet'!V65</f>
        <v>223.04972755682729</v>
      </c>
      <c r="W78" s="2">
        <f>W12/'Output-Calculation-sheet'!W11*'Output-Calculation-sheet'!W65</f>
        <v>157.10103886276428</v>
      </c>
      <c r="X78" s="2">
        <f>X12/'Output-Calculation-sheet'!X11*'Output-Calculation-sheet'!X65</f>
        <v>357.45544169470321</v>
      </c>
      <c r="Y78" s="2">
        <f>Y12/'Output-Calculation-sheet'!Y11*'Output-Calculation-sheet'!Y65</f>
        <v>153.34619975647644</v>
      </c>
      <c r="AA78" s="2">
        <f t="shared" si="6"/>
        <v>60.92164555764213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89.761128472365613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104.62903490012997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0.19439016337249557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318.17552729373119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226.64746612458708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0.54482299341831819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234.20365065460058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363.99574968389049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0.59819940033849106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488.01393199282973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474.03989149886854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0.96205382349169821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964.12169470167726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37.098335540001841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25.527285131511498</v>
      </c>
      <c r="N88" s="2">
        <f>N11/'Output-Calculation-sheet'!N10*'Output-Calculation-sheet'!N73</f>
        <v>0</v>
      </c>
      <c r="O88" s="2">
        <f>O11/'Output-Calculation-sheet'!O10*'Output-Calculation-sheet'!O73</f>
        <v>538.49586110589144</v>
      </c>
      <c r="P88" s="2">
        <f>P11/'Output-Calculation-sheet'!P10*'Output-Calculation-sheet'!P73</f>
        <v>0</v>
      </c>
      <c r="Q88" s="2">
        <f>Q11/'Output-Calculation-sheet'!Q10*'Output-Calculation-sheet'!Q73</f>
        <v>21.981935567983733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2.8004061088175414</v>
      </c>
      <c r="Y88" s="2">
        <f>Y11/'Output-Calculation-sheet'!Y10*'Output-Calculation-sheet'!Y73</f>
        <v>0</v>
      </c>
      <c r="AA88" s="2">
        <f t="shared" si="7"/>
        <v>1.5900255181558831</v>
      </c>
    </row>
    <row r="89" spans="1:27" x14ac:dyDescent="0.25">
      <c r="A89" s="2">
        <v>2035</v>
      </c>
      <c r="B89" s="2">
        <f>B12/'Output-Calculation-sheet'!B11*'Output-Calculation-sheet'!B74</f>
        <v>475.55775954451082</v>
      </c>
      <c r="C89" s="2">
        <f>C12/'Output-Calculation-sheet'!C11*'Output-Calculation-sheet'!C74</f>
        <v>1467.1170753554229</v>
      </c>
      <c r="D89" s="2">
        <f>D12/'Output-Calculation-sheet'!D11*'Output-Calculation-sheet'!D74</f>
        <v>199.94130804821833</v>
      </c>
      <c r="E89" s="2">
        <f>E12/'Output-Calculation-sheet'!E11*'Output-Calculation-sheet'!E74</f>
        <v>158.9000090692499</v>
      </c>
      <c r="F89" s="2">
        <f>F12/'Output-Calculation-sheet'!F11*'Output-Calculation-sheet'!F74</f>
        <v>49.968604675984579</v>
      </c>
      <c r="G89" s="2">
        <f>G12/'Output-Calculation-sheet'!G11*'Output-Calculation-sheet'!G74</f>
        <v>71.723243033713999</v>
      </c>
      <c r="H89" s="2">
        <f>H12/'Output-Calculation-sheet'!H11*'Output-Calculation-sheet'!H74</f>
        <v>173.70166454523186</v>
      </c>
      <c r="I89" s="2">
        <f>I12/'Output-Calculation-sheet'!I11*'Output-Calculation-sheet'!I74</f>
        <v>64.510774921583476</v>
      </c>
      <c r="J89" s="2">
        <f>J12/'Output-Calculation-sheet'!J11*'Output-Calculation-sheet'!J74</f>
        <v>31.922243591969139</v>
      </c>
      <c r="K89" s="2">
        <f>K12/'Output-Calculation-sheet'!K11*'Output-Calculation-sheet'!K74</f>
        <v>63.403937233331888</v>
      </c>
      <c r="L89" s="2">
        <f>L12/'Output-Calculation-sheet'!L11*'Output-Calculation-sheet'!L74</f>
        <v>50.415772679320177</v>
      </c>
      <c r="M89" s="2">
        <f>M12/'Output-Calculation-sheet'!M11*'Output-Calculation-sheet'!M74</f>
        <v>95.618994310580362</v>
      </c>
      <c r="N89" s="2">
        <f>N12/'Output-Calculation-sheet'!N11*'Output-Calculation-sheet'!N74</f>
        <v>70.483596100608366</v>
      </c>
      <c r="O89" s="2">
        <f>O12/'Output-Calculation-sheet'!O11*'Output-Calculation-sheet'!O74</f>
        <v>570.04275790047768</v>
      </c>
      <c r="P89" s="2">
        <f>P12/'Output-Calculation-sheet'!P11*'Output-Calculation-sheet'!P74</f>
        <v>43.409428509318943</v>
      </c>
      <c r="Q89" s="2">
        <f>Q12/'Output-Calculation-sheet'!Q11*'Output-Calculation-sheet'!Q74</f>
        <v>61.754233593057137</v>
      </c>
      <c r="R89" s="2">
        <f>R12/'Output-Calculation-sheet'!R11*'Output-Calculation-sheet'!R74</f>
        <v>40.82722494832791</v>
      </c>
      <c r="S89" s="2">
        <f>S12/'Output-Calculation-sheet'!S11*'Output-Calculation-sheet'!S74</f>
        <v>40.403520817882701</v>
      </c>
      <c r="T89" s="2">
        <f>T12/'Output-Calculation-sheet'!T11*'Output-Calculation-sheet'!T74</f>
        <v>7.5523193768589421</v>
      </c>
      <c r="U89" s="2">
        <f>U12/'Output-Calculation-sheet'!U11*'Output-Calculation-sheet'!U74</f>
        <v>13.135582517903815</v>
      </c>
      <c r="V89" s="2">
        <f>V12/'Output-Calculation-sheet'!V11*'Output-Calculation-sheet'!V74</f>
        <v>5.0643627263544104</v>
      </c>
      <c r="W89" s="2">
        <f>W12/'Output-Calculation-sheet'!W11*'Output-Calculation-sheet'!W74</f>
        <v>4.3853572706220492</v>
      </c>
      <c r="X89" s="2">
        <f>X12/'Output-Calculation-sheet'!X11*'Output-Calculation-sheet'!X74</f>
        <v>15.734459093877245</v>
      </c>
      <c r="Y89" s="2">
        <f>Y12/'Output-Calculation-sheet'!Y11*'Output-Calculation-sheet'!Y74</f>
        <v>5.061348288026287</v>
      </c>
      <c r="AA89" s="2">
        <f t="shared" si="7"/>
        <v>3.7806355781524332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1746307870.1857948</v>
      </c>
      <c r="C93" s="2">
        <f>C5/'Output-Calculation-sheet'!C4*'Output-Calculation-sheet'!C76</f>
        <v>578541946.62522089</v>
      </c>
      <c r="D93" s="2">
        <f>D5/'Output-Calculation-sheet'!D4*'Output-Calculation-sheet'!D76</f>
        <v>640394265.03362298</v>
      </c>
      <c r="E93" s="2">
        <f>E5/'Output-Calculation-sheet'!E4*'Output-Calculation-sheet'!E76</f>
        <v>1071576614.988668</v>
      </c>
      <c r="F93" s="2">
        <f>F5/'Output-Calculation-sheet'!F4*'Output-Calculation-sheet'!F76</f>
        <v>460433011.2688815</v>
      </c>
      <c r="G93" s="2">
        <f>G5/'Output-Calculation-sheet'!G4*'Output-Calculation-sheet'!G76</f>
        <v>358103295.88826829</v>
      </c>
      <c r="H93" s="2">
        <f>H5/'Output-Calculation-sheet'!H4*'Output-Calculation-sheet'!H76</f>
        <v>302914723.3836695</v>
      </c>
      <c r="I93" s="2">
        <f>I5/'Output-Calculation-sheet'!I4*'Output-Calculation-sheet'!I76</f>
        <v>248563717.39396125</v>
      </c>
      <c r="J93" s="2">
        <f>J5/'Output-Calculation-sheet'!J4*'Output-Calculation-sheet'!J76</f>
        <v>168672512.46713123</v>
      </c>
      <c r="K93" s="2">
        <f>K5/'Output-Calculation-sheet'!K4*'Output-Calculation-sheet'!K76</f>
        <v>246524827.21847776</v>
      </c>
      <c r="L93" s="2">
        <f>L5/'Output-Calculation-sheet'!L4*'Output-Calculation-sheet'!L76</f>
        <v>164557116.30105281</v>
      </c>
      <c r="M93" s="2">
        <f>M5/'Output-Calculation-sheet'!M4*'Output-Calculation-sheet'!M76</f>
        <v>221299499.61088344</v>
      </c>
      <c r="N93" s="2">
        <f>N5/'Output-Calculation-sheet'!N4*'Output-Calculation-sheet'!N76</f>
        <v>167107072.17643422</v>
      </c>
      <c r="O93" s="2">
        <f>O5/'Output-Calculation-sheet'!O4*'Output-Calculation-sheet'!O76</f>
        <v>81562910.696286768</v>
      </c>
      <c r="P93" s="2">
        <f>P5/'Output-Calculation-sheet'!P4*'Output-Calculation-sheet'!P76</f>
        <v>289538873.16679019</v>
      </c>
      <c r="Q93" s="2">
        <f>Q5/'Output-Calculation-sheet'!Q4*'Output-Calculation-sheet'!Q76</f>
        <v>132926224.10079931</v>
      </c>
      <c r="R93" s="2">
        <f>R5/'Output-Calculation-sheet'!R4*'Output-Calculation-sheet'!R76</f>
        <v>166327153.39424601</v>
      </c>
      <c r="S93" s="2">
        <f>S5/'Output-Calculation-sheet'!S4*'Output-Calculation-sheet'!S76</f>
        <v>97989264.861312062</v>
      </c>
      <c r="T93" s="2">
        <f>T5/'Output-Calculation-sheet'!T4*'Output-Calculation-sheet'!T76</f>
        <v>75350538.018404737</v>
      </c>
      <c r="U93" s="2">
        <f>U5/'Output-Calculation-sheet'!U4*'Output-Calculation-sheet'!U76</f>
        <v>48849334.318540476</v>
      </c>
      <c r="V93" s="2">
        <f>V5/'Output-Calculation-sheet'!V4*'Output-Calculation-sheet'!V76</f>
        <v>25038656.460300475</v>
      </c>
      <c r="W93" s="2">
        <f>W5/'Output-Calculation-sheet'!W4*'Output-Calculation-sheet'!W76</f>
        <v>70136618.249221653</v>
      </c>
      <c r="X93" s="2">
        <f>X5/'Output-Calculation-sheet'!X4*'Output-Calculation-sheet'!X76</f>
        <v>24342626.371006861</v>
      </c>
      <c r="Y93" s="2">
        <f>Y5/'Output-Calculation-sheet'!Y4*'Output-Calculation-sheet'!Y76</f>
        <v>38342432.107863858</v>
      </c>
      <c r="AA93" s="2">
        <f t="shared" ref="AA93:AA100" si="8">SUM(B93:Y93)/10^9</f>
        <v>7.4254011042868413</v>
      </c>
    </row>
    <row r="94" spans="1:27" x14ac:dyDescent="0.25">
      <c r="A94" s="2">
        <v>2029</v>
      </c>
      <c r="B94" s="2">
        <f>B6/'Output-Calculation-sheet'!B5*'Output-Calculation-sheet'!B77</f>
        <v>4770275577.2046194</v>
      </c>
      <c r="C94" s="2">
        <f>C6/'Output-Calculation-sheet'!C5*'Output-Calculation-sheet'!C77</f>
        <v>1591100093.4583569</v>
      </c>
      <c r="D94" s="2">
        <f>D6/'Output-Calculation-sheet'!D5*'Output-Calculation-sheet'!D77</f>
        <v>1750628612.8903368</v>
      </c>
      <c r="E94" s="2">
        <f>E6/'Output-Calculation-sheet'!E5*'Output-Calculation-sheet'!E77</f>
        <v>2977423307.6058097</v>
      </c>
      <c r="F94" s="2">
        <f>F6/'Output-Calculation-sheet'!F5*'Output-Calculation-sheet'!F77</f>
        <v>1257121185.293328</v>
      </c>
      <c r="G94" s="2">
        <f>G6/'Output-Calculation-sheet'!G5*'Output-Calculation-sheet'!G77</f>
        <v>991348660.76990867</v>
      </c>
      <c r="H94" s="2">
        <f>H6/'Output-Calculation-sheet'!H5*'Output-Calculation-sheet'!H77</f>
        <v>833219066.76802337</v>
      </c>
      <c r="I94" s="2">
        <f>I6/'Output-Calculation-sheet'!I5*'Output-Calculation-sheet'!I77</f>
        <v>677018760.81268287</v>
      </c>
      <c r="J94" s="2">
        <f>J6/'Output-Calculation-sheet'!J5*'Output-Calculation-sheet'!J77</f>
        <v>465106722.47048736</v>
      </c>
      <c r="K94" s="2">
        <f>K6/'Output-Calculation-sheet'!K5*'Output-Calculation-sheet'!K77</f>
        <v>670122308.02897418</v>
      </c>
      <c r="L94" s="2">
        <f>L6/'Output-Calculation-sheet'!L5*'Output-Calculation-sheet'!L77</f>
        <v>452892172.54127854</v>
      </c>
      <c r="M94" s="2">
        <f>M6/'Output-Calculation-sheet'!M5*'Output-Calculation-sheet'!M77</f>
        <v>614123907.08887005</v>
      </c>
      <c r="N94" s="2">
        <f>N6/'Output-Calculation-sheet'!N5*'Output-Calculation-sheet'!N77</f>
        <v>464588570.8688699</v>
      </c>
      <c r="O94" s="2">
        <f>O6/'Output-Calculation-sheet'!O5*'Output-Calculation-sheet'!O77</f>
        <v>228179734.14081442</v>
      </c>
      <c r="P94" s="2">
        <f>P6/'Output-Calculation-sheet'!P5*'Output-Calculation-sheet'!P77</f>
        <v>794528531.37577534</v>
      </c>
      <c r="Q94" s="2">
        <f>Q6/'Output-Calculation-sheet'!Q5*'Output-Calculation-sheet'!Q77</f>
        <v>367041568.51426083</v>
      </c>
      <c r="R94" s="2">
        <f>R6/'Output-Calculation-sheet'!R5*'Output-Calculation-sheet'!R77</f>
        <v>455701352.96848524</v>
      </c>
      <c r="S94" s="2">
        <f>S6/'Output-Calculation-sheet'!S5*'Output-Calculation-sheet'!S77</f>
        <v>267570625.38094619</v>
      </c>
      <c r="T94" s="2">
        <f>T6/'Output-Calculation-sheet'!T5*'Output-Calculation-sheet'!T77</f>
        <v>206404423.76007929</v>
      </c>
      <c r="U94" s="2">
        <f>U6/'Output-Calculation-sheet'!U5*'Output-Calculation-sheet'!U77</f>
        <v>130657353.90778957</v>
      </c>
      <c r="V94" s="2">
        <f>V6/'Output-Calculation-sheet'!V5*'Output-Calculation-sheet'!V77</f>
        <v>67017490.588205159</v>
      </c>
      <c r="W94" s="2">
        <f>W6/'Output-Calculation-sheet'!W5*'Output-Calculation-sheet'!W77</f>
        <v>194465251.02513176</v>
      </c>
      <c r="X94" s="2">
        <f>X6/'Output-Calculation-sheet'!X5*'Output-Calculation-sheet'!X77</f>
        <v>67250053.937438741</v>
      </c>
      <c r="Y94" s="2">
        <f>Y6/'Output-Calculation-sheet'!Y5*'Output-Calculation-sheet'!Y77</f>
        <v>106626120.53622364</v>
      </c>
      <c r="AA94" s="2">
        <f t="shared" si="8"/>
        <v>20.400411451936694</v>
      </c>
    </row>
    <row r="95" spans="1:27" x14ac:dyDescent="0.25">
      <c r="A95" s="2">
        <v>2030</v>
      </c>
      <c r="B95" s="2">
        <f>B7/'Output-Calculation-sheet'!B6*'Output-Calculation-sheet'!B78</f>
        <v>8892559045.1044922</v>
      </c>
      <c r="C95" s="2">
        <f>C7/'Output-Calculation-sheet'!C6*'Output-Calculation-sheet'!C78</f>
        <v>2985933559.8056378</v>
      </c>
      <c r="D95" s="2">
        <f>D7/'Output-Calculation-sheet'!D6*'Output-Calculation-sheet'!D78</f>
        <v>3268827217.0194545</v>
      </c>
      <c r="E95" s="2">
        <f>E7/'Output-Calculation-sheet'!E6*'Output-Calculation-sheet'!E78</f>
        <v>5650981527.1223888</v>
      </c>
      <c r="F95" s="2">
        <f>F7/'Output-Calculation-sheet'!F6*'Output-Calculation-sheet'!F78</f>
        <v>2343002848.2167053</v>
      </c>
      <c r="G95" s="2">
        <f>G7/'Output-Calculation-sheet'!G6*'Output-Calculation-sheet'!G78</f>
        <v>1874489713.9958615</v>
      </c>
      <c r="H95" s="2">
        <f>H7/'Output-Calculation-sheet'!H6*'Output-Calculation-sheet'!H78</f>
        <v>1564419833.8031774</v>
      </c>
      <c r="I95" s="2">
        <f>I7/'Output-Calculation-sheet'!I6*'Output-Calculation-sheet'!I78</f>
        <v>1259019779.9378614</v>
      </c>
      <c r="J95" s="2">
        <f>J7/'Output-Calculation-sheet'!J6*'Output-Calculation-sheet'!J78</f>
        <v>876095116.92525661</v>
      </c>
      <c r="K95" s="2">
        <f>K7/'Output-Calculation-sheet'!K6*'Output-Calculation-sheet'!K78</f>
        <v>1243590812.6081772</v>
      </c>
      <c r="L95" s="2">
        <f>L7/'Output-Calculation-sheet'!L6*'Output-Calculation-sheet'!L78</f>
        <v>851079571.54020834</v>
      </c>
      <c r="M95" s="2">
        <f>M7/'Output-Calculation-sheet'!M6*'Output-Calculation-sheet'!M78</f>
        <v>1163971082.2983732</v>
      </c>
      <c r="N95" s="2">
        <f>N7/'Output-Calculation-sheet'!N6*'Output-Calculation-sheet'!N78</f>
        <v>882305926.62456155</v>
      </c>
      <c r="O95" s="2">
        <f>O7/'Output-Calculation-sheet'!O6*'Output-Calculation-sheet'!O78</f>
        <v>435937745.82001567</v>
      </c>
      <c r="P95" s="2">
        <f>P7/'Output-Calculation-sheet'!P6*'Output-Calculation-sheet'!P78</f>
        <v>1487991365.3855639</v>
      </c>
      <c r="Q95" s="2">
        <f>Q7/'Output-Calculation-sheet'!Q6*'Output-Calculation-sheet'!Q78</f>
        <v>692201199.27202606</v>
      </c>
      <c r="R95" s="2">
        <f>R7/'Output-Calculation-sheet'!R6*'Output-Calculation-sheet'!R78</f>
        <v>852244551.31309211</v>
      </c>
      <c r="S95" s="2">
        <f>S7/'Output-Calculation-sheet'!S6*'Output-Calculation-sheet'!S78</f>
        <v>498661559.7766993</v>
      </c>
      <c r="T95" s="2">
        <f>T7/'Output-Calculation-sheet'!T6*'Output-Calculation-sheet'!T78</f>
        <v>386005742.14735484</v>
      </c>
      <c r="U95" s="2">
        <f>U7/'Output-Calculation-sheet'!U6*'Output-Calculation-sheet'!U78</f>
        <v>238292344.47321224</v>
      </c>
      <c r="V95" s="2">
        <f>V7/'Output-Calculation-sheet'!V6*'Output-Calculation-sheet'!V78</f>
        <v>122295661.34855743</v>
      </c>
      <c r="W95" s="2">
        <f>W7/'Output-Calculation-sheet'!W6*'Output-Calculation-sheet'!W78</f>
        <v>368281452.9223249</v>
      </c>
      <c r="X95" s="2">
        <f>X7/'Output-Calculation-sheet'!X6*'Output-Calculation-sheet'!X78</f>
        <v>126898945.5492972</v>
      </c>
      <c r="Y95" s="2">
        <f>Y7/'Output-Calculation-sheet'!Y6*'Output-Calculation-sheet'!Y78</f>
        <v>202539160.57501948</v>
      </c>
      <c r="AA95" s="2">
        <f t="shared" si="8"/>
        <v>38.267625763585322</v>
      </c>
    </row>
    <row r="96" spans="1:27" x14ac:dyDescent="0.25">
      <c r="A96" s="2">
        <v>2031</v>
      </c>
      <c r="B96" s="2">
        <f>B8/'Output-Calculation-sheet'!B7*'Output-Calculation-sheet'!B79</f>
        <v>13992888924.308432</v>
      </c>
      <c r="C96" s="2">
        <f>C8/'Output-Calculation-sheet'!C7*'Output-Calculation-sheet'!C79</f>
        <v>4733857918.4797716</v>
      </c>
      <c r="D96" s="2">
        <f>D8/'Output-Calculation-sheet'!D7*'Output-Calculation-sheet'!D79</f>
        <v>4941835905.9046555</v>
      </c>
      <c r="E96" s="2">
        <f>E8/'Output-Calculation-sheet'!E7*'Output-Calculation-sheet'!E79</f>
        <v>8786163468.4645576</v>
      </c>
      <c r="F96" s="2">
        <f>F8/'Output-Calculation-sheet'!F7*'Output-Calculation-sheet'!F79</f>
        <v>3636506479.0046096</v>
      </c>
      <c r="G96" s="2">
        <f>G8/'Output-Calculation-sheet'!G7*'Output-Calculation-sheet'!G79</f>
        <v>2832539526.3832641</v>
      </c>
      <c r="H96" s="2">
        <f>H8/'Output-Calculation-sheet'!H7*'Output-Calculation-sheet'!H79</f>
        <v>2424493866.0601563</v>
      </c>
      <c r="I96" s="2">
        <f>I8/'Output-Calculation-sheet'!I7*'Output-Calculation-sheet'!I79</f>
        <v>1973164915.1934073</v>
      </c>
      <c r="J96" s="2">
        <f>J8/'Output-Calculation-sheet'!J7*'Output-Calculation-sheet'!J79</f>
        <v>1334305081.4362004</v>
      </c>
      <c r="K96" s="2">
        <f>K8/'Output-Calculation-sheet'!K7*'Output-Calculation-sheet'!K79</f>
        <v>1908992541.741622</v>
      </c>
      <c r="L96" s="2">
        <f>L8/'Output-Calculation-sheet'!L7*'Output-Calculation-sheet'!L79</f>
        <v>1346983476.3829672</v>
      </c>
      <c r="M96" s="2">
        <f>M8/'Output-Calculation-sheet'!M7*'Output-Calculation-sheet'!M79</f>
        <v>1809837780.9342129</v>
      </c>
      <c r="N96" s="2">
        <f>N8/'Output-Calculation-sheet'!N7*'Output-Calculation-sheet'!N79</f>
        <v>1346663448.4529917</v>
      </c>
      <c r="O96" s="2">
        <f>O8/'Output-Calculation-sheet'!O7*'Output-Calculation-sheet'!O79</f>
        <v>680784496.73198962</v>
      </c>
      <c r="P96" s="2">
        <f>P8/'Output-Calculation-sheet'!P7*'Output-Calculation-sheet'!P79</f>
        <v>2277081357.489758</v>
      </c>
      <c r="Q96" s="2">
        <f>Q8/'Output-Calculation-sheet'!Q7*'Output-Calculation-sheet'!Q79</f>
        <v>1061217309.0573778</v>
      </c>
      <c r="R96" s="2">
        <f>R8/'Output-Calculation-sheet'!R7*'Output-Calculation-sheet'!R79</f>
        <v>1323994743.9980447</v>
      </c>
      <c r="S96" s="2">
        <f>S8/'Output-Calculation-sheet'!S7*'Output-Calculation-sheet'!S79</f>
        <v>771470293.02722907</v>
      </c>
      <c r="T96" s="2">
        <f>T8/'Output-Calculation-sheet'!T7*'Output-Calculation-sheet'!T79</f>
        <v>589225701.29145002</v>
      </c>
      <c r="U96" s="2">
        <f>U8/'Output-Calculation-sheet'!U7*'Output-Calculation-sheet'!U79</f>
        <v>370136441.92868674</v>
      </c>
      <c r="V96" s="2">
        <f>V8/'Output-Calculation-sheet'!V7*'Output-Calculation-sheet'!V79</f>
        <v>192046087.74593213</v>
      </c>
      <c r="W96" s="2">
        <f>W8/'Output-Calculation-sheet'!W7*'Output-Calculation-sheet'!W79</f>
        <v>567480619.57821476</v>
      </c>
      <c r="X96" s="2">
        <f>X8/'Output-Calculation-sheet'!X7*'Output-Calculation-sheet'!X79</f>
        <v>199453378.36020675</v>
      </c>
      <c r="Y96" s="2">
        <f>Y8/'Output-Calculation-sheet'!Y7*'Output-Calculation-sheet'!Y79</f>
        <v>311942333.4752273</v>
      </c>
      <c r="AA96" s="2">
        <f t="shared" si="8"/>
        <v>59.413066095430977</v>
      </c>
    </row>
    <row r="97" spans="1:27" x14ac:dyDescent="0.25">
      <c r="A97" s="2">
        <v>2032</v>
      </c>
      <c r="B97" s="2">
        <f>B9/'Output-Calculation-sheet'!B8*'Output-Calculation-sheet'!B80</f>
        <v>19301537525.051003</v>
      </c>
      <c r="C97" s="2">
        <f>C9/'Output-Calculation-sheet'!C8*'Output-Calculation-sheet'!C80</f>
        <v>6574207720.6086988</v>
      </c>
      <c r="D97" s="2">
        <f>D9/'Output-Calculation-sheet'!D8*'Output-Calculation-sheet'!D80</f>
        <v>6550558040.2586803</v>
      </c>
      <c r="E97" s="2">
        <f>E9/'Output-Calculation-sheet'!E8*'Output-Calculation-sheet'!E80</f>
        <v>11979990681.170038</v>
      </c>
      <c r="F97" s="2">
        <f>F9/'Output-Calculation-sheet'!F8*'Output-Calculation-sheet'!F80</f>
        <v>4948935120.7537327</v>
      </c>
      <c r="G97" s="2">
        <f>G9/'Output-Calculation-sheet'!G8*'Output-Calculation-sheet'!G80</f>
        <v>3746071990.2631602</v>
      </c>
      <c r="H97" s="2">
        <f>H9/'Output-Calculation-sheet'!H8*'Output-Calculation-sheet'!H80</f>
        <v>3295786711.4189963</v>
      </c>
      <c r="I97" s="2">
        <f>I9/'Output-Calculation-sheet'!I8*'Output-Calculation-sheet'!I80</f>
        <v>2711090427.106442</v>
      </c>
      <c r="J97" s="2">
        <f>J9/'Output-Calculation-sheet'!J8*'Output-Calculation-sheet'!J80</f>
        <v>1782291721.0207207</v>
      </c>
      <c r="K97" s="2">
        <f>K9/'Output-Calculation-sheet'!K8*'Output-Calculation-sheet'!K80</f>
        <v>2569549033.6592708</v>
      </c>
      <c r="L97" s="2">
        <f>L9/'Output-Calculation-sheet'!L8*'Output-Calculation-sheet'!L80</f>
        <v>1870206046.473449</v>
      </c>
      <c r="M97" s="2">
        <f>M9/'Output-Calculation-sheet'!M8*'Output-Calculation-sheet'!M80</f>
        <v>2467527647.9442883</v>
      </c>
      <c r="N97" s="2">
        <f>N9/'Output-Calculation-sheet'!N8*'Output-Calculation-sheet'!N80</f>
        <v>1802858859.0693231</v>
      </c>
      <c r="O97" s="2">
        <f>O9/'Output-Calculation-sheet'!O8*'Output-Calculation-sheet'!O80</f>
        <v>932681096.74236357</v>
      </c>
      <c r="P97" s="2">
        <f>P9/'Output-Calculation-sheet'!P8*'Output-Calculation-sheet'!P80</f>
        <v>3051557167.2616491</v>
      </c>
      <c r="Q97" s="2">
        <f>Q9/'Output-Calculation-sheet'!Q8*'Output-Calculation-sheet'!Q80</f>
        <v>1427401424.1233113</v>
      </c>
      <c r="R97" s="2">
        <f>R9/'Output-Calculation-sheet'!R8*'Output-Calculation-sheet'!R80</f>
        <v>1803518061.5643034</v>
      </c>
      <c r="S97" s="2">
        <f>S9/'Output-Calculation-sheet'!S8*'Output-Calculation-sheet'!S80</f>
        <v>1046756664.1716226</v>
      </c>
      <c r="T97" s="2">
        <f>T9/'Output-Calculation-sheet'!T8*'Output-Calculation-sheet'!T80</f>
        <v>788244581.58135962</v>
      </c>
      <c r="U97" s="2">
        <f>U9/'Output-Calculation-sheet'!U8*'Output-Calculation-sheet'!U80</f>
        <v>503919107.83801961</v>
      </c>
      <c r="V97" s="2">
        <f>V9/'Output-Calculation-sheet'!V8*'Output-Calculation-sheet'!V80</f>
        <v>264225148.8526713</v>
      </c>
      <c r="W97" s="2">
        <f>W9/'Output-Calculation-sheet'!W8*'Output-Calculation-sheet'!W80</f>
        <v>765201136.45208597</v>
      </c>
      <c r="X97" s="2">
        <f>X9/'Output-Calculation-sheet'!X8*'Output-Calculation-sheet'!X80</f>
        <v>274781051.07274097</v>
      </c>
      <c r="Y97" s="2">
        <f>Y9/'Output-Calculation-sheet'!Y8*'Output-Calculation-sheet'!Y80</f>
        <v>420604075.92182332</v>
      </c>
      <c r="AA97" s="2">
        <f t="shared" si="8"/>
        <v>80.879501040379751</v>
      </c>
    </row>
    <row r="98" spans="1:27" x14ac:dyDescent="0.25">
      <c r="A98" s="2">
        <v>2033</v>
      </c>
      <c r="B98" s="2">
        <f>B10/'Output-Calculation-sheet'!B9*'Output-Calculation-sheet'!B81</f>
        <v>24120685107.037418</v>
      </c>
      <c r="C98" s="2">
        <f>C10/'Output-Calculation-sheet'!C9*'Output-Calculation-sheet'!C81</f>
        <v>8269766968.2068138</v>
      </c>
      <c r="D98" s="2">
        <f>D10/'Output-Calculation-sheet'!D9*'Output-Calculation-sheet'!D81</f>
        <v>7870299385.4916878</v>
      </c>
      <c r="E98" s="2">
        <f>E10/'Output-Calculation-sheet'!E9*'Output-Calculation-sheet'!E81</f>
        <v>14804528341.191778</v>
      </c>
      <c r="F98" s="2">
        <f>F10/'Output-Calculation-sheet'!F9*'Output-Calculation-sheet'!F81</f>
        <v>6105745329.3865757</v>
      </c>
      <c r="G98" s="2">
        <f>G10/'Output-Calculation-sheet'!G9*'Output-Calculation-sheet'!G81</f>
        <v>4483025032.9359493</v>
      </c>
      <c r="H98" s="2">
        <f>H10/'Output-Calculation-sheet'!H9*'Output-Calculation-sheet'!H81</f>
        <v>4061657307.2571025</v>
      </c>
      <c r="I98" s="2">
        <f>I10/'Output-Calculation-sheet'!I9*'Output-Calculation-sheet'!I81</f>
        <v>3376436329.3184185</v>
      </c>
      <c r="J98" s="2">
        <f>J10/'Output-Calculation-sheet'!J9*'Output-Calculation-sheet'!J81</f>
        <v>2158978490.8952098</v>
      </c>
      <c r="K98" s="2">
        <f>K10/'Output-Calculation-sheet'!K9*'Output-Calculation-sheet'!K81</f>
        <v>3136001876.3063335</v>
      </c>
      <c r="L98" s="2">
        <f>L10/'Output-Calculation-sheet'!L9*'Output-Calculation-sheet'!L81</f>
        <v>2352048349.6023211</v>
      </c>
      <c r="M98" s="2">
        <f>M10/'Output-Calculation-sheet'!M9*'Output-Calculation-sheet'!M81</f>
        <v>3050134104.0174603</v>
      </c>
      <c r="N98" s="2">
        <f>N10/'Output-Calculation-sheet'!N9*'Output-Calculation-sheet'!N81</f>
        <v>2188233232.3544779</v>
      </c>
      <c r="O98" s="2">
        <f>O10/'Output-Calculation-sheet'!O9*'Output-Calculation-sheet'!O81</f>
        <v>1158793121.9883873</v>
      </c>
      <c r="P98" s="2">
        <f>P10/'Output-Calculation-sheet'!P9*'Output-Calculation-sheet'!P81</f>
        <v>3703166599.4000955</v>
      </c>
      <c r="Q98" s="2">
        <f>Q10/'Output-Calculation-sheet'!Q9*'Output-Calculation-sheet'!Q81</f>
        <v>1741135057.5836053</v>
      </c>
      <c r="R98" s="2">
        <f>R10/'Output-Calculation-sheet'!R9*'Output-Calculation-sheet'!R81</f>
        <v>2227175151.8711548</v>
      </c>
      <c r="S98" s="2">
        <f>S10/'Output-Calculation-sheet'!S9*'Output-Calculation-sheet'!S81</f>
        <v>1287703761.3646452</v>
      </c>
      <c r="T98" s="2">
        <f>T10/'Output-Calculation-sheet'!T9*'Output-Calculation-sheet'!T81</f>
        <v>955529166.5467335</v>
      </c>
      <c r="U98" s="2">
        <f>U10/'Output-Calculation-sheet'!U9*'Output-Calculation-sheet'!U81</f>
        <v>621729247.94666338</v>
      </c>
      <c r="V98" s="2">
        <f>V10/'Output-Calculation-sheet'!V9*'Output-Calculation-sheet'!V81</f>
        <v>329278279.48783332</v>
      </c>
      <c r="W98" s="2">
        <f>W10/'Output-Calculation-sheet'!W9*'Output-Calculation-sheet'!W81</f>
        <v>933617523.45616162</v>
      </c>
      <c r="X98" s="2">
        <f>X10/'Output-Calculation-sheet'!X9*'Output-Calculation-sheet'!X81</f>
        <v>343076193.02427226</v>
      </c>
      <c r="Y98" s="2">
        <f>Y10/'Output-Calculation-sheet'!Y9*'Output-Calculation-sheet'!Y81</f>
        <v>513360732.18357325</v>
      </c>
      <c r="AA98" s="2">
        <f t="shared" si="8"/>
        <v>99.792104688854693</v>
      </c>
    </row>
    <row r="99" spans="1:27" x14ac:dyDescent="0.25">
      <c r="A99" s="2">
        <v>2034</v>
      </c>
      <c r="B99" s="2">
        <f>B11/'Output-Calculation-sheet'!B10*'Output-Calculation-sheet'!B82</f>
        <v>27788090116.044495</v>
      </c>
      <c r="C99" s="2">
        <f>C11/'Output-Calculation-sheet'!C10*'Output-Calculation-sheet'!C82</f>
        <v>9588031173.7285538</v>
      </c>
      <c r="D99" s="2">
        <f>D11/'Output-Calculation-sheet'!D10*'Output-Calculation-sheet'!D82</f>
        <v>8722411407.3797588</v>
      </c>
      <c r="E99" s="2">
        <f>E11/'Output-Calculation-sheet'!E10*'Output-Calculation-sheet'!E82</f>
        <v>16872740008.563919</v>
      </c>
      <c r="F99" s="2">
        <f>F11/'Output-Calculation-sheet'!F10*'Output-Calculation-sheet'!F82</f>
        <v>6949017033.2784805</v>
      </c>
      <c r="G99" s="2">
        <f>G11/'Output-Calculation-sheet'!G10*'Output-Calculation-sheet'!G82</f>
        <v>4940256616.5592651</v>
      </c>
      <c r="H99" s="2">
        <f>H11/'Output-Calculation-sheet'!H10*'Output-Calculation-sheet'!H82</f>
        <v>4617566757.4936113</v>
      </c>
      <c r="I99" s="2">
        <f>I11/'Output-Calculation-sheet'!I10*'Output-Calculation-sheet'!I82</f>
        <v>3878434615.5452757</v>
      </c>
      <c r="J99" s="2">
        <f>J11/'Output-Calculation-sheet'!J10*'Output-Calculation-sheet'!J82</f>
        <v>2413548377.9116764</v>
      </c>
      <c r="K99" s="2">
        <f>K11/'Output-Calculation-sheet'!K10*'Output-Calculation-sheet'!K82</f>
        <v>3531337999.1798401</v>
      </c>
      <c r="L99" s="2">
        <f>L11/'Output-Calculation-sheet'!L10*'Output-Calculation-sheet'!L82</f>
        <v>2726451179.9484296</v>
      </c>
      <c r="M99" s="2">
        <f>M11/'Output-Calculation-sheet'!M10*'Output-Calculation-sheet'!M82</f>
        <v>3478327450.1916513</v>
      </c>
      <c r="N99" s="2">
        <f>N11/'Output-Calculation-sheet'!N10*'Output-Calculation-sheet'!N82</f>
        <v>2450484938.7211661</v>
      </c>
      <c r="O99" s="2">
        <f>O11/'Output-Calculation-sheet'!O10*'Output-Calculation-sheet'!O82</f>
        <v>1328530865.1793084</v>
      </c>
      <c r="P99" s="2">
        <f>P11/'Output-Calculation-sheet'!P10*'Output-Calculation-sheet'!P82</f>
        <v>4141331673.4493713</v>
      </c>
      <c r="Q99" s="2">
        <f>Q11/'Output-Calculation-sheet'!Q10*'Output-Calculation-sheet'!Q82</f>
        <v>1959938391.3963795</v>
      </c>
      <c r="R99" s="2">
        <f>R11/'Output-Calculation-sheet'!R10*'Output-Calculation-sheet'!R82</f>
        <v>2537131183.7201891</v>
      </c>
      <c r="S99" s="2">
        <f>S11/'Output-Calculation-sheet'!S10*'Output-Calculation-sheet'!S82</f>
        <v>1461458491.1343813</v>
      </c>
      <c r="T99" s="2">
        <f>T11/'Output-Calculation-sheet'!T10*'Output-Calculation-sheet'!T82</f>
        <v>1068155292.433799</v>
      </c>
      <c r="U99" s="2">
        <f>U11/'Output-Calculation-sheet'!U10*'Output-Calculation-sheet'!U82</f>
        <v>707353967.01497996</v>
      </c>
      <c r="V99" s="2">
        <f>V11/'Output-Calculation-sheet'!V10*'Output-Calculation-sheet'!V82</f>
        <v>378213347.28636807</v>
      </c>
      <c r="W99" s="2">
        <f>W11/'Output-Calculation-sheet'!W10*'Output-Calculation-sheet'!W82</f>
        <v>1048798853.9600798</v>
      </c>
      <c r="X99" s="2">
        <f>X11/'Output-Calculation-sheet'!X10*'Output-Calculation-sheet'!X82</f>
        <v>395006522.9888733</v>
      </c>
      <c r="Y99" s="2">
        <f>Y11/'Output-Calculation-sheet'!Y10*'Output-Calculation-sheet'!Y82</f>
        <v>577172010.11338532</v>
      </c>
      <c r="AA99" s="2">
        <f t="shared" si="8"/>
        <v>113.55978827322322</v>
      </c>
    </row>
    <row r="100" spans="1:27" x14ac:dyDescent="0.25">
      <c r="A100" s="2">
        <v>2035</v>
      </c>
      <c r="B100" s="2">
        <f>B12/'Output-Calculation-sheet'!B11*'Output-Calculation-sheet'!B83</f>
        <v>29731776015.170906</v>
      </c>
      <c r="C100" s="2">
        <f>C12/'Output-Calculation-sheet'!C11*'Output-Calculation-sheet'!C83</f>
        <v>10322389717.952734</v>
      </c>
      <c r="D100" s="2">
        <f>D12/'Output-Calculation-sheet'!D11*'Output-Calculation-sheet'!D83</f>
        <v>8984316690.6458397</v>
      </c>
      <c r="E100" s="2">
        <f>E12/'Output-Calculation-sheet'!E11*'Output-Calculation-sheet'!E83</f>
        <v>17867487684.790443</v>
      </c>
      <c r="F100" s="2">
        <f>F12/'Output-Calculation-sheet'!F11*'Output-Calculation-sheet'!F83</f>
        <v>7349972005.2789888</v>
      </c>
      <c r="G100" s="2">
        <f>G12/'Output-Calculation-sheet'!G11*'Output-Calculation-sheet'!G83</f>
        <v>5050861945.4608421</v>
      </c>
      <c r="H100" s="2">
        <f>H12/'Output-Calculation-sheet'!H11*'Output-Calculation-sheet'!H83</f>
        <v>4878755178.0486364</v>
      </c>
      <c r="I100" s="2">
        <f>I12/'Output-Calculation-sheet'!I11*'Output-Calculation-sheet'!I83</f>
        <v>4139527405.1681685</v>
      </c>
      <c r="J100" s="2">
        <f>J12/'Output-Calculation-sheet'!J11*'Output-Calculation-sheet'!J83</f>
        <v>2508731774.8678522</v>
      </c>
      <c r="K100" s="2">
        <f>K12/'Output-Calculation-sheet'!K11*'Output-Calculation-sheet'!K83</f>
        <v>3696430519.522079</v>
      </c>
      <c r="L100" s="2">
        <f>L12/'Output-Calculation-sheet'!L11*'Output-Calculation-sheet'!L83</f>
        <v>2934755064.2245407</v>
      </c>
      <c r="M100" s="2">
        <f>M12/'Output-Calculation-sheet'!M11*'Output-Calculation-sheet'!M83</f>
        <v>3686702677.9627409</v>
      </c>
      <c r="N100" s="2">
        <f>N12/'Output-Calculation-sheet'!N11*'Output-Calculation-sheet'!N83</f>
        <v>2550907068.2751679</v>
      </c>
      <c r="O100" s="2">
        <f>O12/'Output-Calculation-sheet'!O11*'Output-Calculation-sheet'!O83</f>
        <v>1415915393.774478</v>
      </c>
      <c r="P100" s="2">
        <f>P12/'Output-Calculation-sheet'!P11*'Output-Calculation-sheet'!P83</f>
        <v>4300235659.3472805</v>
      </c>
      <c r="Q100" s="2">
        <f>Q12/'Output-Calculation-sheet'!Q11*'Output-Calculation-sheet'!Q83</f>
        <v>2051232122.4335561</v>
      </c>
      <c r="R100" s="2">
        <f>R12/'Output-Calculation-sheet'!R11*'Output-Calculation-sheet'!R83</f>
        <v>2685974136.6805553</v>
      </c>
      <c r="S100" s="2">
        <f>S12/'Output-Calculation-sheet'!S11*'Output-Calculation-sheet'!S83</f>
        <v>1541611151.4306145</v>
      </c>
      <c r="T100" s="2">
        <f>T12/'Output-Calculation-sheet'!T11*'Output-Calculation-sheet'!T83</f>
        <v>1109425898.4453886</v>
      </c>
      <c r="U100" s="2">
        <f>U12/'Output-Calculation-sheet'!U11*'Output-Calculation-sheet'!U83</f>
        <v>747627441.70551717</v>
      </c>
      <c r="V100" s="2">
        <f>V12/'Output-Calculation-sheet'!V11*'Output-Calculation-sheet'!V83</f>
        <v>403388443.05016297</v>
      </c>
      <c r="W100" s="2">
        <f>W12/'Output-Calculation-sheet'!W11*'Output-Calculation-sheet'!W83</f>
        <v>1092878393.6975374</v>
      </c>
      <c r="X100" s="2">
        <f>X12/'Output-Calculation-sheet'!X11*'Output-Calculation-sheet'!X83</f>
        <v>422517167.80690074</v>
      </c>
      <c r="Y100" s="2">
        <f>Y12/'Output-Calculation-sheet'!Y11*'Output-Calculation-sheet'!Y83</f>
        <v>602241228.50015819</v>
      </c>
      <c r="AA100" s="2">
        <f t="shared" si="8"/>
        <v>120.07566078424109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BAF1-CFEC-442C-A69A-BEBE6130704C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116307350951.25566</v>
      </c>
      <c r="C8" s="2">
        <v>54809876440.109901</v>
      </c>
      <c r="D8" s="2">
        <v>48850417173.554634</v>
      </c>
      <c r="E8" s="2">
        <v>38757848843.277039</v>
      </c>
      <c r="F8" s="2">
        <v>24949818112.359158</v>
      </c>
      <c r="G8" s="2">
        <v>17530426935.019985</v>
      </c>
      <c r="H8" s="2">
        <v>17100258538.412331</v>
      </c>
      <c r="I8" s="2">
        <v>15971598883.946745</v>
      </c>
      <c r="J8" s="2">
        <v>15545651248.537527</v>
      </c>
      <c r="K8" s="2">
        <v>15396621324.124687</v>
      </c>
      <c r="L8" s="2">
        <v>12351369803.585505</v>
      </c>
      <c r="M8" s="2">
        <v>11797687708.94202</v>
      </c>
      <c r="N8" s="2">
        <v>11579396413.58231</v>
      </c>
      <c r="O8" s="2">
        <v>10649606590.233543</v>
      </c>
      <c r="P8" s="2">
        <v>10541255263.40486</v>
      </c>
      <c r="Q8" s="2">
        <v>10370891541.976097</v>
      </c>
      <c r="R8" s="2">
        <v>9977274681.8010044</v>
      </c>
      <c r="S8" s="2">
        <v>6631407856.6146736</v>
      </c>
      <c r="T8" s="2">
        <v>3667560381.2672176</v>
      </c>
      <c r="U8" s="2">
        <v>3194319776.7893538</v>
      </c>
      <c r="V8" s="2">
        <v>2459690114.5233397</v>
      </c>
      <c r="W8" s="2">
        <v>2129546517.8595676</v>
      </c>
      <c r="X8" s="2">
        <v>1277727910.7157416</v>
      </c>
      <c r="Y8" s="2">
        <v>1242577615.8919492</v>
      </c>
    </row>
    <row r="9" spans="1:27" x14ac:dyDescent="0.25">
      <c r="A9" s="2">
        <v>2032</v>
      </c>
      <c r="B9" s="2">
        <v>133389247359.76784</v>
      </c>
      <c r="C9" s="2">
        <v>62859725601.455635</v>
      </c>
      <c r="D9" s="2">
        <v>56025008967.16349</v>
      </c>
      <c r="E9" s="2">
        <v>44450159376.900146</v>
      </c>
      <c r="F9" s="2">
        <v>28614162669.438408</v>
      </c>
      <c r="G9" s="2">
        <v>20105095986.04586</v>
      </c>
      <c r="H9" s="2">
        <v>19611749364.425179</v>
      </c>
      <c r="I9" s="2">
        <v>18317325060.172939</v>
      </c>
      <c r="J9" s="2">
        <v>17828819096.988201</v>
      </c>
      <c r="K9" s="2">
        <v>17657901358.006744</v>
      </c>
      <c r="L9" s="2">
        <v>14165398046.533766</v>
      </c>
      <c r="M9" s="2">
        <v>13530397444.447771</v>
      </c>
      <c r="N9" s="2">
        <v>13280046014.765364</v>
      </c>
      <c r="O9" s="2">
        <v>12213699272.92235</v>
      </c>
      <c r="P9" s="2">
        <v>12089434539.714149</v>
      </c>
      <c r="Q9" s="2">
        <v>11894049739.072306</v>
      </c>
      <c r="R9" s="2">
        <v>11442622926.429354</v>
      </c>
      <c r="S9" s="2">
        <v>7605353364.9837866</v>
      </c>
      <c r="T9" s="2">
        <v>4206209795.8775296</v>
      </c>
      <c r="U9" s="2">
        <v>3663465012.0345931</v>
      </c>
      <c r="V9" s="2">
        <v>2820941328.5668793</v>
      </c>
      <c r="W9" s="2">
        <v>2442310008.0230603</v>
      </c>
      <c r="X9" s="2">
        <v>1465386004.8138373</v>
      </c>
      <c r="Y9" s="2">
        <v>1425073235.8214061</v>
      </c>
    </row>
    <row r="10" spans="1:27" x14ac:dyDescent="0.25">
      <c r="A10" s="2">
        <v>2033</v>
      </c>
      <c r="B10" s="2">
        <v>147747293433.3848</v>
      </c>
      <c r="C10" s="2">
        <v>69625959418.836334</v>
      </c>
      <c r="D10" s="2">
        <v>62055552477.584099</v>
      </c>
      <c r="E10" s="2">
        <v>49234783692.170441</v>
      </c>
      <c r="F10" s="2">
        <v>31694197035.759331</v>
      </c>
      <c r="G10" s="2">
        <v>22269212661.084579</v>
      </c>
      <c r="H10" s="2">
        <v>21722762107.447639</v>
      </c>
      <c r="I10" s="2">
        <v>20289005704.340866</v>
      </c>
      <c r="J10" s="2">
        <v>19747916858.611439</v>
      </c>
      <c r="K10" s="2">
        <v>19558601498.984627</v>
      </c>
      <c r="L10" s="2">
        <v>15690164411.356962</v>
      </c>
      <c r="M10" s="2">
        <v>14986812213.606482</v>
      </c>
      <c r="N10" s="2">
        <v>14709512904.442598</v>
      </c>
      <c r="O10" s="2">
        <v>13528384379.563215</v>
      </c>
      <c r="P10" s="2">
        <v>13390743764.864981</v>
      </c>
      <c r="Q10" s="2">
        <v>13174327704.018681</v>
      </c>
      <c r="R10" s="2">
        <v>12674309216.23634</v>
      </c>
      <c r="S10" s="2">
        <v>8423995168.4423065</v>
      </c>
      <c r="T10" s="2">
        <v>4658967085.0885639</v>
      </c>
      <c r="U10" s="2">
        <v>4057801140.8681788</v>
      </c>
      <c r="V10" s="2">
        <v>3124588034.4913173</v>
      </c>
      <c r="W10" s="2">
        <v>2705200760.578784</v>
      </c>
      <c r="X10" s="2">
        <v>1623120456.3472714</v>
      </c>
      <c r="Y10" s="2">
        <v>1578468412.5931554</v>
      </c>
    </row>
    <row r="11" spans="1:27" x14ac:dyDescent="0.25">
      <c r="A11" s="2">
        <v>2034</v>
      </c>
      <c r="B11" s="2">
        <v>160084677439.2041</v>
      </c>
      <c r="C11" s="2">
        <v>75439955588.661789</v>
      </c>
      <c r="D11" s="2">
        <v>67237394816.742867</v>
      </c>
      <c r="E11" s="2">
        <v>53346049751.522179</v>
      </c>
      <c r="F11" s="2">
        <v>34340766529.518383</v>
      </c>
      <c r="G11" s="2">
        <v>24128765020.538994</v>
      </c>
      <c r="H11" s="2">
        <v>23536684051.861984</v>
      </c>
      <c r="I11" s="2">
        <v>21983204282.560986</v>
      </c>
      <c r="J11" s="2">
        <v>21396932742.002438</v>
      </c>
      <c r="K11" s="2">
        <v>21191808928.388828</v>
      </c>
      <c r="L11" s="2">
        <v>17000344645.180527</v>
      </c>
      <c r="M11" s="2">
        <v>16238260230.05175</v>
      </c>
      <c r="N11" s="2">
        <v>15937805518.293327</v>
      </c>
      <c r="O11" s="2">
        <v>14658048884.343142</v>
      </c>
      <c r="P11" s="2">
        <v>14508914826.490263</v>
      </c>
      <c r="Q11" s="2">
        <v>14274427314.142948</v>
      </c>
      <c r="R11" s="2">
        <v>13732655641.240088</v>
      </c>
      <c r="S11" s="2">
        <v>9127426418.1193008</v>
      </c>
      <c r="T11" s="2">
        <v>5048006130.4983959</v>
      </c>
      <c r="U11" s="2">
        <v>4396640856.5122042</v>
      </c>
      <c r="V11" s="2">
        <v>3385501392.3315296</v>
      </c>
      <c r="W11" s="2">
        <v>2931093904.3414674</v>
      </c>
      <c r="X11" s="2">
        <v>1758656342.6048815</v>
      </c>
      <c r="Y11" s="2">
        <v>1710275706.6198184</v>
      </c>
    </row>
    <row r="12" spans="1:27" x14ac:dyDescent="0.25">
      <c r="A12" s="2">
        <v>2035</v>
      </c>
      <c r="B12" s="2">
        <v>170829808786.47113</v>
      </c>
      <c r="C12" s="2">
        <v>80503602182.446564</v>
      </c>
      <c r="D12" s="2">
        <v>71750472834.645798</v>
      </c>
      <c r="E12" s="2">
        <v>56926719186.019661</v>
      </c>
      <c r="F12" s="2">
        <v>36645771935.583183</v>
      </c>
      <c r="G12" s="2">
        <v>25748325078.00605</v>
      </c>
      <c r="H12" s="2">
        <v>25116502718.220158</v>
      </c>
      <c r="I12" s="2">
        <v>23458750982.148319</v>
      </c>
      <c r="J12" s="2">
        <v>22833127988.288696</v>
      </c>
      <c r="K12" s="2">
        <v>22614235946.791016</v>
      </c>
      <c r="L12" s="2">
        <v>18141434092.861401</v>
      </c>
      <c r="M12" s="2">
        <v>17328197392.146927</v>
      </c>
      <c r="N12" s="2">
        <v>17007575695.056786</v>
      </c>
      <c r="O12" s="2">
        <v>15641919814.880781</v>
      </c>
      <c r="P12" s="2">
        <v>15482775648.217903</v>
      </c>
      <c r="Q12" s="2">
        <v>15232548971.074989</v>
      </c>
      <c r="R12" s="2">
        <v>14654412744.87014</v>
      </c>
      <c r="S12" s="2">
        <v>9740073407.7879601</v>
      </c>
      <c r="T12" s="2">
        <v>5386836115.8641949</v>
      </c>
      <c r="U12" s="2">
        <v>4691750196.4296703</v>
      </c>
      <c r="V12" s="2">
        <v>3612741486.2547774</v>
      </c>
      <c r="W12" s="2">
        <v>3127833464.2864451</v>
      </c>
      <c r="X12" s="2">
        <v>1876700078.5718682</v>
      </c>
      <c r="Y12" s="2">
        <v>1825072059.4103532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1983.6295847142874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618.8655377603767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426.9700839418449</v>
      </c>
      <c r="N16" s="2">
        <f>N5/'Output-Calculation-sheet'!N4*'Output-Calculation-sheet'!N22</f>
        <v>0</v>
      </c>
      <c r="O16" s="2">
        <f>O5/'Output-Calculation-sheet'!O4*'Output-Calculation-sheet'!O22</f>
        <v>385.41521815063498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46.242265149224508</v>
      </c>
      <c r="Y16" s="2">
        <f>Y5/'Output-Calculation-sheet'!Y4*'Output-Calculation-sheet'!Y22</f>
        <v>0</v>
      </c>
      <c r="AA16" s="2">
        <f t="shared" ref="AA16:AA23" si="0">SUM(B16:Y16)/1000</f>
        <v>3.4611226897163689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5907.20971218657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1741.9893210659743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1202.4961204697115</v>
      </c>
      <c r="N17" s="2">
        <f>N6/'Output-Calculation-sheet'!N5*'Output-Calculation-sheet'!N23</f>
        <v>0</v>
      </c>
      <c r="O17" s="2">
        <f>O6/'Output-Calculation-sheet'!O5*'Output-Calculation-sheet'!O23</f>
        <v>1154.9939713928168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133.71066903551042</v>
      </c>
      <c r="Y17" s="2">
        <f>Y6/'Output-Calculation-sheet'!Y5*'Output-Calculation-sheet'!Y23</f>
        <v>0</v>
      </c>
      <c r="AA17" s="2">
        <f t="shared" si="0"/>
        <v>10.140399794150582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11451.635009375932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3627.4608713827793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2501.8089914069992</v>
      </c>
      <c r="N18" s="2">
        <f>N7/'Output-Calculation-sheet'!N6*'Output-Calculation-sheet'!N24</f>
        <v>775.35046695385222</v>
      </c>
      <c r="O18" s="2">
        <f>O7/'Output-Calculation-sheet'!O6*'Output-Calculation-sheet'!O24</f>
        <v>1651.4646868636512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169.50445449421477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280.50336123624345</v>
      </c>
      <c r="Y18" s="2">
        <f>Y7/'Output-Calculation-sheet'!Y6*'Output-Calculation-sheet'!Y24</f>
        <v>0</v>
      </c>
      <c r="AA18" s="2">
        <f t="shared" si="0"/>
        <v>20.457727841713673</v>
      </c>
    </row>
    <row r="19" spans="1:27" x14ac:dyDescent="0.25">
      <c r="A19" s="2">
        <v>2031</v>
      </c>
      <c r="B19" s="2">
        <f>B8/'Output-Calculation-sheet'!B7*'Output-Calculation-sheet'!B25</f>
        <v>1293.1357145888223</v>
      </c>
      <c r="C19" s="2">
        <f>C8/'Output-Calculation-sheet'!C7*'Output-Calculation-sheet'!C25</f>
        <v>17071.331927911629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5801.6791218961207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4031.3180446250908</v>
      </c>
      <c r="N19" s="2">
        <f>N8/'Output-Calculation-sheet'!N7*'Output-Calculation-sheet'!N25</f>
        <v>1380.190547037467</v>
      </c>
      <c r="O19" s="2">
        <f>O8/'Output-Calculation-sheet'!O7*'Output-Calculation-sheet'!O25</f>
        <v>2203.3304939496329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492.47377511410815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450.41939924628116</v>
      </c>
      <c r="Y19" s="2">
        <f>Y8/'Output-Calculation-sheet'!Y7*'Output-Calculation-sheet'!Y25</f>
        <v>0</v>
      </c>
      <c r="AA19" s="2">
        <f t="shared" si="0"/>
        <v>32.723879024369154</v>
      </c>
    </row>
    <row r="20" spans="1:27" x14ac:dyDescent="0.25">
      <c r="A20" s="2">
        <v>2032</v>
      </c>
      <c r="B20" s="2">
        <f>B9/'Output-Calculation-sheet'!B8*'Output-Calculation-sheet'!B26</f>
        <v>7661.374719675051</v>
      </c>
      <c r="C20" s="2">
        <f>C9/'Output-Calculation-sheet'!C8*'Output-Calculation-sheet'!C26</f>
        <v>26010.872351651095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8324.7663446273382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5791.2437184491209</v>
      </c>
      <c r="N20" s="2">
        <f>N9/'Output-Calculation-sheet'!N8*'Output-Calculation-sheet'!N26</f>
        <v>2613.7088957790102</v>
      </c>
      <c r="O20" s="2">
        <f>O9/'Output-Calculation-sheet'!O8*'Output-Calculation-sheet'!O26</f>
        <v>2742.7486537497407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949.89277340464912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647.91050436683508</v>
      </c>
      <c r="Y20" s="2">
        <f>Y9/'Output-Calculation-sheet'!Y8*'Output-Calculation-sheet'!Y26</f>
        <v>0</v>
      </c>
      <c r="AA20" s="2">
        <f t="shared" si="0"/>
        <v>54.742517961702831</v>
      </c>
    </row>
    <row r="21" spans="1:27" x14ac:dyDescent="0.25">
      <c r="A21" s="2">
        <v>2033</v>
      </c>
      <c r="B21" s="2">
        <f>B10/'Output-Calculation-sheet'!B9*'Output-Calculation-sheet'!B27</f>
        <v>19189.080251113352</v>
      </c>
      <c r="C21" s="2">
        <f>C10/'Output-Calculation-sheet'!C9*'Output-Calculation-sheet'!C27</f>
        <v>32954.037513826559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11106.989325937557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7714.4955121520316</v>
      </c>
      <c r="N21" s="2">
        <f>N10/'Output-Calculation-sheet'!N9*'Output-Calculation-sheet'!N27</f>
        <v>4221.21740157972</v>
      </c>
      <c r="O21" s="2">
        <f>O10/'Output-Calculation-sheet'!O9*'Output-Calculation-sheet'!O27</f>
        <v>3287.9586503497226</v>
      </c>
      <c r="P21" s="2">
        <f>P10/'Output-Calculation-sheet'!P9*'Output-Calculation-sheet'!P27</f>
        <v>0</v>
      </c>
      <c r="Q21" s="2">
        <f>Q10/'Output-Calculation-sheet'!Q9*'Output-Calculation-sheet'!Q27</f>
        <v>287.91497889034531</v>
      </c>
      <c r="R21" s="2">
        <f>R10/'Output-Calculation-sheet'!R9*'Output-Calculation-sheet'!R27</f>
        <v>0</v>
      </c>
      <c r="S21" s="2">
        <f>S10/'Output-Calculation-sheet'!S9*'Output-Calculation-sheet'!S27</f>
        <v>1833.4346398798118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907.15858157411901</v>
      </c>
      <c r="Y21" s="2">
        <f>Y10/'Output-Calculation-sheet'!Y9*'Output-Calculation-sheet'!Y27</f>
        <v>0</v>
      </c>
      <c r="AA21" s="2">
        <f t="shared" si="0"/>
        <v>81.502286855303211</v>
      </c>
    </row>
    <row r="22" spans="1:27" x14ac:dyDescent="0.25">
      <c r="A22" s="2">
        <v>2034</v>
      </c>
      <c r="B22" s="2">
        <f>B11/'Output-Calculation-sheet'!B10*'Output-Calculation-sheet'!B28</f>
        <v>39595.478818010699</v>
      </c>
      <c r="C22" s="2">
        <f>C11/'Output-Calculation-sheet'!C10*'Output-Calculation-sheet'!C28</f>
        <v>37986.890248204996</v>
      </c>
      <c r="D22" s="2">
        <f>D11/'Output-Calculation-sheet'!D10*'Output-Calculation-sheet'!D28</f>
        <v>0</v>
      </c>
      <c r="E22" s="2">
        <f>E11/'Output-Calculation-sheet'!E10*'Output-Calculation-sheet'!E28</f>
        <v>2028.8116196880555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14495.725427070403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1209.7723424588733</v>
      </c>
      <c r="M22" s="2">
        <f>M11/'Output-Calculation-sheet'!M10*'Output-Calculation-sheet'!M28</f>
        <v>10568.658057772014</v>
      </c>
      <c r="N22" s="2">
        <f>N11/'Output-Calculation-sheet'!N10*'Output-Calculation-sheet'!N28</f>
        <v>6307.2502336021562</v>
      </c>
      <c r="O22" s="2">
        <f>O11/'Output-Calculation-sheet'!O10*'Output-Calculation-sheet'!O28</f>
        <v>3898.2935565389412</v>
      </c>
      <c r="P22" s="2">
        <f>P11/'Output-Calculation-sheet'!P10*'Output-Calculation-sheet'!P28</f>
        <v>0</v>
      </c>
      <c r="Q22" s="2">
        <f>Q11/'Output-Calculation-sheet'!Q10*'Output-Calculation-sheet'!Q28</f>
        <v>1432.8098498294366</v>
      </c>
      <c r="R22" s="2">
        <f>R11/'Output-Calculation-sheet'!R10*'Output-Calculation-sheet'!R28</f>
        <v>0</v>
      </c>
      <c r="S22" s="2">
        <f>S11/'Output-Calculation-sheet'!S10*'Output-Calculation-sheet'!S28</f>
        <v>3217.5870815136791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1061.2730542467009</v>
      </c>
      <c r="Y22" s="2">
        <f>Y11/'Output-Calculation-sheet'!Y10*'Output-Calculation-sheet'!Y28</f>
        <v>110.08250806600896</v>
      </c>
      <c r="AA22" s="2">
        <f t="shared" si="0"/>
        <v>121.91263279700198</v>
      </c>
    </row>
    <row r="23" spans="1:27" x14ac:dyDescent="0.25">
      <c r="A23" s="2">
        <v>2035</v>
      </c>
      <c r="B23" s="2">
        <f>B12/'Output-Calculation-sheet'!B11*'Output-Calculation-sheet'!B29</f>
        <v>51109.172571060422</v>
      </c>
      <c r="C23" s="2">
        <f>C12/'Output-Calculation-sheet'!C11*'Output-Calculation-sheet'!C29</f>
        <v>41745.335826742914</v>
      </c>
      <c r="D23" s="2">
        <f>D12/'Output-Calculation-sheet'!D11*'Output-Calculation-sheet'!D29</f>
        <v>0</v>
      </c>
      <c r="E23" s="2">
        <f>E12/'Output-Calculation-sheet'!E11*'Output-Calculation-sheet'!E29</f>
        <v>7879.7873488730347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16069.745586335168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1786.2842065516409</v>
      </c>
      <c r="M23" s="2">
        <f>M12/'Output-Calculation-sheet'!M11*'Output-Calculation-sheet'!M29</f>
        <v>11773.631667179538</v>
      </c>
      <c r="N23" s="2">
        <f>N12/'Output-Calculation-sheet'!N11*'Output-Calculation-sheet'!N29</f>
        <v>6868.2160818041693</v>
      </c>
      <c r="O23" s="2">
        <f>O12/'Output-Calculation-sheet'!O11*'Output-Calculation-sheet'!O29</f>
        <v>4630.0219681163962</v>
      </c>
      <c r="P23" s="2">
        <f>P12/'Output-Calculation-sheet'!P11*'Output-Calculation-sheet'!P29</f>
        <v>838.82684099246126</v>
      </c>
      <c r="Q23" s="2">
        <f>Q12/'Output-Calculation-sheet'!Q11*'Output-Calculation-sheet'!Q29</f>
        <v>1883.1568865404488</v>
      </c>
      <c r="R23" s="2">
        <f>R12/'Output-Calculation-sheet'!R11*'Output-Calculation-sheet'!R29</f>
        <v>0</v>
      </c>
      <c r="S23" s="2">
        <f>S12/'Output-Calculation-sheet'!S11*'Output-Calculation-sheet'!S29</f>
        <v>3676.5572381692114</v>
      </c>
      <c r="T23" s="2">
        <f>T12/'Output-Calculation-sheet'!T11*'Output-Calculation-sheet'!T29</f>
        <v>0</v>
      </c>
      <c r="U23" s="2">
        <f>U12/'Output-Calculation-sheet'!U11*'Output-Calculation-sheet'!U29</f>
        <v>160.3252803130629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1166.3614051623945</v>
      </c>
      <c r="Y23" s="2">
        <f>Y12/'Output-Calculation-sheet'!Y11*'Output-Calculation-sheet'!Y29</f>
        <v>345.30810703148484</v>
      </c>
      <c r="AA23" s="2">
        <f t="shared" si="0"/>
        <v>149.93273101487236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2504.1414456833122</v>
      </c>
      <c r="C27" s="2">
        <f>C5/'Output-Calculation-sheet'!C4*'Output-Calculation-sheet'!C13</f>
        <v>0</v>
      </c>
      <c r="D27" s="2">
        <f>D5/'Output-Calculation-sheet'!D4*'Output-Calculation-sheet'!D13</f>
        <v>447.33558611350941</v>
      </c>
      <c r="E27" s="2">
        <f>E5/'Output-Calculation-sheet'!E4*'Output-Calculation-sheet'!E13</f>
        <v>481.27782588996712</v>
      </c>
      <c r="F27" s="2">
        <f>F5/'Output-Calculation-sheet'!F4*'Output-Calculation-sheet'!F13</f>
        <v>242.82749537111511</v>
      </c>
      <c r="G27" s="2">
        <f>G5/'Output-Calculation-sheet'!G4*'Output-Calculation-sheet'!G13</f>
        <v>159.01580217807515</v>
      </c>
      <c r="H27" s="2">
        <f>H5/'Output-Calculation-sheet'!H4*'Output-Calculation-sheet'!H13</f>
        <v>0</v>
      </c>
      <c r="I27" s="2">
        <f>I5/'Output-Calculation-sheet'!I4*'Output-Calculation-sheet'!I13</f>
        <v>155.02022792977669</v>
      </c>
      <c r="J27" s="2">
        <f>J5/'Output-Calculation-sheet'!J4*'Output-Calculation-sheet'!J13</f>
        <v>137.99817189254861</v>
      </c>
      <c r="K27" s="2">
        <f>K5/'Output-Calculation-sheet'!K4*'Output-Calculation-sheet'!K13</f>
        <v>184.24557097933075</v>
      </c>
      <c r="L27" s="2">
        <f>L5/'Output-Calculation-sheet'!L4*'Output-Calculation-sheet'!L13</f>
        <v>155.62778354434798</v>
      </c>
      <c r="M27" s="2">
        <f>M5/'Output-Calculation-sheet'!M4*'Output-Calculation-sheet'!M13</f>
        <v>0</v>
      </c>
      <c r="N27" s="2">
        <f>N5/'Output-Calculation-sheet'!N4*'Output-Calculation-sheet'!N13</f>
        <v>298.70996831696249</v>
      </c>
      <c r="O27" s="2">
        <f>O5/'Output-Calculation-sheet'!O4*'Output-Calculation-sheet'!O13</f>
        <v>0</v>
      </c>
      <c r="P27" s="2">
        <f>P5/'Output-Calculation-sheet'!P4*'Output-Calculation-sheet'!P13</f>
        <v>182.4874100205131</v>
      </c>
      <c r="Q27" s="2">
        <f>Q5/'Output-Calculation-sheet'!Q4*'Output-Calculation-sheet'!Q13</f>
        <v>203.08851457760323</v>
      </c>
      <c r="R27" s="2">
        <f>R5/'Output-Calculation-sheet'!R4*'Output-Calculation-sheet'!R13</f>
        <v>137.29654783747617</v>
      </c>
      <c r="S27" s="2">
        <f>S5/'Output-Calculation-sheet'!S4*'Output-Calculation-sheet'!S13</f>
        <v>158.46088170778449</v>
      </c>
      <c r="T27" s="2">
        <f>T5/'Output-Calculation-sheet'!T4*'Output-Calculation-sheet'!T13</f>
        <v>41.614483279902437</v>
      </c>
      <c r="U27" s="2">
        <f>U5/'Output-Calculation-sheet'!U4*'Output-Calculation-sheet'!U13</f>
        <v>41.541576899447783</v>
      </c>
      <c r="V27" s="2">
        <f>V5/'Output-Calculation-sheet'!V4*'Output-Calculation-sheet'!V13</f>
        <v>32.331009028422002</v>
      </c>
      <c r="W27" s="2">
        <f>W5/'Output-Calculation-sheet'!W4*'Output-Calculation-sheet'!W13</f>
        <v>19.609201796962768</v>
      </c>
      <c r="X27" s="2">
        <f>X5/'Output-Calculation-sheet'!X4*'Output-Calculation-sheet'!X13</f>
        <v>0</v>
      </c>
      <c r="Y27" s="2">
        <f>Y5/'Output-Calculation-sheet'!Y4*'Output-Calculation-sheet'!Y13</f>
        <v>16.579717952772711</v>
      </c>
      <c r="AA27" s="2">
        <f t="shared" ref="AA27:AA34" si="1">SUM(B27:Y27)/1000</f>
        <v>5.599209220999831</v>
      </c>
    </row>
    <row r="28" spans="1:27" x14ac:dyDescent="0.25">
      <c r="A28" s="2">
        <v>2029</v>
      </c>
      <c r="B28" s="2">
        <f>B6/'Output-Calculation-sheet'!B5*'Output-Calculation-sheet'!B14</f>
        <v>6975.0614014457879</v>
      </c>
      <c r="C28" s="2">
        <f>C6/'Output-Calculation-sheet'!C5*'Output-Calculation-sheet'!C14</f>
        <v>0</v>
      </c>
      <c r="D28" s="2">
        <f>D6/'Output-Calculation-sheet'!D5*'Output-Calculation-sheet'!D14</f>
        <v>1245.9238393254443</v>
      </c>
      <c r="E28" s="2">
        <f>E6/'Output-Calculation-sheet'!E5*'Output-Calculation-sheet'!E14</f>
        <v>1340.5773800615191</v>
      </c>
      <c r="F28" s="2">
        <f>F6/'Output-Calculation-sheet'!F5*'Output-Calculation-sheet'!F14</f>
        <v>676.32842181815863</v>
      </c>
      <c r="G28" s="2">
        <f>G6/'Output-Calculation-sheet'!G5*'Output-Calculation-sheet'!G14</f>
        <v>442.9147876716487</v>
      </c>
      <c r="H28" s="2">
        <f>H6/'Output-Calculation-sheet'!H5*'Output-Calculation-sheet'!H14</f>
        <v>0</v>
      </c>
      <c r="I28" s="2">
        <f>I6/'Output-Calculation-sheet'!I5*'Output-Calculation-sheet'!I14</f>
        <v>431.78571184665856</v>
      </c>
      <c r="J28" s="2">
        <f>J6/'Output-Calculation-sheet'!J5*'Output-Calculation-sheet'!J14</f>
        <v>384.35329961501031</v>
      </c>
      <c r="K28" s="2">
        <f>K6/'Output-Calculation-sheet'!K5*'Output-Calculation-sheet'!K14</f>
        <v>513.18854372954593</v>
      </c>
      <c r="L28" s="2">
        <f>L6/'Output-Calculation-sheet'!L5*'Output-Calculation-sheet'!L14</f>
        <v>433.47796734794025</v>
      </c>
      <c r="M28" s="2">
        <f>M6/'Output-Calculation-sheet'!M5*'Output-Calculation-sheet'!M14</f>
        <v>0</v>
      </c>
      <c r="N28" s="2">
        <f>N6/'Output-Calculation-sheet'!N5*'Output-Calculation-sheet'!N14</f>
        <v>832.02677253838363</v>
      </c>
      <c r="O28" s="2">
        <f>O6/'Output-Calculation-sheet'!O5*'Output-Calculation-sheet'!O14</f>
        <v>0</v>
      </c>
      <c r="P28" s="2">
        <f>P6/'Output-Calculation-sheet'!P5*'Output-Calculation-sheet'!P14</f>
        <v>508.2914487421229</v>
      </c>
      <c r="Q28" s="2">
        <f>Q6/'Output-Calculation-sheet'!Q5*'Output-Calculation-sheet'!Q14</f>
        <v>565.68565791721255</v>
      </c>
      <c r="R28" s="2">
        <f>R6/'Output-Calculation-sheet'!R5*'Output-Calculation-sheet'!R14</f>
        <v>382.41904578380706</v>
      </c>
      <c r="S28" s="2">
        <f>S6/'Output-Calculation-sheet'!S5*'Output-Calculation-sheet'!S14</f>
        <v>441.37758385742876</v>
      </c>
      <c r="T28" s="2">
        <f>T6/'Output-Calculation-sheet'!T5*'Output-Calculation-sheet'!T14</f>
        <v>115.91093321242691</v>
      </c>
      <c r="U28" s="2">
        <f>U6/'Output-Calculation-sheet'!U5*'Output-Calculation-sheet'!U14</f>
        <v>115.70374535854505</v>
      </c>
      <c r="V28" s="2">
        <f>V6/'Output-Calculation-sheet'!V5*'Output-Calculation-sheet'!V14</f>
        <v>90.050025661151054</v>
      </c>
      <c r="W28" s="2">
        <f>W6/'Output-Calculation-sheet'!W5*'Output-Calculation-sheet'!W14</f>
        <v>54.621255024991989</v>
      </c>
      <c r="X28" s="2">
        <f>X6/'Output-Calculation-sheet'!X5*'Output-Calculation-sheet'!X14</f>
        <v>0</v>
      </c>
      <c r="Y28" s="2">
        <f>Y6/'Output-Calculation-sheet'!Y5*'Output-Calculation-sheet'!Y14</f>
        <v>46.18033023211477</v>
      </c>
      <c r="AA28" s="2">
        <f t="shared" si="1"/>
        <v>15.595878151189893</v>
      </c>
    </row>
    <row r="29" spans="1:27" x14ac:dyDescent="0.25">
      <c r="A29" s="2">
        <v>2030</v>
      </c>
      <c r="B29" s="2">
        <f>B7/'Output-Calculation-sheet'!B6*'Output-Calculation-sheet'!B15</f>
        <v>13552.6126352148</v>
      </c>
      <c r="C29" s="2">
        <f>C7/'Output-Calculation-sheet'!C6*'Output-Calculation-sheet'!C15</f>
        <v>0</v>
      </c>
      <c r="D29" s="2">
        <f>D7/'Output-Calculation-sheet'!D6*'Output-Calculation-sheet'!D15</f>
        <v>2370.7665856164185</v>
      </c>
      <c r="E29" s="2">
        <f>E7/'Output-Calculation-sheet'!E6*'Output-Calculation-sheet'!E15</f>
        <v>2550.8006949201194</v>
      </c>
      <c r="F29" s="2">
        <f>F7/'Output-Calculation-sheet'!F6*'Output-Calculation-sheet'!F15</f>
        <v>1286.9283360530835</v>
      </c>
      <c r="G29" s="2">
        <f>G7/'Output-Calculation-sheet'!G6*'Output-Calculation-sheet'!G15</f>
        <v>842.77219598129716</v>
      </c>
      <c r="H29" s="2">
        <f>H7/'Output-Calculation-sheet'!H6*'Output-Calculation-sheet'!H15</f>
        <v>0</v>
      </c>
      <c r="I29" s="2">
        <f>I7/'Output-Calculation-sheet'!I6*'Output-Calculation-sheet'!I15</f>
        <v>821.59594282078501</v>
      </c>
      <c r="J29" s="2">
        <f>J7/'Output-Calculation-sheet'!J6*'Output-Calculation-sheet'!J15</f>
        <v>731.35489294473336</v>
      </c>
      <c r="K29" s="2">
        <f>K7/'Output-Calculation-sheet'!K6*'Output-Calculation-sheet'!K15</f>
        <v>976.51335185901678</v>
      </c>
      <c r="L29" s="2">
        <f>L7/'Output-Calculation-sheet'!L6*'Output-Calculation-sheet'!L15</f>
        <v>824.83599291676478</v>
      </c>
      <c r="M29" s="2">
        <f>M7/'Output-Calculation-sheet'!M6*'Output-Calculation-sheet'!M15</f>
        <v>0</v>
      </c>
      <c r="N29" s="2">
        <f>N7/'Output-Calculation-sheet'!N6*'Output-Calculation-sheet'!N15</f>
        <v>1064.191500591799</v>
      </c>
      <c r="O29" s="2">
        <f>O7/'Output-Calculation-sheet'!O6*'Output-Calculation-sheet'!O15</f>
        <v>0</v>
      </c>
      <c r="P29" s="2">
        <f>P7/'Output-Calculation-sheet'!P6*'Output-Calculation-sheet'!P15</f>
        <v>967.17001188157531</v>
      </c>
      <c r="Q29" s="2">
        <f>Q7/'Output-Calculation-sheet'!Q6*'Output-Calculation-sheet'!Q15</f>
        <v>1089.8124823691437</v>
      </c>
      <c r="R29" s="2">
        <f>R7/'Output-Calculation-sheet'!R6*'Output-Calculation-sheet'!R15</f>
        <v>727.66172629851314</v>
      </c>
      <c r="S29" s="2">
        <f>S7/'Output-Calculation-sheet'!S6*'Output-Calculation-sheet'!S15</f>
        <v>751.59757644000138</v>
      </c>
      <c r="T29" s="2">
        <f>T7/'Output-Calculation-sheet'!T6*'Output-Calculation-sheet'!T15</f>
        <v>220.55373728929908</v>
      </c>
      <c r="U29" s="2">
        <f>U7/'Output-Calculation-sheet'!U6*'Output-Calculation-sheet'!U15</f>
        <v>220.1621149747352</v>
      </c>
      <c r="V29" s="2">
        <f>V7/'Output-Calculation-sheet'!V6*'Output-Calculation-sheet'!V15</f>
        <v>171.34797035911538</v>
      </c>
      <c r="W29" s="2">
        <f>W7/'Output-Calculation-sheet'!W6*'Output-Calculation-sheet'!W15</f>
        <v>103.93083250045947</v>
      </c>
      <c r="X29" s="2">
        <f>X7/'Output-Calculation-sheet'!X6*'Output-Calculation-sheet'!X15</f>
        <v>0</v>
      </c>
      <c r="Y29" s="2">
        <f>Y7/'Output-Calculation-sheet'!Y6*'Output-Calculation-sheet'!Y15</f>
        <v>87.871300313670062</v>
      </c>
      <c r="AA29" s="2">
        <f t="shared" si="1"/>
        <v>29.362479881345326</v>
      </c>
    </row>
    <row r="30" spans="1:27" x14ac:dyDescent="0.25">
      <c r="A30" s="2">
        <v>2031</v>
      </c>
      <c r="B30" s="2">
        <f>B8/'Output-Calculation-sheet'!B7*'Output-Calculation-sheet'!B16</f>
        <v>22538.935434857889</v>
      </c>
      <c r="C30" s="2">
        <f>C8/'Output-Calculation-sheet'!C7*'Output-Calculation-sheet'!C16</f>
        <v>0</v>
      </c>
      <c r="D30" s="2">
        <f>D8/'Output-Calculation-sheet'!D7*'Output-Calculation-sheet'!D16</f>
        <v>3795.2587702781661</v>
      </c>
      <c r="E30" s="2">
        <f>E8/'Output-Calculation-sheet'!E7*'Output-Calculation-sheet'!E16</f>
        <v>4083.4840128282835</v>
      </c>
      <c r="F30" s="2">
        <f>F8/'Output-Calculation-sheet'!F7*'Output-Calculation-sheet'!F16</f>
        <v>2060.1394138017581</v>
      </c>
      <c r="G30" s="2">
        <f>G8/'Output-Calculation-sheet'!G7*'Output-Calculation-sheet'!G16</f>
        <v>1349.1466299538881</v>
      </c>
      <c r="H30" s="2">
        <f>H8/'Output-Calculation-sheet'!H7*'Output-Calculation-sheet'!H16</f>
        <v>0</v>
      </c>
      <c r="I30" s="2">
        <f>I8/'Output-Calculation-sheet'!I7*'Output-Calculation-sheet'!I16</f>
        <v>1315.2159547146343</v>
      </c>
      <c r="J30" s="2">
        <f>J8/'Output-Calculation-sheet'!J7*'Output-Calculation-sheet'!J16</f>
        <v>1170.7950944305942</v>
      </c>
      <c r="K30" s="2">
        <f>K8/'Output-Calculation-sheet'!K7*'Output-Calculation-sheet'!K16</f>
        <v>1563.2352366147816</v>
      </c>
      <c r="L30" s="2">
        <f>L8/'Output-Calculation-sheet'!L7*'Output-Calculation-sheet'!L16</f>
        <v>1320.4255467722649</v>
      </c>
      <c r="M30" s="2">
        <f>M8/'Output-Calculation-sheet'!M7*'Output-Calculation-sheet'!M16</f>
        <v>0</v>
      </c>
      <c r="N30" s="2">
        <f>N8/'Output-Calculation-sheet'!N7*'Output-Calculation-sheet'!N16</f>
        <v>1875.553244959021</v>
      </c>
      <c r="O30" s="2">
        <f>O8/'Output-Calculation-sheet'!O7*'Output-Calculation-sheet'!O16</f>
        <v>0</v>
      </c>
      <c r="P30" s="2">
        <f>P8/'Output-Calculation-sheet'!P7*'Output-Calculation-sheet'!P16</f>
        <v>1685.685714752608</v>
      </c>
      <c r="Q30" s="2">
        <f>Q8/'Output-Calculation-sheet'!Q7*'Output-Calculation-sheet'!Q16</f>
        <v>1853.6975719420461</v>
      </c>
      <c r="R30" s="2">
        <f>R8/'Output-Calculation-sheet'!R7*'Output-Calculation-sheet'!R16</f>
        <v>1176.1791662789542</v>
      </c>
      <c r="S30" s="2">
        <f>S8/'Output-Calculation-sheet'!S7*'Output-Calculation-sheet'!S16</f>
        <v>1182.8913471774808</v>
      </c>
      <c r="T30" s="2">
        <f>T8/'Output-Calculation-sheet'!T7*'Output-Calculation-sheet'!T16</f>
        <v>353.07207903450649</v>
      </c>
      <c r="U30" s="2">
        <f>U8/'Output-Calculation-sheet'!U7*'Output-Calculation-sheet'!U16</f>
        <v>352.44097164633024</v>
      </c>
      <c r="V30" s="2">
        <f>V8/'Output-Calculation-sheet'!V7*'Output-Calculation-sheet'!V16</f>
        <v>274.29810886799572</v>
      </c>
      <c r="W30" s="2">
        <f>W8/'Output-Calculation-sheet'!W7*'Output-Calculation-sheet'!W16</f>
        <v>166.37563109170057</v>
      </c>
      <c r="X30" s="2">
        <f>X8/'Output-Calculation-sheet'!X7*'Output-Calculation-sheet'!X16</f>
        <v>0</v>
      </c>
      <c r="Y30" s="2">
        <f>Y8/'Output-Calculation-sheet'!Y7*'Output-Calculation-sheet'!Y16</f>
        <v>140.81805691500969</v>
      </c>
      <c r="AA30" s="2">
        <f t="shared" si="1"/>
        <v>48.25764798691791</v>
      </c>
    </row>
    <row r="31" spans="1:27" x14ac:dyDescent="0.25">
      <c r="A31" s="2">
        <v>2032</v>
      </c>
      <c r="B31" s="2">
        <f>B9/'Output-Calculation-sheet'!B8*'Output-Calculation-sheet'!B17</f>
        <v>32440.791785479254</v>
      </c>
      <c r="C31" s="2">
        <f>C9/'Output-Calculation-sheet'!C8*'Output-Calculation-sheet'!C17</f>
        <v>0</v>
      </c>
      <c r="D31" s="2">
        <f>D9/'Output-Calculation-sheet'!D8*'Output-Calculation-sheet'!D17</f>
        <v>5440.7467183266081</v>
      </c>
      <c r="E31" s="2">
        <f>E9/'Output-Calculation-sheet'!E8*'Output-Calculation-sheet'!E17</f>
        <v>6394.8544078911746</v>
      </c>
      <c r="F31" s="2">
        <f>F9/'Output-Calculation-sheet'!F8*'Output-Calculation-sheet'!F17</f>
        <v>2953.4138383830068</v>
      </c>
      <c r="G31" s="2">
        <f>G9/'Output-Calculation-sheet'!G8*'Output-Calculation-sheet'!G17</f>
        <v>1934.1173631292891</v>
      </c>
      <c r="H31" s="2">
        <f>H9/'Output-Calculation-sheet'!H8*'Output-Calculation-sheet'!H17</f>
        <v>0</v>
      </c>
      <c r="I31" s="2">
        <f>I9/'Output-Calculation-sheet'!I8*'Output-Calculation-sheet'!I17</f>
        <v>1885.4836625979472</v>
      </c>
      <c r="J31" s="2">
        <f>J9/'Output-Calculation-sheet'!J8*'Output-Calculation-sheet'!J17</f>
        <v>1678.4438862436537</v>
      </c>
      <c r="K31" s="2">
        <f>K9/'Output-Calculation-sheet'!K8*'Output-Calculation-sheet'!K17</f>
        <v>2389.658442909018</v>
      </c>
      <c r="L31" s="2">
        <f>L9/'Output-Calculation-sheet'!L8*'Output-Calculation-sheet'!L17</f>
        <v>2037.9585604684396</v>
      </c>
      <c r="M31" s="2">
        <f>M9/'Output-Calculation-sheet'!M8*'Output-Calculation-sheet'!M17</f>
        <v>0</v>
      </c>
      <c r="N31" s="2">
        <f>N9/'Output-Calculation-sheet'!N8*'Output-Calculation-sheet'!N17</f>
        <v>2215.4693893901094</v>
      </c>
      <c r="O31" s="2">
        <f>O9/'Output-Calculation-sheet'!O8*'Output-Calculation-sheet'!O17</f>
        <v>0</v>
      </c>
      <c r="P31" s="2">
        <f>P9/'Output-Calculation-sheet'!P8*'Output-Calculation-sheet'!P17</f>
        <v>2749.7413775993609</v>
      </c>
      <c r="Q31" s="2">
        <f>Q9/'Output-Calculation-sheet'!Q8*'Output-Calculation-sheet'!Q17</f>
        <v>2931.4769463707648</v>
      </c>
      <c r="R31" s="2">
        <f>R9/'Output-Calculation-sheet'!R8*'Output-Calculation-sheet'!R17</f>
        <v>1917.9271450761728</v>
      </c>
      <c r="S31" s="2">
        <f>S9/'Output-Calculation-sheet'!S8*'Output-Calculation-sheet'!S17</f>
        <v>1650.2911949127199</v>
      </c>
      <c r="T31" s="2">
        <f>T9/'Output-Calculation-sheet'!T8*'Output-Calculation-sheet'!T17</f>
        <v>520.44354333223453</v>
      </c>
      <c r="U31" s="2">
        <f>U9/'Output-Calculation-sheet'!U8*'Output-Calculation-sheet'!U17</f>
        <v>598.15554950312685</v>
      </c>
      <c r="V31" s="2">
        <f>V9/'Output-Calculation-sheet'!V8*'Output-Calculation-sheet'!V17</f>
        <v>428.43043827708283</v>
      </c>
      <c r="W31" s="2">
        <f>W9/'Output-Calculation-sheet'!W8*'Output-Calculation-sheet'!W17</f>
        <v>238.51733349545438</v>
      </c>
      <c r="X31" s="2">
        <f>X9/'Output-Calculation-sheet'!X8*'Output-Calculation-sheet'!X17</f>
        <v>0</v>
      </c>
      <c r="Y31" s="2">
        <f>Y9/'Output-Calculation-sheet'!Y8*'Output-Calculation-sheet'!Y17</f>
        <v>230.45941954638658</v>
      </c>
      <c r="AA31" s="2">
        <f t="shared" si="1"/>
        <v>70.636381002931799</v>
      </c>
    </row>
    <row r="32" spans="1:27" x14ac:dyDescent="0.25">
      <c r="A32" s="2">
        <v>2033</v>
      </c>
      <c r="B32" s="2">
        <f>B10/'Output-Calculation-sheet'!B9*'Output-Calculation-sheet'!B18</f>
        <v>38956.203926199763</v>
      </c>
      <c r="C32" s="2">
        <f>C10/'Output-Calculation-sheet'!C9*'Output-Calculation-sheet'!C18</f>
        <v>0</v>
      </c>
      <c r="D32" s="2">
        <f>D10/'Output-Calculation-sheet'!D9*'Output-Calculation-sheet'!D18</f>
        <v>7483.3565369932412</v>
      </c>
      <c r="E32" s="2">
        <f>E10/'Output-Calculation-sheet'!E9*'Output-Calculation-sheet'!E18</f>
        <v>10453.868238459614</v>
      </c>
      <c r="F32" s="2">
        <f>F10/'Output-Calculation-sheet'!F9*'Output-Calculation-sheet'!F18</f>
        <v>4220.0802755824297</v>
      </c>
      <c r="G32" s="2">
        <f>G10/'Output-Calculation-sheet'!G9*'Output-Calculation-sheet'!G18</f>
        <v>2632.6721811720709</v>
      </c>
      <c r="H32" s="2">
        <f>H10/'Output-Calculation-sheet'!H9*'Output-Calculation-sheet'!H18</f>
        <v>0</v>
      </c>
      <c r="I32" s="2">
        <f>I10/'Output-Calculation-sheet'!I9*'Output-Calculation-sheet'!I18</f>
        <v>2779.483619487487</v>
      </c>
      <c r="J32" s="2">
        <f>J10/'Output-Calculation-sheet'!J9*'Output-Calculation-sheet'!J18</f>
        <v>2230.9033390571603</v>
      </c>
      <c r="K32" s="2">
        <f>K10/'Output-Calculation-sheet'!K9*'Output-Calculation-sheet'!K18</f>
        <v>3713.0643757442776</v>
      </c>
      <c r="L32" s="2">
        <f>L10/'Output-Calculation-sheet'!L9*'Output-Calculation-sheet'!L18</f>
        <v>3207.4812687824547</v>
      </c>
      <c r="M32" s="2">
        <f>M10/'Output-Calculation-sheet'!M9*'Output-Calculation-sheet'!M18</f>
        <v>0</v>
      </c>
      <c r="N32" s="2">
        <f>N10/'Output-Calculation-sheet'!N9*'Output-Calculation-sheet'!N18</f>
        <v>2373.8558669289268</v>
      </c>
      <c r="O32" s="2">
        <f>O10/'Output-Calculation-sheet'!O9*'Output-Calculation-sheet'!O18</f>
        <v>0</v>
      </c>
      <c r="P32" s="2">
        <f>P10/'Output-Calculation-sheet'!P9*'Output-Calculation-sheet'!P18</f>
        <v>3821.8667723506178</v>
      </c>
      <c r="Q32" s="2">
        <f>Q10/'Output-Calculation-sheet'!Q9*'Output-Calculation-sheet'!Q18</f>
        <v>4160.2091338325508</v>
      </c>
      <c r="R32" s="2">
        <f>R10/'Output-Calculation-sheet'!R9*'Output-Calculation-sheet'!R18</f>
        <v>2744.2988379887261</v>
      </c>
      <c r="S32" s="2">
        <f>S10/'Output-Calculation-sheet'!S9*'Output-Calculation-sheet'!S18</f>
        <v>1800.8248526616185</v>
      </c>
      <c r="T32" s="2">
        <f>T10/'Output-Calculation-sheet'!T9*'Output-Calculation-sheet'!T18</f>
        <v>801.04171460130794</v>
      </c>
      <c r="U32" s="2">
        <f>U10/'Output-Calculation-sheet'!U9*'Output-Calculation-sheet'!U18</f>
        <v>885.94301514826782</v>
      </c>
      <c r="V32" s="2">
        <f>V10/'Output-Calculation-sheet'!V9*'Output-Calculation-sheet'!V18</f>
        <v>654.24964040316922</v>
      </c>
      <c r="W32" s="2">
        <f>W10/'Output-Calculation-sheet'!W9*'Output-Calculation-sheet'!W18</f>
        <v>326.35844905718346</v>
      </c>
      <c r="X32" s="2">
        <f>X10/'Output-Calculation-sheet'!X9*'Output-Calculation-sheet'!X18</f>
        <v>0</v>
      </c>
      <c r="Y32" s="2">
        <f>Y10/'Output-Calculation-sheet'!Y9*'Output-Calculation-sheet'!Y18</f>
        <v>379.00192719453037</v>
      </c>
      <c r="AA32" s="2">
        <f t="shared" si="1"/>
        <v>93.624763971645393</v>
      </c>
    </row>
    <row r="33" spans="1:27" x14ac:dyDescent="0.25">
      <c r="A33" s="2">
        <v>2034</v>
      </c>
      <c r="B33" s="2">
        <f>B11/'Output-Calculation-sheet'!B10*'Output-Calculation-sheet'!B19</f>
        <v>39938.325228336114</v>
      </c>
      <c r="C33" s="2">
        <f>C11/'Output-Calculation-sheet'!C10*'Output-Calculation-sheet'!C19</f>
        <v>0</v>
      </c>
      <c r="D33" s="2">
        <f>D11/'Output-Calculation-sheet'!D10*'Output-Calculation-sheet'!D19</f>
        <v>11913.163755409234</v>
      </c>
      <c r="E33" s="2">
        <f>E11/'Output-Calculation-sheet'!E10*'Output-Calculation-sheet'!E19</f>
        <v>14755.249919037635</v>
      </c>
      <c r="F33" s="2">
        <f>F11/'Output-Calculation-sheet'!F10*'Output-Calculation-sheet'!F19</f>
        <v>6770.7640119069538</v>
      </c>
      <c r="G33" s="2">
        <f>G11/'Output-Calculation-sheet'!G10*'Output-Calculation-sheet'!G19</f>
        <v>4055.1282700345423</v>
      </c>
      <c r="H33" s="2">
        <f>H11/'Output-Calculation-sheet'!H10*'Output-Calculation-sheet'!H19</f>
        <v>0</v>
      </c>
      <c r="I33" s="2">
        <f>I11/'Output-Calculation-sheet'!I10*'Output-Calculation-sheet'!I19</f>
        <v>4424.7136032571716</v>
      </c>
      <c r="J33" s="2">
        <f>J11/'Output-Calculation-sheet'!J10*'Output-Calculation-sheet'!J19</f>
        <v>3741.3804825418747</v>
      </c>
      <c r="K33" s="2">
        <f>K11/'Output-Calculation-sheet'!K10*'Output-Calculation-sheet'!K19</f>
        <v>5191.7053219040708</v>
      </c>
      <c r="L33" s="2">
        <f>L11/'Output-Calculation-sheet'!L10*'Output-Calculation-sheet'!L19</f>
        <v>4222.0932161020519</v>
      </c>
      <c r="M33" s="2">
        <f>M11/'Output-Calculation-sheet'!M10*'Output-Calculation-sheet'!M19</f>
        <v>0</v>
      </c>
      <c r="N33" s="2">
        <f>N11/'Output-Calculation-sheet'!N10*'Output-Calculation-sheet'!N19</f>
        <v>2387.4143082851874</v>
      </c>
      <c r="O33" s="2">
        <f>O11/'Output-Calculation-sheet'!O10*'Output-Calculation-sheet'!O19</f>
        <v>0</v>
      </c>
      <c r="P33" s="2">
        <f>P11/'Output-Calculation-sheet'!P10*'Output-Calculation-sheet'!P19</f>
        <v>5253.0899614761147</v>
      </c>
      <c r="Q33" s="2">
        <f>Q11/'Output-Calculation-sheet'!Q10*'Output-Calculation-sheet'!Q19</f>
        <v>4325.8644341631789</v>
      </c>
      <c r="R33" s="2">
        <f>R11/'Output-Calculation-sheet'!R10*'Output-Calculation-sheet'!R19</f>
        <v>3750.6215625505174</v>
      </c>
      <c r="S33" s="2">
        <f>S11/'Output-Calculation-sheet'!S10*'Output-Calculation-sheet'!S19</f>
        <v>1748.4077112392092</v>
      </c>
      <c r="T33" s="2">
        <f>T11/'Output-Calculation-sheet'!T10*'Output-Calculation-sheet'!T19</f>
        <v>1100.5410922068429</v>
      </c>
      <c r="U33" s="2">
        <f>U11/'Output-Calculation-sheet'!U10*'Output-Calculation-sheet'!U19</f>
        <v>1266.6279926603916</v>
      </c>
      <c r="V33" s="2">
        <f>V11/'Output-Calculation-sheet'!V10*'Output-Calculation-sheet'!V19</f>
        <v>863.03900889467138</v>
      </c>
      <c r="W33" s="2">
        <f>W11/'Output-Calculation-sheet'!W10*'Output-Calculation-sheet'!W19</f>
        <v>538.20285306391406</v>
      </c>
      <c r="X33" s="2">
        <f>X11/'Output-Calculation-sheet'!X10*'Output-Calculation-sheet'!X19</f>
        <v>155.62107297281662</v>
      </c>
      <c r="Y33" s="2">
        <f>Y11/'Output-Calculation-sheet'!Y10*'Output-Calculation-sheet'!Y19</f>
        <v>484.36303549043936</v>
      </c>
      <c r="AA33" s="2">
        <f t="shared" si="1"/>
        <v>116.88631684153293</v>
      </c>
    </row>
    <row r="34" spans="1:27" x14ac:dyDescent="0.25">
      <c r="A34" s="2">
        <v>2035</v>
      </c>
      <c r="B34" s="2">
        <f>B12/'Output-Calculation-sheet'!B11*'Output-Calculation-sheet'!B20</f>
        <v>40677.361123852977</v>
      </c>
      <c r="C34" s="2">
        <f>C12/'Output-Calculation-sheet'!C11*'Output-Calculation-sheet'!C20</f>
        <v>0</v>
      </c>
      <c r="D34" s="2">
        <f>D12/'Output-Calculation-sheet'!D11*'Output-Calculation-sheet'!D20</f>
        <v>12765.796438900439</v>
      </c>
      <c r="E34" s="2">
        <f>E12/'Output-Calculation-sheet'!E11*'Output-Calculation-sheet'!E20</f>
        <v>13948.508470512901</v>
      </c>
      <c r="F34" s="2">
        <f>F12/'Output-Calculation-sheet'!F11*'Output-Calculation-sheet'!F20</f>
        <v>8788.2144034237372</v>
      </c>
      <c r="G34" s="2">
        <f>G12/'Output-Calculation-sheet'!G11*'Output-Calculation-sheet'!G20</f>
        <v>4696.1608597745908</v>
      </c>
      <c r="H34" s="2">
        <f>H12/'Output-Calculation-sheet'!H11*'Output-Calculation-sheet'!H20</f>
        <v>0</v>
      </c>
      <c r="I34" s="2">
        <f>I12/'Output-Calculation-sheet'!I11*'Output-Calculation-sheet'!I20</f>
        <v>5104.0873831057279</v>
      </c>
      <c r="J34" s="2">
        <f>J12/'Output-Calculation-sheet'!J11*'Output-Calculation-sheet'!J20</f>
        <v>4381.863425897348</v>
      </c>
      <c r="K34" s="2">
        <f>K12/'Output-Calculation-sheet'!K11*'Output-Calculation-sheet'!K20</f>
        <v>5761.0835161320292</v>
      </c>
      <c r="L34" s="2">
        <f>L12/'Output-Calculation-sheet'!L11*'Output-Calculation-sheet'!L20</f>
        <v>4553.0765801610014</v>
      </c>
      <c r="M34" s="2">
        <f>M12/'Output-Calculation-sheet'!M11*'Output-Calculation-sheet'!M20</f>
        <v>0</v>
      </c>
      <c r="N34" s="2">
        <f>N12/'Output-Calculation-sheet'!N11*'Output-Calculation-sheet'!N20</f>
        <v>2533.7878656280172</v>
      </c>
      <c r="O34" s="2">
        <f>O12/'Output-Calculation-sheet'!O11*'Output-Calculation-sheet'!O20</f>
        <v>0</v>
      </c>
      <c r="P34" s="2">
        <f>P12/'Output-Calculation-sheet'!P11*'Output-Calculation-sheet'!P20</f>
        <v>5662.5530434348102</v>
      </c>
      <c r="Q34" s="2">
        <f>Q12/'Output-Calculation-sheet'!Q11*'Output-Calculation-sheet'!Q20</f>
        <v>4480.610678713957</v>
      </c>
      <c r="R34" s="2">
        <f>R12/'Output-Calculation-sheet'!R11*'Output-Calculation-sheet'!R20</f>
        <v>4497.1893310586875</v>
      </c>
      <c r="S34" s="2">
        <f>S12/'Output-Calculation-sheet'!S11*'Output-Calculation-sheet'!S20</f>
        <v>1717.8172025105675</v>
      </c>
      <c r="T34" s="2">
        <f>T12/'Output-Calculation-sheet'!T11*'Output-Calculation-sheet'!T20</f>
        <v>1412.8779662904733</v>
      </c>
      <c r="U34" s="2">
        <f>U12/'Output-Calculation-sheet'!U11*'Output-Calculation-sheet'!U20</f>
        <v>1289.0322037581529</v>
      </c>
      <c r="V34" s="2">
        <f>V12/'Output-Calculation-sheet'!V11*'Output-Calculation-sheet'!V20</f>
        <v>1184.1082043780461</v>
      </c>
      <c r="W34" s="2">
        <f>W12/'Output-Calculation-sheet'!W11*'Output-Calculation-sheet'!W20</f>
        <v>761.81340406011088</v>
      </c>
      <c r="X34" s="2">
        <f>X12/'Output-Calculation-sheet'!X11*'Output-Calculation-sheet'!X20</f>
        <v>153.96535518127504</v>
      </c>
      <c r="Y34" s="2">
        <f>Y12/'Output-Calculation-sheet'!Y11*'Output-Calculation-sheet'!Y20</f>
        <v>427.02519264848723</v>
      </c>
      <c r="AA34" s="2">
        <f t="shared" si="1"/>
        <v>124.79693264942335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1.0232768645849679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0.19879516631024693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1.2220720308952149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1.228579804792731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0.47736000895171504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1.7059398137444459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1.4090195859709214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0.82120379915290997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2.2302233851238311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1.5606867445645536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0.90959834532097761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2.4702850898855311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3.3820184218793159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0.52054530006678867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0.35818610472011675</v>
      </c>
      <c r="N44" s="2">
        <f>N11/'Output-Calculation-sheet'!N10*'Output-Calculation-sheet'!N37*0.0114</f>
        <v>0</v>
      </c>
      <c r="O44" s="2">
        <f>O11/'Output-Calculation-sheet'!O10*'Output-Calculation-sheet'!O37*0.0114</f>
        <v>1.3140703907431897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0.308439531847642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3.9293898688566954E-2</v>
      </c>
      <c r="Y44" s="2">
        <f>Y11/'Output-Calculation-sheet'!Y10*'Output-Calculation-sheet'!Y37*0.0114</f>
        <v>0</v>
      </c>
      <c r="AA44" s="2">
        <f t="shared" si="2"/>
        <v>5.9225536479456204</v>
      </c>
    </row>
    <row r="45" spans="1:27" x14ac:dyDescent="0.25">
      <c r="A45" s="2">
        <v>2035</v>
      </c>
      <c r="B45" s="2">
        <f>B12/'Output-Calculation-sheet'!B11*'Output-Calculation-sheet'!B38*0.0114</f>
        <v>3.8019965631306896</v>
      </c>
      <c r="C45" s="2">
        <f>C12/'Output-Calculation-sheet'!C11*'Output-Calculation-sheet'!C38*0.0114</f>
        <v>3.6090247334344681</v>
      </c>
      <c r="D45" s="2">
        <f>D12/'Output-Calculation-sheet'!D11*'Output-Calculation-sheet'!D38*0.0114</f>
        <v>1.5984938753922917</v>
      </c>
      <c r="E45" s="2">
        <f>E12/'Output-Calculation-sheet'!E11*'Output-Calculation-sheet'!E38*0.0114</f>
        <v>1.270376260796094</v>
      </c>
      <c r="F45" s="2">
        <f>F12/'Output-Calculation-sheet'!F11*'Output-Calculation-sheet'!F38*0.0114</f>
        <v>0.79897955371180474</v>
      </c>
      <c r="G45" s="2">
        <f>G12/'Output-Calculation-sheet'!G11*'Output-Calculation-sheet'!G38*0.0114</f>
        <v>0.57341409752613781</v>
      </c>
      <c r="H45" s="2">
        <f>H12/'Output-Calculation-sheet'!H11*'Output-Calculation-sheet'!H38*0.0114</f>
        <v>0.55548510636739079</v>
      </c>
      <c r="I45" s="2">
        <f>I12/'Output-Calculation-sheet'!I11*'Output-Calculation-sheet'!I38*0.0114</f>
        <v>0.51575174542767888</v>
      </c>
      <c r="J45" s="2">
        <f>J12/'Output-Calculation-sheet'!J11*'Output-Calculation-sheet'!J38*0.0114</f>
        <v>0.51042489787290557</v>
      </c>
      <c r="K45" s="2">
        <f>K12/'Output-Calculation-sheet'!K11*'Output-Calculation-sheet'!K38*0.0114</f>
        <v>0.5069027822844705</v>
      </c>
      <c r="L45" s="2">
        <f>L12/'Output-Calculation-sheet'!L11*'Output-Calculation-sheet'!L38*0.0114</f>
        <v>0.40306480255509891</v>
      </c>
      <c r="M45" s="2">
        <f>M12/'Output-Calculation-sheet'!M11*'Output-Calculation-sheet'!M38*0.0114</f>
        <v>0.38222811051074113</v>
      </c>
      <c r="N45" s="2">
        <f>N12/'Output-Calculation-sheet'!N11*'Output-Calculation-sheet'!N38*0.0114</f>
        <v>0.37566889931277664</v>
      </c>
      <c r="O45" s="2">
        <f>O12/'Output-Calculation-sheet'!O11*'Output-Calculation-sheet'!O38*0.0114</f>
        <v>1.40227282943975</v>
      </c>
      <c r="P45" s="2">
        <f>P12/'Output-Calculation-sheet'!P11*'Output-Calculation-sheet'!P38*0.0114</f>
        <v>0.34705037335102196</v>
      </c>
      <c r="Q45" s="2">
        <f>Q12/'Output-Calculation-sheet'!Q11*'Output-Calculation-sheet'!Q38*0.0114</f>
        <v>0.32914247066357655</v>
      </c>
      <c r="R45" s="2">
        <f>R12/'Output-Calculation-sheet'!R11*'Output-Calculation-sheet'!R38*0.0114</f>
        <v>0.32640613221069237</v>
      </c>
      <c r="S45" s="2">
        <f>S12/'Output-Calculation-sheet'!S11*'Output-Calculation-sheet'!S38*0.0114</f>
        <v>0.21534579723130562</v>
      </c>
      <c r="T45" s="2">
        <f>T12/'Output-Calculation-sheet'!T11*'Output-Calculation-sheet'!T38*0.0114</f>
        <v>0.1207588005376473</v>
      </c>
      <c r="U45" s="2">
        <f>U12/'Output-Calculation-sheet'!U11*'Output-Calculation-sheet'!U38*0.0114</f>
        <v>0.10501655915702812</v>
      </c>
      <c r="V45" s="2">
        <f>V12/'Output-Calculation-sheet'!V11*'Output-Calculation-sheet'!V38*0.0114</f>
        <v>8.0977291584890893E-2</v>
      </c>
      <c r="W45" s="2">
        <f>W12/'Output-Calculation-sheet'!W11*'Output-Calculation-sheet'!W38*0.0114</f>
        <v>7.0120244855113797E-2</v>
      </c>
      <c r="X45" s="2">
        <f>X12/'Output-Calculation-sheet'!X11*'Output-Calculation-sheet'!X38*0.0114</f>
        <v>4.1931365992176964E-2</v>
      </c>
      <c r="Y45" s="2">
        <f>Y12/'Output-Calculation-sheet'!Y11*'Output-Calculation-sheet'!Y38*0.0114</f>
        <v>4.0464545914074682E-2</v>
      </c>
      <c r="AA45" s="2">
        <f t="shared" si="2"/>
        <v>17.981297839259824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9335.1573611260246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2044.71404454815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1444.9893858442663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204.40594718443722</v>
      </c>
      <c r="Y51" s="2">
        <f>Y7/'Output-Calculation-sheet'!Y6*'Output-Calculation-sheet'!Y42</f>
        <v>0</v>
      </c>
      <c r="AA51" s="2">
        <f t="shared" si="3"/>
        <v>13.029266738702878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25218.217045745532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8227.4027609073473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5615.602888921575</v>
      </c>
      <c r="N52" s="2">
        <f>N8/'Output-Calculation-sheet'!N7*'Output-Calculation-sheet'!N43</f>
        <v>179.48736733422851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726.23247701805565</v>
      </c>
      <c r="Y52" s="2">
        <f>Y8/'Output-Calculation-sheet'!Y7*'Output-Calculation-sheet'!Y43</f>
        <v>0</v>
      </c>
      <c r="AA52" s="2">
        <f t="shared" si="3"/>
        <v>39.966942539926741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60439.524345594778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16702.799018699272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11414.619229332915</v>
      </c>
      <c r="N53" s="2">
        <f>N9/'Output-Calculation-sheet'!N8*'Output-Calculation-sheet'!N44</f>
        <v>4065.5063648928272</v>
      </c>
      <c r="O53" s="2">
        <f>O9/'Output-Calculation-sheet'!O8*'Output-Calculation-sheet'!O44</f>
        <v>0</v>
      </c>
      <c r="P53" s="2">
        <f>P9/'Output-Calculation-sheet'!P8*'Output-Calculation-sheet'!P44</f>
        <v>190.16685270879159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1268.4903495776368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1427.4066485971002</v>
      </c>
      <c r="Y53" s="2">
        <f>Y9/'Output-Calculation-sheet'!Y8*'Output-Calculation-sheet'!Y44</f>
        <v>0</v>
      </c>
      <c r="AA53" s="2">
        <f t="shared" si="3"/>
        <v>95.508512809403328</v>
      </c>
    </row>
    <row r="54" spans="1:27" x14ac:dyDescent="0.25">
      <c r="A54" s="2">
        <v>2033</v>
      </c>
      <c r="B54" s="2">
        <f>B10/'Output-Calculation-sheet'!B9*'Output-Calculation-sheet'!B45</f>
        <v>36920.937259755723</v>
      </c>
      <c r="C54" s="2">
        <f>C10/'Output-Calculation-sheet'!C9*'Output-Calculation-sheet'!C45</f>
        <v>84605.649836920536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26760.681684235416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346.11323944545887</v>
      </c>
      <c r="L54" s="2">
        <f>L10/'Output-Calculation-sheet'!L9*'Output-Calculation-sheet'!L45</f>
        <v>0</v>
      </c>
      <c r="M54" s="2">
        <f>M10/'Output-Calculation-sheet'!M9*'Output-Calculation-sheet'!M45</f>
        <v>18355.97093279093</v>
      </c>
      <c r="N54" s="2">
        <f>N10/'Output-Calculation-sheet'!N9*'Output-Calculation-sheet'!N45</f>
        <v>10288.770310854026</v>
      </c>
      <c r="O54" s="2">
        <f>O10/'Output-Calculation-sheet'!O9*'Output-Calculation-sheet'!O45</f>
        <v>0</v>
      </c>
      <c r="P54" s="2">
        <f>P10/'Output-Calculation-sheet'!P9*'Output-Calculation-sheet'!P45</f>
        <v>2790.9329879726188</v>
      </c>
      <c r="Q54" s="2">
        <f>Q10/'Output-Calculation-sheet'!Q9*'Output-Calculation-sheet'!Q45</f>
        <v>1098.7215152797219</v>
      </c>
      <c r="R54" s="2">
        <f>R10/'Output-Calculation-sheet'!R9*'Output-Calculation-sheet'!R45</f>
        <v>1832.487651358188</v>
      </c>
      <c r="S54" s="2">
        <f>S10/'Output-Calculation-sheet'!S9*'Output-Calculation-sheet'!S45</f>
        <v>4378.4684240860934</v>
      </c>
      <c r="T54" s="2">
        <f>T10/'Output-Calculation-sheet'!T9*'Output-Calculation-sheet'!T45</f>
        <v>91.615681889553144</v>
      </c>
      <c r="U54" s="2">
        <f>U10/'Output-Calculation-sheet'!U9*'Output-Calculation-sheet'!U45</f>
        <v>661.28230954968831</v>
      </c>
      <c r="V54" s="2">
        <f>V10/'Output-Calculation-sheet'!V9*'Output-Calculation-sheet'!V45</f>
        <v>49.147820303538694</v>
      </c>
      <c r="W54" s="2">
        <f>W10/'Output-Calculation-sheet'!W9*'Output-Calculation-sheet'!W45</f>
        <v>0</v>
      </c>
      <c r="X54" s="2">
        <f>X10/'Output-Calculation-sheet'!X9*'Output-Calculation-sheet'!X45</f>
        <v>2109.1310569170646</v>
      </c>
      <c r="Y54" s="2">
        <f>Y10/'Output-Calculation-sheet'!Y9*'Output-Calculation-sheet'!Y45</f>
        <v>21.489372739996213</v>
      </c>
      <c r="AA54" s="2">
        <f t="shared" si="3"/>
        <v>190.31140008409858</v>
      </c>
    </row>
    <row r="55" spans="1:27" x14ac:dyDescent="0.25">
      <c r="A55" s="2">
        <v>2034</v>
      </c>
      <c r="B55" s="2">
        <f>B11/'Output-Calculation-sheet'!B10*'Output-Calculation-sheet'!B46</f>
        <v>113761.25192201538</v>
      </c>
      <c r="C55" s="2">
        <f>C11/'Output-Calculation-sheet'!C10*'Output-Calculation-sheet'!C46</f>
        <v>93598.843166923165</v>
      </c>
      <c r="D55" s="2">
        <f>D11/'Output-Calculation-sheet'!D10*'Output-Calculation-sheet'!D46</f>
        <v>10511.924252544986</v>
      </c>
      <c r="E55" s="2">
        <f>E11/'Output-Calculation-sheet'!E10*'Output-Calculation-sheet'!E46</f>
        <v>12948.972660146123</v>
      </c>
      <c r="F55" s="2">
        <f>F11/'Output-Calculation-sheet'!F10*'Output-Calculation-sheet'!F46</f>
        <v>394.06528282237758</v>
      </c>
      <c r="G55" s="2">
        <f>G11/'Output-Calculation-sheet'!G10*'Output-Calculation-sheet'!G46</f>
        <v>4666.4306904885407</v>
      </c>
      <c r="H55" s="2">
        <f>H11/'Output-Calculation-sheet'!H10*'Output-Calculation-sheet'!H46</f>
        <v>33744.120767487439</v>
      </c>
      <c r="I55" s="2">
        <f>I11/'Output-Calculation-sheet'!I10*'Output-Calculation-sheet'!I46</f>
        <v>2543.7429091133245</v>
      </c>
      <c r="J55" s="2">
        <f>J11/'Output-Calculation-sheet'!J10*'Output-Calculation-sheet'!J46</f>
        <v>1846.144905594286</v>
      </c>
      <c r="K55" s="2">
        <f>K11/'Output-Calculation-sheet'!K10*'Output-Calculation-sheet'!K46</f>
        <v>4958.5294335820126</v>
      </c>
      <c r="L55" s="2">
        <f>L11/'Output-Calculation-sheet'!L10*'Output-Calculation-sheet'!L46</f>
        <v>1822.295588837894</v>
      </c>
      <c r="M55" s="2">
        <f>M11/'Output-Calculation-sheet'!M10*'Output-Calculation-sheet'!M46</f>
        <v>23847.653814260404</v>
      </c>
      <c r="N55" s="2">
        <f>N11/'Output-Calculation-sheet'!N10*'Output-Calculation-sheet'!N46</f>
        <v>18188.705715615826</v>
      </c>
      <c r="O55" s="2">
        <f>O11/'Output-Calculation-sheet'!O10*'Output-Calculation-sheet'!O46</f>
        <v>403.44266382466344</v>
      </c>
      <c r="P55" s="2">
        <f>P11/'Output-Calculation-sheet'!P10*'Output-Calculation-sheet'!P46</f>
        <v>6761.174130510648</v>
      </c>
      <c r="Q55" s="2">
        <f>Q11/'Output-Calculation-sheet'!Q10*'Output-Calculation-sheet'!Q46</f>
        <v>3977.2465948774889</v>
      </c>
      <c r="R55" s="2">
        <f>R11/'Output-Calculation-sheet'!R10*'Output-Calculation-sheet'!R46</f>
        <v>5473.558144308482</v>
      </c>
      <c r="S55" s="2">
        <f>S11/'Output-Calculation-sheet'!S10*'Output-Calculation-sheet'!S46</f>
        <v>8939.4137306449393</v>
      </c>
      <c r="T55" s="2">
        <f>T11/'Output-Calculation-sheet'!T10*'Output-Calculation-sheet'!T46</f>
        <v>1240.8236508808254</v>
      </c>
      <c r="U55" s="2">
        <f>U11/'Output-Calculation-sheet'!U10*'Output-Calculation-sheet'!U46</f>
        <v>2071.811719986737</v>
      </c>
      <c r="V55" s="2">
        <f>V11/'Output-Calculation-sheet'!V10*'Output-Calculation-sheet'!V46</f>
        <v>838.71623799287795</v>
      </c>
      <c r="W55" s="2">
        <f>W11/'Output-Calculation-sheet'!W10*'Output-Calculation-sheet'!W46</f>
        <v>109.51617928324426</v>
      </c>
      <c r="X55" s="2">
        <f>X11/'Output-Calculation-sheet'!X10*'Output-Calculation-sheet'!X46</f>
        <v>2440.3579185531057</v>
      </c>
      <c r="Y55" s="2">
        <f>Y11/'Output-Calculation-sheet'!Y10*'Output-Calculation-sheet'!Y46</f>
        <v>635.31527543761024</v>
      </c>
      <c r="AA55" s="2">
        <f t="shared" si="3"/>
        <v>355.72405735573244</v>
      </c>
    </row>
    <row r="56" spans="1:27" x14ac:dyDescent="0.25">
      <c r="A56" s="2">
        <v>2035</v>
      </c>
      <c r="B56" s="2">
        <f>B12/'Output-Calculation-sheet'!B11*'Output-Calculation-sheet'!B47</f>
        <v>154414.421818378</v>
      </c>
      <c r="C56" s="2">
        <f>C12/'Output-Calculation-sheet'!C11*'Output-Calculation-sheet'!C47</f>
        <v>101464.24798822342</v>
      </c>
      <c r="D56" s="2">
        <f>D12/'Output-Calculation-sheet'!D11*'Output-Calculation-sheet'!D47</f>
        <v>12339.250967940496</v>
      </c>
      <c r="E56" s="2">
        <f>E12/'Output-Calculation-sheet'!E11*'Output-Calculation-sheet'!E47</f>
        <v>34656.755886630279</v>
      </c>
      <c r="F56" s="2">
        <f>F12/'Output-Calculation-sheet'!F11*'Output-Calculation-sheet'!F47</f>
        <v>4275.2414716157964</v>
      </c>
      <c r="G56" s="2">
        <f>G12/'Output-Calculation-sheet'!G11*'Output-Calculation-sheet'!G47</f>
        <v>9657.5005899138996</v>
      </c>
      <c r="H56" s="2">
        <f>H12/'Output-Calculation-sheet'!H11*'Output-Calculation-sheet'!H47</f>
        <v>36886.160133343408</v>
      </c>
      <c r="I56" s="2">
        <f>I12/'Output-Calculation-sheet'!I11*'Output-Calculation-sheet'!I47</f>
        <v>4886.0691672095891</v>
      </c>
      <c r="J56" s="2">
        <f>J12/'Output-Calculation-sheet'!J11*'Output-Calculation-sheet'!J47</f>
        <v>4432.6372710015476</v>
      </c>
      <c r="K56" s="2">
        <f>K12/'Output-Calculation-sheet'!K11*'Output-Calculation-sheet'!K47</f>
        <v>6402.982513066996</v>
      </c>
      <c r="L56" s="2">
        <f>L12/'Output-Calculation-sheet'!L11*'Output-Calculation-sheet'!L47</f>
        <v>3535.6561627640253</v>
      </c>
      <c r="M56" s="2">
        <f>M12/'Output-Calculation-sheet'!M11*'Output-Calculation-sheet'!M47</f>
        <v>25716.575505415651</v>
      </c>
      <c r="N56" s="2">
        <f>N12/'Output-Calculation-sheet'!N11*'Output-Calculation-sheet'!N47</f>
        <v>19640.233683369726</v>
      </c>
      <c r="O56" s="2">
        <f>O12/'Output-Calculation-sheet'!O11*'Output-Calculation-sheet'!O47</f>
        <v>1845.0958282101974</v>
      </c>
      <c r="P56" s="2">
        <f>P12/'Output-Calculation-sheet'!P11*'Output-Calculation-sheet'!P47</f>
        <v>10198.410094087048</v>
      </c>
      <c r="Q56" s="2">
        <f>Q12/'Output-Calculation-sheet'!Q11*'Output-Calculation-sheet'!Q47</f>
        <v>5168.1142323491404</v>
      </c>
      <c r="R56" s="2">
        <f>R12/'Output-Calculation-sheet'!R11*'Output-Calculation-sheet'!R47</f>
        <v>7530.2467343343942</v>
      </c>
      <c r="S56" s="2">
        <f>S12/'Output-Calculation-sheet'!S11*'Output-Calculation-sheet'!S47</f>
        <v>9973.9106086078391</v>
      </c>
      <c r="T56" s="2">
        <f>T12/'Output-Calculation-sheet'!T11*'Output-Calculation-sheet'!T47</f>
        <v>2637.6264327959802</v>
      </c>
      <c r="U56" s="2">
        <f>U12/'Output-Calculation-sheet'!U11*'Output-Calculation-sheet'!U47</f>
        <v>2524.0822113180443</v>
      </c>
      <c r="V56" s="2">
        <f>V12/'Output-Calculation-sheet'!V11*'Output-Calculation-sheet'!V47</f>
        <v>1761.6112555309596</v>
      </c>
      <c r="W56" s="2">
        <f>W12/'Output-Calculation-sheet'!W11*'Output-Calculation-sheet'!W47</f>
        <v>1002.5964834546972</v>
      </c>
      <c r="X56" s="2">
        <f>X12/'Output-Calculation-sheet'!X11*'Output-Calculation-sheet'!X47</f>
        <v>2655.6531795045407</v>
      </c>
      <c r="Y56" s="2">
        <f>Y12/'Output-Calculation-sheet'!Y11*'Output-Calculation-sheet'!Y47</f>
        <v>1359.4667618500528</v>
      </c>
      <c r="AA56" s="2">
        <f t="shared" si="3"/>
        <v>464.96454698091577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5.0725590766760833</v>
      </c>
      <c r="C60" s="2">
        <f>C5*'Output-Calculation-sheet'!C49/10^9</f>
        <v>2.0459773571251709</v>
      </c>
      <c r="D60" s="2">
        <f>D5*'Output-Calculation-sheet'!D49/10^9</f>
        <v>1.3375738480345654</v>
      </c>
      <c r="E60" s="2">
        <f>E5*'Output-Calculation-sheet'!E49/10^9</f>
        <v>1.5518856911873322</v>
      </c>
      <c r="F60" s="2">
        <f>F5*'Output-Calculation-sheet'!F49/10^9</f>
        <v>0.71273489652079591</v>
      </c>
      <c r="G60" s="2">
        <f>G5*'Output-Calculation-sheet'!G49/10^9</f>
        <v>0.56225372291909859</v>
      </c>
      <c r="H60" s="2">
        <f>H5*'Output-Calculation-sheet'!H49/10^9</f>
        <v>0.5375956706597611</v>
      </c>
      <c r="I60" s="2">
        <f>I5*'Output-Calculation-sheet'!I49/10^9</f>
        <v>0.42326039285642575</v>
      </c>
      <c r="J60" s="2">
        <f>J5*'Output-Calculation-sheet'!J49/10^9</f>
        <v>0.65597755937692248</v>
      </c>
      <c r="K60" s="2">
        <f>K5*'Output-Calculation-sheet'!K49/10^9</f>
        <v>0.36410275512421542</v>
      </c>
      <c r="L60" s="2">
        <f>L5*'Output-Calculation-sheet'!L49/10^9</f>
        <v>0.47547521073513976</v>
      </c>
      <c r="M60" s="2">
        <f>M5*'Output-Calculation-sheet'!M49/10^9</f>
        <v>0.41152189830318753</v>
      </c>
      <c r="N60" s="2">
        <f>N5*'Output-Calculation-sheet'!N49/10^9</f>
        <v>0.34448182083793605</v>
      </c>
      <c r="O60" s="2">
        <f>O5*'Output-Calculation-sheet'!O49/10^9</f>
        <v>0.34529417961211128</v>
      </c>
      <c r="P60" s="2">
        <f>P5*'Output-Calculation-sheet'!P49/10^9</f>
        <v>0.36025358672209928</v>
      </c>
      <c r="Q60" s="2">
        <f>Q5*'Output-Calculation-sheet'!Q49/10^9</f>
        <v>0.31245376642809941</v>
      </c>
      <c r="R60" s="2">
        <f>R5*'Output-Calculation-sheet'!R49/10^9</f>
        <v>0.32667306761509102</v>
      </c>
      <c r="S60" s="2">
        <f>S5*'Output-Calculation-sheet'!S49/10^9</f>
        <v>0.23017435834208541</v>
      </c>
      <c r="T60" s="2">
        <f>T5*'Output-Calculation-sheet'!T49/10^9</f>
        <v>0.14318286130805383</v>
      </c>
      <c r="U60" s="2">
        <f>U5*'Output-Calculation-sheet'!U49/10^9</f>
        <v>0.1052079181922398</v>
      </c>
      <c r="V60" s="2">
        <f>V5*'Output-Calculation-sheet'!V49/10^9</f>
        <v>0.20007725351108799</v>
      </c>
      <c r="W60" s="2">
        <f>W5*'Output-Calculation-sheet'!W49/10^9</f>
        <v>7.967013669569159E-2</v>
      </c>
      <c r="X60" s="2">
        <f>X5*'Output-Calculation-sheet'!X49/10^9</f>
        <v>5.8434755474997525E-2</v>
      </c>
      <c r="Y60" s="2">
        <f>Y5*'Output-Calculation-sheet'!Y49/10^9</f>
        <v>4.225951098258026E-2</v>
      </c>
      <c r="AA60" s="2">
        <f t="shared" ref="AA60:AA67" si="4">SUM(B60:Y60)</f>
        <v>16.69908129524077</v>
      </c>
    </row>
    <row r="61" spans="1:27" x14ac:dyDescent="0.25">
      <c r="A61" s="2">
        <v>2029</v>
      </c>
      <c r="B61" s="2">
        <f>B6*'Output-Calculation-sheet'!B50/10^9</f>
        <v>6.5374176804198889</v>
      </c>
      <c r="C61" s="2">
        <f>C6*'Output-Calculation-sheet'!C50/10^9</f>
        <v>2.8018501765903334</v>
      </c>
      <c r="D61" s="2">
        <f>D6*'Output-Calculation-sheet'!D50/10^9</f>
        <v>1.6828251099558802</v>
      </c>
      <c r="E61" s="2">
        <f>E6*'Output-Calculation-sheet'!E50/10^9</f>
        <v>1.9451953925093053</v>
      </c>
      <c r="F61" s="2">
        <f>F6*'Output-Calculation-sheet'!F50/10^9</f>
        <v>0.89756316463738572</v>
      </c>
      <c r="G61" s="2">
        <f>G6*'Output-Calculation-sheet'!G50/10^9</f>
        <v>0.70179374856557386</v>
      </c>
      <c r="H61" s="2">
        <f>H6*'Output-Calculation-sheet'!H50/10^9</f>
        <v>0.7264909407587119</v>
      </c>
      <c r="I61" s="2">
        <f>I6*'Output-Calculation-sheet'!I50/10^9</f>
        <v>0.53510471711759811</v>
      </c>
      <c r="J61" s="2">
        <f>J6*'Output-Calculation-sheet'!J50/10^9</f>
        <v>0.80962631793436146</v>
      </c>
      <c r="K61" s="2">
        <f>K6*'Output-Calculation-sheet'!K50/10^9</f>
        <v>0.47011543362091507</v>
      </c>
      <c r="L61" s="2">
        <f>L6*'Output-Calculation-sheet'!L50/10^9</f>
        <v>0.59755263122903535</v>
      </c>
      <c r="M61" s="2">
        <f>M6*'Output-Calculation-sheet'!M50/10^9</f>
        <v>0.55012684468968664</v>
      </c>
      <c r="N61" s="2">
        <f>N6*'Output-Calculation-sheet'!N50/10^9</f>
        <v>0.46873446639044974</v>
      </c>
      <c r="O61" s="2">
        <f>O6*'Output-Calculation-sheet'!O50/10^9</f>
        <v>0.48805649764088471</v>
      </c>
      <c r="P61" s="2">
        <f>P6*'Output-Calculation-sheet'!P50/10^9</f>
        <v>0.46518149153664606</v>
      </c>
      <c r="Q61" s="2">
        <f>Q6*'Output-Calculation-sheet'!Q50/10^9</f>
        <v>0.41208966691992105</v>
      </c>
      <c r="R61" s="2">
        <f>R6*'Output-Calculation-sheet'!R50/10^9</f>
        <v>0.41639374438283222</v>
      </c>
      <c r="S61" s="2">
        <f>S6*'Output-Calculation-sheet'!S50/10^9</f>
        <v>0.30527706374351316</v>
      </c>
      <c r="T61" s="2">
        <f>T6*'Output-Calculation-sheet'!T50/10^9</f>
        <v>0.17893359973005674</v>
      </c>
      <c r="U61" s="2">
        <f>U6*'Output-Calculation-sheet'!U50/10^9</f>
        <v>0.13358778158133225</v>
      </c>
      <c r="V61" s="2">
        <f>V6*'Output-Calculation-sheet'!V50/10^9</f>
        <v>0.24506182483129105</v>
      </c>
      <c r="W61" s="2">
        <f>W6*'Output-Calculation-sheet'!W50/10^9</f>
        <v>9.8879961498775537E-2</v>
      </c>
      <c r="X61" s="2">
        <f>X6*'Output-Calculation-sheet'!X50/10^9</f>
        <v>7.7194754658738748E-2</v>
      </c>
      <c r="Y61" s="2">
        <f>Y6*'Output-Calculation-sheet'!Y50/10^9</f>
        <v>5.3638595349620809E-2</v>
      </c>
      <c r="AA61" s="2">
        <f t="shared" si="4"/>
        <v>21.598691606292746</v>
      </c>
    </row>
    <row r="62" spans="1:27" x14ac:dyDescent="0.25">
      <c r="A62" s="2">
        <v>2030</v>
      </c>
      <c r="B62" s="2">
        <f>B7*'Output-Calculation-sheet'!B51/10^9</f>
        <v>7.6378864445348329</v>
      </c>
      <c r="C62" s="2">
        <f>C7*'Output-Calculation-sheet'!C51/10^9</f>
        <v>3.7958684001686898</v>
      </c>
      <c r="D62" s="2">
        <f>D7*'Output-Calculation-sheet'!D51/10^9</f>
        <v>1.9027766899325538</v>
      </c>
      <c r="E62" s="2">
        <f>E7*'Output-Calculation-sheet'!E51/10^9</f>
        <v>2.1895351068568885</v>
      </c>
      <c r="F62" s="2">
        <f>F7*'Output-Calculation-sheet'!F51/10^9</f>
        <v>1.0160501387101462</v>
      </c>
      <c r="G62" s="2">
        <f>G7*'Output-Calculation-sheet'!G51/10^9</f>
        <v>0.78589738699686085</v>
      </c>
      <c r="H62" s="2">
        <f>H7*'Output-Calculation-sheet'!H51/10^9</f>
        <v>0.9568794586838516</v>
      </c>
      <c r="I62" s="2">
        <f>I7*'Output-Calculation-sheet'!I51/10^9</f>
        <v>0.60858318712557469</v>
      </c>
      <c r="J62" s="2">
        <f>J7*'Output-Calculation-sheet'!J51/10^9</f>
        <v>0.89406726562996408</v>
      </c>
      <c r="K62" s="2">
        <f>K7*'Output-Calculation-sheet'!K51/10^9</f>
        <v>0.54797628128553622</v>
      </c>
      <c r="L62" s="2">
        <f>L7*'Output-Calculation-sheet'!L51/10^9</f>
        <v>0.67476643158617322</v>
      </c>
      <c r="M62" s="2">
        <f>M7*'Output-Calculation-sheet'!M51/10^9</f>
        <v>0.71297570486109774</v>
      </c>
      <c r="N62" s="2">
        <f>N7*'Output-Calculation-sheet'!N51/10^9</f>
        <v>0.58249184008758248</v>
      </c>
      <c r="O62" s="2">
        <f>O7*'Output-Calculation-sheet'!O51/10^9</f>
        <v>0.66278751435343575</v>
      </c>
      <c r="P62" s="2">
        <f>P7*'Output-Calculation-sheet'!P51/10^9</f>
        <v>0.54227288191023604</v>
      </c>
      <c r="Q62" s="2">
        <f>Q7*'Output-Calculation-sheet'!Q51/10^9</f>
        <v>0.49347168613694925</v>
      </c>
      <c r="R62" s="2">
        <f>R7*'Output-Calculation-sheet'!R51/10^9</f>
        <v>0.47818629948735392</v>
      </c>
      <c r="S62" s="2">
        <f>S7*'Output-Calculation-sheet'!S51/10^9</f>
        <v>0.37073689799526294</v>
      </c>
      <c r="T62" s="2">
        <f>T7*'Output-Calculation-sheet'!T51/10^9</f>
        <v>0.20067373004376185</v>
      </c>
      <c r="U62" s="2">
        <f>U7*'Output-Calculation-sheet'!U51/10^9</f>
        <v>0.15271793535398634</v>
      </c>
      <c r="V62" s="2">
        <f>V7*'Output-Calculation-sheet'!V51/10^9</f>
        <v>0.26800736766959493</v>
      </c>
      <c r="W62" s="2">
        <f>W7*'Output-Calculation-sheet'!W51/10^9</f>
        <v>0.10995600907391972</v>
      </c>
      <c r="X62" s="2">
        <f>X7*'Output-Calculation-sheet'!X51/10^9</f>
        <v>9.8628626138751743E-2</v>
      </c>
      <c r="Y62" s="2">
        <f>Y7*'Output-Calculation-sheet'!Y51/10^9</f>
        <v>6.1292173577775687E-2</v>
      </c>
      <c r="AA62" s="2">
        <f t="shared" si="4"/>
        <v>25.744485458200774</v>
      </c>
    </row>
    <row r="63" spans="1:27" x14ac:dyDescent="0.25">
      <c r="A63" s="2">
        <v>2031</v>
      </c>
      <c r="B63" s="2">
        <f>B8*'Output-Calculation-sheet'!B52/10^9</f>
        <v>8.5685255072559556</v>
      </c>
      <c r="C63" s="2">
        <f>C8*'Output-Calculation-sheet'!C52/10^9</f>
        <v>4.8759387276033266</v>
      </c>
      <c r="D63" s="2">
        <f>D8*'Output-Calculation-sheet'!D52/10^9</f>
        <v>2.0062265922989297</v>
      </c>
      <c r="E63" s="2">
        <f>E8*'Output-Calculation-sheet'!E52/10^9</f>
        <v>2.2952230894729748</v>
      </c>
      <c r="F63" s="2">
        <f>F8*'Output-Calculation-sheet'!F52/10^9</f>
        <v>1.0728704527869128</v>
      </c>
      <c r="G63" s="2">
        <f>G8*'Output-Calculation-sheet'!G52/10^9</f>
        <v>0.81834789338023706</v>
      </c>
      <c r="H63" s="2">
        <f>H8*'Output-Calculation-sheet'!H52/10^9</f>
        <v>1.2232338430153695</v>
      </c>
      <c r="I63" s="2">
        <f>I8*'Output-Calculation-sheet'!I52/10^9</f>
        <v>0.64644044492829356</v>
      </c>
      <c r="J63" s="2">
        <f>J8*'Output-Calculation-sheet'!J52/10^9</f>
        <v>0.91385294027023334</v>
      </c>
      <c r="K63" s="2">
        <f>K8*'Output-Calculation-sheet'!K52/10^9</f>
        <v>0.59989808148616852</v>
      </c>
      <c r="L63" s="2">
        <f>L8*'Output-Calculation-sheet'!L52/10^9</f>
        <v>0.71025439469983276</v>
      </c>
      <c r="M63" s="2">
        <f>M8*'Output-Calculation-sheet'!M52/10^9</f>
        <v>0.89562087374571109</v>
      </c>
      <c r="N63" s="2">
        <f>N8*'Output-Calculation-sheet'!N52/10^9</f>
        <v>0.71412530049353518</v>
      </c>
      <c r="O63" s="2">
        <f>O8*'Output-Calculation-sheet'!O52/10^9</f>
        <v>0.84749316749121273</v>
      </c>
      <c r="P63" s="2">
        <f>P8*'Output-Calculation-sheet'!P52/10^9</f>
        <v>0.61010774130375334</v>
      </c>
      <c r="Q63" s="2">
        <f>Q8*'Output-Calculation-sheet'!Q52/10^9</f>
        <v>0.56909617679869784</v>
      </c>
      <c r="R63" s="2">
        <f>R8*'Output-Calculation-sheet'!R52/10^9</f>
        <v>0.51546748677852017</v>
      </c>
      <c r="S63" s="2">
        <f>S8*'Output-Calculation-sheet'!S52/10^9</f>
        <v>0.43735625599094541</v>
      </c>
      <c r="T63" s="2">
        <f>T8*'Output-Calculation-sheet'!T52/10^9</f>
        <v>0.2093634326248838</v>
      </c>
      <c r="U63" s="2">
        <f>U8*'Output-Calculation-sheet'!U52/10^9</f>
        <v>0.16327190315587531</v>
      </c>
      <c r="V63" s="2">
        <f>V8*'Output-Calculation-sheet'!V52/10^9</f>
        <v>0.27033085557579101</v>
      </c>
      <c r="W63" s="2">
        <f>W8*'Output-Calculation-sheet'!W52/10^9</f>
        <v>0.11344286141225941</v>
      </c>
      <c r="X63" s="2">
        <f>X8*'Output-Calculation-sheet'!X52/10^9</f>
        <v>0.12088740254007493</v>
      </c>
      <c r="Y63" s="2">
        <f>Y8*'Output-Calculation-sheet'!Y52/10^9</f>
        <v>6.5509001028801542E-2</v>
      </c>
      <c r="AA63" s="2">
        <f t="shared" si="4"/>
        <v>29.262884426138289</v>
      </c>
    </row>
    <row r="64" spans="1:27" x14ac:dyDescent="0.25">
      <c r="A64" s="2">
        <v>2032</v>
      </c>
      <c r="B64" s="2">
        <f>B9*'Output-Calculation-sheet'!B53/10^9</f>
        <v>9.4258508418970681</v>
      </c>
      <c r="C64" s="2">
        <f>C9*'Output-Calculation-sheet'!C53/10^9</f>
        <v>5.9215726458825761</v>
      </c>
      <c r="D64" s="2">
        <f>D9*'Output-Calculation-sheet'!D53/10^9</f>
        <v>1.9792899523653025</v>
      </c>
      <c r="E64" s="2">
        <f>E9*'Output-Calculation-sheet'!E53/10^9</f>
        <v>2.3110638695766879</v>
      </c>
      <c r="F64" s="2">
        <f>F9*'Output-Calculation-sheet'!F53/10^9</f>
        <v>1.0605091660077692</v>
      </c>
      <c r="G64" s="2">
        <f>G9*'Output-Calculation-sheet'!G53/10^9</f>
        <v>0.7940644115987372</v>
      </c>
      <c r="H64" s="2">
        <f>H9*'Output-Calculation-sheet'!H53/10^9</f>
        <v>1.4788549198196421</v>
      </c>
      <c r="I64" s="2">
        <f>I9*'Output-Calculation-sheet'!I53/10^9</f>
        <v>0.64393188868771556</v>
      </c>
      <c r="J64" s="2">
        <f>J9*'Output-Calculation-sheet'!J53/10^9</f>
        <v>0.86429492737415048</v>
      </c>
      <c r="K64" s="2">
        <f>K9*'Output-Calculation-sheet'!K53/10^9</f>
        <v>0.63804118092818229</v>
      </c>
      <c r="L64" s="2">
        <f>L9*'Output-Calculation-sheet'!L53/10^9</f>
        <v>0.71631027228959365</v>
      </c>
      <c r="M64" s="2">
        <f>M9*'Output-Calculation-sheet'!M53/10^9</f>
        <v>1.0664619523451604</v>
      </c>
      <c r="N64" s="2">
        <f>N9*'Output-Calculation-sheet'!N53/10^9</f>
        <v>0.87160167384658416</v>
      </c>
      <c r="O64" s="2">
        <f>O9*'Output-Calculation-sheet'!O53/10^9</f>
        <v>1.0296486977550974</v>
      </c>
      <c r="P64" s="2">
        <f>P9*'Output-Calculation-sheet'!P53/10^9</f>
        <v>0.68080956766939915</v>
      </c>
      <c r="Q64" s="2">
        <f>Q9*'Output-Calculation-sheet'!Q53/10^9</f>
        <v>0.64578059737347793</v>
      </c>
      <c r="R64" s="2">
        <f>R9*'Output-Calculation-sheet'!R53/10^9</f>
        <v>0.54937725713714092</v>
      </c>
      <c r="S64" s="2">
        <f>S9*'Output-Calculation-sheet'!S53/10^9</f>
        <v>0.51648769006837691</v>
      </c>
      <c r="T64" s="2">
        <f>T9*'Output-Calculation-sheet'!T53/10^9</f>
        <v>0.20536842205795905</v>
      </c>
      <c r="U64" s="2">
        <f>U9*'Output-Calculation-sheet'!U53/10^9</f>
        <v>0.17497274860649401</v>
      </c>
      <c r="V64" s="2">
        <f>V9*'Output-Calculation-sheet'!V53/10^9</f>
        <v>0.25501711211144595</v>
      </c>
      <c r="W64" s="2">
        <f>W9*'Output-Calculation-sheet'!W53/10^9</f>
        <v>0.10869682552322968</v>
      </c>
      <c r="X64" s="2">
        <f>X9*'Output-Calculation-sheet'!X53/10^9</f>
        <v>0.1404952843521014</v>
      </c>
      <c r="Y64" s="2">
        <f>Y9*'Output-Calculation-sheet'!Y53/10^9</f>
        <v>6.9137208144368273E-2</v>
      </c>
      <c r="AA64" s="2">
        <f t="shared" si="4"/>
        <v>32.147639113418258</v>
      </c>
    </row>
    <row r="65" spans="1:27" x14ac:dyDescent="0.25">
      <c r="A65" s="2">
        <v>2033</v>
      </c>
      <c r="B65" s="2">
        <f>B10*'Output-Calculation-sheet'!B54/10^9</f>
        <v>10.451462896875913</v>
      </c>
      <c r="C65" s="2">
        <f>C10*'Output-Calculation-sheet'!C54/10^9</f>
        <v>6.8689548011561348</v>
      </c>
      <c r="D65" s="2">
        <f>D10*'Output-Calculation-sheet'!D54/10^9</f>
        <v>1.8629337153536765</v>
      </c>
      <c r="E65" s="2">
        <f>E10*'Output-Calculation-sheet'!E54/10^9</f>
        <v>2.372483055184103</v>
      </c>
      <c r="F65" s="2">
        <f>F10*'Output-Calculation-sheet'!F54/10^9</f>
        <v>1.0194764398487808</v>
      </c>
      <c r="G65" s="2">
        <f>G10*'Output-Calculation-sheet'!G54/10^9</f>
        <v>0.72581690360083584</v>
      </c>
      <c r="H65" s="2">
        <f>H10*'Output-Calculation-sheet'!H54/10^9</f>
        <v>1.7054693876371758</v>
      </c>
      <c r="I65" s="2">
        <f>I10*'Output-Calculation-sheet'!I54/10^9</f>
        <v>0.63638975778546403</v>
      </c>
      <c r="J65" s="2">
        <f>J10*'Output-Calculation-sheet'!J54/10^9</f>
        <v>0.75295012210423773</v>
      </c>
      <c r="K65" s="2">
        <f>K10*'Output-Calculation-sheet'!K54/10^9</f>
        <v>0.70457036767515024</v>
      </c>
      <c r="L65" s="2">
        <f>L10*'Output-Calculation-sheet'!L54/10^9</f>
        <v>0.72664561433401598</v>
      </c>
      <c r="M65" s="2">
        <f>M10*'Output-Calculation-sheet'!M54/10^9</f>
        <v>1.2126952489146334</v>
      </c>
      <c r="N65" s="2">
        <f>N10*'Output-Calculation-sheet'!N54/10^9</f>
        <v>1.0333412472672587</v>
      </c>
      <c r="O65" s="2">
        <f>O10*'Output-Calculation-sheet'!O54/10^9</f>
        <v>1.2023557540861665</v>
      </c>
      <c r="P65" s="2">
        <f>P10*'Output-Calculation-sheet'!P54/10^9</f>
        <v>0.76226750711451485</v>
      </c>
      <c r="Q65" s="2">
        <f>Q10*'Output-Calculation-sheet'!Q54/10^9</f>
        <v>0.7522018764946975</v>
      </c>
      <c r="R65" s="2">
        <f>R10*'Output-Calculation-sheet'!R54/10^9</f>
        <v>0.59631406080564808</v>
      </c>
      <c r="S65" s="2">
        <f>S10*'Output-Calculation-sheet'!S54/10^9</f>
        <v>0.59849375961590956</v>
      </c>
      <c r="T65" s="2">
        <f>T10*'Output-Calculation-sheet'!T54/10^9</f>
        <v>0.20193456425038261</v>
      </c>
      <c r="U65" s="2">
        <f>U10*'Output-Calculation-sheet'!U54/10^9</f>
        <v>0.19394482079198358</v>
      </c>
      <c r="V65" s="2">
        <f>V10*'Output-Calculation-sheet'!V54/10^9</f>
        <v>0.22851189311192488</v>
      </c>
      <c r="W65" s="2">
        <f>W10*'Output-Calculation-sheet'!W54/10^9</f>
        <v>9.7661488122447626E-2</v>
      </c>
      <c r="X65" s="2">
        <f>X10*'Output-Calculation-sheet'!X54/10^9</f>
        <v>0.15698733510993834</v>
      </c>
      <c r="Y65" s="2">
        <f>Y10*'Output-Calculation-sheet'!Y54/10^9</f>
        <v>7.5760354735467217E-2</v>
      </c>
      <c r="AA65" s="2">
        <f t="shared" si="4"/>
        <v>34.939622971976448</v>
      </c>
    </row>
    <row r="66" spans="1:27" x14ac:dyDescent="0.25">
      <c r="A66" s="2">
        <v>2034</v>
      </c>
      <c r="B66" s="2">
        <f>B11*'Output-Calculation-sheet'!B55/10^9</f>
        <v>11.692142143222185</v>
      </c>
      <c r="C66" s="2">
        <f>C11*'Output-Calculation-sheet'!C55/10^9</f>
        <v>7.7705915621010773</v>
      </c>
      <c r="D66" s="2">
        <f>D11*'Output-Calculation-sheet'!D55/10^9</f>
        <v>2.1153026024850656</v>
      </c>
      <c r="E66" s="2">
        <f>E11*'Output-Calculation-sheet'!E55/10^9</f>
        <v>2.7396547561677469</v>
      </c>
      <c r="F66" s="2">
        <f>F11*'Output-Calculation-sheet'!F55/10^9</f>
        <v>1.0781874070870625</v>
      </c>
      <c r="G66" s="2">
        <f>G11*'Output-Calculation-sheet'!G55/10^9</f>
        <v>0.78658120331075498</v>
      </c>
      <c r="H66" s="2">
        <f>H11*'Output-Calculation-sheet'!H55/10^9</f>
        <v>1.9629795230259084</v>
      </c>
      <c r="I66" s="2">
        <f>I11*'Output-Calculation-sheet'!I55/10^9</f>
        <v>0.73121790090855121</v>
      </c>
      <c r="J66" s="2">
        <f>J11*'Output-Calculation-sheet'!J55/10^9</f>
        <v>0.7362327303680658</v>
      </c>
      <c r="K66" s="2">
        <f>K11*'Output-Calculation-sheet'!K55/10^9</f>
        <v>0.83826713734594871</v>
      </c>
      <c r="L66" s="2">
        <f>L11*'Output-Calculation-sheet'!L55/10^9</f>
        <v>0.81268945567732975</v>
      </c>
      <c r="M66" s="2">
        <f>M11*'Output-Calculation-sheet'!M55/10^9</f>
        <v>1.3796054021273865</v>
      </c>
      <c r="N66" s="2">
        <f>N11*'Output-Calculation-sheet'!N55/10^9</f>
        <v>1.1993174729936402</v>
      </c>
      <c r="O66" s="2">
        <f>O11*'Output-Calculation-sheet'!O55/10^9</f>
        <v>1.367384498412215</v>
      </c>
      <c r="P66" s="2">
        <f>P11*'Output-Calculation-sheet'!P55/10^9</f>
        <v>0.87682141248578915</v>
      </c>
      <c r="Q66" s="2">
        <f>Q11*'Output-Calculation-sheet'!Q55/10^9</f>
        <v>0.90190218079901263</v>
      </c>
      <c r="R66" s="2">
        <f>R11*'Output-Calculation-sheet'!R55/10^9</f>
        <v>0.66730065793537063</v>
      </c>
      <c r="S66" s="2">
        <f>S11*'Output-Calculation-sheet'!S55/10^9</f>
        <v>0.69269917871243991</v>
      </c>
      <c r="T66" s="2">
        <f>T11*'Output-Calculation-sheet'!T55/10^9</f>
        <v>0.20907864415571517</v>
      </c>
      <c r="U66" s="2">
        <f>U11*'Output-Calculation-sheet'!U55/10^9</f>
        <v>0.22755449667657637</v>
      </c>
      <c r="V66" s="2">
        <f>V11*'Output-Calculation-sheet'!V55/10^9</f>
        <v>0.19759863914612169</v>
      </c>
      <c r="W66" s="2">
        <f>W11*'Output-Calculation-sheet'!W55/10^9</f>
        <v>9.680433619355977E-2</v>
      </c>
      <c r="X66" s="2">
        <f>X11*'Output-Calculation-sheet'!X55/10^9</f>
        <v>0.18089656194345471</v>
      </c>
      <c r="Y66" s="2">
        <f>Y11*'Output-Calculation-sheet'!Y55/10^9</f>
        <v>9.2883188260780153E-2</v>
      </c>
      <c r="AA66" s="2">
        <f t="shared" si="4"/>
        <v>39.353693091541757</v>
      </c>
    </row>
    <row r="67" spans="1:27" x14ac:dyDescent="0.25">
      <c r="A67" s="2">
        <v>2035</v>
      </c>
      <c r="B67" s="2">
        <f>B12*'Output-Calculation-sheet'!B56/10^9</f>
        <v>13.673089243931045</v>
      </c>
      <c r="C67" s="2">
        <f>C12*'Output-Calculation-sheet'!C56/10^9</f>
        <v>8.6403724238509323</v>
      </c>
      <c r="D67" s="2">
        <f>D12*'Output-Calculation-sheet'!D56/10^9</f>
        <v>2.7120521407022284</v>
      </c>
      <c r="E67" s="2">
        <f>E12*'Output-Calculation-sheet'!E56/10^9</f>
        <v>3.7088824828770282</v>
      </c>
      <c r="F67" s="2">
        <f>F12*'Output-Calculation-sheet'!F56/10^9</f>
        <v>1.4536354211953075</v>
      </c>
      <c r="G67" s="2">
        <f>G12*'Output-Calculation-sheet'!G56/10^9</f>
        <v>1.0725339251689008</v>
      </c>
      <c r="H67" s="2">
        <f>H12*'Output-Calculation-sheet'!H56/10^9</f>
        <v>2.2806422324007083</v>
      </c>
      <c r="I67" s="2">
        <f>I12*'Output-Calculation-sheet'!I56/10^9</f>
        <v>0.9827053001194469</v>
      </c>
      <c r="J67" s="2">
        <f>J12*'Output-Calculation-sheet'!J56/10^9</f>
        <v>0.89900816411835016</v>
      </c>
      <c r="K67" s="2">
        <f>K12*'Output-Calculation-sheet'!K56/10^9</f>
        <v>1.0771243418839049</v>
      </c>
      <c r="L67" s="2">
        <f>L12*'Output-Calculation-sheet'!L56/10^9</f>
        <v>1.0042029326135096</v>
      </c>
      <c r="M67" s="2">
        <f>M12*'Output-Calculation-sheet'!M56/10^9</f>
        <v>1.6136660267802874</v>
      </c>
      <c r="N67" s="2">
        <f>N12*'Output-Calculation-sheet'!N56/10^9</f>
        <v>1.3782203817749112</v>
      </c>
      <c r="O67" s="2">
        <f>O12*'Output-Calculation-sheet'!O56/10^9</f>
        <v>1.524369081901537</v>
      </c>
      <c r="P67" s="2">
        <f>P12*'Output-Calculation-sheet'!P56/10^9</f>
        <v>1.1184573514121789</v>
      </c>
      <c r="Q67" s="2">
        <f>Q12*'Output-Calculation-sheet'!Q56/10^9</f>
        <v>1.0565510117565644</v>
      </c>
      <c r="R67" s="2">
        <f>R12*'Output-Calculation-sheet'!R56/10^9</f>
        <v>0.82964634979064855</v>
      </c>
      <c r="S67" s="2">
        <f>S12*'Output-Calculation-sheet'!S56/10^9</f>
        <v>0.80089082282395219</v>
      </c>
      <c r="T67" s="2">
        <f>T12*'Output-Calculation-sheet'!T56/10^9</f>
        <v>0.25798653340185046</v>
      </c>
      <c r="U67" s="2">
        <f>U12*'Output-Calculation-sheet'!U56/10^9</f>
        <v>0.2789203274678298</v>
      </c>
      <c r="V67" s="2">
        <f>V12*'Output-Calculation-sheet'!V56/10^9</f>
        <v>0.19911498391481519</v>
      </c>
      <c r="W67" s="2">
        <f>W12*'Output-Calculation-sheet'!W56/10^9</f>
        <v>0.13502257685855515</v>
      </c>
      <c r="X67" s="2">
        <f>X12*'Output-Calculation-sheet'!X56/10^9</f>
        <v>0.20960391481769675</v>
      </c>
      <c r="Y67" s="2">
        <f>Y12*'Output-Calculation-sheet'!Y56/10^9</f>
        <v>0.12598977727753996</v>
      </c>
      <c r="AA67" s="2">
        <f t="shared" si="4"/>
        <v>47.032687748839734</v>
      </c>
    </row>
    <row r="68" spans="1:27" x14ac:dyDescent="0.25">
      <c r="B68" s="2">
        <f>SUM(B60:B67)</f>
        <v>73.058933834812976</v>
      </c>
      <c r="C68" s="2">
        <f t="shared" ref="C68:Y68" si="5">SUM(C60:C67)</f>
        <v>42.721126094478244</v>
      </c>
      <c r="D68" s="2">
        <f t="shared" si="5"/>
        <v>15.598980651128203</v>
      </c>
      <c r="E68" s="2">
        <f t="shared" si="5"/>
        <v>19.113923443832064</v>
      </c>
      <c r="F68" s="2">
        <f t="shared" si="5"/>
        <v>8.3110270867941605</v>
      </c>
      <c r="G68" s="2">
        <f t="shared" si="5"/>
        <v>6.2472891955409988</v>
      </c>
      <c r="H68" s="2">
        <f t="shared" si="5"/>
        <v>10.872145976001129</v>
      </c>
      <c r="I68" s="2">
        <f t="shared" si="5"/>
        <v>5.2076335895290695</v>
      </c>
      <c r="J68" s="2">
        <f t="shared" si="5"/>
        <v>6.5260100271762864</v>
      </c>
      <c r="K68" s="2">
        <f t="shared" si="5"/>
        <v>5.2400955793500215</v>
      </c>
      <c r="L68" s="2">
        <f t="shared" si="5"/>
        <v>5.7178969431646296</v>
      </c>
      <c r="M68" s="2">
        <f t="shared" si="5"/>
        <v>7.84267395176715</v>
      </c>
      <c r="N68" s="2">
        <f t="shared" si="5"/>
        <v>6.592314203691898</v>
      </c>
      <c r="O68" s="2">
        <f t="shared" si="5"/>
        <v>7.4673893912526603</v>
      </c>
      <c r="P68" s="2">
        <f t="shared" si="5"/>
        <v>5.4161715401546164</v>
      </c>
      <c r="Q68" s="2">
        <f t="shared" si="5"/>
        <v>5.1435469627074202</v>
      </c>
      <c r="R68" s="2">
        <f t="shared" si="5"/>
        <v>4.3793589239326058</v>
      </c>
      <c r="S68" s="2">
        <f t="shared" si="5"/>
        <v>3.9521160272924858</v>
      </c>
      <c r="T68" s="2">
        <f t="shared" si="5"/>
        <v>1.6065217875726634</v>
      </c>
      <c r="U68" s="2">
        <f t="shared" si="5"/>
        <v>1.4301779318263175</v>
      </c>
      <c r="V68" s="2">
        <f t="shared" si="5"/>
        <v>1.8637199298720726</v>
      </c>
      <c r="W68" s="2">
        <f t="shared" si="5"/>
        <v>0.84013419537843848</v>
      </c>
      <c r="X68" s="2">
        <f t="shared" si="5"/>
        <v>1.0431286350357543</v>
      </c>
      <c r="Y68" s="2">
        <f t="shared" si="5"/>
        <v>0.58646980935693382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2253.3633691702662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533.75325943968392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364.99291105332077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48.654872754809873</v>
      </c>
      <c r="Y73" s="2">
        <f>Y7/'Output-Calculation-sheet'!Y6*'Output-Calculation-sheet'!Y60</f>
        <v>0</v>
      </c>
      <c r="AA73" s="2">
        <f t="shared" si="6"/>
        <v>3.2007644124180805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5283.1087009253733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1767.5645931497722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1180.3266787584512</v>
      </c>
      <c r="N74" s="2">
        <f>N8/'Output-Calculation-sheet'!N7*'Output-Calculation-sheet'!N61</f>
        <v>49.336590095996058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146.27574212104017</v>
      </c>
      <c r="Y74" s="2">
        <f>Y8/'Output-Calculation-sheet'!Y7*'Output-Calculation-sheet'!Y61</f>
        <v>0</v>
      </c>
      <c r="AA74" s="2">
        <f t="shared" si="6"/>
        <v>8.4266123050506341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11039.421259663575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3179.1628255227197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2158.2793455205874</v>
      </c>
      <c r="N75" s="2">
        <f>N9/'Output-Calculation-sheet'!N8*'Output-Calculation-sheet'!N62</f>
        <v>833.68611533245303</v>
      </c>
      <c r="O75" s="2">
        <f>O9/'Output-Calculation-sheet'!O8*'Output-Calculation-sheet'!O62</f>
        <v>0</v>
      </c>
      <c r="P75" s="2">
        <f>P9/'Output-Calculation-sheet'!P8*'Output-Calculation-sheet'!P62</f>
        <v>55.813971270030329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279.34812477501004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260.58069462216281</v>
      </c>
      <c r="Y75" s="2">
        <f>Y9/'Output-Calculation-sheet'!Y8*'Output-Calculation-sheet'!Y62</f>
        <v>0</v>
      </c>
      <c r="AA75" s="2">
        <f t="shared" si="6"/>
        <v>17.806292336706537</v>
      </c>
    </row>
    <row r="76" spans="1:27" x14ac:dyDescent="0.25">
      <c r="A76" s="2">
        <v>2033</v>
      </c>
      <c r="B76" s="2">
        <f>B10/'Output-Calculation-sheet'!B9*'Output-Calculation-sheet'!B63</f>
        <v>7428.6079545917883</v>
      </c>
      <c r="C76" s="2">
        <f>C10/'Output-Calculation-sheet'!C9*'Output-Calculation-sheet'!C63</f>
        <v>15172.613204087751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4837.5726780053283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126.7928167168531</v>
      </c>
      <c r="L76" s="2">
        <f>L10/'Output-Calculation-sheet'!L9*'Output-Calculation-sheet'!L63</f>
        <v>0</v>
      </c>
      <c r="M76" s="2">
        <f>M10/'Output-Calculation-sheet'!M9*'Output-Calculation-sheet'!M63</f>
        <v>3293.8963385225729</v>
      </c>
      <c r="N76" s="2">
        <f>N10/'Output-Calculation-sheet'!N9*'Output-Calculation-sheet'!N63</f>
        <v>1881.619434688595</v>
      </c>
      <c r="O76" s="2">
        <f>O10/'Output-Calculation-sheet'!O9*'Output-Calculation-sheet'!O63</f>
        <v>0</v>
      </c>
      <c r="P76" s="2">
        <f>P10/'Output-Calculation-sheet'!P9*'Output-Calculation-sheet'!P63</f>
        <v>653.39427386347643</v>
      </c>
      <c r="Q76" s="2">
        <f>Q10/'Output-Calculation-sheet'!Q9*'Output-Calculation-sheet'!Q63</f>
        <v>294.7070755302563</v>
      </c>
      <c r="R76" s="2">
        <f>R10/'Output-Calculation-sheet'!R9*'Output-Calculation-sheet'!R63</f>
        <v>497.99090092990753</v>
      </c>
      <c r="S76" s="2">
        <f>S10/'Output-Calculation-sheet'!S9*'Output-Calculation-sheet'!S63</f>
        <v>836.71224578785518</v>
      </c>
      <c r="T76" s="2">
        <f>T10/'Output-Calculation-sheet'!T9*'Output-Calculation-sheet'!T63</f>
        <v>33.870317594567801</v>
      </c>
      <c r="U76" s="2">
        <f>U10/'Output-Calculation-sheet'!U9*'Output-Calculation-sheet'!U63</f>
        <v>175.97279965089115</v>
      </c>
      <c r="V76" s="2">
        <f>V10/'Output-Calculation-sheet'!V9*'Output-Calculation-sheet'!V63</f>
        <v>13.503363628397256</v>
      </c>
      <c r="W76" s="2">
        <f>W10/'Output-Calculation-sheet'!W9*'Output-Calculation-sheet'!W63</f>
        <v>0</v>
      </c>
      <c r="X76" s="2">
        <f>X10/'Output-Calculation-sheet'!X9*'Output-Calculation-sheet'!X63</f>
        <v>387.87969930443552</v>
      </c>
      <c r="Y76" s="2">
        <f>Y10/'Output-Calculation-sheet'!Y9*'Output-Calculation-sheet'!Y63</f>
        <v>7.3585752082529883</v>
      </c>
      <c r="AA76" s="2">
        <f t="shared" si="6"/>
        <v>35.642491678110936</v>
      </c>
    </row>
    <row r="77" spans="1:27" x14ac:dyDescent="0.25">
      <c r="A77" s="2">
        <v>2034</v>
      </c>
      <c r="B77" s="2">
        <f>B11/'Output-Calculation-sheet'!B10*'Output-Calculation-sheet'!B64</f>
        <v>19482.551984380756</v>
      </c>
      <c r="C77" s="2">
        <f>C11/'Output-Calculation-sheet'!C10*'Output-Calculation-sheet'!C64</f>
        <v>17114.644890263753</v>
      </c>
      <c r="D77" s="2">
        <f>D11/'Output-Calculation-sheet'!D10*'Output-Calculation-sheet'!D64</f>
        <v>2401.3176964407453</v>
      </c>
      <c r="E77" s="2">
        <f>E11/'Output-Calculation-sheet'!E10*'Output-Calculation-sheet'!E64</f>
        <v>2967.194428753161</v>
      </c>
      <c r="F77" s="2">
        <f>F11/'Output-Calculation-sheet'!F10*'Output-Calculation-sheet'!F64</f>
        <v>184.75094009655803</v>
      </c>
      <c r="G77" s="2">
        <f>G11/'Output-Calculation-sheet'!G10*'Output-Calculation-sheet'!G64</f>
        <v>1267.9022135702148</v>
      </c>
      <c r="H77" s="2">
        <f>H11/'Output-Calculation-sheet'!H10*'Output-Calculation-sheet'!H64</f>
        <v>6281.7945632270394</v>
      </c>
      <c r="I77" s="2">
        <f>I11/'Output-Calculation-sheet'!I10*'Output-Calculation-sheet'!I64</f>
        <v>747.98760242477306</v>
      </c>
      <c r="J77" s="2">
        <f>J11/'Output-Calculation-sheet'!J10*'Output-Calculation-sheet'!J64</f>
        <v>533.20021500664063</v>
      </c>
      <c r="K77" s="2">
        <f>K11/'Output-Calculation-sheet'!K10*'Output-Calculation-sheet'!K64</f>
        <v>1130.503042542131</v>
      </c>
      <c r="L77" s="2">
        <f>L11/'Output-Calculation-sheet'!L10*'Output-Calculation-sheet'!L64</f>
        <v>490.8601663387891</v>
      </c>
      <c r="M77" s="2">
        <f>M11/'Output-Calculation-sheet'!M10*'Output-Calculation-sheet'!M64</f>
        <v>4467.9317787109931</v>
      </c>
      <c r="N77" s="2">
        <f>N11/'Output-Calculation-sheet'!N10*'Output-Calculation-sheet'!N64</f>
        <v>3178.8237311710991</v>
      </c>
      <c r="O77" s="2">
        <f>O11/'Output-Calculation-sheet'!O10*'Output-Calculation-sheet'!O64</f>
        <v>110.83146321926112</v>
      </c>
      <c r="P77" s="2">
        <f>P11/'Output-Calculation-sheet'!P10*'Output-Calculation-sheet'!P64</f>
        <v>1403.01495248318</v>
      </c>
      <c r="Q77" s="2">
        <f>Q11/'Output-Calculation-sheet'!Q10*'Output-Calculation-sheet'!Q64</f>
        <v>800.58997783962513</v>
      </c>
      <c r="R77" s="2">
        <f>R11/'Output-Calculation-sheet'!R10*'Output-Calculation-sheet'!R64</f>
        <v>1200.6142464871159</v>
      </c>
      <c r="S77" s="2">
        <f>S11/'Output-Calculation-sheet'!S10*'Output-Calculation-sheet'!S64</f>
        <v>1605.2885825020521</v>
      </c>
      <c r="T77" s="2">
        <f>T11/'Output-Calculation-sheet'!T10*'Output-Calculation-sheet'!T64</f>
        <v>330.30725586447574</v>
      </c>
      <c r="U77" s="2">
        <f>U11/'Output-Calculation-sheet'!U10*'Output-Calculation-sheet'!U64</f>
        <v>439.01690346518956</v>
      </c>
      <c r="V77" s="2">
        <f>V11/'Output-Calculation-sheet'!V10*'Output-Calculation-sheet'!V64</f>
        <v>175.00546518310122</v>
      </c>
      <c r="W77" s="2">
        <f>W11/'Output-Calculation-sheet'!W10*'Output-Calculation-sheet'!W64</f>
        <v>36.976120531684835</v>
      </c>
      <c r="X77" s="2">
        <f>X11/'Output-Calculation-sheet'!X10*'Output-Calculation-sheet'!X64</f>
        <v>453.98929684811668</v>
      </c>
      <c r="Y77" s="2">
        <f>Y11/'Output-Calculation-sheet'!Y10*'Output-Calculation-sheet'!Y64</f>
        <v>109.9228476826529</v>
      </c>
      <c r="AA77" s="2">
        <f t="shared" si="6"/>
        <v>66.915020365033115</v>
      </c>
    </row>
    <row r="78" spans="1:27" x14ac:dyDescent="0.25">
      <c r="A78" s="2">
        <v>2035</v>
      </c>
      <c r="B78" s="2">
        <f>B12/'Output-Calculation-sheet'!B11*'Output-Calculation-sheet'!B65</f>
        <v>26461.2290624487</v>
      </c>
      <c r="C78" s="2">
        <f>C12/'Output-Calculation-sheet'!C11*'Output-Calculation-sheet'!C65</f>
        <v>18686.358719590895</v>
      </c>
      <c r="D78" s="2">
        <f>D12/'Output-Calculation-sheet'!D11*'Output-Calculation-sheet'!D65</f>
        <v>2809.2828766214529</v>
      </c>
      <c r="E78" s="2">
        <f>E12/'Output-Calculation-sheet'!E11*'Output-Calculation-sheet'!E65</f>
        <v>5340.3720654501067</v>
      </c>
      <c r="F78" s="2">
        <f>F12/'Output-Calculation-sheet'!F11*'Output-Calculation-sheet'!F65</f>
        <v>1131.1868418340814</v>
      </c>
      <c r="G78" s="2">
        <f>G12/'Output-Calculation-sheet'!G11*'Output-Calculation-sheet'!G65</f>
        <v>2122.5375515270143</v>
      </c>
      <c r="H78" s="2">
        <f>H12/'Output-Calculation-sheet'!H11*'Output-Calculation-sheet'!H65</f>
        <v>6833.7337041755345</v>
      </c>
      <c r="I78" s="2">
        <f>I12/'Output-Calculation-sheet'!I11*'Output-Calculation-sheet'!I65</f>
        <v>1248.1192239349828</v>
      </c>
      <c r="J78" s="2">
        <f>J12/'Output-Calculation-sheet'!J11*'Output-Calculation-sheet'!J65</f>
        <v>1119.3528462125121</v>
      </c>
      <c r="K78" s="2">
        <f>K12/'Output-Calculation-sheet'!K11*'Output-Calculation-sheet'!K65</f>
        <v>1412.5690866327245</v>
      </c>
      <c r="L78" s="2">
        <f>L12/'Output-Calculation-sheet'!L11*'Output-Calculation-sheet'!L65</f>
        <v>839.89512146459424</v>
      </c>
      <c r="M78" s="2">
        <f>M12/'Output-Calculation-sheet'!M11*'Output-Calculation-sheet'!M65</f>
        <v>4864.4562243184073</v>
      </c>
      <c r="N78" s="2">
        <f>N12/'Output-Calculation-sheet'!N11*'Output-Calculation-sheet'!N65</f>
        <v>3420.4982816550519</v>
      </c>
      <c r="O78" s="2">
        <f>O12/'Output-Calculation-sheet'!O11*'Output-Calculation-sheet'!O65</f>
        <v>479.50965415469346</v>
      </c>
      <c r="P78" s="2">
        <f>P12/'Output-Calculation-sheet'!P11*'Output-Calculation-sheet'!P65</f>
        <v>1944.5171532827346</v>
      </c>
      <c r="Q78" s="2">
        <f>Q12/'Output-Calculation-sheet'!Q11*'Output-Calculation-sheet'!Q65</f>
        <v>978.07283650871204</v>
      </c>
      <c r="R78" s="2">
        <f>R12/'Output-Calculation-sheet'!R11*'Output-Calculation-sheet'!R65</f>
        <v>1612.1599719522144</v>
      </c>
      <c r="S78" s="2">
        <f>S12/'Output-Calculation-sheet'!S11*'Output-Calculation-sheet'!S65</f>
        <v>1818.7652674582953</v>
      </c>
      <c r="T78" s="2">
        <f>T12/'Output-Calculation-sheet'!T11*'Output-Calculation-sheet'!T65</f>
        <v>579.69520696690779</v>
      </c>
      <c r="U78" s="2">
        <f>U12/'Output-Calculation-sheet'!U11*'Output-Calculation-sheet'!U65</f>
        <v>496.69147689724929</v>
      </c>
      <c r="V78" s="2">
        <f>V12/'Output-Calculation-sheet'!V11*'Output-Calculation-sheet'!V65</f>
        <v>312.84937309415341</v>
      </c>
      <c r="W78" s="2">
        <f>W12/'Output-Calculation-sheet'!W11*'Output-Calculation-sheet'!W65</f>
        <v>220.34979400785934</v>
      </c>
      <c r="X78" s="2">
        <f>X12/'Output-Calculation-sheet'!X11*'Output-Calculation-sheet'!X65</f>
        <v>501.36672242646108</v>
      </c>
      <c r="Y78" s="2">
        <f>Y12/'Output-Calculation-sheet'!Y11*'Output-Calculation-sheet'!Y65</f>
        <v>215.08325961959255</v>
      </c>
      <c r="AA78" s="2">
        <f t="shared" si="6"/>
        <v>85.448652322234935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89.761128472365613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104.62903490012997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0.19439016337249557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323.31047494545555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230.30526747670461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0.55361574242216016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247.19641859138969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384.18891188440233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0.63138533047579204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547.60938405773811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531.92885691285232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1.0795382409705903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1186.6731304839705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45.661868426911283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31.419833747378661</v>
      </c>
      <c r="N88" s="2">
        <f>N11/'Output-Calculation-sheet'!N10*'Output-Calculation-sheet'!N73</f>
        <v>0</v>
      </c>
      <c r="O88" s="2">
        <f>O11/'Output-Calculation-sheet'!O10*'Output-Calculation-sheet'!O73</f>
        <v>662.79866199766138</v>
      </c>
      <c r="P88" s="2">
        <f>P11/'Output-Calculation-sheet'!P10*'Output-Calculation-sheet'!P73</f>
        <v>0</v>
      </c>
      <c r="Q88" s="2">
        <f>Q11/'Output-Calculation-sheet'!Q10*'Output-Calculation-sheet'!Q73</f>
        <v>27.056099284880876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3.4468332182953469</v>
      </c>
      <c r="Y88" s="2">
        <f>Y11/'Output-Calculation-sheet'!Y10*'Output-Calculation-sheet'!Y73</f>
        <v>0</v>
      </c>
      <c r="AA88" s="2">
        <f t="shared" si="7"/>
        <v>1.957056427159098</v>
      </c>
    </row>
    <row r="89" spans="1:27" x14ac:dyDescent="0.25">
      <c r="A89" s="2">
        <v>2035</v>
      </c>
      <c r="B89" s="2">
        <f>B12/'Output-Calculation-sheet'!B11*'Output-Calculation-sheet'!B74</f>
        <v>667.01694090012097</v>
      </c>
      <c r="C89" s="2">
        <f>C12/'Output-Calculation-sheet'!C11*'Output-Calculation-sheet'!C74</f>
        <v>2057.7772602915825</v>
      </c>
      <c r="D89" s="2">
        <f>D12/'Output-Calculation-sheet'!D11*'Output-Calculation-sheet'!D74</f>
        <v>280.43752199864764</v>
      </c>
      <c r="E89" s="2">
        <f>E12/'Output-Calculation-sheet'!E11*'Output-Calculation-sheet'!E74</f>
        <v>222.87302820984104</v>
      </c>
      <c r="F89" s="2">
        <f>F12/'Output-Calculation-sheet'!F11*'Output-Calculation-sheet'!F74</f>
        <v>70.085925764193391</v>
      </c>
      <c r="G89" s="2">
        <f>G12/'Output-Calculation-sheet'!G11*'Output-Calculation-sheet'!G74</f>
        <v>100.59896447826979</v>
      </c>
      <c r="H89" s="2">
        <f>H12/'Output-Calculation-sheet'!H11*'Output-Calculation-sheet'!H74</f>
        <v>243.63381858218895</v>
      </c>
      <c r="I89" s="2">
        <f>I12/'Output-Calculation-sheet'!I11*'Output-Calculation-sheet'!I74</f>
        <v>90.482762355733129</v>
      </c>
      <c r="J89" s="2">
        <f>J12/'Output-Calculation-sheet'!J11*'Output-Calculation-sheet'!J74</f>
        <v>44.774113848500484</v>
      </c>
      <c r="K89" s="2">
        <f>K12/'Output-Calculation-sheet'!K11*'Output-Calculation-sheet'!K74</f>
        <v>88.930312681486058</v>
      </c>
      <c r="L89" s="2">
        <f>L12/'Output-Calculation-sheet'!L11*'Output-Calculation-sheet'!L74</f>
        <v>70.713123255280507</v>
      </c>
      <c r="M89" s="2">
        <f>M12/'Output-Calculation-sheet'!M11*'Output-Calculation-sheet'!M74</f>
        <v>134.11512649499687</v>
      </c>
      <c r="N89" s="2">
        <f>N12/'Output-Calculation-sheet'!N11*'Output-Calculation-sheet'!N74</f>
        <v>98.860236661257005</v>
      </c>
      <c r="O89" s="2">
        <f>O12/'Output-Calculation-sheet'!O11*'Output-Calculation-sheet'!O74</f>
        <v>799.54152555775215</v>
      </c>
      <c r="P89" s="2">
        <f>P12/'Output-Calculation-sheet'!P11*'Output-Calculation-sheet'!P74</f>
        <v>60.886030412459988</v>
      </c>
      <c r="Q89" s="2">
        <f>Q12/'Output-Calculation-sheet'!Q11*'Output-Calculation-sheet'!Q74</f>
        <v>86.616439648309608</v>
      </c>
      <c r="R89" s="2">
        <f>R12/'Output-Calculation-sheet'!R11*'Output-Calculation-sheet'!R74</f>
        <v>57.264233721174101</v>
      </c>
      <c r="S89" s="2">
        <f>S12/'Output-Calculation-sheet'!S11*'Output-Calculation-sheet'!S74</f>
        <v>56.669946639817269</v>
      </c>
      <c r="T89" s="2">
        <f>T12/'Output-Calculation-sheet'!T11*'Output-Calculation-sheet'!T74</f>
        <v>10.592877240144499</v>
      </c>
      <c r="U89" s="2">
        <f>U12/'Output-Calculation-sheet'!U11*'Output-Calculation-sheet'!U74</f>
        <v>18.423957746847037</v>
      </c>
      <c r="V89" s="2">
        <f>V12/'Output-Calculation-sheet'!V11*'Output-Calculation-sheet'!V74</f>
        <v>7.103271191657095</v>
      </c>
      <c r="W89" s="2">
        <f>W12/'Output-Calculation-sheet'!W11*'Output-Calculation-sheet'!W74</f>
        <v>6.1508986715012099</v>
      </c>
      <c r="X89" s="2">
        <f>X12/'Output-Calculation-sheet'!X11*'Output-Calculation-sheet'!X74</f>
        <v>22.069139995882608</v>
      </c>
      <c r="Y89" s="2">
        <f>Y12/'Output-Calculation-sheet'!Y11*'Output-Calculation-sheet'!Y74</f>
        <v>7.0990431428201193</v>
      </c>
      <c r="AA89" s="2">
        <f t="shared" si="7"/>
        <v>5.3027164994904643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1746307870.1857948</v>
      </c>
      <c r="C93" s="2">
        <f>C5/'Output-Calculation-sheet'!C4*'Output-Calculation-sheet'!C76</f>
        <v>578541946.62522089</v>
      </c>
      <c r="D93" s="2">
        <f>D5/'Output-Calculation-sheet'!D4*'Output-Calculation-sheet'!D76</f>
        <v>640394265.03362298</v>
      </c>
      <c r="E93" s="2">
        <f>E5/'Output-Calculation-sheet'!E4*'Output-Calculation-sheet'!E76</f>
        <v>1071576614.988668</v>
      </c>
      <c r="F93" s="2">
        <f>F5/'Output-Calculation-sheet'!F4*'Output-Calculation-sheet'!F76</f>
        <v>460433011.2688815</v>
      </c>
      <c r="G93" s="2">
        <f>G5/'Output-Calculation-sheet'!G4*'Output-Calculation-sheet'!G76</f>
        <v>358103295.88826829</v>
      </c>
      <c r="H93" s="2">
        <f>H5/'Output-Calculation-sheet'!H4*'Output-Calculation-sheet'!H76</f>
        <v>302914723.3836695</v>
      </c>
      <c r="I93" s="2">
        <f>I5/'Output-Calculation-sheet'!I4*'Output-Calculation-sheet'!I76</f>
        <v>248563717.39396125</v>
      </c>
      <c r="J93" s="2">
        <f>J5/'Output-Calculation-sheet'!J4*'Output-Calculation-sheet'!J76</f>
        <v>168672512.46713123</v>
      </c>
      <c r="K93" s="2">
        <f>K5/'Output-Calculation-sheet'!K4*'Output-Calculation-sheet'!K76</f>
        <v>246524827.21847776</v>
      </c>
      <c r="L93" s="2">
        <f>L5/'Output-Calculation-sheet'!L4*'Output-Calculation-sheet'!L76</f>
        <v>164557116.30105281</v>
      </c>
      <c r="M93" s="2">
        <f>M5/'Output-Calculation-sheet'!M4*'Output-Calculation-sheet'!M76</f>
        <v>221299499.61088344</v>
      </c>
      <c r="N93" s="2">
        <f>N5/'Output-Calculation-sheet'!N4*'Output-Calculation-sheet'!N76</f>
        <v>167107072.17643422</v>
      </c>
      <c r="O93" s="2">
        <f>O5/'Output-Calculation-sheet'!O4*'Output-Calculation-sheet'!O76</f>
        <v>81562910.696286768</v>
      </c>
      <c r="P93" s="2">
        <f>P5/'Output-Calculation-sheet'!P4*'Output-Calculation-sheet'!P76</f>
        <v>289538873.16679019</v>
      </c>
      <c r="Q93" s="2">
        <f>Q5/'Output-Calculation-sheet'!Q4*'Output-Calculation-sheet'!Q76</f>
        <v>132926224.10079931</v>
      </c>
      <c r="R93" s="2">
        <f>R5/'Output-Calculation-sheet'!R4*'Output-Calculation-sheet'!R76</f>
        <v>166327153.39424601</v>
      </c>
      <c r="S93" s="2">
        <f>S5/'Output-Calculation-sheet'!S4*'Output-Calculation-sheet'!S76</f>
        <v>97989264.861312062</v>
      </c>
      <c r="T93" s="2">
        <f>T5/'Output-Calculation-sheet'!T4*'Output-Calculation-sheet'!T76</f>
        <v>75350538.018404737</v>
      </c>
      <c r="U93" s="2">
        <f>U5/'Output-Calculation-sheet'!U4*'Output-Calculation-sheet'!U76</f>
        <v>48849334.318540476</v>
      </c>
      <c r="V93" s="2">
        <f>V5/'Output-Calculation-sheet'!V4*'Output-Calculation-sheet'!V76</f>
        <v>25038656.460300475</v>
      </c>
      <c r="W93" s="2">
        <f>W5/'Output-Calculation-sheet'!W4*'Output-Calculation-sheet'!W76</f>
        <v>70136618.249221653</v>
      </c>
      <c r="X93" s="2">
        <f>X5/'Output-Calculation-sheet'!X4*'Output-Calculation-sheet'!X76</f>
        <v>24342626.371006861</v>
      </c>
      <c r="Y93" s="2">
        <f>Y5/'Output-Calculation-sheet'!Y4*'Output-Calculation-sheet'!Y76</f>
        <v>38342432.107863858</v>
      </c>
      <c r="AA93" s="2">
        <f t="shared" ref="AA93:AA100" si="8">SUM(B93:Y93)/10^9</f>
        <v>7.4254011042868413</v>
      </c>
    </row>
    <row r="94" spans="1:27" x14ac:dyDescent="0.25">
      <c r="A94" s="2">
        <v>2029</v>
      </c>
      <c r="B94" s="2">
        <f>B6/'Output-Calculation-sheet'!B5*'Output-Calculation-sheet'!B77</f>
        <v>4770275577.2046194</v>
      </c>
      <c r="C94" s="2">
        <f>C6/'Output-Calculation-sheet'!C5*'Output-Calculation-sheet'!C77</f>
        <v>1591100093.4583569</v>
      </c>
      <c r="D94" s="2">
        <f>D6/'Output-Calculation-sheet'!D5*'Output-Calculation-sheet'!D77</f>
        <v>1750628612.8903368</v>
      </c>
      <c r="E94" s="2">
        <f>E6/'Output-Calculation-sheet'!E5*'Output-Calculation-sheet'!E77</f>
        <v>2977423307.6058097</v>
      </c>
      <c r="F94" s="2">
        <f>F6/'Output-Calculation-sheet'!F5*'Output-Calculation-sheet'!F77</f>
        <v>1257121185.293328</v>
      </c>
      <c r="G94" s="2">
        <f>G6/'Output-Calculation-sheet'!G5*'Output-Calculation-sheet'!G77</f>
        <v>991348660.76990867</v>
      </c>
      <c r="H94" s="2">
        <f>H6/'Output-Calculation-sheet'!H5*'Output-Calculation-sheet'!H77</f>
        <v>833219066.76802337</v>
      </c>
      <c r="I94" s="2">
        <f>I6/'Output-Calculation-sheet'!I5*'Output-Calculation-sheet'!I77</f>
        <v>677018760.81268287</v>
      </c>
      <c r="J94" s="2">
        <f>J6/'Output-Calculation-sheet'!J5*'Output-Calculation-sheet'!J77</f>
        <v>465106722.47048736</v>
      </c>
      <c r="K94" s="2">
        <f>K6/'Output-Calculation-sheet'!K5*'Output-Calculation-sheet'!K77</f>
        <v>670122308.02897418</v>
      </c>
      <c r="L94" s="2">
        <f>L6/'Output-Calculation-sheet'!L5*'Output-Calculation-sheet'!L77</f>
        <v>452892172.54127854</v>
      </c>
      <c r="M94" s="2">
        <f>M6/'Output-Calculation-sheet'!M5*'Output-Calculation-sheet'!M77</f>
        <v>614123907.08887005</v>
      </c>
      <c r="N94" s="2">
        <f>N6/'Output-Calculation-sheet'!N5*'Output-Calculation-sheet'!N77</f>
        <v>464588570.8688699</v>
      </c>
      <c r="O94" s="2">
        <f>O6/'Output-Calculation-sheet'!O5*'Output-Calculation-sheet'!O77</f>
        <v>228179734.14081442</v>
      </c>
      <c r="P94" s="2">
        <f>P6/'Output-Calculation-sheet'!P5*'Output-Calculation-sheet'!P77</f>
        <v>794528531.37577534</v>
      </c>
      <c r="Q94" s="2">
        <f>Q6/'Output-Calculation-sheet'!Q5*'Output-Calculation-sheet'!Q77</f>
        <v>367041568.51426083</v>
      </c>
      <c r="R94" s="2">
        <f>R6/'Output-Calculation-sheet'!R5*'Output-Calculation-sheet'!R77</f>
        <v>455701352.96848524</v>
      </c>
      <c r="S94" s="2">
        <f>S6/'Output-Calculation-sheet'!S5*'Output-Calculation-sheet'!S77</f>
        <v>267570625.38094619</v>
      </c>
      <c r="T94" s="2">
        <f>T6/'Output-Calculation-sheet'!T5*'Output-Calculation-sheet'!T77</f>
        <v>206404423.76007929</v>
      </c>
      <c r="U94" s="2">
        <f>U6/'Output-Calculation-sheet'!U5*'Output-Calculation-sheet'!U77</f>
        <v>130657353.90778957</v>
      </c>
      <c r="V94" s="2">
        <f>V6/'Output-Calculation-sheet'!V5*'Output-Calculation-sheet'!V77</f>
        <v>67017490.588205159</v>
      </c>
      <c r="W94" s="2">
        <f>W6/'Output-Calculation-sheet'!W5*'Output-Calculation-sheet'!W77</f>
        <v>194465251.02513176</v>
      </c>
      <c r="X94" s="2">
        <f>X6/'Output-Calculation-sheet'!X5*'Output-Calculation-sheet'!X77</f>
        <v>67250053.937438741</v>
      </c>
      <c r="Y94" s="2">
        <f>Y6/'Output-Calculation-sheet'!Y5*'Output-Calculation-sheet'!Y77</f>
        <v>106626120.53622364</v>
      </c>
      <c r="AA94" s="2">
        <f t="shared" si="8"/>
        <v>20.400411451936694</v>
      </c>
    </row>
    <row r="95" spans="1:27" x14ac:dyDescent="0.25">
      <c r="A95" s="2">
        <v>2030</v>
      </c>
      <c r="B95" s="2">
        <f>B7/'Output-Calculation-sheet'!B6*'Output-Calculation-sheet'!B78</f>
        <v>8892559045.1044922</v>
      </c>
      <c r="C95" s="2">
        <f>C7/'Output-Calculation-sheet'!C6*'Output-Calculation-sheet'!C78</f>
        <v>2985933559.8056378</v>
      </c>
      <c r="D95" s="2">
        <f>D7/'Output-Calculation-sheet'!D6*'Output-Calculation-sheet'!D78</f>
        <v>3268827217.0194545</v>
      </c>
      <c r="E95" s="2">
        <f>E7/'Output-Calculation-sheet'!E6*'Output-Calculation-sheet'!E78</f>
        <v>5650981527.1223888</v>
      </c>
      <c r="F95" s="2">
        <f>F7/'Output-Calculation-sheet'!F6*'Output-Calculation-sheet'!F78</f>
        <v>2343002848.2167053</v>
      </c>
      <c r="G95" s="2">
        <f>G7/'Output-Calculation-sheet'!G6*'Output-Calculation-sheet'!G78</f>
        <v>1874489713.9958615</v>
      </c>
      <c r="H95" s="2">
        <f>H7/'Output-Calculation-sheet'!H6*'Output-Calculation-sheet'!H78</f>
        <v>1564419833.8031774</v>
      </c>
      <c r="I95" s="2">
        <f>I7/'Output-Calculation-sheet'!I6*'Output-Calculation-sheet'!I78</f>
        <v>1259019779.9378614</v>
      </c>
      <c r="J95" s="2">
        <f>J7/'Output-Calculation-sheet'!J6*'Output-Calculation-sheet'!J78</f>
        <v>876095116.92525661</v>
      </c>
      <c r="K95" s="2">
        <f>K7/'Output-Calculation-sheet'!K6*'Output-Calculation-sheet'!K78</f>
        <v>1243590812.6081772</v>
      </c>
      <c r="L95" s="2">
        <f>L7/'Output-Calculation-sheet'!L6*'Output-Calculation-sheet'!L78</f>
        <v>851079571.54020834</v>
      </c>
      <c r="M95" s="2">
        <f>M7/'Output-Calculation-sheet'!M6*'Output-Calculation-sheet'!M78</f>
        <v>1163971082.2983732</v>
      </c>
      <c r="N95" s="2">
        <f>N7/'Output-Calculation-sheet'!N6*'Output-Calculation-sheet'!N78</f>
        <v>882305926.62456155</v>
      </c>
      <c r="O95" s="2">
        <f>O7/'Output-Calculation-sheet'!O6*'Output-Calculation-sheet'!O78</f>
        <v>435937745.82001567</v>
      </c>
      <c r="P95" s="2">
        <f>P7/'Output-Calculation-sheet'!P6*'Output-Calculation-sheet'!P78</f>
        <v>1487991365.3855639</v>
      </c>
      <c r="Q95" s="2">
        <f>Q7/'Output-Calculation-sheet'!Q6*'Output-Calculation-sheet'!Q78</f>
        <v>692201199.27202606</v>
      </c>
      <c r="R95" s="2">
        <f>R7/'Output-Calculation-sheet'!R6*'Output-Calculation-sheet'!R78</f>
        <v>852244551.31309211</v>
      </c>
      <c r="S95" s="2">
        <f>S7/'Output-Calculation-sheet'!S6*'Output-Calculation-sheet'!S78</f>
        <v>498661559.7766993</v>
      </c>
      <c r="T95" s="2">
        <f>T7/'Output-Calculation-sheet'!T6*'Output-Calculation-sheet'!T78</f>
        <v>386005742.14735484</v>
      </c>
      <c r="U95" s="2">
        <f>U7/'Output-Calculation-sheet'!U6*'Output-Calculation-sheet'!U78</f>
        <v>238292344.47321224</v>
      </c>
      <c r="V95" s="2">
        <f>V7/'Output-Calculation-sheet'!V6*'Output-Calculation-sheet'!V78</f>
        <v>122295661.34855743</v>
      </c>
      <c r="W95" s="2">
        <f>W7/'Output-Calculation-sheet'!W6*'Output-Calculation-sheet'!W78</f>
        <v>368281452.9223249</v>
      </c>
      <c r="X95" s="2">
        <f>X7/'Output-Calculation-sheet'!X6*'Output-Calculation-sheet'!X78</f>
        <v>126898945.5492972</v>
      </c>
      <c r="Y95" s="2">
        <f>Y7/'Output-Calculation-sheet'!Y6*'Output-Calculation-sheet'!Y78</f>
        <v>202539160.57501948</v>
      </c>
      <c r="AA95" s="2">
        <f t="shared" si="8"/>
        <v>38.267625763585322</v>
      </c>
    </row>
    <row r="96" spans="1:27" x14ac:dyDescent="0.25">
      <c r="A96" s="2">
        <v>2031</v>
      </c>
      <c r="B96" s="2">
        <f>B8/'Output-Calculation-sheet'!B7*'Output-Calculation-sheet'!B79</f>
        <v>14218716324.466661</v>
      </c>
      <c r="C96" s="2">
        <f>C8/'Output-Calculation-sheet'!C7*'Output-Calculation-sheet'!C79</f>
        <v>4810256354.3018131</v>
      </c>
      <c r="D96" s="2">
        <f>D8/'Output-Calculation-sheet'!D7*'Output-Calculation-sheet'!D79</f>
        <v>5021590841.477704</v>
      </c>
      <c r="E96" s="2">
        <f>E8/'Output-Calculation-sheet'!E7*'Output-Calculation-sheet'!E79</f>
        <v>8927960953.185648</v>
      </c>
      <c r="F96" s="2">
        <f>F8/'Output-Calculation-sheet'!F7*'Output-Calculation-sheet'!F79</f>
        <v>3695195060.6302056</v>
      </c>
      <c r="G96" s="2">
        <f>G8/'Output-Calculation-sheet'!G7*'Output-Calculation-sheet'!G79</f>
        <v>2878253105.6554708</v>
      </c>
      <c r="H96" s="2">
        <f>H8/'Output-Calculation-sheet'!H7*'Output-Calculation-sheet'!H79</f>
        <v>2463622108.2289906</v>
      </c>
      <c r="I96" s="2">
        <f>I8/'Output-Calculation-sheet'!I7*'Output-Calculation-sheet'!I79</f>
        <v>2005009283.092839</v>
      </c>
      <c r="J96" s="2">
        <f>J8/'Output-Calculation-sheet'!J7*'Output-Calculation-sheet'!J79</f>
        <v>1355839065.5325935</v>
      </c>
      <c r="K96" s="2">
        <f>K8/'Output-Calculation-sheet'!K7*'Output-Calculation-sheet'!K79</f>
        <v>1939801249.2897861</v>
      </c>
      <c r="L96" s="2">
        <f>L8/'Output-Calculation-sheet'!L7*'Output-Calculation-sheet'!L79</f>
        <v>1368722073.6213996</v>
      </c>
      <c r="M96" s="2">
        <f>M8/'Output-Calculation-sheet'!M7*'Output-Calculation-sheet'!M79</f>
        <v>1839046256.9670999</v>
      </c>
      <c r="N96" s="2">
        <f>N8/'Output-Calculation-sheet'!N7*'Output-Calculation-sheet'!N79</f>
        <v>1368396880.8483531</v>
      </c>
      <c r="O96" s="2">
        <f>O8/'Output-Calculation-sheet'!O7*'Output-Calculation-sheet'!O79</f>
        <v>691771491.18300235</v>
      </c>
      <c r="P96" s="2">
        <f>P8/'Output-Calculation-sheet'!P7*'Output-Calculation-sheet'!P79</f>
        <v>2313830549.575273</v>
      </c>
      <c r="Q96" s="2">
        <f>Q8/'Output-Calculation-sheet'!Q7*'Output-Calculation-sheet'!Q79</f>
        <v>1078344004.4241238</v>
      </c>
      <c r="R96" s="2">
        <f>R8/'Output-Calculation-sheet'!R7*'Output-Calculation-sheet'!R79</f>
        <v>1345362332.3836589</v>
      </c>
      <c r="S96" s="2">
        <f>S8/'Output-Calculation-sheet'!S7*'Output-Calculation-sheet'!S79</f>
        <v>783920840.69583774</v>
      </c>
      <c r="T96" s="2">
        <f>T8/'Output-Calculation-sheet'!T7*'Output-Calculation-sheet'!T79</f>
        <v>598735053.43087137</v>
      </c>
      <c r="U96" s="2">
        <f>U8/'Output-Calculation-sheet'!U7*'Output-Calculation-sheet'!U79</f>
        <v>376109972.5438956</v>
      </c>
      <c r="V96" s="2">
        <f>V8/'Output-Calculation-sheet'!V7*'Output-Calculation-sheet'!V79</f>
        <v>195145466.93351945</v>
      </c>
      <c r="W96" s="2">
        <f>W8/'Output-Calculation-sheet'!W7*'Output-Calculation-sheet'!W79</f>
        <v>576639033.8022356</v>
      </c>
      <c r="X96" s="2">
        <f>X8/'Output-Calculation-sheet'!X7*'Output-Calculation-sheet'!X79</f>
        <v>202672301.78134638</v>
      </c>
      <c r="Y96" s="2">
        <f>Y8/'Output-Calculation-sheet'!Y7*'Output-Calculation-sheet'!Y79</f>
        <v>316976685.31987208</v>
      </c>
      <c r="AA96" s="2">
        <f t="shared" si="8"/>
        <v>60.371917289372192</v>
      </c>
    </row>
    <row r="97" spans="1:27" x14ac:dyDescent="0.25">
      <c r="A97" s="2">
        <v>2032</v>
      </c>
      <c r="B97" s="2">
        <f>B9/'Output-Calculation-sheet'!B8*'Output-Calculation-sheet'!B80</f>
        <v>20372316725.910095</v>
      </c>
      <c r="C97" s="2">
        <f>C9/'Output-Calculation-sheet'!C8*'Output-Calculation-sheet'!C80</f>
        <v>6938920888.1591396</v>
      </c>
      <c r="D97" s="2">
        <f>D9/'Output-Calculation-sheet'!D8*'Output-Calculation-sheet'!D80</f>
        <v>6913959209.4363012</v>
      </c>
      <c r="E97" s="2">
        <f>E9/'Output-Calculation-sheet'!E8*'Output-Calculation-sheet'!E80</f>
        <v>12644597054.171854</v>
      </c>
      <c r="F97" s="2">
        <f>F9/'Output-Calculation-sheet'!F8*'Output-Calculation-sheet'!F80</f>
        <v>5223484067.2729635</v>
      </c>
      <c r="G97" s="2">
        <f>G9/'Output-Calculation-sheet'!G8*'Output-Calculation-sheet'!G80</f>
        <v>3953890458.9674559</v>
      </c>
      <c r="H97" s="2">
        <f>H9/'Output-Calculation-sheet'!H8*'Output-Calculation-sheet'!H80</f>
        <v>3478624988.2389102</v>
      </c>
      <c r="I97" s="2">
        <f>I9/'Output-Calculation-sheet'!I8*'Output-Calculation-sheet'!I80</f>
        <v>2861491877.6243625</v>
      </c>
      <c r="J97" s="2">
        <f>J9/'Output-Calculation-sheet'!J8*'Output-Calculation-sheet'!J80</f>
        <v>1881166792.6182766</v>
      </c>
      <c r="K97" s="2">
        <f>K9/'Output-Calculation-sheet'!K8*'Output-Calculation-sheet'!K80</f>
        <v>2712098281.7312918</v>
      </c>
      <c r="L97" s="2">
        <f>L9/'Output-Calculation-sheet'!L8*'Output-Calculation-sheet'!L80</f>
        <v>1973958285.5521016</v>
      </c>
      <c r="M97" s="2">
        <f>M9/'Output-Calculation-sheet'!M8*'Output-Calculation-sheet'!M80</f>
        <v>2604417120.067131</v>
      </c>
      <c r="N97" s="2">
        <f>N9/'Output-Calculation-sheet'!N8*'Output-Calculation-sheet'!N80</f>
        <v>1902874920.7882648</v>
      </c>
      <c r="O97" s="2">
        <f>O9/'Output-Calculation-sheet'!O8*'Output-Calculation-sheet'!O80</f>
        <v>984422856.59594941</v>
      </c>
      <c r="P97" s="2">
        <f>P9/'Output-Calculation-sheet'!P8*'Output-Calculation-sheet'!P80</f>
        <v>3220846475.9861679</v>
      </c>
      <c r="Q97" s="2">
        <f>Q9/'Output-Calculation-sheet'!Q8*'Output-Calculation-sheet'!Q80</f>
        <v>1506588470.9709609</v>
      </c>
      <c r="R97" s="2">
        <f>R9/'Output-Calculation-sheet'!R8*'Output-Calculation-sheet'!R80</f>
        <v>1903570693.4435165</v>
      </c>
      <c r="S97" s="2">
        <f>S9/'Output-Calculation-sheet'!S8*'Output-Calculation-sheet'!S80</f>
        <v>1104826922.1964509</v>
      </c>
      <c r="T97" s="2">
        <f>T9/'Output-Calculation-sheet'!T8*'Output-Calculation-sheet'!T80</f>
        <v>831973528.15112066</v>
      </c>
      <c r="U97" s="2">
        <f>U9/'Output-Calculation-sheet'!U8*'Output-Calculation-sheet'!U80</f>
        <v>531874709.76289743</v>
      </c>
      <c r="V97" s="2">
        <f>V9/'Output-Calculation-sheet'!V8*'Output-Calculation-sheet'!V80</f>
        <v>278883400.47475743</v>
      </c>
      <c r="W97" s="2">
        <f>W9/'Output-Calculation-sheet'!W8*'Output-Calculation-sheet'!W80</f>
        <v>807651716.37729657</v>
      </c>
      <c r="X97" s="2">
        <f>X9/'Output-Calculation-sheet'!X8*'Output-Calculation-sheet'!X80</f>
        <v>290024905.8121376</v>
      </c>
      <c r="Y97" s="2">
        <f>Y9/'Output-Calculation-sheet'!Y8*'Output-Calculation-sheet'!Y80</f>
        <v>443937662.46689069</v>
      </c>
      <c r="AA97" s="2">
        <f t="shared" si="8"/>
        <v>85.366402012776305</v>
      </c>
    </row>
    <row r="98" spans="1:27" x14ac:dyDescent="0.25">
      <c r="A98" s="2">
        <v>2033</v>
      </c>
      <c r="B98" s="2">
        <f>B10/'Output-Calculation-sheet'!B9*'Output-Calculation-sheet'!B81</f>
        <v>27066263171.170055</v>
      </c>
      <c r="C98" s="2">
        <f>C10/'Output-Calculation-sheet'!C9*'Output-Calculation-sheet'!C81</f>
        <v>9279657195.9902554</v>
      </c>
      <c r="D98" s="2">
        <f>D10/'Output-Calculation-sheet'!D9*'Output-Calculation-sheet'!D81</f>
        <v>8831407294.5409718</v>
      </c>
      <c r="E98" s="2">
        <f>E10/'Output-Calculation-sheet'!E9*'Output-Calculation-sheet'!E81</f>
        <v>16612432790.759899</v>
      </c>
      <c r="F98" s="2">
        <f>F10/'Output-Calculation-sheet'!F9*'Output-Calculation-sheet'!F81</f>
        <v>6851368823.3964605</v>
      </c>
      <c r="G98" s="2">
        <f>G10/'Output-Calculation-sheet'!G9*'Output-Calculation-sheet'!G81</f>
        <v>5030484615.4218941</v>
      </c>
      <c r="H98" s="2">
        <f>H10/'Output-Calculation-sheet'!H9*'Output-Calculation-sheet'!H81</f>
        <v>4557660161.8688059</v>
      </c>
      <c r="I98" s="2">
        <f>I10/'Output-Calculation-sheet'!I9*'Output-Calculation-sheet'!I81</f>
        <v>3788761134.4575219</v>
      </c>
      <c r="J98" s="2">
        <f>J10/'Output-Calculation-sheet'!J9*'Output-Calculation-sheet'!J81</f>
        <v>2422629363.8075914</v>
      </c>
      <c r="K98" s="2">
        <f>K10/'Output-Calculation-sheet'!K9*'Output-Calculation-sheet'!K81</f>
        <v>3518965224.7740626</v>
      </c>
      <c r="L98" s="2">
        <f>L10/'Output-Calculation-sheet'!L9*'Output-Calculation-sheet'!L81</f>
        <v>2639276593.477808</v>
      </c>
      <c r="M98" s="2">
        <f>M10/'Output-Calculation-sheet'!M9*'Output-Calculation-sheet'!M81</f>
        <v>3422611422.5342302</v>
      </c>
      <c r="N98" s="2">
        <f>N10/'Output-Calculation-sheet'!N9*'Output-Calculation-sheet'!N81</f>
        <v>2455456645.7785373</v>
      </c>
      <c r="O98" s="2">
        <f>O10/'Output-Calculation-sheet'!O9*'Output-Calculation-sheet'!O81</f>
        <v>1300303016.3321805</v>
      </c>
      <c r="P98" s="2">
        <f>P10/'Output-Calculation-sheet'!P9*'Output-Calculation-sheet'!P81</f>
        <v>4155391163.2802925</v>
      </c>
      <c r="Q98" s="2">
        <f>Q10/'Output-Calculation-sheet'!Q9*'Output-Calculation-sheet'!Q81</f>
        <v>1953759583.3610368</v>
      </c>
      <c r="R98" s="2">
        <f>R10/'Output-Calculation-sheet'!R9*'Output-Calculation-sheet'!R81</f>
        <v>2499154087.9262886</v>
      </c>
      <c r="S98" s="2">
        <f>S10/'Output-Calculation-sheet'!S9*'Output-Calculation-sheet'!S81</f>
        <v>1444956009.2068982</v>
      </c>
      <c r="T98" s="2">
        <f>T10/'Output-Calculation-sheet'!T9*'Output-Calculation-sheet'!T81</f>
        <v>1072216803.7398341</v>
      </c>
      <c r="U98" s="2">
        <f>U10/'Output-Calculation-sheet'!U9*'Output-Calculation-sheet'!U81</f>
        <v>697653792.64573014</v>
      </c>
      <c r="V98" s="2">
        <f>V10/'Output-Calculation-sheet'!V9*'Output-Calculation-sheet'!V81</f>
        <v>369489196.91205347</v>
      </c>
      <c r="W98" s="2">
        <f>W10/'Output-Calculation-sheet'!W9*'Output-Calculation-sheet'!W81</f>
        <v>1047629347.1327603</v>
      </c>
      <c r="X98" s="2">
        <f>X10/'Output-Calculation-sheet'!X9*'Output-Calculation-sheet'!X81</f>
        <v>384972088.76744878</v>
      </c>
      <c r="Y98" s="2">
        <f>Y10/'Output-Calculation-sheet'!Y9*'Output-Calculation-sheet'!Y81</f>
        <v>576051493.45327795</v>
      </c>
      <c r="AA98" s="2">
        <f t="shared" si="8"/>
        <v>111.97855102073591</v>
      </c>
    </row>
    <row r="99" spans="1:27" x14ac:dyDescent="0.25">
      <c r="A99" s="2">
        <v>2034</v>
      </c>
      <c r="B99" s="2">
        <f>B11/'Output-Calculation-sheet'!B10*'Output-Calculation-sheet'!B82</f>
        <v>34202507908.901047</v>
      </c>
      <c r="C99" s="2">
        <f>C11/'Output-Calculation-sheet'!C10*'Output-Calculation-sheet'!C82</f>
        <v>11801268481.596556</v>
      </c>
      <c r="D99" s="2">
        <f>D11/'Output-Calculation-sheet'!D10*'Output-Calculation-sheet'!D82</f>
        <v>10735834809.076853</v>
      </c>
      <c r="E99" s="2">
        <f>E11/'Output-Calculation-sheet'!E10*'Output-Calculation-sheet'!E82</f>
        <v>20767531024.18269</v>
      </c>
      <c r="F99" s="2">
        <f>F11/'Output-Calculation-sheet'!F10*'Output-Calculation-sheet'!F82</f>
        <v>8553081879.5842857</v>
      </c>
      <c r="G99" s="2">
        <f>G11/'Output-Calculation-sheet'!G10*'Output-Calculation-sheet'!G82</f>
        <v>6080632576.5551023</v>
      </c>
      <c r="H99" s="2">
        <f>H11/'Output-Calculation-sheet'!H10*'Output-Calculation-sheet'!H82</f>
        <v>5683455137.9213219</v>
      </c>
      <c r="I99" s="2">
        <f>I11/'Output-Calculation-sheet'!I10*'Output-Calculation-sheet'!I82</f>
        <v>4773706651.2444897</v>
      </c>
      <c r="J99" s="2">
        <f>J11/'Output-Calculation-sheet'!J10*'Output-Calculation-sheet'!J82</f>
        <v>2970675823.3224673</v>
      </c>
      <c r="K99" s="2">
        <f>K11/'Output-Calculation-sheet'!K10*'Output-Calculation-sheet'!K82</f>
        <v>4346488561.8826342</v>
      </c>
      <c r="L99" s="2">
        <f>L11/'Output-Calculation-sheet'!L10*'Output-Calculation-sheet'!L82</f>
        <v>3355807025.8155866</v>
      </c>
      <c r="M99" s="2">
        <f>M11/'Output-Calculation-sheet'!M10*'Output-Calculation-sheet'!M82</f>
        <v>4281241410.5508184</v>
      </c>
      <c r="N99" s="2">
        <f>N11/'Output-Calculation-sheet'!N10*'Output-Calculation-sheet'!N82</f>
        <v>3016138574.016685</v>
      </c>
      <c r="O99" s="2">
        <f>O11/'Output-Calculation-sheet'!O10*'Output-Calculation-sheet'!O82</f>
        <v>1635200088.7343633</v>
      </c>
      <c r="P99" s="2">
        <f>P11/'Output-Calculation-sheet'!P10*'Output-Calculation-sheet'!P82</f>
        <v>5097289116.4172211</v>
      </c>
      <c r="Q99" s="2">
        <f>Q11/'Output-Calculation-sheet'!Q10*'Output-Calculation-sheet'!Q82</f>
        <v>2412357526.2910352</v>
      </c>
      <c r="R99" s="2">
        <f>R11/'Output-Calculation-sheet'!R10*'Output-Calculation-sheet'!R82</f>
        <v>3122785661.5811725</v>
      </c>
      <c r="S99" s="2">
        <f>S11/'Output-Calculation-sheet'!S10*'Output-Calculation-sheet'!S82</f>
        <v>1798811843.2325525</v>
      </c>
      <c r="T99" s="2">
        <f>T11/'Output-Calculation-sheet'!T10*'Output-Calculation-sheet'!T82</f>
        <v>1314721151.5737631</v>
      </c>
      <c r="U99" s="2">
        <f>U11/'Output-Calculation-sheet'!U10*'Output-Calculation-sheet'!U82</f>
        <v>870634849.32537651</v>
      </c>
      <c r="V99" s="2">
        <f>V11/'Output-Calculation-sheet'!V10*'Output-Calculation-sheet'!V82</f>
        <v>465517599.36696571</v>
      </c>
      <c r="W99" s="2">
        <f>W11/'Output-Calculation-sheet'!W10*'Output-Calculation-sheet'!W82</f>
        <v>1290896601.6597235</v>
      </c>
      <c r="X99" s="2">
        <f>X11/'Output-Calculation-sheet'!X10*'Output-Calculation-sheet'!X82</f>
        <v>486187199.99017906</v>
      </c>
      <c r="Y99" s="2">
        <f>Y11/'Output-Calculation-sheet'!Y10*'Output-Calculation-sheet'!Y82</f>
        <v>710402555.85256386</v>
      </c>
      <c r="AA99" s="2">
        <f t="shared" si="8"/>
        <v>139.77317405867541</v>
      </c>
    </row>
    <row r="100" spans="1:27" x14ac:dyDescent="0.25">
      <c r="A100" s="2">
        <v>2035</v>
      </c>
      <c r="B100" s="2">
        <f>B12/'Output-Calculation-sheet'!B11*'Output-Calculation-sheet'!B83</f>
        <v>41701765741.687386</v>
      </c>
      <c r="C100" s="2">
        <f>C12/'Output-Calculation-sheet'!C11*'Output-Calculation-sheet'!C83</f>
        <v>14478175729.99408</v>
      </c>
      <c r="D100" s="2">
        <f>D12/'Output-Calculation-sheet'!D11*'Output-Calculation-sheet'!D83</f>
        <v>12601395550.379171</v>
      </c>
      <c r="E100" s="2">
        <f>E12/'Output-Calculation-sheet'!E11*'Output-Calculation-sheet'!E83</f>
        <v>25060924226.101345</v>
      </c>
      <c r="F100" s="2">
        <f>F12/'Output-Calculation-sheet'!F11*'Output-Calculation-sheet'!F83</f>
        <v>10309064975.321581</v>
      </c>
      <c r="G100" s="2">
        <f>G12/'Output-Calculation-sheet'!G11*'Output-Calculation-sheet'!G83</f>
        <v>7084335006.9547005</v>
      </c>
      <c r="H100" s="2">
        <f>H12/'Output-Calculation-sheet'!H11*'Output-Calculation-sheet'!H83</f>
        <v>6842938189.8415689</v>
      </c>
      <c r="I100" s="2">
        <f>I12/'Output-Calculation-sheet'!I11*'Output-Calculation-sheet'!I83</f>
        <v>5806097894.8426838</v>
      </c>
      <c r="J100" s="2">
        <f>J12/'Output-Calculation-sheet'!J11*'Output-Calculation-sheet'!J83</f>
        <v>3518745221.6404505</v>
      </c>
      <c r="K100" s="2">
        <f>K12/'Output-Calculation-sheet'!K11*'Output-Calculation-sheet'!K83</f>
        <v>5184610550.2368326</v>
      </c>
      <c r="L100" s="2">
        <f>L12/'Output-Calculation-sheet'!L11*'Output-Calculation-sheet'!L83</f>
        <v>4116285153.4692965</v>
      </c>
      <c r="M100" s="2">
        <f>M12/'Output-Calculation-sheet'!M11*'Output-Calculation-sheet'!M83</f>
        <v>5170966287.2882357</v>
      </c>
      <c r="N100" s="2">
        <f>N12/'Output-Calculation-sheet'!N11*'Output-Calculation-sheet'!N83</f>
        <v>3577900255.1258831</v>
      </c>
      <c r="O100" s="2">
        <f>O12/'Output-Calculation-sheet'!O11*'Output-Calculation-sheet'!O83</f>
        <v>1985961821.8267045</v>
      </c>
      <c r="P100" s="2">
        <f>P12/'Output-Calculation-sheet'!P11*'Output-Calculation-sheet'!P83</f>
        <v>6031507166.2267141</v>
      </c>
      <c r="Q100" s="2">
        <f>Q12/'Output-Calculation-sheet'!Q11*'Output-Calculation-sheet'!Q83</f>
        <v>2877056567.6231651</v>
      </c>
      <c r="R100" s="2">
        <f>R12/'Output-Calculation-sheet'!R11*'Output-Calculation-sheet'!R83</f>
        <v>3767345219.4355788</v>
      </c>
      <c r="S100" s="2">
        <f>S12/'Output-Calculation-sheet'!S11*'Output-Calculation-sheet'!S83</f>
        <v>2162262593.0226622</v>
      </c>
      <c r="T100" s="2">
        <f>T12/'Output-Calculation-sheet'!T11*'Output-Calculation-sheet'!T83</f>
        <v>1556079895.8368149</v>
      </c>
      <c r="U100" s="2">
        <f>U12/'Output-Calculation-sheet'!U11*'Output-Calculation-sheet'!U83</f>
        <v>1048621663.9110954</v>
      </c>
      <c r="V100" s="2">
        <f>V12/'Output-Calculation-sheet'!V11*'Output-Calculation-sheet'!V83</f>
        <v>565792314.13549995</v>
      </c>
      <c r="W100" s="2">
        <f>W12/'Output-Calculation-sheet'!W11*'Output-Calculation-sheet'!W83</f>
        <v>1532870378.6437538</v>
      </c>
      <c r="X100" s="2">
        <f>X12/'Output-Calculation-sheet'!X11*'Output-Calculation-sheet'!X83</f>
        <v>592622248.49043584</v>
      </c>
      <c r="Y100" s="2">
        <f>Y12/'Output-Calculation-sheet'!Y11*'Output-Calculation-sheet'!Y83</f>
        <v>844703075.1908232</v>
      </c>
      <c r="AA100" s="2">
        <f t="shared" si="8"/>
        <v>168.4180277272265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73B8-E72D-44CE-8432-B4FD9EA7376C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116441124096.64398</v>
      </c>
      <c r="C8" s="2">
        <v>54872917077.780441</v>
      </c>
      <c r="D8" s="2">
        <v>48906603424.083</v>
      </c>
      <c r="E8" s="2">
        <v>38802426931.470482</v>
      </c>
      <c r="F8" s="2">
        <v>24978514627.398483</v>
      </c>
      <c r="G8" s="2">
        <v>17550589894.041214</v>
      </c>
      <c r="H8" s="2">
        <v>17119926730.9464</v>
      </c>
      <c r="I8" s="2">
        <v>15989968926.786785</v>
      </c>
      <c r="J8" s="2">
        <v>15563531379.480396</v>
      </c>
      <c r="K8" s="2">
        <v>15414330045.422487</v>
      </c>
      <c r="L8" s="2">
        <v>12365575970.04847</v>
      </c>
      <c r="M8" s="2">
        <v>11811257047.253197</v>
      </c>
      <c r="N8" s="2">
        <v>11592714679.945307</v>
      </c>
      <c r="O8" s="2">
        <v>10661855440.878597</v>
      </c>
      <c r="P8" s="2">
        <v>10553379491.679287</v>
      </c>
      <c r="Q8" s="2">
        <v>10382819823.126896</v>
      </c>
      <c r="R8" s="2">
        <v>9988750236.9200191</v>
      </c>
      <c r="S8" s="2">
        <v>6639035098.4018583</v>
      </c>
      <c r="T8" s="2">
        <v>3671778696.6539154</v>
      </c>
      <c r="U8" s="2">
        <v>3197993785.3573623</v>
      </c>
      <c r="V8" s="2">
        <v>2462519174.6008778</v>
      </c>
      <c r="W8" s="2">
        <v>2131995856.9049065</v>
      </c>
      <c r="X8" s="2">
        <v>1279197514.1429446</v>
      </c>
      <c r="Y8" s="2">
        <v>1244006790.5288701</v>
      </c>
    </row>
    <row r="9" spans="1:27" x14ac:dyDescent="0.25">
      <c r="A9" s="2">
        <v>2032</v>
      </c>
      <c r="B9" s="2">
        <v>133582212058.12256</v>
      </c>
      <c r="C9" s="2">
        <v>62950660277.446655</v>
      </c>
      <c r="D9" s="2">
        <v>56106056346.691101</v>
      </c>
      <c r="E9" s="2">
        <v>44514462248.126701</v>
      </c>
      <c r="F9" s="2">
        <v>28655556735.133144</v>
      </c>
      <c r="G9" s="2">
        <v>20134180592.632454</v>
      </c>
      <c r="H9" s="2">
        <v>19640120281.685905</v>
      </c>
      <c r="I9" s="2">
        <v>18343823426.232151</v>
      </c>
      <c r="J9" s="2">
        <v>17854610776.356422</v>
      </c>
      <c r="K9" s="2">
        <v>17683445782.887821</v>
      </c>
      <c r="L9" s="2">
        <v>14185890116.286221</v>
      </c>
      <c r="M9" s="2">
        <v>13549970904.176842</v>
      </c>
      <c r="N9" s="2">
        <v>13299257308.9596</v>
      </c>
      <c r="O9" s="2">
        <v>12231367959.436773</v>
      </c>
      <c r="P9" s="2">
        <v>12106923461.313229</v>
      </c>
      <c r="Q9" s="2">
        <v>11911256011.43342</v>
      </c>
      <c r="R9" s="2">
        <v>11459176151.858614</v>
      </c>
      <c r="S9" s="2">
        <v>7616355486.5715714</v>
      </c>
      <c r="T9" s="2">
        <v>4212294619.2088218</v>
      </c>
      <c r="U9" s="2">
        <v>3668764685.2464356</v>
      </c>
      <c r="V9" s="2">
        <v>2825022182.9334621</v>
      </c>
      <c r="W9" s="2">
        <v>2445843123.497622</v>
      </c>
      <c r="X9" s="2">
        <v>1467505874.0985739</v>
      </c>
      <c r="Y9" s="2">
        <v>1427134787.5021198</v>
      </c>
    </row>
    <row r="10" spans="1:27" x14ac:dyDescent="0.25">
      <c r="A10" s="2">
        <v>2033</v>
      </c>
      <c r="B10" s="2">
        <v>147859582724.52219</v>
      </c>
      <c r="C10" s="2">
        <v>69678875783.300415</v>
      </c>
      <c r="D10" s="2">
        <v>62102715263.696251</v>
      </c>
      <c r="E10" s="2">
        <v>49272202577.021896</v>
      </c>
      <c r="F10" s="2">
        <v>31718284914.701893</v>
      </c>
      <c r="G10" s="2">
        <v>22286137465.903622</v>
      </c>
      <c r="H10" s="2">
        <v>21739271604.859798</v>
      </c>
      <c r="I10" s="2">
        <v>20304425533.804276</v>
      </c>
      <c r="J10" s="2">
        <v>19762925455.614902</v>
      </c>
      <c r="K10" s="2">
        <v>19573466214.587353</v>
      </c>
      <c r="L10" s="2">
        <v>15702089079.475334</v>
      </c>
      <c r="M10" s="2">
        <v>14998202327.636787</v>
      </c>
      <c r="N10" s="2">
        <v>14720692268.467709</v>
      </c>
      <c r="O10" s="2">
        <v>13538666075.132147</v>
      </c>
      <c r="P10" s="2">
        <v>13400920852.310833</v>
      </c>
      <c r="Q10" s="2">
        <v>13184340313.283588</v>
      </c>
      <c r="R10" s="2">
        <v>12683941806.888088</v>
      </c>
      <c r="S10" s="2">
        <v>8430397481.6355143</v>
      </c>
      <c r="T10" s="2">
        <v>4662507942.5842247</v>
      </c>
      <c r="U10" s="2">
        <v>4060885106.7608614</v>
      </c>
      <c r="V10" s="2">
        <v>3126962749.9080005</v>
      </c>
      <c r="W10" s="2">
        <v>2707256737.8405719</v>
      </c>
      <c r="X10" s="2">
        <v>1624354042.7043443</v>
      </c>
      <c r="Y10" s="2">
        <v>1579668062.9895451</v>
      </c>
    </row>
    <row r="11" spans="1:27" x14ac:dyDescent="0.25">
      <c r="A11" s="2">
        <v>2034</v>
      </c>
      <c r="B11" s="2">
        <v>160177678988.78998</v>
      </c>
      <c r="C11" s="2">
        <v>75483782598.733368</v>
      </c>
      <c r="D11" s="2">
        <v>67276456530.881302</v>
      </c>
      <c r="E11" s="2">
        <v>53377041257.833344</v>
      </c>
      <c r="F11" s="2">
        <v>34360716874.250313</v>
      </c>
      <c r="G11" s="2">
        <v>24142782680.270081</v>
      </c>
      <c r="H11" s="2">
        <v>23550357740.836796</v>
      </c>
      <c r="I11" s="2">
        <v>21995975474.00695</v>
      </c>
      <c r="J11" s="2">
        <v>21409363337.692314</v>
      </c>
      <c r="K11" s="2">
        <v>21204120356.942734</v>
      </c>
      <c r="L11" s="2">
        <v>17010221033.232071</v>
      </c>
      <c r="M11" s="2">
        <v>16247693883.466499</v>
      </c>
      <c r="N11" s="2">
        <v>15947064621.874697</v>
      </c>
      <c r="O11" s="2">
        <v>14666564510.460245</v>
      </c>
      <c r="P11" s="2">
        <v>14517343812.844597</v>
      </c>
      <c r="Q11" s="2">
        <v>14282720074.455193</v>
      </c>
      <c r="R11" s="2">
        <v>13740633658.093386</v>
      </c>
      <c r="S11" s="2">
        <v>9132729016.8076649</v>
      </c>
      <c r="T11" s="2">
        <v>5050938780.8929577</v>
      </c>
      <c r="U11" s="2">
        <v>4399195094.8013964</v>
      </c>
      <c r="V11" s="2">
        <v>3387468206.8989735</v>
      </c>
      <c r="W11" s="2">
        <v>2932796729.8675952</v>
      </c>
      <c r="X11" s="2">
        <v>1759678037.9205582</v>
      </c>
      <c r="Y11" s="2">
        <v>1711269295.0973608</v>
      </c>
    </row>
    <row r="12" spans="1:27" x14ac:dyDescent="0.25">
      <c r="A12" s="2">
        <v>2035</v>
      </c>
      <c r="B12" s="2">
        <v>171253575334.35495</v>
      </c>
      <c r="C12" s="2">
        <v>80703302304.055389</v>
      </c>
      <c r="D12" s="2">
        <v>71928459629.796844</v>
      </c>
      <c r="E12" s="2">
        <v>57067933646.441887</v>
      </c>
      <c r="F12" s="2">
        <v>36736676751.188828</v>
      </c>
      <c r="G12" s="2">
        <v>25812197296.265903</v>
      </c>
      <c r="H12" s="2">
        <v>25178807615.283642</v>
      </c>
      <c r="I12" s="2">
        <v>23516943600.825298</v>
      </c>
      <c r="J12" s="2">
        <v>22889768664.138672</v>
      </c>
      <c r="K12" s="2">
        <v>22670333631.195625</v>
      </c>
      <c r="L12" s="2">
        <v>18186436384.638264</v>
      </c>
      <c r="M12" s="2">
        <v>17371182339.809654</v>
      </c>
      <c r="N12" s="2">
        <v>17049765297.043499</v>
      </c>
      <c r="O12" s="2">
        <v>15680721721.93269</v>
      </c>
      <c r="P12" s="2">
        <v>15521182776.544706</v>
      </c>
      <c r="Q12" s="2">
        <v>15270335378.135906</v>
      </c>
      <c r="R12" s="2">
        <v>14690765006.482286</v>
      </c>
      <c r="S12" s="2">
        <v>9764234983.0626411</v>
      </c>
      <c r="T12" s="2">
        <v>5400198894.6500053</v>
      </c>
      <c r="U12" s="2">
        <v>4703388720.1650667</v>
      </c>
      <c r="V12" s="2">
        <v>3621703382.301507</v>
      </c>
      <c r="W12" s="2">
        <v>3135592480.1100421</v>
      </c>
      <c r="X12" s="2">
        <v>1881355488.0660264</v>
      </c>
      <c r="Y12" s="2">
        <v>1829599398.5893271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1983.6295847142874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618.8655377603767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426.9700839418449</v>
      </c>
      <c r="N16" s="2">
        <f>N5/'Output-Calculation-sheet'!N4*'Output-Calculation-sheet'!N22</f>
        <v>0</v>
      </c>
      <c r="O16" s="2">
        <f>O5/'Output-Calculation-sheet'!O4*'Output-Calculation-sheet'!O22</f>
        <v>385.41521815063498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46.242265149224508</v>
      </c>
      <c r="Y16" s="2">
        <f>Y5/'Output-Calculation-sheet'!Y4*'Output-Calculation-sheet'!Y22</f>
        <v>0</v>
      </c>
      <c r="AA16" s="2">
        <f t="shared" ref="AA16:AA23" si="0">SUM(B16:Y16)/1000</f>
        <v>3.4611226897163689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5907.20971218657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1741.9893210659743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1202.4961204697115</v>
      </c>
      <c r="N17" s="2">
        <f>N6/'Output-Calculation-sheet'!N5*'Output-Calculation-sheet'!N23</f>
        <v>0</v>
      </c>
      <c r="O17" s="2">
        <f>O6/'Output-Calculation-sheet'!O5*'Output-Calculation-sheet'!O23</f>
        <v>1154.9939713928168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133.71066903551042</v>
      </c>
      <c r="Y17" s="2">
        <f>Y6/'Output-Calculation-sheet'!Y5*'Output-Calculation-sheet'!Y23</f>
        <v>0</v>
      </c>
      <c r="AA17" s="2">
        <f t="shared" si="0"/>
        <v>10.140399794150582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11451.635009375932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3627.4608713827793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2501.8089914069992</v>
      </c>
      <c r="N18" s="2">
        <f>N7/'Output-Calculation-sheet'!N6*'Output-Calculation-sheet'!N24</f>
        <v>775.35046695385222</v>
      </c>
      <c r="O18" s="2">
        <f>O7/'Output-Calculation-sheet'!O6*'Output-Calculation-sheet'!O24</f>
        <v>1651.4646868636512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169.50445449421477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280.50336123624345</v>
      </c>
      <c r="Y18" s="2">
        <f>Y7/'Output-Calculation-sheet'!Y6*'Output-Calculation-sheet'!Y24</f>
        <v>0</v>
      </c>
      <c r="AA18" s="2">
        <f t="shared" si="0"/>
        <v>20.457727841713673</v>
      </c>
    </row>
    <row r="19" spans="1:27" x14ac:dyDescent="0.25">
      <c r="A19" s="2">
        <v>2031</v>
      </c>
      <c r="B19" s="2">
        <f>B8/'Output-Calculation-sheet'!B7*'Output-Calculation-sheet'!B25</f>
        <v>1294.6230395991481</v>
      </c>
      <c r="C19" s="2">
        <f>C8/'Output-Calculation-sheet'!C7*'Output-Calculation-sheet'!C25</f>
        <v>17090.966849946108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5808.3520351584566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4035.9547429118238</v>
      </c>
      <c r="N19" s="2">
        <f>N8/'Output-Calculation-sheet'!N7*'Output-Calculation-sheet'!N25</f>
        <v>1381.7779998442104</v>
      </c>
      <c r="O19" s="2">
        <f>O8/'Output-Calculation-sheet'!O7*'Output-Calculation-sheet'!O25</f>
        <v>2205.8646970597115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493.0402033353638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450.93745781513576</v>
      </c>
      <c r="Y19" s="2">
        <f>Y8/'Output-Calculation-sheet'!Y7*'Output-Calculation-sheet'!Y25</f>
        <v>0</v>
      </c>
      <c r="AA19" s="2">
        <f t="shared" si="0"/>
        <v>32.76151702566996</v>
      </c>
    </row>
    <row r="20" spans="1:27" x14ac:dyDescent="0.25">
      <c r="A20" s="2">
        <v>2032</v>
      </c>
      <c r="B20" s="2">
        <f>B9/'Output-Calculation-sheet'!B8*'Output-Calculation-sheet'!B26</f>
        <v>7672.4578833559808</v>
      </c>
      <c r="C20" s="2">
        <f>C9/'Output-Calculation-sheet'!C8*'Output-Calculation-sheet'!C26</f>
        <v>26048.500423153306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8336.8091895969337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5799.6214971632871</v>
      </c>
      <c r="N20" s="2">
        <f>N9/'Output-Calculation-sheet'!N8*'Output-Calculation-sheet'!N26</f>
        <v>2617.4899617842839</v>
      </c>
      <c r="O20" s="2">
        <f>O9/'Output-Calculation-sheet'!O8*'Output-Calculation-sheet'!O26</f>
        <v>2746.7163923576823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951.26691544471169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648.84779022390853</v>
      </c>
      <c r="Y20" s="2">
        <f>Y9/'Output-Calculation-sheet'!Y8*'Output-Calculation-sheet'!Y26</f>
        <v>0</v>
      </c>
      <c r="AA20" s="2">
        <f t="shared" si="0"/>
        <v>54.821710053080096</v>
      </c>
    </row>
    <row r="21" spans="1:27" x14ac:dyDescent="0.25">
      <c r="A21" s="2">
        <v>2033</v>
      </c>
      <c r="B21" s="2">
        <f>B10/'Output-Calculation-sheet'!B9*'Output-Calculation-sheet'!B27</f>
        <v>19203.664127195978</v>
      </c>
      <c r="C21" s="2">
        <f>C10/'Output-Calculation-sheet'!C9*'Output-Calculation-sheet'!C27</f>
        <v>32979.082883027942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11115.430739171587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7720.3585991325917</v>
      </c>
      <c r="N21" s="2">
        <f>N10/'Output-Calculation-sheet'!N9*'Output-Calculation-sheet'!N27</f>
        <v>4224.4255653216433</v>
      </c>
      <c r="O21" s="2">
        <f>O10/'Output-Calculation-sheet'!O9*'Output-Calculation-sheet'!O27</f>
        <v>3290.4575289251425</v>
      </c>
      <c r="P21" s="2">
        <f>P10/'Output-Calculation-sheet'!P9*'Output-Calculation-sheet'!P27</f>
        <v>0</v>
      </c>
      <c r="Q21" s="2">
        <f>Q10/'Output-Calculation-sheet'!Q9*'Output-Calculation-sheet'!Q27</f>
        <v>288.13379690139749</v>
      </c>
      <c r="R21" s="2">
        <f>R10/'Output-Calculation-sheet'!R9*'Output-Calculation-sheet'!R27</f>
        <v>0</v>
      </c>
      <c r="S21" s="2">
        <f>S10/'Output-Calculation-sheet'!S9*'Output-Calculation-sheet'!S27</f>
        <v>1834.8280669353924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907.84803037353208</v>
      </c>
      <c r="Y21" s="2">
        <f>Y10/'Output-Calculation-sheet'!Y9*'Output-Calculation-sheet'!Y27</f>
        <v>0</v>
      </c>
      <c r="AA21" s="2">
        <f t="shared" si="0"/>
        <v>81.564229336985193</v>
      </c>
    </row>
    <row r="22" spans="1:27" x14ac:dyDescent="0.25">
      <c r="A22" s="2">
        <v>2034</v>
      </c>
      <c r="B22" s="2">
        <f>B11/'Output-Calculation-sheet'!B10*'Output-Calculation-sheet'!B28</f>
        <v>39618.481899539649</v>
      </c>
      <c r="C22" s="2">
        <f>C11/'Output-Calculation-sheet'!C10*'Output-Calculation-sheet'!C28</f>
        <v>38008.958816624807</v>
      </c>
      <c r="D22" s="2">
        <f>D11/'Output-Calculation-sheet'!D10*'Output-Calculation-sheet'!D28</f>
        <v>0</v>
      </c>
      <c r="E22" s="2">
        <f>E11/'Output-Calculation-sheet'!E10*'Output-Calculation-sheet'!E28</f>
        <v>2029.9902623131159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14504.146751013797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1210.4751623932641</v>
      </c>
      <c r="M22" s="2">
        <f>M11/'Output-Calculation-sheet'!M10*'Output-Calculation-sheet'!M28</f>
        <v>10574.797943188525</v>
      </c>
      <c r="N22" s="2">
        <f>N11/'Output-Calculation-sheet'!N10*'Output-Calculation-sheet'!N28</f>
        <v>6310.9144446605424</v>
      </c>
      <c r="O22" s="2">
        <f>O11/'Output-Calculation-sheet'!O10*'Output-Calculation-sheet'!O28</f>
        <v>3900.5582788552692</v>
      </c>
      <c r="P22" s="2">
        <f>P11/'Output-Calculation-sheet'!P10*'Output-Calculation-sheet'!P28</f>
        <v>0</v>
      </c>
      <c r="Q22" s="2">
        <f>Q11/'Output-Calculation-sheet'!Q10*'Output-Calculation-sheet'!Q28</f>
        <v>1433.6422439000476</v>
      </c>
      <c r="R22" s="2">
        <f>R11/'Output-Calculation-sheet'!R10*'Output-Calculation-sheet'!R28</f>
        <v>0</v>
      </c>
      <c r="S22" s="2">
        <f>S11/'Output-Calculation-sheet'!S10*'Output-Calculation-sheet'!S28</f>
        <v>3219.4563458886032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1061.8896031891575</v>
      </c>
      <c r="Y22" s="2">
        <f>Y11/'Output-Calculation-sheet'!Y10*'Output-Calculation-sheet'!Y28</f>
        <v>110.14646074403039</v>
      </c>
      <c r="AA22" s="2">
        <f t="shared" si="0"/>
        <v>121.98345821231079</v>
      </c>
    </row>
    <row r="23" spans="1:27" x14ac:dyDescent="0.25">
      <c r="A23" s="2">
        <v>2035</v>
      </c>
      <c r="B23" s="2">
        <f>B12/'Output-Calculation-sheet'!B11*'Output-Calculation-sheet'!B29</f>
        <v>51235.955816791909</v>
      </c>
      <c r="C23" s="2">
        <f>C12/'Output-Calculation-sheet'!C11*'Output-Calculation-sheet'!C29</f>
        <v>41848.89080335512</v>
      </c>
      <c r="D23" s="2">
        <f>D12/'Output-Calculation-sheet'!D11*'Output-Calculation-sheet'!D29</f>
        <v>0</v>
      </c>
      <c r="E23" s="2">
        <f>E12/'Output-Calculation-sheet'!E11*'Output-Calculation-sheet'!E29</f>
        <v>7899.3342318591576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16109.608773333201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1790.7153271922782</v>
      </c>
      <c r="M23" s="2">
        <f>M12/'Output-Calculation-sheet'!M11*'Output-Calculation-sheet'!M29</f>
        <v>11802.837759975046</v>
      </c>
      <c r="N23" s="2">
        <f>N12/'Output-Calculation-sheet'!N11*'Output-Calculation-sheet'!N29</f>
        <v>6885.2536248406104</v>
      </c>
      <c r="O23" s="2">
        <f>O12/'Output-Calculation-sheet'!O11*'Output-Calculation-sheet'!O29</f>
        <v>4641.5073665956943</v>
      </c>
      <c r="P23" s="2">
        <f>P12/'Output-Calculation-sheet'!P11*'Output-Calculation-sheet'!P29</f>
        <v>840.90766492597027</v>
      </c>
      <c r="Q23" s="2">
        <f>Q12/'Output-Calculation-sheet'!Q11*'Output-Calculation-sheet'!Q29</f>
        <v>1887.8283130239288</v>
      </c>
      <c r="R23" s="2">
        <f>R12/'Output-Calculation-sheet'!R11*'Output-Calculation-sheet'!R29</f>
        <v>0</v>
      </c>
      <c r="S23" s="2">
        <f>S12/'Output-Calculation-sheet'!S11*'Output-Calculation-sheet'!S29</f>
        <v>3685.6774378579184</v>
      </c>
      <c r="T23" s="2">
        <f>T12/'Output-Calculation-sheet'!T11*'Output-Calculation-sheet'!T29</f>
        <v>0</v>
      </c>
      <c r="U23" s="2">
        <f>U12/'Output-Calculation-sheet'!U11*'Output-Calculation-sheet'!U29</f>
        <v>160.72298895103083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1169.25472307782</v>
      </c>
      <c r="Y23" s="2">
        <f>Y12/'Output-Calculation-sheet'!Y11*'Output-Calculation-sheet'!Y29</f>
        <v>346.16469070100089</v>
      </c>
      <c r="AA23" s="2">
        <f t="shared" si="0"/>
        <v>150.30465952248068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2504.1414456833122</v>
      </c>
      <c r="C27" s="2">
        <f>C5/'Output-Calculation-sheet'!C4*'Output-Calculation-sheet'!C13</f>
        <v>0</v>
      </c>
      <c r="D27" s="2">
        <f>D5/'Output-Calculation-sheet'!D4*'Output-Calculation-sheet'!D13</f>
        <v>447.33558611350941</v>
      </c>
      <c r="E27" s="2">
        <f>E5/'Output-Calculation-sheet'!E4*'Output-Calculation-sheet'!E13</f>
        <v>481.27782588996712</v>
      </c>
      <c r="F27" s="2">
        <f>F5/'Output-Calculation-sheet'!F4*'Output-Calculation-sheet'!F13</f>
        <v>242.82749537111511</v>
      </c>
      <c r="G27" s="2">
        <f>G5/'Output-Calculation-sheet'!G4*'Output-Calculation-sheet'!G13</f>
        <v>159.01580217807515</v>
      </c>
      <c r="H27" s="2">
        <f>H5/'Output-Calculation-sheet'!H4*'Output-Calculation-sheet'!H13</f>
        <v>0</v>
      </c>
      <c r="I27" s="2">
        <f>I5/'Output-Calculation-sheet'!I4*'Output-Calculation-sheet'!I13</f>
        <v>155.02022792977669</v>
      </c>
      <c r="J27" s="2">
        <f>J5/'Output-Calculation-sheet'!J4*'Output-Calculation-sheet'!J13</f>
        <v>137.99817189254861</v>
      </c>
      <c r="K27" s="2">
        <f>K5/'Output-Calculation-sheet'!K4*'Output-Calculation-sheet'!K13</f>
        <v>184.24557097933075</v>
      </c>
      <c r="L27" s="2">
        <f>L5/'Output-Calculation-sheet'!L4*'Output-Calculation-sheet'!L13</f>
        <v>155.62778354434798</v>
      </c>
      <c r="M27" s="2">
        <f>M5/'Output-Calculation-sheet'!M4*'Output-Calculation-sheet'!M13</f>
        <v>0</v>
      </c>
      <c r="N27" s="2">
        <f>N5/'Output-Calculation-sheet'!N4*'Output-Calculation-sheet'!N13</f>
        <v>298.70996831696249</v>
      </c>
      <c r="O27" s="2">
        <f>O5/'Output-Calculation-sheet'!O4*'Output-Calculation-sheet'!O13</f>
        <v>0</v>
      </c>
      <c r="P27" s="2">
        <f>P5/'Output-Calculation-sheet'!P4*'Output-Calculation-sheet'!P13</f>
        <v>182.4874100205131</v>
      </c>
      <c r="Q27" s="2">
        <f>Q5/'Output-Calculation-sheet'!Q4*'Output-Calculation-sheet'!Q13</f>
        <v>203.08851457760323</v>
      </c>
      <c r="R27" s="2">
        <f>R5/'Output-Calculation-sheet'!R4*'Output-Calculation-sheet'!R13</f>
        <v>137.29654783747617</v>
      </c>
      <c r="S27" s="2">
        <f>S5/'Output-Calculation-sheet'!S4*'Output-Calculation-sheet'!S13</f>
        <v>158.46088170778449</v>
      </c>
      <c r="T27" s="2">
        <f>T5/'Output-Calculation-sheet'!T4*'Output-Calculation-sheet'!T13</f>
        <v>41.614483279902437</v>
      </c>
      <c r="U27" s="2">
        <f>U5/'Output-Calculation-sheet'!U4*'Output-Calculation-sheet'!U13</f>
        <v>41.541576899447783</v>
      </c>
      <c r="V27" s="2">
        <f>V5/'Output-Calculation-sheet'!V4*'Output-Calculation-sheet'!V13</f>
        <v>32.331009028422002</v>
      </c>
      <c r="W27" s="2">
        <f>W5/'Output-Calculation-sheet'!W4*'Output-Calculation-sheet'!W13</f>
        <v>19.609201796962768</v>
      </c>
      <c r="X27" s="2">
        <f>X5/'Output-Calculation-sheet'!X4*'Output-Calculation-sheet'!X13</f>
        <v>0</v>
      </c>
      <c r="Y27" s="2">
        <f>Y5/'Output-Calculation-sheet'!Y4*'Output-Calculation-sheet'!Y13</f>
        <v>16.579717952772711</v>
      </c>
      <c r="AA27" s="2">
        <f t="shared" ref="AA27:AA34" si="1">SUM(B27:Y27)/1000</f>
        <v>5.599209220999831</v>
      </c>
    </row>
    <row r="28" spans="1:27" x14ac:dyDescent="0.25">
      <c r="A28" s="2">
        <v>2029</v>
      </c>
      <c r="B28" s="2">
        <f>B6/'Output-Calculation-sheet'!B5*'Output-Calculation-sheet'!B14</f>
        <v>6975.0614014457879</v>
      </c>
      <c r="C28" s="2">
        <f>C6/'Output-Calculation-sheet'!C5*'Output-Calculation-sheet'!C14</f>
        <v>0</v>
      </c>
      <c r="D28" s="2">
        <f>D6/'Output-Calculation-sheet'!D5*'Output-Calculation-sheet'!D14</f>
        <v>1245.9238393254443</v>
      </c>
      <c r="E28" s="2">
        <f>E6/'Output-Calculation-sheet'!E5*'Output-Calculation-sheet'!E14</f>
        <v>1340.5773800615191</v>
      </c>
      <c r="F28" s="2">
        <f>F6/'Output-Calculation-sheet'!F5*'Output-Calculation-sheet'!F14</f>
        <v>676.32842181815863</v>
      </c>
      <c r="G28" s="2">
        <f>G6/'Output-Calculation-sheet'!G5*'Output-Calculation-sheet'!G14</f>
        <v>442.9147876716487</v>
      </c>
      <c r="H28" s="2">
        <f>H6/'Output-Calculation-sheet'!H5*'Output-Calculation-sheet'!H14</f>
        <v>0</v>
      </c>
      <c r="I28" s="2">
        <f>I6/'Output-Calculation-sheet'!I5*'Output-Calculation-sheet'!I14</f>
        <v>431.78571184665856</v>
      </c>
      <c r="J28" s="2">
        <f>J6/'Output-Calculation-sheet'!J5*'Output-Calculation-sheet'!J14</f>
        <v>384.35329961501031</v>
      </c>
      <c r="K28" s="2">
        <f>K6/'Output-Calculation-sheet'!K5*'Output-Calculation-sheet'!K14</f>
        <v>513.18854372954593</v>
      </c>
      <c r="L28" s="2">
        <f>L6/'Output-Calculation-sheet'!L5*'Output-Calculation-sheet'!L14</f>
        <v>433.47796734794025</v>
      </c>
      <c r="M28" s="2">
        <f>M6/'Output-Calculation-sheet'!M5*'Output-Calculation-sheet'!M14</f>
        <v>0</v>
      </c>
      <c r="N28" s="2">
        <f>N6/'Output-Calculation-sheet'!N5*'Output-Calculation-sheet'!N14</f>
        <v>832.02677253838363</v>
      </c>
      <c r="O28" s="2">
        <f>O6/'Output-Calculation-sheet'!O5*'Output-Calculation-sheet'!O14</f>
        <v>0</v>
      </c>
      <c r="P28" s="2">
        <f>P6/'Output-Calculation-sheet'!P5*'Output-Calculation-sheet'!P14</f>
        <v>508.2914487421229</v>
      </c>
      <c r="Q28" s="2">
        <f>Q6/'Output-Calculation-sheet'!Q5*'Output-Calculation-sheet'!Q14</f>
        <v>565.68565791721255</v>
      </c>
      <c r="R28" s="2">
        <f>R6/'Output-Calculation-sheet'!R5*'Output-Calculation-sheet'!R14</f>
        <v>382.41904578380706</v>
      </c>
      <c r="S28" s="2">
        <f>S6/'Output-Calculation-sheet'!S5*'Output-Calculation-sheet'!S14</f>
        <v>441.37758385742876</v>
      </c>
      <c r="T28" s="2">
        <f>T6/'Output-Calculation-sheet'!T5*'Output-Calculation-sheet'!T14</f>
        <v>115.91093321242691</v>
      </c>
      <c r="U28" s="2">
        <f>U6/'Output-Calculation-sheet'!U5*'Output-Calculation-sheet'!U14</f>
        <v>115.70374535854505</v>
      </c>
      <c r="V28" s="2">
        <f>V6/'Output-Calculation-sheet'!V5*'Output-Calculation-sheet'!V14</f>
        <v>90.050025661151054</v>
      </c>
      <c r="W28" s="2">
        <f>W6/'Output-Calculation-sheet'!W5*'Output-Calculation-sheet'!W14</f>
        <v>54.621255024991989</v>
      </c>
      <c r="X28" s="2">
        <f>X6/'Output-Calculation-sheet'!X5*'Output-Calculation-sheet'!X14</f>
        <v>0</v>
      </c>
      <c r="Y28" s="2">
        <f>Y6/'Output-Calculation-sheet'!Y5*'Output-Calculation-sheet'!Y14</f>
        <v>46.18033023211477</v>
      </c>
      <c r="AA28" s="2">
        <f t="shared" si="1"/>
        <v>15.595878151189893</v>
      </c>
    </row>
    <row r="29" spans="1:27" x14ac:dyDescent="0.25">
      <c r="A29" s="2">
        <v>2030</v>
      </c>
      <c r="B29" s="2">
        <f>B7/'Output-Calculation-sheet'!B6*'Output-Calculation-sheet'!B15</f>
        <v>13552.6126352148</v>
      </c>
      <c r="C29" s="2">
        <f>C7/'Output-Calculation-sheet'!C6*'Output-Calculation-sheet'!C15</f>
        <v>0</v>
      </c>
      <c r="D29" s="2">
        <f>D7/'Output-Calculation-sheet'!D6*'Output-Calculation-sheet'!D15</f>
        <v>2370.7665856164185</v>
      </c>
      <c r="E29" s="2">
        <f>E7/'Output-Calculation-sheet'!E6*'Output-Calculation-sheet'!E15</f>
        <v>2550.8006949201194</v>
      </c>
      <c r="F29" s="2">
        <f>F7/'Output-Calculation-sheet'!F6*'Output-Calculation-sheet'!F15</f>
        <v>1286.9283360530835</v>
      </c>
      <c r="G29" s="2">
        <f>G7/'Output-Calculation-sheet'!G6*'Output-Calculation-sheet'!G15</f>
        <v>842.77219598129716</v>
      </c>
      <c r="H29" s="2">
        <f>H7/'Output-Calculation-sheet'!H6*'Output-Calculation-sheet'!H15</f>
        <v>0</v>
      </c>
      <c r="I29" s="2">
        <f>I7/'Output-Calculation-sheet'!I6*'Output-Calculation-sheet'!I15</f>
        <v>821.59594282078501</v>
      </c>
      <c r="J29" s="2">
        <f>J7/'Output-Calculation-sheet'!J6*'Output-Calculation-sheet'!J15</f>
        <v>731.35489294473336</v>
      </c>
      <c r="K29" s="2">
        <f>K7/'Output-Calculation-sheet'!K6*'Output-Calculation-sheet'!K15</f>
        <v>976.51335185901678</v>
      </c>
      <c r="L29" s="2">
        <f>L7/'Output-Calculation-sheet'!L6*'Output-Calculation-sheet'!L15</f>
        <v>824.83599291676478</v>
      </c>
      <c r="M29" s="2">
        <f>M7/'Output-Calculation-sheet'!M6*'Output-Calculation-sheet'!M15</f>
        <v>0</v>
      </c>
      <c r="N29" s="2">
        <f>N7/'Output-Calculation-sheet'!N6*'Output-Calculation-sheet'!N15</f>
        <v>1064.191500591799</v>
      </c>
      <c r="O29" s="2">
        <f>O7/'Output-Calculation-sheet'!O6*'Output-Calculation-sheet'!O15</f>
        <v>0</v>
      </c>
      <c r="P29" s="2">
        <f>P7/'Output-Calculation-sheet'!P6*'Output-Calculation-sheet'!P15</f>
        <v>967.17001188157531</v>
      </c>
      <c r="Q29" s="2">
        <f>Q7/'Output-Calculation-sheet'!Q6*'Output-Calculation-sheet'!Q15</f>
        <v>1089.8124823691437</v>
      </c>
      <c r="R29" s="2">
        <f>R7/'Output-Calculation-sheet'!R6*'Output-Calculation-sheet'!R15</f>
        <v>727.66172629851314</v>
      </c>
      <c r="S29" s="2">
        <f>S7/'Output-Calculation-sheet'!S6*'Output-Calculation-sheet'!S15</f>
        <v>751.59757644000138</v>
      </c>
      <c r="T29" s="2">
        <f>T7/'Output-Calculation-sheet'!T6*'Output-Calculation-sheet'!T15</f>
        <v>220.55373728929908</v>
      </c>
      <c r="U29" s="2">
        <f>U7/'Output-Calculation-sheet'!U6*'Output-Calculation-sheet'!U15</f>
        <v>220.1621149747352</v>
      </c>
      <c r="V29" s="2">
        <f>V7/'Output-Calculation-sheet'!V6*'Output-Calculation-sheet'!V15</f>
        <v>171.34797035911538</v>
      </c>
      <c r="W29" s="2">
        <f>W7/'Output-Calculation-sheet'!W6*'Output-Calculation-sheet'!W15</f>
        <v>103.93083250045947</v>
      </c>
      <c r="X29" s="2">
        <f>X7/'Output-Calculation-sheet'!X6*'Output-Calculation-sheet'!X15</f>
        <v>0</v>
      </c>
      <c r="Y29" s="2">
        <f>Y7/'Output-Calculation-sheet'!Y6*'Output-Calculation-sheet'!Y15</f>
        <v>87.871300313670062</v>
      </c>
      <c r="AA29" s="2">
        <f t="shared" si="1"/>
        <v>29.362479881345326</v>
      </c>
    </row>
    <row r="30" spans="1:27" x14ac:dyDescent="0.25">
      <c r="A30" s="2">
        <v>2031</v>
      </c>
      <c r="B30" s="2">
        <f>B8/'Output-Calculation-sheet'!B7*'Output-Calculation-sheet'!B16</f>
        <v>22564.859026635757</v>
      </c>
      <c r="C30" s="2">
        <f>C8/'Output-Calculation-sheet'!C7*'Output-Calculation-sheet'!C16</f>
        <v>0</v>
      </c>
      <c r="D30" s="2">
        <f>D8/'Output-Calculation-sheet'!D7*'Output-Calculation-sheet'!D16</f>
        <v>3799.623960432617</v>
      </c>
      <c r="E30" s="2">
        <f>E8/'Output-Calculation-sheet'!E7*'Output-Calculation-sheet'!E16</f>
        <v>4088.1807108105804</v>
      </c>
      <c r="F30" s="2">
        <f>F8/'Output-Calculation-sheet'!F7*'Output-Calculation-sheet'!F16</f>
        <v>2062.5089229262348</v>
      </c>
      <c r="G30" s="2">
        <f>G8/'Output-Calculation-sheet'!G7*'Output-Calculation-sheet'!G16</f>
        <v>1350.698376999994</v>
      </c>
      <c r="H30" s="2">
        <f>H8/'Output-Calculation-sheet'!H7*'Output-Calculation-sheet'!H16</f>
        <v>0</v>
      </c>
      <c r="I30" s="2">
        <f>I8/'Output-Calculation-sheet'!I7*'Output-Calculation-sheet'!I16</f>
        <v>1316.7286757394716</v>
      </c>
      <c r="J30" s="2">
        <f>J8/'Output-Calculation-sheet'!J7*'Output-Calculation-sheet'!J16</f>
        <v>1172.1417070144612</v>
      </c>
      <c r="K30" s="2">
        <f>K8/'Output-Calculation-sheet'!K7*'Output-Calculation-sheet'!K16</f>
        <v>1565.0332218055153</v>
      </c>
      <c r="L30" s="2">
        <f>L8/'Output-Calculation-sheet'!L7*'Output-Calculation-sheet'!L16</f>
        <v>1321.9442597099953</v>
      </c>
      <c r="M30" s="2">
        <f>M8/'Output-Calculation-sheet'!M7*'Output-Calculation-sheet'!M16</f>
        <v>0</v>
      </c>
      <c r="N30" s="2">
        <f>N8/'Output-Calculation-sheet'!N7*'Output-Calculation-sheet'!N16</f>
        <v>1877.7104487373672</v>
      </c>
      <c r="O30" s="2">
        <f>O8/'Output-Calculation-sheet'!O7*'Output-Calculation-sheet'!O16</f>
        <v>0</v>
      </c>
      <c r="P30" s="2">
        <f>P8/'Output-Calculation-sheet'!P7*'Output-Calculation-sheet'!P16</f>
        <v>1687.6245387250767</v>
      </c>
      <c r="Q30" s="2">
        <f>Q8/'Output-Calculation-sheet'!Q7*'Output-Calculation-sheet'!Q16</f>
        <v>1855.8296379960764</v>
      </c>
      <c r="R30" s="2">
        <f>R8/'Output-Calculation-sheet'!R7*'Output-Calculation-sheet'!R16</f>
        <v>1177.5319714570146</v>
      </c>
      <c r="S30" s="2">
        <f>S8/'Output-Calculation-sheet'!S7*'Output-Calculation-sheet'!S16</f>
        <v>1184.251872500002</v>
      </c>
      <c r="T30" s="2">
        <f>T8/'Output-Calculation-sheet'!T7*'Output-Calculation-sheet'!T16</f>
        <v>353.47817170341301</v>
      </c>
      <c r="U30" s="2">
        <f>U8/'Output-Calculation-sheet'!U7*'Output-Calculation-sheet'!U16</f>
        <v>352.84633843488865</v>
      </c>
      <c r="V30" s="2">
        <f>V8/'Output-Calculation-sheet'!V7*'Output-Calculation-sheet'!V16</f>
        <v>274.61359813412753</v>
      </c>
      <c r="W30" s="2">
        <f>W8/'Output-Calculation-sheet'!W7*'Output-Calculation-sheet'!W16</f>
        <v>166.56699123622346</v>
      </c>
      <c r="X30" s="2">
        <f>X8/'Output-Calculation-sheet'!X7*'Output-Calculation-sheet'!X16</f>
        <v>0</v>
      </c>
      <c r="Y30" s="2">
        <f>Y8/'Output-Calculation-sheet'!Y7*'Output-Calculation-sheet'!Y16</f>
        <v>140.98002152212112</v>
      </c>
      <c r="AA30" s="2">
        <f t="shared" si="1"/>
        <v>48.313152452520924</v>
      </c>
    </row>
    <row r="31" spans="1:27" x14ac:dyDescent="0.25">
      <c r="A31" s="2">
        <v>2032</v>
      </c>
      <c r="B31" s="2">
        <f>B9/'Output-Calculation-sheet'!B8*'Output-Calculation-sheet'!B17</f>
        <v>32487.721562242961</v>
      </c>
      <c r="C31" s="2">
        <f>C9/'Output-Calculation-sheet'!C8*'Output-Calculation-sheet'!C17</f>
        <v>0</v>
      </c>
      <c r="D31" s="2">
        <f>D9/'Output-Calculation-sheet'!D8*'Output-Calculation-sheet'!D17</f>
        <v>5448.617458060934</v>
      </c>
      <c r="E31" s="2">
        <f>E9/'Output-Calculation-sheet'!E8*'Output-Calculation-sheet'!E17</f>
        <v>6404.1053870837686</v>
      </c>
      <c r="F31" s="2">
        <f>F9/'Output-Calculation-sheet'!F8*'Output-Calculation-sheet'!F17</f>
        <v>2957.6863312692076</v>
      </c>
      <c r="G31" s="2">
        <f>G9/'Output-Calculation-sheet'!G8*'Output-Calculation-sheet'!G17</f>
        <v>1936.9153125963276</v>
      </c>
      <c r="H31" s="2">
        <f>H9/'Output-Calculation-sheet'!H8*'Output-Calculation-sheet'!H17</f>
        <v>0</v>
      </c>
      <c r="I31" s="2">
        <f>I9/'Output-Calculation-sheet'!I8*'Output-Calculation-sheet'!I17</f>
        <v>1888.2112571635323</v>
      </c>
      <c r="J31" s="2">
        <f>J9/'Output-Calculation-sheet'!J8*'Output-Calculation-sheet'!J17</f>
        <v>1680.871971150234</v>
      </c>
      <c r="K31" s="2">
        <f>K9/'Output-Calculation-sheet'!K8*'Output-Calculation-sheet'!K17</f>
        <v>2393.1153911243646</v>
      </c>
      <c r="L31" s="2">
        <f>L9/'Output-Calculation-sheet'!L8*'Output-Calculation-sheet'!L17</f>
        <v>2040.9067295799989</v>
      </c>
      <c r="M31" s="2">
        <f>M9/'Output-Calculation-sheet'!M8*'Output-Calculation-sheet'!M17</f>
        <v>0</v>
      </c>
      <c r="N31" s="2">
        <f>N9/'Output-Calculation-sheet'!N8*'Output-Calculation-sheet'!N17</f>
        <v>2218.6743507411902</v>
      </c>
      <c r="O31" s="2">
        <f>O9/'Output-Calculation-sheet'!O8*'Output-Calculation-sheet'!O17</f>
        <v>0</v>
      </c>
      <c r="P31" s="2">
        <f>P9/'Output-Calculation-sheet'!P8*'Output-Calculation-sheet'!P17</f>
        <v>2753.7192320815207</v>
      </c>
      <c r="Q31" s="2">
        <f>Q9/'Output-Calculation-sheet'!Q8*'Output-Calculation-sheet'!Q17</f>
        <v>2935.7177047218829</v>
      </c>
      <c r="R31" s="2">
        <f>R9/'Output-Calculation-sheet'!R8*'Output-Calculation-sheet'!R17</f>
        <v>1920.7016733109549</v>
      </c>
      <c r="S31" s="2">
        <f>S9/'Output-Calculation-sheet'!S8*'Output-Calculation-sheet'!S17</f>
        <v>1652.6785533312354</v>
      </c>
      <c r="T31" s="2">
        <f>T9/'Output-Calculation-sheet'!T8*'Output-Calculation-sheet'!T17</f>
        <v>521.19643183964854</v>
      </c>
      <c r="U31" s="2">
        <f>U9/'Output-Calculation-sheet'!U8*'Output-Calculation-sheet'!U17</f>
        <v>599.02085842017755</v>
      </c>
      <c r="V31" s="2">
        <f>V9/'Output-Calculation-sheet'!V8*'Output-Calculation-sheet'!V17</f>
        <v>429.05021799639673</v>
      </c>
      <c r="W31" s="2">
        <f>W9/'Output-Calculation-sheet'!W8*'Output-Calculation-sheet'!W17</f>
        <v>238.86237948845101</v>
      </c>
      <c r="X31" s="2">
        <f>X9/'Output-Calculation-sheet'!X8*'Output-Calculation-sheet'!X17</f>
        <v>0</v>
      </c>
      <c r="Y31" s="2">
        <f>Y9/'Output-Calculation-sheet'!Y8*'Output-Calculation-sheet'!Y17</f>
        <v>230.79280873071738</v>
      </c>
      <c r="AA31" s="2">
        <f t="shared" si="1"/>
        <v>70.738565610933492</v>
      </c>
    </row>
    <row r="32" spans="1:27" x14ac:dyDescent="0.25">
      <c r="A32" s="2">
        <v>2033</v>
      </c>
      <c r="B32" s="2">
        <f>B10/'Output-Calculation-sheet'!B9*'Output-Calculation-sheet'!B18</f>
        <v>38985.810996641623</v>
      </c>
      <c r="C32" s="2">
        <f>C10/'Output-Calculation-sheet'!C9*'Output-Calculation-sheet'!C18</f>
        <v>0</v>
      </c>
      <c r="D32" s="2">
        <f>D10/'Output-Calculation-sheet'!D9*'Output-Calculation-sheet'!D18</f>
        <v>7489.0439562436404</v>
      </c>
      <c r="E32" s="2">
        <f>E10/'Output-Calculation-sheet'!E9*'Output-Calculation-sheet'!E18</f>
        <v>10461.813273707721</v>
      </c>
      <c r="F32" s="2">
        <f>F10/'Output-Calculation-sheet'!F9*'Output-Calculation-sheet'!F18</f>
        <v>4223.2875750982193</v>
      </c>
      <c r="G32" s="2">
        <f>G10/'Output-Calculation-sheet'!G9*'Output-Calculation-sheet'!G18</f>
        <v>2634.673036051719</v>
      </c>
      <c r="H32" s="2">
        <f>H10/'Output-Calculation-sheet'!H9*'Output-Calculation-sheet'!H18</f>
        <v>0</v>
      </c>
      <c r="I32" s="2">
        <f>I10/'Output-Calculation-sheet'!I9*'Output-Calculation-sheet'!I18</f>
        <v>2781.5960523998428</v>
      </c>
      <c r="J32" s="2">
        <f>J10/'Output-Calculation-sheet'!J9*'Output-Calculation-sheet'!J18</f>
        <v>2232.5988459508403</v>
      </c>
      <c r="K32" s="2">
        <f>K10/'Output-Calculation-sheet'!K9*'Output-Calculation-sheet'!K18</f>
        <v>3715.8863385498962</v>
      </c>
      <c r="L32" s="2">
        <f>L10/'Output-Calculation-sheet'!L9*'Output-Calculation-sheet'!L18</f>
        <v>3209.918983813563</v>
      </c>
      <c r="M32" s="2">
        <f>M10/'Output-Calculation-sheet'!M9*'Output-Calculation-sheet'!M18</f>
        <v>0</v>
      </c>
      <c r="N32" s="2">
        <f>N10/'Output-Calculation-sheet'!N9*'Output-Calculation-sheet'!N18</f>
        <v>2375.6600190481672</v>
      </c>
      <c r="O32" s="2">
        <f>O10/'Output-Calculation-sheet'!O9*'Output-Calculation-sheet'!O18</f>
        <v>0</v>
      </c>
      <c r="P32" s="2">
        <f>P10/'Output-Calculation-sheet'!P9*'Output-Calculation-sheet'!P18</f>
        <v>3824.7714259704308</v>
      </c>
      <c r="Q32" s="2">
        <f>Q10/'Output-Calculation-sheet'!Q9*'Output-Calculation-sheet'!Q18</f>
        <v>4163.3709307343133</v>
      </c>
      <c r="R32" s="2">
        <f>R10/'Output-Calculation-sheet'!R9*'Output-Calculation-sheet'!R18</f>
        <v>2746.3845301460988</v>
      </c>
      <c r="S32" s="2">
        <f>S10/'Output-Calculation-sheet'!S9*'Output-Calculation-sheet'!S18</f>
        <v>1802.1934959813634</v>
      </c>
      <c r="T32" s="2">
        <f>T10/'Output-Calculation-sheet'!T9*'Output-Calculation-sheet'!T18</f>
        <v>801.65051361355279</v>
      </c>
      <c r="U32" s="2">
        <f>U10/'Output-Calculation-sheet'!U9*'Output-Calculation-sheet'!U18</f>
        <v>886.61633992361465</v>
      </c>
      <c r="V32" s="2">
        <f>V10/'Output-Calculation-sheet'!V9*'Output-Calculation-sheet'!V18</f>
        <v>654.7468760996112</v>
      </c>
      <c r="W32" s="2">
        <f>W10/'Output-Calculation-sheet'!W9*'Output-Calculation-sheet'!W18</f>
        <v>326.60648445634195</v>
      </c>
      <c r="X32" s="2">
        <f>X10/'Output-Calculation-sheet'!X9*'Output-Calculation-sheet'!X18</f>
        <v>0</v>
      </c>
      <c r="Y32" s="2">
        <f>Y10/'Output-Calculation-sheet'!Y9*'Output-Calculation-sheet'!Y18</f>
        <v>379.28997211742148</v>
      </c>
      <c r="AA32" s="2">
        <f t="shared" si="1"/>
        <v>93.695919646547978</v>
      </c>
    </row>
    <row r="33" spans="1:27" x14ac:dyDescent="0.25">
      <c r="A33" s="2">
        <v>2034</v>
      </c>
      <c r="B33" s="2">
        <f>B11/'Output-Calculation-sheet'!B10*'Output-Calculation-sheet'!B19</f>
        <v>39961.527487250059</v>
      </c>
      <c r="C33" s="2">
        <f>C11/'Output-Calculation-sheet'!C10*'Output-Calculation-sheet'!C19</f>
        <v>0</v>
      </c>
      <c r="D33" s="2">
        <f>D11/'Output-Calculation-sheet'!D10*'Output-Calculation-sheet'!D19</f>
        <v>11920.084734402641</v>
      </c>
      <c r="E33" s="2">
        <f>E11/'Output-Calculation-sheet'!E10*'Output-Calculation-sheet'!E19</f>
        <v>14763.822014312143</v>
      </c>
      <c r="F33" s="2">
        <f>F11/'Output-Calculation-sheet'!F10*'Output-Calculation-sheet'!F19</f>
        <v>6774.6975023262767</v>
      </c>
      <c r="G33" s="2">
        <f>G11/'Output-Calculation-sheet'!G10*'Output-Calculation-sheet'!G19</f>
        <v>4057.4841058266711</v>
      </c>
      <c r="H33" s="2">
        <f>H11/'Output-Calculation-sheet'!H10*'Output-Calculation-sheet'!H19</f>
        <v>0</v>
      </c>
      <c r="I33" s="2">
        <f>I11/'Output-Calculation-sheet'!I10*'Output-Calculation-sheet'!I19</f>
        <v>4427.284150471055</v>
      </c>
      <c r="J33" s="2">
        <f>J11/'Output-Calculation-sheet'!J10*'Output-Calculation-sheet'!J19</f>
        <v>3743.5540458586943</v>
      </c>
      <c r="K33" s="2">
        <f>K11/'Output-Calculation-sheet'!K10*'Output-Calculation-sheet'!K19</f>
        <v>5194.7214546636451</v>
      </c>
      <c r="L33" s="2">
        <f>L11/'Output-Calculation-sheet'!L10*'Output-Calculation-sheet'!L19</f>
        <v>4224.5460505511364</v>
      </c>
      <c r="M33" s="2">
        <f>M11/'Output-Calculation-sheet'!M10*'Output-Calculation-sheet'!M19</f>
        <v>0</v>
      </c>
      <c r="N33" s="2">
        <f>N11/'Output-Calculation-sheet'!N10*'Output-Calculation-sheet'!N19</f>
        <v>2388.8012819401665</v>
      </c>
      <c r="O33" s="2">
        <f>O11/'Output-Calculation-sheet'!O10*'Output-Calculation-sheet'!O19</f>
        <v>0</v>
      </c>
      <c r="P33" s="2">
        <f>P11/'Output-Calculation-sheet'!P10*'Output-Calculation-sheet'!P19</f>
        <v>5256.1417557786444</v>
      </c>
      <c r="Q33" s="2">
        <f>Q11/'Output-Calculation-sheet'!Q10*'Output-Calculation-sheet'!Q19</f>
        <v>4328.377554732313</v>
      </c>
      <c r="R33" s="2">
        <f>R11/'Output-Calculation-sheet'!R10*'Output-Calculation-sheet'!R19</f>
        <v>3752.8004944933323</v>
      </c>
      <c r="S33" s="2">
        <f>S11/'Output-Calculation-sheet'!S10*'Output-Calculation-sheet'!S19</f>
        <v>1749.4234525896886</v>
      </c>
      <c r="T33" s="2">
        <f>T11/'Output-Calculation-sheet'!T10*'Output-Calculation-sheet'!T19</f>
        <v>1101.1804540033336</v>
      </c>
      <c r="U33" s="2">
        <f>U11/'Output-Calculation-sheet'!U10*'Output-Calculation-sheet'!U19</f>
        <v>1267.3638430112846</v>
      </c>
      <c r="V33" s="2">
        <f>V11/'Output-Calculation-sheet'!V10*'Output-Calculation-sheet'!V19</f>
        <v>863.5403933273617</v>
      </c>
      <c r="W33" s="2">
        <f>W11/'Output-Calculation-sheet'!W10*'Output-Calculation-sheet'!W19</f>
        <v>538.51552320903454</v>
      </c>
      <c r="X33" s="2">
        <f>X11/'Output-Calculation-sheet'!X10*'Output-Calculation-sheet'!X19</f>
        <v>155.71148138145514</v>
      </c>
      <c r="Y33" s="2">
        <f>Y11/'Output-Calculation-sheet'!Y10*'Output-Calculation-sheet'!Y19</f>
        <v>484.64442727373375</v>
      </c>
      <c r="AA33" s="2">
        <f t="shared" si="1"/>
        <v>116.95422220740268</v>
      </c>
    </row>
    <row r="34" spans="1:27" x14ac:dyDescent="0.25">
      <c r="A34" s="2">
        <v>2035</v>
      </c>
      <c r="B34" s="2">
        <f>B12/'Output-Calculation-sheet'!B11*'Output-Calculation-sheet'!B20</f>
        <v>40778.266844130558</v>
      </c>
      <c r="C34" s="2">
        <f>C12/'Output-Calculation-sheet'!C11*'Output-Calculation-sheet'!C20</f>
        <v>0</v>
      </c>
      <c r="D34" s="2">
        <f>D12/'Output-Calculation-sheet'!D11*'Output-Calculation-sheet'!D20</f>
        <v>12797.463731197549</v>
      </c>
      <c r="E34" s="2">
        <f>E12/'Output-Calculation-sheet'!E11*'Output-Calculation-sheet'!E20</f>
        <v>13983.109640675577</v>
      </c>
      <c r="F34" s="2">
        <f>F12/'Output-Calculation-sheet'!F11*'Output-Calculation-sheet'!F20</f>
        <v>8810.0147631282725</v>
      </c>
      <c r="G34" s="2">
        <f>G12/'Output-Calculation-sheet'!G11*'Output-Calculation-sheet'!G20</f>
        <v>4707.8103247596009</v>
      </c>
      <c r="H34" s="2">
        <f>H12/'Output-Calculation-sheet'!H11*'Output-Calculation-sheet'!H20</f>
        <v>0</v>
      </c>
      <c r="I34" s="2">
        <f>I12/'Output-Calculation-sheet'!I11*'Output-Calculation-sheet'!I20</f>
        <v>5116.7487652485834</v>
      </c>
      <c r="J34" s="2">
        <f>J12/'Output-Calculation-sheet'!J11*'Output-Calculation-sheet'!J20</f>
        <v>4392.7332334003941</v>
      </c>
      <c r="K34" s="2">
        <f>K12/'Output-Calculation-sheet'!K11*'Output-Calculation-sheet'!K20</f>
        <v>5775.3746664356258</v>
      </c>
      <c r="L34" s="2">
        <f>L12/'Output-Calculation-sheet'!L11*'Output-Calculation-sheet'!L20</f>
        <v>4564.3711051524651</v>
      </c>
      <c r="M34" s="2">
        <f>M12/'Output-Calculation-sheet'!M11*'Output-Calculation-sheet'!M20</f>
        <v>0</v>
      </c>
      <c r="N34" s="2">
        <f>N12/'Output-Calculation-sheet'!N11*'Output-Calculation-sheet'!N20</f>
        <v>2540.0732706431882</v>
      </c>
      <c r="O34" s="2">
        <f>O12/'Output-Calculation-sheet'!O11*'Output-Calculation-sheet'!O20</f>
        <v>0</v>
      </c>
      <c r="P34" s="2">
        <f>P12/'Output-Calculation-sheet'!P11*'Output-Calculation-sheet'!P20</f>
        <v>5676.5997755155367</v>
      </c>
      <c r="Q34" s="2">
        <f>Q12/'Output-Calculation-sheet'!Q11*'Output-Calculation-sheet'!Q20</f>
        <v>4491.7254421924054</v>
      </c>
      <c r="R34" s="2">
        <f>R12/'Output-Calculation-sheet'!R11*'Output-Calculation-sheet'!R20</f>
        <v>4508.3452201364826</v>
      </c>
      <c r="S34" s="2">
        <f>S12/'Output-Calculation-sheet'!S11*'Output-Calculation-sheet'!S20</f>
        <v>1722.0784814464544</v>
      </c>
      <c r="T34" s="2">
        <f>T12/'Output-Calculation-sheet'!T11*'Output-Calculation-sheet'!T20</f>
        <v>1416.3828020249937</v>
      </c>
      <c r="U34" s="2">
        <f>U12/'Output-Calculation-sheet'!U11*'Output-Calculation-sheet'!U20</f>
        <v>1292.2298232542946</v>
      </c>
      <c r="V34" s="2">
        <f>V12/'Output-Calculation-sheet'!V11*'Output-Calculation-sheet'!V20</f>
        <v>1187.0455456398247</v>
      </c>
      <c r="W34" s="2">
        <f>W12/'Output-Calculation-sheet'!W11*'Output-Calculation-sheet'!W20</f>
        <v>763.70318570105223</v>
      </c>
      <c r="X34" s="2">
        <f>X12/'Output-Calculation-sheet'!X11*'Output-Calculation-sheet'!X20</f>
        <v>154.34728716095918</v>
      </c>
      <c r="Y34" s="2">
        <f>Y12/'Output-Calculation-sheet'!Y11*'Output-Calculation-sheet'!Y20</f>
        <v>428.08448665012298</v>
      </c>
      <c r="AA34" s="2">
        <f t="shared" si="1"/>
        <v>125.10650839449396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1.0232768645849679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0.19879516631024693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1.2220720308952149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1.2299928795769428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0.47790905378299864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1.7079019333599414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1.4110579139828445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0.82239177604405989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2.2334496900269043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1.5618728807309921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0.91028964836309989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2.4721625290940921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3.3839832130073244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0.52084771201720315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0.3583941937347056</v>
      </c>
      <c r="N44" s="2">
        <f>N11/'Output-Calculation-sheet'!N10*'Output-Calculation-sheet'!N37*0.0114</f>
        <v>0</v>
      </c>
      <c r="O44" s="2">
        <f>O11/'Output-Calculation-sheet'!O10*'Output-Calculation-sheet'!O37*0.0114</f>
        <v>1.31483380286082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0.30861872048002231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3.9316726566448613E-2</v>
      </c>
      <c r="Y44" s="2">
        <f>Y11/'Output-Calculation-sheet'!Y10*'Output-Calculation-sheet'!Y37*0.0114</f>
        <v>0</v>
      </c>
      <c r="AA44" s="2">
        <f t="shared" si="2"/>
        <v>5.9259943686665233</v>
      </c>
    </row>
    <row r="45" spans="1:27" x14ac:dyDescent="0.25">
      <c r="A45" s="2">
        <v>2035</v>
      </c>
      <c r="B45" s="2">
        <f>B12/'Output-Calculation-sheet'!B11*'Output-Calculation-sheet'!B38*0.0114</f>
        <v>3.8114279321058668</v>
      </c>
      <c r="C45" s="2">
        <f>C12/'Output-Calculation-sheet'!C11*'Output-Calculation-sheet'!C38*0.0114</f>
        <v>3.6179774095709063</v>
      </c>
      <c r="D45" s="2">
        <f>D12/'Output-Calculation-sheet'!D11*'Output-Calculation-sheet'!D38*0.0114</f>
        <v>1.6024591566052158</v>
      </c>
      <c r="E45" s="2">
        <f>E12/'Output-Calculation-sheet'!E11*'Output-Calculation-sheet'!E38*0.0114</f>
        <v>1.2735276016913126</v>
      </c>
      <c r="F45" s="2">
        <f>F12/'Output-Calculation-sheet'!F11*'Output-Calculation-sheet'!F38*0.0114</f>
        <v>0.80096153103596968</v>
      </c>
      <c r="G45" s="2">
        <f>G12/'Output-Calculation-sheet'!G11*'Output-Calculation-sheet'!G38*0.0114</f>
        <v>0.57483652909322069</v>
      </c>
      <c r="H45" s="2">
        <f>H12/'Output-Calculation-sheet'!H11*'Output-Calculation-sheet'!H38*0.0114</f>
        <v>0.55686306263625518</v>
      </c>
      <c r="I45" s="2">
        <f>I12/'Output-Calculation-sheet'!I11*'Output-Calculation-sheet'!I38*0.0114</f>
        <v>0.51703113769696463</v>
      </c>
      <c r="J45" s="2">
        <f>J12/'Output-Calculation-sheet'!J11*'Output-Calculation-sheet'!J38*0.0114</f>
        <v>0.51169107617318066</v>
      </c>
      <c r="K45" s="2">
        <f>K12/'Output-Calculation-sheet'!K11*'Output-Calculation-sheet'!K38*0.0114</f>
        <v>0.50816022349855006</v>
      </c>
      <c r="L45" s="2">
        <f>L12/'Output-Calculation-sheet'!L11*'Output-Calculation-sheet'!L38*0.0114</f>
        <v>0.40406465955409471</v>
      </c>
      <c r="M45" s="2">
        <f>M12/'Output-Calculation-sheet'!M11*'Output-Calculation-sheet'!M38*0.0114</f>
        <v>0.38317627926446118</v>
      </c>
      <c r="N45" s="2">
        <f>N12/'Output-Calculation-sheet'!N11*'Output-Calculation-sheet'!N38*0.0114</f>
        <v>0.37660079705205285</v>
      </c>
      <c r="O45" s="2">
        <f>O12/'Output-Calculation-sheet'!O11*'Output-Calculation-sheet'!O38*0.0114</f>
        <v>1.4057513576916065</v>
      </c>
      <c r="P45" s="2">
        <f>P12/'Output-Calculation-sheet'!P11*'Output-Calculation-sheet'!P38*0.0114</f>
        <v>0.34791127894883001</v>
      </c>
      <c r="Q45" s="2">
        <f>Q12/'Output-Calculation-sheet'!Q11*'Output-Calculation-sheet'!Q38*0.0114</f>
        <v>0.32995895327598412</v>
      </c>
      <c r="R45" s="2">
        <f>R12/'Output-Calculation-sheet'!R11*'Output-Calculation-sheet'!R38*0.0114</f>
        <v>0.32721582696383666</v>
      </c>
      <c r="S45" s="2">
        <f>S12/'Output-Calculation-sheet'!S11*'Output-Calculation-sheet'!S38*0.0114</f>
        <v>0.21587999173601333</v>
      </c>
      <c r="T45" s="2">
        <f>T12/'Output-Calculation-sheet'!T11*'Output-Calculation-sheet'!T38*0.0114</f>
        <v>0.12105835914743537</v>
      </c>
      <c r="U45" s="2">
        <f>U12/'Output-Calculation-sheet'!U11*'Output-Calculation-sheet'!U38*0.0114</f>
        <v>0.10527706699849181</v>
      </c>
      <c r="V45" s="2">
        <f>V12/'Output-Calculation-sheet'!V11*'Output-Calculation-sheet'!V38*0.0114</f>
        <v>8.1178166757413059E-2</v>
      </c>
      <c r="W45" s="2">
        <f>W12/'Output-Calculation-sheet'!W11*'Output-Calculation-sheet'!W38*0.0114</f>
        <v>7.0294187648295536E-2</v>
      </c>
      <c r="X45" s="2">
        <f>X12/'Output-Calculation-sheet'!X11*'Output-Calculation-sheet'!X38*0.0114</f>
        <v>4.2035382441886683E-2</v>
      </c>
      <c r="Y45" s="2">
        <f>Y12/'Output-Calculation-sheet'!Y11*'Output-Calculation-sheet'!Y38*0.0114</f>
        <v>4.056492371731351E-2</v>
      </c>
      <c r="AA45" s="2">
        <f t="shared" si="2"/>
        <v>18.025902891305158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9335.1573611260246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2044.71404454815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1444.9893858442663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204.40594718443722</v>
      </c>
      <c r="Y51" s="2">
        <f>Y7/'Output-Calculation-sheet'!Y6*'Output-Calculation-sheet'!Y42</f>
        <v>0</v>
      </c>
      <c r="AA51" s="2">
        <f t="shared" si="3"/>
        <v>13.029266738702878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25247.222265000404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8236.8656670495784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5622.061783011748</v>
      </c>
      <c r="N52" s="2">
        <f>N8/'Output-Calculation-sheet'!N7*'Output-Calculation-sheet'!N43</f>
        <v>179.69380819535547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727.06776732377807</v>
      </c>
      <c r="Y52" s="2">
        <f>Y8/'Output-Calculation-sheet'!Y7*'Output-Calculation-sheet'!Y43</f>
        <v>0</v>
      </c>
      <c r="AA52" s="2">
        <f t="shared" si="3"/>
        <v>40.012911290580867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60526.957889264122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16726.961765233333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11431.131943813429</v>
      </c>
      <c r="N53" s="2">
        <f>N9/'Output-Calculation-sheet'!N8*'Output-Calculation-sheet'!N44</f>
        <v>4071.3876426186462</v>
      </c>
      <c r="O53" s="2">
        <f>O9/'Output-Calculation-sheet'!O8*'Output-Calculation-sheet'!O44</f>
        <v>0</v>
      </c>
      <c r="P53" s="2">
        <f>P9/'Output-Calculation-sheet'!P8*'Output-Calculation-sheet'!P44</f>
        <v>190.441953514114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1270.3253839789627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1429.4715758594389</v>
      </c>
      <c r="Y53" s="2">
        <f>Y9/'Output-Calculation-sheet'!Y8*'Output-Calculation-sheet'!Y44</f>
        <v>0</v>
      </c>
      <c r="AA53" s="2">
        <f t="shared" si="3"/>
        <v>95.646678154282057</v>
      </c>
    </row>
    <row r="54" spans="1:27" x14ac:dyDescent="0.25">
      <c r="A54" s="2">
        <v>2033</v>
      </c>
      <c r="B54" s="2">
        <f>B10/'Output-Calculation-sheet'!B9*'Output-Calculation-sheet'!B45</f>
        <v>36948.997508960187</v>
      </c>
      <c r="C54" s="2">
        <f>C10/'Output-Calculation-sheet'!C9*'Output-Calculation-sheet'!C45</f>
        <v>84669.950902785349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26781.020046494701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346.37628866556605</v>
      </c>
      <c r="L54" s="2">
        <f>L10/'Output-Calculation-sheet'!L9*'Output-Calculation-sheet'!L45</f>
        <v>0</v>
      </c>
      <c r="M54" s="2">
        <f>M10/'Output-Calculation-sheet'!M9*'Output-Calculation-sheet'!M45</f>
        <v>18369.92163818988</v>
      </c>
      <c r="N54" s="2">
        <f>N10/'Output-Calculation-sheet'!N9*'Output-Calculation-sheet'!N45</f>
        <v>10296.589870170706</v>
      </c>
      <c r="O54" s="2">
        <f>O10/'Output-Calculation-sheet'!O9*'Output-Calculation-sheet'!O45</f>
        <v>0</v>
      </c>
      <c r="P54" s="2">
        <f>P10/'Output-Calculation-sheet'!P9*'Output-Calculation-sheet'!P45</f>
        <v>2793.0541225094944</v>
      </c>
      <c r="Q54" s="2">
        <f>Q10/'Output-Calculation-sheet'!Q9*'Output-Calculation-sheet'!Q45</f>
        <v>1099.5565536566774</v>
      </c>
      <c r="R54" s="2">
        <f>R10/'Output-Calculation-sheet'!R9*'Output-Calculation-sheet'!R45</f>
        <v>1833.8803586938513</v>
      </c>
      <c r="S54" s="2">
        <f>S10/'Output-Calculation-sheet'!S9*'Output-Calculation-sheet'!S45</f>
        <v>4381.7961000399673</v>
      </c>
      <c r="T54" s="2">
        <f>T10/'Output-Calculation-sheet'!T9*'Output-Calculation-sheet'!T45</f>
        <v>91.685310643741374</v>
      </c>
      <c r="U54" s="2">
        <f>U10/'Output-Calculation-sheet'!U9*'Output-Calculation-sheet'!U45</f>
        <v>661.78489013885167</v>
      </c>
      <c r="V54" s="2">
        <f>V10/'Output-Calculation-sheet'!V9*'Output-Calculation-sheet'!V45</f>
        <v>49.185173095421284</v>
      </c>
      <c r="W54" s="2">
        <f>W10/'Output-Calculation-sheet'!W9*'Output-Calculation-sheet'!W45</f>
        <v>0</v>
      </c>
      <c r="X54" s="2">
        <f>X10/'Output-Calculation-sheet'!X9*'Output-Calculation-sheet'!X45</f>
        <v>2110.7340157652002</v>
      </c>
      <c r="Y54" s="2">
        <f>Y10/'Output-Calculation-sheet'!Y9*'Output-Calculation-sheet'!Y45</f>
        <v>21.505704859359536</v>
      </c>
      <c r="AA54" s="2">
        <f t="shared" si="3"/>
        <v>190.45603848466897</v>
      </c>
    </row>
    <row r="55" spans="1:27" x14ac:dyDescent="0.25">
      <c r="A55" s="2">
        <v>2034</v>
      </c>
      <c r="B55" s="2">
        <f>B11/'Output-Calculation-sheet'!B10*'Output-Calculation-sheet'!B46</f>
        <v>113827.34177446608</v>
      </c>
      <c r="C55" s="2">
        <f>C11/'Output-Calculation-sheet'!C10*'Output-Calculation-sheet'!C46</f>
        <v>93653.219623141311</v>
      </c>
      <c r="D55" s="2">
        <f>D11/'Output-Calculation-sheet'!D10*'Output-Calculation-sheet'!D46</f>
        <v>10518.031178331104</v>
      </c>
      <c r="E55" s="2">
        <f>E11/'Output-Calculation-sheet'!E10*'Output-Calculation-sheet'!E46</f>
        <v>12956.495394627669</v>
      </c>
      <c r="F55" s="2">
        <f>F11/'Output-Calculation-sheet'!F10*'Output-Calculation-sheet'!F46</f>
        <v>394.29421592532481</v>
      </c>
      <c r="G55" s="2">
        <f>G11/'Output-Calculation-sheet'!G10*'Output-Calculation-sheet'!G46</f>
        <v>4669.1416637821303</v>
      </c>
      <c r="H55" s="2">
        <f>H11/'Output-Calculation-sheet'!H10*'Output-Calculation-sheet'!H46</f>
        <v>33763.724489536238</v>
      </c>
      <c r="I55" s="2">
        <f>I11/'Output-Calculation-sheet'!I10*'Output-Calculation-sheet'!I46</f>
        <v>2545.2207022168241</v>
      </c>
      <c r="J55" s="2">
        <f>J11/'Output-Calculation-sheet'!J10*'Output-Calculation-sheet'!J46</f>
        <v>1847.2174275853151</v>
      </c>
      <c r="K55" s="2">
        <f>K11/'Output-Calculation-sheet'!K10*'Output-Calculation-sheet'!K46</f>
        <v>4961.4101022903924</v>
      </c>
      <c r="L55" s="2">
        <f>L11/'Output-Calculation-sheet'!L10*'Output-Calculation-sheet'!L46</f>
        <v>1823.3542555152831</v>
      </c>
      <c r="M55" s="2">
        <f>M11/'Output-Calculation-sheet'!M10*'Output-Calculation-sheet'!M46</f>
        <v>23861.50816181066</v>
      </c>
      <c r="N55" s="2">
        <f>N11/'Output-Calculation-sheet'!N10*'Output-Calculation-sheet'!N46</f>
        <v>18199.272484675635</v>
      </c>
      <c r="O55" s="2">
        <f>O11/'Output-Calculation-sheet'!O10*'Output-Calculation-sheet'!O46</f>
        <v>403.67704473797102</v>
      </c>
      <c r="P55" s="2">
        <f>P11/'Output-Calculation-sheet'!P10*'Output-Calculation-sheet'!P46</f>
        <v>6765.1020496670344</v>
      </c>
      <c r="Q55" s="2">
        <f>Q11/'Output-Calculation-sheet'!Q10*'Output-Calculation-sheet'!Q46</f>
        <v>3979.5571851371296</v>
      </c>
      <c r="R55" s="2">
        <f>R11/'Output-Calculation-sheet'!R10*'Output-Calculation-sheet'!R46</f>
        <v>5476.7380200924254</v>
      </c>
      <c r="S55" s="2">
        <f>S11/'Output-Calculation-sheet'!S10*'Output-Calculation-sheet'!S46</f>
        <v>8944.6071029441409</v>
      </c>
      <c r="T55" s="2">
        <f>T11/'Output-Calculation-sheet'!T10*'Output-Calculation-sheet'!T46</f>
        <v>1241.5445101419409</v>
      </c>
      <c r="U55" s="2">
        <f>U11/'Output-Calculation-sheet'!U10*'Output-Calculation-sheet'!U46</f>
        <v>2073.0153436157511</v>
      </c>
      <c r="V55" s="2">
        <f>V11/'Output-Calculation-sheet'!V10*'Output-Calculation-sheet'!V46</f>
        <v>839.20349205768878</v>
      </c>
      <c r="W55" s="2">
        <f>W11/'Output-Calculation-sheet'!W10*'Output-Calculation-sheet'!W46</f>
        <v>109.57980295129914</v>
      </c>
      <c r="X55" s="2">
        <f>X11/'Output-Calculation-sheet'!X10*'Output-Calculation-sheet'!X46</f>
        <v>2441.7756499162824</v>
      </c>
      <c r="Y55" s="2">
        <f>Y11/'Output-Calculation-sheet'!Y10*'Output-Calculation-sheet'!Y46</f>
        <v>635.68436326060748</v>
      </c>
      <c r="AA55" s="2">
        <f t="shared" si="3"/>
        <v>355.93071603842628</v>
      </c>
    </row>
    <row r="56" spans="1:27" x14ac:dyDescent="0.25">
      <c r="A56" s="2">
        <v>2035</v>
      </c>
      <c r="B56" s="2">
        <f>B12/'Output-Calculation-sheet'!B11*'Output-Calculation-sheet'!B47</f>
        <v>154797.46776886107</v>
      </c>
      <c r="C56" s="2">
        <f>C12/'Output-Calculation-sheet'!C11*'Output-Calculation-sheet'!C47</f>
        <v>101715.94383925223</v>
      </c>
      <c r="D56" s="2">
        <f>D12/'Output-Calculation-sheet'!D11*'Output-Calculation-sheet'!D47</f>
        <v>12369.860156250788</v>
      </c>
      <c r="E56" s="2">
        <f>E12/'Output-Calculation-sheet'!E11*'Output-Calculation-sheet'!E47</f>
        <v>34742.72667771914</v>
      </c>
      <c r="F56" s="2">
        <f>F12/'Output-Calculation-sheet'!F11*'Output-Calculation-sheet'!F47</f>
        <v>4285.84678887668</v>
      </c>
      <c r="G56" s="2">
        <f>G12/'Output-Calculation-sheet'!G11*'Output-Calculation-sheet'!G47</f>
        <v>9681.4573320963482</v>
      </c>
      <c r="H56" s="2">
        <f>H12/'Output-Calculation-sheet'!H11*'Output-Calculation-sheet'!H47</f>
        <v>36977.661264530274</v>
      </c>
      <c r="I56" s="2">
        <f>I12/'Output-Calculation-sheet'!I11*'Output-Calculation-sheet'!I47</f>
        <v>4898.1897255501908</v>
      </c>
      <c r="J56" s="2">
        <f>J12/'Output-Calculation-sheet'!J11*'Output-Calculation-sheet'!J47</f>
        <v>4443.6330299249894</v>
      </c>
      <c r="K56" s="2">
        <f>K12/'Output-Calculation-sheet'!K11*'Output-Calculation-sheet'!K47</f>
        <v>6418.865981034317</v>
      </c>
      <c r="L56" s="2">
        <f>L12/'Output-Calculation-sheet'!L11*'Output-Calculation-sheet'!L47</f>
        <v>3544.4268381938132</v>
      </c>
      <c r="M56" s="2">
        <f>M12/'Output-Calculation-sheet'!M11*'Output-Calculation-sheet'!M47</f>
        <v>25780.368964547517</v>
      </c>
      <c r="N56" s="2">
        <f>N12/'Output-Calculation-sheet'!N11*'Output-Calculation-sheet'!N47</f>
        <v>19688.953951142412</v>
      </c>
      <c r="O56" s="2">
        <f>O12/'Output-Calculation-sheet'!O11*'Output-Calculation-sheet'!O47</f>
        <v>1849.6728390679032</v>
      </c>
      <c r="P56" s="2">
        <f>P12/'Output-Calculation-sheet'!P11*'Output-Calculation-sheet'!P47</f>
        <v>10223.708635777022</v>
      </c>
      <c r="Q56" s="2">
        <f>Q12/'Output-Calculation-sheet'!Q11*'Output-Calculation-sheet'!Q47</f>
        <v>5180.9344417895754</v>
      </c>
      <c r="R56" s="2">
        <f>R12/'Output-Calculation-sheet'!R11*'Output-Calculation-sheet'!R47</f>
        <v>7548.9265343411435</v>
      </c>
      <c r="S56" s="2">
        <f>S12/'Output-Calculation-sheet'!S11*'Output-Calculation-sheet'!S47</f>
        <v>9998.6522488258797</v>
      </c>
      <c r="T56" s="2">
        <f>T12/'Output-Calculation-sheet'!T11*'Output-Calculation-sheet'!T47</f>
        <v>2644.1694234834567</v>
      </c>
      <c r="U56" s="2">
        <f>U12/'Output-Calculation-sheet'!U11*'Output-Calculation-sheet'!U47</f>
        <v>2530.3435401391889</v>
      </c>
      <c r="V56" s="2">
        <f>V12/'Output-Calculation-sheet'!V11*'Output-Calculation-sheet'!V47</f>
        <v>1765.9811715647754</v>
      </c>
      <c r="W56" s="2">
        <f>W12/'Output-Calculation-sheet'!W11*'Output-Calculation-sheet'!W47</f>
        <v>1005.0835602344011</v>
      </c>
      <c r="X56" s="2">
        <f>X12/'Output-Calculation-sheet'!X11*'Output-Calculation-sheet'!X47</f>
        <v>2662.2408879861564</v>
      </c>
      <c r="Y56" s="2">
        <f>Y12/'Output-Calculation-sheet'!Y11*'Output-Calculation-sheet'!Y47</f>
        <v>1362.8391038360592</v>
      </c>
      <c r="AA56" s="2">
        <f t="shared" si="3"/>
        <v>466.11795470502523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5.0725590766760833</v>
      </c>
      <c r="C60" s="2">
        <f>C5*'Output-Calculation-sheet'!C49/10^9</f>
        <v>2.0459773571251709</v>
      </c>
      <c r="D60" s="2">
        <f>D5*'Output-Calculation-sheet'!D49/10^9</f>
        <v>1.3375738480345654</v>
      </c>
      <c r="E60" s="2">
        <f>E5*'Output-Calculation-sheet'!E49/10^9</f>
        <v>1.5518856911873322</v>
      </c>
      <c r="F60" s="2">
        <f>F5*'Output-Calculation-sheet'!F49/10^9</f>
        <v>0.71273489652079591</v>
      </c>
      <c r="G60" s="2">
        <f>G5*'Output-Calculation-sheet'!G49/10^9</f>
        <v>0.56225372291909859</v>
      </c>
      <c r="H60" s="2">
        <f>H5*'Output-Calculation-sheet'!H49/10^9</f>
        <v>0.5375956706597611</v>
      </c>
      <c r="I60" s="2">
        <f>I5*'Output-Calculation-sheet'!I49/10^9</f>
        <v>0.42326039285642575</v>
      </c>
      <c r="J60" s="2">
        <f>J5*'Output-Calculation-sheet'!J49/10^9</f>
        <v>0.65597755937692248</v>
      </c>
      <c r="K60" s="2">
        <f>K5*'Output-Calculation-sheet'!K49/10^9</f>
        <v>0.36410275512421542</v>
      </c>
      <c r="L60" s="2">
        <f>L5*'Output-Calculation-sheet'!L49/10^9</f>
        <v>0.47547521073513976</v>
      </c>
      <c r="M60" s="2">
        <f>M5*'Output-Calculation-sheet'!M49/10^9</f>
        <v>0.41152189830318753</v>
      </c>
      <c r="N60" s="2">
        <f>N5*'Output-Calculation-sheet'!N49/10^9</f>
        <v>0.34448182083793605</v>
      </c>
      <c r="O60" s="2">
        <f>O5*'Output-Calculation-sheet'!O49/10^9</f>
        <v>0.34529417961211128</v>
      </c>
      <c r="P60" s="2">
        <f>P5*'Output-Calculation-sheet'!P49/10^9</f>
        <v>0.36025358672209928</v>
      </c>
      <c r="Q60" s="2">
        <f>Q5*'Output-Calculation-sheet'!Q49/10^9</f>
        <v>0.31245376642809941</v>
      </c>
      <c r="R60" s="2">
        <f>R5*'Output-Calculation-sheet'!R49/10^9</f>
        <v>0.32667306761509102</v>
      </c>
      <c r="S60" s="2">
        <f>S5*'Output-Calculation-sheet'!S49/10^9</f>
        <v>0.23017435834208541</v>
      </c>
      <c r="T60" s="2">
        <f>T5*'Output-Calculation-sheet'!T49/10^9</f>
        <v>0.14318286130805383</v>
      </c>
      <c r="U60" s="2">
        <f>U5*'Output-Calculation-sheet'!U49/10^9</f>
        <v>0.1052079181922398</v>
      </c>
      <c r="V60" s="2">
        <f>V5*'Output-Calculation-sheet'!V49/10^9</f>
        <v>0.20007725351108799</v>
      </c>
      <c r="W60" s="2">
        <f>W5*'Output-Calculation-sheet'!W49/10^9</f>
        <v>7.967013669569159E-2</v>
      </c>
      <c r="X60" s="2">
        <f>X5*'Output-Calculation-sheet'!X49/10^9</f>
        <v>5.8434755474997525E-2</v>
      </c>
      <c r="Y60" s="2">
        <f>Y5*'Output-Calculation-sheet'!Y49/10^9</f>
        <v>4.225951098258026E-2</v>
      </c>
      <c r="AA60" s="2">
        <f t="shared" ref="AA60:AA67" si="4">SUM(B60:Y60)</f>
        <v>16.69908129524077</v>
      </c>
    </row>
    <row r="61" spans="1:27" x14ac:dyDescent="0.25">
      <c r="A61" s="2">
        <v>2029</v>
      </c>
      <c r="B61" s="2">
        <f>B6*'Output-Calculation-sheet'!B50/10^9</f>
        <v>6.5374176804198889</v>
      </c>
      <c r="C61" s="2">
        <f>C6*'Output-Calculation-sheet'!C50/10^9</f>
        <v>2.8018501765903334</v>
      </c>
      <c r="D61" s="2">
        <f>D6*'Output-Calculation-sheet'!D50/10^9</f>
        <v>1.6828251099558802</v>
      </c>
      <c r="E61" s="2">
        <f>E6*'Output-Calculation-sheet'!E50/10^9</f>
        <v>1.9451953925093053</v>
      </c>
      <c r="F61" s="2">
        <f>F6*'Output-Calculation-sheet'!F50/10^9</f>
        <v>0.89756316463738572</v>
      </c>
      <c r="G61" s="2">
        <f>G6*'Output-Calculation-sheet'!G50/10^9</f>
        <v>0.70179374856557386</v>
      </c>
      <c r="H61" s="2">
        <f>H6*'Output-Calculation-sheet'!H50/10^9</f>
        <v>0.7264909407587119</v>
      </c>
      <c r="I61" s="2">
        <f>I6*'Output-Calculation-sheet'!I50/10^9</f>
        <v>0.53510471711759811</v>
      </c>
      <c r="J61" s="2">
        <f>J6*'Output-Calculation-sheet'!J50/10^9</f>
        <v>0.80962631793436146</v>
      </c>
      <c r="K61" s="2">
        <f>K6*'Output-Calculation-sheet'!K50/10^9</f>
        <v>0.47011543362091507</v>
      </c>
      <c r="L61" s="2">
        <f>L6*'Output-Calculation-sheet'!L50/10^9</f>
        <v>0.59755263122903535</v>
      </c>
      <c r="M61" s="2">
        <f>M6*'Output-Calculation-sheet'!M50/10^9</f>
        <v>0.55012684468968664</v>
      </c>
      <c r="N61" s="2">
        <f>N6*'Output-Calculation-sheet'!N50/10^9</f>
        <v>0.46873446639044974</v>
      </c>
      <c r="O61" s="2">
        <f>O6*'Output-Calculation-sheet'!O50/10^9</f>
        <v>0.48805649764088471</v>
      </c>
      <c r="P61" s="2">
        <f>P6*'Output-Calculation-sheet'!P50/10^9</f>
        <v>0.46518149153664606</v>
      </c>
      <c r="Q61" s="2">
        <f>Q6*'Output-Calculation-sheet'!Q50/10^9</f>
        <v>0.41208966691992105</v>
      </c>
      <c r="R61" s="2">
        <f>R6*'Output-Calculation-sheet'!R50/10^9</f>
        <v>0.41639374438283222</v>
      </c>
      <c r="S61" s="2">
        <f>S6*'Output-Calculation-sheet'!S50/10^9</f>
        <v>0.30527706374351316</v>
      </c>
      <c r="T61" s="2">
        <f>T6*'Output-Calculation-sheet'!T50/10^9</f>
        <v>0.17893359973005674</v>
      </c>
      <c r="U61" s="2">
        <f>U6*'Output-Calculation-sheet'!U50/10^9</f>
        <v>0.13358778158133225</v>
      </c>
      <c r="V61" s="2">
        <f>V6*'Output-Calculation-sheet'!V50/10^9</f>
        <v>0.24506182483129105</v>
      </c>
      <c r="W61" s="2">
        <f>W6*'Output-Calculation-sheet'!W50/10^9</f>
        <v>9.8879961498775537E-2</v>
      </c>
      <c r="X61" s="2">
        <f>X6*'Output-Calculation-sheet'!X50/10^9</f>
        <v>7.7194754658738748E-2</v>
      </c>
      <c r="Y61" s="2">
        <f>Y6*'Output-Calculation-sheet'!Y50/10^9</f>
        <v>5.3638595349620809E-2</v>
      </c>
      <c r="AA61" s="2">
        <f t="shared" si="4"/>
        <v>21.598691606292746</v>
      </c>
    </row>
    <row r="62" spans="1:27" x14ac:dyDescent="0.25">
      <c r="A62" s="2">
        <v>2030</v>
      </c>
      <c r="B62" s="2">
        <f>B7*'Output-Calculation-sheet'!B51/10^9</f>
        <v>7.6378864445348329</v>
      </c>
      <c r="C62" s="2">
        <f>C7*'Output-Calculation-sheet'!C51/10^9</f>
        <v>3.7958684001686898</v>
      </c>
      <c r="D62" s="2">
        <f>D7*'Output-Calculation-sheet'!D51/10^9</f>
        <v>1.9027766899325538</v>
      </c>
      <c r="E62" s="2">
        <f>E7*'Output-Calculation-sheet'!E51/10^9</f>
        <v>2.1895351068568885</v>
      </c>
      <c r="F62" s="2">
        <f>F7*'Output-Calculation-sheet'!F51/10^9</f>
        <v>1.0160501387101462</v>
      </c>
      <c r="G62" s="2">
        <f>G7*'Output-Calculation-sheet'!G51/10^9</f>
        <v>0.78589738699686085</v>
      </c>
      <c r="H62" s="2">
        <f>H7*'Output-Calculation-sheet'!H51/10^9</f>
        <v>0.9568794586838516</v>
      </c>
      <c r="I62" s="2">
        <f>I7*'Output-Calculation-sheet'!I51/10^9</f>
        <v>0.60858318712557469</v>
      </c>
      <c r="J62" s="2">
        <f>J7*'Output-Calculation-sheet'!J51/10^9</f>
        <v>0.89406726562996408</v>
      </c>
      <c r="K62" s="2">
        <f>K7*'Output-Calculation-sheet'!K51/10^9</f>
        <v>0.54797628128553622</v>
      </c>
      <c r="L62" s="2">
        <f>L7*'Output-Calculation-sheet'!L51/10^9</f>
        <v>0.67476643158617322</v>
      </c>
      <c r="M62" s="2">
        <f>M7*'Output-Calculation-sheet'!M51/10^9</f>
        <v>0.71297570486109774</v>
      </c>
      <c r="N62" s="2">
        <f>N7*'Output-Calculation-sheet'!N51/10^9</f>
        <v>0.58249184008758248</v>
      </c>
      <c r="O62" s="2">
        <f>O7*'Output-Calculation-sheet'!O51/10^9</f>
        <v>0.66278751435343575</v>
      </c>
      <c r="P62" s="2">
        <f>P7*'Output-Calculation-sheet'!P51/10^9</f>
        <v>0.54227288191023604</v>
      </c>
      <c r="Q62" s="2">
        <f>Q7*'Output-Calculation-sheet'!Q51/10^9</f>
        <v>0.49347168613694925</v>
      </c>
      <c r="R62" s="2">
        <f>R7*'Output-Calculation-sheet'!R51/10^9</f>
        <v>0.47818629948735392</v>
      </c>
      <c r="S62" s="2">
        <f>S7*'Output-Calculation-sheet'!S51/10^9</f>
        <v>0.37073689799526294</v>
      </c>
      <c r="T62" s="2">
        <f>T7*'Output-Calculation-sheet'!T51/10^9</f>
        <v>0.20067373004376185</v>
      </c>
      <c r="U62" s="2">
        <f>U7*'Output-Calculation-sheet'!U51/10^9</f>
        <v>0.15271793535398634</v>
      </c>
      <c r="V62" s="2">
        <f>V7*'Output-Calculation-sheet'!V51/10^9</f>
        <v>0.26800736766959493</v>
      </c>
      <c r="W62" s="2">
        <f>W7*'Output-Calculation-sheet'!W51/10^9</f>
        <v>0.10995600907391972</v>
      </c>
      <c r="X62" s="2">
        <f>X7*'Output-Calculation-sheet'!X51/10^9</f>
        <v>9.8628626138751743E-2</v>
      </c>
      <c r="Y62" s="2">
        <f>Y7*'Output-Calculation-sheet'!Y51/10^9</f>
        <v>6.1292173577775687E-2</v>
      </c>
      <c r="AA62" s="2">
        <f t="shared" si="4"/>
        <v>25.744485458200774</v>
      </c>
    </row>
    <row r="63" spans="1:27" x14ac:dyDescent="0.25">
      <c r="A63" s="2">
        <v>2031</v>
      </c>
      <c r="B63" s="2">
        <f>B8*'Output-Calculation-sheet'!B52/10^9</f>
        <v>8.578380762311383</v>
      </c>
      <c r="C63" s="2">
        <f>C8*'Output-Calculation-sheet'!C52/10^9</f>
        <v>4.8815468826767372</v>
      </c>
      <c r="D63" s="2">
        <f>D8*'Output-Calculation-sheet'!D52/10^9</f>
        <v>2.0085340925507924</v>
      </c>
      <c r="E63" s="2">
        <f>E8*'Output-Calculation-sheet'!E52/10^9</f>
        <v>2.2978629846260801</v>
      </c>
      <c r="F63" s="2">
        <f>F8*'Output-Calculation-sheet'!F52/10^9</f>
        <v>1.0741044354534397</v>
      </c>
      <c r="G63" s="2">
        <f>G8*'Output-Calculation-sheet'!G52/10^9</f>
        <v>0.81928913201067644</v>
      </c>
      <c r="H63" s="2">
        <f>H8*'Output-Calculation-sheet'!H52/10^9</f>
        <v>1.2246407690384216</v>
      </c>
      <c r="I63" s="2">
        <f>I8*'Output-Calculation-sheet'!I52/10^9</f>
        <v>0.6471839608876635</v>
      </c>
      <c r="J63" s="2">
        <f>J8*'Output-Calculation-sheet'!J52/10^9</f>
        <v>0.91490402587438868</v>
      </c>
      <c r="K63" s="2">
        <f>K8*'Output-Calculation-sheet'!K52/10^9</f>
        <v>0.60058806584757374</v>
      </c>
      <c r="L63" s="2">
        <f>L8*'Output-Calculation-sheet'!L52/10^9</f>
        <v>0.71107130750566827</v>
      </c>
      <c r="M63" s="2">
        <f>M8*'Output-Calculation-sheet'!M52/10^9</f>
        <v>0.89665098938652399</v>
      </c>
      <c r="N63" s="2">
        <f>N8*'Output-Calculation-sheet'!N52/10^9</f>
        <v>0.71494666549640962</v>
      </c>
      <c r="O63" s="2">
        <f>O8*'Output-Calculation-sheet'!O52/10^9</f>
        <v>0.84846792812141514</v>
      </c>
      <c r="P63" s="2">
        <f>P8*'Output-Calculation-sheet'!P52/10^9</f>
        <v>0.61080946850252837</v>
      </c>
      <c r="Q63" s="2">
        <f>Q8*'Output-Calculation-sheet'!Q52/10^9</f>
        <v>0.56975073375469565</v>
      </c>
      <c r="R63" s="2">
        <f>R8*'Output-Calculation-sheet'!R52/10^9</f>
        <v>0.51606036166121505</v>
      </c>
      <c r="S63" s="2">
        <f>S8*'Output-Calculation-sheet'!S52/10^9</f>
        <v>0.43785928973335853</v>
      </c>
      <c r="T63" s="2">
        <f>T8*'Output-Calculation-sheet'!T52/10^9</f>
        <v>0.2096042360193594</v>
      </c>
      <c r="U63" s="2">
        <f>U8*'Output-Calculation-sheet'!U52/10^9</f>
        <v>0.16345969348778525</v>
      </c>
      <c r="V63" s="2">
        <f>V8*'Output-Calculation-sheet'!V52/10^9</f>
        <v>0.2706417818289481</v>
      </c>
      <c r="W63" s="2">
        <f>W8*'Output-Calculation-sheet'!W52/10^9</f>
        <v>0.11357333990969619</v>
      </c>
      <c r="X63" s="2">
        <f>X8*'Output-Calculation-sheet'!X52/10^9</f>
        <v>0.1210264435202309</v>
      </c>
      <c r="Y63" s="2">
        <f>Y8*'Output-Calculation-sheet'!Y52/10^9</f>
        <v>6.5584347471199178E-2</v>
      </c>
      <c r="AA63" s="2">
        <f t="shared" si="4"/>
        <v>29.29654169767619</v>
      </c>
    </row>
    <row r="64" spans="1:27" x14ac:dyDescent="0.25">
      <c r="A64" s="2">
        <v>2032</v>
      </c>
      <c r="B64" s="2">
        <f>B9*'Output-Calculation-sheet'!B53/10^9</f>
        <v>9.4394865471765019</v>
      </c>
      <c r="C64" s="2">
        <f>C9*'Output-Calculation-sheet'!C53/10^9</f>
        <v>5.9301389621488081</v>
      </c>
      <c r="D64" s="2">
        <f>D9*'Output-Calculation-sheet'!D53/10^9</f>
        <v>1.9821532497912533</v>
      </c>
      <c r="E64" s="2">
        <f>E9*'Output-Calculation-sheet'!E53/10^9</f>
        <v>2.3144071206355123</v>
      </c>
      <c r="F64" s="2">
        <f>F9*'Output-Calculation-sheet'!F53/10^9</f>
        <v>1.0620433288835007</v>
      </c>
      <c r="G64" s="2">
        <f>G9*'Output-Calculation-sheet'!G53/10^9</f>
        <v>0.79521312787603304</v>
      </c>
      <c r="H64" s="2">
        <f>H9*'Output-Calculation-sheet'!H53/10^9</f>
        <v>1.4809942736218547</v>
      </c>
      <c r="I64" s="2">
        <f>I9*'Output-Calculation-sheet'!I53/10^9</f>
        <v>0.64486341896561328</v>
      </c>
      <c r="J64" s="2">
        <f>J9*'Output-Calculation-sheet'!J53/10^9</f>
        <v>0.86554524112320741</v>
      </c>
      <c r="K64" s="2">
        <f>K9*'Output-Calculation-sheet'!K53/10^9</f>
        <v>0.63896418953984058</v>
      </c>
      <c r="L64" s="2">
        <f>L9*'Output-Calculation-sheet'!L53/10^9</f>
        <v>0.71734650720625026</v>
      </c>
      <c r="M64" s="2">
        <f>M9*'Output-Calculation-sheet'!M53/10^9</f>
        <v>1.0680047266917767</v>
      </c>
      <c r="N64" s="2">
        <f>N9*'Output-Calculation-sheet'!N53/10^9</f>
        <v>0.87286255774396215</v>
      </c>
      <c r="O64" s="2">
        <f>O9*'Output-Calculation-sheet'!O53/10^9</f>
        <v>1.0311382169952634</v>
      </c>
      <c r="P64" s="2">
        <f>P9*'Output-Calculation-sheet'!P53/10^9</f>
        <v>0.68179444625191343</v>
      </c>
      <c r="Q64" s="2">
        <f>Q9*'Output-Calculation-sheet'!Q53/10^9</f>
        <v>0.64671480204620857</v>
      </c>
      <c r="R64" s="2">
        <f>R9*'Output-Calculation-sheet'!R53/10^9</f>
        <v>0.55017200198205707</v>
      </c>
      <c r="S64" s="2">
        <f>S9*'Output-Calculation-sheet'!S53/10^9</f>
        <v>0.51723485592537566</v>
      </c>
      <c r="T64" s="2">
        <f>T9*'Output-Calculation-sheet'!T53/10^9</f>
        <v>0.20566551388806076</v>
      </c>
      <c r="U64" s="2">
        <f>U9*'Output-Calculation-sheet'!U53/10^9</f>
        <v>0.17522586918647665</v>
      </c>
      <c r="V64" s="2">
        <f>V9*'Output-Calculation-sheet'!V53/10^9</f>
        <v>0.25538602715585845</v>
      </c>
      <c r="W64" s="2">
        <f>W9*'Output-Calculation-sheet'!W53/10^9</f>
        <v>0.10885406945828718</v>
      </c>
      <c r="X64" s="2">
        <f>X9*'Output-Calculation-sheet'!X53/10^9</f>
        <v>0.14069852884670553</v>
      </c>
      <c r="Y64" s="2">
        <f>Y9*'Output-Calculation-sheet'!Y53/10^9</f>
        <v>6.9237224006056752E-2</v>
      </c>
      <c r="AA64" s="2">
        <f t="shared" si="4"/>
        <v>32.19414480714638</v>
      </c>
    </row>
    <row r="65" spans="1:27" x14ac:dyDescent="0.25">
      <c r="A65" s="2">
        <v>2033</v>
      </c>
      <c r="B65" s="2">
        <f>B10*'Output-Calculation-sheet'!B54/10^9</f>
        <v>10.459406104042465</v>
      </c>
      <c r="C65" s="2">
        <f>C10*'Output-Calculation-sheet'!C54/10^9</f>
        <v>6.8741752694811566</v>
      </c>
      <c r="D65" s="2">
        <f>D10*'Output-Calculation-sheet'!D54/10^9</f>
        <v>1.8643495619757831</v>
      </c>
      <c r="E65" s="2">
        <f>E10*'Output-Calculation-sheet'!E54/10^9</f>
        <v>2.3742861639538906</v>
      </c>
      <c r="F65" s="2">
        <f>F10*'Output-Calculation-sheet'!F54/10^9</f>
        <v>1.020251251245333</v>
      </c>
      <c r="G65" s="2">
        <f>G10*'Output-Calculation-sheet'!G54/10^9</f>
        <v>0.72636853107032751</v>
      </c>
      <c r="H65" s="2">
        <f>H10*'Output-Calculation-sheet'!H54/10^9</f>
        <v>1.7067655599334262</v>
      </c>
      <c r="I65" s="2">
        <f>I10*'Output-Calculation-sheet'!I54/10^9</f>
        <v>0.63687341980815315</v>
      </c>
      <c r="J65" s="2">
        <f>J10*'Output-Calculation-sheet'!J54/10^9</f>
        <v>0.7535223710673703</v>
      </c>
      <c r="K65" s="2">
        <f>K10*'Output-Calculation-sheet'!K54/10^9</f>
        <v>0.70510584758347317</v>
      </c>
      <c r="L65" s="2">
        <f>L10*'Output-Calculation-sheet'!L54/10^9</f>
        <v>0.7271978716312264</v>
      </c>
      <c r="M65" s="2">
        <f>M10*'Output-Calculation-sheet'!M54/10^9</f>
        <v>1.2136169083691111</v>
      </c>
      <c r="N65" s="2">
        <f>N10*'Output-Calculation-sheet'!N54/10^9</f>
        <v>1.034126596043959</v>
      </c>
      <c r="O65" s="2">
        <f>O10*'Output-Calculation-sheet'!O54/10^9</f>
        <v>1.2032695554302308</v>
      </c>
      <c r="P65" s="2">
        <f>P10*'Output-Calculation-sheet'!P54/10^9</f>
        <v>0.76284683737527237</v>
      </c>
      <c r="Q65" s="2">
        <f>Q10*'Output-Calculation-sheet'!Q54/10^9</f>
        <v>0.75277355678433944</v>
      </c>
      <c r="R65" s="2">
        <f>R10*'Output-Calculation-sheet'!R54/10^9</f>
        <v>0.59676726493295984</v>
      </c>
      <c r="S65" s="2">
        <f>S10*'Output-Calculation-sheet'!S54/10^9</f>
        <v>0.59894862033420571</v>
      </c>
      <c r="T65" s="2">
        <f>T10*'Output-Calculation-sheet'!T54/10^9</f>
        <v>0.20208803636177558</v>
      </c>
      <c r="U65" s="2">
        <f>U10*'Output-Calculation-sheet'!U54/10^9</f>
        <v>0.19409222062544534</v>
      </c>
      <c r="V65" s="2">
        <f>V10*'Output-Calculation-sheet'!V54/10^9</f>
        <v>0.22868556423575886</v>
      </c>
      <c r="W65" s="2">
        <f>W10*'Output-Calculation-sheet'!W54/10^9</f>
        <v>9.7735711744538128E-2</v>
      </c>
      <c r="X65" s="2">
        <f>X10*'Output-Calculation-sheet'!X54/10^9</f>
        <v>0.15710664691706122</v>
      </c>
      <c r="Y65" s="2">
        <f>Y10*'Output-Calculation-sheet'!Y54/10^9</f>
        <v>7.5817933296345549E-2</v>
      </c>
      <c r="AA65" s="2">
        <f t="shared" si="4"/>
        <v>34.966177404243602</v>
      </c>
    </row>
    <row r="66" spans="1:27" x14ac:dyDescent="0.25">
      <c r="A66" s="2">
        <v>2034</v>
      </c>
      <c r="B66" s="2">
        <f>B11*'Output-Calculation-sheet'!B55/10^9</f>
        <v>11.698934719218167</v>
      </c>
      <c r="C66" s="2">
        <f>C11*'Output-Calculation-sheet'!C55/10^9</f>
        <v>7.7751059045605455</v>
      </c>
      <c r="D66" s="2">
        <f>D11*'Output-Calculation-sheet'!D55/10^9</f>
        <v>2.1165314922390452</v>
      </c>
      <c r="E66" s="2">
        <f>E11*'Output-Calculation-sheet'!E55/10^9</f>
        <v>2.7412463646947449</v>
      </c>
      <c r="F66" s="2">
        <f>F11*'Output-Calculation-sheet'!F55/10^9</f>
        <v>1.0788137824604407</v>
      </c>
      <c r="G66" s="2">
        <f>G11*'Output-Calculation-sheet'!G55/10^9</f>
        <v>0.7870381694111539</v>
      </c>
      <c r="H66" s="2">
        <f>H11*'Output-Calculation-sheet'!H55/10^9</f>
        <v>1.9641199203479203</v>
      </c>
      <c r="I66" s="2">
        <f>I11*'Output-Calculation-sheet'!I55/10^9</f>
        <v>0.73164270357522287</v>
      </c>
      <c r="J66" s="2">
        <f>J11*'Output-Calculation-sheet'!J55/10^9</f>
        <v>0.73666044641107109</v>
      </c>
      <c r="K66" s="2">
        <f>K11*'Output-Calculation-sheet'!K55/10^9</f>
        <v>0.83875413050473913</v>
      </c>
      <c r="L66" s="2">
        <f>L11*'Output-Calculation-sheet'!L55/10^9</f>
        <v>0.81316158942503847</v>
      </c>
      <c r="M66" s="2">
        <f>M11*'Output-Calculation-sheet'!M55/10^9</f>
        <v>1.3804068869557118</v>
      </c>
      <c r="N66" s="2">
        <f>N11*'Output-Calculation-sheet'!N55/10^9</f>
        <v>1.2000142191483507</v>
      </c>
      <c r="O66" s="2">
        <f>O11*'Output-Calculation-sheet'!O55/10^9</f>
        <v>1.3681788834793325</v>
      </c>
      <c r="P66" s="2">
        <f>P11*'Output-Calculation-sheet'!P55/10^9</f>
        <v>0.87733080383651496</v>
      </c>
      <c r="Q66" s="2">
        <f>Q11*'Output-Calculation-sheet'!Q55/10^9</f>
        <v>0.90242614287790079</v>
      </c>
      <c r="R66" s="2">
        <f>R11*'Output-Calculation-sheet'!R55/10^9</f>
        <v>0.66768832773750553</v>
      </c>
      <c r="S66" s="2">
        <f>S11*'Output-Calculation-sheet'!S55/10^9</f>
        <v>0.69310160384173813</v>
      </c>
      <c r="T66" s="2">
        <f>T11*'Output-Calculation-sheet'!T55/10^9</f>
        <v>0.20920010885928855</v>
      </c>
      <c r="U66" s="2">
        <f>U11*'Output-Calculation-sheet'!U55/10^9</f>
        <v>0.22768669496778507</v>
      </c>
      <c r="V66" s="2">
        <f>V11*'Output-Calculation-sheet'!V55/10^9</f>
        <v>0.19771343451523893</v>
      </c>
      <c r="W66" s="2">
        <f>W11*'Output-Calculation-sheet'!W55/10^9</f>
        <v>9.6860574888084736E-2</v>
      </c>
      <c r="X66" s="2">
        <f>X11*'Output-Calculation-sheet'!X55/10^9</f>
        <v>0.18100165420365485</v>
      </c>
      <c r="Y66" s="2">
        <f>Y11*'Output-Calculation-sheet'!Y55/10^9</f>
        <v>9.2937148955688054E-2</v>
      </c>
      <c r="AA66" s="2">
        <f t="shared" si="4"/>
        <v>39.376555707114882</v>
      </c>
    </row>
    <row r="67" spans="1:27" x14ac:dyDescent="0.25">
      <c r="A67" s="2">
        <v>2035</v>
      </c>
      <c r="B67" s="2">
        <f>B12*'Output-Calculation-sheet'!B56/10^9</f>
        <v>13.707007199286545</v>
      </c>
      <c r="C67" s="2">
        <f>C12*'Output-Calculation-sheet'!C56/10^9</f>
        <v>8.6618060414408404</v>
      </c>
      <c r="D67" s="2">
        <f>D12*'Output-Calculation-sheet'!D56/10^9</f>
        <v>2.7187797544688803</v>
      </c>
      <c r="E67" s="2">
        <f>E12*'Output-Calculation-sheet'!E56/10^9</f>
        <v>3.7180828697266106</v>
      </c>
      <c r="F67" s="2">
        <f>F12*'Output-Calculation-sheet'!F56/10^9</f>
        <v>1.4572413613336099</v>
      </c>
      <c r="G67" s="2">
        <f>G12*'Output-Calculation-sheet'!G56/10^9</f>
        <v>1.0751944912737617</v>
      </c>
      <c r="H67" s="2">
        <f>H12*'Output-Calculation-sheet'!H56/10^9</f>
        <v>2.2862996752828848</v>
      </c>
      <c r="I67" s="2">
        <f>I12*'Output-Calculation-sheet'!I56/10^9</f>
        <v>0.98514303411667525</v>
      </c>
      <c r="J67" s="2">
        <f>J12*'Output-Calculation-sheet'!J56/10^9</f>
        <v>0.9012382759994918</v>
      </c>
      <c r="K67" s="2">
        <f>K12*'Output-Calculation-sheet'!K56/10^9</f>
        <v>1.0797962951410347</v>
      </c>
      <c r="L67" s="2">
        <f>L12*'Output-Calculation-sheet'!L56/10^9</f>
        <v>1.0066939944085878</v>
      </c>
      <c r="M67" s="2">
        <f>M12*'Output-Calculation-sheet'!M56/10^9</f>
        <v>1.617668944575863</v>
      </c>
      <c r="N67" s="2">
        <f>N12*'Output-Calculation-sheet'!N56/10^9</f>
        <v>1.3816392446628158</v>
      </c>
      <c r="O67" s="2">
        <f>O12*'Output-Calculation-sheet'!O56/10^9</f>
        <v>1.5281504864943718</v>
      </c>
      <c r="P67" s="2">
        <f>P12*'Output-Calculation-sheet'!P56/10^9</f>
        <v>1.1212318368145227</v>
      </c>
      <c r="Q67" s="2">
        <f>Q12*'Output-Calculation-sheet'!Q56/10^9</f>
        <v>1.059171930073431</v>
      </c>
      <c r="R67" s="2">
        <f>R12*'Output-Calculation-sheet'!R56/10^9</f>
        <v>0.83170440026856407</v>
      </c>
      <c r="S67" s="2">
        <f>S12*'Output-Calculation-sheet'!S56/10^9</f>
        <v>0.80287754131079536</v>
      </c>
      <c r="T67" s="2">
        <f>T12*'Output-Calculation-sheet'!T56/10^9</f>
        <v>0.25862650404536314</v>
      </c>
      <c r="U67" s="2">
        <f>U12*'Output-Calculation-sheet'!U56/10^9</f>
        <v>0.27961222723137419</v>
      </c>
      <c r="V67" s="2">
        <f>V12*'Output-Calculation-sheet'!V56/10^9</f>
        <v>0.19960891568213926</v>
      </c>
      <c r="W67" s="2">
        <f>W12*'Output-Calculation-sheet'!W56/10^9</f>
        <v>0.13535751870323784</v>
      </c>
      <c r="X67" s="2">
        <f>X12*'Output-Calculation-sheet'!X56/10^9</f>
        <v>0.21012386580304421</v>
      </c>
      <c r="Y67" s="2">
        <f>Y12*'Output-Calculation-sheet'!Y56/10^9</f>
        <v>0.12630231203575829</v>
      </c>
      <c r="AA67" s="2">
        <f t="shared" si="4"/>
        <v>47.149358720180189</v>
      </c>
    </row>
    <row r="68" spans="1:27" x14ac:dyDescent="0.25">
      <c r="B68" s="2">
        <f>SUM(B60:B67)</f>
        <v>73.131078533665871</v>
      </c>
      <c r="C68" s="2">
        <f t="shared" ref="C68:Y68" si="5">SUM(C60:C67)</f>
        <v>42.76646899419228</v>
      </c>
      <c r="D68" s="2">
        <f t="shared" si="5"/>
        <v>15.613523798948751</v>
      </c>
      <c r="E68" s="2">
        <f t="shared" si="5"/>
        <v>19.132501694190367</v>
      </c>
      <c r="F68" s="2">
        <f t="shared" si="5"/>
        <v>8.3188023592446516</v>
      </c>
      <c r="G68" s="2">
        <f t="shared" si="5"/>
        <v>6.2530483101234848</v>
      </c>
      <c r="H68" s="2">
        <f t="shared" si="5"/>
        <v>10.883786268326833</v>
      </c>
      <c r="I68" s="2">
        <f t="shared" si="5"/>
        <v>5.2126548344529269</v>
      </c>
      <c r="J68" s="2">
        <f t="shared" si="5"/>
        <v>6.5315415034167774</v>
      </c>
      <c r="K68" s="2">
        <f t="shared" si="5"/>
        <v>5.2454029986473287</v>
      </c>
      <c r="L68" s="2">
        <f t="shared" si="5"/>
        <v>5.7232655437271198</v>
      </c>
      <c r="M68" s="2">
        <f t="shared" si="5"/>
        <v>7.8509729038329574</v>
      </c>
      <c r="N68" s="2">
        <f t="shared" si="5"/>
        <v>6.5992974104114657</v>
      </c>
      <c r="O68" s="2">
        <f t="shared" si="5"/>
        <v>7.4753432621270459</v>
      </c>
      <c r="P68" s="2">
        <f t="shared" si="5"/>
        <v>5.4217213529497332</v>
      </c>
      <c r="Q68" s="2">
        <f t="shared" si="5"/>
        <v>5.1488522850215457</v>
      </c>
      <c r="R68" s="2">
        <f t="shared" si="5"/>
        <v>4.3836454680675789</v>
      </c>
      <c r="S68" s="2">
        <f t="shared" si="5"/>
        <v>3.956210231226335</v>
      </c>
      <c r="T68" s="2">
        <f t="shared" si="5"/>
        <v>1.6079745902557199</v>
      </c>
      <c r="U68" s="2">
        <f t="shared" si="5"/>
        <v>1.431590340626425</v>
      </c>
      <c r="V68" s="2">
        <f t="shared" si="5"/>
        <v>1.8651821694299173</v>
      </c>
      <c r="W68" s="2">
        <f t="shared" si="5"/>
        <v>0.84088732197223093</v>
      </c>
      <c r="X68" s="2">
        <f t="shared" si="5"/>
        <v>1.0442152755631846</v>
      </c>
      <c r="Y68" s="2">
        <f t="shared" si="5"/>
        <v>0.58706924567502461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2253.3633691702662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533.75325943968392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364.99291105332077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48.654872754809873</v>
      </c>
      <c r="Y73" s="2">
        <f>Y7/'Output-Calculation-sheet'!Y6*'Output-Calculation-sheet'!Y60</f>
        <v>0</v>
      </c>
      <c r="AA73" s="2">
        <f t="shared" si="6"/>
        <v>3.2007644124180805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5289.1851704053406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1769.5975916951675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1181.684254278071</v>
      </c>
      <c r="N74" s="2">
        <f>N8/'Output-Calculation-sheet'!N7*'Output-Calculation-sheet'!N61</f>
        <v>49.393335527698333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146.44398399016967</v>
      </c>
      <c r="Y74" s="2">
        <f>Y8/'Output-Calculation-sheet'!Y7*'Output-Calculation-sheet'!Y61</f>
        <v>0</v>
      </c>
      <c r="AA74" s="2">
        <f t="shared" si="6"/>
        <v>8.4363043358964482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11055.391202035589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3183.7618933470776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2161.4015741193466</v>
      </c>
      <c r="N75" s="2">
        <f>N9/'Output-Calculation-sheet'!N8*'Output-Calculation-sheet'!N62</f>
        <v>834.8921494990135</v>
      </c>
      <c r="O75" s="2">
        <f>O9/'Output-Calculation-sheet'!O8*'Output-Calculation-sheet'!O62</f>
        <v>0</v>
      </c>
      <c r="P75" s="2">
        <f>P9/'Output-Calculation-sheet'!P8*'Output-Calculation-sheet'!P62</f>
        <v>55.894713356392458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279.75223775787879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260.95765810407829</v>
      </c>
      <c r="Y75" s="2">
        <f>Y9/'Output-Calculation-sheet'!Y8*'Output-Calculation-sheet'!Y62</f>
        <v>0</v>
      </c>
      <c r="AA75" s="2">
        <f t="shared" si="6"/>
        <v>17.832051428219376</v>
      </c>
    </row>
    <row r="76" spans="1:27" x14ac:dyDescent="0.25">
      <c r="A76" s="2">
        <v>2033</v>
      </c>
      <c r="B76" s="2">
        <f>B10/'Output-Calculation-sheet'!B9*'Output-Calculation-sheet'!B63</f>
        <v>7434.2537644200056</v>
      </c>
      <c r="C76" s="2">
        <f>C10/'Output-Calculation-sheet'!C9*'Output-Calculation-sheet'!C63</f>
        <v>15184.144528566174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4841.2492773813019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126.88918041448569</v>
      </c>
      <c r="L76" s="2">
        <f>L10/'Output-Calculation-sheet'!L9*'Output-Calculation-sheet'!L63</f>
        <v>0</v>
      </c>
      <c r="M76" s="2">
        <f>M10/'Output-Calculation-sheet'!M9*'Output-Calculation-sheet'!M63</f>
        <v>3296.3997297951823</v>
      </c>
      <c r="N76" s="2">
        <f>N10/'Output-Calculation-sheet'!N9*'Output-Calculation-sheet'!N63</f>
        <v>1883.0494826278948</v>
      </c>
      <c r="O76" s="2">
        <f>O10/'Output-Calculation-sheet'!O9*'Output-Calculation-sheet'!O63</f>
        <v>0</v>
      </c>
      <c r="P76" s="2">
        <f>P10/'Output-Calculation-sheet'!P9*'Output-Calculation-sheet'!P63</f>
        <v>653.89085947354351</v>
      </c>
      <c r="Q76" s="2">
        <f>Q10/'Output-Calculation-sheet'!Q9*'Output-Calculation-sheet'!Q63</f>
        <v>294.93105559672966</v>
      </c>
      <c r="R76" s="2">
        <f>R10/'Output-Calculation-sheet'!R9*'Output-Calculation-sheet'!R63</f>
        <v>498.36937855855876</v>
      </c>
      <c r="S76" s="2">
        <f>S10/'Output-Calculation-sheet'!S9*'Output-Calculation-sheet'!S63</f>
        <v>837.34815472927937</v>
      </c>
      <c r="T76" s="2">
        <f>T10/'Output-Calculation-sheet'!T9*'Output-Calculation-sheet'!T63</f>
        <v>33.896059344991187</v>
      </c>
      <c r="U76" s="2">
        <f>U10/'Output-Calculation-sheet'!U9*'Output-Calculation-sheet'!U63</f>
        <v>176.10654058429898</v>
      </c>
      <c r="V76" s="2">
        <f>V10/'Output-Calculation-sheet'!V9*'Output-Calculation-sheet'!V63</f>
        <v>13.513626307966998</v>
      </c>
      <c r="W76" s="2">
        <f>W10/'Output-Calculation-sheet'!W9*'Output-Calculation-sheet'!W63</f>
        <v>0</v>
      </c>
      <c r="X76" s="2">
        <f>X10/'Output-Calculation-sheet'!X9*'Output-Calculation-sheet'!X63</f>
        <v>388.17449141513589</v>
      </c>
      <c r="Y76" s="2">
        <f>Y10/'Output-Calculation-sheet'!Y9*'Output-Calculation-sheet'!Y63</f>
        <v>7.364167792554972</v>
      </c>
      <c r="AA76" s="2">
        <f t="shared" si="6"/>
        <v>35.669580297008096</v>
      </c>
    </row>
    <row r="77" spans="1:27" x14ac:dyDescent="0.25">
      <c r="A77" s="2">
        <v>2034</v>
      </c>
      <c r="B77" s="2">
        <f>B11/'Output-Calculation-sheet'!B10*'Output-Calculation-sheet'!B64</f>
        <v>19493.870416309524</v>
      </c>
      <c r="C77" s="2">
        <f>C11/'Output-Calculation-sheet'!C10*'Output-Calculation-sheet'!C64</f>
        <v>17124.587681297024</v>
      </c>
      <c r="D77" s="2">
        <f>D11/'Output-Calculation-sheet'!D10*'Output-Calculation-sheet'!D64</f>
        <v>2402.7127473000114</v>
      </c>
      <c r="E77" s="2">
        <f>E11/'Output-Calculation-sheet'!E10*'Output-Calculation-sheet'!E64</f>
        <v>2968.9182269592793</v>
      </c>
      <c r="F77" s="2">
        <f>F11/'Output-Calculation-sheet'!F10*'Output-Calculation-sheet'!F64</f>
        <v>184.85827156632314</v>
      </c>
      <c r="G77" s="2">
        <f>G11/'Output-Calculation-sheet'!G10*'Output-Calculation-sheet'!G64</f>
        <v>1268.638804182581</v>
      </c>
      <c r="H77" s="2">
        <f>H11/'Output-Calculation-sheet'!H10*'Output-Calculation-sheet'!H64</f>
        <v>6285.4439857570769</v>
      </c>
      <c r="I77" s="2">
        <f>I11/'Output-Calculation-sheet'!I10*'Output-Calculation-sheet'!I64</f>
        <v>748.42214748685717</v>
      </c>
      <c r="J77" s="2">
        <f>J11/'Output-Calculation-sheet'!J10*'Output-Calculation-sheet'!J64</f>
        <v>533.50997885804964</v>
      </c>
      <c r="K77" s="2">
        <f>K11/'Output-Calculation-sheet'!K10*'Output-Calculation-sheet'!K64</f>
        <v>1131.1598108003416</v>
      </c>
      <c r="L77" s="2">
        <f>L11/'Output-Calculation-sheet'!L10*'Output-Calculation-sheet'!L64</f>
        <v>491.14533264470759</v>
      </c>
      <c r="M77" s="2">
        <f>M11/'Output-Calculation-sheet'!M10*'Output-Calculation-sheet'!M64</f>
        <v>4470.5274336200755</v>
      </c>
      <c r="N77" s="2">
        <f>N11/'Output-Calculation-sheet'!N10*'Output-Calculation-sheet'!N64</f>
        <v>3180.6704758913834</v>
      </c>
      <c r="O77" s="2">
        <f>O11/'Output-Calculation-sheet'!O10*'Output-Calculation-sheet'!O64</f>
        <v>110.89585100444546</v>
      </c>
      <c r="P77" s="2">
        <f>P11/'Output-Calculation-sheet'!P10*'Output-Calculation-sheet'!P64</f>
        <v>1403.8300371418766</v>
      </c>
      <c r="Q77" s="2">
        <f>Q11/'Output-Calculation-sheet'!Q10*'Output-Calculation-sheet'!Q64</f>
        <v>801.0550823687596</v>
      </c>
      <c r="R77" s="2">
        <f>R11/'Output-Calculation-sheet'!R10*'Output-Calculation-sheet'!R64</f>
        <v>1201.3117460052733</v>
      </c>
      <c r="S77" s="2">
        <f>S11/'Output-Calculation-sheet'!S10*'Output-Calculation-sheet'!S64</f>
        <v>1606.2211784762167</v>
      </c>
      <c r="T77" s="2">
        <f>T11/'Output-Calculation-sheet'!T10*'Output-Calculation-sheet'!T64</f>
        <v>330.49914859978463</v>
      </c>
      <c r="U77" s="2">
        <f>U11/'Output-Calculation-sheet'!U10*'Output-Calculation-sheet'!U64</f>
        <v>439.27195131217769</v>
      </c>
      <c r="V77" s="2">
        <f>V11/'Output-Calculation-sheet'!V10*'Output-Calculation-sheet'!V64</f>
        <v>175.10713499752933</v>
      </c>
      <c r="W77" s="2">
        <f>W11/'Output-Calculation-sheet'!W10*'Output-Calculation-sheet'!W64</f>
        <v>36.99760189118863</v>
      </c>
      <c r="X77" s="2">
        <f>X11/'Output-Calculation-sheet'!X10*'Output-Calculation-sheet'!X64</f>
        <v>454.25304294035783</v>
      </c>
      <c r="Y77" s="2">
        <f>Y11/'Output-Calculation-sheet'!Y10*'Output-Calculation-sheet'!Y64</f>
        <v>109.98670760561934</v>
      </c>
      <c r="AA77" s="2">
        <f t="shared" si="6"/>
        <v>66.953894795016453</v>
      </c>
    </row>
    <row r="78" spans="1:27" x14ac:dyDescent="0.25">
      <c r="A78" s="2">
        <v>2035</v>
      </c>
      <c r="B78" s="2">
        <f>B12/'Output-Calculation-sheet'!B11*'Output-Calculation-sheet'!B65</f>
        <v>26526.869735889795</v>
      </c>
      <c r="C78" s="2">
        <f>C12/'Output-Calculation-sheet'!C11*'Output-Calculation-sheet'!C65</f>
        <v>18732.712770932238</v>
      </c>
      <c r="D78" s="2">
        <f>D12/'Output-Calculation-sheet'!D11*'Output-Calculation-sheet'!D65</f>
        <v>2816.2516844373245</v>
      </c>
      <c r="E78" s="2">
        <f>E12/'Output-Calculation-sheet'!E11*'Output-Calculation-sheet'!E65</f>
        <v>5353.6195838467338</v>
      </c>
      <c r="F78" s="2">
        <f>F12/'Output-Calculation-sheet'!F11*'Output-Calculation-sheet'!F65</f>
        <v>1133.9929044667151</v>
      </c>
      <c r="G78" s="2">
        <f>G12/'Output-Calculation-sheet'!G11*'Output-Calculation-sheet'!G65</f>
        <v>2127.8027942698004</v>
      </c>
      <c r="H78" s="2">
        <f>H12/'Output-Calculation-sheet'!H11*'Output-Calculation-sheet'!H65</f>
        <v>6850.6857089898458</v>
      </c>
      <c r="I78" s="2">
        <f>I12/'Output-Calculation-sheet'!I11*'Output-Calculation-sheet'!I65</f>
        <v>1251.2153532266543</v>
      </c>
      <c r="J78" s="2">
        <f>J12/'Output-Calculation-sheet'!J11*'Output-Calculation-sheet'!J65</f>
        <v>1122.1295530113609</v>
      </c>
      <c r="K78" s="2">
        <f>K12/'Output-Calculation-sheet'!K11*'Output-Calculation-sheet'!K65</f>
        <v>1416.0731561492928</v>
      </c>
      <c r="L78" s="2">
        <f>L12/'Output-Calculation-sheet'!L11*'Output-Calculation-sheet'!L65</f>
        <v>841.97859541294019</v>
      </c>
      <c r="M78" s="2">
        <f>M12/'Output-Calculation-sheet'!M11*'Output-Calculation-sheet'!M65</f>
        <v>4876.5231688180538</v>
      </c>
      <c r="N78" s="2">
        <f>N12/'Output-Calculation-sheet'!N11*'Output-Calculation-sheet'!N65</f>
        <v>3428.9832923165773</v>
      </c>
      <c r="O78" s="2">
        <f>O12/'Output-Calculation-sheet'!O11*'Output-Calculation-sheet'!O65</f>
        <v>480.69914299309693</v>
      </c>
      <c r="P78" s="2">
        <f>P12/'Output-Calculation-sheet'!P11*'Output-Calculation-sheet'!P65</f>
        <v>1949.3407922436463</v>
      </c>
      <c r="Q78" s="2">
        <f>Q12/'Output-Calculation-sheet'!Q11*'Output-Calculation-sheet'!Q65</f>
        <v>980.4990790506348</v>
      </c>
      <c r="R78" s="2">
        <f>R12/'Output-Calculation-sheet'!R11*'Output-Calculation-sheet'!R65</f>
        <v>1616.1591537741917</v>
      </c>
      <c r="S78" s="2">
        <f>S12/'Output-Calculation-sheet'!S11*'Output-Calculation-sheet'!S65</f>
        <v>1823.2769617830556</v>
      </c>
      <c r="T78" s="2">
        <f>T12/'Output-Calculation-sheet'!T11*'Output-Calculation-sheet'!T65</f>
        <v>581.1332196792456</v>
      </c>
      <c r="U78" s="2">
        <f>U12/'Output-Calculation-sheet'!U11*'Output-Calculation-sheet'!U65</f>
        <v>497.92358758111237</v>
      </c>
      <c r="V78" s="2">
        <f>V12/'Output-Calculation-sheet'!V11*'Output-Calculation-sheet'!V65</f>
        <v>313.6254384646266</v>
      </c>
      <c r="W78" s="2">
        <f>W12/'Output-Calculation-sheet'!W11*'Output-Calculation-sheet'!W65</f>
        <v>220.8964016063631</v>
      </c>
      <c r="X78" s="2">
        <f>X12/'Output-Calculation-sheet'!X11*'Output-Calculation-sheet'!X65</f>
        <v>502.6104306919903</v>
      </c>
      <c r="Y78" s="2">
        <f>Y12/'Output-Calculation-sheet'!Y11*'Output-Calculation-sheet'!Y65</f>
        <v>215.61680286408878</v>
      </c>
      <c r="AA78" s="2">
        <f t="shared" si="6"/>
        <v>85.660619312499378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89.761128472365613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104.62903490012997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0.19439016337249557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323.68233673077441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230.57015752688531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0.55425249425765966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247.55401999699026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384.74469054692861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0.63229871054391895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548.02557218631296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532.33312769771931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1.0803586998840324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1187.362530879763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45.688395790982732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31.438087169711014</v>
      </c>
      <c r="N88" s="2">
        <f>N11/'Output-Calculation-sheet'!N10*'Output-Calculation-sheet'!N73</f>
        <v>0</v>
      </c>
      <c r="O88" s="2">
        <f>O11/'Output-Calculation-sheet'!O10*'Output-Calculation-sheet'!O73</f>
        <v>663.18371635523806</v>
      </c>
      <c r="P88" s="2">
        <f>P11/'Output-Calculation-sheet'!P10*'Output-Calculation-sheet'!P73</f>
        <v>0</v>
      </c>
      <c r="Q88" s="2">
        <f>Q11/'Output-Calculation-sheet'!Q10*'Output-Calculation-sheet'!Q73</f>
        <v>27.071817585966869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3.4488356637235627</v>
      </c>
      <c r="Y88" s="2">
        <f>Y11/'Output-Calculation-sheet'!Y10*'Output-Calculation-sheet'!Y73</f>
        <v>0</v>
      </c>
      <c r="AA88" s="2">
        <f t="shared" si="7"/>
        <v>1.9581933834453853</v>
      </c>
    </row>
    <row r="89" spans="1:27" x14ac:dyDescent="0.25">
      <c r="A89" s="2">
        <v>2035</v>
      </c>
      <c r="B89" s="2">
        <f>B12/'Output-Calculation-sheet'!B11*'Output-Calculation-sheet'!B74</f>
        <v>668.67156703611693</v>
      </c>
      <c r="C89" s="2">
        <f>C12/'Output-Calculation-sheet'!C11*'Output-Calculation-sheet'!C74</f>
        <v>2062.8818563342884</v>
      </c>
      <c r="D89" s="2">
        <f>D12/'Output-Calculation-sheet'!D11*'Output-Calculation-sheet'!D74</f>
        <v>281.1331853693361</v>
      </c>
      <c r="E89" s="2">
        <f>E12/'Output-Calculation-sheet'!E11*'Output-Calculation-sheet'!E74</f>
        <v>223.42589503356359</v>
      </c>
      <c r="F89" s="2">
        <f>F12/'Output-Calculation-sheet'!F11*'Output-Calculation-sheet'!F74</f>
        <v>70.259783424207868</v>
      </c>
      <c r="G89" s="2">
        <f>G12/'Output-Calculation-sheet'!G11*'Output-Calculation-sheet'!G74</f>
        <v>100.84851387600362</v>
      </c>
      <c r="H89" s="2">
        <f>H12/'Output-Calculation-sheet'!H11*'Output-Calculation-sheet'!H74</f>
        <v>244.23818536677857</v>
      </c>
      <c r="I89" s="2">
        <f>I12/'Output-Calculation-sheet'!I11*'Output-Calculation-sheet'!I74</f>
        <v>90.707217139818354</v>
      </c>
      <c r="J89" s="2">
        <f>J12/'Output-Calculation-sheet'!J11*'Output-Calculation-sheet'!J74</f>
        <v>44.885182120454438</v>
      </c>
      <c r="K89" s="2">
        <f>K12/'Output-Calculation-sheet'!K11*'Output-Calculation-sheet'!K74</f>
        <v>89.150916403254399</v>
      </c>
      <c r="L89" s="2">
        <f>L12/'Output-Calculation-sheet'!L11*'Output-Calculation-sheet'!L74</f>
        <v>70.88853676387626</v>
      </c>
      <c r="M89" s="2">
        <f>M12/'Output-Calculation-sheet'!M11*'Output-Calculation-sheet'!M74</f>
        <v>134.44781728577584</v>
      </c>
      <c r="N89" s="2">
        <f>N12/'Output-Calculation-sheet'!N11*'Output-Calculation-sheet'!N74</f>
        <v>99.105472908434962</v>
      </c>
      <c r="O89" s="2">
        <f>O12/'Output-Calculation-sheet'!O11*'Output-Calculation-sheet'!O74</f>
        <v>801.52489692942481</v>
      </c>
      <c r="P89" s="2">
        <f>P12/'Output-Calculation-sheet'!P11*'Output-Calculation-sheet'!P74</f>
        <v>61.037066482250879</v>
      </c>
      <c r="Q89" s="2">
        <f>Q12/'Output-Calculation-sheet'!Q11*'Output-Calculation-sheet'!Q74</f>
        <v>86.831303493680025</v>
      </c>
      <c r="R89" s="2">
        <f>R12/'Output-Calculation-sheet'!R11*'Output-Calculation-sheet'!R74</f>
        <v>57.406285432252041</v>
      </c>
      <c r="S89" s="2">
        <f>S12/'Output-Calculation-sheet'!S11*'Output-Calculation-sheet'!S74</f>
        <v>56.810524141056135</v>
      </c>
      <c r="T89" s="2">
        <f>T12/'Output-Calculation-sheet'!T11*'Output-Calculation-sheet'!T74</f>
        <v>10.619154311178541</v>
      </c>
      <c r="U89" s="2">
        <f>U12/'Output-Calculation-sheet'!U11*'Output-Calculation-sheet'!U74</f>
        <v>18.469660876928387</v>
      </c>
      <c r="V89" s="2">
        <f>V12/'Output-Calculation-sheet'!V11*'Output-Calculation-sheet'!V74</f>
        <v>7.1208918208257073</v>
      </c>
      <c r="W89" s="2">
        <f>W12/'Output-Calculation-sheet'!W11*'Output-Calculation-sheet'!W74</f>
        <v>6.1661568112539946</v>
      </c>
      <c r="X89" s="2">
        <f>X12/'Output-Calculation-sheet'!X11*'Output-Calculation-sheet'!X74</f>
        <v>22.12388549572983</v>
      </c>
      <c r="Y89" s="2">
        <f>Y12/'Output-Calculation-sheet'!Y11*'Output-Calculation-sheet'!Y74</f>
        <v>7.116653283739212</v>
      </c>
      <c r="AA89" s="2">
        <f t="shared" si="7"/>
        <v>5.3158706081402292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1746307870.1857948</v>
      </c>
      <c r="C93" s="2">
        <f>C5/'Output-Calculation-sheet'!C4*'Output-Calculation-sheet'!C76</f>
        <v>578541946.62522089</v>
      </c>
      <c r="D93" s="2">
        <f>D5/'Output-Calculation-sheet'!D4*'Output-Calculation-sheet'!D76</f>
        <v>640394265.03362298</v>
      </c>
      <c r="E93" s="2">
        <f>E5/'Output-Calculation-sheet'!E4*'Output-Calculation-sheet'!E76</f>
        <v>1071576614.988668</v>
      </c>
      <c r="F93" s="2">
        <f>F5/'Output-Calculation-sheet'!F4*'Output-Calculation-sheet'!F76</f>
        <v>460433011.2688815</v>
      </c>
      <c r="G93" s="2">
        <f>G5/'Output-Calculation-sheet'!G4*'Output-Calculation-sheet'!G76</f>
        <v>358103295.88826829</v>
      </c>
      <c r="H93" s="2">
        <f>H5/'Output-Calculation-sheet'!H4*'Output-Calculation-sheet'!H76</f>
        <v>302914723.3836695</v>
      </c>
      <c r="I93" s="2">
        <f>I5/'Output-Calculation-sheet'!I4*'Output-Calculation-sheet'!I76</f>
        <v>248563717.39396125</v>
      </c>
      <c r="J93" s="2">
        <f>J5/'Output-Calculation-sheet'!J4*'Output-Calculation-sheet'!J76</f>
        <v>168672512.46713123</v>
      </c>
      <c r="K93" s="2">
        <f>K5/'Output-Calculation-sheet'!K4*'Output-Calculation-sheet'!K76</f>
        <v>246524827.21847776</v>
      </c>
      <c r="L93" s="2">
        <f>L5/'Output-Calculation-sheet'!L4*'Output-Calculation-sheet'!L76</f>
        <v>164557116.30105281</v>
      </c>
      <c r="M93" s="2">
        <f>M5/'Output-Calculation-sheet'!M4*'Output-Calculation-sheet'!M76</f>
        <v>221299499.61088344</v>
      </c>
      <c r="N93" s="2">
        <f>N5/'Output-Calculation-sheet'!N4*'Output-Calculation-sheet'!N76</f>
        <v>167107072.17643422</v>
      </c>
      <c r="O93" s="2">
        <f>O5/'Output-Calculation-sheet'!O4*'Output-Calculation-sheet'!O76</f>
        <v>81562910.696286768</v>
      </c>
      <c r="P93" s="2">
        <f>P5/'Output-Calculation-sheet'!P4*'Output-Calculation-sheet'!P76</f>
        <v>289538873.16679019</v>
      </c>
      <c r="Q93" s="2">
        <f>Q5/'Output-Calculation-sheet'!Q4*'Output-Calculation-sheet'!Q76</f>
        <v>132926224.10079931</v>
      </c>
      <c r="R93" s="2">
        <f>R5/'Output-Calculation-sheet'!R4*'Output-Calculation-sheet'!R76</f>
        <v>166327153.39424601</v>
      </c>
      <c r="S93" s="2">
        <f>S5/'Output-Calculation-sheet'!S4*'Output-Calculation-sheet'!S76</f>
        <v>97989264.861312062</v>
      </c>
      <c r="T93" s="2">
        <f>T5/'Output-Calculation-sheet'!T4*'Output-Calculation-sheet'!T76</f>
        <v>75350538.018404737</v>
      </c>
      <c r="U93" s="2">
        <f>U5/'Output-Calculation-sheet'!U4*'Output-Calculation-sheet'!U76</f>
        <v>48849334.318540476</v>
      </c>
      <c r="V93" s="2">
        <f>V5/'Output-Calculation-sheet'!V4*'Output-Calculation-sheet'!V76</f>
        <v>25038656.460300475</v>
      </c>
      <c r="W93" s="2">
        <f>W5/'Output-Calculation-sheet'!W4*'Output-Calculation-sheet'!W76</f>
        <v>70136618.249221653</v>
      </c>
      <c r="X93" s="2">
        <f>X5/'Output-Calculation-sheet'!X4*'Output-Calculation-sheet'!X76</f>
        <v>24342626.371006861</v>
      </c>
      <c r="Y93" s="2">
        <f>Y5/'Output-Calculation-sheet'!Y4*'Output-Calculation-sheet'!Y76</f>
        <v>38342432.107863858</v>
      </c>
      <c r="AA93" s="2">
        <f t="shared" ref="AA93:AA100" si="8">SUM(B93:Y93)/10^9</f>
        <v>7.4254011042868413</v>
      </c>
    </row>
    <row r="94" spans="1:27" x14ac:dyDescent="0.25">
      <c r="A94" s="2">
        <v>2029</v>
      </c>
      <c r="B94" s="2">
        <f>B6/'Output-Calculation-sheet'!B5*'Output-Calculation-sheet'!B77</f>
        <v>4770275577.2046194</v>
      </c>
      <c r="C94" s="2">
        <f>C6/'Output-Calculation-sheet'!C5*'Output-Calculation-sheet'!C77</f>
        <v>1591100093.4583569</v>
      </c>
      <c r="D94" s="2">
        <f>D6/'Output-Calculation-sheet'!D5*'Output-Calculation-sheet'!D77</f>
        <v>1750628612.8903368</v>
      </c>
      <c r="E94" s="2">
        <f>E6/'Output-Calculation-sheet'!E5*'Output-Calculation-sheet'!E77</f>
        <v>2977423307.6058097</v>
      </c>
      <c r="F94" s="2">
        <f>F6/'Output-Calculation-sheet'!F5*'Output-Calculation-sheet'!F77</f>
        <v>1257121185.293328</v>
      </c>
      <c r="G94" s="2">
        <f>G6/'Output-Calculation-sheet'!G5*'Output-Calculation-sheet'!G77</f>
        <v>991348660.76990867</v>
      </c>
      <c r="H94" s="2">
        <f>H6/'Output-Calculation-sheet'!H5*'Output-Calculation-sheet'!H77</f>
        <v>833219066.76802337</v>
      </c>
      <c r="I94" s="2">
        <f>I6/'Output-Calculation-sheet'!I5*'Output-Calculation-sheet'!I77</f>
        <v>677018760.81268287</v>
      </c>
      <c r="J94" s="2">
        <f>J6/'Output-Calculation-sheet'!J5*'Output-Calculation-sheet'!J77</f>
        <v>465106722.47048736</v>
      </c>
      <c r="K94" s="2">
        <f>K6/'Output-Calculation-sheet'!K5*'Output-Calculation-sheet'!K77</f>
        <v>670122308.02897418</v>
      </c>
      <c r="L94" s="2">
        <f>L6/'Output-Calculation-sheet'!L5*'Output-Calculation-sheet'!L77</f>
        <v>452892172.54127854</v>
      </c>
      <c r="M94" s="2">
        <f>M6/'Output-Calculation-sheet'!M5*'Output-Calculation-sheet'!M77</f>
        <v>614123907.08887005</v>
      </c>
      <c r="N94" s="2">
        <f>N6/'Output-Calculation-sheet'!N5*'Output-Calculation-sheet'!N77</f>
        <v>464588570.8688699</v>
      </c>
      <c r="O94" s="2">
        <f>O6/'Output-Calculation-sheet'!O5*'Output-Calculation-sheet'!O77</f>
        <v>228179734.14081442</v>
      </c>
      <c r="P94" s="2">
        <f>P6/'Output-Calculation-sheet'!P5*'Output-Calculation-sheet'!P77</f>
        <v>794528531.37577534</v>
      </c>
      <c r="Q94" s="2">
        <f>Q6/'Output-Calculation-sheet'!Q5*'Output-Calculation-sheet'!Q77</f>
        <v>367041568.51426083</v>
      </c>
      <c r="R94" s="2">
        <f>R6/'Output-Calculation-sheet'!R5*'Output-Calculation-sheet'!R77</f>
        <v>455701352.96848524</v>
      </c>
      <c r="S94" s="2">
        <f>S6/'Output-Calculation-sheet'!S5*'Output-Calculation-sheet'!S77</f>
        <v>267570625.38094619</v>
      </c>
      <c r="T94" s="2">
        <f>T6/'Output-Calculation-sheet'!T5*'Output-Calculation-sheet'!T77</f>
        <v>206404423.76007929</v>
      </c>
      <c r="U94" s="2">
        <f>U6/'Output-Calculation-sheet'!U5*'Output-Calculation-sheet'!U77</f>
        <v>130657353.90778957</v>
      </c>
      <c r="V94" s="2">
        <f>V6/'Output-Calculation-sheet'!V5*'Output-Calculation-sheet'!V77</f>
        <v>67017490.588205159</v>
      </c>
      <c r="W94" s="2">
        <f>W6/'Output-Calculation-sheet'!W5*'Output-Calculation-sheet'!W77</f>
        <v>194465251.02513176</v>
      </c>
      <c r="X94" s="2">
        <f>X6/'Output-Calculation-sheet'!X5*'Output-Calculation-sheet'!X77</f>
        <v>67250053.937438741</v>
      </c>
      <c r="Y94" s="2">
        <f>Y6/'Output-Calculation-sheet'!Y5*'Output-Calculation-sheet'!Y77</f>
        <v>106626120.53622364</v>
      </c>
      <c r="AA94" s="2">
        <f t="shared" si="8"/>
        <v>20.400411451936694</v>
      </c>
    </row>
    <row r="95" spans="1:27" x14ac:dyDescent="0.25">
      <c r="A95" s="2">
        <v>2030</v>
      </c>
      <c r="B95" s="2">
        <f>B7/'Output-Calculation-sheet'!B6*'Output-Calculation-sheet'!B78</f>
        <v>8892559045.1044922</v>
      </c>
      <c r="C95" s="2">
        <f>C7/'Output-Calculation-sheet'!C6*'Output-Calculation-sheet'!C78</f>
        <v>2985933559.8056378</v>
      </c>
      <c r="D95" s="2">
        <f>D7/'Output-Calculation-sheet'!D6*'Output-Calculation-sheet'!D78</f>
        <v>3268827217.0194545</v>
      </c>
      <c r="E95" s="2">
        <f>E7/'Output-Calculation-sheet'!E6*'Output-Calculation-sheet'!E78</f>
        <v>5650981527.1223888</v>
      </c>
      <c r="F95" s="2">
        <f>F7/'Output-Calculation-sheet'!F6*'Output-Calculation-sheet'!F78</f>
        <v>2343002848.2167053</v>
      </c>
      <c r="G95" s="2">
        <f>G7/'Output-Calculation-sheet'!G6*'Output-Calculation-sheet'!G78</f>
        <v>1874489713.9958615</v>
      </c>
      <c r="H95" s="2">
        <f>H7/'Output-Calculation-sheet'!H6*'Output-Calculation-sheet'!H78</f>
        <v>1564419833.8031774</v>
      </c>
      <c r="I95" s="2">
        <f>I7/'Output-Calculation-sheet'!I6*'Output-Calculation-sheet'!I78</f>
        <v>1259019779.9378614</v>
      </c>
      <c r="J95" s="2">
        <f>J7/'Output-Calculation-sheet'!J6*'Output-Calculation-sheet'!J78</f>
        <v>876095116.92525661</v>
      </c>
      <c r="K95" s="2">
        <f>K7/'Output-Calculation-sheet'!K6*'Output-Calculation-sheet'!K78</f>
        <v>1243590812.6081772</v>
      </c>
      <c r="L95" s="2">
        <f>L7/'Output-Calculation-sheet'!L6*'Output-Calculation-sheet'!L78</f>
        <v>851079571.54020834</v>
      </c>
      <c r="M95" s="2">
        <f>M7/'Output-Calculation-sheet'!M6*'Output-Calculation-sheet'!M78</f>
        <v>1163971082.2983732</v>
      </c>
      <c r="N95" s="2">
        <f>N7/'Output-Calculation-sheet'!N6*'Output-Calculation-sheet'!N78</f>
        <v>882305926.62456155</v>
      </c>
      <c r="O95" s="2">
        <f>O7/'Output-Calculation-sheet'!O6*'Output-Calculation-sheet'!O78</f>
        <v>435937745.82001567</v>
      </c>
      <c r="P95" s="2">
        <f>P7/'Output-Calculation-sheet'!P6*'Output-Calculation-sheet'!P78</f>
        <v>1487991365.3855639</v>
      </c>
      <c r="Q95" s="2">
        <f>Q7/'Output-Calculation-sheet'!Q6*'Output-Calculation-sheet'!Q78</f>
        <v>692201199.27202606</v>
      </c>
      <c r="R95" s="2">
        <f>R7/'Output-Calculation-sheet'!R6*'Output-Calculation-sheet'!R78</f>
        <v>852244551.31309211</v>
      </c>
      <c r="S95" s="2">
        <f>S7/'Output-Calculation-sheet'!S6*'Output-Calculation-sheet'!S78</f>
        <v>498661559.7766993</v>
      </c>
      <c r="T95" s="2">
        <f>T7/'Output-Calculation-sheet'!T6*'Output-Calculation-sheet'!T78</f>
        <v>386005742.14735484</v>
      </c>
      <c r="U95" s="2">
        <f>U7/'Output-Calculation-sheet'!U6*'Output-Calculation-sheet'!U78</f>
        <v>238292344.47321224</v>
      </c>
      <c r="V95" s="2">
        <f>V7/'Output-Calculation-sheet'!V6*'Output-Calculation-sheet'!V78</f>
        <v>122295661.34855743</v>
      </c>
      <c r="W95" s="2">
        <f>W7/'Output-Calculation-sheet'!W6*'Output-Calculation-sheet'!W78</f>
        <v>368281452.9223249</v>
      </c>
      <c r="X95" s="2">
        <f>X7/'Output-Calculation-sheet'!X6*'Output-Calculation-sheet'!X78</f>
        <v>126898945.5492972</v>
      </c>
      <c r="Y95" s="2">
        <f>Y7/'Output-Calculation-sheet'!Y6*'Output-Calculation-sheet'!Y78</f>
        <v>202539160.57501948</v>
      </c>
      <c r="AA95" s="2">
        <f t="shared" si="8"/>
        <v>38.267625763585322</v>
      </c>
    </row>
    <row r="96" spans="1:27" x14ac:dyDescent="0.25">
      <c r="A96" s="2">
        <v>2031</v>
      </c>
      <c r="B96" s="2">
        <f>B8/'Output-Calculation-sheet'!B7*'Output-Calculation-sheet'!B79</f>
        <v>14235070255.585815</v>
      </c>
      <c r="C96" s="2">
        <f>C8/'Output-Calculation-sheet'!C7*'Output-Calculation-sheet'!C79</f>
        <v>4815788963.5253592</v>
      </c>
      <c r="D96" s="2">
        <f>D8/'Output-Calculation-sheet'!D7*'Output-Calculation-sheet'!D79</f>
        <v>5027366521.1421747</v>
      </c>
      <c r="E96" s="2">
        <f>E8/'Output-Calculation-sheet'!E7*'Output-Calculation-sheet'!E79</f>
        <v>8938229619.8592834</v>
      </c>
      <c r="F96" s="2">
        <f>F8/'Output-Calculation-sheet'!F7*'Output-Calculation-sheet'!F79</f>
        <v>3699445160.5769501</v>
      </c>
      <c r="G96" s="2">
        <f>G8/'Output-Calculation-sheet'!G7*'Output-Calculation-sheet'!G79</f>
        <v>2881563584.0389795</v>
      </c>
      <c r="H96" s="2">
        <f>H8/'Output-Calculation-sheet'!H7*'Output-Calculation-sheet'!H79</f>
        <v>2466455690.7650089</v>
      </c>
      <c r="I96" s="2">
        <f>I8/'Output-Calculation-sheet'!I7*'Output-Calculation-sheet'!I79</f>
        <v>2007315383.2330143</v>
      </c>
      <c r="J96" s="2">
        <f>J8/'Output-Calculation-sheet'!J7*'Output-Calculation-sheet'!J79</f>
        <v>1357398510.0126991</v>
      </c>
      <c r="K96" s="2">
        <f>K8/'Output-Calculation-sheet'!K7*'Output-Calculation-sheet'!K79</f>
        <v>1942032349.1508298</v>
      </c>
      <c r="L96" s="2">
        <f>L8/'Output-Calculation-sheet'!L7*'Output-Calculation-sheet'!L79</f>
        <v>1370296335.7420073</v>
      </c>
      <c r="M96" s="2">
        <f>M8/'Output-Calculation-sheet'!M7*'Output-Calculation-sheet'!M79</f>
        <v>1841161471.5283206</v>
      </c>
      <c r="N96" s="2">
        <f>N8/'Output-Calculation-sheet'!N7*'Output-Calculation-sheet'!N79</f>
        <v>1369970768.942214</v>
      </c>
      <c r="O96" s="2">
        <f>O8/'Output-Calculation-sheet'!O7*'Output-Calculation-sheet'!O79</f>
        <v>692567145.5204854</v>
      </c>
      <c r="P96" s="2">
        <f>P8/'Output-Calculation-sheet'!P7*'Output-Calculation-sheet'!P79</f>
        <v>2316491846.4578929</v>
      </c>
      <c r="Q96" s="2">
        <f>Q8/'Output-Calculation-sheet'!Q7*'Output-Calculation-sheet'!Q79</f>
        <v>1079584282.6017506</v>
      </c>
      <c r="R96" s="2">
        <f>R8/'Output-Calculation-sheet'!R7*'Output-Calculation-sheet'!R79</f>
        <v>1346909726.8468456</v>
      </c>
      <c r="S96" s="2">
        <f>S8/'Output-Calculation-sheet'!S7*'Output-Calculation-sheet'!S79</f>
        <v>784822482.38690579</v>
      </c>
      <c r="T96" s="2">
        <f>T8/'Output-Calculation-sheet'!T7*'Output-Calculation-sheet'!T79</f>
        <v>599423700.11310279</v>
      </c>
      <c r="U96" s="2">
        <f>U8/'Output-Calculation-sheet'!U7*'Output-Calculation-sheet'!U79</f>
        <v>376542562.6908434</v>
      </c>
      <c r="V96" s="2">
        <f>V8/'Output-Calculation-sheet'!V7*'Output-Calculation-sheet'!V79</f>
        <v>195369917.26023108</v>
      </c>
      <c r="W96" s="2">
        <f>W8/'Output-Calculation-sheet'!W7*'Output-Calculation-sheet'!W79</f>
        <v>577302266.32085562</v>
      </c>
      <c r="X96" s="2">
        <f>X8/'Output-Calculation-sheet'!X7*'Output-Calculation-sheet'!X79</f>
        <v>202905409.24248821</v>
      </c>
      <c r="Y96" s="2">
        <f>Y8/'Output-Calculation-sheet'!Y7*'Output-Calculation-sheet'!Y79</f>
        <v>317341262.17475873</v>
      </c>
      <c r="AA96" s="2">
        <f t="shared" si="8"/>
        <v>60.441355215718829</v>
      </c>
    </row>
    <row r="97" spans="1:27" x14ac:dyDescent="0.25">
      <c r="A97" s="2">
        <v>2032</v>
      </c>
      <c r="B97" s="2">
        <f>B9/'Output-Calculation-sheet'!B8*'Output-Calculation-sheet'!B80</f>
        <v>20401787901.65786</v>
      </c>
      <c r="C97" s="2">
        <f>C9/'Output-Calculation-sheet'!C8*'Output-Calculation-sheet'!C80</f>
        <v>6948958929.4750156</v>
      </c>
      <c r="D97" s="2">
        <f>D9/'Output-Calculation-sheet'!D8*'Output-Calculation-sheet'!D80</f>
        <v>6923961140.4741716</v>
      </c>
      <c r="E97" s="2">
        <f>E9/'Output-Calculation-sheet'!E8*'Output-Calculation-sheet'!E80</f>
        <v>12662889089.734468</v>
      </c>
      <c r="F97" s="2">
        <f>F9/'Output-Calculation-sheet'!F8*'Output-Calculation-sheet'!F80</f>
        <v>5231040508.6455097</v>
      </c>
      <c r="G97" s="2">
        <f>G9/'Output-Calculation-sheet'!G8*'Output-Calculation-sheet'!G80</f>
        <v>3959610269.9330621</v>
      </c>
      <c r="H97" s="2">
        <f>H9/'Output-Calculation-sheet'!H8*'Output-Calculation-sheet'!H80</f>
        <v>3483657266.5884109</v>
      </c>
      <c r="I97" s="2">
        <f>I9/'Output-Calculation-sheet'!I8*'Output-Calculation-sheet'!I80</f>
        <v>2865631393.5744081</v>
      </c>
      <c r="J97" s="2">
        <f>J9/'Output-Calculation-sheet'!J8*'Output-Calculation-sheet'!J80</f>
        <v>1883888142.2763453</v>
      </c>
      <c r="K97" s="2">
        <f>K9/'Output-Calculation-sheet'!K8*'Output-Calculation-sheet'!K80</f>
        <v>2716021680.6348867</v>
      </c>
      <c r="L97" s="2">
        <f>L9/'Output-Calculation-sheet'!L8*'Output-Calculation-sheet'!L80</f>
        <v>1976813870.0364268</v>
      </c>
      <c r="M97" s="2">
        <f>M9/'Output-Calculation-sheet'!M8*'Output-Calculation-sheet'!M80</f>
        <v>2608184744.3240414</v>
      </c>
      <c r="N97" s="2">
        <f>N9/'Output-Calculation-sheet'!N8*'Output-Calculation-sheet'!N80</f>
        <v>1905627674.0451024</v>
      </c>
      <c r="O97" s="2">
        <f>O9/'Output-Calculation-sheet'!O8*'Output-Calculation-sheet'!O80</f>
        <v>985846950.84144866</v>
      </c>
      <c r="P97" s="2">
        <f>P9/'Output-Calculation-sheet'!P8*'Output-Calculation-sheet'!P80</f>
        <v>3225505844.5708733</v>
      </c>
      <c r="Q97" s="2">
        <f>Q9/'Output-Calculation-sheet'!Q8*'Output-Calculation-sheet'!Q80</f>
        <v>1508767944.9210727</v>
      </c>
      <c r="R97" s="2">
        <f>R9/'Output-Calculation-sheet'!R8*'Output-Calculation-sheet'!R80</f>
        <v>1906324453.224967</v>
      </c>
      <c r="S97" s="2">
        <f>S9/'Output-Calculation-sheet'!S8*'Output-Calculation-sheet'!S80</f>
        <v>1106425196.4051719</v>
      </c>
      <c r="T97" s="2">
        <f>T9/'Output-Calculation-sheet'!T8*'Output-Calculation-sheet'!T80</f>
        <v>833177084.8401078</v>
      </c>
      <c r="U97" s="2">
        <f>U9/'Output-Calculation-sheet'!U8*'Output-Calculation-sheet'!U80</f>
        <v>532644134.92244649</v>
      </c>
      <c r="V97" s="2">
        <f>V9/'Output-Calculation-sheet'!V8*'Output-Calculation-sheet'!V80</f>
        <v>279286841.17416865</v>
      </c>
      <c r="W97" s="2">
        <f>W9/'Output-Calculation-sheet'!W8*'Output-Calculation-sheet'!W80</f>
        <v>808820088.43809748</v>
      </c>
      <c r="X97" s="2">
        <f>X9/'Output-Calculation-sheet'!X8*'Output-Calculation-sheet'!X80</f>
        <v>290444464.13166571</v>
      </c>
      <c r="Y97" s="2">
        <f>Y9/'Output-Calculation-sheet'!Y8*'Output-Calculation-sheet'!Y80</f>
        <v>444579875.38001388</v>
      </c>
      <c r="AA97" s="2">
        <f t="shared" si="8"/>
        <v>85.489895490249708</v>
      </c>
    </row>
    <row r="98" spans="1:27" x14ac:dyDescent="0.25">
      <c r="A98" s="2">
        <v>2033</v>
      </c>
      <c r="B98" s="2">
        <f>B10/'Output-Calculation-sheet'!B9*'Output-Calculation-sheet'!B81</f>
        <v>27086833778.147697</v>
      </c>
      <c r="C98" s="2">
        <f>C10/'Output-Calculation-sheet'!C9*'Output-Calculation-sheet'!C81</f>
        <v>9286709820.1319351</v>
      </c>
      <c r="D98" s="2">
        <f>D10/'Output-Calculation-sheet'!D9*'Output-Calculation-sheet'!D81</f>
        <v>8838119244.6674671</v>
      </c>
      <c r="E98" s="2">
        <f>E10/'Output-Calculation-sheet'!E9*'Output-Calculation-sheet'!E81</f>
        <v>16625058391.261904</v>
      </c>
      <c r="F98" s="2">
        <f>F10/'Output-Calculation-sheet'!F9*'Output-Calculation-sheet'!F81</f>
        <v>6856575926.2179203</v>
      </c>
      <c r="G98" s="2">
        <f>G10/'Output-Calculation-sheet'!G9*'Output-Calculation-sheet'!G81</f>
        <v>5034307829.6305389</v>
      </c>
      <c r="H98" s="2">
        <f>H10/'Output-Calculation-sheet'!H9*'Output-Calculation-sheet'!H81</f>
        <v>4561124025.1784391</v>
      </c>
      <c r="I98" s="2">
        <f>I10/'Output-Calculation-sheet'!I9*'Output-Calculation-sheet'!I81</f>
        <v>3791640627.4904613</v>
      </c>
      <c r="J98" s="2">
        <f>J10/'Output-Calculation-sheet'!J9*'Output-Calculation-sheet'!J81</f>
        <v>2424470584.229496</v>
      </c>
      <c r="K98" s="2">
        <f>K10/'Output-Calculation-sheet'!K9*'Output-Calculation-sheet'!K81</f>
        <v>3521639670.4538755</v>
      </c>
      <c r="L98" s="2">
        <f>L10/'Output-Calculation-sheet'!L9*'Output-Calculation-sheet'!L81</f>
        <v>2641282467.771071</v>
      </c>
      <c r="M98" s="2">
        <f>M10/'Output-Calculation-sheet'!M9*'Output-Calculation-sheet'!M81</f>
        <v>3425212638.4451561</v>
      </c>
      <c r="N98" s="2">
        <f>N10/'Output-Calculation-sheet'!N9*'Output-Calculation-sheet'!N81</f>
        <v>2457322815.2342739</v>
      </c>
      <c r="O98" s="2">
        <f>O10/'Output-Calculation-sheet'!O9*'Output-Calculation-sheet'!O81</f>
        <v>1301291258.4892771</v>
      </c>
      <c r="P98" s="2">
        <f>P10/'Output-Calculation-sheet'!P9*'Output-Calculation-sheet'!P81</f>
        <v>4158549298.4804735</v>
      </c>
      <c r="Q98" s="2">
        <f>Q10/'Output-Calculation-sheet'!Q9*'Output-Calculation-sheet'!Q81</f>
        <v>1955244458.4715743</v>
      </c>
      <c r="R98" s="2">
        <f>R10/'Output-Calculation-sheet'!R9*'Output-Calculation-sheet'!R81</f>
        <v>2501053467.8367772</v>
      </c>
      <c r="S98" s="2">
        <f>S10/'Output-Calculation-sheet'!S9*'Output-Calculation-sheet'!S81</f>
        <v>1446054188.9584732</v>
      </c>
      <c r="T98" s="2">
        <f>T10/'Output-Calculation-sheet'!T9*'Output-Calculation-sheet'!T81</f>
        <v>1073031698.2941757</v>
      </c>
      <c r="U98" s="2">
        <f>U10/'Output-Calculation-sheet'!U9*'Output-Calculation-sheet'!U81</f>
        <v>698184015.89391994</v>
      </c>
      <c r="V98" s="2">
        <f>V10/'Output-Calculation-sheet'!V9*'Output-Calculation-sheet'!V81</f>
        <v>369770012.07313049</v>
      </c>
      <c r="W98" s="2">
        <f>W10/'Output-Calculation-sheet'!W9*'Output-Calculation-sheet'!W81</f>
        <v>1048425554.9957309</v>
      </c>
      <c r="X98" s="2">
        <f>X10/'Output-Calculation-sheet'!X9*'Output-Calculation-sheet'!X81</f>
        <v>385264671.06761038</v>
      </c>
      <c r="Y98" s="2">
        <f>Y10/'Output-Calculation-sheet'!Y9*'Output-Calculation-sheet'!Y81</f>
        <v>576489297.84451497</v>
      </c>
      <c r="AA98" s="2">
        <f t="shared" si="8"/>
        <v>112.06365574126589</v>
      </c>
    </row>
    <row r="99" spans="1:27" x14ac:dyDescent="0.25">
      <c r="A99" s="2">
        <v>2034</v>
      </c>
      <c r="B99" s="2">
        <f>B11/'Output-Calculation-sheet'!B10*'Output-Calculation-sheet'!B82</f>
        <v>34222377931.979671</v>
      </c>
      <c r="C99" s="2">
        <f>C11/'Output-Calculation-sheet'!C10*'Output-Calculation-sheet'!C82</f>
        <v>11808124454.781647</v>
      </c>
      <c r="D99" s="2">
        <f>D11/'Output-Calculation-sheet'!D10*'Output-Calculation-sheet'!D82</f>
        <v>10742071816.199043</v>
      </c>
      <c r="E99" s="2">
        <f>E11/'Output-Calculation-sheet'!E10*'Output-Calculation-sheet'!E82</f>
        <v>20779595967.544029</v>
      </c>
      <c r="F99" s="2">
        <f>F11/'Output-Calculation-sheet'!F10*'Output-Calculation-sheet'!F82</f>
        <v>8558050811.5349283</v>
      </c>
      <c r="G99" s="2">
        <f>G11/'Output-Calculation-sheet'!G10*'Output-Calculation-sheet'!G82</f>
        <v>6084165133.5813475</v>
      </c>
      <c r="H99" s="2">
        <f>H11/'Output-Calculation-sheet'!H10*'Output-Calculation-sheet'!H82</f>
        <v>5686756953.8307762</v>
      </c>
      <c r="I99" s="2">
        <f>I11/'Output-Calculation-sheet'!I10*'Output-Calculation-sheet'!I82</f>
        <v>4776479946.7461958</v>
      </c>
      <c r="J99" s="2">
        <f>J11/'Output-Calculation-sheet'!J10*'Output-Calculation-sheet'!J82</f>
        <v>2972401644.0525069</v>
      </c>
      <c r="K99" s="2">
        <f>K11/'Output-Calculation-sheet'!K10*'Output-Calculation-sheet'!K82</f>
        <v>4349013664.0846596</v>
      </c>
      <c r="L99" s="2">
        <f>L11/'Output-Calculation-sheet'!L10*'Output-Calculation-sheet'!L82</f>
        <v>3357756589.3747258</v>
      </c>
      <c r="M99" s="2">
        <f>M11/'Output-Calculation-sheet'!M10*'Output-Calculation-sheet'!M82</f>
        <v>4283728607.2750869</v>
      </c>
      <c r="N99" s="2">
        <f>N11/'Output-Calculation-sheet'!N10*'Output-Calculation-sheet'!N82</f>
        <v>3017890806.4329062</v>
      </c>
      <c r="O99" s="2">
        <f>O11/'Output-Calculation-sheet'!O10*'Output-Calculation-sheet'!O82</f>
        <v>1636150061.8646338</v>
      </c>
      <c r="P99" s="2">
        <f>P11/'Output-Calculation-sheet'!P10*'Output-Calculation-sheet'!P82</f>
        <v>5100250397.8721189</v>
      </c>
      <c r="Q99" s="2">
        <f>Q11/'Output-Calculation-sheet'!Q10*'Output-Calculation-sheet'!Q82</f>
        <v>2413758990.7640195</v>
      </c>
      <c r="R99" s="2">
        <f>R11/'Output-Calculation-sheet'!R10*'Output-Calculation-sheet'!R82</f>
        <v>3124599850.8602304</v>
      </c>
      <c r="S99" s="2">
        <f>S11/'Output-Calculation-sheet'!S10*'Output-Calculation-sheet'!S82</f>
        <v>1799856866.9756751</v>
      </c>
      <c r="T99" s="2">
        <f>T11/'Output-Calculation-sheet'!T10*'Output-Calculation-sheet'!T82</f>
        <v>1315484941.7523463</v>
      </c>
      <c r="U99" s="2">
        <f>U11/'Output-Calculation-sheet'!U10*'Output-Calculation-sheet'!U82</f>
        <v>871140646.57846761</v>
      </c>
      <c r="V99" s="2">
        <f>V11/'Output-Calculation-sheet'!V10*'Output-Calculation-sheet'!V82</f>
        <v>465788042.85220855</v>
      </c>
      <c r="W99" s="2">
        <f>W11/'Output-Calculation-sheet'!W10*'Output-Calculation-sheet'!W82</f>
        <v>1291646550.9130182</v>
      </c>
      <c r="X99" s="2">
        <f>X11/'Output-Calculation-sheet'!X10*'Output-Calculation-sheet'!X82</f>
        <v>486469651.52589881</v>
      </c>
      <c r="Y99" s="2">
        <f>Y11/'Output-Calculation-sheet'!Y10*'Output-Calculation-sheet'!Y82</f>
        <v>710815265.79820585</v>
      </c>
      <c r="AA99" s="2">
        <f t="shared" si="8"/>
        <v>139.85437559517439</v>
      </c>
    </row>
    <row r="100" spans="1:27" x14ac:dyDescent="0.25">
      <c r="A100" s="2">
        <v>2035</v>
      </c>
      <c r="B100" s="2">
        <f>B12/'Output-Calculation-sheet'!B11*'Output-Calculation-sheet'!B83</f>
        <v>41805212636.784622</v>
      </c>
      <c r="C100" s="2">
        <f>C12/'Output-Calculation-sheet'!C11*'Output-Calculation-sheet'!C83</f>
        <v>14514090811.749069</v>
      </c>
      <c r="D100" s="2">
        <f>D12/'Output-Calculation-sheet'!D11*'Output-Calculation-sheet'!D83</f>
        <v>12632655023.938482</v>
      </c>
      <c r="E100" s="2">
        <f>E12/'Output-Calculation-sheet'!E11*'Output-Calculation-sheet'!E83</f>
        <v>25123091253.164803</v>
      </c>
      <c r="F100" s="2">
        <f>F12/'Output-Calculation-sheet'!F11*'Output-Calculation-sheet'!F83</f>
        <v>10334638011.476898</v>
      </c>
      <c r="G100" s="2">
        <f>G12/'Output-Calculation-sheet'!G11*'Output-Calculation-sheet'!G83</f>
        <v>7101908662.3446827</v>
      </c>
      <c r="H100" s="2">
        <f>H12/'Output-Calculation-sheet'!H11*'Output-Calculation-sheet'!H83</f>
        <v>6859913027.6330023</v>
      </c>
      <c r="I100" s="2">
        <f>I12/'Output-Calculation-sheet'!I11*'Output-Calculation-sheet'!I83</f>
        <v>5820500709.4278641</v>
      </c>
      <c r="J100" s="2">
        <f>J12/'Output-Calculation-sheet'!J11*'Output-Calculation-sheet'!J83</f>
        <v>3527473947.1834335</v>
      </c>
      <c r="K100" s="2">
        <f>K12/'Output-Calculation-sheet'!K11*'Output-Calculation-sheet'!K83</f>
        <v>5197471681.0348101</v>
      </c>
      <c r="L100" s="2">
        <f>L12/'Output-Calculation-sheet'!L11*'Output-Calculation-sheet'!L83</f>
        <v>4126496157.9888391</v>
      </c>
      <c r="M100" s="2">
        <f>M12/'Output-Calculation-sheet'!M11*'Output-Calculation-sheet'!M83</f>
        <v>5183793571.6383982</v>
      </c>
      <c r="N100" s="2">
        <f>N12/'Output-Calculation-sheet'!N11*'Output-Calculation-sheet'!N83</f>
        <v>3586775722.765624</v>
      </c>
      <c r="O100" s="2">
        <f>O12/'Output-Calculation-sheet'!O11*'Output-Calculation-sheet'!O83</f>
        <v>1990888269.9181879</v>
      </c>
      <c r="P100" s="2">
        <f>P12/'Output-Calculation-sheet'!P11*'Output-Calculation-sheet'!P83</f>
        <v>6046469139.1313572</v>
      </c>
      <c r="Q100" s="2">
        <f>Q12/'Output-Calculation-sheet'!Q11*'Output-Calculation-sheet'!Q83</f>
        <v>2884193497.2866073</v>
      </c>
      <c r="R100" s="2">
        <f>R12/'Output-Calculation-sheet'!R11*'Output-Calculation-sheet'!R83</f>
        <v>3776690631.0453429</v>
      </c>
      <c r="S100" s="2">
        <f>S12/'Output-Calculation-sheet'!S11*'Output-Calculation-sheet'!S83</f>
        <v>2167626379.1275153</v>
      </c>
      <c r="T100" s="2">
        <f>T12/'Output-Calculation-sheet'!T11*'Output-Calculation-sheet'!T83</f>
        <v>1559939963.4115231</v>
      </c>
      <c r="U100" s="2">
        <f>U12/'Output-Calculation-sheet'!U11*'Output-Calculation-sheet'!U83</f>
        <v>1051222912.4034314</v>
      </c>
      <c r="V100" s="2">
        <f>V12/'Output-Calculation-sheet'!V11*'Output-Calculation-sheet'!V83</f>
        <v>567195838.83346474</v>
      </c>
      <c r="W100" s="2">
        <f>W12/'Output-Calculation-sheet'!W11*'Output-Calculation-sheet'!W83</f>
        <v>1536672871.858057</v>
      </c>
      <c r="X100" s="2">
        <f>X12/'Output-Calculation-sheet'!X11*'Output-Calculation-sheet'!X83</f>
        <v>594092328.48540819</v>
      </c>
      <c r="Y100" s="2">
        <f>Y12/'Output-Calculation-sheet'!Y11*'Output-Calculation-sheet'!Y83</f>
        <v>846798475.92154646</v>
      </c>
      <c r="AA100" s="2">
        <f t="shared" si="8"/>
        <v>168.83581152455298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34FB-F9BA-4C4B-8367-590C5B500664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113232851912.61148</v>
      </c>
      <c r="C8" s="2">
        <v>53361017782.036362</v>
      </c>
      <c r="D8" s="2">
        <v>47559092425.728462</v>
      </c>
      <c r="E8" s="2">
        <v>37733313695.378159</v>
      </c>
      <c r="F8" s="2">
        <v>24290288072.568779</v>
      </c>
      <c r="G8" s="2">
        <v>17067023028.749872</v>
      </c>
      <c r="H8" s="2">
        <v>16648225816.431158</v>
      </c>
      <c r="I8" s="2">
        <v>15549401447.47616</v>
      </c>
      <c r="J8" s="2">
        <v>15134713423.646673</v>
      </c>
      <c r="K8" s="2">
        <v>14989622995.367044</v>
      </c>
      <c r="L8" s="2">
        <v>12024870452.714918</v>
      </c>
      <c r="M8" s="2">
        <v>11485824535.869081</v>
      </c>
      <c r="N8" s="2">
        <v>11273303609.899086</v>
      </c>
      <c r="O8" s="2">
        <v>10368092094.753942</v>
      </c>
      <c r="P8" s="2">
        <v>10262604955.334274</v>
      </c>
      <c r="Q8" s="2">
        <v>10096744673.227861</v>
      </c>
      <c r="R8" s="2">
        <v>9713532784.4351025</v>
      </c>
      <c r="S8" s="2">
        <v>6456111480.9920874</v>
      </c>
      <c r="T8" s="2">
        <v>3570611127.6374855</v>
      </c>
      <c r="U8" s="2">
        <v>3109880289.4952369</v>
      </c>
      <c r="V8" s="2">
        <v>2394670020.5171242</v>
      </c>
      <c r="W8" s="2">
        <v>2073253526.3301561</v>
      </c>
      <c r="X8" s="2">
        <v>1243952115.7980945</v>
      </c>
      <c r="Y8" s="2">
        <v>1209730993.0924871</v>
      </c>
    </row>
    <row r="9" spans="1:27" x14ac:dyDescent="0.25">
      <c r="A9" s="2">
        <v>2032</v>
      </c>
      <c r="B9" s="2">
        <v>120757734320.87694</v>
      </c>
      <c r="C9" s="2">
        <v>56907121030.45649</v>
      </c>
      <c r="D9" s="2">
        <v>50719629071.256294</v>
      </c>
      <c r="E9" s="2">
        <v>40240878802.464272</v>
      </c>
      <c r="F9" s="2">
        <v>25904497715.102879</v>
      </c>
      <c r="G9" s="2">
        <v>18201211024.38224</v>
      </c>
      <c r="H9" s="2">
        <v>17754582668.341736</v>
      </c>
      <c r="I9" s="2">
        <v>16582735991.601858</v>
      </c>
      <c r="J9" s="2">
        <v>16140489899.926113</v>
      </c>
      <c r="K9" s="2">
        <v>15985757495.904217</v>
      </c>
      <c r="L9" s="2">
        <v>12823982500.172125</v>
      </c>
      <c r="M9" s="2">
        <v>12249114319.12993</v>
      </c>
      <c r="N9" s="2">
        <v>12022470327.722582</v>
      </c>
      <c r="O9" s="2">
        <v>11057103035.42425</v>
      </c>
      <c r="P9" s="2">
        <v>10944605754.457233</v>
      </c>
      <c r="Q9" s="2">
        <v>10767723237.213482</v>
      </c>
      <c r="R9" s="2">
        <v>10359045025.247652</v>
      </c>
      <c r="S9" s="2">
        <v>6885151983.7130747</v>
      </c>
      <c r="T9" s="2">
        <v>3807895876.7830086</v>
      </c>
      <c r="U9" s="2">
        <v>3316547198.3203764</v>
      </c>
      <c r="V9" s="2">
        <v>2553807673.6506577</v>
      </c>
      <c r="W9" s="2">
        <v>2211031465.546916</v>
      </c>
      <c r="X9" s="2">
        <v>1326618879.3281503</v>
      </c>
      <c r="Y9" s="2">
        <v>1290123593.9578309</v>
      </c>
    </row>
    <row r="10" spans="1:27" x14ac:dyDescent="0.25">
      <c r="A10" s="2">
        <v>2033</v>
      </c>
      <c r="B10" s="2">
        <v>118244473119.52695</v>
      </c>
      <c r="C10" s="2">
        <v>55722745883.218826</v>
      </c>
      <c r="D10" s="2">
        <v>49664030631.880684</v>
      </c>
      <c r="E10" s="2">
        <v>39403368559.569817</v>
      </c>
      <c r="F10" s="2">
        <v>25365362317.987595</v>
      </c>
      <c r="G10" s="2">
        <v>17822399698.197433</v>
      </c>
      <c r="H10" s="2">
        <v>17385066760.996746</v>
      </c>
      <c r="I10" s="2">
        <v>16237609054.480135</v>
      </c>
      <c r="J10" s="2">
        <v>15804567176.098949</v>
      </c>
      <c r="K10" s="2">
        <v>15653055128.518875</v>
      </c>
      <c r="L10" s="2">
        <v>12557084335.464659</v>
      </c>
      <c r="M10" s="2">
        <v>11994180554.909351</v>
      </c>
      <c r="N10" s="2">
        <v>11772253574.410883</v>
      </c>
      <c r="O10" s="2">
        <v>10826977915.782478</v>
      </c>
      <c r="P10" s="2">
        <v>10716821975.956898</v>
      </c>
      <c r="Q10" s="2">
        <v>10543620812.70911</v>
      </c>
      <c r="R10" s="2">
        <v>10143448185.083256</v>
      </c>
      <c r="S10" s="2">
        <v>6741855279.4201365</v>
      </c>
      <c r="T10" s="2">
        <v>3728644332.1948223</v>
      </c>
      <c r="U10" s="2">
        <v>3247521810.8960314</v>
      </c>
      <c r="V10" s="2">
        <v>2500656744.8261642</v>
      </c>
      <c r="W10" s="2">
        <v>2165014540.597353</v>
      </c>
      <c r="X10" s="2">
        <v>1299008724.3584125</v>
      </c>
      <c r="Y10" s="2">
        <v>1263272994.3513105</v>
      </c>
    </row>
    <row r="11" spans="1:27" x14ac:dyDescent="0.25">
      <c r="A11" s="2">
        <v>2034</v>
      </c>
      <c r="B11" s="2">
        <v>106657695292.00003</v>
      </c>
      <c r="C11" s="2">
        <v>50262473115.662521</v>
      </c>
      <c r="D11" s="2">
        <v>44797451469.492226</v>
      </c>
      <c r="E11" s="2">
        <v>35542231839.087463</v>
      </c>
      <c r="F11" s="2">
        <v>22879810055.4632</v>
      </c>
      <c r="G11" s="2">
        <v>16075982464.407129</v>
      </c>
      <c r="H11" s="2">
        <v>15681503788.774183</v>
      </c>
      <c r="I11" s="2">
        <v>14646485481.420458</v>
      </c>
      <c r="J11" s="2">
        <v>14255877383.684105</v>
      </c>
      <c r="K11" s="2">
        <v>14119212004.089344</v>
      </c>
      <c r="L11" s="2">
        <v>11326615438.965172</v>
      </c>
      <c r="M11" s="2">
        <v>10818870608.9426</v>
      </c>
      <c r="N11" s="2">
        <v>10618690256.841471</v>
      </c>
      <c r="O11" s="2">
        <v>9766042175.2434559</v>
      </c>
      <c r="P11" s="2">
        <v>9666680417.7375088</v>
      </c>
      <c r="Q11" s="2">
        <v>9510451239.2690239</v>
      </c>
      <c r="R11" s="2">
        <v>9149491533.8765144</v>
      </c>
      <c r="S11" s="2">
        <v>6081220771.8857594</v>
      </c>
      <c r="T11" s="2">
        <v>3363274413.9633179</v>
      </c>
      <c r="U11" s="2">
        <v>2929297096.2840958</v>
      </c>
      <c r="V11" s="2">
        <v>2255617350.0806808</v>
      </c>
      <c r="W11" s="2">
        <v>1952864730.8560622</v>
      </c>
      <c r="X11" s="2">
        <v>1171718838.513638</v>
      </c>
      <c r="Y11" s="2">
        <v>1139484853.2661262</v>
      </c>
    </row>
    <row r="12" spans="1:27" x14ac:dyDescent="0.25">
      <c r="A12" s="2">
        <v>2035</v>
      </c>
      <c r="B12" s="2">
        <v>88497345426.730377</v>
      </c>
      <c r="C12" s="2">
        <v>41704402416.917488</v>
      </c>
      <c r="D12" s="2">
        <v>37169896893.78936</v>
      </c>
      <c r="E12" s="2">
        <v>29490541303.085716</v>
      </c>
      <c r="F12" s="2">
        <v>18984119694.626278</v>
      </c>
      <c r="G12" s="2">
        <v>13338763502.546896</v>
      </c>
      <c r="H12" s="2">
        <v>13011451764.510622</v>
      </c>
      <c r="I12" s="2">
        <v>12152663540.950134</v>
      </c>
      <c r="J12" s="2">
        <v>11828563346.798979</v>
      </c>
      <c r="K12" s="2">
        <v>11715167653.47595</v>
      </c>
      <c r="L12" s="2">
        <v>9398059805.0014534</v>
      </c>
      <c r="M12" s="2">
        <v>8976767468.915184</v>
      </c>
      <c r="N12" s="2">
        <v>8810671345.0580368</v>
      </c>
      <c r="O12" s="2">
        <v>8103201606.4888916</v>
      </c>
      <c r="P12" s="2">
        <v>8020757937.0270958</v>
      </c>
      <c r="Q12" s="2">
        <v>7891129525.9236279</v>
      </c>
      <c r="R12" s="2">
        <v>7591629563.4896193</v>
      </c>
      <c r="S12" s="2">
        <v>5045785902.2024841</v>
      </c>
      <c r="T12" s="2">
        <v>2790617749.2635245</v>
      </c>
      <c r="U12" s="2">
        <v>2430532708.1900306</v>
      </c>
      <c r="V12" s="2">
        <v>1871558795.9604888</v>
      </c>
      <c r="W12" s="2">
        <v>1620355138.7933526</v>
      </c>
      <c r="X12" s="2">
        <v>972213083.27601206</v>
      </c>
      <c r="Y12" s="2">
        <v>945467501.35508752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1983.6295847142874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618.8655377603767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426.9700839418449</v>
      </c>
      <c r="N16" s="2">
        <f>N5/'Output-Calculation-sheet'!N4*'Output-Calculation-sheet'!N22</f>
        <v>0</v>
      </c>
      <c r="O16" s="2">
        <f>O5/'Output-Calculation-sheet'!O4*'Output-Calculation-sheet'!O22</f>
        <v>385.41521815063498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46.242265149224508</v>
      </c>
      <c r="Y16" s="2">
        <f>Y5/'Output-Calculation-sheet'!Y4*'Output-Calculation-sheet'!Y22</f>
        <v>0</v>
      </c>
      <c r="AA16" s="2">
        <f t="shared" ref="AA16:AA23" si="0">SUM(B16:Y16)/1000</f>
        <v>3.4611226897163689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5907.20971218657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1741.9893210659743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1202.4961204697115</v>
      </c>
      <c r="N17" s="2">
        <f>N6/'Output-Calculation-sheet'!N5*'Output-Calculation-sheet'!N23</f>
        <v>0</v>
      </c>
      <c r="O17" s="2">
        <f>O6/'Output-Calculation-sheet'!O5*'Output-Calculation-sheet'!O23</f>
        <v>1154.9939713928168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133.71066903551042</v>
      </c>
      <c r="Y17" s="2">
        <f>Y6/'Output-Calculation-sheet'!Y5*'Output-Calculation-sheet'!Y23</f>
        <v>0</v>
      </c>
      <c r="AA17" s="2">
        <f t="shared" si="0"/>
        <v>10.140399794150582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11451.635009375932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3627.4608713827793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2501.8089914069992</v>
      </c>
      <c r="N18" s="2">
        <f>N7/'Output-Calculation-sheet'!N6*'Output-Calculation-sheet'!N24</f>
        <v>775.35046695385222</v>
      </c>
      <c r="O18" s="2">
        <f>O7/'Output-Calculation-sheet'!O6*'Output-Calculation-sheet'!O24</f>
        <v>1651.4646868636512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169.50445449421477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280.50336123624345</v>
      </c>
      <c r="Y18" s="2">
        <f>Y7/'Output-Calculation-sheet'!Y6*'Output-Calculation-sheet'!Y24</f>
        <v>0</v>
      </c>
      <c r="AA18" s="2">
        <f t="shared" si="0"/>
        <v>20.457727841713673</v>
      </c>
    </row>
    <row r="19" spans="1:27" x14ac:dyDescent="0.25">
      <c r="A19" s="2">
        <v>2031</v>
      </c>
      <c r="B19" s="2">
        <f>B8/'Output-Calculation-sheet'!B7*'Output-Calculation-sheet'!B25</f>
        <v>1258.9526257399841</v>
      </c>
      <c r="C19" s="2">
        <f>C8/'Output-Calculation-sheet'!C7*'Output-Calculation-sheet'!C25</f>
        <v>16620.063859543905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5648.3160134003629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3924.7531254579158</v>
      </c>
      <c r="N19" s="2">
        <f>N8/'Output-Calculation-sheet'!N7*'Output-Calculation-sheet'!N25</f>
        <v>1343.7062279010879</v>
      </c>
      <c r="O19" s="2">
        <f>O8/'Output-Calculation-sheet'!O7*'Output-Calculation-sheet'!O25</f>
        <v>2145.0870774324558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479.45559409835829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438.51289463893465</v>
      </c>
      <c r="Y19" s="2">
        <f>Y8/'Output-Calculation-sheet'!Y7*'Output-Calculation-sheet'!Y25</f>
        <v>0</v>
      </c>
      <c r="AA19" s="2">
        <f t="shared" si="0"/>
        <v>31.85884741821301</v>
      </c>
    </row>
    <row r="20" spans="1:27" x14ac:dyDescent="0.25">
      <c r="A20" s="2">
        <v>2032</v>
      </c>
      <c r="B20" s="2">
        <f>B9/'Output-Calculation-sheet'!B8*'Output-Calculation-sheet'!B26</f>
        <v>6935.8683045560665</v>
      </c>
      <c r="C20" s="2">
        <f>C9/'Output-Calculation-sheet'!C8*'Output-Calculation-sheet'!C26</f>
        <v>23547.730233631282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7536.4389740989955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5242.8324185211422</v>
      </c>
      <c r="N20" s="2">
        <f>N9/'Output-Calculation-sheet'!N8*'Output-Calculation-sheet'!N26</f>
        <v>2366.1994551728139</v>
      </c>
      <c r="O20" s="2">
        <f>O9/'Output-Calculation-sheet'!O8*'Output-Calculation-sheet'!O26</f>
        <v>2483.019582119266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859.94112295079094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586.55555900253205</v>
      </c>
      <c r="Y20" s="2">
        <f>Y9/'Output-Calculation-sheet'!Y8*'Output-Calculation-sheet'!Y26</f>
        <v>0</v>
      </c>
      <c r="AA20" s="2">
        <f t="shared" si="0"/>
        <v>49.558585650052891</v>
      </c>
    </row>
    <row r="21" spans="1:27" x14ac:dyDescent="0.25">
      <c r="A21" s="2">
        <v>2033</v>
      </c>
      <c r="B21" s="2">
        <f>B10/'Output-Calculation-sheet'!B9*'Output-Calculation-sheet'!B27</f>
        <v>15357.321485988839</v>
      </c>
      <c r="C21" s="2">
        <f>C10/'Output-Calculation-sheet'!C9*'Output-Calculation-sheet'!C27</f>
        <v>26373.632385627643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8889.097527744867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6174.0315915069987</v>
      </c>
      <c r="N21" s="2">
        <f>N10/'Output-Calculation-sheet'!N9*'Output-Calculation-sheet'!N27</f>
        <v>3378.3064039533097</v>
      </c>
      <c r="O21" s="2">
        <f>O10/'Output-Calculation-sheet'!O9*'Output-Calculation-sheet'!O27</f>
        <v>2631.4048075925357</v>
      </c>
      <c r="P21" s="2">
        <f>P10/'Output-Calculation-sheet'!P9*'Output-Calculation-sheet'!P27</f>
        <v>0</v>
      </c>
      <c r="Q21" s="2">
        <f>Q10/'Output-Calculation-sheet'!Q9*'Output-Calculation-sheet'!Q27</f>
        <v>230.42286725515055</v>
      </c>
      <c r="R21" s="2">
        <f>R10/'Output-Calculation-sheet'!R9*'Output-Calculation-sheet'!R27</f>
        <v>0</v>
      </c>
      <c r="S21" s="2">
        <f>S10/'Output-Calculation-sheet'!S9*'Output-Calculation-sheet'!S27</f>
        <v>1467.3264596175109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726.01322177487214</v>
      </c>
      <c r="Y21" s="2">
        <f>Y10/'Output-Calculation-sheet'!Y9*'Output-Calculation-sheet'!Y27</f>
        <v>0</v>
      </c>
      <c r="AA21" s="2">
        <f t="shared" si="0"/>
        <v>65.227556751061726</v>
      </c>
    </row>
    <row r="22" spans="1:27" x14ac:dyDescent="0.25">
      <c r="A22" s="2">
        <v>2034</v>
      </c>
      <c r="B22" s="2">
        <f>B11/'Output-Calculation-sheet'!B10*'Output-Calculation-sheet'!B28</f>
        <v>26380.804098606321</v>
      </c>
      <c r="C22" s="2">
        <f>C11/'Output-Calculation-sheet'!C10*'Output-Calculation-sheet'!C28</f>
        <v>25309.069112641235</v>
      </c>
      <c r="D22" s="2">
        <f>D11/'Output-Calculation-sheet'!D10*'Output-Calculation-sheet'!D28</f>
        <v>0</v>
      </c>
      <c r="E22" s="2">
        <f>E11/'Output-Calculation-sheet'!E10*'Output-Calculation-sheet'!E28</f>
        <v>1351.7119501942104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9657.8928750013092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806.02048827359079</v>
      </c>
      <c r="M22" s="2">
        <f>M11/'Output-Calculation-sheet'!M10*'Output-Calculation-sheet'!M28</f>
        <v>7041.4528660888218</v>
      </c>
      <c r="N22" s="2">
        <f>N11/'Output-Calculation-sheet'!N10*'Output-Calculation-sheet'!N28</f>
        <v>4202.2558580062405</v>
      </c>
      <c r="O22" s="2">
        <f>O11/'Output-Calculation-sheet'!O10*'Output-Calculation-sheet'!O28</f>
        <v>2597.2692262818268</v>
      </c>
      <c r="P22" s="2">
        <f>P11/'Output-Calculation-sheet'!P10*'Output-Calculation-sheet'!P28</f>
        <v>0</v>
      </c>
      <c r="Q22" s="2">
        <f>Q11/'Output-Calculation-sheet'!Q10*'Output-Calculation-sheet'!Q28</f>
        <v>954.62100944996052</v>
      </c>
      <c r="R22" s="2">
        <f>R11/'Output-Calculation-sheet'!R10*'Output-Calculation-sheet'!R28</f>
        <v>0</v>
      </c>
      <c r="S22" s="2">
        <f>S11/'Output-Calculation-sheet'!S10*'Output-Calculation-sheet'!S28</f>
        <v>2143.7430989976688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707.08165111206517</v>
      </c>
      <c r="Y22" s="2">
        <f>Y11/'Output-Calculation-sheet'!Y10*'Output-Calculation-sheet'!Y28</f>
        <v>73.343350469894233</v>
      </c>
      <c r="AA22" s="2">
        <f t="shared" si="0"/>
        <v>81.22526558512314</v>
      </c>
    </row>
    <row r="23" spans="1:27" x14ac:dyDescent="0.25">
      <c r="A23" s="2">
        <v>2035</v>
      </c>
      <c r="B23" s="2">
        <f>B12/'Output-Calculation-sheet'!B11*'Output-Calculation-sheet'!B29</f>
        <v>26476.796594375803</v>
      </c>
      <c r="C23" s="2">
        <f>C12/'Output-Calculation-sheet'!C11*'Output-Calculation-sheet'!C29</f>
        <v>21625.917811755491</v>
      </c>
      <c r="D23" s="2">
        <f>D12/'Output-Calculation-sheet'!D11*'Output-Calculation-sheet'!D29</f>
        <v>0</v>
      </c>
      <c r="E23" s="2">
        <f>E12/'Output-Calculation-sheet'!E11*'Output-Calculation-sheet'!E29</f>
        <v>4082.0760021691417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8324.8341502926578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925.37368964164534</v>
      </c>
      <c r="M23" s="2">
        <f>M12/'Output-Calculation-sheet'!M11*'Output-Calculation-sheet'!M29</f>
        <v>6099.2584138512211</v>
      </c>
      <c r="N23" s="2">
        <f>N12/'Output-Calculation-sheet'!N11*'Output-Calculation-sheet'!N29</f>
        <v>3558.0376479645433</v>
      </c>
      <c r="O23" s="2">
        <f>O12/'Output-Calculation-sheet'!O11*'Output-Calculation-sheet'!O29</f>
        <v>2398.5547742309273</v>
      </c>
      <c r="P23" s="2">
        <f>P12/'Output-Calculation-sheet'!P11*'Output-Calculation-sheet'!P29</f>
        <v>434.54915291342201</v>
      </c>
      <c r="Q23" s="2">
        <f>Q12/'Output-Calculation-sheet'!Q11*'Output-Calculation-sheet'!Q29</f>
        <v>975.55799344835668</v>
      </c>
      <c r="R23" s="2">
        <f>R12/'Output-Calculation-sheet'!R11*'Output-Calculation-sheet'!R29</f>
        <v>0</v>
      </c>
      <c r="S23" s="2">
        <f>S12/'Output-Calculation-sheet'!S11*'Output-Calculation-sheet'!S29</f>
        <v>1904.618158848948</v>
      </c>
      <c r="T23" s="2">
        <f>T12/'Output-Calculation-sheet'!T11*'Output-Calculation-sheet'!T29</f>
        <v>0</v>
      </c>
      <c r="U23" s="2">
        <f>U12/'Output-Calculation-sheet'!U11*'Output-Calculation-sheet'!U29</f>
        <v>83.055538218375361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604.22644559699086</v>
      </c>
      <c r="Y23" s="2">
        <f>Y12/'Output-Calculation-sheet'!Y11*'Output-Calculation-sheet'!Y29</f>
        <v>178.88476866945842</v>
      </c>
      <c r="AA23" s="2">
        <f t="shared" si="0"/>
        <v>77.67174114197698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2504.1414456833122</v>
      </c>
      <c r="C27" s="2">
        <f>C5/'Output-Calculation-sheet'!C4*'Output-Calculation-sheet'!C13</f>
        <v>0</v>
      </c>
      <c r="D27" s="2">
        <f>D5/'Output-Calculation-sheet'!D4*'Output-Calculation-sheet'!D13</f>
        <v>447.33558611350941</v>
      </c>
      <c r="E27" s="2">
        <f>E5/'Output-Calculation-sheet'!E4*'Output-Calculation-sheet'!E13</f>
        <v>481.27782588996712</v>
      </c>
      <c r="F27" s="2">
        <f>F5/'Output-Calculation-sheet'!F4*'Output-Calculation-sheet'!F13</f>
        <v>242.82749537111511</v>
      </c>
      <c r="G27" s="2">
        <f>G5/'Output-Calculation-sheet'!G4*'Output-Calculation-sheet'!G13</f>
        <v>159.01580217807515</v>
      </c>
      <c r="H27" s="2">
        <f>H5/'Output-Calculation-sheet'!H4*'Output-Calculation-sheet'!H13</f>
        <v>0</v>
      </c>
      <c r="I27" s="2">
        <f>I5/'Output-Calculation-sheet'!I4*'Output-Calculation-sheet'!I13</f>
        <v>155.02022792977669</v>
      </c>
      <c r="J27" s="2">
        <f>J5/'Output-Calculation-sheet'!J4*'Output-Calculation-sheet'!J13</f>
        <v>137.99817189254861</v>
      </c>
      <c r="K27" s="2">
        <f>K5/'Output-Calculation-sheet'!K4*'Output-Calculation-sheet'!K13</f>
        <v>184.24557097933075</v>
      </c>
      <c r="L27" s="2">
        <f>L5/'Output-Calculation-sheet'!L4*'Output-Calculation-sheet'!L13</f>
        <v>155.62778354434798</v>
      </c>
      <c r="M27" s="2">
        <f>M5/'Output-Calculation-sheet'!M4*'Output-Calculation-sheet'!M13</f>
        <v>0</v>
      </c>
      <c r="N27" s="2">
        <f>N5/'Output-Calculation-sheet'!N4*'Output-Calculation-sheet'!N13</f>
        <v>298.70996831696249</v>
      </c>
      <c r="O27" s="2">
        <f>O5/'Output-Calculation-sheet'!O4*'Output-Calculation-sheet'!O13</f>
        <v>0</v>
      </c>
      <c r="P27" s="2">
        <f>P5/'Output-Calculation-sheet'!P4*'Output-Calculation-sheet'!P13</f>
        <v>182.4874100205131</v>
      </c>
      <c r="Q27" s="2">
        <f>Q5/'Output-Calculation-sheet'!Q4*'Output-Calculation-sheet'!Q13</f>
        <v>203.08851457760323</v>
      </c>
      <c r="R27" s="2">
        <f>R5/'Output-Calculation-sheet'!R4*'Output-Calculation-sheet'!R13</f>
        <v>137.29654783747617</v>
      </c>
      <c r="S27" s="2">
        <f>S5/'Output-Calculation-sheet'!S4*'Output-Calculation-sheet'!S13</f>
        <v>158.46088170778449</v>
      </c>
      <c r="T27" s="2">
        <f>T5/'Output-Calculation-sheet'!T4*'Output-Calculation-sheet'!T13</f>
        <v>41.614483279902437</v>
      </c>
      <c r="U27" s="2">
        <f>U5/'Output-Calculation-sheet'!U4*'Output-Calculation-sheet'!U13</f>
        <v>41.541576899447783</v>
      </c>
      <c r="V27" s="2">
        <f>V5/'Output-Calculation-sheet'!V4*'Output-Calculation-sheet'!V13</f>
        <v>32.331009028422002</v>
      </c>
      <c r="W27" s="2">
        <f>W5/'Output-Calculation-sheet'!W4*'Output-Calculation-sheet'!W13</f>
        <v>19.609201796962768</v>
      </c>
      <c r="X27" s="2">
        <f>X5/'Output-Calculation-sheet'!X4*'Output-Calculation-sheet'!X13</f>
        <v>0</v>
      </c>
      <c r="Y27" s="2">
        <f>Y5/'Output-Calculation-sheet'!Y4*'Output-Calculation-sheet'!Y13</f>
        <v>16.579717952772711</v>
      </c>
      <c r="AA27" s="2">
        <f t="shared" ref="AA27:AA34" si="1">SUM(B27:Y27)/1000</f>
        <v>5.599209220999831</v>
      </c>
    </row>
    <row r="28" spans="1:27" x14ac:dyDescent="0.25">
      <c r="A28" s="2">
        <v>2029</v>
      </c>
      <c r="B28" s="2">
        <f>B6/'Output-Calculation-sheet'!B5*'Output-Calculation-sheet'!B14</f>
        <v>6975.0614014457879</v>
      </c>
      <c r="C28" s="2">
        <f>C6/'Output-Calculation-sheet'!C5*'Output-Calculation-sheet'!C14</f>
        <v>0</v>
      </c>
      <c r="D28" s="2">
        <f>D6/'Output-Calculation-sheet'!D5*'Output-Calculation-sheet'!D14</f>
        <v>1245.9238393254443</v>
      </c>
      <c r="E28" s="2">
        <f>E6/'Output-Calculation-sheet'!E5*'Output-Calculation-sheet'!E14</f>
        <v>1340.5773800615191</v>
      </c>
      <c r="F28" s="2">
        <f>F6/'Output-Calculation-sheet'!F5*'Output-Calculation-sheet'!F14</f>
        <v>676.32842181815863</v>
      </c>
      <c r="G28" s="2">
        <f>G6/'Output-Calculation-sheet'!G5*'Output-Calculation-sheet'!G14</f>
        <v>442.9147876716487</v>
      </c>
      <c r="H28" s="2">
        <f>H6/'Output-Calculation-sheet'!H5*'Output-Calculation-sheet'!H14</f>
        <v>0</v>
      </c>
      <c r="I28" s="2">
        <f>I6/'Output-Calculation-sheet'!I5*'Output-Calculation-sheet'!I14</f>
        <v>431.78571184665856</v>
      </c>
      <c r="J28" s="2">
        <f>J6/'Output-Calculation-sheet'!J5*'Output-Calculation-sheet'!J14</f>
        <v>384.35329961501031</v>
      </c>
      <c r="K28" s="2">
        <f>K6/'Output-Calculation-sheet'!K5*'Output-Calculation-sheet'!K14</f>
        <v>513.18854372954593</v>
      </c>
      <c r="L28" s="2">
        <f>L6/'Output-Calculation-sheet'!L5*'Output-Calculation-sheet'!L14</f>
        <v>433.47796734794025</v>
      </c>
      <c r="M28" s="2">
        <f>M6/'Output-Calculation-sheet'!M5*'Output-Calculation-sheet'!M14</f>
        <v>0</v>
      </c>
      <c r="N28" s="2">
        <f>N6/'Output-Calculation-sheet'!N5*'Output-Calculation-sheet'!N14</f>
        <v>832.02677253838363</v>
      </c>
      <c r="O28" s="2">
        <f>O6/'Output-Calculation-sheet'!O5*'Output-Calculation-sheet'!O14</f>
        <v>0</v>
      </c>
      <c r="P28" s="2">
        <f>P6/'Output-Calculation-sheet'!P5*'Output-Calculation-sheet'!P14</f>
        <v>508.2914487421229</v>
      </c>
      <c r="Q28" s="2">
        <f>Q6/'Output-Calculation-sheet'!Q5*'Output-Calculation-sheet'!Q14</f>
        <v>565.68565791721255</v>
      </c>
      <c r="R28" s="2">
        <f>R6/'Output-Calculation-sheet'!R5*'Output-Calculation-sheet'!R14</f>
        <v>382.41904578380706</v>
      </c>
      <c r="S28" s="2">
        <f>S6/'Output-Calculation-sheet'!S5*'Output-Calculation-sheet'!S14</f>
        <v>441.37758385742876</v>
      </c>
      <c r="T28" s="2">
        <f>T6/'Output-Calculation-sheet'!T5*'Output-Calculation-sheet'!T14</f>
        <v>115.91093321242691</v>
      </c>
      <c r="U28" s="2">
        <f>U6/'Output-Calculation-sheet'!U5*'Output-Calculation-sheet'!U14</f>
        <v>115.70374535854505</v>
      </c>
      <c r="V28" s="2">
        <f>V6/'Output-Calculation-sheet'!V5*'Output-Calculation-sheet'!V14</f>
        <v>90.050025661151054</v>
      </c>
      <c r="W28" s="2">
        <f>W6/'Output-Calculation-sheet'!W5*'Output-Calculation-sheet'!W14</f>
        <v>54.621255024991989</v>
      </c>
      <c r="X28" s="2">
        <f>X6/'Output-Calculation-sheet'!X5*'Output-Calculation-sheet'!X14</f>
        <v>0</v>
      </c>
      <c r="Y28" s="2">
        <f>Y6/'Output-Calculation-sheet'!Y5*'Output-Calculation-sheet'!Y14</f>
        <v>46.18033023211477</v>
      </c>
      <c r="AA28" s="2">
        <f t="shared" si="1"/>
        <v>15.595878151189893</v>
      </c>
    </row>
    <row r="29" spans="1:27" x14ac:dyDescent="0.25">
      <c r="A29" s="2">
        <v>2030</v>
      </c>
      <c r="B29" s="2">
        <f>B7/'Output-Calculation-sheet'!B6*'Output-Calculation-sheet'!B15</f>
        <v>13552.6126352148</v>
      </c>
      <c r="C29" s="2">
        <f>C7/'Output-Calculation-sheet'!C6*'Output-Calculation-sheet'!C15</f>
        <v>0</v>
      </c>
      <c r="D29" s="2">
        <f>D7/'Output-Calculation-sheet'!D6*'Output-Calculation-sheet'!D15</f>
        <v>2370.7665856164185</v>
      </c>
      <c r="E29" s="2">
        <f>E7/'Output-Calculation-sheet'!E6*'Output-Calculation-sheet'!E15</f>
        <v>2550.8006949201194</v>
      </c>
      <c r="F29" s="2">
        <f>F7/'Output-Calculation-sheet'!F6*'Output-Calculation-sheet'!F15</f>
        <v>1286.9283360530835</v>
      </c>
      <c r="G29" s="2">
        <f>G7/'Output-Calculation-sheet'!G6*'Output-Calculation-sheet'!G15</f>
        <v>842.77219598129716</v>
      </c>
      <c r="H29" s="2">
        <f>H7/'Output-Calculation-sheet'!H6*'Output-Calculation-sheet'!H15</f>
        <v>0</v>
      </c>
      <c r="I29" s="2">
        <f>I7/'Output-Calculation-sheet'!I6*'Output-Calculation-sheet'!I15</f>
        <v>821.59594282078501</v>
      </c>
      <c r="J29" s="2">
        <f>J7/'Output-Calculation-sheet'!J6*'Output-Calculation-sheet'!J15</f>
        <v>731.35489294473336</v>
      </c>
      <c r="K29" s="2">
        <f>K7/'Output-Calculation-sheet'!K6*'Output-Calculation-sheet'!K15</f>
        <v>976.51335185901678</v>
      </c>
      <c r="L29" s="2">
        <f>L7/'Output-Calculation-sheet'!L6*'Output-Calculation-sheet'!L15</f>
        <v>824.83599291676478</v>
      </c>
      <c r="M29" s="2">
        <f>M7/'Output-Calculation-sheet'!M6*'Output-Calculation-sheet'!M15</f>
        <v>0</v>
      </c>
      <c r="N29" s="2">
        <f>N7/'Output-Calculation-sheet'!N6*'Output-Calculation-sheet'!N15</f>
        <v>1064.191500591799</v>
      </c>
      <c r="O29" s="2">
        <f>O7/'Output-Calculation-sheet'!O6*'Output-Calculation-sheet'!O15</f>
        <v>0</v>
      </c>
      <c r="P29" s="2">
        <f>P7/'Output-Calculation-sheet'!P6*'Output-Calculation-sheet'!P15</f>
        <v>967.17001188157531</v>
      </c>
      <c r="Q29" s="2">
        <f>Q7/'Output-Calculation-sheet'!Q6*'Output-Calculation-sheet'!Q15</f>
        <v>1089.8124823691437</v>
      </c>
      <c r="R29" s="2">
        <f>R7/'Output-Calculation-sheet'!R6*'Output-Calculation-sheet'!R15</f>
        <v>727.66172629851314</v>
      </c>
      <c r="S29" s="2">
        <f>S7/'Output-Calculation-sheet'!S6*'Output-Calculation-sheet'!S15</f>
        <v>751.59757644000138</v>
      </c>
      <c r="T29" s="2">
        <f>T7/'Output-Calculation-sheet'!T6*'Output-Calculation-sheet'!T15</f>
        <v>220.55373728929908</v>
      </c>
      <c r="U29" s="2">
        <f>U7/'Output-Calculation-sheet'!U6*'Output-Calculation-sheet'!U15</f>
        <v>220.1621149747352</v>
      </c>
      <c r="V29" s="2">
        <f>V7/'Output-Calculation-sheet'!V6*'Output-Calculation-sheet'!V15</f>
        <v>171.34797035911538</v>
      </c>
      <c r="W29" s="2">
        <f>W7/'Output-Calculation-sheet'!W6*'Output-Calculation-sheet'!W15</f>
        <v>103.93083250045947</v>
      </c>
      <c r="X29" s="2">
        <f>X7/'Output-Calculation-sheet'!X6*'Output-Calculation-sheet'!X15</f>
        <v>0</v>
      </c>
      <c r="Y29" s="2">
        <f>Y7/'Output-Calculation-sheet'!Y6*'Output-Calculation-sheet'!Y15</f>
        <v>87.871300313670062</v>
      </c>
      <c r="AA29" s="2">
        <f t="shared" si="1"/>
        <v>29.362479881345326</v>
      </c>
    </row>
    <row r="30" spans="1:27" x14ac:dyDescent="0.25">
      <c r="A30" s="2">
        <v>2031</v>
      </c>
      <c r="B30" s="2">
        <f>B8/'Output-Calculation-sheet'!B7*'Output-Calculation-sheet'!B16</f>
        <v>21943.135300474503</v>
      </c>
      <c r="C30" s="2">
        <f>C8/'Output-Calculation-sheet'!C7*'Output-Calculation-sheet'!C16</f>
        <v>0</v>
      </c>
      <c r="D30" s="2">
        <f>D8/'Output-Calculation-sheet'!D7*'Output-Calculation-sheet'!D16</f>
        <v>3694.9339039202664</v>
      </c>
      <c r="E30" s="2">
        <f>E8/'Output-Calculation-sheet'!E7*'Output-Calculation-sheet'!E16</f>
        <v>3975.5401247672353</v>
      </c>
      <c r="F30" s="2">
        <f>F8/'Output-Calculation-sheet'!F7*'Output-Calculation-sheet'!F16</f>
        <v>2005.6811478761506</v>
      </c>
      <c r="G30" s="2">
        <f>G8/'Output-Calculation-sheet'!G7*'Output-Calculation-sheet'!G16</f>
        <v>1313.4829338688346</v>
      </c>
      <c r="H30" s="2">
        <f>H8/'Output-Calculation-sheet'!H7*'Output-Calculation-sheet'!H16</f>
        <v>0</v>
      </c>
      <c r="I30" s="2">
        <f>I8/'Output-Calculation-sheet'!I7*'Output-Calculation-sheet'!I16</f>
        <v>1280.4491910035917</v>
      </c>
      <c r="J30" s="2">
        <f>J8/'Output-Calculation-sheet'!J7*'Output-Calculation-sheet'!J16</f>
        <v>1139.8459896419831</v>
      </c>
      <c r="K30" s="2">
        <f>K8/'Output-Calculation-sheet'!K7*'Output-Calculation-sheet'!K16</f>
        <v>1521.9122661160286</v>
      </c>
      <c r="L30" s="2">
        <f>L8/'Output-Calculation-sheet'!L7*'Output-Calculation-sheet'!L16</f>
        <v>1285.5210713375698</v>
      </c>
      <c r="M30" s="2">
        <f>M8/'Output-Calculation-sheet'!M7*'Output-Calculation-sheet'!M16</f>
        <v>0</v>
      </c>
      <c r="N30" s="2">
        <f>N8/'Output-Calculation-sheet'!N7*'Output-Calculation-sheet'!N16</f>
        <v>1825.9743782632336</v>
      </c>
      <c r="O30" s="2">
        <f>O8/'Output-Calculation-sheet'!O7*'Output-Calculation-sheet'!O16</f>
        <v>0</v>
      </c>
      <c r="P30" s="2">
        <f>P8/'Output-Calculation-sheet'!P7*'Output-Calculation-sheet'!P16</f>
        <v>1641.1258561789639</v>
      </c>
      <c r="Q30" s="2">
        <f>Q8/'Output-Calculation-sheet'!Q7*'Output-Calculation-sheet'!Q16</f>
        <v>1804.6964438425723</v>
      </c>
      <c r="R30" s="2">
        <f>R8/'Output-Calculation-sheet'!R7*'Output-Calculation-sheet'!R16</f>
        <v>1145.0877375221125</v>
      </c>
      <c r="S30" s="2">
        <f>S8/'Output-Calculation-sheet'!S7*'Output-Calculation-sheet'!S16</f>
        <v>1151.6224868692286</v>
      </c>
      <c r="T30" s="2">
        <f>T8/'Output-Calculation-sheet'!T7*'Output-Calculation-sheet'!T16</f>
        <v>343.73887903738307</v>
      </c>
      <c r="U30" s="2">
        <f>U8/'Output-Calculation-sheet'!U7*'Output-Calculation-sheet'!U16</f>
        <v>343.12445450753313</v>
      </c>
      <c r="V30" s="2">
        <f>V8/'Output-Calculation-sheet'!V7*'Output-Calculation-sheet'!V16</f>
        <v>267.04724067162516</v>
      </c>
      <c r="W30" s="2">
        <f>W8/'Output-Calculation-sheet'!W7*'Output-Calculation-sheet'!W16</f>
        <v>161.97761399594856</v>
      </c>
      <c r="X30" s="2">
        <f>X8/'Output-Calculation-sheet'!X7*'Output-Calculation-sheet'!X16</f>
        <v>0</v>
      </c>
      <c r="Y30" s="2">
        <f>Y8/'Output-Calculation-sheet'!Y7*'Output-Calculation-sheet'!Y16</f>
        <v>137.09563544235158</v>
      </c>
      <c r="AA30" s="2">
        <f t="shared" si="1"/>
        <v>46.981992655337116</v>
      </c>
    </row>
    <row r="31" spans="1:27" x14ac:dyDescent="0.25">
      <c r="A31" s="2">
        <v>2032</v>
      </c>
      <c r="B31" s="2">
        <f>B9/'Output-Calculation-sheet'!B8*'Output-Calculation-sheet'!B17</f>
        <v>29368.757925620917</v>
      </c>
      <c r="C31" s="2">
        <f>C9/'Output-Calculation-sheet'!C8*'Output-Calculation-sheet'!C17</f>
        <v>0</v>
      </c>
      <c r="D31" s="2">
        <f>D9/'Output-Calculation-sheet'!D8*'Output-Calculation-sheet'!D17</f>
        <v>4925.5263053312074</v>
      </c>
      <c r="E31" s="2">
        <f>E9/'Output-Calculation-sheet'!E8*'Output-Calculation-sheet'!E17</f>
        <v>5789.283206059431</v>
      </c>
      <c r="F31" s="2">
        <f>F9/'Output-Calculation-sheet'!F8*'Output-Calculation-sheet'!F17</f>
        <v>2673.7354823896153</v>
      </c>
      <c r="G31" s="2">
        <f>G9/'Output-Calculation-sheet'!G8*'Output-Calculation-sheet'!G17</f>
        <v>1750.9629546992021</v>
      </c>
      <c r="H31" s="2">
        <f>H9/'Output-Calculation-sheet'!H8*'Output-Calculation-sheet'!H17</f>
        <v>0</v>
      </c>
      <c r="I31" s="2">
        <f>I9/'Output-Calculation-sheet'!I8*'Output-Calculation-sheet'!I17</f>
        <v>1706.9347020172975</v>
      </c>
      <c r="J31" s="2">
        <f>J9/'Output-Calculation-sheet'!J8*'Output-Calculation-sheet'!J17</f>
        <v>1519.500896056815</v>
      </c>
      <c r="K31" s="2">
        <f>K9/'Output-Calculation-sheet'!K8*'Output-Calculation-sheet'!K17</f>
        <v>2163.3658265432614</v>
      </c>
      <c r="L31" s="2">
        <f>L9/'Output-Calculation-sheet'!L8*'Output-Calculation-sheet'!L17</f>
        <v>1844.9707399446036</v>
      </c>
      <c r="M31" s="2">
        <f>M9/'Output-Calculation-sheet'!M8*'Output-Calculation-sheet'!M17</f>
        <v>0</v>
      </c>
      <c r="N31" s="2">
        <f>N9/'Output-Calculation-sheet'!N8*'Output-Calculation-sheet'!N17</f>
        <v>2005.6718904667787</v>
      </c>
      <c r="O31" s="2">
        <f>O9/'Output-Calculation-sheet'!O8*'Output-Calculation-sheet'!O17</f>
        <v>0</v>
      </c>
      <c r="P31" s="2">
        <f>P9/'Output-Calculation-sheet'!P8*'Output-Calculation-sheet'!P17</f>
        <v>2489.3501185419968</v>
      </c>
      <c r="Q31" s="2">
        <f>Q9/'Output-Calculation-sheet'!Q8*'Output-Calculation-sheet'!Q17</f>
        <v>2653.8759402610408</v>
      </c>
      <c r="R31" s="2">
        <f>R9/'Output-Calculation-sheet'!R8*'Output-Calculation-sheet'!R17</f>
        <v>1736.3058958361125</v>
      </c>
      <c r="S31" s="2">
        <f>S9/'Output-Calculation-sheet'!S8*'Output-Calculation-sheet'!S17</f>
        <v>1494.0141698967273</v>
      </c>
      <c r="T31" s="2">
        <f>T9/'Output-Calculation-sheet'!T8*'Output-Calculation-sheet'!T17</f>
        <v>471.15929041283084</v>
      </c>
      <c r="U31" s="2">
        <f>U9/'Output-Calculation-sheet'!U8*'Output-Calculation-sheet'!U17</f>
        <v>541.51223100193431</v>
      </c>
      <c r="V31" s="2">
        <f>V9/'Output-Calculation-sheet'!V8*'Output-Calculation-sheet'!V17</f>
        <v>387.85951689870063</v>
      </c>
      <c r="W31" s="2">
        <f>W9/'Output-Calculation-sheet'!W8*'Output-Calculation-sheet'!W17</f>
        <v>215.93054432253612</v>
      </c>
      <c r="X31" s="2">
        <f>X9/'Output-Calculation-sheet'!X8*'Output-Calculation-sheet'!X17</f>
        <v>0</v>
      </c>
      <c r="Y31" s="2">
        <f>Y9/'Output-Calculation-sheet'!Y8*'Output-Calculation-sheet'!Y17</f>
        <v>208.63568771975793</v>
      </c>
      <c r="AA31" s="2">
        <f t="shared" si="1"/>
        <v>63.947353324020774</v>
      </c>
    </row>
    <row r="32" spans="1:27" x14ac:dyDescent="0.25">
      <c r="A32" s="2">
        <v>2033</v>
      </c>
      <c r="B32" s="2">
        <f>B10/'Output-Calculation-sheet'!B9*'Output-Calculation-sheet'!B18</f>
        <v>31177.260178151537</v>
      </c>
      <c r="C32" s="2">
        <f>C10/'Output-Calculation-sheet'!C9*'Output-Calculation-sheet'!C18</f>
        <v>0</v>
      </c>
      <c r="D32" s="2">
        <f>D10/'Output-Calculation-sheet'!D9*'Output-Calculation-sheet'!D18</f>
        <v>5989.0474493280317</v>
      </c>
      <c r="E32" s="2">
        <f>E10/'Output-Calculation-sheet'!E9*'Output-Calculation-sheet'!E18</f>
        <v>8366.3944915169868</v>
      </c>
      <c r="F32" s="2">
        <f>F10/'Output-Calculation-sheet'!F9*'Output-Calculation-sheet'!F18</f>
        <v>3377.3963442067279</v>
      </c>
      <c r="G32" s="2">
        <f>G10/'Output-Calculation-sheet'!G9*'Output-Calculation-sheet'!G18</f>
        <v>2106.968782473728</v>
      </c>
      <c r="H32" s="2">
        <f>H10/'Output-Calculation-sheet'!H9*'Output-Calculation-sheet'!H18</f>
        <v>0</v>
      </c>
      <c r="I32" s="2">
        <f>I10/'Output-Calculation-sheet'!I9*'Output-Calculation-sheet'!I18</f>
        <v>2224.4642760839251</v>
      </c>
      <c r="J32" s="2">
        <f>J10/'Output-Calculation-sheet'!J9*'Output-Calculation-sheet'!J18</f>
        <v>1785.4268851723086</v>
      </c>
      <c r="K32" s="2">
        <f>K10/'Output-Calculation-sheet'!K9*'Output-Calculation-sheet'!K18</f>
        <v>2971.6235781112473</v>
      </c>
      <c r="L32" s="2">
        <f>L10/'Output-Calculation-sheet'!L9*'Output-Calculation-sheet'!L18</f>
        <v>2566.9974985967119</v>
      </c>
      <c r="M32" s="2">
        <f>M10/'Output-Calculation-sheet'!M9*'Output-Calculation-sheet'!M18</f>
        <v>0</v>
      </c>
      <c r="N32" s="2">
        <f>N10/'Output-Calculation-sheet'!N9*'Output-Calculation-sheet'!N18</f>
        <v>1899.8340323118452</v>
      </c>
      <c r="O32" s="2">
        <f>O10/'Output-Calculation-sheet'!O9*'Output-Calculation-sheet'!O18</f>
        <v>0</v>
      </c>
      <c r="P32" s="2">
        <f>P10/'Output-Calculation-sheet'!P9*'Output-Calculation-sheet'!P18</f>
        <v>3058.6998403011812</v>
      </c>
      <c r="Q32" s="2">
        <f>Q10/'Output-Calculation-sheet'!Q9*'Output-Calculation-sheet'!Q18</f>
        <v>3329.4805316949346</v>
      </c>
      <c r="R32" s="2">
        <f>R10/'Output-Calculation-sheet'!R9*'Output-Calculation-sheet'!R18</f>
        <v>2196.3053443467261</v>
      </c>
      <c r="S32" s="2">
        <f>S10/'Output-Calculation-sheet'!S9*'Output-Calculation-sheet'!S18</f>
        <v>1441.2283361355148</v>
      </c>
      <c r="T32" s="2">
        <f>T10/'Output-Calculation-sheet'!T9*'Output-Calculation-sheet'!T18</f>
        <v>641.08623101444641</v>
      </c>
      <c r="U32" s="2">
        <f>U10/'Output-Calculation-sheet'!U9*'Output-Calculation-sheet'!U18</f>
        <v>709.03407166212799</v>
      </c>
      <c r="V32" s="2">
        <f>V10/'Output-Calculation-sheet'!V9*'Output-Calculation-sheet'!V18</f>
        <v>523.60623481060816</v>
      </c>
      <c r="W32" s="2">
        <f>W10/'Output-Calculation-sheet'!W9*'Output-Calculation-sheet'!W18</f>
        <v>261.18977857467047</v>
      </c>
      <c r="X32" s="2">
        <f>X10/'Output-Calculation-sheet'!X9*'Output-Calculation-sheet'!X18</f>
        <v>0</v>
      </c>
      <c r="Y32" s="2">
        <f>Y10/'Output-Calculation-sheet'!Y9*'Output-Calculation-sheet'!Y18</f>
        <v>303.32117868953287</v>
      </c>
      <c r="AA32" s="2">
        <f t="shared" si="1"/>
        <v>74.929365063182772</v>
      </c>
    </row>
    <row r="33" spans="1:27" x14ac:dyDescent="0.25">
      <c r="A33" s="2">
        <v>2034</v>
      </c>
      <c r="B33" s="2">
        <f>B11/'Output-Calculation-sheet'!B10*'Output-Calculation-sheet'!B19</f>
        <v>26609.228258553369</v>
      </c>
      <c r="C33" s="2">
        <f>C11/'Output-Calculation-sheet'!C10*'Output-Calculation-sheet'!C19</f>
        <v>0</v>
      </c>
      <c r="D33" s="2">
        <f>D11/'Output-Calculation-sheet'!D10*'Output-Calculation-sheet'!D19</f>
        <v>7937.2405286613921</v>
      </c>
      <c r="E33" s="2">
        <f>E11/'Output-Calculation-sheet'!E10*'Output-Calculation-sheet'!E19</f>
        <v>9830.8031411669417</v>
      </c>
      <c r="F33" s="2">
        <f>F11/'Output-Calculation-sheet'!F10*'Output-Calculation-sheet'!F19</f>
        <v>4511.0756159050034</v>
      </c>
      <c r="G33" s="2">
        <f>G11/'Output-Calculation-sheet'!G10*'Output-Calculation-sheet'!G19</f>
        <v>2701.7616071317971</v>
      </c>
      <c r="H33" s="2">
        <f>H11/'Output-Calculation-sheet'!H10*'Output-Calculation-sheet'!H19</f>
        <v>0</v>
      </c>
      <c r="I33" s="2">
        <f>I11/'Output-Calculation-sheet'!I10*'Output-Calculation-sheet'!I19</f>
        <v>2948.0007880816538</v>
      </c>
      <c r="J33" s="2">
        <f>J11/'Output-Calculation-sheet'!J10*'Output-Calculation-sheet'!J19</f>
        <v>2492.7246371217184</v>
      </c>
      <c r="K33" s="2">
        <f>K11/'Output-Calculation-sheet'!K10*'Output-Calculation-sheet'!K19</f>
        <v>3459.0151482785923</v>
      </c>
      <c r="L33" s="2">
        <f>L11/'Output-Calculation-sheet'!L10*'Output-Calculation-sheet'!L19</f>
        <v>2813.003336365231</v>
      </c>
      <c r="M33" s="2">
        <f>M11/'Output-Calculation-sheet'!M10*'Output-Calculation-sheet'!M19</f>
        <v>0</v>
      </c>
      <c r="N33" s="2">
        <f>N11/'Output-Calculation-sheet'!N10*'Output-Calculation-sheet'!N19</f>
        <v>1590.6338564198097</v>
      </c>
      <c r="O33" s="2">
        <f>O11/'Output-Calculation-sheet'!O10*'Output-Calculation-sheet'!O19</f>
        <v>0</v>
      </c>
      <c r="P33" s="2">
        <f>P11/'Output-Calculation-sheet'!P10*'Output-Calculation-sheet'!P19</f>
        <v>3499.9131548074856</v>
      </c>
      <c r="Q33" s="2">
        <f>Q11/'Output-Calculation-sheet'!Q10*'Output-Calculation-sheet'!Q19</f>
        <v>2882.1417394472296</v>
      </c>
      <c r="R33" s="2">
        <f>R11/'Output-Calculation-sheet'!R10*'Output-Calculation-sheet'!R19</f>
        <v>2498.8815805062909</v>
      </c>
      <c r="S33" s="2">
        <f>S11/'Output-Calculation-sheet'!S10*'Output-Calculation-sheet'!S19</f>
        <v>1164.8906059879171</v>
      </c>
      <c r="T33" s="2">
        <f>T11/'Output-Calculation-sheet'!T10*'Output-Calculation-sheet'!T19</f>
        <v>733.24429512312668</v>
      </c>
      <c r="U33" s="2">
        <f>U11/'Output-Calculation-sheet'!U10*'Output-Calculation-sheet'!U19</f>
        <v>843.90101945138008</v>
      </c>
      <c r="V33" s="2">
        <f>V11/'Output-Calculation-sheet'!V10*'Output-Calculation-sheet'!V19</f>
        <v>575.00663466530455</v>
      </c>
      <c r="W33" s="2">
        <f>W11/'Output-Calculation-sheet'!W10*'Output-Calculation-sheet'!W19</f>
        <v>358.58195066280661</v>
      </c>
      <c r="X33" s="2">
        <f>X11/'Output-Calculation-sheet'!X10*'Output-Calculation-sheet'!X19</f>
        <v>103.683783155651</v>
      </c>
      <c r="Y33" s="2">
        <f>Y11/'Output-Calculation-sheet'!Y10*'Output-Calculation-sheet'!Y19</f>
        <v>322.71074206753462</v>
      </c>
      <c r="AA33" s="2">
        <f t="shared" si="1"/>
        <v>77.876442423560221</v>
      </c>
    </row>
    <row r="34" spans="1:27" x14ac:dyDescent="0.25">
      <c r="A34" s="2">
        <v>2035</v>
      </c>
      <c r="B34" s="2">
        <f>B12/'Output-Calculation-sheet'!B11*'Output-Calculation-sheet'!B20</f>
        <v>21072.660000018452</v>
      </c>
      <c r="C34" s="2">
        <f>C12/'Output-Calculation-sheet'!C11*'Output-Calculation-sheet'!C20</f>
        <v>0</v>
      </c>
      <c r="D34" s="2">
        <f>D12/'Output-Calculation-sheet'!D11*'Output-Calculation-sheet'!D20</f>
        <v>6613.243350947113</v>
      </c>
      <c r="E34" s="2">
        <f>E12/'Output-Calculation-sheet'!E11*'Output-Calculation-sheet'!E20</f>
        <v>7225.9401393207772</v>
      </c>
      <c r="F34" s="2">
        <f>F12/'Output-Calculation-sheet'!F11*'Output-Calculation-sheet'!F20</f>
        <v>4552.6811232112696</v>
      </c>
      <c r="G34" s="2">
        <f>G12/'Output-Calculation-sheet'!G11*'Output-Calculation-sheet'!G20</f>
        <v>2432.8176255611215</v>
      </c>
      <c r="H34" s="2">
        <f>H12/'Output-Calculation-sheet'!H11*'Output-Calculation-sheet'!H20</f>
        <v>0</v>
      </c>
      <c r="I34" s="2">
        <f>I12/'Output-Calculation-sheet'!I11*'Output-Calculation-sheet'!I20</f>
        <v>2644.1414846721777</v>
      </c>
      <c r="J34" s="2">
        <f>J12/'Output-Calculation-sheet'!J11*'Output-Calculation-sheet'!J20</f>
        <v>2269.997747870244</v>
      </c>
      <c r="K34" s="2">
        <f>K12/'Output-Calculation-sheet'!K11*'Output-Calculation-sheet'!K20</f>
        <v>2984.4943431193237</v>
      </c>
      <c r="L34" s="2">
        <f>L12/'Output-Calculation-sheet'!L11*'Output-Calculation-sheet'!L20</f>
        <v>2358.6936830943455</v>
      </c>
      <c r="M34" s="2">
        <f>M12/'Output-Calculation-sheet'!M11*'Output-Calculation-sheet'!M20</f>
        <v>0</v>
      </c>
      <c r="N34" s="2">
        <f>N12/'Output-Calculation-sheet'!N11*'Output-Calculation-sheet'!N20</f>
        <v>1312.6134225369383</v>
      </c>
      <c r="O34" s="2">
        <f>O12/'Output-Calculation-sheet'!O11*'Output-Calculation-sheet'!O20</f>
        <v>0</v>
      </c>
      <c r="P34" s="2">
        <f>P12/'Output-Calculation-sheet'!P11*'Output-Calculation-sheet'!P20</f>
        <v>2933.4512298635796</v>
      </c>
      <c r="Q34" s="2">
        <f>Q12/'Output-Calculation-sheet'!Q11*'Output-Calculation-sheet'!Q20</f>
        <v>2321.1531627508825</v>
      </c>
      <c r="R34" s="2">
        <f>R12/'Output-Calculation-sheet'!R11*'Output-Calculation-sheet'!R20</f>
        <v>2329.7416329580647</v>
      </c>
      <c r="S34" s="2">
        <f>S12/'Output-Calculation-sheet'!S11*'Output-Calculation-sheet'!S20</f>
        <v>889.90477382420829</v>
      </c>
      <c r="T34" s="2">
        <f>T12/'Output-Calculation-sheet'!T11*'Output-Calculation-sheet'!T20</f>
        <v>731.93285362107474</v>
      </c>
      <c r="U34" s="2">
        <f>U12/'Output-Calculation-sheet'!U11*'Output-Calculation-sheet'!U20</f>
        <v>667.77530814164936</v>
      </c>
      <c r="V34" s="2">
        <f>V12/'Output-Calculation-sheet'!V11*'Output-Calculation-sheet'!V20</f>
        <v>613.42006719946824</v>
      </c>
      <c r="W34" s="2">
        <f>W12/'Output-Calculation-sheet'!W11*'Output-Calculation-sheet'!W20</f>
        <v>394.6528094174169</v>
      </c>
      <c r="X34" s="2">
        <f>X12/'Output-Calculation-sheet'!X11*'Output-Calculation-sheet'!X20</f>
        <v>79.760817611508102</v>
      </c>
      <c r="Y34" s="2">
        <f>Y12/'Output-Calculation-sheet'!Y11*'Output-Calculation-sheet'!Y20</f>
        <v>221.21780881324793</v>
      </c>
      <c r="AA34" s="2">
        <f t="shared" si="1"/>
        <v>64.650293384552853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1.0232768645849679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0.19879516631024693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1.2220720308952149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1.1961032038054387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0.46474134919714544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1.6608445530025842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1.2755901707479631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0.74343856168508571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2.0190287324330489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1.2490420469114758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0.72796580291581514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1.9770078498272909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2.2532967931907542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0.34681746490879084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0.23864435388936722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0.87550989620073993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0.20550030227787733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2.617987392798116E-2</v>
      </c>
      <c r="Y44" s="2">
        <f>Y11/'Output-Calculation-sheet'!Y10*'Output-Calculation-sheet'!Y37*0.0114</f>
        <v>0</v>
      </c>
      <c r="AA44" s="2">
        <f t="shared" si="2"/>
        <v>3.9459486843955105</v>
      </c>
    </row>
    <row r="45" spans="1:27" x14ac:dyDescent="0.25">
      <c r="A45" s="2">
        <v>2035</v>
      </c>
      <c r="B45" s="2">
        <f>B12/'Output-Calculation-sheet'!B11*'Output-Calculation-sheet'!B38*0.0114</f>
        <v>1.969601239671146</v>
      </c>
      <c r="C45" s="2">
        <f>C12/'Output-Calculation-sheet'!C11*'Output-Calculation-sheet'!C38*0.0114</f>
        <v>1.8696333547243169</v>
      </c>
      <c r="D45" s="2">
        <f>D12/'Output-Calculation-sheet'!D11*'Output-Calculation-sheet'!D38*0.0114</f>
        <v>0.82809004855777646</v>
      </c>
      <c r="E45" s="2">
        <f>E12/'Output-Calculation-sheet'!E11*'Output-Calculation-sheet'!E38*0.0114</f>
        <v>0.65811071014026423</v>
      </c>
      <c r="F45" s="2">
        <f>F12/'Output-Calculation-sheet'!F11*'Output-Calculation-sheet'!F38*0.0114</f>
        <v>0.41390650762894343</v>
      </c>
      <c r="G45" s="2">
        <f>G12/'Output-Calculation-sheet'!G11*'Output-Calculation-sheet'!G38*0.0114</f>
        <v>0.29705369233748324</v>
      </c>
      <c r="H45" s="2">
        <f>H12/'Output-Calculation-sheet'!H11*'Output-Calculation-sheet'!H38*0.0114</f>
        <v>0.28776568730487395</v>
      </c>
      <c r="I45" s="2">
        <f>I12/'Output-Calculation-sheet'!I11*'Output-Calculation-sheet'!I38*0.0114</f>
        <v>0.26718206086973673</v>
      </c>
      <c r="J45" s="2">
        <f>J12/'Output-Calculation-sheet'!J11*'Output-Calculation-sheet'!J38*0.0114</f>
        <v>0.26442251983038834</v>
      </c>
      <c r="K45" s="2">
        <f>K12/'Output-Calculation-sheet'!K11*'Output-Calculation-sheet'!K38*0.0114</f>
        <v>0.26259790923065274</v>
      </c>
      <c r="L45" s="2">
        <f>L12/'Output-Calculation-sheet'!L11*'Output-Calculation-sheet'!L38*0.0114</f>
        <v>0.20880527417589875</v>
      </c>
      <c r="M45" s="2">
        <f>M12/'Output-Calculation-sheet'!M11*'Output-Calculation-sheet'!M38*0.0114</f>
        <v>0.19801095235057362</v>
      </c>
      <c r="N45" s="2">
        <f>N12/'Output-Calculation-sheet'!N11*'Output-Calculation-sheet'!N38*0.0114</f>
        <v>0.19461299280688121</v>
      </c>
      <c r="O45" s="2">
        <f>O12/'Output-Calculation-sheet'!O11*'Output-Calculation-sheet'!O38*0.0114</f>
        <v>0.72643892685359035</v>
      </c>
      <c r="P45" s="2">
        <f>P12/'Output-Calculation-sheet'!P11*'Output-Calculation-sheet'!P38*0.0114</f>
        <v>0.17978733915994088</v>
      </c>
      <c r="Q45" s="2">
        <f>Q12/'Output-Calculation-sheet'!Q11*'Output-Calculation-sheet'!Q38*0.0114</f>
        <v>0.17051025888187271</v>
      </c>
      <c r="R45" s="2">
        <f>R12/'Output-Calculation-sheet'!R11*'Output-Calculation-sheet'!R38*0.0114</f>
        <v>0.16909271535718245</v>
      </c>
      <c r="S45" s="2">
        <f>S12/'Output-Calculation-sheet'!S11*'Output-Calculation-sheet'!S38*0.0114</f>
        <v>0.11155858300815913</v>
      </c>
      <c r="T45" s="2">
        <f>T12/'Output-Calculation-sheet'!T11*'Output-Calculation-sheet'!T38*0.0114</f>
        <v>6.2558363557356819E-2</v>
      </c>
      <c r="U45" s="2">
        <f>U12/'Output-Calculation-sheet'!U11*'Output-Calculation-sheet'!U38*0.0114</f>
        <v>5.4403190972734959E-2</v>
      </c>
      <c r="V45" s="2">
        <f>V12/'Output-Calculation-sheet'!V11*'Output-Calculation-sheet'!V38*0.0114</f>
        <v>4.1949794336342376E-2</v>
      </c>
      <c r="W45" s="2">
        <f>W12/'Output-Calculation-sheet'!W11*'Output-Calculation-sheet'!W38*0.0114</f>
        <v>3.6325367185222543E-2</v>
      </c>
      <c r="X45" s="2">
        <f>X12/'Output-Calculation-sheet'!X11*'Output-Calculation-sheet'!X38*0.0114</f>
        <v>2.1722289609670379E-2</v>
      </c>
      <c r="Y45" s="2">
        <f>Y12/'Output-Calculation-sheet'!Y11*'Output-Calculation-sheet'!Y38*0.0114</f>
        <v>2.0962412372478503E-2</v>
      </c>
      <c r="AA45" s="2">
        <f t="shared" si="2"/>
        <v>9.3151021909234881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9335.1573611260246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2044.71404454815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1444.9893858442663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204.40594718443722</v>
      </c>
      <c r="Y51" s="2">
        <f>Y7/'Output-Calculation-sheet'!Y6*'Output-Calculation-sheet'!Y42</f>
        <v>0</v>
      </c>
      <c r="AA51" s="2">
        <f t="shared" si="3"/>
        <v>13.029266738702878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24551.592078111637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8009.9174371331928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5467.1585684019483</v>
      </c>
      <c r="N52" s="2">
        <f>N8/'Output-Calculation-sheet'!N7*'Output-Calculation-sheet'!N43</f>
        <v>174.74275116160902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707.03505712874892</v>
      </c>
      <c r="Y52" s="2">
        <f>Y8/'Output-Calculation-sheet'!Y7*'Output-Calculation-sheet'!Y43</f>
        <v>0</v>
      </c>
      <c r="AA52" s="2">
        <f t="shared" si="3"/>
        <v>38.910445891937137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54716.104692610003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15121.100135418003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10333.69318406923</v>
      </c>
      <c r="N53" s="2">
        <f>N9/'Output-Calculation-sheet'!N8*'Output-Calculation-sheet'!N44</f>
        <v>3680.5165874235031</v>
      </c>
      <c r="O53" s="2">
        <f>O9/'Output-Calculation-sheet'!O8*'Output-Calculation-sheet'!O44</f>
        <v>0</v>
      </c>
      <c r="P53" s="2">
        <f>P9/'Output-Calculation-sheet'!P8*'Output-Calculation-sheet'!P44</f>
        <v>172.15869142816612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1148.3685803380126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1292.2360403926486</v>
      </c>
      <c r="Y53" s="2">
        <f>Y9/'Output-Calculation-sheet'!Y8*'Output-Calculation-sheet'!Y44</f>
        <v>0</v>
      </c>
      <c r="AA53" s="2">
        <f t="shared" si="3"/>
        <v>86.464177911679556</v>
      </c>
    </row>
    <row r="54" spans="1:27" x14ac:dyDescent="0.25">
      <c r="A54" s="2">
        <v>2033</v>
      </c>
      <c r="B54" s="2">
        <f>B10/'Output-Calculation-sheet'!B9*'Output-Calculation-sheet'!B45</f>
        <v>29548.404386353781</v>
      </c>
      <c r="C54" s="2">
        <f>C10/'Output-Calculation-sheet'!C9*'Output-Calculation-sheet'!C45</f>
        <v>67711.226753622104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21416.992707879883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276.99984674422041</v>
      </c>
      <c r="L54" s="2">
        <f>L10/'Output-Calculation-sheet'!L9*'Output-Calculation-sheet'!L45</f>
        <v>0</v>
      </c>
      <c r="M54" s="2">
        <f>M10/'Output-Calculation-sheet'!M9*'Output-Calculation-sheet'!M45</f>
        <v>14690.5710494374</v>
      </c>
      <c r="N54" s="2">
        <f>N10/'Output-Calculation-sheet'!N9*'Output-Calculation-sheet'!N45</f>
        <v>8234.2640341042388</v>
      </c>
      <c r="O54" s="2">
        <f>O10/'Output-Calculation-sheet'!O9*'Output-Calculation-sheet'!O45</f>
        <v>0</v>
      </c>
      <c r="P54" s="2">
        <f>P10/'Output-Calculation-sheet'!P9*'Output-Calculation-sheet'!P45</f>
        <v>2233.6273850155021</v>
      </c>
      <c r="Q54" s="2">
        <f>Q10/'Output-Calculation-sheet'!Q9*'Output-Calculation-sheet'!Q45</f>
        <v>879.32403809424329</v>
      </c>
      <c r="R54" s="2">
        <f>R10/'Output-Calculation-sheet'!R9*'Output-Calculation-sheet'!R45</f>
        <v>1466.5685698708523</v>
      </c>
      <c r="S54" s="2">
        <f>S10/'Output-Calculation-sheet'!S9*'Output-Calculation-sheet'!S45</f>
        <v>3504.1568603080759</v>
      </c>
      <c r="T54" s="2">
        <f>T10/'Output-Calculation-sheet'!T9*'Output-Calculation-sheet'!T45</f>
        <v>73.321465204374277</v>
      </c>
      <c r="U54" s="2">
        <f>U10/'Output-Calculation-sheet'!U9*'Output-Calculation-sheet'!U45</f>
        <v>529.23459008216537</v>
      </c>
      <c r="V54" s="2">
        <f>V10/'Output-Calculation-sheet'!V9*'Output-Calculation-sheet'!V45</f>
        <v>39.333770397529136</v>
      </c>
      <c r="W54" s="2">
        <f>W10/'Output-Calculation-sheet'!W9*'Output-Calculation-sheet'!W45</f>
        <v>0</v>
      </c>
      <c r="X54" s="2">
        <f>X10/'Output-Calculation-sheet'!X9*'Output-Calculation-sheet'!X45</f>
        <v>1687.9706204407312</v>
      </c>
      <c r="Y54" s="2">
        <f>Y10/'Output-Calculation-sheet'!Y9*'Output-Calculation-sheet'!Y45</f>
        <v>17.198281594617804</v>
      </c>
      <c r="AA54" s="2">
        <f t="shared" si="3"/>
        <v>152.3091943591497</v>
      </c>
    </row>
    <row r="55" spans="1:27" x14ac:dyDescent="0.25">
      <c r="A55" s="2">
        <v>2034</v>
      </c>
      <c r="B55" s="2">
        <f>B11/'Output-Calculation-sheet'!B10*'Output-Calculation-sheet'!B46</f>
        <v>75794.342954170323</v>
      </c>
      <c r="C55" s="2">
        <f>C11/'Output-Calculation-sheet'!C10*'Output-Calculation-sheet'!C46</f>
        <v>62360.977039621306</v>
      </c>
      <c r="D55" s="2">
        <f>D11/'Output-Calculation-sheet'!D10*'Output-Calculation-sheet'!D46</f>
        <v>7003.6535150987311</v>
      </c>
      <c r="E55" s="2">
        <f>E11/'Output-Calculation-sheet'!E10*'Output-Calculation-sheet'!E46</f>
        <v>8627.356486724424</v>
      </c>
      <c r="F55" s="2">
        <f>F11/'Output-Calculation-sheet'!F10*'Output-Calculation-sheet'!F46</f>
        <v>262.54914294584421</v>
      </c>
      <c r="G55" s="2">
        <f>G11/'Output-Calculation-sheet'!G10*'Output-Calculation-sheet'!G46</f>
        <v>3109.0467285751406</v>
      </c>
      <c r="H55" s="2">
        <f>H11/'Output-Calculation-sheet'!H10*'Output-Calculation-sheet'!H46</f>
        <v>22482.290049789161</v>
      </c>
      <c r="I55" s="2">
        <f>I11/'Output-Calculation-sheet'!I10*'Output-Calculation-sheet'!I46</f>
        <v>1694.7890356616479</v>
      </c>
      <c r="J55" s="2">
        <f>J11/'Output-Calculation-sheet'!J10*'Output-Calculation-sheet'!J46</f>
        <v>1230.0087925687519</v>
      </c>
      <c r="K55" s="2">
        <f>K11/'Output-Calculation-sheet'!K10*'Output-Calculation-sheet'!K46</f>
        <v>3303.6598497957598</v>
      </c>
      <c r="L55" s="2">
        <f>L11/'Output-Calculation-sheet'!L10*'Output-Calculation-sheet'!L46</f>
        <v>1214.1189947428998</v>
      </c>
      <c r="M55" s="2">
        <f>M11/'Output-Calculation-sheet'!M10*'Output-Calculation-sheet'!M46</f>
        <v>15888.689877371027</v>
      </c>
      <c r="N55" s="2">
        <f>N11/'Output-Calculation-sheet'!N10*'Output-Calculation-sheet'!N46</f>
        <v>12118.370496194175</v>
      </c>
      <c r="O55" s="2">
        <f>O11/'Output-Calculation-sheet'!O10*'Output-Calculation-sheet'!O46</f>
        <v>268.7968979563675</v>
      </c>
      <c r="P55" s="2">
        <f>P11/'Output-Calculation-sheet'!P10*'Output-Calculation-sheet'!P46</f>
        <v>4504.6862808092565</v>
      </c>
      <c r="Q55" s="2">
        <f>Q11/'Output-Calculation-sheet'!Q10*'Output-Calculation-sheet'!Q46</f>
        <v>2649.8723188463127</v>
      </c>
      <c r="R55" s="2">
        <f>R11/'Output-Calculation-sheet'!R10*'Output-Calculation-sheet'!R46</f>
        <v>3646.8018429834415</v>
      </c>
      <c r="S55" s="2">
        <f>S11/'Output-Calculation-sheet'!S10*'Output-Calculation-sheet'!S46</f>
        <v>5955.9558167854429</v>
      </c>
      <c r="T55" s="2">
        <f>T11/'Output-Calculation-sheet'!T10*'Output-Calculation-sheet'!T46</f>
        <v>826.7086705847571</v>
      </c>
      <c r="U55" s="2">
        <f>U11/'Output-Calculation-sheet'!U10*'Output-Calculation-sheet'!U46</f>
        <v>1380.3611105545074</v>
      </c>
      <c r="V55" s="2">
        <f>V11/'Output-Calculation-sheet'!V10*'Output-Calculation-sheet'!V46</f>
        <v>558.80139423256037</v>
      </c>
      <c r="W55" s="2">
        <f>W11/'Output-Calculation-sheet'!W10*'Output-Calculation-sheet'!W46</f>
        <v>72.966029393864659</v>
      </c>
      <c r="X55" s="2">
        <f>X11/'Output-Calculation-sheet'!X10*'Output-Calculation-sheet'!X46</f>
        <v>1625.9079597377772</v>
      </c>
      <c r="Y55" s="2">
        <f>Y11/'Output-Calculation-sheet'!Y10*'Output-Calculation-sheet'!Y46</f>
        <v>423.28387791961927</v>
      </c>
      <c r="AA55" s="2">
        <f t="shared" si="3"/>
        <v>237.00399516306308</v>
      </c>
    </row>
    <row r="56" spans="1:27" x14ac:dyDescent="0.25">
      <c r="A56" s="2">
        <v>2035</v>
      </c>
      <c r="B56" s="2">
        <f>B12/'Output-Calculation-sheet'!B11*'Output-Calculation-sheet'!B47</f>
        <v>79993.453856819353</v>
      </c>
      <c r="C56" s="2">
        <f>C12/'Output-Calculation-sheet'!C11*'Output-Calculation-sheet'!C47</f>
        <v>52562.937735889784</v>
      </c>
      <c r="D56" s="2">
        <f>D12/'Output-Calculation-sheet'!D11*'Output-Calculation-sheet'!D47</f>
        <v>6392.2740590424846</v>
      </c>
      <c r="E56" s="2">
        <f>E12/'Output-Calculation-sheet'!E11*'Output-Calculation-sheet'!E47</f>
        <v>17953.722004703697</v>
      </c>
      <c r="F56" s="2">
        <f>F12/'Output-Calculation-sheet'!F11*'Output-Calculation-sheet'!F47</f>
        <v>2214.7628916987323</v>
      </c>
      <c r="G56" s="2">
        <f>G12/'Output-Calculation-sheet'!G11*'Output-Calculation-sheet'!G47</f>
        <v>5003.0095551576123</v>
      </c>
      <c r="H56" s="2">
        <f>H12/'Output-Calculation-sheet'!H11*'Output-Calculation-sheet'!H47</f>
        <v>19108.65134120961</v>
      </c>
      <c r="I56" s="2">
        <f>I12/'Output-Calculation-sheet'!I11*'Output-Calculation-sheet'!I47</f>
        <v>2531.1984713975057</v>
      </c>
      <c r="J56" s="2">
        <f>J12/'Output-Calculation-sheet'!J11*'Output-Calculation-sheet'!J47</f>
        <v>2296.3008301060036</v>
      </c>
      <c r="K56" s="2">
        <f>K12/'Output-Calculation-sheet'!K11*'Output-Calculation-sheet'!K47</f>
        <v>3317.0262218608768</v>
      </c>
      <c r="L56" s="2">
        <f>L12/'Output-Calculation-sheet'!L11*'Output-Calculation-sheet'!L47</f>
        <v>1831.6252120692873</v>
      </c>
      <c r="M56" s="2">
        <f>M12/'Output-Calculation-sheet'!M11*'Output-Calculation-sheet'!M47</f>
        <v>13322.315829200874</v>
      </c>
      <c r="N56" s="2">
        <f>N12/'Output-Calculation-sheet'!N11*'Output-Calculation-sheet'!N47</f>
        <v>10174.503834465017</v>
      </c>
      <c r="O56" s="2">
        <f>O12/'Output-Calculation-sheet'!O11*'Output-Calculation-sheet'!O47</f>
        <v>955.84069322840833</v>
      </c>
      <c r="P56" s="2">
        <f>P12/'Output-Calculation-sheet'!P11*'Output-Calculation-sheet'!P47</f>
        <v>5283.2244402263332</v>
      </c>
      <c r="Q56" s="2">
        <f>Q12/'Output-Calculation-sheet'!Q11*'Output-Calculation-sheet'!Q47</f>
        <v>2677.3102052504573</v>
      </c>
      <c r="R56" s="2">
        <f>R12/'Output-Calculation-sheet'!R11*'Output-Calculation-sheet'!R47</f>
        <v>3900.9986086788585</v>
      </c>
      <c r="S56" s="2">
        <f>S12/'Output-Calculation-sheet'!S11*'Output-Calculation-sheet'!S47</f>
        <v>5166.9238445884221</v>
      </c>
      <c r="T56" s="2">
        <f>T12/'Output-Calculation-sheet'!T11*'Output-Calculation-sheet'!T47</f>
        <v>1366.4063619106885</v>
      </c>
      <c r="U56" s="2">
        <f>U12/'Output-Calculation-sheet'!U11*'Output-Calculation-sheet'!U47</f>
        <v>1307.5854672394191</v>
      </c>
      <c r="V56" s="2">
        <f>V12/'Output-Calculation-sheet'!V11*'Output-Calculation-sheet'!V47</f>
        <v>912.59201714148321</v>
      </c>
      <c r="W56" s="2">
        <f>W12/'Output-Calculation-sheet'!W11*'Output-Calculation-sheet'!W47</f>
        <v>519.38902203432235</v>
      </c>
      <c r="X56" s="2">
        <f>X12/'Output-Calculation-sheet'!X11*'Output-Calculation-sheet'!X47</f>
        <v>1375.7450086124572</v>
      </c>
      <c r="Y56" s="2">
        <f>Y12/'Output-Calculation-sheet'!Y11*'Output-Calculation-sheet'!Y47</f>
        <v>704.26350339116368</v>
      </c>
      <c r="AA56" s="2">
        <f t="shared" si="3"/>
        <v>240.8720610159229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5.0725590766760833</v>
      </c>
      <c r="C60" s="2">
        <f>C5*'Output-Calculation-sheet'!C49/10^9</f>
        <v>2.0459773571251709</v>
      </c>
      <c r="D60" s="2">
        <f>D5*'Output-Calculation-sheet'!D49/10^9</f>
        <v>1.3375738480345654</v>
      </c>
      <c r="E60" s="2">
        <f>E5*'Output-Calculation-sheet'!E49/10^9</f>
        <v>1.5518856911873322</v>
      </c>
      <c r="F60" s="2">
        <f>F5*'Output-Calculation-sheet'!F49/10^9</f>
        <v>0.71273489652079591</v>
      </c>
      <c r="G60" s="2">
        <f>G5*'Output-Calculation-sheet'!G49/10^9</f>
        <v>0.56225372291909859</v>
      </c>
      <c r="H60" s="2">
        <f>H5*'Output-Calculation-sheet'!H49/10^9</f>
        <v>0.5375956706597611</v>
      </c>
      <c r="I60" s="2">
        <f>I5*'Output-Calculation-sheet'!I49/10^9</f>
        <v>0.42326039285642575</v>
      </c>
      <c r="J60" s="2">
        <f>J5*'Output-Calculation-sheet'!J49/10^9</f>
        <v>0.65597755937692248</v>
      </c>
      <c r="K60" s="2">
        <f>K5*'Output-Calculation-sheet'!K49/10^9</f>
        <v>0.36410275512421542</v>
      </c>
      <c r="L60" s="2">
        <f>L5*'Output-Calculation-sheet'!L49/10^9</f>
        <v>0.47547521073513976</v>
      </c>
      <c r="M60" s="2">
        <f>M5*'Output-Calculation-sheet'!M49/10^9</f>
        <v>0.41152189830318753</v>
      </c>
      <c r="N60" s="2">
        <f>N5*'Output-Calculation-sheet'!N49/10^9</f>
        <v>0.34448182083793605</v>
      </c>
      <c r="O60" s="2">
        <f>O5*'Output-Calculation-sheet'!O49/10^9</f>
        <v>0.34529417961211128</v>
      </c>
      <c r="P60" s="2">
        <f>P5*'Output-Calculation-sheet'!P49/10^9</f>
        <v>0.36025358672209928</v>
      </c>
      <c r="Q60" s="2">
        <f>Q5*'Output-Calculation-sheet'!Q49/10^9</f>
        <v>0.31245376642809941</v>
      </c>
      <c r="R60" s="2">
        <f>R5*'Output-Calculation-sheet'!R49/10^9</f>
        <v>0.32667306761509102</v>
      </c>
      <c r="S60" s="2">
        <f>S5*'Output-Calculation-sheet'!S49/10^9</f>
        <v>0.23017435834208541</v>
      </c>
      <c r="T60" s="2">
        <f>T5*'Output-Calculation-sheet'!T49/10^9</f>
        <v>0.14318286130805383</v>
      </c>
      <c r="U60" s="2">
        <f>U5*'Output-Calculation-sheet'!U49/10^9</f>
        <v>0.1052079181922398</v>
      </c>
      <c r="V60" s="2">
        <f>V5*'Output-Calculation-sheet'!V49/10^9</f>
        <v>0.20007725351108799</v>
      </c>
      <c r="W60" s="2">
        <f>W5*'Output-Calculation-sheet'!W49/10^9</f>
        <v>7.967013669569159E-2</v>
      </c>
      <c r="X60" s="2">
        <f>X5*'Output-Calculation-sheet'!X49/10^9</f>
        <v>5.8434755474997525E-2</v>
      </c>
      <c r="Y60" s="2">
        <f>Y5*'Output-Calculation-sheet'!Y49/10^9</f>
        <v>4.225951098258026E-2</v>
      </c>
      <c r="AA60" s="2">
        <f t="shared" ref="AA60:AA67" si="4">SUM(B60:Y60)</f>
        <v>16.69908129524077</v>
      </c>
    </row>
    <row r="61" spans="1:27" x14ac:dyDescent="0.25">
      <c r="A61" s="2">
        <v>2029</v>
      </c>
      <c r="B61" s="2">
        <f>B6*'Output-Calculation-sheet'!B50/10^9</f>
        <v>6.5374176804198889</v>
      </c>
      <c r="C61" s="2">
        <f>C6*'Output-Calculation-sheet'!C50/10^9</f>
        <v>2.8018501765903334</v>
      </c>
      <c r="D61" s="2">
        <f>D6*'Output-Calculation-sheet'!D50/10^9</f>
        <v>1.6828251099558802</v>
      </c>
      <c r="E61" s="2">
        <f>E6*'Output-Calculation-sheet'!E50/10^9</f>
        <v>1.9451953925093053</v>
      </c>
      <c r="F61" s="2">
        <f>F6*'Output-Calculation-sheet'!F50/10^9</f>
        <v>0.89756316463738572</v>
      </c>
      <c r="G61" s="2">
        <f>G6*'Output-Calculation-sheet'!G50/10^9</f>
        <v>0.70179374856557386</v>
      </c>
      <c r="H61" s="2">
        <f>H6*'Output-Calculation-sheet'!H50/10^9</f>
        <v>0.7264909407587119</v>
      </c>
      <c r="I61" s="2">
        <f>I6*'Output-Calculation-sheet'!I50/10^9</f>
        <v>0.53510471711759811</v>
      </c>
      <c r="J61" s="2">
        <f>J6*'Output-Calculation-sheet'!J50/10^9</f>
        <v>0.80962631793436146</v>
      </c>
      <c r="K61" s="2">
        <f>K6*'Output-Calculation-sheet'!K50/10^9</f>
        <v>0.47011543362091507</v>
      </c>
      <c r="L61" s="2">
        <f>L6*'Output-Calculation-sheet'!L50/10^9</f>
        <v>0.59755263122903535</v>
      </c>
      <c r="M61" s="2">
        <f>M6*'Output-Calculation-sheet'!M50/10^9</f>
        <v>0.55012684468968664</v>
      </c>
      <c r="N61" s="2">
        <f>N6*'Output-Calculation-sheet'!N50/10^9</f>
        <v>0.46873446639044974</v>
      </c>
      <c r="O61" s="2">
        <f>O6*'Output-Calculation-sheet'!O50/10^9</f>
        <v>0.48805649764088471</v>
      </c>
      <c r="P61" s="2">
        <f>P6*'Output-Calculation-sheet'!P50/10^9</f>
        <v>0.46518149153664606</v>
      </c>
      <c r="Q61" s="2">
        <f>Q6*'Output-Calculation-sheet'!Q50/10^9</f>
        <v>0.41208966691992105</v>
      </c>
      <c r="R61" s="2">
        <f>R6*'Output-Calculation-sheet'!R50/10^9</f>
        <v>0.41639374438283222</v>
      </c>
      <c r="S61" s="2">
        <f>S6*'Output-Calculation-sheet'!S50/10^9</f>
        <v>0.30527706374351316</v>
      </c>
      <c r="T61" s="2">
        <f>T6*'Output-Calculation-sheet'!T50/10^9</f>
        <v>0.17893359973005674</v>
      </c>
      <c r="U61" s="2">
        <f>U6*'Output-Calculation-sheet'!U50/10^9</f>
        <v>0.13358778158133225</v>
      </c>
      <c r="V61" s="2">
        <f>V6*'Output-Calculation-sheet'!V50/10^9</f>
        <v>0.24506182483129105</v>
      </c>
      <c r="W61" s="2">
        <f>W6*'Output-Calculation-sheet'!W50/10^9</f>
        <v>9.8879961498775537E-2</v>
      </c>
      <c r="X61" s="2">
        <f>X6*'Output-Calculation-sheet'!X50/10^9</f>
        <v>7.7194754658738748E-2</v>
      </c>
      <c r="Y61" s="2">
        <f>Y6*'Output-Calculation-sheet'!Y50/10^9</f>
        <v>5.3638595349620809E-2</v>
      </c>
      <c r="AA61" s="2">
        <f t="shared" si="4"/>
        <v>21.598691606292746</v>
      </c>
    </row>
    <row r="62" spans="1:27" x14ac:dyDescent="0.25">
      <c r="A62" s="2">
        <v>2030</v>
      </c>
      <c r="B62" s="2">
        <f>B7*'Output-Calculation-sheet'!B51/10^9</f>
        <v>7.6378864445348329</v>
      </c>
      <c r="C62" s="2">
        <f>C7*'Output-Calculation-sheet'!C51/10^9</f>
        <v>3.7958684001686898</v>
      </c>
      <c r="D62" s="2">
        <f>D7*'Output-Calculation-sheet'!D51/10^9</f>
        <v>1.9027766899325538</v>
      </c>
      <c r="E62" s="2">
        <f>E7*'Output-Calculation-sheet'!E51/10^9</f>
        <v>2.1895351068568885</v>
      </c>
      <c r="F62" s="2">
        <f>F7*'Output-Calculation-sheet'!F51/10^9</f>
        <v>1.0160501387101462</v>
      </c>
      <c r="G62" s="2">
        <f>G7*'Output-Calculation-sheet'!G51/10^9</f>
        <v>0.78589738699686085</v>
      </c>
      <c r="H62" s="2">
        <f>H7*'Output-Calculation-sheet'!H51/10^9</f>
        <v>0.9568794586838516</v>
      </c>
      <c r="I62" s="2">
        <f>I7*'Output-Calculation-sheet'!I51/10^9</f>
        <v>0.60858318712557469</v>
      </c>
      <c r="J62" s="2">
        <f>J7*'Output-Calculation-sheet'!J51/10^9</f>
        <v>0.89406726562996408</v>
      </c>
      <c r="K62" s="2">
        <f>K7*'Output-Calculation-sheet'!K51/10^9</f>
        <v>0.54797628128553622</v>
      </c>
      <c r="L62" s="2">
        <f>L7*'Output-Calculation-sheet'!L51/10^9</f>
        <v>0.67476643158617322</v>
      </c>
      <c r="M62" s="2">
        <f>M7*'Output-Calculation-sheet'!M51/10^9</f>
        <v>0.71297570486109774</v>
      </c>
      <c r="N62" s="2">
        <f>N7*'Output-Calculation-sheet'!N51/10^9</f>
        <v>0.58249184008758248</v>
      </c>
      <c r="O62" s="2">
        <f>O7*'Output-Calculation-sheet'!O51/10^9</f>
        <v>0.66278751435343575</v>
      </c>
      <c r="P62" s="2">
        <f>P7*'Output-Calculation-sheet'!P51/10^9</f>
        <v>0.54227288191023604</v>
      </c>
      <c r="Q62" s="2">
        <f>Q7*'Output-Calculation-sheet'!Q51/10^9</f>
        <v>0.49347168613694925</v>
      </c>
      <c r="R62" s="2">
        <f>R7*'Output-Calculation-sheet'!R51/10^9</f>
        <v>0.47818629948735392</v>
      </c>
      <c r="S62" s="2">
        <f>S7*'Output-Calculation-sheet'!S51/10^9</f>
        <v>0.37073689799526294</v>
      </c>
      <c r="T62" s="2">
        <f>T7*'Output-Calculation-sheet'!T51/10^9</f>
        <v>0.20067373004376185</v>
      </c>
      <c r="U62" s="2">
        <f>U7*'Output-Calculation-sheet'!U51/10^9</f>
        <v>0.15271793535398634</v>
      </c>
      <c r="V62" s="2">
        <f>V7*'Output-Calculation-sheet'!V51/10^9</f>
        <v>0.26800736766959493</v>
      </c>
      <c r="W62" s="2">
        <f>W7*'Output-Calculation-sheet'!W51/10^9</f>
        <v>0.10995600907391972</v>
      </c>
      <c r="X62" s="2">
        <f>X7*'Output-Calculation-sheet'!X51/10^9</f>
        <v>9.8628626138751743E-2</v>
      </c>
      <c r="Y62" s="2">
        <f>Y7*'Output-Calculation-sheet'!Y51/10^9</f>
        <v>6.1292173577775687E-2</v>
      </c>
      <c r="AA62" s="2">
        <f t="shared" si="4"/>
        <v>25.744485458200774</v>
      </c>
    </row>
    <row r="63" spans="1:27" x14ac:dyDescent="0.25">
      <c r="A63" s="2">
        <v>2031</v>
      </c>
      <c r="B63" s="2">
        <f>B8*'Output-Calculation-sheet'!B52/10^9</f>
        <v>8.3420228552808684</v>
      </c>
      <c r="C63" s="2">
        <f>C8*'Output-Calculation-sheet'!C52/10^9</f>
        <v>4.747046883640798</v>
      </c>
      <c r="D63" s="2">
        <f>D8*'Output-Calculation-sheet'!D52/10^9</f>
        <v>1.9531934720457611</v>
      </c>
      <c r="E63" s="2">
        <f>E8*'Output-Calculation-sheet'!E52/10^9</f>
        <v>2.234550559969521</v>
      </c>
      <c r="F63" s="2">
        <f>F8*'Output-Calculation-sheet'!F52/10^9</f>
        <v>1.0445099136747675</v>
      </c>
      <c r="G63" s="2">
        <f>G8*'Output-Calculation-sheet'!G52/10^9</f>
        <v>0.79671547040012403</v>
      </c>
      <c r="H63" s="2">
        <f>H8*'Output-Calculation-sheet'!H52/10^9</f>
        <v>1.1908985585846894</v>
      </c>
      <c r="I63" s="2">
        <f>I8*'Output-Calculation-sheet'!I52/10^9</f>
        <v>0.6293522685557984</v>
      </c>
      <c r="J63" s="2">
        <f>J8*'Output-Calculation-sheet'!J52/10^9</f>
        <v>0.88969591181636976</v>
      </c>
      <c r="K63" s="2">
        <f>K8*'Output-Calculation-sheet'!K52/10^9</f>
        <v>0.58404021816343943</v>
      </c>
      <c r="L63" s="2">
        <f>L8*'Output-Calculation-sheet'!L52/10^9</f>
        <v>0.69147934363179997</v>
      </c>
      <c r="M63" s="2">
        <f>M8*'Output-Calculation-sheet'!M52/10^9</f>
        <v>0.87194579652316417</v>
      </c>
      <c r="N63" s="2">
        <f>N8*'Output-Calculation-sheet'!N52/10^9</f>
        <v>0.6952479248858745</v>
      </c>
      <c r="O63" s="2">
        <f>O8*'Output-Calculation-sheet'!O52/10^9</f>
        <v>0.82509031068639016</v>
      </c>
      <c r="P63" s="2">
        <f>P8*'Output-Calculation-sheet'!P52/10^9</f>
        <v>0.59397999315399208</v>
      </c>
      <c r="Q63" s="2">
        <f>Q8*'Output-Calculation-sheet'!Q52/10^9</f>
        <v>0.5540525391081017</v>
      </c>
      <c r="R63" s="2">
        <f>R8*'Output-Calculation-sheet'!R52/10^9</f>
        <v>0.50184148395418393</v>
      </c>
      <c r="S63" s="2">
        <f>S8*'Output-Calculation-sheet'!S52/10^9</f>
        <v>0.42579506594069033</v>
      </c>
      <c r="T63" s="2">
        <f>T8*'Output-Calculation-sheet'!T52/10^9</f>
        <v>0.20382906470172285</v>
      </c>
      <c r="U63" s="2">
        <f>U8*'Output-Calculation-sheet'!U52/10^9</f>
        <v>0.15895593081891854</v>
      </c>
      <c r="V63" s="2">
        <f>V8*'Output-Calculation-sheet'!V52/10^9</f>
        <v>0.26318485879410913</v>
      </c>
      <c r="W63" s="2">
        <f>W8*'Output-Calculation-sheet'!W52/10^9</f>
        <v>0.11044408304184317</v>
      </c>
      <c r="X63" s="2">
        <f>X8*'Output-Calculation-sheet'!X52/10^9</f>
        <v>0.11769183321574717</v>
      </c>
      <c r="Y63" s="2">
        <f>Y8*'Output-Calculation-sheet'!Y52/10^9</f>
        <v>6.377731890348172E-2</v>
      </c>
      <c r="AA63" s="2">
        <f t="shared" si="4"/>
        <v>28.489341659492162</v>
      </c>
    </row>
    <row r="64" spans="1:27" x14ac:dyDescent="0.25">
      <c r="A64" s="2">
        <v>2032</v>
      </c>
      <c r="B64" s="2">
        <f>B9*'Output-Calculation-sheet'!B53/10^9</f>
        <v>8.5332544732337379</v>
      </c>
      <c r="C64" s="2">
        <f>C9*'Output-Calculation-sheet'!C53/10^9</f>
        <v>5.3608196349186228</v>
      </c>
      <c r="D64" s="2">
        <f>D9*'Output-Calculation-sheet'!D53/10^9</f>
        <v>1.791857851683184</v>
      </c>
      <c r="E64" s="2">
        <f>E9*'Output-Calculation-sheet'!E53/10^9</f>
        <v>2.0922138949341864</v>
      </c>
      <c r="F64" s="2">
        <f>F9*'Output-Calculation-sheet'!F53/10^9</f>
        <v>0.96008251525862631</v>
      </c>
      <c r="G64" s="2">
        <f>G9*'Output-Calculation-sheet'!G53/10^9</f>
        <v>0.71886918284258561</v>
      </c>
      <c r="H64" s="2">
        <f>H9*'Output-Calculation-sheet'!H53/10^9</f>
        <v>1.338812333388766</v>
      </c>
      <c r="I64" s="2">
        <f>I9*'Output-Calculation-sheet'!I53/10^9</f>
        <v>0.58295370484521636</v>
      </c>
      <c r="J64" s="2">
        <f>J9*'Output-Calculation-sheet'!J53/10^9</f>
        <v>0.78244910501091058</v>
      </c>
      <c r="K64" s="2">
        <f>K9*'Output-Calculation-sheet'!K53/10^9</f>
        <v>0.57762082729573105</v>
      </c>
      <c r="L64" s="2">
        <f>L9*'Output-Calculation-sheet'!L53/10^9</f>
        <v>0.64847809898169828</v>
      </c>
      <c r="M64" s="2">
        <f>M9*'Output-Calculation-sheet'!M53/10^9</f>
        <v>0.96547159275346239</v>
      </c>
      <c r="N64" s="2">
        <f>N9*'Output-Calculation-sheet'!N53/10^9</f>
        <v>0.78906392717036355</v>
      </c>
      <c r="O64" s="2">
        <f>O9*'Output-Calculation-sheet'!O53/10^9</f>
        <v>0.93214442954304544</v>
      </c>
      <c r="P64" s="2">
        <f>P9*'Output-Calculation-sheet'!P53/10^9</f>
        <v>0.61633919167407369</v>
      </c>
      <c r="Q64" s="2">
        <f>Q9*'Output-Calculation-sheet'!Q53/10^9</f>
        <v>0.58462734703700325</v>
      </c>
      <c r="R64" s="2">
        <f>R9*'Output-Calculation-sheet'!R53/10^9</f>
        <v>0.49735307884575819</v>
      </c>
      <c r="S64" s="2">
        <f>S9*'Output-Calculation-sheet'!S53/10^9</f>
        <v>0.46757804314661849</v>
      </c>
      <c r="T64" s="2">
        <f>T9*'Output-Calculation-sheet'!T53/10^9</f>
        <v>0.18592072329401818</v>
      </c>
      <c r="U64" s="2">
        <f>U9*'Output-Calculation-sheet'!U53/10^9</f>
        <v>0.15840341787541645</v>
      </c>
      <c r="V64" s="2">
        <f>V9*'Output-Calculation-sheet'!V53/10^9</f>
        <v>0.23086784940447599</v>
      </c>
      <c r="W64" s="2">
        <f>W9*'Output-Calculation-sheet'!W53/10^9</f>
        <v>9.8403601773495553E-2</v>
      </c>
      <c r="X64" s="2">
        <f>X9*'Output-Calculation-sheet'!X53/10^9</f>
        <v>0.1271908535128618</v>
      </c>
      <c r="Y64" s="2">
        <f>Y9*'Output-Calculation-sheet'!Y53/10^9</f>
        <v>6.2590147092343007E-2</v>
      </c>
      <c r="AA64" s="2">
        <f t="shared" si="4"/>
        <v>29.103365825516203</v>
      </c>
    </row>
    <row r="65" spans="1:27" x14ac:dyDescent="0.25">
      <c r="A65" s="2">
        <v>2033</v>
      </c>
      <c r="B65" s="2">
        <f>B10*'Output-Calculation-sheet'!B54/10^9</f>
        <v>8.3644694589723763</v>
      </c>
      <c r="C65" s="2">
        <f>C10*'Output-Calculation-sheet'!C54/10^9</f>
        <v>5.4973321166844791</v>
      </c>
      <c r="D65" s="2">
        <f>D10*'Output-Calculation-sheet'!D54/10^9</f>
        <v>1.4909350317670436</v>
      </c>
      <c r="E65" s="2">
        <f>E10*'Output-Calculation-sheet'!E54/10^9</f>
        <v>1.8987353495699357</v>
      </c>
      <c r="F65" s="2">
        <f>F10*'Output-Calculation-sheet'!F54/10^9</f>
        <v>0.81590296300109044</v>
      </c>
      <c r="G65" s="2">
        <f>G10*'Output-Calculation-sheet'!G54/10^9</f>
        <v>0.58088263651491479</v>
      </c>
      <c r="H65" s="2">
        <f>H10*'Output-Calculation-sheet'!H54/10^9</f>
        <v>1.3649138639115859</v>
      </c>
      <c r="I65" s="2">
        <f>I10*'Output-Calculation-sheet'!I54/10^9</f>
        <v>0.50931269101002885</v>
      </c>
      <c r="J65" s="2">
        <f>J10*'Output-Calculation-sheet'!J54/10^9</f>
        <v>0.60259777627426536</v>
      </c>
      <c r="K65" s="2">
        <f>K10*'Output-Calculation-sheet'!K54/10^9</f>
        <v>0.56387870102637394</v>
      </c>
      <c r="L65" s="2">
        <f>L10*'Output-Calculation-sheet'!L54/10^9</f>
        <v>0.58154586669488118</v>
      </c>
      <c r="M65" s="2">
        <f>M10*'Output-Calculation-sheet'!M54/10^9</f>
        <v>0.9705390023074576</v>
      </c>
      <c r="N65" s="2">
        <f>N10*'Output-Calculation-sheet'!N54/10^9</f>
        <v>0.82699918554435348</v>
      </c>
      <c r="O65" s="2">
        <f>O10*'Output-Calculation-sheet'!O54/10^9</f>
        <v>0.96226414264740268</v>
      </c>
      <c r="P65" s="2">
        <f>P10*'Output-Calculation-sheet'!P54/10^9</f>
        <v>0.61005462543738564</v>
      </c>
      <c r="Q65" s="2">
        <f>Q10*'Output-Calculation-sheet'!Q54/10^9</f>
        <v>0.60199894359308348</v>
      </c>
      <c r="R65" s="2">
        <f>R10*'Output-Calculation-sheet'!R54/10^9</f>
        <v>0.47723948300630503</v>
      </c>
      <c r="S65" s="2">
        <f>S10*'Output-Calculation-sheet'!S54/10^9</f>
        <v>0.47898393010505919</v>
      </c>
      <c r="T65" s="2">
        <f>T10*'Output-Calculation-sheet'!T54/10^9</f>
        <v>0.16161139469653654</v>
      </c>
      <c r="U65" s="2">
        <f>U10*'Output-Calculation-sheet'!U54/10^9</f>
        <v>0.15521707786240424</v>
      </c>
      <c r="V65" s="2">
        <f>V10*'Output-Calculation-sheet'!V54/10^9</f>
        <v>0.1828816472685364</v>
      </c>
      <c r="W65" s="2">
        <f>W10*'Output-Calculation-sheet'!W54/10^9</f>
        <v>7.8160018628797456E-2</v>
      </c>
      <c r="X65" s="2">
        <f>X10*'Output-Calculation-sheet'!X54/10^9</f>
        <v>0.12563942320122953</v>
      </c>
      <c r="Y65" s="2">
        <f>Y10*'Output-Calculation-sheet'!Y54/10^9</f>
        <v>6.063219853893842E-2</v>
      </c>
      <c r="AA65" s="2">
        <f t="shared" si="4"/>
        <v>27.962727528264463</v>
      </c>
    </row>
    <row r="66" spans="1:27" x14ac:dyDescent="0.25">
      <c r="A66" s="2">
        <v>2034</v>
      </c>
      <c r="B66" s="2">
        <f>B11*'Output-Calculation-sheet'!B55/10^9</f>
        <v>7.7899831137564242</v>
      </c>
      <c r="C66" s="2">
        <f>C11*'Output-Calculation-sheet'!C55/10^9</f>
        <v>5.1772187090417612</v>
      </c>
      <c r="D66" s="2">
        <f>D11*'Output-Calculation-sheet'!D55/10^9</f>
        <v>1.4093372584762758</v>
      </c>
      <c r="E66" s="2">
        <f>E11*'Output-Calculation-sheet'!E55/10^9</f>
        <v>1.8253168689401269</v>
      </c>
      <c r="F66" s="2">
        <f>F11*'Output-Calculation-sheet'!F55/10^9</f>
        <v>0.71835097382406454</v>
      </c>
      <c r="G66" s="2">
        <f>G11*'Output-Calculation-sheet'!G55/10^9</f>
        <v>0.52406601085849891</v>
      </c>
      <c r="H66" s="2">
        <f>H11*'Output-Calculation-sheet'!H55/10^9</f>
        <v>1.3078507898474223</v>
      </c>
      <c r="I66" s="2">
        <f>I11*'Output-Calculation-sheet'!I55/10^9</f>
        <v>0.4871797683246647</v>
      </c>
      <c r="J66" s="2">
        <f>J11*'Output-Calculation-sheet'!J55/10^9</f>
        <v>0.49052093851653011</v>
      </c>
      <c r="K66" s="2">
        <f>K11*'Output-Calculation-sheet'!K55/10^9</f>
        <v>0.55850217733858987</v>
      </c>
      <c r="L66" s="2">
        <f>L11*'Output-Calculation-sheet'!L55/10^9</f>
        <v>0.541460842581718</v>
      </c>
      <c r="M66" s="2">
        <f>M11*'Output-Calculation-sheet'!M55/10^9</f>
        <v>0.91917312110762084</v>
      </c>
      <c r="N66" s="2">
        <f>N11*'Output-Calculation-sheet'!N55/10^9</f>
        <v>0.79905484796636084</v>
      </c>
      <c r="O66" s="2">
        <f>O11*'Output-Calculation-sheet'!O55/10^9</f>
        <v>0.91103084637217235</v>
      </c>
      <c r="P66" s="2">
        <f>P11*'Output-Calculation-sheet'!P55/10^9</f>
        <v>0.58418927116823327</v>
      </c>
      <c r="Q66" s="2">
        <f>Q11*'Output-Calculation-sheet'!Q55/10^9</f>
        <v>0.60089953343213387</v>
      </c>
      <c r="R66" s="2">
        <f>R11*'Output-Calculation-sheet'!R55/10^9</f>
        <v>0.44459439454629524</v>
      </c>
      <c r="S66" s="2">
        <f>S11*'Output-Calculation-sheet'!S55/10^9</f>
        <v>0.46151636192782025</v>
      </c>
      <c r="T66" s="2">
        <f>T11*'Output-Calculation-sheet'!T55/10^9</f>
        <v>0.13930031703935972</v>
      </c>
      <c r="U66" s="2">
        <f>U11*'Output-Calculation-sheet'!U55/10^9</f>
        <v>0.15161000138862124</v>
      </c>
      <c r="V66" s="2">
        <f>V11*'Output-Calculation-sheet'!V55/10^9</f>
        <v>0.13165167198568892</v>
      </c>
      <c r="W66" s="2">
        <f>W11*'Output-Calculation-sheet'!W55/10^9</f>
        <v>6.4496662377935318E-2</v>
      </c>
      <c r="X66" s="2">
        <f>X11*'Output-Calculation-sheet'!X55/10^9</f>
        <v>0.12052377961321595</v>
      </c>
      <c r="Y66" s="2">
        <f>Y11*'Output-Calculation-sheet'!Y55/10^9</f>
        <v>6.1884166240895024E-2</v>
      </c>
      <c r="AA66" s="2">
        <f t="shared" si="4"/>
        <v>26.219712426672427</v>
      </c>
    </row>
    <row r="67" spans="1:27" x14ac:dyDescent="0.25">
      <c r="A67" s="2">
        <v>2035</v>
      </c>
      <c r="B67" s="2">
        <f>B12*'Output-Calculation-sheet'!B56/10^9</f>
        <v>7.0832608809107667</v>
      </c>
      <c r="C67" s="2">
        <f>C12*'Output-Calculation-sheet'!C56/10^9</f>
        <v>4.4760924831620379</v>
      </c>
      <c r="D67" s="2">
        <f>D12*'Output-Calculation-sheet'!D56/10^9</f>
        <v>1.4049621480934202</v>
      </c>
      <c r="E67" s="2">
        <f>E12*'Output-Calculation-sheet'!E56/10^9</f>
        <v>1.9213640556408074</v>
      </c>
      <c r="F67" s="2">
        <f>F12*'Output-Calculation-sheet'!F56/10^9</f>
        <v>0.75304700571812477</v>
      </c>
      <c r="G67" s="2">
        <f>G12*'Output-Calculation-sheet'!G56/10^9</f>
        <v>0.55561968916209503</v>
      </c>
      <c r="H67" s="2">
        <f>H12*'Output-Calculation-sheet'!H56/10^9</f>
        <v>1.1814728639533487</v>
      </c>
      <c r="I67" s="2">
        <f>I12*'Output-Calculation-sheet'!I56/10^9</f>
        <v>0.50908451525607978</v>
      </c>
      <c r="J67" s="2">
        <f>J12*'Output-Calculation-sheet'!J56/10^9</f>
        <v>0.46572572203062207</v>
      </c>
      <c r="K67" s="2">
        <f>K12*'Output-Calculation-sheet'!K56/10^9</f>
        <v>0.55799772667537328</v>
      </c>
      <c r="L67" s="2">
        <f>L12*'Output-Calculation-sheet'!L56/10^9</f>
        <v>0.52022123326916359</v>
      </c>
      <c r="M67" s="2">
        <f>M12*'Output-Calculation-sheet'!M56/10^9</f>
        <v>0.83594988948242688</v>
      </c>
      <c r="N67" s="2">
        <f>N12*'Output-Calculation-sheet'!N56/10^9</f>
        <v>0.71397870235018313</v>
      </c>
      <c r="O67" s="2">
        <f>O12*'Output-Calculation-sheet'!O56/10^9</f>
        <v>0.78969014926130254</v>
      </c>
      <c r="P67" s="2">
        <f>P12*'Output-Calculation-sheet'!P56/10^9</f>
        <v>0.5794100413512161</v>
      </c>
      <c r="Q67" s="2">
        <f>Q12*'Output-Calculation-sheet'!Q56/10^9</f>
        <v>0.54733983789243146</v>
      </c>
      <c r="R67" s="2">
        <f>R12*'Output-Calculation-sheet'!R56/10^9</f>
        <v>0.42979325517610495</v>
      </c>
      <c r="S67" s="2">
        <f>S12*'Output-Calculation-sheet'!S56/10^9</f>
        <v>0.41489662899021346</v>
      </c>
      <c r="T67" s="2">
        <f>T12*'Output-Calculation-sheet'!T56/10^9</f>
        <v>0.13364835753253146</v>
      </c>
      <c r="U67" s="2">
        <f>U12*'Output-Calculation-sheet'!U56/10^9</f>
        <v>0.14449298247070405</v>
      </c>
      <c r="V67" s="2">
        <f>V12*'Output-Calculation-sheet'!V56/10^9</f>
        <v>0.10315030869801439</v>
      </c>
      <c r="W67" s="2">
        <f>W12*'Output-Calculation-sheet'!W56/10^9</f>
        <v>6.9947626292754597E-2</v>
      </c>
      <c r="X67" s="2">
        <f>X12*'Output-Calculation-sheet'!X56/10^9</f>
        <v>0.10858403567964246</v>
      </c>
      <c r="Y67" s="2">
        <f>Y12*'Output-Calculation-sheet'!Y56/10^9</f>
        <v>6.5268239303036019E-2</v>
      </c>
      <c r="AA67" s="2">
        <f t="shared" si="4"/>
        <v>24.364998378352414</v>
      </c>
    </row>
    <row r="68" spans="1:27" x14ac:dyDescent="0.25">
      <c r="B68" s="2">
        <f>SUM(B60:B67)</f>
        <v>59.36085398378497</v>
      </c>
      <c r="C68" s="2">
        <f t="shared" ref="C68:Y68" si="5">SUM(C60:C67)</f>
        <v>33.902205761331892</v>
      </c>
      <c r="D68" s="2">
        <f t="shared" si="5"/>
        <v>12.973461409988683</v>
      </c>
      <c r="E68" s="2">
        <f t="shared" si="5"/>
        <v>15.658796919608104</v>
      </c>
      <c r="F68" s="2">
        <f t="shared" si="5"/>
        <v>6.9182415713450016</v>
      </c>
      <c r="G68" s="2">
        <f t="shared" si="5"/>
        <v>5.2260978482597515</v>
      </c>
      <c r="H68" s="2">
        <f t="shared" si="5"/>
        <v>8.6049144797881372</v>
      </c>
      <c r="I68" s="2">
        <f t="shared" si="5"/>
        <v>4.2848312450913868</v>
      </c>
      <c r="J68" s="2">
        <f t="shared" si="5"/>
        <v>5.5906605965899461</v>
      </c>
      <c r="K68" s="2">
        <f t="shared" si="5"/>
        <v>4.2242341205301743</v>
      </c>
      <c r="L68" s="2">
        <f t="shared" si="5"/>
        <v>4.7309796587096091</v>
      </c>
      <c r="M68" s="2">
        <f t="shared" si="5"/>
        <v>6.2377038500281028</v>
      </c>
      <c r="N68" s="2">
        <f t="shared" si="5"/>
        <v>5.2200527152331047</v>
      </c>
      <c r="O68" s="2">
        <f t="shared" si="5"/>
        <v>5.9163580701167451</v>
      </c>
      <c r="P68" s="2">
        <f t="shared" si="5"/>
        <v>4.3516810829538821</v>
      </c>
      <c r="Q68" s="2">
        <f t="shared" si="5"/>
        <v>4.1069333205477232</v>
      </c>
      <c r="R68" s="2">
        <f t="shared" si="5"/>
        <v>3.5720748070139243</v>
      </c>
      <c r="S68" s="2">
        <f t="shared" si="5"/>
        <v>3.1549583501912632</v>
      </c>
      <c r="T68" s="2">
        <f t="shared" si="5"/>
        <v>1.3471000483460411</v>
      </c>
      <c r="U68" s="2">
        <f t="shared" si="5"/>
        <v>1.1601930455436229</v>
      </c>
      <c r="V68" s="2">
        <f t="shared" si="5"/>
        <v>1.6248827821627987</v>
      </c>
      <c r="W68" s="2">
        <f t="shared" si="5"/>
        <v>0.70995809938321297</v>
      </c>
      <c r="X68" s="2">
        <f t="shared" si="5"/>
        <v>0.83388806149518491</v>
      </c>
      <c r="Y68" s="2">
        <f t="shared" si="5"/>
        <v>0.47134234998867097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2253.3633691702662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533.75325943968392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364.99291105332077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48.654872754809873</v>
      </c>
      <c r="Y73" s="2">
        <f>Y7/'Output-Calculation-sheet'!Y6*'Output-Calculation-sheet'!Y60</f>
        <v>0</v>
      </c>
      <c r="AA73" s="2">
        <f t="shared" si="6"/>
        <v>3.2007644124180805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5143.4536190307208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1720.840326816357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1149.1256135682568</v>
      </c>
      <c r="N74" s="2">
        <f>N8/'Output-Calculation-sheet'!N7*'Output-Calculation-sheet'!N61</f>
        <v>48.032413725547279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142.40905076533571</v>
      </c>
      <c r="Y74" s="2">
        <f>Y8/'Output-Calculation-sheet'!Y7*'Output-Calculation-sheet'!Y61</f>
        <v>0</v>
      </c>
      <c r="AA74" s="2">
        <f t="shared" si="6"/>
        <v>8.2038610239062173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9994.0252000610362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2878.1067998069648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1953.8975513795485</v>
      </c>
      <c r="N75" s="2">
        <f>N9/'Output-Calculation-sheet'!N8*'Output-Calculation-sheet'!N62</f>
        <v>754.73884450962976</v>
      </c>
      <c r="O75" s="2">
        <f>O9/'Output-Calculation-sheet'!O8*'Output-Calculation-sheet'!O62</f>
        <v>0</v>
      </c>
      <c r="P75" s="2">
        <f>P9/'Output-Calculation-sheet'!P8*'Output-Calculation-sheet'!P62</f>
        <v>50.528575934166753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252.89479701187932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235.90457936584511</v>
      </c>
      <c r="Y75" s="2">
        <f>Y9/'Output-Calculation-sheet'!Y8*'Output-Calculation-sheet'!Y62</f>
        <v>0</v>
      </c>
      <c r="AA75" s="2">
        <f t="shared" si="6"/>
        <v>16.120096348069069</v>
      </c>
    </row>
    <row r="76" spans="1:27" x14ac:dyDescent="0.25">
      <c r="A76" s="2">
        <v>2033</v>
      </c>
      <c r="B76" s="2">
        <f>B10/'Output-Calculation-sheet'!B9*'Output-Calculation-sheet'!B63</f>
        <v>5945.2313012980885</v>
      </c>
      <c r="C76" s="2">
        <f>C10/'Output-Calculation-sheet'!C9*'Output-Calculation-sheet'!C63</f>
        <v>12142.879997816231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3871.5851857283969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101.47427719063275</v>
      </c>
      <c r="L76" s="2">
        <f>L10/'Output-Calculation-sheet'!L9*'Output-Calculation-sheet'!L63</f>
        <v>0</v>
      </c>
      <c r="M76" s="2">
        <f>M10/'Output-Calculation-sheet'!M9*'Output-Calculation-sheet'!M63</f>
        <v>2636.1568324400391</v>
      </c>
      <c r="N76" s="2">
        <f>N10/'Output-Calculation-sheet'!N9*'Output-Calculation-sheet'!N63</f>
        <v>1505.8895056275951</v>
      </c>
      <c r="O76" s="2">
        <f>O10/'Output-Calculation-sheet'!O9*'Output-Calculation-sheet'!O63</f>
        <v>0</v>
      </c>
      <c r="P76" s="2">
        <f>P10/'Output-Calculation-sheet'!P9*'Output-Calculation-sheet'!P63</f>
        <v>522.92167157117638</v>
      </c>
      <c r="Q76" s="2">
        <f>Q10/'Output-Calculation-sheet'!Q9*'Output-Calculation-sheet'!Q63</f>
        <v>235.85868858155135</v>
      </c>
      <c r="R76" s="2">
        <f>R10/'Output-Calculation-sheet'!R9*'Output-Calculation-sheet'!R63</f>
        <v>398.54991810949781</v>
      </c>
      <c r="S76" s="2">
        <f>S10/'Output-Calculation-sheet'!S9*'Output-Calculation-sheet'!S63</f>
        <v>669.63391583514101</v>
      </c>
      <c r="T76" s="2">
        <f>T10/'Output-Calculation-sheet'!T9*'Output-Calculation-sheet'!T63</f>
        <v>27.10694568605717</v>
      </c>
      <c r="U76" s="2">
        <f>U10/'Output-Calculation-sheet'!U9*'Output-Calculation-sheet'!U63</f>
        <v>140.83378784511791</v>
      </c>
      <c r="V76" s="2">
        <f>V10/'Output-Calculation-sheet'!V9*'Output-Calculation-sheet'!V63</f>
        <v>10.806953416721131</v>
      </c>
      <c r="W76" s="2">
        <f>W10/'Output-Calculation-sheet'!W9*'Output-Calculation-sheet'!W63</f>
        <v>0</v>
      </c>
      <c r="X76" s="2">
        <f>X10/'Output-Calculation-sheet'!X9*'Output-Calculation-sheet'!X63</f>
        <v>310.42619876277212</v>
      </c>
      <c r="Y76" s="2">
        <f>Y10/'Output-Calculation-sheet'!Y9*'Output-Calculation-sheet'!Y63</f>
        <v>5.8891829974712673</v>
      </c>
      <c r="AA76" s="2">
        <f t="shared" si="6"/>
        <v>28.525244362906488</v>
      </c>
    </row>
    <row r="77" spans="1:27" x14ac:dyDescent="0.25">
      <c r="A77" s="2">
        <v>2034</v>
      </c>
      <c r="B77" s="2">
        <f>B11/'Output-Calculation-sheet'!B10*'Output-Calculation-sheet'!B64</f>
        <v>12980.40590955239</v>
      </c>
      <c r="C77" s="2">
        <f>C11/'Output-Calculation-sheet'!C10*'Output-Calculation-sheet'!C64</f>
        <v>11402.768890419124</v>
      </c>
      <c r="D77" s="2">
        <f>D11/'Output-Calculation-sheet'!D10*'Output-Calculation-sheet'!D64</f>
        <v>1599.8970998553662</v>
      </c>
      <c r="E77" s="2">
        <f>E11/'Output-Calculation-sheet'!E10*'Output-Calculation-sheet'!E64</f>
        <v>1976.9169936595788</v>
      </c>
      <c r="F77" s="2">
        <f>F11/'Output-Calculation-sheet'!F10*'Output-Calculation-sheet'!F64</f>
        <v>123.09178985110995</v>
      </c>
      <c r="G77" s="2">
        <f>G11/'Output-Calculation-sheet'!G10*'Output-Calculation-sheet'!G64</f>
        <v>844.74997931255257</v>
      </c>
      <c r="H77" s="2">
        <f>H11/'Output-Calculation-sheet'!H10*'Output-Calculation-sheet'!H64</f>
        <v>4185.2958142484367</v>
      </c>
      <c r="I77" s="2">
        <f>I11/'Output-Calculation-sheet'!I10*'Output-Calculation-sheet'!I64</f>
        <v>498.35271593630762</v>
      </c>
      <c r="J77" s="2">
        <f>J11/'Output-Calculation-sheet'!J10*'Output-Calculation-sheet'!J64</f>
        <v>355.24890309008407</v>
      </c>
      <c r="K77" s="2">
        <f>K11/'Output-Calculation-sheet'!K10*'Output-Calculation-sheet'!K64</f>
        <v>753.20668390595597</v>
      </c>
      <c r="L77" s="2">
        <f>L11/'Output-Calculation-sheet'!L10*'Output-Calculation-sheet'!L64</f>
        <v>327.03950740211013</v>
      </c>
      <c r="M77" s="2">
        <f>M11/'Output-Calculation-sheet'!M10*'Output-Calculation-sheet'!M64</f>
        <v>2976.7952427563077</v>
      </c>
      <c r="N77" s="2">
        <f>N11/'Output-Calculation-sheet'!N10*'Output-Calculation-sheet'!N64</f>
        <v>2117.9167071438574</v>
      </c>
      <c r="O77" s="2">
        <f>O11/'Output-Calculation-sheet'!O10*'Output-Calculation-sheet'!O64</f>
        <v>73.842347824299253</v>
      </c>
      <c r="P77" s="2">
        <f>P11/'Output-Calculation-sheet'!P10*'Output-Calculation-sheet'!P64</f>
        <v>934.76992105569309</v>
      </c>
      <c r="Q77" s="2">
        <f>Q11/'Output-Calculation-sheet'!Q10*'Output-Calculation-sheet'!Q64</f>
        <v>533.39946880722721</v>
      </c>
      <c r="R77" s="2">
        <f>R11/'Output-Calculation-sheet'!R10*'Output-Calculation-sheet'!R64</f>
        <v>799.91883366656896</v>
      </c>
      <c r="S77" s="2">
        <f>S11/'Output-Calculation-sheet'!S10*'Output-Calculation-sheet'!S64</f>
        <v>1069.5363430597779</v>
      </c>
      <c r="T77" s="2">
        <f>T11/'Output-Calculation-sheet'!T10*'Output-Calculation-sheet'!T64</f>
        <v>220.06984810966233</v>
      </c>
      <c r="U77" s="2">
        <f>U11/'Output-Calculation-sheet'!U10*'Output-Calculation-sheet'!U64</f>
        <v>292.49851932650012</v>
      </c>
      <c r="V77" s="2">
        <f>V11/'Output-Calculation-sheet'!V10*'Output-Calculation-sheet'!V64</f>
        <v>116.598789331494</v>
      </c>
      <c r="W77" s="2">
        <f>W11/'Output-Calculation-sheet'!W10*'Output-Calculation-sheet'!W64</f>
        <v>24.635635713770622</v>
      </c>
      <c r="X77" s="2">
        <f>X11/'Output-Calculation-sheet'!X10*'Output-Calculation-sheet'!X64</f>
        <v>302.47399603528544</v>
      </c>
      <c r="Y77" s="2">
        <f>Y11/'Output-Calculation-sheet'!Y10*'Output-Calculation-sheet'!Y64</f>
        <v>73.236975463924907</v>
      </c>
      <c r="AA77" s="2">
        <f t="shared" si="6"/>
        <v>44.58266691552739</v>
      </c>
    </row>
    <row r="78" spans="1:27" x14ac:dyDescent="0.25">
      <c r="A78" s="2">
        <v>2035</v>
      </c>
      <c r="B78" s="2">
        <f>B12/'Output-Calculation-sheet'!B11*'Output-Calculation-sheet'!B65</f>
        <v>13708.079084034041</v>
      </c>
      <c r="C78" s="2">
        <f>C12/'Output-Calculation-sheet'!C11*'Output-Calculation-sheet'!C65</f>
        <v>9680.3546999368573</v>
      </c>
      <c r="D78" s="2">
        <f>D12/'Output-Calculation-sheet'!D11*'Output-Calculation-sheet'!D65</f>
        <v>1455.3319406013204</v>
      </c>
      <c r="E78" s="2">
        <f>E12/'Output-Calculation-sheet'!E11*'Output-Calculation-sheet'!E65</f>
        <v>2766.547330004551</v>
      </c>
      <c r="F78" s="2">
        <f>F12/'Output-Calculation-sheet'!F11*'Output-Calculation-sheet'!F65</f>
        <v>586.00447659045153</v>
      </c>
      <c r="G78" s="2">
        <f>G12/'Output-Calculation-sheet'!G11*'Output-Calculation-sheet'!G65</f>
        <v>1099.5676937944841</v>
      </c>
      <c r="H78" s="2">
        <f>H12/'Output-Calculation-sheet'!H11*'Output-Calculation-sheet'!H65</f>
        <v>3540.1742615578378</v>
      </c>
      <c r="I78" s="2">
        <f>I12/'Output-Calculation-sheet'!I11*'Output-Calculation-sheet'!I65</f>
        <v>646.58058730476284</v>
      </c>
      <c r="J78" s="2">
        <f>J12/'Output-Calculation-sheet'!J11*'Output-Calculation-sheet'!J65</f>
        <v>579.87394699646563</v>
      </c>
      <c r="K78" s="2">
        <f>K12/'Output-Calculation-sheet'!K11*'Output-Calculation-sheet'!K65</f>
        <v>731.772840389419</v>
      </c>
      <c r="L78" s="2">
        <f>L12/'Output-Calculation-sheet'!L11*'Output-Calculation-sheet'!L65</f>
        <v>435.10256912705916</v>
      </c>
      <c r="M78" s="2">
        <f>M12/'Output-Calculation-sheet'!M11*'Output-Calculation-sheet'!M65</f>
        <v>2520.0020175331815</v>
      </c>
      <c r="N78" s="2">
        <f>N12/'Output-Calculation-sheet'!N11*'Output-Calculation-sheet'!N65</f>
        <v>1771.9683708218117</v>
      </c>
      <c r="O78" s="2">
        <f>O12/'Output-Calculation-sheet'!O11*'Output-Calculation-sheet'!O65</f>
        <v>248.40706549184287</v>
      </c>
      <c r="P78" s="2">
        <f>P12/'Output-Calculation-sheet'!P11*'Output-Calculation-sheet'!P65</f>
        <v>1007.3453071493039</v>
      </c>
      <c r="Q78" s="2">
        <f>Q12/'Output-Calculation-sheet'!Q11*'Output-Calculation-sheet'!Q65</f>
        <v>506.68469560371221</v>
      </c>
      <c r="R78" s="2">
        <f>R12/'Output-Calculation-sheet'!R11*'Output-Calculation-sheet'!R65</f>
        <v>835.16968692118553</v>
      </c>
      <c r="S78" s="2">
        <f>S12/'Output-Calculation-sheet'!S11*'Output-Calculation-sheet'!S65</f>
        <v>942.20030606943646</v>
      </c>
      <c r="T78" s="2">
        <f>T12/'Output-Calculation-sheet'!T11*'Output-Calculation-sheet'!T65</f>
        <v>300.30758295406594</v>
      </c>
      <c r="U78" s="2">
        <f>U12/'Output-Calculation-sheet'!U11*'Output-Calculation-sheet'!U65</f>
        <v>257.30800446209855</v>
      </c>
      <c r="V78" s="2">
        <f>V12/'Output-Calculation-sheet'!V11*'Output-Calculation-sheet'!V65</f>
        <v>162.06971859259011</v>
      </c>
      <c r="W78" s="2">
        <f>W12/'Output-Calculation-sheet'!W11*'Output-Calculation-sheet'!W65</f>
        <v>114.15087316170283</v>
      </c>
      <c r="X78" s="2">
        <f>X12/'Output-Calculation-sheet'!X11*'Output-Calculation-sheet'!X65</f>
        <v>259.7299870276272</v>
      </c>
      <c r="Y78" s="2">
        <f>Y12/'Output-Calculation-sheet'!Y11*'Output-Calculation-sheet'!Y65</f>
        <v>111.42257699213462</v>
      </c>
      <c r="AA78" s="2">
        <f t="shared" si="6"/>
        <v>44.266155623117946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89.761128472365613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104.62903490012997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0.19439016337249557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314.76400100143121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224.21731759511403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0.53898131859654519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223.78774925402863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347.80751423863654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0.5715952634926651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438.26036733735992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425.71099585720185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0.86397136319456169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790.63045375114177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30.422584641122004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20.933715253453265</v>
      </c>
      <c r="N88" s="2">
        <f>N11/'Output-Calculation-sheet'!N10*'Output-Calculation-sheet'!N73</f>
        <v>0</v>
      </c>
      <c r="O88" s="2">
        <f>O11/'Output-Calculation-sheet'!O10*'Output-Calculation-sheet'!O73</f>
        <v>441.59490378546093</v>
      </c>
      <c r="P88" s="2">
        <f>P11/'Output-Calculation-sheet'!P10*'Output-Calculation-sheet'!P73</f>
        <v>0</v>
      </c>
      <c r="Q88" s="2">
        <f>Q11/'Output-Calculation-sheet'!Q10*'Output-Calculation-sheet'!Q73</f>
        <v>18.026342305076959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2.2964801691211543</v>
      </c>
      <c r="Y88" s="2">
        <f>Y11/'Output-Calculation-sheet'!Y10*'Output-Calculation-sheet'!Y73</f>
        <v>0</v>
      </c>
      <c r="AA88" s="2">
        <f t="shared" si="7"/>
        <v>1.3039044799053761</v>
      </c>
    </row>
    <row r="89" spans="1:27" x14ac:dyDescent="0.25">
      <c r="A89" s="2">
        <v>2035</v>
      </c>
      <c r="B89" s="2">
        <f>B12/'Output-Calculation-sheet'!B11*'Output-Calculation-sheet'!B74</f>
        <v>345.54407713528877</v>
      </c>
      <c r="C89" s="2">
        <f>C12/'Output-Calculation-sheet'!C11*'Output-Calculation-sheet'!C74</f>
        <v>1066.0190180445666</v>
      </c>
      <c r="D89" s="2">
        <f>D12/'Output-Calculation-sheet'!D11*'Output-Calculation-sheet'!D74</f>
        <v>145.2789558873292</v>
      </c>
      <c r="E89" s="2">
        <f>E12/'Output-Calculation-sheet'!E11*'Output-Calculation-sheet'!E74</f>
        <v>115.45801932285336</v>
      </c>
      <c r="F89" s="2">
        <f>F12/'Output-Calculation-sheet'!F11*'Output-Calculation-sheet'!F74</f>
        <v>36.30758838850381</v>
      </c>
      <c r="G89" s="2">
        <f>G12/'Output-Calculation-sheet'!G11*'Output-Calculation-sheet'!G74</f>
        <v>52.114682866225131</v>
      </c>
      <c r="H89" s="2">
        <f>H12/'Output-Calculation-sheet'!H11*'Output-Calculation-sheet'!H74</f>
        <v>126.21302074775173</v>
      </c>
      <c r="I89" s="2">
        <f>I12/'Output-Calculation-sheet'!I11*'Output-Calculation-sheet'!I74</f>
        <v>46.874045766620476</v>
      </c>
      <c r="J89" s="2">
        <f>J12/'Output-Calculation-sheet'!J11*'Output-Calculation-sheet'!J74</f>
        <v>23.194957879858624</v>
      </c>
      <c r="K89" s="2">
        <f>K12/'Output-Calculation-sheet'!K11*'Output-Calculation-sheet'!K74</f>
        <v>46.069808636956623</v>
      </c>
      <c r="L89" s="2">
        <f>L12/'Output-Calculation-sheet'!L11*'Output-Calculation-sheet'!L74</f>
        <v>36.632504241385746</v>
      </c>
      <c r="M89" s="2">
        <f>M12/'Output-Calculation-sheet'!M11*'Output-Calculation-sheet'!M74</f>
        <v>69.477527140552141</v>
      </c>
      <c r="N89" s="2">
        <f>N12/'Output-Calculation-sheet'!N11*'Output-Calculation-sheet'!N74</f>
        <v>51.213945475495052</v>
      </c>
      <c r="O89" s="2">
        <f>O12/'Output-Calculation-sheet'!O11*'Output-Calculation-sheet'!O74</f>
        <v>414.19763373231029</v>
      </c>
      <c r="P89" s="2">
        <f>P12/'Output-Calculation-sheet'!P11*'Output-Calculation-sheet'!P74</f>
        <v>31.541638449112437</v>
      </c>
      <c r="Q89" s="2">
        <f>Q12/'Output-Calculation-sheet'!Q11*'Output-Calculation-sheet'!Q74</f>
        <v>44.871120758387555</v>
      </c>
      <c r="R89" s="2">
        <f>R12/'Output-Calculation-sheet'!R11*'Output-Calculation-sheet'!R74</f>
        <v>29.665388659154818</v>
      </c>
      <c r="S89" s="2">
        <f>S12/'Output-Calculation-sheet'!S11*'Output-Calculation-sheet'!S74</f>
        <v>29.3575218442524</v>
      </c>
      <c r="T89" s="2">
        <f>T12/'Output-Calculation-sheet'!T11*'Output-Calculation-sheet'!T74</f>
        <v>5.4875757506453349</v>
      </c>
      <c r="U89" s="2">
        <f>U12/'Output-Calculation-sheet'!U11*'Output-Calculation-sheet'!U74</f>
        <v>9.5444194689008697</v>
      </c>
      <c r="V89" s="2">
        <f>V12/'Output-Calculation-sheet'!V11*'Output-Calculation-sheet'!V74</f>
        <v>3.6798065207317872</v>
      </c>
      <c r="W89" s="2">
        <f>W12/'Output-Calculation-sheet'!W11*'Output-Calculation-sheet'!W74</f>
        <v>3.1864357180019773</v>
      </c>
      <c r="X89" s="2">
        <f>X12/'Output-Calculation-sheet'!X11*'Output-Calculation-sheet'!X74</f>
        <v>11.432784005089673</v>
      </c>
      <c r="Y89" s="2">
        <f>Y12/'Output-Calculation-sheet'!Y11*'Output-Calculation-sheet'!Y74</f>
        <v>3.6776162056979826</v>
      </c>
      <c r="AA89" s="2">
        <f t="shared" si="7"/>
        <v>2.7470400926456713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1746307870.1857948</v>
      </c>
      <c r="C93" s="2">
        <f>C5/'Output-Calculation-sheet'!C4*'Output-Calculation-sheet'!C76</f>
        <v>578541946.62522089</v>
      </c>
      <c r="D93" s="2">
        <f>D5/'Output-Calculation-sheet'!D4*'Output-Calculation-sheet'!D76</f>
        <v>640394265.03362298</v>
      </c>
      <c r="E93" s="2">
        <f>E5/'Output-Calculation-sheet'!E4*'Output-Calculation-sheet'!E76</f>
        <v>1071576614.988668</v>
      </c>
      <c r="F93" s="2">
        <f>F5/'Output-Calculation-sheet'!F4*'Output-Calculation-sheet'!F76</f>
        <v>460433011.2688815</v>
      </c>
      <c r="G93" s="2">
        <f>G5/'Output-Calculation-sheet'!G4*'Output-Calculation-sheet'!G76</f>
        <v>358103295.88826829</v>
      </c>
      <c r="H93" s="2">
        <f>H5/'Output-Calculation-sheet'!H4*'Output-Calculation-sheet'!H76</f>
        <v>302914723.3836695</v>
      </c>
      <c r="I93" s="2">
        <f>I5/'Output-Calculation-sheet'!I4*'Output-Calculation-sheet'!I76</f>
        <v>248563717.39396125</v>
      </c>
      <c r="J93" s="2">
        <f>J5/'Output-Calculation-sheet'!J4*'Output-Calculation-sheet'!J76</f>
        <v>168672512.46713123</v>
      </c>
      <c r="K93" s="2">
        <f>K5/'Output-Calculation-sheet'!K4*'Output-Calculation-sheet'!K76</f>
        <v>246524827.21847776</v>
      </c>
      <c r="L93" s="2">
        <f>L5/'Output-Calculation-sheet'!L4*'Output-Calculation-sheet'!L76</f>
        <v>164557116.30105281</v>
      </c>
      <c r="M93" s="2">
        <f>M5/'Output-Calculation-sheet'!M4*'Output-Calculation-sheet'!M76</f>
        <v>221299499.61088344</v>
      </c>
      <c r="N93" s="2">
        <f>N5/'Output-Calculation-sheet'!N4*'Output-Calculation-sheet'!N76</f>
        <v>167107072.17643422</v>
      </c>
      <c r="O93" s="2">
        <f>O5/'Output-Calculation-sheet'!O4*'Output-Calculation-sheet'!O76</f>
        <v>81562910.696286768</v>
      </c>
      <c r="P93" s="2">
        <f>P5/'Output-Calculation-sheet'!P4*'Output-Calculation-sheet'!P76</f>
        <v>289538873.16679019</v>
      </c>
      <c r="Q93" s="2">
        <f>Q5/'Output-Calculation-sheet'!Q4*'Output-Calculation-sheet'!Q76</f>
        <v>132926224.10079931</v>
      </c>
      <c r="R93" s="2">
        <f>R5/'Output-Calculation-sheet'!R4*'Output-Calculation-sheet'!R76</f>
        <v>166327153.39424601</v>
      </c>
      <c r="S93" s="2">
        <f>S5/'Output-Calculation-sheet'!S4*'Output-Calculation-sheet'!S76</f>
        <v>97989264.861312062</v>
      </c>
      <c r="T93" s="2">
        <f>T5/'Output-Calculation-sheet'!T4*'Output-Calculation-sheet'!T76</f>
        <v>75350538.018404737</v>
      </c>
      <c r="U93" s="2">
        <f>U5/'Output-Calculation-sheet'!U4*'Output-Calculation-sheet'!U76</f>
        <v>48849334.318540476</v>
      </c>
      <c r="V93" s="2">
        <f>V5/'Output-Calculation-sheet'!V4*'Output-Calculation-sheet'!V76</f>
        <v>25038656.460300475</v>
      </c>
      <c r="W93" s="2">
        <f>W5/'Output-Calculation-sheet'!W4*'Output-Calculation-sheet'!W76</f>
        <v>70136618.249221653</v>
      </c>
      <c r="X93" s="2">
        <f>X5/'Output-Calculation-sheet'!X4*'Output-Calculation-sheet'!X76</f>
        <v>24342626.371006861</v>
      </c>
      <c r="Y93" s="2">
        <f>Y5/'Output-Calculation-sheet'!Y4*'Output-Calculation-sheet'!Y76</f>
        <v>38342432.107863858</v>
      </c>
      <c r="AA93" s="2">
        <f t="shared" ref="AA93:AA100" si="8">SUM(B93:Y93)/10^9</f>
        <v>7.4254011042868413</v>
      </c>
    </row>
    <row r="94" spans="1:27" x14ac:dyDescent="0.25">
      <c r="A94" s="2">
        <v>2029</v>
      </c>
      <c r="B94" s="2">
        <f>B6/'Output-Calculation-sheet'!B5*'Output-Calculation-sheet'!B77</f>
        <v>4770275577.2046194</v>
      </c>
      <c r="C94" s="2">
        <f>C6/'Output-Calculation-sheet'!C5*'Output-Calculation-sheet'!C77</f>
        <v>1591100093.4583569</v>
      </c>
      <c r="D94" s="2">
        <f>D6/'Output-Calculation-sheet'!D5*'Output-Calculation-sheet'!D77</f>
        <v>1750628612.8903368</v>
      </c>
      <c r="E94" s="2">
        <f>E6/'Output-Calculation-sheet'!E5*'Output-Calculation-sheet'!E77</f>
        <v>2977423307.6058097</v>
      </c>
      <c r="F94" s="2">
        <f>F6/'Output-Calculation-sheet'!F5*'Output-Calculation-sheet'!F77</f>
        <v>1257121185.293328</v>
      </c>
      <c r="G94" s="2">
        <f>G6/'Output-Calculation-sheet'!G5*'Output-Calculation-sheet'!G77</f>
        <v>991348660.76990867</v>
      </c>
      <c r="H94" s="2">
        <f>H6/'Output-Calculation-sheet'!H5*'Output-Calculation-sheet'!H77</f>
        <v>833219066.76802337</v>
      </c>
      <c r="I94" s="2">
        <f>I6/'Output-Calculation-sheet'!I5*'Output-Calculation-sheet'!I77</f>
        <v>677018760.81268287</v>
      </c>
      <c r="J94" s="2">
        <f>J6/'Output-Calculation-sheet'!J5*'Output-Calculation-sheet'!J77</f>
        <v>465106722.47048736</v>
      </c>
      <c r="K94" s="2">
        <f>K6/'Output-Calculation-sheet'!K5*'Output-Calculation-sheet'!K77</f>
        <v>670122308.02897418</v>
      </c>
      <c r="L94" s="2">
        <f>L6/'Output-Calculation-sheet'!L5*'Output-Calculation-sheet'!L77</f>
        <v>452892172.54127854</v>
      </c>
      <c r="M94" s="2">
        <f>M6/'Output-Calculation-sheet'!M5*'Output-Calculation-sheet'!M77</f>
        <v>614123907.08887005</v>
      </c>
      <c r="N94" s="2">
        <f>N6/'Output-Calculation-sheet'!N5*'Output-Calculation-sheet'!N77</f>
        <v>464588570.8688699</v>
      </c>
      <c r="O94" s="2">
        <f>O6/'Output-Calculation-sheet'!O5*'Output-Calculation-sheet'!O77</f>
        <v>228179734.14081442</v>
      </c>
      <c r="P94" s="2">
        <f>P6/'Output-Calculation-sheet'!P5*'Output-Calculation-sheet'!P77</f>
        <v>794528531.37577534</v>
      </c>
      <c r="Q94" s="2">
        <f>Q6/'Output-Calculation-sheet'!Q5*'Output-Calculation-sheet'!Q77</f>
        <v>367041568.51426083</v>
      </c>
      <c r="R94" s="2">
        <f>R6/'Output-Calculation-sheet'!R5*'Output-Calculation-sheet'!R77</f>
        <v>455701352.96848524</v>
      </c>
      <c r="S94" s="2">
        <f>S6/'Output-Calculation-sheet'!S5*'Output-Calculation-sheet'!S77</f>
        <v>267570625.38094619</v>
      </c>
      <c r="T94" s="2">
        <f>T6/'Output-Calculation-sheet'!T5*'Output-Calculation-sheet'!T77</f>
        <v>206404423.76007929</v>
      </c>
      <c r="U94" s="2">
        <f>U6/'Output-Calculation-sheet'!U5*'Output-Calculation-sheet'!U77</f>
        <v>130657353.90778957</v>
      </c>
      <c r="V94" s="2">
        <f>V6/'Output-Calculation-sheet'!V5*'Output-Calculation-sheet'!V77</f>
        <v>67017490.588205159</v>
      </c>
      <c r="W94" s="2">
        <f>W6/'Output-Calculation-sheet'!W5*'Output-Calculation-sheet'!W77</f>
        <v>194465251.02513176</v>
      </c>
      <c r="X94" s="2">
        <f>X6/'Output-Calculation-sheet'!X5*'Output-Calculation-sheet'!X77</f>
        <v>67250053.937438741</v>
      </c>
      <c r="Y94" s="2">
        <f>Y6/'Output-Calculation-sheet'!Y5*'Output-Calculation-sheet'!Y77</f>
        <v>106626120.53622364</v>
      </c>
      <c r="AA94" s="2">
        <f t="shared" si="8"/>
        <v>20.400411451936694</v>
      </c>
    </row>
    <row r="95" spans="1:27" x14ac:dyDescent="0.25">
      <c r="A95" s="2">
        <v>2030</v>
      </c>
      <c r="B95" s="2">
        <f>B7/'Output-Calculation-sheet'!B6*'Output-Calculation-sheet'!B78</f>
        <v>8892559045.1044922</v>
      </c>
      <c r="C95" s="2">
        <f>C7/'Output-Calculation-sheet'!C6*'Output-Calculation-sheet'!C78</f>
        <v>2985933559.8056378</v>
      </c>
      <c r="D95" s="2">
        <f>D7/'Output-Calculation-sheet'!D6*'Output-Calculation-sheet'!D78</f>
        <v>3268827217.0194545</v>
      </c>
      <c r="E95" s="2">
        <f>E7/'Output-Calculation-sheet'!E6*'Output-Calculation-sheet'!E78</f>
        <v>5650981527.1223888</v>
      </c>
      <c r="F95" s="2">
        <f>F7/'Output-Calculation-sheet'!F6*'Output-Calculation-sheet'!F78</f>
        <v>2343002848.2167053</v>
      </c>
      <c r="G95" s="2">
        <f>G7/'Output-Calculation-sheet'!G6*'Output-Calculation-sheet'!G78</f>
        <v>1874489713.9958615</v>
      </c>
      <c r="H95" s="2">
        <f>H7/'Output-Calculation-sheet'!H6*'Output-Calculation-sheet'!H78</f>
        <v>1564419833.8031774</v>
      </c>
      <c r="I95" s="2">
        <f>I7/'Output-Calculation-sheet'!I6*'Output-Calculation-sheet'!I78</f>
        <v>1259019779.9378614</v>
      </c>
      <c r="J95" s="2">
        <f>J7/'Output-Calculation-sheet'!J6*'Output-Calculation-sheet'!J78</f>
        <v>876095116.92525661</v>
      </c>
      <c r="K95" s="2">
        <f>K7/'Output-Calculation-sheet'!K6*'Output-Calculation-sheet'!K78</f>
        <v>1243590812.6081772</v>
      </c>
      <c r="L95" s="2">
        <f>L7/'Output-Calculation-sheet'!L6*'Output-Calculation-sheet'!L78</f>
        <v>851079571.54020834</v>
      </c>
      <c r="M95" s="2">
        <f>M7/'Output-Calculation-sheet'!M6*'Output-Calculation-sheet'!M78</f>
        <v>1163971082.2983732</v>
      </c>
      <c r="N95" s="2">
        <f>N7/'Output-Calculation-sheet'!N6*'Output-Calculation-sheet'!N78</f>
        <v>882305926.62456155</v>
      </c>
      <c r="O95" s="2">
        <f>O7/'Output-Calculation-sheet'!O6*'Output-Calculation-sheet'!O78</f>
        <v>435937745.82001567</v>
      </c>
      <c r="P95" s="2">
        <f>P7/'Output-Calculation-sheet'!P6*'Output-Calculation-sheet'!P78</f>
        <v>1487991365.3855639</v>
      </c>
      <c r="Q95" s="2">
        <f>Q7/'Output-Calculation-sheet'!Q6*'Output-Calculation-sheet'!Q78</f>
        <v>692201199.27202606</v>
      </c>
      <c r="R95" s="2">
        <f>R7/'Output-Calculation-sheet'!R6*'Output-Calculation-sheet'!R78</f>
        <v>852244551.31309211</v>
      </c>
      <c r="S95" s="2">
        <f>S7/'Output-Calculation-sheet'!S6*'Output-Calculation-sheet'!S78</f>
        <v>498661559.7766993</v>
      </c>
      <c r="T95" s="2">
        <f>T7/'Output-Calculation-sheet'!T6*'Output-Calculation-sheet'!T78</f>
        <v>386005742.14735484</v>
      </c>
      <c r="U95" s="2">
        <f>U7/'Output-Calculation-sheet'!U6*'Output-Calculation-sheet'!U78</f>
        <v>238292344.47321224</v>
      </c>
      <c r="V95" s="2">
        <f>V7/'Output-Calculation-sheet'!V6*'Output-Calculation-sheet'!V78</f>
        <v>122295661.34855743</v>
      </c>
      <c r="W95" s="2">
        <f>W7/'Output-Calculation-sheet'!W6*'Output-Calculation-sheet'!W78</f>
        <v>368281452.9223249</v>
      </c>
      <c r="X95" s="2">
        <f>X7/'Output-Calculation-sheet'!X6*'Output-Calculation-sheet'!X78</f>
        <v>126898945.5492972</v>
      </c>
      <c r="Y95" s="2">
        <f>Y7/'Output-Calculation-sheet'!Y6*'Output-Calculation-sheet'!Y78</f>
        <v>202539160.57501948</v>
      </c>
      <c r="AA95" s="2">
        <f t="shared" si="8"/>
        <v>38.267625763585322</v>
      </c>
    </row>
    <row r="96" spans="1:27" x14ac:dyDescent="0.25">
      <c r="A96" s="2">
        <v>2031</v>
      </c>
      <c r="B96" s="2">
        <f>B8/'Output-Calculation-sheet'!B7*'Output-Calculation-sheet'!B79</f>
        <v>13842855045.598328</v>
      </c>
      <c r="C96" s="2">
        <f>C8/'Output-Calculation-sheet'!C7*'Output-Calculation-sheet'!C79</f>
        <v>4683100775.4327602</v>
      </c>
      <c r="D96" s="2">
        <f>D8/'Output-Calculation-sheet'!D7*'Output-Calculation-sheet'!D79</f>
        <v>4888848791.3122072</v>
      </c>
      <c r="E96" s="2">
        <f>E8/'Output-Calculation-sheet'!E7*'Output-Calculation-sheet'!E79</f>
        <v>8691956890.3029346</v>
      </c>
      <c r="F96" s="2">
        <f>F8/'Output-Calculation-sheet'!F7*'Output-Calculation-sheet'!F79</f>
        <v>3597515304.6337719</v>
      </c>
      <c r="G96" s="2">
        <f>G8/'Output-Calculation-sheet'!G7*'Output-Calculation-sheet'!G79</f>
        <v>2802168607.694366</v>
      </c>
      <c r="H96" s="2">
        <f>H8/'Output-Calculation-sheet'!H7*'Output-Calculation-sheet'!H79</f>
        <v>2398498074.8692508</v>
      </c>
      <c r="I96" s="2">
        <f>I8/'Output-Calculation-sheet'!I7*'Output-Calculation-sheet'!I79</f>
        <v>1952008341.5106936</v>
      </c>
      <c r="J96" s="2">
        <f>J8/'Output-Calculation-sheet'!J7*'Output-Calculation-sheet'!J79</f>
        <v>1319998459.8490953</v>
      </c>
      <c r="K96" s="2">
        <f>K8/'Output-Calculation-sheet'!K7*'Output-Calculation-sheet'!K79</f>
        <v>1888524033.9863298</v>
      </c>
      <c r="L96" s="2">
        <f>L8/'Output-Calculation-sheet'!L7*'Output-Calculation-sheet'!L79</f>
        <v>1332540915.1210768</v>
      </c>
      <c r="M96" s="2">
        <f>M8/'Output-Calculation-sheet'!M7*'Output-Calculation-sheet'!M79</f>
        <v>1790432425.5727525</v>
      </c>
      <c r="N96" s="2">
        <f>N8/'Output-Calculation-sheet'!N7*'Output-Calculation-sheet'!N79</f>
        <v>1332224318.5791364</v>
      </c>
      <c r="O96" s="2">
        <f>O8/'Output-Calculation-sheet'!O7*'Output-Calculation-sheet'!O79</f>
        <v>673485022.03717041</v>
      </c>
      <c r="P96" s="2">
        <f>P8/'Output-Calculation-sheet'!P7*'Output-Calculation-sheet'!P79</f>
        <v>2252666145.58815</v>
      </c>
      <c r="Q96" s="2">
        <f>Q8/'Output-Calculation-sheet'!Q7*'Output-Calculation-sheet'!Q79</f>
        <v>1049838776.0115258</v>
      </c>
      <c r="R96" s="2">
        <f>R8/'Output-Calculation-sheet'!R7*'Output-Calculation-sheet'!R79</f>
        <v>1309798671.4137244</v>
      </c>
      <c r="S96" s="2">
        <f>S8/'Output-Calculation-sheet'!S7*'Output-Calculation-sheet'!S79</f>
        <v>763198471.4613893</v>
      </c>
      <c r="T96" s="2">
        <f>T8/'Output-Calculation-sheet'!T7*'Output-Calculation-sheet'!T79</f>
        <v>582907933.89697993</v>
      </c>
      <c r="U96" s="2">
        <f>U8/'Output-Calculation-sheet'!U7*'Output-Calculation-sheet'!U79</f>
        <v>366167782.82370049</v>
      </c>
      <c r="V96" s="2">
        <f>V8/'Output-Calculation-sheet'!V7*'Output-Calculation-sheet'!V79</f>
        <v>189986940.44679445</v>
      </c>
      <c r="W96" s="2">
        <f>W8/'Output-Calculation-sheet'!W7*'Output-Calculation-sheet'!W79</f>
        <v>561396006.25006759</v>
      </c>
      <c r="X96" s="2">
        <f>X8/'Output-Calculation-sheet'!X7*'Output-Calculation-sheet'!X79</f>
        <v>197314808.96691796</v>
      </c>
      <c r="Y96" s="2">
        <f>Y8/'Output-Calculation-sheet'!Y7*'Output-Calculation-sheet'!Y79</f>
        <v>308597640.43304467</v>
      </c>
      <c r="AA96" s="2">
        <f t="shared" si="8"/>
        <v>58.77603018379218</v>
      </c>
    </row>
    <row r="97" spans="1:27" x14ac:dyDescent="0.25">
      <c r="A97" s="2">
        <v>2032</v>
      </c>
      <c r="B97" s="2">
        <f>B9/'Output-Calculation-sheet'!B8*'Output-Calculation-sheet'!B80</f>
        <v>18443126859.04108</v>
      </c>
      <c r="C97" s="2">
        <f>C9/'Output-Calculation-sheet'!C8*'Output-Calculation-sheet'!C80</f>
        <v>6281828420.7414789</v>
      </c>
      <c r="D97" s="2">
        <f>D9/'Output-Calculation-sheet'!D8*'Output-Calculation-sheet'!D80</f>
        <v>6259230529.0292215</v>
      </c>
      <c r="E97" s="2">
        <f>E9/'Output-Calculation-sheet'!E8*'Output-Calculation-sheet'!E80</f>
        <v>11447196246.215372</v>
      </c>
      <c r="F97" s="2">
        <f>F9/'Output-Calculation-sheet'!F8*'Output-Calculation-sheet'!F80</f>
        <v>4728837696.5183601</v>
      </c>
      <c r="G97" s="2">
        <f>G9/'Output-Calculation-sheet'!G8*'Output-Calculation-sheet'!G80</f>
        <v>3579470332.3429365</v>
      </c>
      <c r="H97" s="2">
        <f>H9/'Output-Calculation-sheet'!H8*'Output-Calculation-sheet'!H80</f>
        <v>3149210903.0252881</v>
      </c>
      <c r="I97" s="2">
        <f>I9/'Output-Calculation-sheet'!I8*'Output-Calculation-sheet'!I80</f>
        <v>2590518222.1136985</v>
      </c>
      <c r="J97" s="2">
        <f>J9/'Output-Calculation-sheet'!J8*'Output-Calculation-sheet'!J80</f>
        <v>1703026625.1038954</v>
      </c>
      <c r="K97" s="2">
        <f>K9/'Output-Calculation-sheet'!K8*'Output-Calculation-sheet'!K80</f>
        <v>2455271697.231235</v>
      </c>
      <c r="L97" s="2">
        <f>L9/'Output-Calculation-sheet'!L8*'Output-Calculation-sheet'!L80</f>
        <v>1787031075.7828784</v>
      </c>
      <c r="M97" s="2">
        <f>M9/'Output-Calculation-sheet'!M8*'Output-Calculation-sheet'!M80</f>
        <v>2357787579.3657789</v>
      </c>
      <c r="N97" s="2">
        <f>N9/'Output-Calculation-sheet'!N8*'Output-Calculation-sheet'!N80</f>
        <v>1722679066.5565758</v>
      </c>
      <c r="O97" s="2">
        <f>O9/'Output-Calculation-sheet'!O8*'Output-Calculation-sheet'!O80</f>
        <v>891201323.41392434</v>
      </c>
      <c r="P97" s="2">
        <f>P9/'Output-Calculation-sheet'!P8*'Output-Calculation-sheet'!P80</f>
        <v>2915843148.7842784</v>
      </c>
      <c r="Q97" s="2">
        <f>Q9/'Output-Calculation-sheet'!Q8*'Output-Calculation-sheet'!Q80</f>
        <v>1363919610.5343716</v>
      </c>
      <c r="R97" s="2">
        <f>R9/'Output-Calculation-sheet'!R8*'Output-Calculation-sheet'!R80</f>
        <v>1723308951.8817701</v>
      </c>
      <c r="S97" s="2">
        <f>S9/'Output-Calculation-sheet'!S8*'Output-Calculation-sheet'!S80</f>
        <v>1000203529.0094271</v>
      </c>
      <c r="T97" s="2">
        <f>T9/'Output-Calculation-sheet'!T8*'Output-Calculation-sheet'!T80</f>
        <v>753188433.57367992</v>
      </c>
      <c r="U97" s="2">
        <f>U9/'Output-Calculation-sheet'!U8*'Output-Calculation-sheet'!U80</f>
        <v>481507963.83392459</v>
      </c>
      <c r="V97" s="2">
        <f>V9/'Output-Calculation-sheet'!V8*'Output-Calculation-sheet'!V80</f>
        <v>252474080.53965124</v>
      </c>
      <c r="W97" s="2">
        <f>W9/'Output-Calculation-sheet'!W8*'Output-Calculation-sheet'!W80</f>
        <v>731169815.56270754</v>
      </c>
      <c r="X97" s="2">
        <f>X9/'Output-Calculation-sheet'!X8*'Output-Calculation-sheet'!X80</f>
        <v>262560522.79865283</v>
      </c>
      <c r="Y97" s="2">
        <f>Y9/'Output-Calculation-sheet'!Y8*'Output-Calculation-sheet'!Y80</f>
        <v>401898259.11992639</v>
      </c>
      <c r="AA97" s="2">
        <f t="shared" si="8"/>
        <v>77.282490892120137</v>
      </c>
    </row>
    <row r="98" spans="1:27" x14ac:dyDescent="0.25">
      <c r="A98" s="2">
        <v>2033</v>
      </c>
      <c r="B98" s="2">
        <f>B10/'Output-Calculation-sheet'!B9*'Output-Calculation-sheet'!B81</f>
        <v>21661554358.235664</v>
      </c>
      <c r="C98" s="2">
        <f>C10/'Output-Calculation-sheet'!C9*'Output-Calculation-sheet'!C81</f>
        <v>7426655002.4107399</v>
      </c>
      <c r="D98" s="2">
        <f>D10/'Output-Calculation-sheet'!D9*'Output-Calculation-sheet'!D81</f>
        <v>7067913585.2852325</v>
      </c>
      <c r="E98" s="2">
        <f>E10/'Output-Calculation-sheet'!E9*'Output-Calculation-sheet'!E81</f>
        <v>13295190165.108631</v>
      </c>
      <c r="F98" s="2">
        <f>F10/'Output-Calculation-sheet'!F9*'Output-Calculation-sheet'!F81</f>
        <v>5483257783.2319889</v>
      </c>
      <c r="G98" s="2">
        <f>G10/'Output-Calculation-sheet'!G9*'Output-Calculation-sheet'!G81</f>
        <v>4025975630.84727</v>
      </c>
      <c r="H98" s="2">
        <f>H10/'Output-Calculation-sheet'!H9*'Output-Calculation-sheet'!H81</f>
        <v>3647566814.7587304</v>
      </c>
      <c r="I98" s="2">
        <f>I10/'Output-Calculation-sheet'!I9*'Output-Calculation-sheet'!I81</f>
        <v>3032204879.7574878</v>
      </c>
      <c r="J98" s="2">
        <f>J10/'Output-Calculation-sheet'!J9*'Output-Calculation-sheet'!J81</f>
        <v>1938868225.8093719</v>
      </c>
      <c r="K98" s="2">
        <f>K10/'Output-Calculation-sheet'!K9*'Output-Calculation-sheet'!K81</f>
        <v>2816282987.3899112</v>
      </c>
      <c r="L98" s="2">
        <f>L10/'Output-Calculation-sheet'!L9*'Output-Calculation-sheet'!L81</f>
        <v>2112254397.0877652</v>
      </c>
      <c r="M98" s="2">
        <f>M10/'Output-Calculation-sheet'!M9*'Output-Calculation-sheet'!M81</f>
        <v>2739169530.2554231</v>
      </c>
      <c r="N98" s="2">
        <f>N10/'Output-Calculation-sheet'!N9*'Output-Calculation-sheet'!N81</f>
        <v>1965140413.7486436</v>
      </c>
      <c r="O98" s="2">
        <f>O10/'Output-Calculation-sheet'!O9*'Output-Calculation-sheet'!O81</f>
        <v>1040652870.7834071</v>
      </c>
      <c r="P98" s="2">
        <f>P10/'Output-Calculation-sheet'!P9*'Output-Calculation-sheet'!P81</f>
        <v>3325624634.3974724</v>
      </c>
      <c r="Q98" s="2">
        <f>Q10/'Output-Calculation-sheet'!Q9*'Output-Calculation-sheet'!Q81</f>
        <v>1563624396.5505426</v>
      </c>
      <c r="R98" s="2">
        <f>R10/'Output-Calculation-sheet'!R9*'Output-Calculation-sheet'!R81</f>
        <v>2000112161.1381245</v>
      </c>
      <c r="S98" s="2">
        <f>S10/'Output-Calculation-sheet'!S9*'Output-Calculation-sheet'!S81</f>
        <v>1156420926.6994066</v>
      </c>
      <c r="T98" s="2">
        <f>T10/'Output-Calculation-sheet'!T9*'Output-Calculation-sheet'!T81</f>
        <v>858111902.30217791</v>
      </c>
      <c r="U98" s="2">
        <f>U10/'Output-Calculation-sheet'!U9*'Output-Calculation-sheet'!U81</f>
        <v>558343257.69512796</v>
      </c>
      <c r="V98" s="2">
        <f>V10/'Output-Calculation-sheet'!V9*'Output-Calculation-sheet'!V81</f>
        <v>295707991.64535326</v>
      </c>
      <c r="W98" s="2">
        <f>W10/'Output-Calculation-sheet'!W9*'Output-Calculation-sheet'!W81</f>
        <v>838434175.66305339</v>
      </c>
      <c r="X98" s="2">
        <f>X10/'Output-Calculation-sheet'!X9*'Output-Calculation-sheet'!X81</f>
        <v>308099192.50774521</v>
      </c>
      <c r="Y98" s="2">
        <f>Y10/'Output-Calculation-sheet'!Y9*'Output-Calculation-sheet'!Y81</f>
        <v>461023032.9790144</v>
      </c>
      <c r="AA98" s="2">
        <f t="shared" si="8"/>
        <v>89.618188316288283</v>
      </c>
    </row>
    <row r="99" spans="1:27" x14ac:dyDescent="0.25">
      <c r="A99" s="2">
        <v>2034</v>
      </c>
      <c r="B99" s="2">
        <f>B11/'Output-Calculation-sheet'!B10*'Output-Calculation-sheet'!B82</f>
        <v>22787694144.901455</v>
      </c>
      <c r="C99" s="2">
        <f>C11/'Output-Calculation-sheet'!C10*'Output-Calculation-sheet'!C82</f>
        <v>7862689408.5302362</v>
      </c>
      <c r="D99" s="2">
        <f>D11/'Output-Calculation-sheet'!D10*'Output-Calculation-sheet'!D82</f>
        <v>7152835712.2537813</v>
      </c>
      <c r="E99" s="2">
        <f>E11/'Output-Calculation-sheet'!E10*'Output-Calculation-sheet'!E82</f>
        <v>13836533460.771969</v>
      </c>
      <c r="F99" s="2">
        <f>F11/'Output-Calculation-sheet'!F10*'Output-Calculation-sheet'!F82</f>
        <v>5698559134.5347624</v>
      </c>
      <c r="G99" s="2">
        <f>G11/'Output-Calculation-sheet'!G10*'Output-Calculation-sheet'!G82</f>
        <v>4051270033.5053854</v>
      </c>
      <c r="H99" s="2">
        <f>H11/'Output-Calculation-sheet'!H10*'Output-Calculation-sheet'!H82</f>
        <v>3786647391.8865662</v>
      </c>
      <c r="I99" s="2">
        <f>I11/'Output-Calculation-sheet'!I10*'Output-Calculation-sheet'!I82</f>
        <v>3180520194.4776459</v>
      </c>
      <c r="J99" s="2">
        <f>J11/'Output-Calculation-sheet'!J10*'Output-Calculation-sheet'!J82</f>
        <v>1979236500.6049285</v>
      </c>
      <c r="K99" s="2">
        <f>K11/'Output-Calculation-sheet'!K10*'Output-Calculation-sheet'!K82</f>
        <v>2895882729.3105493</v>
      </c>
      <c r="L99" s="2">
        <f>L11/'Output-Calculation-sheet'!L10*'Output-Calculation-sheet'!L82</f>
        <v>2235833241.1552701</v>
      </c>
      <c r="M99" s="2">
        <f>M11/'Output-Calculation-sheet'!M10*'Output-Calculation-sheet'!M82</f>
        <v>2852411293.4633393</v>
      </c>
      <c r="N99" s="2">
        <f>N11/'Output-Calculation-sheet'!N10*'Output-Calculation-sheet'!N82</f>
        <v>2009526421.4658523</v>
      </c>
      <c r="O99" s="2">
        <f>O11/'Output-Calculation-sheet'!O10*'Output-Calculation-sheet'!O82</f>
        <v>1089465123.0559912</v>
      </c>
      <c r="P99" s="2">
        <f>P11/'Output-Calculation-sheet'!P10*'Output-Calculation-sheet'!P82</f>
        <v>3396109597.063251</v>
      </c>
      <c r="Q99" s="2">
        <f>Q11/'Output-Calculation-sheet'!Q10*'Output-Calculation-sheet'!Q82</f>
        <v>1607252474.6925044</v>
      </c>
      <c r="R99" s="2">
        <f>R11/'Output-Calculation-sheet'!R10*'Output-Calculation-sheet'!R82</f>
        <v>2080580895.5803547</v>
      </c>
      <c r="S99" s="2">
        <f>S11/'Output-Calculation-sheet'!S10*'Output-Calculation-sheet'!S82</f>
        <v>1198472761.6170554</v>
      </c>
      <c r="T99" s="2">
        <f>T11/'Output-Calculation-sheet'!T10*'Output-Calculation-sheet'!T82</f>
        <v>875943470.80316639</v>
      </c>
      <c r="U99" s="2">
        <f>U11/'Output-Calculation-sheet'!U10*'Output-Calculation-sheet'!U82</f>
        <v>580067424.03693247</v>
      </c>
      <c r="V99" s="2">
        <f>V11/'Output-Calculation-sheet'!V10*'Output-Calculation-sheet'!V82</f>
        <v>310154819.69035614</v>
      </c>
      <c r="W99" s="2">
        <f>W11/'Output-Calculation-sheet'!W10*'Output-Calculation-sheet'!W82</f>
        <v>860070174.08389902</v>
      </c>
      <c r="X99" s="2">
        <f>X11/'Output-Calculation-sheet'!X10*'Output-Calculation-sheet'!X82</f>
        <v>323926106.23909688</v>
      </c>
      <c r="Y99" s="2">
        <f>Y11/'Output-Calculation-sheet'!Y10*'Output-Calculation-sheet'!Y82</f>
        <v>473311378.38320708</v>
      </c>
      <c r="AA99" s="2">
        <f t="shared" si="8"/>
        <v>93.124993892107511</v>
      </c>
    </row>
    <row r="100" spans="1:27" x14ac:dyDescent="0.25">
      <c r="A100" s="2">
        <v>2035</v>
      </c>
      <c r="B100" s="2">
        <f>B12/'Output-Calculation-sheet'!B11*'Output-Calculation-sheet'!B83</f>
        <v>21603346593.682827</v>
      </c>
      <c r="C100" s="2">
        <f>C12/'Output-Calculation-sheet'!C11*'Output-Calculation-sheet'!C83</f>
        <v>7500331047.7723913</v>
      </c>
      <c r="D100" s="2">
        <f>D12/'Output-Calculation-sheet'!D11*'Output-Calculation-sheet'!D83</f>
        <v>6528076468.6372833</v>
      </c>
      <c r="E100" s="2">
        <f>E12/'Output-Calculation-sheet'!E11*'Output-Calculation-sheet'!E83</f>
        <v>12982659664.055347</v>
      </c>
      <c r="F100" s="2">
        <f>F12/'Output-Calculation-sheet'!F11*'Output-Calculation-sheet'!F83</f>
        <v>5340548529.7241249</v>
      </c>
      <c r="G100" s="2">
        <f>G12/'Output-Calculation-sheet'!G11*'Output-Calculation-sheet'!G83</f>
        <v>3669996745.1980162</v>
      </c>
      <c r="H100" s="2">
        <f>H12/'Output-Calculation-sheet'!H11*'Output-Calculation-sheet'!H83</f>
        <v>3544942589.481688</v>
      </c>
      <c r="I100" s="2">
        <f>I12/'Output-Calculation-sheet'!I11*'Output-Calculation-sheet'!I83</f>
        <v>3007813768.7525029</v>
      </c>
      <c r="J100" s="2">
        <f>J12/'Output-Calculation-sheet'!J11*'Output-Calculation-sheet'!J83</f>
        <v>1822864601.6773698</v>
      </c>
      <c r="K100" s="2">
        <f>K12/'Output-Calculation-sheet'!K11*'Output-Calculation-sheet'!K83</f>
        <v>2685856022.59198</v>
      </c>
      <c r="L100" s="2">
        <f>L12/'Output-Calculation-sheet'!L11*'Output-Calculation-sheet'!L83</f>
        <v>2132416536.0205178</v>
      </c>
      <c r="M100" s="2">
        <f>M12/'Output-Calculation-sheet'!M11*'Output-Calculation-sheet'!M83</f>
        <v>2678787694.9983778</v>
      </c>
      <c r="N100" s="2">
        <f>N12/'Output-Calculation-sheet'!N11*'Output-Calculation-sheet'!N83</f>
        <v>1853509507.6763792</v>
      </c>
      <c r="O100" s="2">
        <f>O12/'Output-Calculation-sheet'!O11*'Output-Calculation-sheet'!O83</f>
        <v>1028815466.1004066</v>
      </c>
      <c r="P100" s="2">
        <f>P12/'Output-Calculation-sheet'!P11*'Output-Calculation-sheet'!P83</f>
        <v>3124585673.4555883</v>
      </c>
      <c r="Q100" s="2">
        <f>Q12/'Output-Calculation-sheet'!Q11*'Output-Calculation-sheet'!Q83</f>
        <v>1490441689.8074439</v>
      </c>
      <c r="R100" s="2">
        <f>R12/'Output-Calculation-sheet'!R11*'Output-Calculation-sheet'!R83</f>
        <v>1951650321.4194045</v>
      </c>
      <c r="S100" s="2">
        <f>S12/'Output-Calculation-sheet'!S11*'Output-Calculation-sheet'!S83</f>
        <v>1120147010.3921266</v>
      </c>
      <c r="T100" s="2">
        <f>T12/'Output-Calculation-sheet'!T11*'Output-Calculation-sheet'!T83</f>
        <v>806117743.9213239</v>
      </c>
      <c r="U100" s="2">
        <f>U12/'Output-Calculation-sheet'!U11*'Output-Calculation-sheet'!U83</f>
        <v>543232087.37585568</v>
      </c>
      <c r="V100" s="2">
        <f>V12/'Output-Calculation-sheet'!V11*'Output-Calculation-sheet'!V83</f>
        <v>293105273.71967578</v>
      </c>
      <c r="W100" s="2">
        <f>W12/'Output-Calculation-sheet'!W11*'Output-Calculation-sheet'!W83</f>
        <v>794094194.43184721</v>
      </c>
      <c r="X100" s="2">
        <f>X12/'Output-Calculation-sheet'!X11*'Output-Calculation-sheet'!X83</f>
        <v>307004358.34227288</v>
      </c>
      <c r="Y100" s="2">
        <f>Y12/'Output-Calculation-sheet'!Y11*'Output-Calculation-sheet'!Y83</f>
        <v>437593300.36845326</v>
      </c>
      <c r="AA100" s="2">
        <f t="shared" si="8"/>
        <v>87.247936889603196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3F77-DE23-4E3E-BCE4-97F674DE8B83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115437324158.81642</v>
      </c>
      <c r="C8" s="2">
        <v>54399876035.121178</v>
      </c>
      <c r="D8" s="2">
        <v>48484995973.473839</v>
      </c>
      <c r="E8" s="2">
        <v>38467924202.786407</v>
      </c>
      <c r="F8" s="2">
        <v>24763183217.430328</v>
      </c>
      <c r="G8" s="2">
        <v>17399292135.786549</v>
      </c>
      <c r="H8" s="2">
        <v>16972341575.603231</v>
      </c>
      <c r="I8" s="2">
        <v>15852124759.280712</v>
      </c>
      <c r="J8" s="2">
        <v>15429363387.267155</v>
      </c>
      <c r="K8" s="2">
        <v>15281448267.946632</v>
      </c>
      <c r="L8" s="2">
        <v>12258976480.510439</v>
      </c>
      <c r="M8" s="2">
        <v>11709436155.522043</v>
      </c>
      <c r="N8" s="2">
        <v>11492777768.778736</v>
      </c>
      <c r="O8" s="2">
        <v>10569943155.492228</v>
      </c>
      <c r="P8" s="2">
        <v>10462402341.125278</v>
      </c>
      <c r="Q8" s="2">
        <v>10293313010.359619</v>
      </c>
      <c r="R8" s="2">
        <v>9902640566.0920982</v>
      </c>
      <c r="S8" s="2">
        <v>6581802200.0533371</v>
      </c>
      <c r="T8" s="2">
        <v>3640125522.0902729</v>
      </c>
      <c r="U8" s="2">
        <v>3170424951.8561473</v>
      </c>
      <c r="V8" s="2">
        <v>2441290621.4282722</v>
      </c>
      <c r="W8" s="2">
        <v>2113616634.5707633</v>
      </c>
      <c r="X8" s="2">
        <v>1268169980.7424588</v>
      </c>
      <c r="Y8" s="2">
        <v>1233282624.5722318</v>
      </c>
    </row>
    <row r="9" spans="1:27" x14ac:dyDescent="0.25">
      <c r="A9" s="2">
        <v>2032</v>
      </c>
      <c r="B9" s="2">
        <v>129652667705.26318</v>
      </c>
      <c r="C9" s="2">
        <v>61098861240.802628</v>
      </c>
      <c r="D9" s="2">
        <v>54455602790.925606</v>
      </c>
      <c r="E9" s="2">
        <v>43204994834.369637</v>
      </c>
      <c r="F9" s="2">
        <v>27812605571.114468</v>
      </c>
      <c r="G9" s="2">
        <v>19541899970.622654</v>
      </c>
      <c r="H9" s="2">
        <v>19062373270.663231</v>
      </c>
      <c r="I9" s="2">
        <v>17804209156.908356</v>
      </c>
      <c r="J9" s="2">
        <v>17329387515.955505</v>
      </c>
      <c r="K9" s="2">
        <v>17163257627.259682</v>
      </c>
      <c r="L9" s="2">
        <v>13768588414.675817</v>
      </c>
      <c r="M9" s="2">
        <v>13151375830.569664</v>
      </c>
      <c r="N9" s="2">
        <v>12908037395.391264</v>
      </c>
      <c r="O9" s="2">
        <v>11871561798.479977</v>
      </c>
      <c r="P9" s="2">
        <v>11750778043.559525</v>
      </c>
      <c r="Q9" s="2">
        <v>11560866479.219168</v>
      </c>
      <c r="R9" s="2">
        <v>11122085305.388994</v>
      </c>
      <c r="S9" s="2">
        <v>7392307641.9483328</v>
      </c>
      <c r="T9" s="2">
        <v>4088382922.5954294</v>
      </c>
      <c r="U9" s="2">
        <v>3560841831.3816762</v>
      </c>
      <c r="V9" s="2">
        <v>2741919427.0005207</v>
      </c>
      <c r="W9" s="2">
        <v>2373894554.2544489</v>
      </c>
      <c r="X9" s="2">
        <v>1424336732.5526702</v>
      </c>
      <c r="Y9" s="2">
        <v>1385153229.0401442</v>
      </c>
    </row>
    <row r="10" spans="1:27" x14ac:dyDescent="0.25">
      <c r="A10" s="2">
        <v>2033</v>
      </c>
      <c r="B10" s="2">
        <v>138706781470.43759</v>
      </c>
      <c r="C10" s="2">
        <v>65365615256.650574</v>
      </c>
      <c r="D10" s="2">
        <v>58258434090.479141</v>
      </c>
      <c r="E10" s="2">
        <v>46222155571.419983</v>
      </c>
      <c r="F10" s="2">
        <v>29754860207.318695</v>
      </c>
      <c r="G10" s="2">
        <v>20906581381.759506</v>
      </c>
      <c r="H10" s="2">
        <v>20393567601.497643</v>
      </c>
      <c r="I10" s="2">
        <v>19047541346.355194</v>
      </c>
      <c r="J10" s="2">
        <v>18539561196.353176</v>
      </c>
      <c r="K10" s="2">
        <v>18361829857.886433</v>
      </c>
      <c r="L10" s="2">
        <v>14730098641.181376</v>
      </c>
      <c r="M10" s="2">
        <v>14069783874.507729</v>
      </c>
      <c r="N10" s="2">
        <v>13809452238.074471</v>
      </c>
      <c r="O10" s="2">
        <v>12700595809.088097</v>
      </c>
      <c r="P10" s="2">
        <v>12571377288.594435</v>
      </c>
      <c r="Q10" s="2">
        <v>12368203514.233315</v>
      </c>
      <c r="R10" s="2">
        <v>11898780667.260662</v>
      </c>
      <c r="S10" s="2">
        <v>7908539167.0066576</v>
      </c>
      <c r="T10" s="2">
        <v>4373889459.0357323</v>
      </c>
      <c r="U10" s="2">
        <v>3809508269.2710443</v>
      </c>
      <c r="V10" s="2">
        <v>2933397557.5040913</v>
      </c>
      <c r="W10" s="2">
        <v>2539672179.5140276</v>
      </c>
      <c r="X10" s="2">
        <v>1523803307.7084174</v>
      </c>
      <c r="Y10" s="2">
        <v>1481883478.7133565</v>
      </c>
    </row>
    <row r="11" spans="1:27" x14ac:dyDescent="0.25">
      <c r="A11" s="2">
        <v>2034</v>
      </c>
      <c r="B11" s="2">
        <v>143023383650.79559</v>
      </c>
      <c r="C11" s="2">
        <v>67399815418.647972</v>
      </c>
      <c r="D11" s="2">
        <v>60071456359.132996</v>
      </c>
      <c r="E11" s="2">
        <v>47660604761.901436</v>
      </c>
      <c r="F11" s="2">
        <v>30680841569.48111</v>
      </c>
      <c r="G11" s="2">
        <v>21557201299.687378</v>
      </c>
      <c r="H11" s="2">
        <v>21028222356.230495</v>
      </c>
      <c r="I11" s="2">
        <v>19640307306.566448</v>
      </c>
      <c r="J11" s="2">
        <v>19116518641.653828</v>
      </c>
      <c r="K11" s="2">
        <v>18933256243.530087</v>
      </c>
      <c r="L11" s="2">
        <v>15188504317.078079</v>
      </c>
      <c r="M11" s="2">
        <v>14507640330.450443</v>
      </c>
      <c r="N11" s="2">
        <v>14239207085.014864</v>
      </c>
      <c r="O11" s="2">
        <v>13095842667.101599</v>
      </c>
      <c r="P11" s="2">
        <v>12962602822.333866</v>
      </c>
      <c r="Q11" s="2">
        <v>12753106211.063824</v>
      </c>
      <c r="R11" s="2">
        <v>12269074765.554955</v>
      </c>
      <c r="S11" s="2">
        <v>8154655593.6863689</v>
      </c>
      <c r="T11" s="2">
        <v>4510006385.5145044</v>
      </c>
      <c r="U11" s="2">
        <v>3928061461.3132954</v>
      </c>
      <c r="V11" s="2">
        <v>3024685886.4404659</v>
      </c>
      <c r="W11" s="2">
        <v>2618707640.8755283</v>
      </c>
      <c r="X11" s="2">
        <v>1571224584.5253179</v>
      </c>
      <c r="Y11" s="2">
        <v>1528000196.205024</v>
      </c>
    </row>
    <row r="12" spans="1:27" x14ac:dyDescent="0.25">
      <c r="A12" s="2">
        <v>2035</v>
      </c>
      <c r="B12" s="2">
        <v>143187215953.00287</v>
      </c>
      <c r="C12" s="2">
        <v>67477021443.610596</v>
      </c>
      <c r="D12" s="2">
        <v>60140267799.199944</v>
      </c>
      <c r="E12" s="2">
        <v>47715199656.829933</v>
      </c>
      <c r="F12" s="2">
        <v>30715986262.46542</v>
      </c>
      <c r="G12" s="2">
        <v>21581894925.498219</v>
      </c>
      <c r="H12" s="2">
        <v>21052310040.300106</v>
      </c>
      <c r="I12" s="2">
        <v>19662805143.493233</v>
      </c>
      <c r="J12" s="2">
        <v>19138416482.267757</v>
      </c>
      <c r="K12" s="2">
        <v>18954944158.327507</v>
      </c>
      <c r="L12" s="2">
        <v>15205902644.30146</v>
      </c>
      <c r="M12" s="2">
        <v>14524258732.660364</v>
      </c>
      <c r="N12" s="2">
        <v>14255517998.788513</v>
      </c>
      <c r="O12" s="2">
        <v>13110843864.798988</v>
      </c>
      <c r="P12" s="2">
        <v>12977451394.705544</v>
      </c>
      <c r="Q12" s="2">
        <v>12767714806.508284</v>
      </c>
      <c r="R12" s="2">
        <v>12283128906.30792</v>
      </c>
      <c r="S12" s="2">
        <v>8163996695.578371</v>
      </c>
      <c r="T12" s="2">
        <v>4515172566.8077145</v>
      </c>
      <c r="U12" s="2">
        <v>3932561028.6986527</v>
      </c>
      <c r="V12" s="2">
        <v>3028150643.3185387</v>
      </c>
      <c r="W12" s="2">
        <v>2621707352.465766</v>
      </c>
      <c r="X12" s="2">
        <v>1573024411.479461</v>
      </c>
      <c r="Y12" s="2">
        <v>1529750509.9196584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1983.6295847142874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618.8655377603767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426.9700839418449</v>
      </c>
      <c r="N16" s="2">
        <f>N5/'Output-Calculation-sheet'!N4*'Output-Calculation-sheet'!N22</f>
        <v>0</v>
      </c>
      <c r="O16" s="2">
        <f>O5/'Output-Calculation-sheet'!O4*'Output-Calculation-sheet'!O22</f>
        <v>385.41521815063498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46.242265149224508</v>
      </c>
      <c r="Y16" s="2">
        <f>Y5/'Output-Calculation-sheet'!Y4*'Output-Calculation-sheet'!Y22</f>
        <v>0</v>
      </c>
      <c r="AA16" s="2">
        <f t="shared" ref="AA16:AA23" si="0">SUM(B16:Y16)/1000</f>
        <v>3.4611226897163689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5907.20971218657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1741.9893210659743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1202.4961204697115</v>
      </c>
      <c r="N17" s="2">
        <f>N6/'Output-Calculation-sheet'!N5*'Output-Calculation-sheet'!N23</f>
        <v>0</v>
      </c>
      <c r="O17" s="2">
        <f>O6/'Output-Calculation-sheet'!O5*'Output-Calculation-sheet'!O23</f>
        <v>1154.9939713928168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133.71066903551042</v>
      </c>
      <c r="Y17" s="2">
        <f>Y6/'Output-Calculation-sheet'!Y5*'Output-Calculation-sheet'!Y23</f>
        <v>0</v>
      </c>
      <c r="AA17" s="2">
        <f t="shared" si="0"/>
        <v>10.140399794150582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11451.635009375932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3627.4608713827793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2501.8089914069992</v>
      </c>
      <c r="N18" s="2">
        <f>N7/'Output-Calculation-sheet'!N6*'Output-Calculation-sheet'!N24</f>
        <v>775.35046695385222</v>
      </c>
      <c r="O18" s="2">
        <f>O7/'Output-Calculation-sheet'!O6*'Output-Calculation-sheet'!O24</f>
        <v>1651.4646868636512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169.50445449421477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280.50336123624345</v>
      </c>
      <c r="Y18" s="2">
        <f>Y7/'Output-Calculation-sheet'!Y6*'Output-Calculation-sheet'!Y24</f>
        <v>0</v>
      </c>
      <c r="AA18" s="2">
        <f t="shared" si="0"/>
        <v>20.457727841713673</v>
      </c>
    </row>
    <row r="19" spans="1:27" x14ac:dyDescent="0.25">
      <c r="A19" s="2">
        <v>2031</v>
      </c>
      <c r="B19" s="2">
        <f>B8/'Output-Calculation-sheet'!B7*'Output-Calculation-sheet'!B25</f>
        <v>1283.4625279092991</v>
      </c>
      <c r="C19" s="2">
        <f>C8/'Output-Calculation-sheet'!C7*'Output-Calculation-sheet'!C25</f>
        <v>16943.631348039155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5758.2801773246765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4001.1621286061836</v>
      </c>
      <c r="N19" s="2">
        <f>N8/'Output-Calculation-sheet'!N7*'Output-Calculation-sheet'!N25</f>
        <v>1369.8661544279473</v>
      </c>
      <c r="O19" s="2">
        <f>O8/'Output-Calculation-sheet'!O7*'Output-Calculation-sheet'!O25</f>
        <v>2186.8486761912873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488.78986884835086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447.05007699817247</v>
      </c>
      <c r="Y19" s="2">
        <f>Y8/'Output-Calculation-sheet'!Y7*'Output-Calculation-sheet'!Y25</f>
        <v>0</v>
      </c>
      <c r="AA19" s="2">
        <f t="shared" si="0"/>
        <v>32.479090958345068</v>
      </c>
    </row>
    <row r="20" spans="1:27" x14ac:dyDescent="0.25">
      <c r="A20" s="2">
        <v>2032</v>
      </c>
      <c r="B20" s="2">
        <f>B9/'Output-Calculation-sheet'!B8*'Output-Calculation-sheet'!B26</f>
        <v>7446.7596928291268</v>
      </c>
      <c r="C20" s="2">
        <f>C9/'Output-Calculation-sheet'!C8*'Output-Calculation-sheet'!C26</f>
        <v>25282.240184149927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8091.567993429343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5629.0159236234222</v>
      </c>
      <c r="N20" s="2">
        <f>N9/'Output-Calculation-sheet'!N8*'Output-Calculation-sheet'!N26</f>
        <v>2540.492113496518</v>
      </c>
      <c r="O20" s="2">
        <f>O9/'Output-Calculation-sheet'!O8*'Output-Calculation-sheet'!O26</f>
        <v>2665.917132319983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923.28380693007455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629.76084645604931</v>
      </c>
      <c r="Y20" s="2">
        <f>Y9/'Output-Calculation-sheet'!Y8*'Output-Calculation-sheet'!Y26</f>
        <v>0</v>
      </c>
      <c r="AA20" s="2">
        <f t="shared" si="0"/>
        <v>53.20903769323445</v>
      </c>
    </row>
    <row r="21" spans="1:27" x14ac:dyDescent="0.25">
      <c r="A21" s="2">
        <v>2033</v>
      </c>
      <c r="B21" s="2">
        <f>B10/'Output-Calculation-sheet'!B9*'Output-Calculation-sheet'!B27</f>
        <v>18014.919252716714</v>
      </c>
      <c r="C21" s="2">
        <f>C10/'Output-Calculation-sheet'!C9*'Output-Calculation-sheet'!C27</f>
        <v>30937.612282284266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10427.363543697837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7242.4530987513535</v>
      </c>
      <c r="N21" s="2">
        <f>N10/'Output-Calculation-sheet'!N9*'Output-Calculation-sheet'!N27</f>
        <v>3962.9252492812511</v>
      </c>
      <c r="O21" s="2">
        <f>O10/'Output-Calculation-sheet'!O9*'Output-Calculation-sheet'!O27</f>
        <v>3086.771685624954</v>
      </c>
      <c r="P21" s="2">
        <f>P10/'Output-Calculation-sheet'!P9*'Output-Calculation-sheet'!P27</f>
        <v>0</v>
      </c>
      <c r="Q21" s="2">
        <f>Q10/'Output-Calculation-sheet'!Q9*'Output-Calculation-sheet'!Q27</f>
        <v>270.29774374184871</v>
      </c>
      <c r="R21" s="2">
        <f>R10/'Output-Calculation-sheet'!R9*'Output-Calculation-sheet'!R27</f>
        <v>0</v>
      </c>
      <c r="S21" s="2">
        <f>S10/'Output-Calculation-sheet'!S9*'Output-Calculation-sheet'!S27</f>
        <v>1721.2485726434024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851.65043778054928</v>
      </c>
      <c r="Y21" s="2">
        <f>Y10/'Output-Calculation-sheet'!Y9*'Output-Calculation-sheet'!Y27</f>
        <v>0</v>
      </c>
      <c r="AA21" s="2">
        <f t="shared" si="0"/>
        <v>76.515241866522189</v>
      </c>
    </row>
    <row r="22" spans="1:27" x14ac:dyDescent="0.25">
      <c r="A22" s="2">
        <v>2034</v>
      </c>
      <c r="B22" s="2">
        <f>B11/'Output-Calculation-sheet'!B10*'Output-Calculation-sheet'!B28</f>
        <v>35375.524056485556</v>
      </c>
      <c r="C22" s="2">
        <f>C11/'Output-Calculation-sheet'!C10*'Output-Calculation-sheet'!C28</f>
        <v>33938.373519433197</v>
      </c>
      <c r="D22" s="2">
        <f>D11/'Output-Calculation-sheet'!D10*'Output-Calculation-sheet'!D28</f>
        <v>0</v>
      </c>
      <c r="E22" s="2">
        <f>E11/'Output-Calculation-sheet'!E10*'Output-Calculation-sheet'!E28</f>
        <v>1812.587608505097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12950.819105344048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1080.8388200134123</v>
      </c>
      <c r="M22" s="2">
        <f>M11/'Output-Calculation-sheet'!M10*'Output-Calculation-sheet'!M28</f>
        <v>9442.2855469403112</v>
      </c>
      <c r="N22" s="2">
        <f>N11/'Output-Calculation-sheet'!N10*'Output-Calculation-sheet'!N28</f>
        <v>5635.0444300619538</v>
      </c>
      <c r="O22" s="2">
        <f>O11/'Output-Calculation-sheet'!O10*'Output-Calculation-sheet'!O28</f>
        <v>3482.8263631416885</v>
      </c>
      <c r="P22" s="2">
        <f>P11/'Output-Calculation-sheet'!P10*'Output-Calculation-sheet'!P28</f>
        <v>0</v>
      </c>
      <c r="Q22" s="2">
        <f>Q11/'Output-Calculation-sheet'!Q10*'Output-Calculation-sheet'!Q28</f>
        <v>1280.1057298480018</v>
      </c>
      <c r="R22" s="2">
        <f>R11/'Output-Calculation-sheet'!R10*'Output-Calculation-sheet'!R28</f>
        <v>0</v>
      </c>
      <c r="S22" s="2">
        <f>S11/'Output-Calculation-sheet'!S10*'Output-Calculation-sheet'!S28</f>
        <v>2874.6673257591601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948.16609324413389</v>
      </c>
      <c r="Y22" s="2">
        <f>Y11/'Output-Calculation-sheet'!Y10*'Output-Calculation-sheet'!Y28</f>
        <v>98.350279590911455</v>
      </c>
      <c r="AA22" s="2">
        <f t="shared" si="0"/>
        <v>108.91958887836749</v>
      </c>
    </row>
    <row r="23" spans="1:27" x14ac:dyDescent="0.25">
      <c r="A23" s="2">
        <v>2035</v>
      </c>
      <c r="B23" s="2">
        <f>B12/'Output-Calculation-sheet'!B11*'Output-Calculation-sheet'!B29</f>
        <v>42839.011423697644</v>
      </c>
      <c r="C23" s="2">
        <f>C12/'Output-Calculation-sheet'!C11*'Output-Calculation-sheet'!C29</f>
        <v>34990.371168335849</v>
      </c>
      <c r="D23" s="2">
        <f>D12/'Output-Calculation-sheet'!D11*'Output-Calculation-sheet'!D29</f>
        <v>0</v>
      </c>
      <c r="E23" s="2">
        <f>E12/'Output-Calculation-sheet'!E11*'Output-Calculation-sheet'!E29</f>
        <v>6604.7302915214523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13469.441591756993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1497.2390606410615</v>
      </c>
      <c r="M23" s="2">
        <f>M12/'Output-Calculation-sheet'!M11*'Output-Calculation-sheet'!M29</f>
        <v>9868.4974949937387</v>
      </c>
      <c r="N23" s="2">
        <f>N12/'Output-Calculation-sheet'!N11*'Output-Calculation-sheet'!N29</f>
        <v>5756.8450512429808</v>
      </c>
      <c r="O23" s="2">
        <f>O12/'Output-Calculation-sheet'!O11*'Output-Calculation-sheet'!O29</f>
        <v>3880.8212695741945</v>
      </c>
      <c r="P23" s="2">
        <f>P12/'Output-Calculation-sheet'!P11*'Output-Calculation-sheet'!P29</f>
        <v>703.09321822453978</v>
      </c>
      <c r="Q23" s="2">
        <f>Q12/'Output-Calculation-sheet'!Q11*'Output-Calculation-sheet'!Q29</f>
        <v>1578.4364198609715</v>
      </c>
      <c r="R23" s="2">
        <f>R12/'Output-Calculation-sheet'!R11*'Output-Calculation-sheet'!R29</f>
        <v>0</v>
      </c>
      <c r="S23" s="2">
        <f>S12/'Output-Calculation-sheet'!S11*'Output-Calculation-sheet'!S29</f>
        <v>3081.6401362559022</v>
      </c>
      <c r="T23" s="2">
        <f>T12/'Output-Calculation-sheet'!T11*'Output-Calculation-sheet'!T29</f>
        <v>0</v>
      </c>
      <c r="U23" s="2">
        <f>U12/'Output-Calculation-sheet'!U11*'Output-Calculation-sheet'!U29</f>
        <v>134.38246344703694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977.62822300519883</v>
      </c>
      <c r="Y23" s="2">
        <f>Y12/'Output-Calculation-sheet'!Y11*'Output-Calculation-sheet'!Y29</f>
        <v>289.4325460121662</v>
      </c>
      <c r="AA23" s="2">
        <f t="shared" si="0"/>
        <v>125.67157035856974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2504.1414456833122</v>
      </c>
      <c r="C27" s="2">
        <f>C5/'Output-Calculation-sheet'!C4*'Output-Calculation-sheet'!C13</f>
        <v>0</v>
      </c>
      <c r="D27" s="2">
        <f>D5/'Output-Calculation-sheet'!D4*'Output-Calculation-sheet'!D13</f>
        <v>447.33558611350941</v>
      </c>
      <c r="E27" s="2">
        <f>E5/'Output-Calculation-sheet'!E4*'Output-Calculation-sheet'!E13</f>
        <v>481.27782588996712</v>
      </c>
      <c r="F27" s="2">
        <f>F5/'Output-Calculation-sheet'!F4*'Output-Calculation-sheet'!F13</f>
        <v>242.82749537111511</v>
      </c>
      <c r="G27" s="2">
        <f>G5/'Output-Calculation-sheet'!G4*'Output-Calculation-sheet'!G13</f>
        <v>159.01580217807515</v>
      </c>
      <c r="H27" s="2">
        <f>H5/'Output-Calculation-sheet'!H4*'Output-Calculation-sheet'!H13</f>
        <v>0</v>
      </c>
      <c r="I27" s="2">
        <f>I5/'Output-Calculation-sheet'!I4*'Output-Calculation-sheet'!I13</f>
        <v>155.02022792977669</v>
      </c>
      <c r="J27" s="2">
        <f>J5/'Output-Calculation-sheet'!J4*'Output-Calculation-sheet'!J13</f>
        <v>137.99817189254861</v>
      </c>
      <c r="K27" s="2">
        <f>K5/'Output-Calculation-sheet'!K4*'Output-Calculation-sheet'!K13</f>
        <v>184.24557097933075</v>
      </c>
      <c r="L27" s="2">
        <f>L5/'Output-Calculation-sheet'!L4*'Output-Calculation-sheet'!L13</f>
        <v>155.62778354434798</v>
      </c>
      <c r="M27" s="2">
        <f>M5/'Output-Calculation-sheet'!M4*'Output-Calculation-sheet'!M13</f>
        <v>0</v>
      </c>
      <c r="N27" s="2">
        <f>N5/'Output-Calculation-sheet'!N4*'Output-Calculation-sheet'!N13</f>
        <v>298.70996831696249</v>
      </c>
      <c r="O27" s="2">
        <f>O5/'Output-Calculation-sheet'!O4*'Output-Calculation-sheet'!O13</f>
        <v>0</v>
      </c>
      <c r="P27" s="2">
        <f>P5/'Output-Calculation-sheet'!P4*'Output-Calculation-sheet'!P13</f>
        <v>182.4874100205131</v>
      </c>
      <c r="Q27" s="2">
        <f>Q5/'Output-Calculation-sheet'!Q4*'Output-Calculation-sheet'!Q13</f>
        <v>203.08851457760323</v>
      </c>
      <c r="R27" s="2">
        <f>R5/'Output-Calculation-sheet'!R4*'Output-Calculation-sheet'!R13</f>
        <v>137.29654783747617</v>
      </c>
      <c r="S27" s="2">
        <f>S5/'Output-Calculation-sheet'!S4*'Output-Calculation-sheet'!S13</f>
        <v>158.46088170778449</v>
      </c>
      <c r="T27" s="2">
        <f>T5/'Output-Calculation-sheet'!T4*'Output-Calculation-sheet'!T13</f>
        <v>41.614483279902437</v>
      </c>
      <c r="U27" s="2">
        <f>U5/'Output-Calculation-sheet'!U4*'Output-Calculation-sheet'!U13</f>
        <v>41.541576899447783</v>
      </c>
      <c r="V27" s="2">
        <f>V5/'Output-Calculation-sheet'!V4*'Output-Calculation-sheet'!V13</f>
        <v>32.331009028422002</v>
      </c>
      <c r="W27" s="2">
        <f>W5/'Output-Calculation-sheet'!W4*'Output-Calculation-sheet'!W13</f>
        <v>19.609201796962768</v>
      </c>
      <c r="X27" s="2">
        <f>X5/'Output-Calculation-sheet'!X4*'Output-Calculation-sheet'!X13</f>
        <v>0</v>
      </c>
      <c r="Y27" s="2">
        <f>Y5/'Output-Calculation-sheet'!Y4*'Output-Calculation-sheet'!Y13</f>
        <v>16.579717952772711</v>
      </c>
      <c r="AA27" s="2">
        <f t="shared" ref="AA27:AA34" si="1">SUM(B27:Y27)/1000</f>
        <v>5.599209220999831</v>
      </c>
    </row>
    <row r="28" spans="1:27" x14ac:dyDescent="0.25">
      <c r="A28" s="2">
        <v>2029</v>
      </c>
      <c r="B28" s="2">
        <f>B6/'Output-Calculation-sheet'!B5*'Output-Calculation-sheet'!B14</f>
        <v>6975.0614014457879</v>
      </c>
      <c r="C28" s="2">
        <f>C6/'Output-Calculation-sheet'!C5*'Output-Calculation-sheet'!C14</f>
        <v>0</v>
      </c>
      <c r="D28" s="2">
        <f>D6/'Output-Calculation-sheet'!D5*'Output-Calculation-sheet'!D14</f>
        <v>1245.9238393254443</v>
      </c>
      <c r="E28" s="2">
        <f>E6/'Output-Calculation-sheet'!E5*'Output-Calculation-sheet'!E14</f>
        <v>1340.5773800615191</v>
      </c>
      <c r="F28" s="2">
        <f>F6/'Output-Calculation-sheet'!F5*'Output-Calculation-sheet'!F14</f>
        <v>676.32842181815863</v>
      </c>
      <c r="G28" s="2">
        <f>G6/'Output-Calculation-sheet'!G5*'Output-Calculation-sheet'!G14</f>
        <v>442.9147876716487</v>
      </c>
      <c r="H28" s="2">
        <f>H6/'Output-Calculation-sheet'!H5*'Output-Calculation-sheet'!H14</f>
        <v>0</v>
      </c>
      <c r="I28" s="2">
        <f>I6/'Output-Calculation-sheet'!I5*'Output-Calculation-sheet'!I14</f>
        <v>431.78571184665856</v>
      </c>
      <c r="J28" s="2">
        <f>J6/'Output-Calculation-sheet'!J5*'Output-Calculation-sheet'!J14</f>
        <v>384.35329961501031</v>
      </c>
      <c r="K28" s="2">
        <f>K6/'Output-Calculation-sheet'!K5*'Output-Calculation-sheet'!K14</f>
        <v>513.18854372954593</v>
      </c>
      <c r="L28" s="2">
        <f>L6/'Output-Calculation-sheet'!L5*'Output-Calculation-sheet'!L14</f>
        <v>433.47796734794025</v>
      </c>
      <c r="M28" s="2">
        <f>M6/'Output-Calculation-sheet'!M5*'Output-Calculation-sheet'!M14</f>
        <v>0</v>
      </c>
      <c r="N28" s="2">
        <f>N6/'Output-Calculation-sheet'!N5*'Output-Calculation-sheet'!N14</f>
        <v>832.02677253838363</v>
      </c>
      <c r="O28" s="2">
        <f>O6/'Output-Calculation-sheet'!O5*'Output-Calculation-sheet'!O14</f>
        <v>0</v>
      </c>
      <c r="P28" s="2">
        <f>P6/'Output-Calculation-sheet'!P5*'Output-Calculation-sheet'!P14</f>
        <v>508.2914487421229</v>
      </c>
      <c r="Q28" s="2">
        <f>Q6/'Output-Calculation-sheet'!Q5*'Output-Calculation-sheet'!Q14</f>
        <v>565.68565791721255</v>
      </c>
      <c r="R28" s="2">
        <f>R6/'Output-Calculation-sheet'!R5*'Output-Calculation-sheet'!R14</f>
        <v>382.41904578380706</v>
      </c>
      <c r="S28" s="2">
        <f>S6/'Output-Calculation-sheet'!S5*'Output-Calculation-sheet'!S14</f>
        <v>441.37758385742876</v>
      </c>
      <c r="T28" s="2">
        <f>T6/'Output-Calculation-sheet'!T5*'Output-Calculation-sheet'!T14</f>
        <v>115.91093321242691</v>
      </c>
      <c r="U28" s="2">
        <f>U6/'Output-Calculation-sheet'!U5*'Output-Calculation-sheet'!U14</f>
        <v>115.70374535854505</v>
      </c>
      <c r="V28" s="2">
        <f>V6/'Output-Calculation-sheet'!V5*'Output-Calculation-sheet'!V14</f>
        <v>90.050025661151054</v>
      </c>
      <c r="W28" s="2">
        <f>W6/'Output-Calculation-sheet'!W5*'Output-Calculation-sheet'!W14</f>
        <v>54.621255024991989</v>
      </c>
      <c r="X28" s="2">
        <f>X6/'Output-Calculation-sheet'!X5*'Output-Calculation-sheet'!X14</f>
        <v>0</v>
      </c>
      <c r="Y28" s="2">
        <f>Y6/'Output-Calculation-sheet'!Y5*'Output-Calculation-sheet'!Y14</f>
        <v>46.18033023211477</v>
      </c>
      <c r="AA28" s="2">
        <f t="shared" si="1"/>
        <v>15.595878151189893</v>
      </c>
    </row>
    <row r="29" spans="1:27" x14ac:dyDescent="0.25">
      <c r="A29" s="2">
        <v>2030</v>
      </c>
      <c r="B29" s="2">
        <f>B7/'Output-Calculation-sheet'!B6*'Output-Calculation-sheet'!B15</f>
        <v>13552.6126352148</v>
      </c>
      <c r="C29" s="2">
        <f>C7/'Output-Calculation-sheet'!C6*'Output-Calculation-sheet'!C15</f>
        <v>0</v>
      </c>
      <c r="D29" s="2">
        <f>D7/'Output-Calculation-sheet'!D6*'Output-Calculation-sheet'!D15</f>
        <v>2370.7665856164185</v>
      </c>
      <c r="E29" s="2">
        <f>E7/'Output-Calculation-sheet'!E6*'Output-Calculation-sheet'!E15</f>
        <v>2550.8006949201194</v>
      </c>
      <c r="F29" s="2">
        <f>F7/'Output-Calculation-sheet'!F6*'Output-Calculation-sheet'!F15</f>
        <v>1286.9283360530835</v>
      </c>
      <c r="G29" s="2">
        <f>G7/'Output-Calculation-sheet'!G6*'Output-Calculation-sheet'!G15</f>
        <v>842.77219598129716</v>
      </c>
      <c r="H29" s="2">
        <f>H7/'Output-Calculation-sheet'!H6*'Output-Calculation-sheet'!H15</f>
        <v>0</v>
      </c>
      <c r="I29" s="2">
        <f>I7/'Output-Calculation-sheet'!I6*'Output-Calculation-sheet'!I15</f>
        <v>821.59594282078501</v>
      </c>
      <c r="J29" s="2">
        <f>J7/'Output-Calculation-sheet'!J6*'Output-Calculation-sheet'!J15</f>
        <v>731.35489294473336</v>
      </c>
      <c r="K29" s="2">
        <f>K7/'Output-Calculation-sheet'!K6*'Output-Calculation-sheet'!K15</f>
        <v>976.51335185901678</v>
      </c>
      <c r="L29" s="2">
        <f>L7/'Output-Calculation-sheet'!L6*'Output-Calculation-sheet'!L15</f>
        <v>824.83599291676478</v>
      </c>
      <c r="M29" s="2">
        <f>M7/'Output-Calculation-sheet'!M6*'Output-Calculation-sheet'!M15</f>
        <v>0</v>
      </c>
      <c r="N29" s="2">
        <f>N7/'Output-Calculation-sheet'!N6*'Output-Calculation-sheet'!N15</f>
        <v>1064.191500591799</v>
      </c>
      <c r="O29" s="2">
        <f>O7/'Output-Calculation-sheet'!O6*'Output-Calculation-sheet'!O15</f>
        <v>0</v>
      </c>
      <c r="P29" s="2">
        <f>P7/'Output-Calculation-sheet'!P6*'Output-Calculation-sheet'!P15</f>
        <v>967.17001188157531</v>
      </c>
      <c r="Q29" s="2">
        <f>Q7/'Output-Calculation-sheet'!Q6*'Output-Calculation-sheet'!Q15</f>
        <v>1089.8124823691437</v>
      </c>
      <c r="R29" s="2">
        <f>R7/'Output-Calculation-sheet'!R6*'Output-Calculation-sheet'!R15</f>
        <v>727.66172629851314</v>
      </c>
      <c r="S29" s="2">
        <f>S7/'Output-Calculation-sheet'!S6*'Output-Calculation-sheet'!S15</f>
        <v>751.59757644000138</v>
      </c>
      <c r="T29" s="2">
        <f>T7/'Output-Calculation-sheet'!T6*'Output-Calculation-sheet'!T15</f>
        <v>220.55373728929908</v>
      </c>
      <c r="U29" s="2">
        <f>U7/'Output-Calculation-sheet'!U6*'Output-Calculation-sheet'!U15</f>
        <v>220.1621149747352</v>
      </c>
      <c r="V29" s="2">
        <f>V7/'Output-Calculation-sheet'!V6*'Output-Calculation-sheet'!V15</f>
        <v>171.34797035911538</v>
      </c>
      <c r="W29" s="2">
        <f>W7/'Output-Calculation-sheet'!W6*'Output-Calculation-sheet'!W15</f>
        <v>103.93083250045947</v>
      </c>
      <c r="X29" s="2">
        <f>X7/'Output-Calculation-sheet'!X6*'Output-Calculation-sheet'!X15</f>
        <v>0</v>
      </c>
      <c r="Y29" s="2">
        <f>Y7/'Output-Calculation-sheet'!Y6*'Output-Calculation-sheet'!Y15</f>
        <v>87.871300313670062</v>
      </c>
      <c r="AA29" s="2">
        <f t="shared" si="1"/>
        <v>29.362479881345326</v>
      </c>
    </row>
    <row r="30" spans="1:27" x14ac:dyDescent="0.25">
      <c r="A30" s="2">
        <v>2031</v>
      </c>
      <c r="B30" s="2">
        <f>B8/'Output-Calculation-sheet'!B7*'Output-Calculation-sheet'!B16</f>
        <v>22370.334933333248</v>
      </c>
      <c r="C30" s="2">
        <f>C8/'Output-Calculation-sheet'!C7*'Output-Calculation-sheet'!C16</f>
        <v>0</v>
      </c>
      <c r="D30" s="2">
        <f>D8/'Output-Calculation-sheet'!D7*'Output-Calculation-sheet'!D16</f>
        <v>3766.8686746618896</v>
      </c>
      <c r="E30" s="2">
        <f>E8/'Output-Calculation-sheet'!E7*'Output-Calculation-sheet'!E16</f>
        <v>4052.9378739247604</v>
      </c>
      <c r="F30" s="2">
        <f>F8/'Output-Calculation-sheet'!F7*'Output-Calculation-sheet'!F16</f>
        <v>2044.7287241806114</v>
      </c>
      <c r="G30" s="2">
        <f>G8/'Output-Calculation-sheet'!G7*'Output-Calculation-sheet'!G16</f>
        <v>1339.0544586045387</v>
      </c>
      <c r="H30" s="2">
        <f>H8/'Output-Calculation-sheet'!H7*'Output-Calculation-sheet'!H16</f>
        <v>0</v>
      </c>
      <c r="I30" s="2">
        <f>I8/'Output-Calculation-sheet'!I7*'Output-Calculation-sheet'!I16</f>
        <v>1305.3775987630415</v>
      </c>
      <c r="J30" s="2">
        <f>J8/'Output-Calculation-sheet'!J7*'Output-Calculation-sheet'!J16</f>
        <v>1162.0370658771112</v>
      </c>
      <c r="K30" s="2">
        <f>K8/'Output-Calculation-sheet'!K7*'Output-Calculation-sheet'!K16</f>
        <v>1551.5415944879833</v>
      </c>
      <c r="L30" s="2">
        <f>L8/'Output-Calculation-sheet'!L7*'Output-Calculation-sheet'!L16</f>
        <v>1310.5482209307145</v>
      </c>
      <c r="M30" s="2">
        <f>M8/'Output-Calculation-sheet'!M7*'Output-Calculation-sheet'!M16</f>
        <v>0</v>
      </c>
      <c r="N30" s="2">
        <f>N8/'Output-Calculation-sheet'!N7*'Output-Calculation-sheet'!N16</f>
        <v>1861.5233357536727</v>
      </c>
      <c r="O30" s="2">
        <f>O8/'Output-Calculation-sheet'!O7*'Output-Calculation-sheet'!O16</f>
        <v>0</v>
      </c>
      <c r="P30" s="2">
        <f>P8/'Output-Calculation-sheet'!P7*'Output-Calculation-sheet'!P16</f>
        <v>1673.0760927169249</v>
      </c>
      <c r="Q30" s="2">
        <f>Q8/'Output-Calculation-sheet'!Q7*'Output-Calculation-sheet'!Q16</f>
        <v>1839.8311521544861</v>
      </c>
      <c r="R30" s="2">
        <f>R8/'Output-Calculation-sheet'!R7*'Output-Calculation-sheet'!R16</f>
        <v>1167.3808626549608</v>
      </c>
      <c r="S30" s="2">
        <f>S8/'Output-Calculation-sheet'!S7*'Output-Calculation-sheet'!S16</f>
        <v>1174.0428336813711</v>
      </c>
      <c r="T30" s="2">
        <f>T8/'Output-Calculation-sheet'!T7*'Output-Calculation-sheet'!T16</f>
        <v>350.43095475551758</v>
      </c>
      <c r="U30" s="2">
        <f>U8/'Output-Calculation-sheet'!U7*'Output-Calculation-sheet'!U16</f>
        <v>349.80456831001715</v>
      </c>
      <c r="V30" s="2">
        <f>V8/'Output-Calculation-sheet'!V7*'Output-Calculation-sheet'!V16</f>
        <v>272.24624626534234</v>
      </c>
      <c r="W30" s="2">
        <f>W8/'Output-Calculation-sheet'!W7*'Output-Calculation-sheet'!W16</f>
        <v>165.13107298359415</v>
      </c>
      <c r="X30" s="2">
        <f>X8/'Output-Calculation-sheet'!X7*'Output-Calculation-sheet'!X16</f>
        <v>0</v>
      </c>
      <c r="Y30" s="2">
        <f>Y8/'Output-Calculation-sheet'!Y7*'Output-Calculation-sheet'!Y16</f>
        <v>139.76467996700717</v>
      </c>
      <c r="AA30" s="2">
        <f t="shared" si="1"/>
        <v>47.89666094400679</v>
      </c>
    </row>
    <row r="31" spans="1:27" x14ac:dyDescent="0.25">
      <c r="A31" s="2">
        <v>2032</v>
      </c>
      <c r="B31" s="2">
        <f>B9/'Output-Calculation-sheet'!B8*'Output-Calculation-sheet'!B17</f>
        <v>31532.040855693256</v>
      </c>
      <c r="C31" s="2">
        <f>C9/'Output-Calculation-sheet'!C8*'Output-Calculation-sheet'!C17</f>
        <v>0</v>
      </c>
      <c r="D31" s="2">
        <f>D9/'Output-Calculation-sheet'!D8*'Output-Calculation-sheet'!D17</f>
        <v>5288.3372558293795</v>
      </c>
      <c r="E31" s="2">
        <f>E9/'Output-Calculation-sheet'!E8*'Output-Calculation-sheet'!E17</f>
        <v>6215.7179081581935</v>
      </c>
      <c r="F31" s="2">
        <f>F9/'Output-Calculation-sheet'!F8*'Output-Calculation-sheet'!F17</f>
        <v>2870.6810373644221</v>
      </c>
      <c r="G31" s="2">
        <f>G9/'Output-Calculation-sheet'!G8*'Output-Calculation-sheet'!G17</f>
        <v>1879.9377067361395</v>
      </c>
      <c r="H31" s="2">
        <f>H9/'Output-Calculation-sheet'!H8*'Output-Calculation-sheet'!H17</f>
        <v>0</v>
      </c>
      <c r="I31" s="2">
        <f>I9/'Output-Calculation-sheet'!I8*'Output-Calculation-sheet'!I17</f>
        <v>1832.666362613021</v>
      </c>
      <c r="J31" s="2">
        <f>J9/'Output-Calculation-sheet'!J8*'Output-Calculation-sheet'!J17</f>
        <v>1631.4263087349484</v>
      </c>
      <c r="K31" s="2">
        <f>K9/'Output-Calculation-sheet'!K8*'Output-Calculation-sheet'!K17</f>
        <v>2322.7178963827596</v>
      </c>
      <c r="L31" s="2">
        <f>L9/'Output-Calculation-sheet'!L8*'Output-Calculation-sheet'!L17</f>
        <v>1980.8700421320898</v>
      </c>
      <c r="M31" s="2">
        <f>M9/'Output-Calculation-sheet'!M8*'Output-Calculation-sheet'!M17</f>
        <v>0</v>
      </c>
      <c r="N31" s="2">
        <f>N9/'Output-Calculation-sheet'!N8*'Output-Calculation-sheet'!N17</f>
        <v>2153.4083311756845</v>
      </c>
      <c r="O31" s="2">
        <f>O9/'Output-Calculation-sheet'!O8*'Output-Calculation-sheet'!O17</f>
        <v>0</v>
      </c>
      <c r="P31" s="2">
        <f>P9/'Output-Calculation-sheet'!P8*'Output-Calculation-sheet'!P17</f>
        <v>2672.7139717922396</v>
      </c>
      <c r="Q31" s="2">
        <f>Q9/'Output-Calculation-sheet'!Q8*'Output-Calculation-sheet'!Q17</f>
        <v>2849.3586547372952</v>
      </c>
      <c r="R31" s="2">
        <f>R9/'Output-Calculation-sheet'!R8*'Output-Calculation-sheet'!R17</f>
        <v>1864.2010187881606</v>
      </c>
      <c r="S31" s="2">
        <f>S9/'Output-Calculation-sheet'!S8*'Output-Calculation-sheet'!S17</f>
        <v>1604.0622474902389</v>
      </c>
      <c r="T31" s="2">
        <f>T9/'Output-Calculation-sheet'!T8*'Output-Calculation-sheet'!T17</f>
        <v>505.86456643697943</v>
      </c>
      <c r="U31" s="2">
        <f>U9/'Output-Calculation-sheet'!U8*'Output-Calculation-sheet'!U17</f>
        <v>581.39965724987655</v>
      </c>
      <c r="V31" s="2">
        <f>V9/'Output-Calculation-sheet'!V8*'Output-Calculation-sheet'!V17</f>
        <v>416.42898770499204</v>
      </c>
      <c r="W31" s="2">
        <f>W9/'Output-Calculation-sheet'!W8*'Output-Calculation-sheet'!W17</f>
        <v>231.8358427964175</v>
      </c>
      <c r="X31" s="2">
        <f>X9/'Output-Calculation-sheet'!X8*'Output-Calculation-sheet'!X17</f>
        <v>0</v>
      </c>
      <c r="Y31" s="2">
        <f>Y9/'Output-Calculation-sheet'!Y8*'Output-Calculation-sheet'!Y17</f>
        <v>224.00365196908407</v>
      </c>
      <c r="AA31" s="2">
        <f t="shared" si="1"/>
        <v>68.657672303785176</v>
      </c>
    </row>
    <row r="32" spans="1:27" x14ac:dyDescent="0.25">
      <c r="A32" s="2">
        <v>2033</v>
      </c>
      <c r="B32" s="2">
        <f>B10/'Output-Calculation-sheet'!B9*'Output-Calculation-sheet'!B18</f>
        <v>36572.512019284324</v>
      </c>
      <c r="C32" s="2">
        <f>C10/'Output-Calculation-sheet'!C9*'Output-Calculation-sheet'!C18</f>
        <v>0</v>
      </c>
      <c r="D32" s="2">
        <f>D10/'Output-Calculation-sheet'!D9*'Output-Calculation-sheet'!D18</f>
        <v>7025.4572907631255</v>
      </c>
      <c r="E32" s="2">
        <f>E10/'Output-Calculation-sheet'!E9*'Output-Calculation-sheet'!E18</f>
        <v>9814.2062949298052</v>
      </c>
      <c r="F32" s="2">
        <f>F10/'Output-Calculation-sheet'!F9*'Output-Calculation-sheet'!F18</f>
        <v>3961.8577029083522</v>
      </c>
      <c r="G32" s="2">
        <f>G10/'Output-Calculation-sheet'!G9*'Output-Calculation-sheet'!G18</f>
        <v>2471.5815527394393</v>
      </c>
      <c r="H32" s="2">
        <f>H10/'Output-Calculation-sheet'!H9*'Output-Calculation-sheet'!H18</f>
        <v>0</v>
      </c>
      <c r="I32" s="2">
        <f>I10/'Output-Calculation-sheet'!I9*'Output-Calculation-sheet'!I18</f>
        <v>2609.4097431486152</v>
      </c>
      <c r="J32" s="2">
        <f>J10/'Output-Calculation-sheet'!J9*'Output-Calculation-sheet'!J18</f>
        <v>2094.3965519868539</v>
      </c>
      <c r="K32" s="2">
        <f>K10/'Output-Calculation-sheet'!K9*'Output-Calculation-sheet'!K18</f>
        <v>3485.865608659964</v>
      </c>
      <c r="L32" s="2">
        <f>L10/'Output-Calculation-sheet'!L9*'Output-Calculation-sheet'!L18</f>
        <v>3011.2186360972009</v>
      </c>
      <c r="M32" s="2">
        <f>M10/'Output-Calculation-sheet'!M9*'Output-Calculation-sheet'!M18</f>
        <v>0</v>
      </c>
      <c r="N32" s="2">
        <f>N10/'Output-Calculation-sheet'!N9*'Output-Calculation-sheet'!N18</f>
        <v>2228.6019548973031</v>
      </c>
      <c r="O32" s="2">
        <f>O10/'Output-Calculation-sheet'!O9*'Output-Calculation-sheet'!O18</f>
        <v>0</v>
      </c>
      <c r="P32" s="2">
        <f>P10/'Output-Calculation-sheet'!P9*'Output-Calculation-sheet'!P18</f>
        <v>3588.0104933399662</v>
      </c>
      <c r="Q32" s="2">
        <f>Q10/'Output-Calculation-sheet'!Q9*'Output-Calculation-sheet'!Q18</f>
        <v>3905.6500175957917</v>
      </c>
      <c r="R32" s="2">
        <f>R10/'Output-Calculation-sheet'!R9*'Output-Calculation-sheet'!R18</f>
        <v>2576.3778839177453</v>
      </c>
      <c r="S32" s="2">
        <f>S10/'Output-Calculation-sheet'!S9*'Output-Calculation-sheet'!S18</f>
        <v>1690.6341463188294</v>
      </c>
      <c r="T32" s="2">
        <f>T10/'Output-Calculation-sheet'!T9*'Output-Calculation-sheet'!T18</f>
        <v>752.02675780998084</v>
      </c>
      <c r="U32" s="2">
        <f>U10/'Output-Calculation-sheet'!U9*'Output-Calculation-sheet'!U18</f>
        <v>831.73303105438902</v>
      </c>
      <c r="V32" s="2">
        <f>V10/'Output-Calculation-sheet'!V9*'Output-Calculation-sheet'!V18</f>
        <v>614.21674664673924</v>
      </c>
      <c r="W32" s="2">
        <f>W10/'Output-Calculation-sheet'!W9*'Output-Calculation-sheet'!W18</f>
        <v>306.38889567757695</v>
      </c>
      <c r="X32" s="2">
        <f>X10/'Output-Calculation-sheet'!X9*'Output-Calculation-sheet'!X18</f>
        <v>0</v>
      </c>
      <c r="Y32" s="2">
        <f>Y10/'Output-Calculation-sheet'!Y9*'Output-Calculation-sheet'!Y18</f>
        <v>355.81117102459041</v>
      </c>
      <c r="AA32" s="2">
        <f t="shared" si="1"/>
        <v>87.895956498800558</v>
      </c>
    </row>
    <row r="33" spans="1:27" x14ac:dyDescent="0.25">
      <c r="A33" s="2">
        <v>2034</v>
      </c>
      <c r="B33" s="2">
        <f>B11/'Output-Calculation-sheet'!B10*'Output-Calculation-sheet'!B19</f>
        <v>35681.83103390313</v>
      </c>
      <c r="C33" s="2">
        <f>C11/'Output-Calculation-sheet'!C10*'Output-Calculation-sheet'!C19</f>
        <v>0</v>
      </c>
      <c r="D33" s="2">
        <f>D11/'Output-Calculation-sheet'!D10*'Output-Calculation-sheet'!D19</f>
        <v>10643.498288158959</v>
      </c>
      <c r="E33" s="2">
        <f>E11/'Output-Calculation-sheet'!E10*'Output-Calculation-sheet'!E19</f>
        <v>13182.684338014447</v>
      </c>
      <c r="F33" s="2">
        <f>F11/'Output-Calculation-sheet'!F10*'Output-Calculation-sheet'!F19</f>
        <v>6049.1584477329643</v>
      </c>
      <c r="G33" s="2">
        <f>G11/'Output-Calculation-sheet'!G10*'Output-Calculation-sheet'!G19</f>
        <v>3622.9461532231758</v>
      </c>
      <c r="H33" s="2">
        <f>H11/'Output-Calculation-sheet'!H10*'Output-Calculation-sheet'!H19</f>
        <v>0</v>
      </c>
      <c r="I33" s="2">
        <f>I11/'Output-Calculation-sheet'!I10*'Output-Calculation-sheet'!I19</f>
        <v>3953.1423078506668</v>
      </c>
      <c r="J33" s="2">
        <f>J11/'Output-Calculation-sheet'!J10*'Output-Calculation-sheet'!J19</f>
        <v>3342.6365639609949</v>
      </c>
      <c r="K33" s="2">
        <f>K11/'Output-Calculation-sheet'!K10*'Output-Calculation-sheet'!K19</f>
        <v>4638.3905938690368</v>
      </c>
      <c r="L33" s="2">
        <f>L11/'Output-Calculation-sheet'!L10*'Output-Calculation-sheet'!L19</f>
        <v>3772.1165292994042</v>
      </c>
      <c r="M33" s="2">
        <f>M11/'Output-Calculation-sheet'!M10*'Output-Calculation-sheet'!M19</f>
        <v>0</v>
      </c>
      <c r="N33" s="2">
        <f>N11/'Output-Calculation-sheet'!N10*'Output-Calculation-sheet'!N19</f>
        <v>2132.9716123327739</v>
      </c>
      <c r="O33" s="2">
        <f>O11/'Output-Calculation-sheet'!O10*'Output-Calculation-sheet'!O19</f>
        <v>0</v>
      </c>
      <c r="P33" s="2">
        <f>P11/'Output-Calculation-sheet'!P10*'Output-Calculation-sheet'!P19</f>
        <v>4693.2330622190302</v>
      </c>
      <c r="Q33" s="2">
        <f>Q11/'Output-Calculation-sheet'!Q10*'Output-Calculation-sheet'!Q19</f>
        <v>3864.8281552343933</v>
      </c>
      <c r="R33" s="2">
        <f>R11/'Output-Calculation-sheet'!R10*'Output-Calculation-sheet'!R19</f>
        <v>3350.8927603226093</v>
      </c>
      <c r="S33" s="2">
        <f>S11/'Output-Calculation-sheet'!S10*'Output-Calculation-sheet'!S19</f>
        <v>1562.0682182874257</v>
      </c>
      <c r="T33" s="2">
        <f>T11/'Output-Calculation-sheet'!T10*'Output-Calculation-sheet'!T19</f>
        <v>983.24907400299071</v>
      </c>
      <c r="U33" s="2">
        <f>U11/'Output-Calculation-sheet'!U10*'Output-Calculation-sheet'!U19</f>
        <v>1131.6349836535921</v>
      </c>
      <c r="V33" s="2">
        <f>V11/'Output-Calculation-sheet'!V10*'Output-Calculation-sheet'!V19</f>
        <v>771.05917473970771</v>
      </c>
      <c r="W33" s="2">
        <f>W11/'Output-Calculation-sheet'!W10*'Output-Calculation-sheet'!W19</f>
        <v>480.84297864763624</v>
      </c>
      <c r="X33" s="2">
        <f>X11/'Output-Calculation-sheet'!X10*'Output-Calculation-sheet'!X19</f>
        <v>139.03549533897396</v>
      </c>
      <c r="Y33" s="2">
        <f>Y11/'Output-Calculation-sheet'!Y10*'Output-Calculation-sheet'!Y19</f>
        <v>432.74123020001042</v>
      </c>
      <c r="AA33" s="2">
        <f t="shared" si="1"/>
        <v>104.42896100099193</v>
      </c>
    </row>
    <row r="34" spans="1:27" x14ac:dyDescent="0.25">
      <c r="A34" s="2">
        <v>2035</v>
      </c>
      <c r="B34" s="2">
        <f>B12/'Output-Calculation-sheet'!B11*'Output-Calculation-sheet'!B20</f>
        <v>34095.209337380526</v>
      </c>
      <c r="C34" s="2">
        <f>C12/'Output-Calculation-sheet'!C11*'Output-Calculation-sheet'!C20</f>
        <v>0</v>
      </c>
      <c r="D34" s="2">
        <f>D12/'Output-Calculation-sheet'!D11*'Output-Calculation-sheet'!D20</f>
        <v>10700.116475536748</v>
      </c>
      <c r="E34" s="2">
        <f>E12/'Output-Calculation-sheet'!E11*'Output-Calculation-sheet'!E20</f>
        <v>11691.449570643043</v>
      </c>
      <c r="F34" s="2">
        <f>F12/'Output-Calculation-sheet'!F11*'Output-Calculation-sheet'!F20</f>
        <v>7366.16145954488</v>
      </c>
      <c r="G34" s="2">
        <f>G12/'Output-Calculation-sheet'!G11*'Output-Calculation-sheet'!G20</f>
        <v>3936.2579865618695</v>
      </c>
      <c r="H34" s="2">
        <f>H12/'Output-Calculation-sheet'!H11*'Output-Calculation-sheet'!H20</f>
        <v>0</v>
      </c>
      <c r="I34" s="2">
        <f>I12/'Output-Calculation-sheet'!I11*'Output-Calculation-sheet'!I20</f>
        <v>4278.1764351283182</v>
      </c>
      <c r="J34" s="2">
        <f>J12/'Output-Calculation-sheet'!J11*'Output-Calculation-sheet'!J20</f>
        <v>3672.818163864958</v>
      </c>
      <c r="K34" s="2">
        <f>K12/'Output-Calculation-sheet'!K11*'Output-Calculation-sheet'!K20</f>
        <v>4828.8616337373742</v>
      </c>
      <c r="L34" s="2">
        <f>L12/'Output-Calculation-sheet'!L11*'Output-Calculation-sheet'!L20</f>
        <v>3816.3266947688803</v>
      </c>
      <c r="M34" s="2">
        <f>M12/'Output-Calculation-sheet'!M11*'Output-Calculation-sheet'!M20</f>
        <v>0</v>
      </c>
      <c r="N34" s="2">
        <f>N12/'Output-Calculation-sheet'!N11*'Output-Calculation-sheet'!N20</f>
        <v>2123.7864332463596</v>
      </c>
      <c r="O34" s="2">
        <f>O12/'Output-Calculation-sheet'!O11*'Output-Calculation-sheet'!O20</f>
        <v>0</v>
      </c>
      <c r="P34" s="2">
        <f>P12/'Output-Calculation-sheet'!P11*'Output-Calculation-sheet'!P20</f>
        <v>4746.2747352781998</v>
      </c>
      <c r="Q34" s="2">
        <f>Q12/'Output-Calculation-sheet'!Q11*'Output-Calculation-sheet'!Q20</f>
        <v>3755.5867644637615</v>
      </c>
      <c r="R34" s="2">
        <f>R12/'Output-Calculation-sheet'!R11*'Output-Calculation-sheet'!R20</f>
        <v>3769.48276475995</v>
      </c>
      <c r="S34" s="2">
        <f>S12/'Output-Calculation-sheet'!S11*'Output-Calculation-sheet'!S20</f>
        <v>1439.8509516047848</v>
      </c>
      <c r="T34" s="2">
        <f>T12/'Output-Calculation-sheet'!T11*'Output-Calculation-sheet'!T20</f>
        <v>1184.2550425572754</v>
      </c>
      <c r="U34" s="2">
        <f>U12/'Output-Calculation-sheet'!U11*'Output-Calculation-sheet'!U20</f>
        <v>1080.4492134074856</v>
      </c>
      <c r="V34" s="2">
        <f>V12/'Output-Calculation-sheet'!V11*'Output-Calculation-sheet'!V20</f>
        <v>992.50334807744196</v>
      </c>
      <c r="W34" s="2">
        <f>W12/'Output-Calculation-sheet'!W11*'Output-Calculation-sheet'!W20</f>
        <v>638.54160569479052</v>
      </c>
      <c r="X34" s="2">
        <f>X12/'Output-Calculation-sheet'!X11*'Output-Calculation-sheet'!X20</f>
        <v>129.05166093804084</v>
      </c>
      <c r="Y34" s="2">
        <f>Y12/'Output-Calculation-sheet'!Y11*'Output-Calculation-sheet'!Y20</f>
        <v>357.92669272117075</v>
      </c>
      <c r="AA34" s="2">
        <f t="shared" si="1"/>
        <v>104.60308696991585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1.0232768645849679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0.19879516631024693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1.2220720308952149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1.2193895228537379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0.4737891598692604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1.6931786827229982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1.369549283664339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0.79819974546153127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2.1677490291258703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1.4651898535097572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0.85394091477685108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2.319130768286608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3.0215741194231596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0.46506730906426086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0.32001181807812124</v>
      </c>
      <c r="N44" s="2">
        <f>N11/'Output-Calculation-sheet'!N10*'Output-Calculation-sheet'!N37*0.0114</f>
        <v>0</v>
      </c>
      <c r="O44" s="2">
        <f>O11/'Output-Calculation-sheet'!O10*'Output-Calculation-sheet'!O37*0.0114</f>
        <v>1.1740211283543347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0.27556706989193541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3.5106085336647615E-2</v>
      </c>
      <c r="Y44" s="2">
        <f>Y11/'Output-Calculation-sheet'!Y10*'Output-Calculation-sheet'!Y37*0.0114</f>
        <v>0</v>
      </c>
      <c r="AA44" s="2">
        <f t="shared" si="2"/>
        <v>5.2913475301484594</v>
      </c>
    </row>
    <row r="45" spans="1:27" x14ac:dyDescent="0.25">
      <c r="A45" s="2">
        <v>2035</v>
      </c>
      <c r="B45" s="2">
        <f>B12/'Output-Calculation-sheet'!B11*'Output-Calculation-sheet'!B38*0.0114</f>
        <v>3.1867816677008562</v>
      </c>
      <c r="C45" s="2">
        <f>C12/'Output-Calculation-sheet'!C11*'Output-Calculation-sheet'!C38*0.0114</f>
        <v>3.025035311793518</v>
      </c>
      <c r="D45" s="2">
        <f>D12/'Output-Calculation-sheet'!D11*'Output-Calculation-sheet'!D38*0.0114</f>
        <v>1.3398357661422085</v>
      </c>
      <c r="E45" s="2">
        <f>E12/'Output-Calculation-sheet'!E11*'Output-Calculation-sheet'!E38*0.0114</f>
        <v>1.0648120564458792</v>
      </c>
      <c r="F45" s="2">
        <f>F12/'Output-Calculation-sheet'!F11*'Output-Calculation-sheet'!F38*0.0114</f>
        <v>0.66969376546200432</v>
      </c>
      <c r="G45" s="2">
        <f>G12/'Output-Calculation-sheet'!G11*'Output-Calculation-sheet'!G38*0.0114</f>
        <v>0.48062787634211596</v>
      </c>
      <c r="H45" s="2">
        <f>H12/'Output-Calculation-sheet'!H11*'Output-Calculation-sheet'!H38*0.0114</f>
        <v>0.46560004046789871</v>
      </c>
      <c r="I45" s="2">
        <f>I12/'Output-Calculation-sheet'!I11*'Output-Calculation-sheet'!I38*0.0114</f>
        <v>0.43229607921061902</v>
      </c>
      <c r="J45" s="2">
        <f>J12/'Output-Calculation-sheet'!J11*'Output-Calculation-sheet'!J38*0.0114</f>
        <v>0.42783118823759553</v>
      </c>
      <c r="K45" s="2">
        <f>K12/'Output-Calculation-sheet'!K11*'Output-Calculation-sheet'!K38*0.0114</f>
        <v>0.42487899898587628</v>
      </c>
      <c r="L45" s="2">
        <f>L12/'Output-Calculation-sheet'!L11*'Output-Calculation-sheet'!L38*0.0114</f>
        <v>0.33784342051597527</v>
      </c>
      <c r="M45" s="2">
        <f>M12/'Output-Calculation-sheet'!M11*'Output-Calculation-sheet'!M38*0.0114</f>
        <v>0.3203783894145768</v>
      </c>
      <c r="N45" s="2">
        <f>N12/'Output-Calculation-sheet'!N11*'Output-Calculation-sheet'!N38*0.0114</f>
        <v>0.31488054804276894</v>
      </c>
      <c r="O45" s="2">
        <f>O12/'Output-Calculation-sheet'!O11*'Output-Calculation-sheet'!O38*0.0114</f>
        <v>1.1753659614815375</v>
      </c>
      <c r="P45" s="2">
        <f>P12/'Output-Calculation-sheet'!P11*'Output-Calculation-sheet'!P38*0.0114</f>
        <v>0.29089288988022627</v>
      </c>
      <c r="Q45" s="2">
        <f>Q12/'Output-Calculation-sheet'!Q11*'Output-Calculation-sheet'!Q38*0.0114</f>
        <v>0.27588273007505021</v>
      </c>
      <c r="R45" s="2">
        <f>R12/'Output-Calculation-sheet'!R11*'Output-Calculation-sheet'!R38*0.0114</f>
        <v>0.27358916850194454</v>
      </c>
      <c r="S45" s="2">
        <f>S12/'Output-Calculation-sheet'!S11*'Output-Calculation-sheet'!S38*0.0114</f>
        <v>0.18049991035974561</v>
      </c>
      <c r="T45" s="2">
        <f>T12/'Output-Calculation-sheet'!T11*'Output-Calculation-sheet'!T38*0.0114</f>
        <v>0.10121837970575004</v>
      </c>
      <c r="U45" s="2">
        <f>U12/'Output-Calculation-sheet'!U11*'Output-Calculation-sheet'!U38*0.0114</f>
        <v>8.8023447672731625E-2</v>
      </c>
      <c r="V45" s="2">
        <f>V12/'Output-Calculation-sheet'!V11*'Output-Calculation-sheet'!V38*0.0114</f>
        <v>6.7874061440577546E-2</v>
      </c>
      <c r="W45" s="2">
        <f>W12/'Output-Calculation-sheet'!W11*'Output-Calculation-sheet'!W38*0.0114</f>
        <v>5.877383293975659E-2</v>
      </c>
      <c r="X45" s="2">
        <f>X12/'Output-Calculation-sheet'!X11*'Output-Calculation-sheet'!X38*0.0114</f>
        <v>3.5146299115928842E-2</v>
      </c>
      <c r="Y45" s="2">
        <f>Y12/'Output-Calculation-sheet'!Y11*'Output-Calculation-sheet'!Y38*0.0114</f>
        <v>3.3916830530911816E-2</v>
      </c>
      <c r="AA45" s="2">
        <f t="shared" si="2"/>
        <v>15.071678620466054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9335.1573611260246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2044.71404454815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1444.9893858442663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204.40594718443722</v>
      </c>
      <c r="Y51" s="2">
        <f>Y7/'Output-Calculation-sheet'!Y6*'Output-Calculation-sheet'!Y42</f>
        <v>0</v>
      </c>
      <c r="AA51" s="2">
        <f t="shared" si="3"/>
        <v>13.029266738702878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25029.57441647146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8165.858406439349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5573.5958710581153</v>
      </c>
      <c r="N52" s="2">
        <f>N8/'Output-Calculation-sheet'!N7*'Output-Calculation-sheet'!N43</f>
        <v>178.14472804954042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720.79995957717597</v>
      </c>
      <c r="Y52" s="2">
        <f>Y8/'Output-Calculation-sheet'!Y7*'Output-Calculation-sheet'!Y43</f>
        <v>0</v>
      </c>
      <c r="AA52" s="2">
        <f t="shared" si="3"/>
        <v>39.667973381595644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58746.456115075598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16234.910187913534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11094.866064662858</v>
      </c>
      <c r="N53" s="2">
        <f>N9/'Output-Calculation-sheet'!N8*'Output-Calculation-sheet'!N44</f>
        <v>3951.620960566755</v>
      </c>
      <c r="O53" s="2">
        <f>O9/'Output-Calculation-sheet'!O8*'Output-Calculation-sheet'!O44</f>
        <v>0</v>
      </c>
      <c r="P53" s="2">
        <f>P9/'Output-Calculation-sheet'!P8*'Output-Calculation-sheet'!P44</f>
        <v>184.83978469650765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1232.9566365836397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1387.421276856699</v>
      </c>
      <c r="Y53" s="2">
        <f>Y9/'Output-Calculation-sheet'!Y8*'Output-Calculation-sheet'!Y44</f>
        <v>0</v>
      </c>
      <c r="AA53" s="2">
        <f t="shared" si="3"/>
        <v>92.833071026355583</v>
      </c>
    </row>
    <row r="54" spans="1:27" x14ac:dyDescent="0.25">
      <c r="A54" s="2">
        <v>2033</v>
      </c>
      <c r="B54" s="2">
        <f>B10/'Output-Calculation-sheet'!B9*'Output-Calculation-sheet'!B45</f>
        <v>34661.781323809329</v>
      </c>
      <c r="C54" s="2">
        <f>C10/'Output-Calculation-sheet'!C9*'Output-Calculation-sheet'!C45</f>
        <v>79428.713111318415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25123.221820972118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324.93490981905603</v>
      </c>
      <c r="L54" s="2">
        <f>L10/'Output-Calculation-sheet'!L9*'Output-Calculation-sheet'!L45</f>
        <v>0</v>
      </c>
      <c r="M54" s="2">
        <f>M10/'Output-Calculation-sheet'!M9*'Output-Calculation-sheet'!M45</f>
        <v>17232.787076402867</v>
      </c>
      <c r="N54" s="2">
        <f>N10/'Output-Calculation-sheet'!N9*'Output-Calculation-sheet'!N45</f>
        <v>9659.2105475732842</v>
      </c>
      <c r="O54" s="2">
        <f>O10/'Output-Calculation-sheet'!O9*'Output-Calculation-sheet'!O45</f>
        <v>0</v>
      </c>
      <c r="P54" s="2">
        <f>P10/'Output-Calculation-sheet'!P9*'Output-Calculation-sheet'!P45</f>
        <v>2620.1585360065887</v>
      </c>
      <c r="Q54" s="2">
        <f>Q10/'Output-Calculation-sheet'!Q9*'Output-Calculation-sheet'!Q45</f>
        <v>1031.4918234727963</v>
      </c>
      <c r="R54" s="2">
        <f>R10/'Output-Calculation-sheet'!R9*'Output-Calculation-sheet'!R45</f>
        <v>1720.3595294205354</v>
      </c>
      <c r="S54" s="2">
        <f>S10/'Output-Calculation-sheet'!S9*'Output-Calculation-sheet'!S45</f>
        <v>4110.5542359647116</v>
      </c>
      <c r="T54" s="2">
        <f>T10/'Output-Calculation-sheet'!T9*'Output-Calculation-sheet'!T45</f>
        <v>86.009808178644803</v>
      </c>
      <c r="U54" s="2">
        <f>U10/'Output-Calculation-sheet'!U9*'Output-Calculation-sheet'!U45</f>
        <v>620.81909366638149</v>
      </c>
      <c r="V54" s="2">
        <f>V10/'Output-Calculation-sheet'!V9*'Output-Calculation-sheet'!V45</f>
        <v>46.14051338723803</v>
      </c>
      <c r="W54" s="2">
        <f>W10/'Output-Calculation-sheet'!W9*'Output-Calculation-sheet'!W45</f>
        <v>0</v>
      </c>
      <c r="X54" s="2">
        <f>X10/'Output-Calculation-sheet'!X9*'Output-Calculation-sheet'!X45</f>
        <v>1980.0753963470161</v>
      </c>
      <c r="Y54" s="2">
        <f>Y10/'Output-Calculation-sheet'!Y9*'Output-Calculation-sheet'!Y45</f>
        <v>20.174459100513808</v>
      </c>
      <c r="AA54" s="2">
        <f t="shared" si="3"/>
        <v>178.6664321854395</v>
      </c>
    </row>
    <row r="55" spans="1:27" x14ac:dyDescent="0.25">
      <c r="A55" s="2">
        <v>2034</v>
      </c>
      <c r="B55" s="2">
        <f>B11/'Output-Calculation-sheet'!B10*'Output-Calculation-sheet'!B46</f>
        <v>101636.95513217575</v>
      </c>
      <c r="C55" s="2">
        <f>C11/'Output-Calculation-sheet'!C10*'Output-Calculation-sheet'!C46</f>
        <v>83623.389006842714</v>
      </c>
      <c r="D55" s="2">
        <f>D11/'Output-Calculation-sheet'!D10*'Output-Calculation-sheet'!D46</f>
        <v>9391.5982424415051</v>
      </c>
      <c r="E55" s="2">
        <f>E11/'Output-Calculation-sheet'!E10*'Output-Calculation-sheet'!E46</f>
        <v>11568.914116462427</v>
      </c>
      <c r="F55" s="2">
        <f>F11/'Output-Calculation-sheet'!F10*'Output-Calculation-sheet'!F46</f>
        <v>352.06711241910341</v>
      </c>
      <c r="G55" s="2">
        <f>G11/'Output-Calculation-sheet'!G10*'Output-Calculation-sheet'!G46</f>
        <v>4169.0979899000868</v>
      </c>
      <c r="H55" s="2">
        <f>H11/'Output-Calculation-sheet'!H10*'Output-Calculation-sheet'!H46</f>
        <v>30147.784333200769</v>
      </c>
      <c r="I55" s="2">
        <f>I11/'Output-Calculation-sheet'!I10*'Output-Calculation-sheet'!I46</f>
        <v>2272.6392295557025</v>
      </c>
      <c r="J55" s="2">
        <f>J11/'Output-Calculation-sheet'!J10*'Output-Calculation-sheet'!J46</f>
        <v>1649.3889067431173</v>
      </c>
      <c r="K55" s="2">
        <f>K11/'Output-Calculation-sheet'!K10*'Output-Calculation-sheet'!K46</f>
        <v>4430.0658180873816</v>
      </c>
      <c r="L55" s="2">
        <f>L11/'Output-Calculation-sheet'!L10*'Output-Calculation-sheet'!L46</f>
        <v>1628.0813710387447</v>
      </c>
      <c r="M55" s="2">
        <f>M11/'Output-Calculation-sheet'!M10*'Output-Calculation-sheet'!M46</f>
        <v>21306.049993095963</v>
      </c>
      <c r="N55" s="2">
        <f>N11/'Output-Calculation-sheet'!N10*'Output-Calculation-sheet'!N46</f>
        <v>16250.213807401324</v>
      </c>
      <c r="O55" s="2">
        <f>O11/'Output-Calculation-sheet'!O10*'Output-Calculation-sheet'!O46</f>
        <v>360.44508326668171</v>
      </c>
      <c r="P55" s="2">
        <f>P11/'Output-Calculation-sheet'!P10*'Output-Calculation-sheet'!P46</f>
        <v>6040.5906240783224</v>
      </c>
      <c r="Q55" s="2">
        <f>Q11/'Output-Calculation-sheet'!Q10*'Output-Calculation-sheet'!Q46</f>
        <v>3553.3648486065349</v>
      </c>
      <c r="R55" s="2">
        <f>R11/'Output-Calculation-sheet'!R10*'Output-Calculation-sheet'!R46</f>
        <v>4890.2044776001339</v>
      </c>
      <c r="S55" s="2">
        <f>S11/'Output-Calculation-sheet'!S10*'Output-Calculation-sheet'!S46</f>
        <v>7986.6806746496914</v>
      </c>
      <c r="T55" s="2">
        <f>T11/'Output-Calculation-sheet'!T10*'Output-Calculation-sheet'!T46</f>
        <v>1108.580783006583</v>
      </c>
      <c r="U55" s="2">
        <f>U11/'Output-Calculation-sheet'!U10*'Output-Calculation-sheet'!U46</f>
        <v>1851.0049007807838</v>
      </c>
      <c r="V55" s="2">
        <f>V11/'Output-Calculation-sheet'!V10*'Output-Calculation-sheet'!V46</f>
        <v>749.3286440619122</v>
      </c>
      <c r="W55" s="2">
        <f>W11/'Output-Calculation-sheet'!W10*'Output-Calculation-sheet'!W46</f>
        <v>97.844308250833635</v>
      </c>
      <c r="X55" s="2">
        <f>X11/'Output-Calculation-sheet'!X10*'Output-Calculation-sheet'!X46</f>
        <v>2180.2726682760094</v>
      </c>
      <c r="Y55" s="2">
        <f>Y11/'Output-Calculation-sheet'!Y10*'Output-Calculation-sheet'!Y46</f>
        <v>567.6054812468376</v>
      </c>
      <c r="AA55" s="2">
        <f t="shared" si="3"/>
        <v>317.81216755318889</v>
      </c>
    </row>
    <row r="56" spans="1:27" x14ac:dyDescent="0.25">
      <c r="A56" s="2">
        <v>2035</v>
      </c>
      <c r="B56" s="2">
        <f>B12/'Output-Calculation-sheet'!B11*'Output-Calculation-sheet'!B47</f>
        <v>129428.06246890318</v>
      </c>
      <c r="C56" s="2">
        <f>C12/'Output-Calculation-sheet'!C11*'Output-Calculation-sheet'!C47</f>
        <v>85045.94889735285</v>
      </c>
      <c r="D56" s="2">
        <f>D12/'Output-Calculation-sheet'!D11*'Output-Calculation-sheet'!D47</f>
        <v>10342.591878992485</v>
      </c>
      <c r="E56" s="2">
        <f>E12/'Output-Calculation-sheet'!E11*'Output-Calculation-sheet'!E47</f>
        <v>29048.820136374419</v>
      </c>
      <c r="F56" s="2">
        <f>F12/'Output-Calculation-sheet'!F11*'Output-Calculation-sheet'!F47</f>
        <v>3583.4490958931806</v>
      </c>
      <c r="G56" s="2">
        <f>G12/'Output-Calculation-sheet'!G11*'Output-Calculation-sheet'!G47</f>
        <v>8094.7852857619528</v>
      </c>
      <c r="H56" s="2">
        <f>H12/'Output-Calculation-sheet'!H11*'Output-Calculation-sheet'!H47</f>
        <v>30917.476371420995</v>
      </c>
      <c r="I56" s="2">
        <f>I12/'Output-Calculation-sheet'!I11*'Output-Calculation-sheet'!I47</f>
        <v>4095.436539890075</v>
      </c>
      <c r="J56" s="2">
        <f>J12/'Output-Calculation-sheet'!J11*'Output-Calculation-sheet'!J47</f>
        <v>3715.3761083791187</v>
      </c>
      <c r="K56" s="2">
        <f>K12/'Output-Calculation-sheet'!K11*'Output-Calculation-sheet'!K47</f>
        <v>5366.8926187689631</v>
      </c>
      <c r="L56" s="2">
        <f>L12/'Output-Calculation-sheet'!L11*'Output-Calculation-sheet'!L47</f>
        <v>2963.5387764559232</v>
      </c>
      <c r="M56" s="2">
        <f>M12/'Output-Calculation-sheet'!M11*'Output-Calculation-sheet'!M47</f>
        <v>21555.282866752666</v>
      </c>
      <c r="N56" s="2">
        <f>N12/'Output-Calculation-sheet'!N11*'Output-Calculation-sheet'!N47</f>
        <v>16462.176020481602</v>
      </c>
      <c r="O56" s="2">
        <f>O12/'Output-Calculation-sheet'!O11*'Output-Calculation-sheet'!O47</f>
        <v>1546.5341598441282</v>
      </c>
      <c r="P56" s="2">
        <f>P12/'Output-Calculation-sheet'!P11*'Output-Calculation-sheet'!P47</f>
        <v>8548.1682552522634</v>
      </c>
      <c r="Q56" s="2">
        <f>Q12/'Output-Calculation-sheet'!Q11*'Output-Calculation-sheet'!Q47</f>
        <v>4331.8428669678933</v>
      </c>
      <c r="R56" s="2">
        <f>R12/'Output-Calculation-sheet'!R11*'Output-Calculation-sheet'!R47</f>
        <v>6311.7501154395977</v>
      </c>
      <c r="S56" s="2">
        <f>S12/'Output-Calculation-sheet'!S11*'Output-Calculation-sheet'!S47</f>
        <v>8359.9958482408492</v>
      </c>
      <c r="T56" s="2">
        <f>T12/'Output-Calculation-sheet'!T11*'Output-Calculation-sheet'!T47</f>
        <v>2210.822504099277</v>
      </c>
      <c r="U56" s="2">
        <f>U12/'Output-Calculation-sheet'!U11*'Output-Calculation-sheet'!U47</f>
        <v>2115.6512861691635</v>
      </c>
      <c r="V56" s="2">
        <f>V12/'Output-Calculation-sheet'!V11*'Output-Calculation-sheet'!V47</f>
        <v>1476.558529584494</v>
      </c>
      <c r="W56" s="2">
        <f>W12/'Output-Calculation-sheet'!W11*'Output-Calculation-sheet'!W47</f>
        <v>840.36269905090558</v>
      </c>
      <c r="X56" s="2">
        <f>X12/'Output-Calculation-sheet'!X11*'Output-Calculation-sheet'!X47</f>
        <v>2225.93227734216</v>
      </c>
      <c r="Y56" s="2">
        <f>Y12/'Output-Calculation-sheet'!Y11*'Output-Calculation-sheet'!Y47</f>
        <v>1139.4864994157217</v>
      </c>
      <c r="AA56" s="2">
        <f t="shared" si="3"/>
        <v>389.72694210683386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5.0725590766760833</v>
      </c>
      <c r="C60" s="2">
        <f>C5*'Output-Calculation-sheet'!C49/10^9</f>
        <v>2.0459773571251709</v>
      </c>
      <c r="D60" s="2">
        <f>D5*'Output-Calculation-sheet'!D49/10^9</f>
        <v>1.3375738480345654</v>
      </c>
      <c r="E60" s="2">
        <f>E5*'Output-Calculation-sheet'!E49/10^9</f>
        <v>1.5518856911873322</v>
      </c>
      <c r="F60" s="2">
        <f>F5*'Output-Calculation-sheet'!F49/10^9</f>
        <v>0.71273489652079591</v>
      </c>
      <c r="G60" s="2">
        <f>G5*'Output-Calculation-sheet'!G49/10^9</f>
        <v>0.56225372291909859</v>
      </c>
      <c r="H60" s="2">
        <f>H5*'Output-Calculation-sheet'!H49/10^9</f>
        <v>0.5375956706597611</v>
      </c>
      <c r="I60" s="2">
        <f>I5*'Output-Calculation-sheet'!I49/10^9</f>
        <v>0.42326039285642575</v>
      </c>
      <c r="J60" s="2">
        <f>J5*'Output-Calculation-sheet'!J49/10^9</f>
        <v>0.65597755937692248</v>
      </c>
      <c r="K60" s="2">
        <f>K5*'Output-Calculation-sheet'!K49/10^9</f>
        <v>0.36410275512421542</v>
      </c>
      <c r="L60" s="2">
        <f>L5*'Output-Calculation-sheet'!L49/10^9</f>
        <v>0.47547521073513976</v>
      </c>
      <c r="M60" s="2">
        <f>M5*'Output-Calculation-sheet'!M49/10^9</f>
        <v>0.41152189830318753</v>
      </c>
      <c r="N60" s="2">
        <f>N5*'Output-Calculation-sheet'!N49/10^9</f>
        <v>0.34448182083793605</v>
      </c>
      <c r="O60" s="2">
        <f>O5*'Output-Calculation-sheet'!O49/10^9</f>
        <v>0.34529417961211128</v>
      </c>
      <c r="P60" s="2">
        <f>P5*'Output-Calculation-sheet'!P49/10^9</f>
        <v>0.36025358672209928</v>
      </c>
      <c r="Q60" s="2">
        <f>Q5*'Output-Calculation-sheet'!Q49/10^9</f>
        <v>0.31245376642809941</v>
      </c>
      <c r="R60" s="2">
        <f>R5*'Output-Calculation-sheet'!R49/10^9</f>
        <v>0.32667306761509102</v>
      </c>
      <c r="S60" s="2">
        <f>S5*'Output-Calculation-sheet'!S49/10^9</f>
        <v>0.23017435834208541</v>
      </c>
      <c r="T60" s="2">
        <f>T5*'Output-Calculation-sheet'!T49/10^9</f>
        <v>0.14318286130805383</v>
      </c>
      <c r="U60" s="2">
        <f>U5*'Output-Calculation-sheet'!U49/10^9</f>
        <v>0.1052079181922398</v>
      </c>
      <c r="V60" s="2">
        <f>V5*'Output-Calculation-sheet'!V49/10^9</f>
        <v>0.20007725351108799</v>
      </c>
      <c r="W60" s="2">
        <f>W5*'Output-Calculation-sheet'!W49/10^9</f>
        <v>7.967013669569159E-2</v>
      </c>
      <c r="X60" s="2">
        <f>X5*'Output-Calculation-sheet'!X49/10^9</f>
        <v>5.8434755474997525E-2</v>
      </c>
      <c r="Y60" s="2">
        <f>Y5*'Output-Calculation-sheet'!Y49/10^9</f>
        <v>4.225951098258026E-2</v>
      </c>
      <c r="AA60" s="2">
        <f t="shared" ref="AA60:AA67" si="4">SUM(B60:Y60)</f>
        <v>16.69908129524077</v>
      </c>
    </row>
    <row r="61" spans="1:27" x14ac:dyDescent="0.25">
      <c r="A61" s="2">
        <v>2029</v>
      </c>
      <c r="B61" s="2">
        <f>B6*'Output-Calculation-sheet'!B50/10^9</f>
        <v>6.5374176804198889</v>
      </c>
      <c r="C61" s="2">
        <f>C6*'Output-Calculation-sheet'!C50/10^9</f>
        <v>2.8018501765903334</v>
      </c>
      <c r="D61" s="2">
        <f>D6*'Output-Calculation-sheet'!D50/10^9</f>
        <v>1.6828251099558802</v>
      </c>
      <c r="E61" s="2">
        <f>E6*'Output-Calculation-sheet'!E50/10^9</f>
        <v>1.9451953925093053</v>
      </c>
      <c r="F61" s="2">
        <f>F6*'Output-Calculation-sheet'!F50/10^9</f>
        <v>0.89756316463738572</v>
      </c>
      <c r="G61" s="2">
        <f>G6*'Output-Calculation-sheet'!G50/10^9</f>
        <v>0.70179374856557386</v>
      </c>
      <c r="H61" s="2">
        <f>H6*'Output-Calculation-sheet'!H50/10^9</f>
        <v>0.7264909407587119</v>
      </c>
      <c r="I61" s="2">
        <f>I6*'Output-Calculation-sheet'!I50/10^9</f>
        <v>0.53510471711759811</v>
      </c>
      <c r="J61" s="2">
        <f>J6*'Output-Calculation-sheet'!J50/10^9</f>
        <v>0.80962631793436146</v>
      </c>
      <c r="K61" s="2">
        <f>K6*'Output-Calculation-sheet'!K50/10^9</f>
        <v>0.47011543362091507</v>
      </c>
      <c r="L61" s="2">
        <f>L6*'Output-Calculation-sheet'!L50/10^9</f>
        <v>0.59755263122903535</v>
      </c>
      <c r="M61" s="2">
        <f>M6*'Output-Calculation-sheet'!M50/10^9</f>
        <v>0.55012684468968664</v>
      </c>
      <c r="N61" s="2">
        <f>N6*'Output-Calculation-sheet'!N50/10^9</f>
        <v>0.46873446639044974</v>
      </c>
      <c r="O61" s="2">
        <f>O6*'Output-Calculation-sheet'!O50/10^9</f>
        <v>0.48805649764088471</v>
      </c>
      <c r="P61" s="2">
        <f>P6*'Output-Calculation-sheet'!P50/10^9</f>
        <v>0.46518149153664606</v>
      </c>
      <c r="Q61" s="2">
        <f>Q6*'Output-Calculation-sheet'!Q50/10^9</f>
        <v>0.41208966691992105</v>
      </c>
      <c r="R61" s="2">
        <f>R6*'Output-Calculation-sheet'!R50/10^9</f>
        <v>0.41639374438283222</v>
      </c>
      <c r="S61" s="2">
        <f>S6*'Output-Calculation-sheet'!S50/10^9</f>
        <v>0.30527706374351316</v>
      </c>
      <c r="T61" s="2">
        <f>T6*'Output-Calculation-sheet'!T50/10^9</f>
        <v>0.17893359973005674</v>
      </c>
      <c r="U61" s="2">
        <f>U6*'Output-Calculation-sheet'!U50/10^9</f>
        <v>0.13358778158133225</v>
      </c>
      <c r="V61" s="2">
        <f>V6*'Output-Calculation-sheet'!V50/10^9</f>
        <v>0.24506182483129105</v>
      </c>
      <c r="W61" s="2">
        <f>W6*'Output-Calculation-sheet'!W50/10^9</f>
        <v>9.8879961498775537E-2</v>
      </c>
      <c r="X61" s="2">
        <f>X6*'Output-Calculation-sheet'!X50/10^9</f>
        <v>7.7194754658738748E-2</v>
      </c>
      <c r="Y61" s="2">
        <f>Y6*'Output-Calculation-sheet'!Y50/10^9</f>
        <v>5.3638595349620809E-2</v>
      </c>
      <c r="AA61" s="2">
        <f t="shared" si="4"/>
        <v>21.598691606292746</v>
      </c>
    </row>
    <row r="62" spans="1:27" x14ac:dyDescent="0.25">
      <c r="A62" s="2">
        <v>2030</v>
      </c>
      <c r="B62" s="2">
        <f>B7*'Output-Calculation-sheet'!B51/10^9</f>
        <v>7.6378864445348329</v>
      </c>
      <c r="C62" s="2">
        <f>C7*'Output-Calculation-sheet'!C51/10^9</f>
        <v>3.7958684001686898</v>
      </c>
      <c r="D62" s="2">
        <f>D7*'Output-Calculation-sheet'!D51/10^9</f>
        <v>1.9027766899325538</v>
      </c>
      <c r="E62" s="2">
        <f>E7*'Output-Calculation-sheet'!E51/10^9</f>
        <v>2.1895351068568885</v>
      </c>
      <c r="F62" s="2">
        <f>F7*'Output-Calculation-sheet'!F51/10^9</f>
        <v>1.0160501387101462</v>
      </c>
      <c r="G62" s="2">
        <f>G7*'Output-Calculation-sheet'!G51/10^9</f>
        <v>0.78589738699686085</v>
      </c>
      <c r="H62" s="2">
        <f>H7*'Output-Calculation-sheet'!H51/10^9</f>
        <v>0.9568794586838516</v>
      </c>
      <c r="I62" s="2">
        <f>I7*'Output-Calculation-sheet'!I51/10^9</f>
        <v>0.60858318712557469</v>
      </c>
      <c r="J62" s="2">
        <f>J7*'Output-Calculation-sheet'!J51/10^9</f>
        <v>0.89406726562996408</v>
      </c>
      <c r="K62" s="2">
        <f>K7*'Output-Calculation-sheet'!K51/10^9</f>
        <v>0.54797628128553622</v>
      </c>
      <c r="L62" s="2">
        <f>L7*'Output-Calculation-sheet'!L51/10^9</f>
        <v>0.67476643158617322</v>
      </c>
      <c r="M62" s="2">
        <f>M7*'Output-Calculation-sheet'!M51/10^9</f>
        <v>0.71297570486109774</v>
      </c>
      <c r="N62" s="2">
        <f>N7*'Output-Calculation-sheet'!N51/10^9</f>
        <v>0.58249184008758248</v>
      </c>
      <c r="O62" s="2">
        <f>O7*'Output-Calculation-sheet'!O51/10^9</f>
        <v>0.66278751435343575</v>
      </c>
      <c r="P62" s="2">
        <f>P7*'Output-Calculation-sheet'!P51/10^9</f>
        <v>0.54227288191023604</v>
      </c>
      <c r="Q62" s="2">
        <f>Q7*'Output-Calculation-sheet'!Q51/10^9</f>
        <v>0.49347168613694925</v>
      </c>
      <c r="R62" s="2">
        <f>R7*'Output-Calculation-sheet'!R51/10^9</f>
        <v>0.47818629948735392</v>
      </c>
      <c r="S62" s="2">
        <f>S7*'Output-Calculation-sheet'!S51/10^9</f>
        <v>0.37073689799526294</v>
      </c>
      <c r="T62" s="2">
        <f>T7*'Output-Calculation-sheet'!T51/10^9</f>
        <v>0.20067373004376185</v>
      </c>
      <c r="U62" s="2">
        <f>U7*'Output-Calculation-sheet'!U51/10^9</f>
        <v>0.15271793535398634</v>
      </c>
      <c r="V62" s="2">
        <f>V7*'Output-Calculation-sheet'!V51/10^9</f>
        <v>0.26800736766959493</v>
      </c>
      <c r="W62" s="2">
        <f>W7*'Output-Calculation-sheet'!W51/10^9</f>
        <v>0.10995600907391972</v>
      </c>
      <c r="X62" s="2">
        <f>X7*'Output-Calculation-sheet'!X51/10^9</f>
        <v>9.8628626138751743E-2</v>
      </c>
      <c r="Y62" s="2">
        <f>Y7*'Output-Calculation-sheet'!Y51/10^9</f>
        <v>6.1292173577775687E-2</v>
      </c>
      <c r="AA62" s="2">
        <f t="shared" si="4"/>
        <v>25.744485458200774</v>
      </c>
    </row>
    <row r="63" spans="1:27" x14ac:dyDescent="0.25">
      <c r="A63" s="2">
        <v>2031</v>
      </c>
      <c r="B63" s="2">
        <f>B8*'Output-Calculation-sheet'!B52/10^9</f>
        <v>8.5044294144291488</v>
      </c>
      <c r="C63" s="2">
        <f>C8*'Output-Calculation-sheet'!C52/10^9</f>
        <v>4.8394647017003125</v>
      </c>
      <c r="D63" s="2">
        <f>D8*'Output-Calculation-sheet'!D52/10^9</f>
        <v>1.9912191927431129</v>
      </c>
      <c r="E63" s="2">
        <f>E8*'Output-Calculation-sheet'!E52/10^9</f>
        <v>2.2780538773283054</v>
      </c>
      <c r="F63" s="2">
        <f>F8*'Output-Calculation-sheet'!F52/10^9</f>
        <v>1.0648449408041645</v>
      </c>
      <c r="G63" s="2">
        <f>G8*'Output-Calculation-sheet'!G52/10^9</f>
        <v>0.81222631476157015</v>
      </c>
      <c r="H63" s="2">
        <f>H8*'Output-Calculation-sheet'!H52/10^9</f>
        <v>1.2140835510678911</v>
      </c>
      <c r="I63" s="2">
        <f>I8*'Output-Calculation-sheet'!I52/10^9</f>
        <v>0.64160480468540237</v>
      </c>
      <c r="J63" s="2">
        <f>J8*'Output-Calculation-sheet'!J52/10^9</f>
        <v>0.90701694464414695</v>
      </c>
      <c r="K63" s="2">
        <f>K8*'Output-Calculation-sheet'!K52/10^9</f>
        <v>0.59541059725273771</v>
      </c>
      <c r="L63" s="2">
        <f>L8*'Output-Calculation-sheet'!L52/10^9</f>
        <v>0.70494139988237237</v>
      </c>
      <c r="M63" s="2">
        <f>M8*'Output-Calculation-sheet'!M52/10^9</f>
        <v>0.88892126147139161</v>
      </c>
      <c r="N63" s="2">
        <f>N8*'Output-Calculation-sheet'!N52/10^9</f>
        <v>0.70878334970962908</v>
      </c>
      <c r="O63" s="2">
        <f>O8*'Output-Calculation-sheet'!O52/10^9</f>
        <v>0.84115357024223436</v>
      </c>
      <c r="P63" s="2">
        <f>P8*'Output-Calculation-sheet'!P52/10^9</f>
        <v>0.60554388461827779</v>
      </c>
      <c r="Q63" s="2">
        <f>Q8*'Output-Calculation-sheet'!Q52/10^9</f>
        <v>0.56483910347323696</v>
      </c>
      <c r="R63" s="2">
        <f>R8*'Output-Calculation-sheet'!R52/10^9</f>
        <v>0.51161157809810864</v>
      </c>
      <c r="S63" s="2">
        <f>S8*'Output-Calculation-sheet'!S52/10^9</f>
        <v>0.43408465142390035</v>
      </c>
      <c r="T63" s="2">
        <f>T8*'Output-Calculation-sheet'!T52/10^9</f>
        <v>0.20779730809147373</v>
      </c>
      <c r="U63" s="2">
        <f>U8*'Output-Calculation-sheet'!U52/10^9</f>
        <v>0.16205056220849451</v>
      </c>
      <c r="V63" s="2">
        <f>V8*'Output-Calculation-sheet'!V52/10^9</f>
        <v>0.26830866965847505</v>
      </c>
      <c r="W63" s="2">
        <f>W8*'Output-Calculation-sheet'!W52/10^9</f>
        <v>0.11259426217900029</v>
      </c>
      <c r="X63" s="2">
        <f>X8*'Output-Calculation-sheet'!X52/10^9</f>
        <v>0.1199831150791531</v>
      </c>
      <c r="Y63" s="2">
        <f>Y8*'Output-Calculation-sheet'!Y52/10^9</f>
        <v>6.5018966774089026E-2</v>
      </c>
      <c r="AA63" s="2">
        <f t="shared" si="4"/>
        <v>29.043986022326639</v>
      </c>
    </row>
    <row r="64" spans="1:27" x14ac:dyDescent="0.25">
      <c r="A64" s="2">
        <v>2032</v>
      </c>
      <c r="B64" s="2">
        <f>B9*'Output-Calculation-sheet'!B53/10^9</f>
        <v>9.1618082509134471</v>
      </c>
      <c r="C64" s="2">
        <f>C9*'Output-Calculation-sheet'!C53/10^9</f>
        <v>5.75569399892089</v>
      </c>
      <c r="D64" s="2">
        <f>D9*'Output-Calculation-sheet'!D53/10^9</f>
        <v>1.9238448942908217</v>
      </c>
      <c r="E64" s="2">
        <f>E9*'Output-Calculation-sheet'!E53/10^9</f>
        <v>2.2463249614094494</v>
      </c>
      <c r="F64" s="2">
        <f>F9*'Output-Calculation-sheet'!F53/10^9</f>
        <v>1.0308015467539289</v>
      </c>
      <c r="G64" s="2">
        <f>G9*'Output-Calculation-sheet'!G53/10^9</f>
        <v>0.7718206027200244</v>
      </c>
      <c r="H64" s="2">
        <f>H9*'Output-Calculation-sheet'!H53/10^9</f>
        <v>1.4374283482275692</v>
      </c>
      <c r="I64" s="2">
        <f>I9*'Output-Calculation-sheet'!I53/10^9</f>
        <v>0.62589368214721597</v>
      </c>
      <c r="J64" s="2">
        <f>J9*'Output-Calculation-sheet'!J53/10^9</f>
        <v>0.84008377913663601</v>
      </c>
      <c r="K64" s="2">
        <f>K9*'Output-Calculation-sheet'!K53/10^9</f>
        <v>0.62016798842892351</v>
      </c>
      <c r="L64" s="2">
        <f>L9*'Output-Calculation-sheet'!L53/10^9</f>
        <v>0.69624455902763183</v>
      </c>
      <c r="M64" s="2">
        <f>M9*'Output-Calculation-sheet'!M53/10^9</f>
        <v>1.036587580067698</v>
      </c>
      <c r="N64" s="2">
        <f>N9*'Output-Calculation-sheet'!N53/10^9</f>
        <v>0.84718584464152624</v>
      </c>
      <c r="O64" s="2">
        <f>O9*'Output-Calculation-sheet'!O53/10^9</f>
        <v>1.0008055604597643</v>
      </c>
      <c r="P64" s="2">
        <f>P9*'Output-Calculation-sheet'!P53/10^9</f>
        <v>0.66173832145204581</v>
      </c>
      <c r="Q64" s="2">
        <f>Q9*'Output-Calculation-sheet'!Q53/10^9</f>
        <v>0.62769060369571616</v>
      </c>
      <c r="R64" s="2">
        <f>R9*'Output-Calculation-sheet'!R53/10^9</f>
        <v>0.53398777168536715</v>
      </c>
      <c r="S64" s="2">
        <f>S9*'Output-Calculation-sheet'!S53/10^9</f>
        <v>0.50201952690897012</v>
      </c>
      <c r="T64" s="2">
        <f>T9*'Output-Calculation-sheet'!T53/10^9</f>
        <v>0.19961551856139922</v>
      </c>
      <c r="U64" s="2">
        <f>U9*'Output-Calculation-sheet'!U53/10^9</f>
        <v>0.1700713069575101</v>
      </c>
      <c r="V64" s="2">
        <f>V9*'Output-Calculation-sheet'!V53/10^9</f>
        <v>0.24787341971099267</v>
      </c>
      <c r="W64" s="2">
        <f>W9*'Output-Calculation-sheet'!W53/10^9</f>
        <v>0.10565194480909017</v>
      </c>
      <c r="X64" s="2">
        <f>X9*'Output-Calculation-sheet'!X53/10^9</f>
        <v>0.1365596461244713</v>
      </c>
      <c r="Y64" s="2">
        <f>Y9*'Output-Calculation-sheet'!Y53/10^9</f>
        <v>6.7200495175108219E-2</v>
      </c>
      <c r="AA64" s="2">
        <f t="shared" si="4"/>
        <v>31.247100152226196</v>
      </c>
    </row>
    <row r="65" spans="1:27" x14ac:dyDescent="0.25">
      <c r="A65" s="2">
        <v>2033</v>
      </c>
      <c r="B65" s="2">
        <f>B10*'Output-Calculation-sheet'!B54/10^9</f>
        <v>9.8119481338382606</v>
      </c>
      <c r="C65" s="2">
        <f>C10*'Output-Calculation-sheet'!C54/10^9</f>
        <v>6.4486501944880308</v>
      </c>
      <c r="D65" s="2">
        <f>D10*'Output-Calculation-sheet'!D54/10^9</f>
        <v>1.7489426286240497</v>
      </c>
      <c r="E65" s="2">
        <f>E10*'Output-Calculation-sheet'!E54/10^9</f>
        <v>2.2273131441565823</v>
      </c>
      <c r="F65" s="2">
        <f>F10*'Output-Calculation-sheet'!F54/10^9</f>
        <v>0.95709567647763161</v>
      </c>
      <c r="G65" s="2">
        <f>G10*'Output-Calculation-sheet'!G54/10^9</f>
        <v>0.68140487920817816</v>
      </c>
      <c r="H65" s="2">
        <f>H10*'Output-Calculation-sheet'!H54/10^9</f>
        <v>1.6011133886670432</v>
      </c>
      <c r="I65" s="2">
        <f>I10*'Output-Calculation-sheet'!I54/10^9</f>
        <v>0.59744969272802484</v>
      </c>
      <c r="J65" s="2">
        <f>J10*'Output-Calculation-sheet'!J54/10^9</f>
        <v>0.70687784268576537</v>
      </c>
      <c r="K65" s="2">
        <f>K10*'Output-Calculation-sheet'!K54/10^9</f>
        <v>0.66145839797550066</v>
      </c>
      <c r="L65" s="2">
        <f>L10*'Output-Calculation-sheet'!L54/10^9</f>
        <v>0.68218288194446008</v>
      </c>
      <c r="M65" s="2">
        <f>M10*'Output-Calculation-sheet'!M54/10^9</f>
        <v>1.1384916161410483</v>
      </c>
      <c r="N65" s="2">
        <f>N10*'Output-Calculation-sheet'!N54/10^9</f>
        <v>0.97011210992987351</v>
      </c>
      <c r="O65" s="2">
        <f>O10*'Output-Calculation-sheet'!O54/10^9</f>
        <v>1.1287847848593402</v>
      </c>
      <c r="P65" s="2">
        <f>P10*'Output-Calculation-sheet'!P54/10^9</f>
        <v>0.71562510604649243</v>
      </c>
      <c r="Q65" s="2">
        <f>Q10*'Output-Calculation-sheet'!Q54/10^9</f>
        <v>0.70617538149113424</v>
      </c>
      <c r="R65" s="2">
        <f>R10*'Output-Calculation-sheet'!R54/10^9</f>
        <v>0.55982618833698772</v>
      </c>
      <c r="S65" s="2">
        <f>S10*'Output-Calculation-sheet'!S54/10^9</f>
        <v>0.56187251351507039</v>
      </c>
      <c r="T65" s="2">
        <f>T10*'Output-Calculation-sheet'!T54/10^9</f>
        <v>0.18957838633730817</v>
      </c>
      <c r="U65" s="2">
        <f>U10*'Output-Calculation-sheet'!U54/10^9</f>
        <v>0.18207752744415573</v>
      </c>
      <c r="V65" s="2">
        <f>V10*'Output-Calculation-sheet'!V54/10^9</f>
        <v>0.21452947451496077</v>
      </c>
      <c r="W65" s="2">
        <f>W10*'Output-Calculation-sheet'!W54/10^9</f>
        <v>9.1685677458353848E-2</v>
      </c>
      <c r="X65" s="2">
        <f>X10*'Output-Calculation-sheet'!X54/10^9</f>
        <v>0.14738143406016715</v>
      </c>
      <c r="Y65" s="2">
        <f>Y10*'Output-Calculation-sheet'!Y54/10^9</f>
        <v>7.1124652940957364E-2</v>
      </c>
      <c r="AA65" s="2">
        <f t="shared" si="4"/>
        <v>32.801701713869377</v>
      </c>
    </row>
    <row r="66" spans="1:27" x14ac:dyDescent="0.25">
      <c r="A66" s="2">
        <v>2034</v>
      </c>
      <c r="B66" s="2">
        <f>B11*'Output-Calculation-sheet'!B55/10^9</f>
        <v>10.446032426087612</v>
      </c>
      <c r="C66" s="2">
        <f>C11*'Output-Calculation-sheet'!C55/10^9</f>
        <v>6.94242769488097</v>
      </c>
      <c r="D66" s="2">
        <f>D11*'Output-Calculation-sheet'!D55/10^9</f>
        <v>1.8898606693176101</v>
      </c>
      <c r="E66" s="2">
        <f>E11*'Output-Calculation-sheet'!E55/10^9</f>
        <v>2.4476714419524312</v>
      </c>
      <c r="F66" s="2">
        <f>F11*'Output-Calculation-sheet'!F55/10^9</f>
        <v>0.96327777047764507</v>
      </c>
      <c r="G66" s="2">
        <f>G11*'Output-Calculation-sheet'!G55/10^9</f>
        <v>0.70274998840125014</v>
      </c>
      <c r="H66" s="2">
        <f>H11*'Output-Calculation-sheet'!H55/10^9</f>
        <v>1.7537716782857773</v>
      </c>
      <c r="I66" s="2">
        <f>I11*'Output-Calculation-sheet'!I55/10^9</f>
        <v>0.65328712308328429</v>
      </c>
      <c r="J66" s="2">
        <f>J11*'Output-Calculation-sheet'!J55/10^9</f>
        <v>0.65776748865733392</v>
      </c>
      <c r="K66" s="2">
        <f>K11*'Output-Calculation-sheet'!K55/10^9</f>
        <v>0.74892740707189476</v>
      </c>
      <c r="L66" s="2">
        <f>L11*'Output-Calculation-sheet'!L55/10^9</f>
        <v>0.726075709853227</v>
      </c>
      <c r="M66" s="2">
        <f>M11*'Output-Calculation-sheet'!M55/10^9</f>
        <v>1.2325716356589509</v>
      </c>
      <c r="N66" s="2">
        <f>N11*'Output-Calculation-sheet'!N55/10^9</f>
        <v>1.0714981958483492</v>
      </c>
      <c r="O66" s="2">
        <f>O11*'Output-Calculation-sheet'!O55/10^9</f>
        <v>1.2216531953149135</v>
      </c>
      <c r="P66" s="2">
        <f>P11*'Output-Calculation-sheet'!P55/10^9</f>
        <v>0.78337269548369726</v>
      </c>
      <c r="Q66" s="2">
        <f>Q11*'Output-Calculation-sheet'!Q55/10^9</f>
        <v>0.80578043872371574</v>
      </c>
      <c r="R66" s="2">
        <f>R11*'Output-Calculation-sheet'!R55/10^9</f>
        <v>0.59618196779991184</v>
      </c>
      <c r="S66" s="2">
        <f>S11*'Output-Calculation-sheet'!S55/10^9</f>
        <v>0.61887359850042667</v>
      </c>
      <c r="T66" s="2">
        <f>T11*'Output-Calculation-sheet'!T55/10^9</f>
        <v>0.18679573594810434</v>
      </c>
      <c r="U66" s="2">
        <f>U11*'Output-Calculation-sheet'!U55/10^9</f>
        <v>0.20330249340695103</v>
      </c>
      <c r="V66" s="2">
        <f>V11*'Output-Calculation-sheet'!V55/10^9</f>
        <v>0.17653923178377734</v>
      </c>
      <c r="W66" s="2">
        <f>W11*'Output-Calculation-sheet'!W55/10^9</f>
        <v>8.6487251221967626E-2</v>
      </c>
      <c r="X66" s="2">
        <f>X11*'Output-Calculation-sheet'!X55/10^9</f>
        <v>0.16161720655478909</v>
      </c>
      <c r="Y66" s="2">
        <f>Y11*'Output-Calculation-sheet'!Y55/10^9</f>
        <v>8.2984006226178159E-2</v>
      </c>
      <c r="AA66" s="2">
        <f t="shared" si="4"/>
        <v>35.159507050540768</v>
      </c>
    </row>
    <row r="67" spans="1:27" x14ac:dyDescent="0.25">
      <c r="A67" s="2">
        <v>2035</v>
      </c>
      <c r="B67" s="2">
        <f>B12*'Output-Calculation-sheet'!B56/10^9</f>
        <v>11.460596931081293</v>
      </c>
      <c r="C67" s="2">
        <f>C12*'Output-Calculation-sheet'!C56/10^9</f>
        <v>7.2422423285314466</v>
      </c>
      <c r="D67" s="2">
        <f>D12*'Output-Calculation-sheet'!D56/10^9</f>
        <v>2.2732051174507175</v>
      </c>
      <c r="E67" s="2">
        <f>E12*'Output-Calculation-sheet'!E56/10^9</f>
        <v>3.1087347155192755</v>
      </c>
      <c r="F67" s="2">
        <f>F12*'Output-Calculation-sheet'!F56/10^9</f>
        <v>1.2184173854095577</v>
      </c>
      <c r="G67" s="2">
        <f>G12*'Output-Calculation-sheet'!G56/10^9</f>
        <v>0.8989833088910153</v>
      </c>
      <c r="H67" s="2">
        <f>H12*'Output-Calculation-sheet'!H56/10^9</f>
        <v>1.9116032158677951</v>
      </c>
      <c r="I67" s="2">
        <f>I12*'Output-Calculation-sheet'!I56/10^9</f>
        <v>0.82369018045466169</v>
      </c>
      <c r="J67" s="2">
        <f>J12*'Output-Calculation-sheet'!J56/10^9</f>
        <v>0.75353638251757726</v>
      </c>
      <c r="K67" s="2">
        <f>K12*'Output-Calculation-sheet'!K56/10^9</f>
        <v>0.90283093357756605</v>
      </c>
      <c r="L67" s="2">
        <f>L12*'Output-Calculation-sheet'!L56/10^9</f>
        <v>0.8417092028271167</v>
      </c>
      <c r="M67" s="2">
        <f>M12*'Output-Calculation-sheet'!M56/10^9</f>
        <v>1.3525528565182803</v>
      </c>
      <c r="N67" s="2">
        <f>N12*'Output-Calculation-sheet'!N56/10^9</f>
        <v>1.1552055278754307</v>
      </c>
      <c r="O67" s="2">
        <f>O12*'Output-Calculation-sheet'!O56/10^9</f>
        <v>1.2777053751499723</v>
      </c>
      <c r="P67" s="2">
        <f>P12*'Output-Calculation-sheet'!P56/10^9</f>
        <v>0.9374756984658188</v>
      </c>
      <c r="Q67" s="2">
        <f>Q12*'Output-Calculation-sheet'!Q56/10^9</f>
        <v>0.88558664884328941</v>
      </c>
      <c r="R67" s="2">
        <f>R12*'Output-Calculation-sheet'!R56/10^9</f>
        <v>0.69539825570244451</v>
      </c>
      <c r="S67" s="2">
        <f>S12*'Output-Calculation-sheet'!S56/10^9</f>
        <v>0.67129576516597533</v>
      </c>
      <c r="T67" s="2">
        <f>T12*'Output-Calculation-sheet'!T56/10^9</f>
        <v>0.21624079388481321</v>
      </c>
      <c r="U67" s="2">
        <f>U12*'Output-Calculation-sheet'!U56/10^9</f>
        <v>0.23378721457646048</v>
      </c>
      <c r="V67" s="2">
        <f>V12*'Output-Calculation-sheet'!V56/10^9</f>
        <v>0.16689546399320943</v>
      </c>
      <c r="W67" s="2">
        <f>W12*'Output-Calculation-sheet'!W56/10^9</f>
        <v>0.11317408248898057</v>
      </c>
      <c r="X67" s="2">
        <f>X12*'Output-Calculation-sheet'!X56/10^9</f>
        <v>0.17568714282827916</v>
      </c>
      <c r="Y67" s="2">
        <f>Y12*'Output-Calculation-sheet'!Y56/10^9</f>
        <v>0.1056029130692239</v>
      </c>
      <c r="AA67" s="2">
        <f t="shared" si="4"/>
        <v>39.422157440690192</v>
      </c>
    </row>
    <row r="68" spans="1:27" x14ac:dyDescent="0.25">
      <c r="B68" s="2">
        <f>SUM(B60:B67)</f>
        <v>68.632678357980566</v>
      </c>
      <c r="C68" s="2">
        <f t="shared" ref="C68:Y68" si="5">SUM(C60:C67)</f>
        <v>39.872174852405848</v>
      </c>
      <c r="D68" s="2">
        <f t="shared" si="5"/>
        <v>14.750248150349311</v>
      </c>
      <c r="E68" s="2">
        <f t="shared" si="5"/>
        <v>17.994714330919571</v>
      </c>
      <c r="F68" s="2">
        <f t="shared" si="5"/>
        <v>7.8607855197912553</v>
      </c>
      <c r="G68" s="2">
        <f t="shared" si="5"/>
        <v>5.9171299524635712</v>
      </c>
      <c r="H68" s="2">
        <f t="shared" si="5"/>
        <v>10.138966252218403</v>
      </c>
      <c r="I68" s="2">
        <f t="shared" si="5"/>
        <v>4.9088737801981885</v>
      </c>
      <c r="J68" s="2">
        <f t="shared" si="5"/>
        <v>6.2249535805827074</v>
      </c>
      <c r="K68" s="2">
        <f t="shared" si="5"/>
        <v>4.91098979433729</v>
      </c>
      <c r="L68" s="2">
        <f t="shared" si="5"/>
        <v>5.3989480270851562</v>
      </c>
      <c r="M68" s="2">
        <f t="shared" si="5"/>
        <v>7.3237493977113415</v>
      </c>
      <c r="N68" s="2">
        <f t="shared" si="5"/>
        <v>6.1484931553207769</v>
      </c>
      <c r="O68" s="2">
        <f t="shared" si="5"/>
        <v>6.9662406776326575</v>
      </c>
      <c r="P68" s="2">
        <f t="shared" si="5"/>
        <v>5.0714636662353136</v>
      </c>
      <c r="Q68" s="2">
        <f t="shared" si="5"/>
        <v>4.8080872957120624</v>
      </c>
      <c r="R68" s="2">
        <f t="shared" si="5"/>
        <v>4.1182588731080969</v>
      </c>
      <c r="S68" s="2">
        <f t="shared" si="5"/>
        <v>3.6943343755952047</v>
      </c>
      <c r="T68" s="2">
        <f t="shared" si="5"/>
        <v>1.522817933904971</v>
      </c>
      <c r="U68" s="2">
        <f t="shared" si="5"/>
        <v>1.3428027397211304</v>
      </c>
      <c r="V68" s="2">
        <f t="shared" si="5"/>
        <v>1.7872927056733892</v>
      </c>
      <c r="W68" s="2">
        <f t="shared" si="5"/>
        <v>0.79809932542577933</v>
      </c>
      <c r="X68" s="2">
        <f t="shared" si="5"/>
        <v>0.97548668091934776</v>
      </c>
      <c r="Y68" s="2">
        <f t="shared" si="5"/>
        <v>0.54912131409553344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2253.3633691702662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533.75325943968392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364.99291105332077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48.654872754809873</v>
      </c>
      <c r="Y73" s="2">
        <f>Y7/'Output-Calculation-sheet'!Y6*'Output-Calculation-sheet'!Y60</f>
        <v>0</v>
      </c>
      <c r="AA73" s="2">
        <f t="shared" si="6"/>
        <v>3.2007644124180805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5243.5888762575378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1754.3424834479376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1171.4973500363046</v>
      </c>
      <c r="N74" s="2">
        <f>N8/'Output-Calculation-sheet'!N7*'Output-Calculation-sheet'!N61</f>
        <v>48.96753212261742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145.18153944435318</v>
      </c>
      <c r="Y74" s="2">
        <f>Y8/'Output-Calculation-sheet'!Y7*'Output-Calculation-sheet'!Y61</f>
        <v>0</v>
      </c>
      <c r="AA74" s="2">
        <f t="shared" si="6"/>
        <v>8.3635777813087504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10730.178365705944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3090.1062083865131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2097.8203291393147</v>
      </c>
      <c r="N75" s="2">
        <f>N9/'Output-Calculation-sheet'!N8*'Output-Calculation-sheet'!N62</f>
        <v>810.33239950862571</v>
      </c>
      <c r="O75" s="2">
        <f>O9/'Output-Calculation-sheet'!O8*'Output-Calculation-sheet'!O62</f>
        <v>0</v>
      </c>
      <c r="P75" s="2">
        <f>P9/'Output-Calculation-sheet'!P8*'Output-Calculation-sheet'!P62</f>
        <v>54.250476808424992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271.52285744485528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253.28115180927227</v>
      </c>
      <c r="Y75" s="2">
        <f>Y9/'Output-Calculation-sheet'!Y8*'Output-Calculation-sheet'!Y62</f>
        <v>0</v>
      </c>
      <c r="AA75" s="2">
        <f t="shared" si="6"/>
        <v>17.307491788802949</v>
      </c>
    </row>
    <row r="76" spans="1:27" x14ac:dyDescent="0.25">
      <c r="A76" s="2">
        <v>2033</v>
      </c>
      <c r="B76" s="2">
        <f>B10/'Output-Calculation-sheet'!B9*'Output-Calculation-sheet'!B63</f>
        <v>6974.0587204170743</v>
      </c>
      <c r="C76" s="2">
        <f>C10/'Output-Calculation-sheet'!C9*'Output-Calculation-sheet'!C63</f>
        <v>14244.215884629768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4541.5663509124242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119.03448863038086</v>
      </c>
      <c r="L76" s="2">
        <f>L10/'Output-Calculation-sheet'!L9*'Output-Calculation-sheet'!L63</f>
        <v>0</v>
      </c>
      <c r="M76" s="2">
        <f>M10/'Output-Calculation-sheet'!M9*'Output-Calculation-sheet'!M63</f>
        <v>3092.3460524826619</v>
      </c>
      <c r="N76" s="2">
        <f>N10/'Output-Calculation-sheet'!N9*'Output-Calculation-sheet'!N63</f>
        <v>1766.4849871212971</v>
      </c>
      <c r="O76" s="2">
        <f>O10/'Output-Calculation-sheet'!O9*'Output-Calculation-sheet'!O63</f>
        <v>0</v>
      </c>
      <c r="P76" s="2">
        <f>P10/'Output-Calculation-sheet'!P9*'Output-Calculation-sheet'!P63</f>
        <v>613.41371914659908</v>
      </c>
      <c r="Q76" s="2">
        <f>Q10/'Output-Calculation-sheet'!Q9*'Output-Calculation-sheet'!Q63</f>
        <v>276.67423865058964</v>
      </c>
      <c r="R76" s="2">
        <f>R10/'Output-Calculation-sheet'!R9*'Output-Calculation-sheet'!R63</f>
        <v>467.51932617090495</v>
      </c>
      <c r="S76" s="2">
        <f>S10/'Output-Calculation-sheet'!S9*'Output-Calculation-sheet'!S63</f>
        <v>785.51464418170428</v>
      </c>
      <c r="T76" s="2">
        <f>T10/'Output-Calculation-sheet'!T9*'Output-Calculation-sheet'!T63</f>
        <v>31.797826083644981</v>
      </c>
      <c r="U76" s="2">
        <f>U10/'Output-Calculation-sheet'!U9*'Output-Calculation-sheet'!U63</f>
        <v>165.20519664830564</v>
      </c>
      <c r="V76" s="2">
        <f>V10/'Output-Calculation-sheet'!V9*'Output-Calculation-sheet'!V63</f>
        <v>12.677106053143648</v>
      </c>
      <c r="W76" s="2">
        <f>W10/'Output-Calculation-sheet'!W9*'Output-Calculation-sheet'!W63</f>
        <v>0</v>
      </c>
      <c r="X76" s="2">
        <f>X10/'Output-Calculation-sheet'!X9*'Output-Calculation-sheet'!X63</f>
        <v>364.14572096711214</v>
      </c>
      <c r="Y76" s="2">
        <f>Y10/'Output-Calculation-sheet'!Y9*'Output-Calculation-sheet'!Y63</f>
        <v>6.9083112091330845</v>
      </c>
      <c r="AA76" s="2">
        <f t="shared" si="6"/>
        <v>33.461562573304747</v>
      </c>
    </row>
    <row r="77" spans="1:27" x14ac:dyDescent="0.25">
      <c r="A77" s="2">
        <v>2034</v>
      </c>
      <c r="B77" s="2">
        <f>B11/'Output-Calculation-sheet'!B10*'Output-Calculation-sheet'!B64</f>
        <v>17406.166233597723</v>
      </c>
      <c r="C77" s="2">
        <f>C11/'Output-Calculation-sheet'!C10*'Output-Calculation-sheet'!C64</f>
        <v>15290.622821268629</v>
      </c>
      <c r="D77" s="2">
        <f>D11/'Output-Calculation-sheet'!D10*'Output-Calculation-sheet'!D64</f>
        <v>2145.3932235077314</v>
      </c>
      <c r="E77" s="2">
        <f>E11/'Output-Calculation-sheet'!E10*'Output-Calculation-sheet'!E64</f>
        <v>2650.9606911706724</v>
      </c>
      <c r="F77" s="2">
        <f>F11/'Output-Calculation-sheet'!F10*'Output-Calculation-sheet'!F64</f>
        <v>165.06079787248964</v>
      </c>
      <c r="G77" s="2">
        <f>G11/'Output-Calculation-sheet'!G10*'Output-Calculation-sheet'!G64</f>
        <v>1132.7734023264893</v>
      </c>
      <c r="H77" s="2">
        <f>H11/'Output-Calculation-sheet'!H10*'Output-Calculation-sheet'!H64</f>
        <v>5612.3017405779383</v>
      </c>
      <c r="I77" s="2">
        <f>I11/'Output-Calculation-sheet'!I10*'Output-Calculation-sheet'!I64</f>
        <v>668.26956545085432</v>
      </c>
      <c r="J77" s="2">
        <f>J11/'Output-Calculation-sheet'!J10*'Output-Calculation-sheet'!J64</f>
        <v>476.37350515662581</v>
      </c>
      <c r="K77" s="2">
        <f>K11/'Output-Calculation-sheet'!K10*'Output-Calculation-sheet'!K64</f>
        <v>1010.0177790800735</v>
      </c>
      <c r="L77" s="2">
        <f>L11/'Output-Calculation-sheet'!L10*'Output-Calculation-sheet'!L64</f>
        <v>438.54591839889093</v>
      </c>
      <c r="M77" s="2">
        <f>M11/'Output-Calculation-sheet'!M10*'Output-Calculation-sheet'!M64</f>
        <v>3991.7544335549919</v>
      </c>
      <c r="N77" s="2">
        <f>N11/'Output-Calculation-sheet'!N10*'Output-Calculation-sheet'!N64</f>
        <v>2840.035244686052</v>
      </c>
      <c r="O77" s="2">
        <f>O11/'Output-Calculation-sheet'!O10*'Output-Calculation-sheet'!O64</f>
        <v>99.019413588832705</v>
      </c>
      <c r="P77" s="2">
        <f>P11/'Output-Calculation-sheet'!P10*'Output-Calculation-sheet'!P64</f>
        <v>1253.4862738066324</v>
      </c>
      <c r="Q77" s="2">
        <f>Q11/'Output-Calculation-sheet'!Q10*'Output-Calculation-sheet'!Q64</f>
        <v>715.26575421950599</v>
      </c>
      <c r="R77" s="2">
        <f>R11/'Output-Calculation-sheet'!R10*'Output-Calculation-sheet'!R64</f>
        <v>1072.6567635253587</v>
      </c>
      <c r="S77" s="2">
        <f>S11/'Output-Calculation-sheet'!S10*'Output-Calculation-sheet'!S64</f>
        <v>1434.2022514467471</v>
      </c>
      <c r="T77" s="2">
        <f>T11/'Output-Calculation-sheet'!T10*'Output-Calculation-sheet'!T64</f>
        <v>295.1042044363524</v>
      </c>
      <c r="U77" s="2">
        <f>U11/'Output-Calculation-sheet'!U10*'Output-Calculation-sheet'!U64</f>
        <v>392.22793847544813</v>
      </c>
      <c r="V77" s="2">
        <f>V11/'Output-Calculation-sheet'!V10*'Output-Calculation-sheet'!V64</f>
        <v>156.35396334152171</v>
      </c>
      <c r="W77" s="2">
        <f>W11/'Output-Calculation-sheet'!W10*'Output-Calculation-sheet'!W64</f>
        <v>33.035328285741983</v>
      </c>
      <c r="X77" s="2">
        <f>X11/'Output-Calculation-sheet'!X10*'Output-Calculation-sheet'!X64</f>
        <v>405.60462384741487</v>
      </c>
      <c r="Y77" s="2">
        <f>Y11/'Output-Calculation-sheet'!Y10*'Output-Calculation-sheet'!Y64</f>
        <v>98.207635281488166</v>
      </c>
      <c r="AA77" s="2">
        <f t="shared" si="6"/>
        <v>59.783439506904209</v>
      </c>
    </row>
    <row r="78" spans="1:27" x14ac:dyDescent="0.25">
      <c r="A78" s="2">
        <v>2035</v>
      </c>
      <c r="B78" s="2">
        <f>B12/'Output-Calculation-sheet'!B11*'Output-Calculation-sheet'!B65</f>
        <v>22179.441322694853</v>
      </c>
      <c r="C78" s="2">
        <f>C12/'Output-Calculation-sheet'!C11*'Output-Calculation-sheet'!C65</f>
        <v>15662.651034760378</v>
      </c>
      <c r="D78" s="2">
        <f>D12/'Output-Calculation-sheet'!D11*'Output-Calculation-sheet'!D65</f>
        <v>2354.7025942683458</v>
      </c>
      <c r="E78" s="2">
        <f>E12/'Output-Calculation-sheet'!E11*'Output-Calculation-sheet'!E65</f>
        <v>4476.2270334259529</v>
      </c>
      <c r="F78" s="2">
        <f>F12/'Output-Calculation-sheet'!F11*'Output-Calculation-sheet'!F65</f>
        <v>948.14538373304811</v>
      </c>
      <c r="G78" s="2">
        <f>G12/'Output-Calculation-sheet'!G11*'Output-Calculation-sheet'!G65</f>
        <v>1779.082028586369</v>
      </c>
      <c r="H78" s="2">
        <f>H12/'Output-Calculation-sheet'!H11*'Output-Calculation-sheet'!H65</f>
        <v>5727.9423925842921</v>
      </c>
      <c r="I78" s="2">
        <f>I12/'Output-Calculation-sheet'!I11*'Output-Calculation-sheet'!I65</f>
        <v>1046.1565116896982</v>
      </c>
      <c r="J78" s="2">
        <f>J12/'Output-Calculation-sheet'!J11*'Output-Calculation-sheet'!J65</f>
        <v>938.22628999472693</v>
      </c>
      <c r="K78" s="2">
        <f>K12/'Output-Calculation-sheet'!K11*'Output-Calculation-sheet'!K65</f>
        <v>1183.9961438406419</v>
      </c>
      <c r="L78" s="2">
        <f>L12/'Output-Calculation-sheet'!L11*'Output-Calculation-sheet'!L65</f>
        <v>703.9886363471046</v>
      </c>
      <c r="M78" s="2">
        <f>M12/'Output-Calculation-sheet'!M11*'Output-Calculation-sheet'!M65</f>
        <v>4077.3208659153547</v>
      </c>
      <c r="N78" s="2">
        <f>N12/'Output-Calculation-sheet'!N11*'Output-Calculation-sheet'!N65</f>
        <v>2867.0150110301165</v>
      </c>
      <c r="O78" s="2">
        <f>O12/'Output-Calculation-sheet'!O11*'Output-Calculation-sheet'!O65</f>
        <v>401.91845257415821</v>
      </c>
      <c r="P78" s="2">
        <f>P12/'Output-Calculation-sheet'!P11*'Output-Calculation-sheet'!P65</f>
        <v>1629.8677586148747</v>
      </c>
      <c r="Q78" s="2">
        <f>Q12/'Output-Calculation-sheet'!Q11*'Output-Calculation-sheet'!Q65</f>
        <v>819.8073126335438</v>
      </c>
      <c r="R78" s="2">
        <f>R12/'Output-Calculation-sheet'!R11*'Output-Calculation-sheet'!R65</f>
        <v>1351.2905019009202</v>
      </c>
      <c r="S78" s="2">
        <f>S12/'Output-Calculation-sheet'!S11*'Output-Calculation-sheet'!S65</f>
        <v>1524.4642429172829</v>
      </c>
      <c r="T78" s="2">
        <f>T12/'Output-Calculation-sheet'!T11*'Output-Calculation-sheet'!T65</f>
        <v>485.89261661378691</v>
      </c>
      <c r="U78" s="2">
        <f>U12/'Output-Calculation-sheet'!U11*'Output-Calculation-sheet'!U65</f>
        <v>416.32002207178454</v>
      </c>
      <c r="V78" s="2">
        <f>V12/'Output-Calculation-sheet'!V11*'Output-Calculation-sheet'!V65</f>
        <v>262.22607789713658</v>
      </c>
      <c r="W78" s="2">
        <f>W12/'Output-Calculation-sheet'!W11*'Output-Calculation-sheet'!W65</f>
        <v>184.69419221349472</v>
      </c>
      <c r="X78" s="2">
        <f>X12/'Output-Calculation-sheet'!X11*'Output-Calculation-sheet'!X65</f>
        <v>420.23874911351129</v>
      </c>
      <c r="Y78" s="2">
        <f>Y12/'Output-Calculation-sheet'!Y11*'Output-Calculation-sheet'!Y65</f>
        <v>180.27985491408785</v>
      </c>
      <c r="AA78" s="2">
        <f t="shared" si="6"/>
        <v>71.621895030335452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89.761128472365613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104.62903490012997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0.19439016337249557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320.89197969835209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228.58248941060808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0.54947446910896014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240.27180415163843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373.42678150247082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0.61369858565410929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514.10170298587968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499.38065191628715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1.013482354902167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1060.2014454116349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40.795377988093058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28.071212112115894</v>
      </c>
      <c r="N88" s="2">
        <f>N11/'Output-Calculation-sheet'!N10*'Output-Calculation-sheet'!N73</f>
        <v>0</v>
      </c>
      <c r="O88" s="2">
        <f>O11/'Output-Calculation-sheet'!O10*'Output-Calculation-sheet'!O73</f>
        <v>592.15977965240563</v>
      </c>
      <c r="P88" s="2">
        <f>P11/'Output-Calculation-sheet'!P10*'Output-Calculation-sheet'!P73</f>
        <v>0</v>
      </c>
      <c r="Q88" s="2">
        <f>Q11/'Output-Calculation-sheet'!Q10*'Output-Calculation-sheet'!Q73</f>
        <v>24.172549990520647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3.0794811698813693</v>
      </c>
      <c r="Y88" s="2">
        <f>Y11/'Output-Calculation-sheet'!Y10*'Output-Calculation-sheet'!Y73</f>
        <v>0</v>
      </c>
      <c r="AA88" s="2">
        <f t="shared" si="7"/>
        <v>1.7484798463246516</v>
      </c>
    </row>
    <row r="89" spans="1:27" x14ac:dyDescent="0.25">
      <c r="A89" s="2">
        <v>2035</v>
      </c>
      <c r="B89" s="2">
        <f>B12/'Output-Calculation-sheet'!B11*'Output-Calculation-sheet'!B74</f>
        <v>559.08450310541332</v>
      </c>
      <c r="C89" s="2">
        <f>C12/'Output-Calculation-sheet'!C11*'Output-Calculation-sheet'!C74</f>
        <v>1724.8008356717428</v>
      </c>
      <c r="D89" s="2">
        <f>D12/'Output-Calculation-sheet'!D11*'Output-Calculation-sheet'!D74</f>
        <v>235.0589063407383</v>
      </c>
      <c r="E89" s="2">
        <f>E12/'Output-Calculation-sheet'!E11*'Output-Calculation-sheet'!E74</f>
        <v>186.80913270980335</v>
      </c>
      <c r="F89" s="2">
        <f>F12/'Output-Calculation-sheet'!F11*'Output-Calculation-sheet'!F74</f>
        <v>58.745067145789847</v>
      </c>
      <c r="G89" s="2">
        <f>G12/'Output-Calculation-sheet'!G11*'Output-Calculation-sheet'!G74</f>
        <v>84.320680060020337</v>
      </c>
      <c r="H89" s="2">
        <f>H12/'Output-Calculation-sheet'!H11*'Output-Calculation-sheet'!H74</f>
        <v>204.21054406486786</v>
      </c>
      <c r="I89" s="2">
        <f>I12/'Output-Calculation-sheet'!I11*'Output-Calculation-sheet'!I74</f>
        <v>75.841417405371757</v>
      </c>
      <c r="J89" s="2">
        <f>J12/'Output-Calculation-sheet'!J11*'Output-Calculation-sheet'!J74</f>
        <v>37.529051599789078</v>
      </c>
      <c r="K89" s="2">
        <f>K12/'Output-Calculation-sheet'!K11*'Output-Calculation-sheet'!K74</f>
        <v>74.540175260680044</v>
      </c>
      <c r="L89" s="2">
        <f>L12/'Output-Calculation-sheet'!L11*'Output-Calculation-sheet'!L74</f>
        <v>59.270775529118467</v>
      </c>
      <c r="M89" s="2">
        <f>M12/'Output-Calculation-sheet'!M11*'Output-Calculation-sheet'!M74</f>
        <v>112.41346997002694</v>
      </c>
      <c r="N89" s="2">
        <f>N12/'Output-Calculation-sheet'!N11*'Output-Calculation-sheet'!N74</f>
        <v>82.863302116518128</v>
      </c>
      <c r="O89" s="2">
        <f>O12/'Output-Calculation-sheet'!O11*'Output-Calculation-sheet'!O74</f>
        <v>670.16480259912225</v>
      </c>
      <c r="P89" s="2">
        <f>P12/'Output-Calculation-sheet'!P11*'Output-Calculation-sheet'!P74</f>
        <v>51.033840329864255</v>
      </c>
      <c r="Q89" s="2">
        <f>Q12/'Output-Calculation-sheet'!Q11*'Output-Calculation-sheet'!Q74</f>
        <v>72.60071844080268</v>
      </c>
      <c r="R89" s="2">
        <f>R12/'Output-Calculation-sheet'!R11*'Output-Calculation-sheet'!R74</f>
        <v>47.998099737183253</v>
      </c>
      <c r="S89" s="2">
        <f>S12/'Output-Calculation-sheet'!S11*'Output-Calculation-sheet'!S74</f>
        <v>47.499976410459368</v>
      </c>
      <c r="T89" s="2">
        <f>T12/'Output-Calculation-sheet'!T11*'Output-Calculation-sheet'!T74</f>
        <v>8.8788052373464943</v>
      </c>
      <c r="U89" s="2">
        <f>U12/'Output-Calculation-sheet'!U11*'Output-Calculation-sheet'!U74</f>
        <v>15.442710118023092</v>
      </c>
      <c r="V89" s="2">
        <f>V12/'Output-Calculation-sheet'!V11*'Output-Calculation-sheet'!V74</f>
        <v>5.9538650386471534</v>
      </c>
      <c r="W89" s="2">
        <f>W12/'Output-Calculation-sheet'!W11*'Output-Calculation-sheet'!W74</f>
        <v>5.1555993806804024</v>
      </c>
      <c r="X89" s="2">
        <f>X12/'Output-Calculation-sheet'!X11*'Output-Calculation-sheet'!X74</f>
        <v>18.498052166278338</v>
      </c>
      <c r="Y89" s="2">
        <f>Y12/'Output-Calculation-sheet'!Y11*'Output-Calculation-sheet'!Y74</f>
        <v>5.9503211457740033</v>
      </c>
      <c r="AA89" s="2">
        <f t="shared" si="7"/>
        <v>4.4446646515840627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1746307870.1857948</v>
      </c>
      <c r="C93" s="2">
        <f>C5/'Output-Calculation-sheet'!C4*'Output-Calculation-sheet'!C76</f>
        <v>578541946.62522089</v>
      </c>
      <c r="D93" s="2">
        <f>D5/'Output-Calculation-sheet'!D4*'Output-Calculation-sheet'!D76</f>
        <v>640394265.03362298</v>
      </c>
      <c r="E93" s="2">
        <f>E5/'Output-Calculation-sheet'!E4*'Output-Calculation-sheet'!E76</f>
        <v>1071576614.988668</v>
      </c>
      <c r="F93" s="2">
        <f>F5/'Output-Calculation-sheet'!F4*'Output-Calculation-sheet'!F76</f>
        <v>460433011.2688815</v>
      </c>
      <c r="G93" s="2">
        <f>G5/'Output-Calculation-sheet'!G4*'Output-Calculation-sheet'!G76</f>
        <v>358103295.88826829</v>
      </c>
      <c r="H93" s="2">
        <f>H5/'Output-Calculation-sheet'!H4*'Output-Calculation-sheet'!H76</f>
        <v>302914723.3836695</v>
      </c>
      <c r="I93" s="2">
        <f>I5/'Output-Calculation-sheet'!I4*'Output-Calculation-sheet'!I76</f>
        <v>248563717.39396125</v>
      </c>
      <c r="J93" s="2">
        <f>J5/'Output-Calculation-sheet'!J4*'Output-Calculation-sheet'!J76</f>
        <v>168672512.46713123</v>
      </c>
      <c r="K93" s="2">
        <f>K5/'Output-Calculation-sheet'!K4*'Output-Calculation-sheet'!K76</f>
        <v>246524827.21847776</v>
      </c>
      <c r="L93" s="2">
        <f>L5/'Output-Calculation-sheet'!L4*'Output-Calculation-sheet'!L76</f>
        <v>164557116.30105281</v>
      </c>
      <c r="M93" s="2">
        <f>M5/'Output-Calculation-sheet'!M4*'Output-Calculation-sheet'!M76</f>
        <v>221299499.61088344</v>
      </c>
      <c r="N93" s="2">
        <f>N5/'Output-Calculation-sheet'!N4*'Output-Calculation-sheet'!N76</f>
        <v>167107072.17643422</v>
      </c>
      <c r="O93" s="2">
        <f>O5/'Output-Calculation-sheet'!O4*'Output-Calculation-sheet'!O76</f>
        <v>81562910.696286768</v>
      </c>
      <c r="P93" s="2">
        <f>P5/'Output-Calculation-sheet'!P4*'Output-Calculation-sheet'!P76</f>
        <v>289538873.16679019</v>
      </c>
      <c r="Q93" s="2">
        <f>Q5/'Output-Calculation-sheet'!Q4*'Output-Calculation-sheet'!Q76</f>
        <v>132926224.10079931</v>
      </c>
      <c r="R93" s="2">
        <f>R5/'Output-Calculation-sheet'!R4*'Output-Calculation-sheet'!R76</f>
        <v>166327153.39424601</v>
      </c>
      <c r="S93" s="2">
        <f>S5/'Output-Calculation-sheet'!S4*'Output-Calculation-sheet'!S76</f>
        <v>97989264.861312062</v>
      </c>
      <c r="T93" s="2">
        <f>T5/'Output-Calculation-sheet'!T4*'Output-Calculation-sheet'!T76</f>
        <v>75350538.018404737</v>
      </c>
      <c r="U93" s="2">
        <f>U5/'Output-Calculation-sheet'!U4*'Output-Calculation-sheet'!U76</f>
        <v>48849334.318540476</v>
      </c>
      <c r="V93" s="2">
        <f>V5/'Output-Calculation-sheet'!V4*'Output-Calculation-sheet'!V76</f>
        <v>25038656.460300475</v>
      </c>
      <c r="W93" s="2">
        <f>W5/'Output-Calculation-sheet'!W4*'Output-Calculation-sheet'!W76</f>
        <v>70136618.249221653</v>
      </c>
      <c r="X93" s="2">
        <f>X5/'Output-Calculation-sheet'!X4*'Output-Calculation-sheet'!X76</f>
        <v>24342626.371006861</v>
      </c>
      <c r="Y93" s="2">
        <f>Y5/'Output-Calculation-sheet'!Y4*'Output-Calculation-sheet'!Y76</f>
        <v>38342432.107863858</v>
      </c>
      <c r="AA93" s="2">
        <f t="shared" ref="AA93:AA100" si="8">SUM(B93:Y93)/10^9</f>
        <v>7.4254011042868413</v>
      </c>
    </row>
    <row r="94" spans="1:27" x14ac:dyDescent="0.25">
      <c r="A94" s="2">
        <v>2029</v>
      </c>
      <c r="B94" s="2">
        <f>B6/'Output-Calculation-sheet'!B5*'Output-Calculation-sheet'!B77</f>
        <v>4770275577.2046194</v>
      </c>
      <c r="C94" s="2">
        <f>C6/'Output-Calculation-sheet'!C5*'Output-Calculation-sheet'!C77</f>
        <v>1591100093.4583569</v>
      </c>
      <c r="D94" s="2">
        <f>D6/'Output-Calculation-sheet'!D5*'Output-Calculation-sheet'!D77</f>
        <v>1750628612.8903368</v>
      </c>
      <c r="E94" s="2">
        <f>E6/'Output-Calculation-sheet'!E5*'Output-Calculation-sheet'!E77</f>
        <v>2977423307.6058097</v>
      </c>
      <c r="F94" s="2">
        <f>F6/'Output-Calculation-sheet'!F5*'Output-Calculation-sheet'!F77</f>
        <v>1257121185.293328</v>
      </c>
      <c r="G94" s="2">
        <f>G6/'Output-Calculation-sheet'!G5*'Output-Calculation-sheet'!G77</f>
        <v>991348660.76990867</v>
      </c>
      <c r="H94" s="2">
        <f>H6/'Output-Calculation-sheet'!H5*'Output-Calculation-sheet'!H77</f>
        <v>833219066.76802337</v>
      </c>
      <c r="I94" s="2">
        <f>I6/'Output-Calculation-sheet'!I5*'Output-Calculation-sheet'!I77</f>
        <v>677018760.81268287</v>
      </c>
      <c r="J94" s="2">
        <f>J6/'Output-Calculation-sheet'!J5*'Output-Calculation-sheet'!J77</f>
        <v>465106722.47048736</v>
      </c>
      <c r="K94" s="2">
        <f>K6/'Output-Calculation-sheet'!K5*'Output-Calculation-sheet'!K77</f>
        <v>670122308.02897418</v>
      </c>
      <c r="L94" s="2">
        <f>L6/'Output-Calculation-sheet'!L5*'Output-Calculation-sheet'!L77</f>
        <v>452892172.54127854</v>
      </c>
      <c r="M94" s="2">
        <f>M6/'Output-Calculation-sheet'!M5*'Output-Calculation-sheet'!M77</f>
        <v>614123907.08887005</v>
      </c>
      <c r="N94" s="2">
        <f>N6/'Output-Calculation-sheet'!N5*'Output-Calculation-sheet'!N77</f>
        <v>464588570.8688699</v>
      </c>
      <c r="O94" s="2">
        <f>O6/'Output-Calculation-sheet'!O5*'Output-Calculation-sheet'!O77</f>
        <v>228179734.14081442</v>
      </c>
      <c r="P94" s="2">
        <f>P6/'Output-Calculation-sheet'!P5*'Output-Calculation-sheet'!P77</f>
        <v>794528531.37577534</v>
      </c>
      <c r="Q94" s="2">
        <f>Q6/'Output-Calculation-sheet'!Q5*'Output-Calculation-sheet'!Q77</f>
        <v>367041568.51426083</v>
      </c>
      <c r="R94" s="2">
        <f>R6/'Output-Calculation-sheet'!R5*'Output-Calculation-sheet'!R77</f>
        <v>455701352.96848524</v>
      </c>
      <c r="S94" s="2">
        <f>S6/'Output-Calculation-sheet'!S5*'Output-Calculation-sheet'!S77</f>
        <v>267570625.38094619</v>
      </c>
      <c r="T94" s="2">
        <f>T6/'Output-Calculation-sheet'!T5*'Output-Calculation-sheet'!T77</f>
        <v>206404423.76007929</v>
      </c>
      <c r="U94" s="2">
        <f>U6/'Output-Calculation-sheet'!U5*'Output-Calculation-sheet'!U77</f>
        <v>130657353.90778957</v>
      </c>
      <c r="V94" s="2">
        <f>V6/'Output-Calculation-sheet'!V5*'Output-Calculation-sheet'!V77</f>
        <v>67017490.588205159</v>
      </c>
      <c r="W94" s="2">
        <f>W6/'Output-Calculation-sheet'!W5*'Output-Calculation-sheet'!W77</f>
        <v>194465251.02513176</v>
      </c>
      <c r="X94" s="2">
        <f>X6/'Output-Calculation-sheet'!X5*'Output-Calculation-sheet'!X77</f>
        <v>67250053.937438741</v>
      </c>
      <c r="Y94" s="2">
        <f>Y6/'Output-Calculation-sheet'!Y5*'Output-Calculation-sheet'!Y77</f>
        <v>106626120.53622364</v>
      </c>
      <c r="AA94" s="2">
        <f t="shared" si="8"/>
        <v>20.400411451936694</v>
      </c>
    </row>
    <row r="95" spans="1:27" x14ac:dyDescent="0.25">
      <c r="A95" s="2">
        <v>2030</v>
      </c>
      <c r="B95" s="2">
        <f>B7/'Output-Calculation-sheet'!B6*'Output-Calculation-sheet'!B78</f>
        <v>8892559045.1044922</v>
      </c>
      <c r="C95" s="2">
        <f>C7/'Output-Calculation-sheet'!C6*'Output-Calculation-sheet'!C78</f>
        <v>2985933559.8056378</v>
      </c>
      <c r="D95" s="2">
        <f>D7/'Output-Calculation-sheet'!D6*'Output-Calculation-sheet'!D78</f>
        <v>3268827217.0194545</v>
      </c>
      <c r="E95" s="2">
        <f>E7/'Output-Calculation-sheet'!E6*'Output-Calculation-sheet'!E78</f>
        <v>5650981527.1223888</v>
      </c>
      <c r="F95" s="2">
        <f>F7/'Output-Calculation-sheet'!F6*'Output-Calculation-sheet'!F78</f>
        <v>2343002848.2167053</v>
      </c>
      <c r="G95" s="2">
        <f>G7/'Output-Calculation-sheet'!G6*'Output-Calculation-sheet'!G78</f>
        <v>1874489713.9958615</v>
      </c>
      <c r="H95" s="2">
        <f>H7/'Output-Calculation-sheet'!H6*'Output-Calculation-sheet'!H78</f>
        <v>1564419833.8031774</v>
      </c>
      <c r="I95" s="2">
        <f>I7/'Output-Calculation-sheet'!I6*'Output-Calculation-sheet'!I78</f>
        <v>1259019779.9378614</v>
      </c>
      <c r="J95" s="2">
        <f>J7/'Output-Calculation-sheet'!J6*'Output-Calculation-sheet'!J78</f>
        <v>876095116.92525661</v>
      </c>
      <c r="K95" s="2">
        <f>K7/'Output-Calculation-sheet'!K6*'Output-Calculation-sheet'!K78</f>
        <v>1243590812.6081772</v>
      </c>
      <c r="L95" s="2">
        <f>L7/'Output-Calculation-sheet'!L6*'Output-Calculation-sheet'!L78</f>
        <v>851079571.54020834</v>
      </c>
      <c r="M95" s="2">
        <f>M7/'Output-Calculation-sheet'!M6*'Output-Calculation-sheet'!M78</f>
        <v>1163971082.2983732</v>
      </c>
      <c r="N95" s="2">
        <f>N7/'Output-Calculation-sheet'!N6*'Output-Calculation-sheet'!N78</f>
        <v>882305926.62456155</v>
      </c>
      <c r="O95" s="2">
        <f>O7/'Output-Calculation-sheet'!O6*'Output-Calculation-sheet'!O78</f>
        <v>435937745.82001567</v>
      </c>
      <c r="P95" s="2">
        <f>P7/'Output-Calculation-sheet'!P6*'Output-Calculation-sheet'!P78</f>
        <v>1487991365.3855639</v>
      </c>
      <c r="Q95" s="2">
        <f>Q7/'Output-Calculation-sheet'!Q6*'Output-Calculation-sheet'!Q78</f>
        <v>692201199.27202606</v>
      </c>
      <c r="R95" s="2">
        <f>R7/'Output-Calculation-sheet'!R6*'Output-Calculation-sheet'!R78</f>
        <v>852244551.31309211</v>
      </c>
      <c r="S95" s="2">
        <f>S7/'Output-Calculation-sheet'!S6*'Output-Calculation-sheet'!S78</f>
        <v>498661559.7766993</v>
      </c>
      <c r="T95" s="2">
        <f>T7/'Output-Calculation-sheet'!T6*'Output-Calculation-sheet'!T78</f>
        <v>386005742.14735484</v>
      </c>
      <c r="U95" s="2">
        <f>U7/'Output-Calculation-sheet'!U6*'Output-Calculation-sheet'!U78</f>
        <v>238292344.47321224</v>
      </c>
      <c r="V95" s="2">
        <f>V7/'Output-Calculation-sheet'!V6*'Output-Calculation-sheet'!V78</f>
        <v>122295661.34855743</v>
      </c>
      <c r="W95" s="2">
        <f>W7/'Output-Calculation-sheet'!W6*'Output-Calculation-sheet'!W78</f>
        <v>368281452.9223249</v>
      </c>
      <c r="X95" s="2">
        <f>X7/'Output-Calculation-sheet'!X6*'Output-Calculation-sheet'!X78</f>
        <v>126898945.5492972</v>
      </c>
      <c r="Y95" s="2">
        <f>Y7/'Output-Calculation-sheet'!Y6*'Output-Calculation-sheet'!Y78</f>
        <v>202539160.57501948</v>
      </c>
      <c r="AA95" s="2">
        <f t="shared" si="8"/>
        <v>38.267625763585322</v>
      </c>
    </row>
    <row r="96" spans="1:27" x14ac:dyDescent="0.25">
      <c r="A96" s="2">
        <v>2031</v>
      </c>
      <c r="B96" s="2">
        <f>B8/'Output-Calculation-sheet'!B7*'Output-Calculation-sheet'!B79</f>
        <v>14112354481.855667</v>
      </c>
      <c r="C96" s="2">
        <f>C8/'Output-Calculation-sheet'!C7*'Output-Calculation-sheet'!C79</f>
        <v>4774273659.5493755</v>
      </c>
      <c r="D96" s="2">
        <f>D8/'Output-Calculation-sheet'!D7*'Output-Calculation-sheet'!D79</f>
        <v>4984027277.8936272</v>
      </c>
      <c r="E96" s="2">
        <f>E8/'Output-Calculation-sheet'!E7*'Output-Calculation-sheet'!E79</f>
        <v>8861176135.4798603</v>
      </c>
      <c r="F96" s="2">
        <f>F8/'Output-Calculation-sheet'!F7*'Output-Calculation-sheet'!F79</f>
        <v>3667553482.6925845</v>
      </c>
      <c r="G96" s="2">
        <f>G8/'Output-Calculation-sheet'!G7*'Output-Calculation-sheet'!G79</f>
        <v>2856722589.3393426</v>
      </c>
      <c r="H96" s="2">
        <f>H8/'Output-Calculation-sheet'!H7*'Output-Calculation-sheet'!H79</f>
        <v>2445193202.2047858</v>
      </c>
      <c r="I96" s="2">
        <f>I8/'Output-Calculation-sheet'!I7*'Output-Calculation-sheet'!I79</f>
        <v>1990010989.5102499</v>
      </c>
      <c r="J96" s="2">
        <f>J8/'Output-Calculation-sheet'!J7*'Output-Calculation-sheet'!J79</f>
        <v>1345696832.0142365</v>
      </c>
      <c r="K96" s="2">
        <f>K8/'Output-Calculation-sheet'!K7*'Output-Calculation-sheet'!K79</f>
        <v>1925290738.6033506</v>
      </c>
      <c r="L96" s="2">
        <f>L8/'Output-Calculation-sheet'!L7*'Output-Calculation-sheet'!L79</f>
        <v>1358483469.907068</v>
      </c>
      <c r="M96" s="2">
        <f>M8/'Output-Calculation-sheet'!M7*'Output-Calculation-sheet'!M79</f>
        <v>1825289435.0378733</v>
      </c>
      <c r="N96" s="2">
        <f>N8/'Output-Calculation-sheet'!N7*'Output-Calculation-sheet'!N79</f>
        <v>1358160709.7096322</v>
      </c>
      <c r="O96" s="2">
        <f>O8/'Output-Calculation-sheet'!O7*'Output-Calculation-sheet'!O79</f>
        <v>686596756.0811162</v>
      </c>
      <c r="P96" s="2">
        <f>P8/'Output-Calculation-sheet'!P7*'Output-Calculation-sheet'!P79</f>
        <v>2296522145.9805717</v>
      </c>
      <c r="Q96" s="2">
        <f>Q8/'Output-Calculation-sheet'!Q7*'Output-Calculation-sheet'!Q79</f>
        <v>1070277548.0252635</v>
      </c>
      <c r="R96" s="2">
        <f>R8/'Output-Calculation-sheet'!R7*'Output-Calculation-sheet'!R79</f>
        <v>1335298469.135644</v>
      </c>
      <c r="S96" s="2">
        <f>S8/'Output-Calculation-sheet'!S7*'Output-Calculation-sheet'!S79</f>
        <v>778056790.5822494</v>
      </c>
      <c r="T96" s="2">
        <f>T8/'Output-Calculation-sheet'!T7*'Output-Calculation-sheet'!T79</f>
        <v>594256269.12534869</v>
      </c>
      <c r="U96" s="2">
        <f>U8/'Output-Calculation-sheet'!U7*'Output-Calculation-sheet'!U79</f>
        <v>373296515.35189128</v>
      </c>
      <c r="V96" s="2">
        <f>V8/'Output-Calculation-sheet'!V7*'Output-Calculation-sheet'!V79</f>
        <v>193685698.62767628</v>
      </c>
      <c r="W96" s="2">
        <f>W8/'Output-Calculation-sheet'!W7*'Output-Calculation-sheet'!W79</f>
        <v>572325536.80594981</v>
      </c>
      <c r="X96" s="2">
        <f>X8/'Output-Calculation-sheet'!X7*'Output-Calculation-sheet'!X79</f>
        <v>201156229.65698856</v>
      </c>
      <c r="Y96" s="2">
        <f>Y8/'Output-Calculation-sheet'!Y7*'Output-Calculation-sheet'!Y79</f>
        <v>314605569.42262805</v>
      </c>
      <c r="AA96" s="2">
        <f t="shared" si="8"/>
        <v>59.920310532592971</v>
      </c>
    </row>
    <row r="97" spans="1:27" x14ac:dyDescent="0.25">
      <c r="A97" s="2">
        <v>2032</v>
      </c>
      <c r="B97" s="2">
        <f>B9/'Output-Calculation-sheet'!B8*'Output-Calculation-sheet'!B80</f>
        <v>19801635162.741455</v>
      </c>
      <c r="C97" s="2">
        <f>C9/'Output-Calculation-sheet'!C8*'Output-Calculation-sheet'!C80</f>
        <v>6744543671.6434631</v>
      </c>
      <c r="D97" s="2">
        <f>D9/'Output-Calculation-sheet'!D8*'Output-Calculation-sheet'!D80</f>
        <v>6720281234.4464922</v>
      </c>
      <c r="E97" s="2">
        <f>E9/'Output-Calculation-sheet'!E8*'Output-Calculation-sheet'!E80</f>
        <v>12290389012.4652</v>
      </c>
      <c r="F97" s="2">
        <f>F9/'Output-Calculation-sheet'!F8*'Output-Calculation-sheet'!F80</f>
        <v>5077160696.5535908</v>
      </c>
      <c r="G97" s="2">
        <f>G9/'Output-Calculation-sheet'!G8*'Output-Calculation-sheet'!G80</f>
        <v>3843131706.3877196</v>
      </c>
      <c r="H97" s="2">
        <f>H9/'Output-Calculation-sheet'!H8*'Output-Calculation-sheet'!H80</f>
        <v>3381179657.2697115</v>
      </c>
      <c r="I97" s="2">
        <f>I9/'Output-Calculation-sheet'!I8*'Output-Calculation-sheet'!I80</f>
        <v>2781334049.7402058</v>
      </c>
      <c r="J97" s="2">
        <f>J9/'Output-Calculation-sheet'!J8*'Output-Calculation-sheet'!J80</f>
        <v>1828470419.386117</v>
      </c>
      <c r="K97" s="2">
        <f>K9/'Output-Calculation-sheet'!K8*'Output-Calculation-sheet'!K80</f>
        <v>2636125356.9182324</v>
      </c>
      <c r="L97" s="2">
        <f>L9/'Output-Calculation-sheet'!L8*'Output-Calculation-sheet'!L80</f>
        <v>1918662581.3283474</v>
      </c>
      <c r="M97" s="2">
        <f>M9/'Output-Calculation-sheet'!M8*'Output-Calculation-sheet'!M80</f>
        <v>2531460624.5826116</v>
      </c>
      <c r="N97" s="2">
        <f>N9/'Output-Calculation-sheet'!N8*'Output-Calculation-sheet'!N80</f>
        <v>1849570446.4410388</v>
      </c>
      <c r="O97" s="2">
        <f>O9/'Output-Calculation-sheet'!O8*'Output-Calculation-sheet'!O80</f>
        <v>956846612.70677948</v>
      </c>
      <c r="P97" s="2">
        <f>P9/'Output-Calculation-sheet'!P8*'Output-Calculation-sheet'!P80</f>
        <v>3130622191.4155154</v>
      </c>
      <c r="Q97" s="2">
        <f>Q9/'Output-Calculation-sheet'!Q8*'Output-Calculation-sheet'!Q80</f>
        <v>1464385010.498934</v>
      </c>
      <c r="R97" s="2">
        <f>R9/'Output-Calculation-sheet'!R8*'Output-Calculation-sheet'!R80</f>
        <v>1850246728.6950834</v>
      </c>
      <c r="S97" s="2">
        <f>S9/'Output-Calculation-sheet'!S8*'Output-Calculation-sheet'!S80</f>
        <v>1073877847.3576541</v>
      </c>
      <c r="T97" s="2">
        <f>T9/'Output-Calculation-sheet'!T8*'Output-Calculation-sheet'!T80</f>
        <v>808667786.34727609</v>
      </c>
      <c r="U97" s="2">
        <f>U9/'Output-Calculation-sheet'!U8*'Output-Calculation-sheet'!U80</f>
        <v>516975516.17283732</v>
      </c>
      <c r="V97" s="2">
        <f>V9/'Output-Calculation-sheet'!V8*'Output-Calculation-sheet'!V80</f>
        <v>271071151.28061926</v>
      </c>
      <c r="W97" s="2">
        <f>W9/'Output-Calculation-sheet'!W8*'Output-Calculation-sheet'!W80</f>
        <v>785027291.76230752</v>
      </c>
      <c r="X97" s="2">
        <f>X9/'Output-Calculation-sheet'!X8*'Output-Calculation-sheet'!X80</f>
        <v>281900554.08358788</v>
      </c>
      <c r="Y97" s="2">
        <f>Y9/'Output-Calculation-sheet'!Y8*'Output-Calculation-sheet'!Y80</f>
        <v>431501814.22368032</v>
      </c>
      <c r="AA97" s="2">
        <f t="shared" si="8"/>
        <v>82.975067124448458</v>
      </c>
    </row>
    <row r="98" spans="1:27" x14ac:dyDescent="0.25">
      <c r="A98" s="2">
        <v>2033</v>
      </c>
      <c r="B98" s="2">
        <f>B10/'Output-Calculation-sheet'!B9*'Output-Calculation-sheet'!B81</f>
        <v>25410105076.459743</v>
      </c>
      <c r="C98" s="2">
        <f>C10/'Output-Calculation-sheet'!C9*'Output-Calculation-sheet'!C81</f>
        <v>8711844074.3900013</v>
      </c>
      <c r="D98" s="2">
        <f>D10/'Output-Calculation-sheet'!D9*'Output-Calculation-sheet'!D81</f>
        <v>8291022144.73141</v>
      </c>
      <c r="E98" s="2">
        <f>E10/'Output-Calculation-sheet'!E9*'Output-Calculation-sheet'!E81</f>
        <v>15595934323.082481</v>
      </c>
      <c r="F98" s="2">
        <f>F10/'Output-Calculation-sheet'!F9*'Output-Calculation-sheet'!F81</f>
        <v>6432140285.4577513</v>
      </c>
      <c r="G98" s="2">
        <f>G10/'Output-Calculation-sheet'!G9*'Output-Calculation-sheet'!G81</f>
        <v>4722674196.1017704</v>
      </c>
      <c r="H98" s="2">
        <f>H10/'Output-Calculation-sheet'!H9*'Output-Calculation-sheet'!H81</f>
        <v>4278781407.0779409</v>
      </c>
      <c r="I98" s="2">
        <f>I10/'Output-Calculation-sheet'!I9*'Output-Calculation-sheet'!I81</f>
        <v>3556930556.9569182</v>
      </c>
      <c r="J98" s="2">
        <f>J10/'Output-Calculation-sheet'!J9*'Output-Calculation-sheet'!J81</f>
        <v>2274391049.3428693</v>
      </c>
      <c r="K98" s="2">
        <f>K10/'Output-Calculation-sheet'!K9*'Output-Calculation-sheet'!K81</f>
        <v>3303643194.3498034</v>
      </c>
      <c r="L98" s="2">
        <f>L10/'Output-Calculation-sheet'!L9*'Output-Calculation-sheet'!L81</f>
        <v>2477781847.5343189</v>
      </c>
      <c r="M98" s="2">
        <f>M10/'Output-Calculation-sheet'!M9*'Output-Calculation-sheet'!M81</f>
        <v>3213185186.7575898</v>
      </c>
      <c r="N98" s="2">
        <f>N10/'Output-Calculation-sheet'!N9*'Output-Calculation-sheet'!N81</f>
        <v>2305209662.1296096</v>
      </c>
      <c r="O98" s="2">
        <f>O10/'Output-Calculation-sheet'!O9*'Output-Calculation-sheet'!O81</f>
        <v>1220738750.2029495</v>
      </c>
      <c r="P98" s="2">
        <f>P10/'Output-Calculation-sheet'!P9*'Output-Calculation-sheet'!P81</f>
        <v>3901126853.9357796</v>
      </c>
      <c r="Q98" s="2">
        <f>Q10/'Output-Calculation-sheet'!Q9*'Output-Calculation-sheet'!Q81</f>
        <v>1834210950.8572404</v>
      </c>
      <c r="R98" s="2">
        <f>R10/'Output-Calculation-sheet'!R9*'Output-Calculation-sheet'!R81</f>
        <v>2346233300.6542506</v>
      </c>
      <c r="S98" s="2">
        <f>S10/'Output-Calculation-sheet'!S9*'Output-Calculation-sheet'!S81</f>
        <v>1356540568.3307698</v>
      </c>
      <c r="T98" s="2">
        <f>T10/'Output-Calculation-sheet'!T9*'Output-Calculation-sheet'!T81</f>
        <v>1006608909.2341151</v>
      </c>
      <c r="U98" s="2">
        <f>U10/'Output-Calculation-sheet'!U9*'Output-Calculation-sheet'!U81</f>
        <v>654965041.38780653</v>
      </c>
      <c r="V98" s="2">
        <f>V10/'Output-Calculation-sheet'!V9*'Output-Calculation-sheet'!V81</f>
        <v>346880515.37725931</v>
      </c>
      <c r="W98" s="2">
        <f>W10/'Output-Calculation-sheet'!W9*'Output-Calculation-sheet'!W81</f>
        <v>983525934.97950447</v>
      </c>
      <c r="X98" s="2">
        <f>X10/'Output-Calculation-sheet'!X9*'Output-Calculation-sheet'!X81</f>
        <v>361416024.26686901</v>
      </c>
      <c r="Y98" s="2">
        <f>Y10/'Output-Calculation-sheet'!Y9*'Output-Calculation-sheet'!Y81</f>
        <v>540803467.60577905</v>
      </c>
      <c r="AA98" s="2">
        <f t="shared" si="8"/>
        <v>105.12669332120453</v>
      </c>
    </row>
    <row r="99" spans="1:27" x14ac:dyDescent="0.25">
      <c r="A99" s="2">
        <v>2034</v>
      </c>
      <c r="B99" s="2">
        <f>B11/'Output-Calculation-sheet'!B10*'Output-Calculation-sheet'!B82</f>
        <v>30557318093.931164</v>
      </c>
      <c r="C99" s="2">
        <f>C11/'Output-Calculation-sheet'!C10*'Output-Calculation-sheet'!C82</f>
        <v>10543528441.380217</v>
      </c>
      <c r="D99" s="2">
        <f>D11/'Output-Calculation-sheet'!D10*'Output-Calculation-sheet'!D82</f>
        <v>9591645154.7544098</v>
      </c>
      <c r="E99" s="2">
        <f>E11/'Output-Calculation-sheet'!E10*'Output-Calculation-sheet'!E82</f>
        <v>18554196470.674091</v>
      </c>
      <c r="F99" s="2">
        <f>F11/'Output-Calculation-sheet'!F10*'Output-Calculation-sheet'!F82</f>
        <v>7641522790.4933271</v>
      </c>
      <c r="G99" s="2">
        <f>G11/'Output-Calculation-sheet'!G10*'Output-Calculation-sheet'!G82</f>
        <v>5432578931.0250797</v>
      </c>
      <c r="H99" s="2">
        <f>H11/'Output-Calculation-sheet'!H10*'Output-Calculation-sheet'!H82</f>
        <v>5077731346.0353632</v>
      </c>
      <c r="I99" s="2">
        <f>I11/'Output-Calculation-sheet'!I10*'Output-Calculation-sheet'!I82</f>
        <v>4264940834.6816101</v>
      </c>
      <c r="J99" s="2">
        <f>J11/'Output-Calculation-sheet'!J10*'Output-Calculation-sheet'!J82</f>
        <v>2654071050.257443</v>
      </c>
      <c r="K99" s="2">
        <f>K11/'Output-Calculation-sheet'!K10*'Output-Calculation-sheet'!K82</f>
        <v>3883254231.8487706</v>
      </c>
      <c r="L99" s="2">
        <f>L11/'Output-Calculation-sheet'!L10*'Output-Calculation-sheet'!L82</f>
        <v>2998156246.9870582</v>
      </c>
      <c r="M99" s="2">
        <f>M11/'Output-Calculation-sheet'!M10*'Output-Calculation-sheet'!M82</f>
        <v>3824960905.4272223</v>
      </c>
      <c r="N99" s="2">
        <f>N11/'Output-Calculation-sheet'!N10*'Output-Calculation-sheet'!N82</f>
        <v>2694688531.8201551</v>
      </c>
      <c r="O99" s="2">
        <f>O11/'Output-Calculation-sheet'!O10*'Output-Calculation-sheet'!O82</f>
        <v>1460925888.5859842</v>
      </c>
      <c r="P99" s="2">
        <f>P11/'Output-Calculation-sheet'!P10*'Output-Calculation-sheet'!P82</f>
        <v>4554036954.3064604</v>
      </c>
      <c r="Q99" s="2">
        <f>Q11/'Output-Calculation-sheet'!Q10*'Output-Calculation-sheet'!Q82</f>
        <v>2155256464.9208083</v>
      </c>
      <c r="R99" s="2">
        <f>R11/'Output-Calculation-sheet'!R10*'Output-Calculation-sheet'!R82</f>
        <v>2789969526.6284704</v>
      </c>
      <c r="S99" s="2">
        <f>S11/'Output-Calculation-sheet'!S10*'Output-Calculation-sheet'!S82</f>
        <v>1607100445.1250446</v>
      </c>
      <c r="T99" s="2">
        <f>T11/'Output-Calculation-sheet'!T10*'Output-Calculation-sheet'!T82</f>
        <v>1174602533.2546966</v>
      </c>
      <c r="U99" s="2">
        <f>U11/'Output-Calculation-sheet'!U10*'Output-Calculation-sheet'!U82</f>
        <v>777845475.69898283</v>
      </c>
      <c r="V99" s="2">
        <f>V11/'Output-Calculation-sheet'!V10*'Output-Calculation-sheet'!V82</f>
        <v>415904278.13270384</v>
      </c>
      <c r="W99" s="2">
        <f>W11/'Output-Calculation-sheet'!W10*'Output-Calculation-sheet'!W82</f>
        <v>1153317124.8247907</v>
      </c>
      <c r="X99" s="2">
        <f>X11/'Output-Calculation-sheet'!X10*'Output-Calculation-sheet'!X82</f>
        <v>434370981.29962778</v>
      </c>
      <c r="Y99" s="2">
        <f>Y11/'Output-Calculation-sheet'!Y10*'Output-Calculation-sheet'!Y82</f>
        <v>634690208.4416765</v>
      </c>
      <c r="AA99" s="2">
        <f t="shared" si="8"/>
        <v>124.87661291053517</v>
      </c>
    </row>
    <row r="100" spans="1:27" x14ac:dyDescent="0.25">
      <c r="A100" s="2">
        <v>2035</v>
      </c>
      <c r="B100" s="2">
        <f>B12/'Output-Calculation-sheet'!B11*'Output-Calculation-sheet'!B83</f>
        <v>34953851317.249817</v>
      </c>
      <c r="C100" s="2">
        <f>C12/'Output-Calculation-sheet'!C11*'Output-Calculation-sheet'!C83</f>
        <v>12135409443.953939</v>
      </c>
      <c r="D100" s="2">
        <f>D12/'Output-Calculation-sheet'!D11*'Output-Calculation-sheet'!D83</f>
        <v>10562317892.872618</v>
      </c>
      <c r="E100" s="2">
        <f>E12/'Output-Calculation-sheet'!E11*'Output-Calculation-sheet'!E83</f>
        <v>21005724906.183929</v>
      </c>
      <c r="F100" s="2">
        <f>F12/'Output-Calculation-sheet'!F11*'Output-Calculation-sheet'!F83</f>
        <v>8640917667.5950909</v>
      </c>
      <c r="G100" s="2">
        <f>G12/'Output-Calculation-sheet'!G11*'Output-Calculation-sheet'!G83</f>
        <v>5937992986.8807249</v>
      </c>
      <c r="H100" s="2">
        <f>H12/'Output-Calculation-sheet'!H11*'Output-Calculation-sheet'!H83</f>
        <v>5735657466.9390621</v>
      </c>
      <c r="I100" s="2">
        <f>I12/'Output-Calculation-sheet'!I11*'Output-Calculation-sheet'!I83</f>
        <v>4866592072.0678949</v>
      </c>
      <c r="J100" s="2">
        <f>J12/'Output-Calculation-sheet'!J11*'Output-Calculation-sheet'!J83</f>
        <v>2949364256.237052</v>
      </c>
      <c r="K100" s="2">
        <f>K12/'Output-Calculation-sheet'!K11*'Output-Calculation-sheet'!K83</f>
        <v>4345669855.6450682</v>
      </c>
      <c r="L100" s="2">
        <f>L12/'Output-Calculation-sheet'!L11*'Output-Calculation-sheet'!L83</f>
        <v>3450214077.8642917</v>
      </c>
      <c r="M100" s="2">
        <f>M12/'Output-Calculation-sheet'!M11*'Output-Calculation-sheet'!M83</f>
        <v>4334233420.5216036</v>
      </c>
      <c r="N100" s="2">
        <f>N12/'Output-Calculation-sheet'!N11*'Output-Calculation-sheet'!N83</f>
        <v>2998947198.5499659</v>
      </c>
      <c r="O100" s="2">
        <f>O12/'Output-Calculation-sheet'!O11*'Output-Calculation-sheet'!O83</f>
        <v>1664606114.5672815</v>
      </c>
      <c r="P100" s="2">
        <f>P12/'Output-Calculation-sheet'!P11*'Output-Calculation-sheet'!P83</f>
        <v>5055527049.2170954</v>
      </c>
      <c r="Q100" s="2">
        <f>Q12/'Output-Calculation-sheet'!Q11*'Output-Calculation-sheet'!Q83</f>
        <v>2411509577.7704134</v>
      </c>
      <c r="R100" s="2">
        <f>R12/'Output-Calculation-sheet'!R11*'Output-Calculation-sheet'!R83</f>
        <v>3157737383.9896016</v>
      </c>
      <c r="S100" s="2">
        <f>S12/'Output-Calculation-sheet'!S11*'Output-Calculation-sheet'!S83</f>
        <v>1812379016.5990944</v>
      </c>
      <c r="T100" s="2">
        <f>T12/'Output-Calculation-sheet'!T11*'Output-Calculation-sheet'!T83</f>
        <v>1304284946.9193914</v>
      </c>
      <c r="U100" s="2">
        <f>U12/'Output-Calculation-sheet'!U11*'Output-Calculation-sheet'!U83</f>
        <v>878940377.61942589</v>
      </c>
      <c r="V100" s="2">
        <f>V12/'Output-Calculation-sheet'!V11*'Output-Calculation-sheet'!V83</f>
        <v>474239401.44973695</v>
      </c>
      <c r="W100" s="2">
        <f>W12/'Output-Calculation-sheet'!W11*'Output-Calculation-sheet'!W83</f>
        <v>1284831046.1388676</v>
      </c>
      <c r="X100" s="2">
        <f>X12/'Output-Calculation-sheet'!X11*'Output-Calculation-sheet'!X83</f>
        <v>496727886.52020276</v>
      </c>
      <c r="Y100" s="2">
        <f>Y12/'Output-Calculation-sheet'!Y11*'Output-Calculation-sheet'!Y83</f>
        <v>708018597.58970082</v>
      </c>
      <c r="AA100" s="2">
        <f t="shared" si="8"/>
        <v>141.16569396094187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7D6-1B68-45AD-A5B8-B3797AAB5507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115754880080.18588</v>
      </c>
      <c r="C8" s="2">
        <v>54549524364.919197</v>
      </c>
      <c r="D8" s="2">
        <v>48618373091.153465</v>
      </c>
      <c r="E8" s="2">
        <v>38573745410.9823</v>
      </c>
      <c r="F8" s="2">
        <v>24831304126.503319</v>
      </c>
      <c r="G8" s="2">
        <v>17447155756.029121</v>
      </c>
      <c r="H8" s="2">
        <v>17019030699.819447</v>
      </c>
      <c r="I8" s="2">
        <v>15895732285.011921</v>
      </c>
      <c r="J8" s="2">
        <v>15471807940.987467</v>
      </c>
      <c r="K8" s="2">
        <v>15323485922.751516</v>
      </c>
      <c r="L8" s="2">
        <v>12292699633.742573</v>
      </c>
      <c r="M8" s="2">
        <v>11741647581.195496</v>
      </c>
      <c r="N8" s="2">
        <v>11524393190.04784</v>
      </c>
      <c r="O8" s="2">
        <v>10599019955.929386</v>
      </c>
      <c r="P8" s="2">
        <v>10491183308.107874</v>
      </c>
      <c r="Q8" s="2">
        <v>10321628830.401081</v>
      </c>
      <c r="R8" s="2">
        <v>9929881687.383419</v>
      </c>
      <c r="S8" s="2">
        <v>6599908044.7369337</v>
      </c>
      <c r="T8" s="2">
        <v>3650139124.0382671</v>
      </c>
      <c r="U8" s="2">
        <v>3179146457.0023885</v>
      </c>
      <c r="V8" s="2">
        <v>2448006354.820981</v>
      </c>
      <c r="W8" s="2">
        <v>2119430971.334924</v>
      </c>
      <c r="X8" s="2">
        <v>1271658582.8009555</v>
      </c>
      <c r="Y8" s="2">
        <v>1236675255.1880991</v>
      </c>
    </row>
    <row r="9" spans="1:27" x14ac:dyDescent="0.25">
      <c r="A9" s="2">
        <v>2032</v>
      </c>
      <c r="B9" s="2">
        <v>130743735110.03711</v>
      </c>
      <c r="C9" s="2">
        <v>61613027105.250465</v>
      </c>
      <c r="D9" s="2">
        <v>54913863575.405266</v>
      </c>
      <c r="E9" s="2">
        <v>43568578264.016975</v>
      </c>
      <c r="F9" s="2">
        <v>28046657271.843529</v>
      </c>
      <c r="G9" s="2">
        <v>19706351118.930447</v>
      </c>
      <c r="H9" s="2">
        <v>19222789053.086891</v>
      </c>
      <c r="I9" s="2">
        <v>17954037098.150879</v>
      </c>
      <c r="J9" s="2">
        <v>17475219685.844505</v>
      </c>
      <c r="K9" s="2">
        <v>17307691762.617474</v>
      </c>
      <c r="L9" s="2">
        <v>13884455355.90337</v>
      </c>
      <c r="M9" s="2">
        <v>13262048736.500809</v>
      </c>
      <c r="N9" s="2">
        <v>13016662532.929737</v>
      </c>
      <c r="O9" s="2">
        <v>11971464672.45343</v>
      </c>
      <c r="P9" s="2">
        <v>11849664484.779589</v>
      </c>
      <c r="Q9" s="2">
        <v>11658154755.732645</v>
      </c>
      <c r="R9" s="2">
        <v>11215681102.256138</v>
      </c>
      <c r="S9" s="2">
        <v>7454516203.1522264</v>
      </c>
      <c r="T9" s="2">
        <v>4122787932.7200084</v>
      </c>
      <c r="U9" s="2">
        <v>3590807419.6301808</v>
      </c>
      <c r="V9" s="2">
        <v>2764993529.2636337</v>
      </c>
      <c r="W9" s="2">
        <v>2393871613.0867853</v>
      </c>
      <c r="X9" s="2">
        <v>1436322967.8520722</v>
      </c>
      <c r="Y9" s="2">
        <v>1396809723.0064592</v>
      </c>
    </row>
    <row r="10" spans="1:27" x14ac:dyDescent="0.25">
      <c r="A10" s="2">
        <v>2033</v>
      </c>
      <c r="B10" s="2">
        <v>141149328097.67581</v>
      </c>
      <c r="C10" s="2">
        <v>66516666138.15712</v>
      </c>
      <c r="D10" s="2">
        <v>59284331600.228561</v>
      </c>
      <c r="E10" s="2">
        <v>47036101140.611298</v>
      </c>
      <c r="F10" s="2">
        <v>30278826178.361145</v>
      </c>
      <c r="G10" s="2">
        <v>21274734252.871876</v>
      </c>
      <c r="H10" s="2">
        <v>20752686595.063286</v>
      </c>
      <c r="I10" s="2">
        <v>19382957591.902176</v>
      </c>
      <c r="J10" s="2">
        <v>18866032203.686588</v>
      </c>
      <c r="K10" s="2">
        <v>18685171118.593731</v>
      </c>
      <c r="L10" s="2">
        <v>14989487204.404377</v>
      </c>
      <c r="M10" s="2">
        <v>14317544674.551771</v>
      </c>
      <c r="N10" s="2">
        <v>14052628747.763037</v>
      </c>
      <c r="O10" s="2">
        <v>12924245994.958899</v>
      </c>
      <c r="P10" s="2">
        <v>12792752010.655447</v>
      </c>
      <c r="Q10" s="2">
        <v>12586000463.00849</v>
      </c>
      <c r="R10" s="2">
        <v>12108311349.747581</v>
      </c>
      <c r="S10" s="2">
        <v>8047803992.1577654</v>
      </c>
      <c r="T10" s="2">
        <v>4450911136.2228527</v>
      </c>
      <c r="U10" s="2">
        <v>3876591518.3804412</v>
      </c>
      <c r="V10" s="2">
        <v>2985053000.9833093</v>
      </c>
      <c r="W10" s="2">
        <v>2584394345.5869589</v>
      </c>
      <c r="X10" s="2">
        <v>1550636607.3521764</v>
      </c>
      <c r="Y10" s="2">
        <v>1507978594.2839155</v>
      </c>
    </row>
    <row r="11" spans="1:27" x14ac:dyDescent="0.25">
      <c r="A11" s="2">
        <v>2034</v>
      </c>
      <c r="B11" s="2">
        <v>147641388569.98682</v>
      </c>
      <c r="C11" s="2">
        <v>69576051717.992188</v>
      </c>
      <c r="D11" s="2">
        <v>62011071224.117432</v>
      </c>
      <c r="E11" s="2">
        <v>49199492331.359833</v>
      </c>
      <c r="F11" s="2">
        <v>31671478720.387321</v>
      </c>
      <c r="G11" s="2">
        <v>22253250149.216873</v>
      </c>
      <c r="H11" s="2">
        <v>21707191289.870171</v>
      </c>
      <c r="I11" s="2">
        <v>20274462599.505119</v>
      </c>
      <c r="J11" s="2">
        <v>19733761604.808102</v>
      </c>
      <c r="K11" s="2">
        <v>19544581945.92297</v>
      </c>
      <c r="L11" s="2">
        <v>15678917743.617321</v>
      </c>
      <c r="M11" s="2">
        <v>14976069706.83448</v>
      </c>
      <c r="N11" s="2">
        <v>14698969165.071169</v>
      </c>
      <c r="O11" s="2">
        <v>13518687269.94842</v>
      </c>
      <c r="P11" s="2">
        <v>13381145315.673389</v>
      </c>
      <c r="Q11" s="2">
        <v>13164884381.278669</v>
      </c>
      <c r="R11" s="2">
        <v>12665224305.406387</v>
      </c>
      <c r="S11" s="2">
        <v>8417956871.3145065</v>
      </c>
      <c r="T11" s="2">
        <v>4655627549.9860525</v>
      </c>
      <c r="U11" s="2">
        <v>4054892519.9010305</v>
      </c>
      <c r="V11" s="2">
        <v>3122348338.1741939</v>
      </c>
      <c r="W11" s="2">
        <v>2703261679.9340181</v>
      </c>
      <c r="X11" s="2">
        <v>1621957007.960412</v>
      </c>
      <c r="Y11" s="2">
        <v>1577336970.6714184</v>
      </c>
    </row>
    <row r="12" spans="1:27" x14ac:dyDescent="0.25">
      <c r="A12" s="2">
        <v>2035</v>
      </c>
      <c r="B12" s="2">
        <v>150921593283.44193</v>
      </c>
      <c r="C12" s="2">
        <v>71121849241.298264</v>
      </c>
      <c r="D12" s="2">
        <v>63388794707.253929</v>
      </c>
      <c r="E12" s="2">
        <v>50292576108.260399</v>
      </c>
      <c r="F12" s="2">
        <v>32375135972.509823</v>
      </c>
      <c r="G12" s="2">
        <v>22747659045.910191</v>
      </c>
      <c r="H12" s="2">
        <v>22189468189.827332</v>
      </c>
      <c r="I12" s="2">
        <v>20724908022.877316</v>
      </c>
      <c r="J12" s="2">
        <v>20172194069.154686</v>
      </c>
      <c r="K12" s="2">
        <v>19978811334.053764</v>
      </c>
      <c r="L12" s="2">
        <v>16027262204.358482</v>
      </c>
      <c r="M12" s="2">
        <v>15308798726.232073</v>
      </c>
      <c r="N12" s="2">
        <v>15025541736.65967</v>
      </c>
      <c r="O12" s="2">
        <v>13819037071.126223</v>
      </c>
      <c r="P12" s="2">
        <v>13678439295.099037</v>
      </c>
      <c r="Q12" s="2">
        <v>13457373609.521681</v>
      </c>
      <c r="R12" s="2">
        <v>12946612396.279472</v>
      </c>
      <c r="S12" s="2">
        <v>8604981811.0986404</v>
      </c>
      <c r="T12" s="2">
        <v>4759063392.614398</v>
      </c>
      <c r="U12" s="2">
        <v>4144981604.5754695</v>
      </c>
      <c r="V12" s="2">
        <v>3191718735.1552048</v>
      </c>
      <c r="W12" s="2">
        <v>2763321069.7169776</v>
      </c>
      <c r="X12" s="2">
        <v>1657992641.8301873</v>
      </c>
      <c r="Y12" s="2">
        <v>1612381264.2534363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1983.6295847142874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618.8655377603767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426.9700839418449</v>
      </c>
      <c r="N16" s="2">
        <f>N5/'Output-Calculation-sheet'!N4*'Output-Calculation-sheet'!N22</f>
        <v>0</v>
      </c>
      <c r="O16" s="2">
        <f>O5/'Output-Calculation-sheet'!O4*'Output-Calculation-sheet'!O22</f>
        <v>385.41521815063498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46.242265149224508</v>
      </c>
      <c r="Y16" s="2">
        <f>Y5/'Output-Calculation-sheet'!Y4*'Output-Calculation-sheet'!Y22</f>
        <v>0</v>
      </c>
      <c r="AA16" s="2">
        <f t="shared" ref="AA16:AA23" si="0">SUM(B16:Y16)/1000</f>
        <v>3.4611226897163689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5907.20971218657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1741.9893210659743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1202.4961204697115</v>
      </c>
      <c r="N17" s="2">
        <f>N6/'Output-Calculation-sheet'!N5*'Output-Calculation-sheet'!N23</f>
        <v>0</v>
      </c>
      <c r="O17" s="2">
        <f>O6/'Output-Calculation-sheet'!O5*'Output-Calculation-sheet'!O23</f>
        <v>1154.9939713928168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133.71066903551042</v>
      </c>
      <c r="Y17" s="2">
        <f>Y6/'Output-Calculation-sheet'!Y5*'Output-Calculation-sheet'!Y23</f>
        <v>0</v>
      </c>
      <c r="AA17" s="2">
        <f t="shared" si="0"/>
        <v>10.140399794150582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11451.635009375932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3627.4608713827793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2501.8089914069992</v>
      </c>
      <c r="N18" s="2">
        <f>N7/'Output-Calculation-sheet'!N6*'Output-Calculation-sheet'!N24</f>
        <v>775.35046695385222</v>
      </c>
      <c r="O18" s="2">
        <f>O7/'Output-Calculation-sheet'!O6*'Output-Calculation-sheet'!O24</f>
        <v>1651.4646868636512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169.50445449421477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280.50336123624345</v>
      </c>
      <c r="Y18" s="2">
        <f>Y7/'Output-Calculation-sheet'!Y6*'Output-Calculation-sheet'!Y24</f>
        <v>0</v>
      </c>
      <c r="AA18" s="2">
        <f t="shared" si="0"/>
        <v>20.457727841713673</v>
      </c>
    </row>
    <row r="19" spans="1:27" x14ac:dyDescent="0.25">
      <c r="A19" s="2">
        <v>2031</v>
      </c>
      <c r="B19" s="2">
        <f>B8/'Output-Calculation-sheet'!B7*'Output-Calculation-sheet'!B25</f>
        <v>1286.9931981545024</v>
      </c>
      <c r="C19" s="2">
        <f>C8/'Output-Calculation-sheet'!C7*'Output-Calculation-sheet'!C25</f>
        <v>16990.241493442987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5774.1205996537528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4012.1689042357903</v>
      </c>
      <c r="N19" s="2">
        <f>N8/'Output-Calculation-sheet'!N7*'Output-Calculation-sheet'!N25</f>
        <v>1373.6345119500234</v>
      </c>
      <c r="O19" s="2">
        <f>O8/'Output-Calculation-sheet'!O7*'Output-Calculation-sheet'!O25</f>
        <v>2192.8644665894449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490.13447830018333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448.27986467849098</v>
      </c>
      <c r="Y19" s="2">
        <f>Y8/'Output-Calculation-sheet'!Y7*'Output-Calculation-sheet'!Y25</f>
        <v>0</v>
      </c>
      <c r="AA19" s="2">
        <f t="shared" si="0"/>
        <v>32.568437517005172</v>
      </c>
    </row>
    <row r="20" spans="1:27" x14ac:dyDescent="0.25">
      <c r="A20" s="2">
        <v>2032</v>
      </c>
      <c r="B20" s="2">
        <f>B9/'Output-Calculation-sheet'!B8*'Output-Calculation-sheet'!B26</f>
        <v>7509.4264849270749</v>
      </c>
      <c r="C20" s="2">
        <f>C9/'Output-Calculation-sheet'!C8*'Output-Calculation-sheet'!C26</f>
        <v>25494.998075466898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8159.6610473355859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5676.3858382107619</v>
      </c>
      <c r="N20" s="2">
        <f>N9/'Output-Calculation-sheet'!N8*'Output-Calculation-sheet'!N26</f>
        <v>2561.8711424527323</v>
      </c>
      <c r="O20" s="2">
        <f>O9/'Output-Calculation-sheet'!O8*'Output-Calculation-sheet'!O26</f>
        <v>2688.3516517046128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931.05352648098267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635.06047927141913</v>
      </c>
      <c r="Y20" s="2">
        <f>Y9/'Output-Calculation-sheet'!Y8*'Output-Calculation-sheet'!Y26</f>
        <v>0</v>
      </c>
      <c r="AA20" s="2">
        <f t="shared" si="0"/>
        <v>53.656808245850073</v>
      </c>
    </row>
    <row r="21" spans="1:27" x14ac:dyDescent="0.25">
      <c r="A21" s="2">
        <v>2033</v>
      </c>
      <c r="B21" s="2">
        <f>B10/'Output-Calculation-sheet'!B9*'Output-Calculation-sheet'!B27</f>
        <v>18332.151617235748</v>
      </c>
      <c r="C21" s="2">
        <f>C10/'Output-Calculation-sheet'!C9*'Output-Calculation-sheet'!C27</f>
        <v>31482.405836959915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10610.983417107374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7369.9885314227295</v>
      </c>
      <c r="N21" s="2">
        <f>N10/'Output-Calculation-sheet'!N9*'Output-Calculation-sheet'!N27</f>
        <v>4032.7100831517714</v>
      </c>
      <c r="O21" s="2">
        <f>O10/'Output-Calculation-sheet'!O9*'Output-Calculation-sheet'!O27</f>
        <v>3141.1279592681763</v>
      </c>
      <c r="P21" s="2">
        <f>P10/'Output-Calculation-sheet'!P9*'Output-Calculation-sheet'!P27</f>
        <v>0</v>
      </c>
      <c r="Q21" s="2">
        <f>Q10/'Output-Calculation-sheet'!Q9*'Output-Calculation-sheet'!Q27</f>
        <v>275.05753151377866</v>
      </c>
      <c r="R21" s="2">
        <f>R10/'Output-Calculation-sheet'!R9*'Output-Calculation-sheet'!R27</f>
        <v>0</v>
      </c>
      <c r="S21" s="2">
        <f>S10/'Output-Calculation-sheet'!S9*'Output-Calculation-sheet'!S27</f>
        <v>1751.5587698174661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866.64751205719665</v>
      </c>
      <c r="Y21" s="2">
        <f>Y10/'Output-Calculation-sheet'!Y9*'Output-Calculation-sheet'!Y27</f>
        <v>0</v>
      </c>
      <c r="AA21" s="2">
        <f t="shared" si="0"/>
        <v>77.862631258534165</v>
      </c>
    </row>
    <row r="22" spans="1:27" x14ac:dyDescent="0.25">
      <c r="A22" s="2">
        <v>2034</v>
      </c>
      <c r="B22" s="2">
        <f>B11/'Output-Calculation-sheet'!B10*'Output-Calculation-sheet'!B28</f>
        <v>36517.745278930452</v>
      </c>
      <c r="C22" s="2">
        <f>C11/'Output-Calculation-sheet'!C10*'Output-Calculation-sheet'!C28</f>
        <v>35034.191363071652</v>
      </c>
      <c r="D22" s="2">
        <f>D11/'Output-Calculation-sheet'!D10*'Output-Calculation-sheet'!D28</f>
        <v>0</v>
      </c>
      <c r="E22" s="2">
        <f>E11/'Output-Calculation-sheet'!E10*'Output-Calculation-sheet'!E28</f>
        <v>1871.1132724830863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13368.981120599246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1115.7374419049311</v>
      </c>
      <c r="M22" s="2">
        <f>M11/'Output-Calculation-sheet'!M10*'Output-Calculation-sheet'!M28</f>
        <v>9747.162413863296</v>
      </c>
      <c r="N22" s="2">
        <f>N11/'Output-Calculation-sheet'!N10*'Output-Calculation-sheet'!N28</f>
        <v>5816.9913413546119</v>
      </c>
      <c r="O22" s="2">
        <f>O11/'Output-Calculation-sheet'!O10*'Output-Calculation-sheet'!O28</f>
        <v>3595.2814657069225</v>
      </c>
      <c r="P22" s="2">
        <f>P11/'Output-Calculation-sheet'!P10*'Output-Calculation-sheet'!P28</f>
        <v>0</v>
      </c>
      <c r="Q22" s="2">
        <f>Q11/'Output-Calculation-sheet'!Q10*'Output-Calculation-sheet'!Q28</f>
        <v>1321.4383735502124</v>
      </c>
      <c r="R22" s="2">
        <f>R11/'Output-Calculation-sheet'!R10*'Output-Calculation-sheet'!R28</f>
        <v>0</v>
      </c>
      <c r="S22" s="2">
        <f>S11/'Output-Calculation-sheet'!S10*'Output-Calculation-sheet'!S28</f>
        <v>2967.4859090742261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978.78091699563015</v>
      </c>
      <c r="Y22" s="2">
        <f>Y11/'Output-Calculation-sheet'!Y10*'Output-Calculation-sheet'!Y28</f>
        <v>101.52585874000769</v>
      </c>
      <c r="AA22" s="2">
        <f t="shared" si="0"/>
        <v>112.43643475627428</v>
      </c>
    </row>
    <row r="23" spans="1:27" x14ac:dyDescent="0.25">
      <c r="A23" s="2">
        <v>2035</v>
      </c>
      <c r="B23" s="2">
        <f>B12/'Output-Calculation-sheet'!B11*'Output-Calculation-sheet'!B29</f>
        <v>45152.996485901924</v>
      </c>
      <c r="C23" s="2">
        <f>C12/'Output-Calculation-sheet'!C11*'Output-Calculation-sheet'!C29</f>
        <v>36880.405357120209</v>
      </c>
      <c r="D23" s="2">
        <f>D12/'Output-Calculation-sheet'!D11*'Output-Calculation-sheet'!D29</f>
        <v>0</v>
      </c>
      <c r="E23" s="2">
        <f>E12/'Output-Calculation-sheet'!E11*'Output-Calculation-sheet'!E29</f>
        <v>6961.4903269786273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14197.004754484817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1578.1136818270127</v>
      </c>
      <c r="M23" s="2">
        <f>M12/'Output-Calculation-sheet'!M11*'Output-Calculation-sheet'!M29</f>
        <v>10401.552648016801</v>
      </c>
      <c r="N23" s="2">
        <f>N12/'Output-Calculation-sheet'!N11*'Output-Calculation-sheet'!N29</f>
        <v>6067.8058556893657</v>
      </c>
      <c r="O23" s="2">
        <f>O12/'Output-Calculation-sheet'!O11*'Output-Calculation-sheet'!O29</f>
        <v>4090.447079051014</v>
      </c>
      <c r="P23" s="2">
        <f>P12/'Output-Calculation-sheet'!P11*'Output-Calculation-sheet'!P29</f>
        <v>741.07138695998185</v>
      </c>
      <c r="Q23" s="2">
        <f>Q12/'Output-Calculation-sheet'!Q11*'Output-Calculation-sheet'!Q29</f>
        <v>1663.696984374769</v>
      </c>
      <c r="R23" s="2">
        <f>R12/'Output-Calculation-sheet'!R11*'Output-Calculation-sheet'!R29</f>
        <v>0</v>
      </c>
      <c r="S23" s="2">
        <f>S12/'Output-Calculation-sheet'!S11*'Output-Calculation-sheet'!S29</f>
        <v>3248.0975078291563</v>
      </c>
      <c r="T23" s="2">
        <f>T12/'Output-Calculation-sheet'!T11*'Output-Calculation-sheet'!T29</f>
        <v>0</v>
      </c>
      <c r="U23" s="2">
        <f>U12/'Output-Calculation-sheet'!U11*'Output-Calculation-sheet'!U29</f>
        <v>141.64124470048668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1030.4356298346647</v>
      </c>
      <c r="Y23" s="2">
        <f>Y12/'Output-Calculation-sheet'!Y11*'Output-Calculation-sheet'!Y29</f>
        <v>305.0664872664085</v>
      </c>
      <c r="AA23" s="2">
        <f t="shared" si="0"/>
        <v>132.45982543003524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2504.1414456833122</v>
      </c>
      <c r="C27" s="2">
        <f>C5/'Output-Calculation-sheet'!C4*'Output-Calculation-sheet'!C13</f>
        <v>0</v>
      </c>
      <c r="D27" s="2">
        <f>D5/'Output-Calculation-sheet'!D4*'Output-Calculation-sheet'!D13</f>
        <v>447.33558611350941</v>
      </c>
      <c r="E27" s="2">
        <f>E5/'Output-Calculation-sheet'!E4*'Output-Calculation-sheet'!E13</f>
        <v>481.27782588996712</v>
      </c>
      <c r="F27" s="2">
        <f>F5/'Output-Calculation-sheet'!F4*'Output-Calculation-sheet'!F13</f>
        <v>242.82749537111511</v>
      </c>
      <c r="G27" s="2">
        <f>G5/'Output-Calculation-sheet'!G4*'Output-Calculation-sheet'!G13</f>
        <v>159.01580217807515</v>
      </c>
      <c r="H27" s="2">
        <f>H5/'Output-Calculation-sheet'!H4*'Output-Calculation-sheet'!H13</f>
        <v>0</v>
      </c>
      <c r="I27" s="2">
        <f>I5/'Output-Calculation-sheet'!I4*'Output-Calculation-sheet'!I13</f>
        <v>155.02022792977669</v>
      </c>
      <c r="J27" s="2">
        <f>J5/'Output-Calculation-sheet'!J4*'Output-Calculation-sheet'!J13</f>
        <v>137.99817189254861</v>
      </c>
      <c r="K27" s="2">
        <f>K5/'Output-Calculation-sheet'!K4*'Output-Calculation-sheet'!K13</f>
        <v>184.24557097933075</v>
      </c>
      <c r="L27" s="2">
        <f>L5/'Output-Calculation-sheet'!L4*'Output-Calculation-sheet'!L13</f>
        <v>155.62778354434798</v>
      </c>
      <c r="M27" s="2">
        <f>M5/'Output-Calculation-sheet'!M4*'Output-Calculation-sheet'!M13</f>
        <v>0</v>
      </c>
      <c r="N27" s="2">
        <f>N5/'Output-Calculation-sheet'!N4*'Output-Calculation-sheet'!N13</f>
        <v>298.70996831696249</v>
      </c>
      <c r="O27" s="2">
        <f>O5/'Output-Calculation-sheet'!O4*'Output-Calculation-sheet'!O13</f>
        <v>0</v>
      </c>
      <c r="P27" s="2">
        <f>P5/'Output-Calculation-sheet'!P4*'Output-Calculation-sheet'!P13</f>
        <v>182.4874100205131</v>
      </c>
      <c r="Q27" s="2">
        <f>Q5/'Output-Calculation-sheet'!Q4*'Output-Calculation-sheet'!Q13</f>
        <v>203.08851457760323</v>
      </c>
      <c r="R27" s="2">
        <f>R5/'Output-Calculation-sheet'!R4*'Output-Calculation-sheet'!R13</f>
        <v>137.29654783747617</v>
      </c>
      <c r="S27" s="2">
        <f>S5/'Output-Calculation-sheet'!S4*'Output-Calculation-sheet'!S13</f>
        <v>158.46088170778449</v>
      </c>
      <c r="T27" s="2">
        <f>T5/'Output-Calculation-sheet'!T4*'Output-Calculation-sheet'!T13</f>
        <v>41.614483279902437</v>
      </c>
      <c r="U27" s="2">
        <f>U5/'Output-Calculation-sheet'!U4*'Output-Calculation-sheet'!U13</f>
        <v>41.541576899447783</v>
      </c>
      <c r="V27" s="2">
        <f>V5/'Output-Calculation-sheet'!V4*'Output-Calculation-sheet'!V13</f>
        <v>32.331009028422002</v>
      </c>
      <c r="W27" s="2">
        <f>W5/'Output-Calculation-sheet'!W4*'Output-Calculation-sheet'!W13</f>
        <v>19.609201796962768</v>
      </c>
      <c r="X27" s="2">
        <f>X5/'Output-Calculation-sheet'!X4*'Output-Calculation-sheet'!X13</f>
        <v>0</v>
      </c>
      <c r="Y27" s="2">
        <f>Y5/'Output-Calculation-sheet'!Y4*'Output-Calculation-sheet'!Y13</f>
        <v>16.579717952772711</v>
      </c>
      <c r="AA27" s="2">
        <f t="shared" ref="AA27:AA34" si="1">SUM(B27:Y27)/1000</f>
        <v>5.599209220999831</v>
      </c>
    </row>
    <row r="28" spans="1:27" x14ac:dyDescent="0.25">
      <c r="A28" s="2">
        <v>2029</v>
      </c>
      <c r="B28" s="2">
        <f>B6/'Output-Calculation-sheet'!B5*'Output-Calculation-sheet'!B14</f>
        <v>6975.0614014457879</v>
      </c>
      <c r="C28" s="2">
        <f>C6/'Output-Calculation-sheet'!C5*'Output-Calculation-sheet'!C14</f>
        <v>0</v>
      </c>
      <c r="D28" s="2">
        <f>D6/'Output-Calculation-sheet'!D5*'Output-Calculation-sheet'!D14</f>
        <v>1245.9238393254443</v>
      </c>
      <c r="E28" s="2">
        <f>E6/'Output-Calculation-sheet'!E5*'Output-Calculation-sheet'!E14</f>
        <v>1340.5773800615191</v>
      </c>
      <c r="F28" s="2">
        <f>F6/'Output-Calculation-sheet'!F5*'Output-Calculation-sheet'!F14</f>
        <v>676.32842181815863</v>
      </c>
      <c r="G28" s="2">
        <f>G6/'Output-Calculation-sheet'!G5*'Output-Calculation-sheet'!G14</f>
        <v>442.9147876716487</v>
      </c>
      <c r="H28" s="2">
        <f>H6/'Output-Calculation-sheet'!H5*'Output-Calculation-sheet'!H14</f>
        <v>0</v>
      </c>
      <c r="I28" s="2">
        <f>I6/'Output-Calculation-sheet'!I5*'Output-Calculation-sheet'!I14</f>
        <v>431.78571184665856</v>
      </c>
      <c r="J28" s="2">
        <f>J6/'Output-Calculation-sheet'!J5*'Output-Calculation-sheet'!J14</f>
        <v>384.35329961501031</v>
      </c>
      <c r="K28" s="2">
        <f>K6/'Output-Calculation-sheet'!K5*'Output-Calculation-sheet'!K14</f>
        <v>513.18854372954593</v>
      </c>
      <c r="L28" s="2">
        <f>L6/'Output-Calculation-sheet'!L5*'Output-Calculation-sheet'!L14</f>
        <v>433.47796734794025</v>
      </c>
      <c r="M28" s="2">
        <f>M6/'Output-Calculation-sheet'!M5*'Output-Calculation-sheet'!M14</f>
        <v>0</v>
      </c>
      <c r="N28" s="2">
        <f>N6/'Output-Calculation-sheet'!N5*'Output-Calculation-sheet'!N14</f>
        <v>832.02677253838363</v>
      </c>
      <c r="O28" s="2">
        <f>O6/'Output-Calculation-sheet'!O5*'Output-Calculation-sheet'!O14</f>
        <v>0</v>
      </c>
      <c r="P28" s="2">
        <f>P6/'Output-Calculation-sheet'!P5*'Output-Calculation-sheet'!P14</f>
        <v>508.2914487421229</v>
      </c>
      <c r="Q28" s="2">
        <f>Q6/'Output-Calculation-sheet'!Q5*'Output-Calculation-sheet'!Q14</f>
        <v>565.68565791721255</v>
      </c>
      <c r="R28" s="2">
        <f>R6/'Output-Calculation-sheet'!R5*'Output-Calculation-sheet'!R14</f>
        <v>382.41904578380706</v>
      </c>
      <c r="S28" s="2">
        <f>S6/'Output-Calculation-sheet'!S5*'Output-Calculation-sheet'!S14</f>
        <v>441.37758385742876</v>
      </c>
      <c r="T28" s="2">
        <f>T6/'Output-Calculation-sheet'!T5*'Output-Calculation-sheet'!T14</f>
        <v>115.91093321242691</v>
      </c>
      <c r="U28" s="2">
        <f>U6/'Output-Calculation-sheet'!U5*'Output-Calculation-sheet'!U14</f>
        <v>115.70374535854505</v>
      </c>
      <c r="V28" s="2">
        <f>V6/'Output-Calculation-sheet'!V5*'Output-Calculation-sheet'!V14</f>
        <v>90.050025661151054</v>
      </c>
      <c r="W28" s="2">
        <f>W6/'Output-Calculation-sheet'!W5*'Output-Calculation-sheet'!W14</f>
        <v>54.621255024991989</v>
      </c>
      <c r="X28" s="2">
        <f>X6/'Output-Calculation-sheet'!X5*'Output-Calculation-sheet'!X14</f>
        <v>0</v>
      </c>
      <c r="Y28" s="2">
        <f>Y6/'Output-Calculation-sheet'!Y5*'Output-Calculation-sheet'!Y14</f>
        <v>46.18033023211477</v>
      </c>
      <c r="AA28" s="2">
        <f t="shared" si="1"/>
        <v>15.595878151189893</v>
      </c>
    </row>
    <row r="29" spans="1:27" x14ac:dyDescent="0.25">
      <c r="A29" s="2">
        <v>2030</v>
      </c>
      <c r="B29" s="2">
        <f>B7/'Output-Calculation-sheet'!B6*'Output-Calculation-sheet'!B15</f>
        <v>13552.6126352148</v>
      </c>
      <c r="C29" s="2">
        <f>C7/'Output-Calculation-sheet'!C6*'Output-Calculation-sheet'!C15</f>
        <v>0</v>
      </c>
      <c r="D29" s="2">
        <f>D7/'Output-Calculation-sheet'!D6*'Output-Calculation-sheet'!D15</f>
        <v>2370.7665856164185</v>
      </c>
      <c r="E29" s="2">
        <f>E7/'Output-Calculation-sheet'!E6*'Output-Calculation-sheet'!E15</f>
        <v>2550.8006949201194</v>
      </c>
      <c r="F29" s="2">
        <f>F7/'Output-Calculation-sheet'!F6*'Output-Calculation-sheet'!F15</f>
        <v>1286.9283360530835</v>
      </c>
      <c r="G29" s="2">
        <f>G7/'Output-Calculation-sheet'!G6*'Output-Calculation-sheet'!G15</f>
        <v>842.77219598129716</v>
      </c>
      <c r="H29" s="2">
        <f>H7/'Output-Calculation-sheet'!H6*'Output-Calculation-sheet'!H15</f>
        <v>0</v>
      </c>
      <c r="I29" s="2">
        <f>I7/'Output-Calculation-sheet'!I6*'Output-Calculation-sheet'!I15</f>
        <v>821.59594282078501</v>
      </c>
      <c r="J29" s="2">
        <f>J7/'Output-Calculation-sheet'!J6*'Output-Calculation-sheet'!J15</f>
        <v>731.35489294473336</v>
      </c>
      <c r="K29" s="2">
        <f>K7/'Output-Calculation-sheet'!K6*'Output-Calculation-sheet'!K15</f>
        <v>976.51335185901678</v>
      </c>
      <c r="L29" s="2">
        <f>L7/'Output-Calculation-sheet'!L6*'Output-Calculation-sheet'!L15</f>
        <v>824.83599291676478</v>
      </c>
      <c r="M29" s="2">
        <f>M7/'Output-Calculation-sheet'!M6*'Output-Calculation-sheet'!M15</f>
        <v>0</v>
      </c>
      <c r="N29" s="2">
        <f>N7/'Output-Calculation-sheet'!N6*'Output-Calculation-sheet'!N15</f>
        <v>1064.191500591799</v>
      </c>
      <c r="O29" s="2">
        <f>O7/'Output-Calculation-sheet'!O6*'Output-Calculation-sheet'!O15</f>
        <v>0</v>
      </c>
      <c r="P29" s="2">
        <f>P7/'Output-Calculation-sheet'!P6*'Output-Calculation-sheet'!P15</f>
        <v>967.17001188157531</v>
      </c>
      <c r="Q29" s="2">
        <f>Q7/'Output-Calculation-sheet'!Q6*'Output-Calculation-sheet'!Q15</f>
        <v>1089.8124823691437</v>
      </c>
      <c r="R29" s="2">
        <f>R7/'Output-Calculation-sheet'!R6*'Output-Calculation-sheet'!R15</f>
        <v>727.66172629851314</v>
      </c>
      <c r="S29" s="2">
        <f>S7/'Output-Calculation-sheet'!S6*'Output-Calculation-sheet'!S15</f>
        <v>751.59757644000138</v>
      </c>
      <c r="T29" s="2">
        <f>T7/'Output-Calculation-sheet'!T6*'Output-Calculation-sheet'!T15</f>
        <v>220.55373728929908</v>
      </c>
      <c r="U29" s="2">
        <f>U7/'Output-Calculation-sheet'!U6*'Output-Calculation-sheet'!U15</f>
        <v>220.1621149747352</v>
      </c>
      <c r="V29" s="2">
        <f>V7/'Output-Calculation-sheet'!V6*'Output-Calculation-sheet'!V15</f>
        <v>171.34797035911538</v>
      </c>
      <c r="W29" s="2">
        <f>W7/'Output-Calculation-sheet'!W6*'Output-Calculation-sheet'!W15</f>
        <v>103.93083250045947</v>
      </c>
      <c r="X29" s="2">
        <f>X7/'Output-Calculation-sheet'!X6*'Output-Calculation-sheet'!X15</f>
        <v>0</v>
      </c>
      <c r="Y29" s="2">
        <f>Y7/'Output-Calculation-sheet'!Y6*'Output-Calculation-sheet'!Y15</f>
        <v>87.871300313670062</v>
      </c>
      <c r="AA29" s="2">
        <f t="shared" si="1"/>
        <v>29.362479881345326</v>
      </c>
    </row>
    <row r="30" spans="1:27" x14ac:dyDescent="0.25">
      <c r="A30" s="2">
        <v>2031</v>
      </c>
      <c r="B30" s="2">
        <f>B8/'Output-Calculation-sheet'!B7*'Output-Calculation-sheet'!B16</f>
        <v>22431.873368781777</v>
      </c>
      <c r="C30" s="2">
        <f>C8/'Output-Calculation-sheet'!C7*'Output-Calculation-sheet'!C16</f>
        <v>0</v>
      </c>
      <c r="D30" s="2">
        <f>D8/'Output-Calculation-sheet'!D7*'Output-Calculation-sheet'!D16</f>
        <v>3777.2309336745325</v>
      </c>
      <c r="E30" s="2">
        <f>E8/'Output-Calculation-sheet'!E7*'Output-Calculation-sheet'!E16</f>
        <v>4064.0870791769262</v>
      </c>
      <c r="F30" s="2">
        <f>F8/'Output-Calculation-sheet'!F7*'Output-Calculation-sheet'!F16</f>
        <v>2050.3535575582846</v>
      </c>
      <c r="G30" s="2">
        <f>G8/'Output-Calculation-sheet'!G7*'Output-Calculation-sheet'!G16</f>
        <v>1342.7380563963677</v>
      </c>
      <c r="H30" s="2">
        <f>H8/'Output-Calculation-sheet'!H7*'Output-Calculation-sheet'!H16</f>
        <v>0</v>
      </c>
      <c r="I30" s="2">
        <f>I8/'Output-Calculation-sheet'!I7*'Output-Calculation-sheet'!I16</f>
        <v>1308.9685550601573</v>
      </c>
      <c r="J30" s="2">
        <f>J8/'Output-Calculation-sheet'!J7*'Output-Calculation-sheet'!J16</f>
        <v>1165.2337074643019</v>
      </c>
      <c r="K30" s="2">
        <f>K8/'Output-Calculation-sheet'!K7*'Output-Calculation-sheet'!K16</f>
        <v>1555.8097220123432</v>
      </c>
      <c r="L30" s="2">
        <f>L8/'Output-Calculation-sheet'!L7*'Output-Calculation-sheet'!L16</f>
        <v>1314.1534010648643</v>
      </c>
      <c r="M30" s="2">
        <f>M8/'Output-Calculation-sheet'!M7*'Output-Calculation-sheet'!M16</f>
        <v>0</v>
      </c>
      <c r="N30" s="2">
        <f>N8/'Output-Calculation-sheet'!N7*'Output-Calculation-sheet'!N16</f>
        <v>1866.6441904022327</v>
      </c>
      <c r="O30" s="2">
        <f>O8/'Output-Calculation-sheet'!O7*'Output-Calculation-sheet'!O16</f>
        <v>0</v>
      </c>
      <c r="P30" s="2">
        <f>P8/'Output-Calculation-sheet'!P7*'Output-Calculation-sheet'!P16</f>
        <v>1677.6785488463913</v>
      </c>
      <c r="Q30" s="2">
        <f>Q8/'Output-Calculation-sheet'!Q7*'Output-Calculation-sheet'!Q16</f>
        <v>1844.8923338904979</v>
      </c>
      <c r="R30" s="2">
        <f>R8/'Output-Calculation-sheet'!R7*'Output-Calculation-sheet'!R16</f>
        <v>1170.5922044643</v>
      </c>
      <c r="S30" s="2">
        <f>S8/'Output-Calculation-sheet'!S7*'Output-Calculation-sheet'!S16</f>
        <v>1177.2725018713925</v>
      </c>
      <c r="T30" s="2">
        <f>T8/'Output-Calculation-sheet'!T7*'Output-Calculation-sheet'!T16</f>
        <v>351.39495340608119</v>
      </c>
      <c r="U30" s="2">
        <f>U8/'Output-Calculation-sheet'!U7*'Output-Calculation-sheet'!U16</f>
        <v>350.7668438374377</v>
      </c>
      <c r="V30" s="2">
        <f>V8/'Output-Calculation-sheet'!V7*'Output-Calculation-sheet'!V16</f>
        <v>272.99516701694625</v>
      </c>
      <c r="W30" s="2">
        <f>W8/'Output-Calculation-sheet'!W7*'Output-Calculation-sheet'!W16</f>
        <v>165.58533117443622</v>
      </c>
      <c r="X30" s="2">
        <f>X8/'Output-Calculation-sheet'!X7*'Output-Calculation-sheet'!X16</f>
        <v>0</v>
      </c>
      <c r="Y30" s="2">
        <f>Y8/'Output-Calculation-sheet'!Y7*'Output-Calculation-sheet'!Y16</f>
        <v>140.14915788214643</v>
      </c>
      <c r="AA30" s="2">
        <f t="shared" si="1"/>
        <v>48.028419613981413</v>
      </c>
    </row>
    <row r="31" spans="1:27" x14ac:dyDescent="0.25">
      <c r="A31" s="2">
        <v>2032</v>
      </c>
      <c r="B31" s="2">
        <f>B9/'Output-Calculation-sheet'!B8*'Output-Calculation-sheet'!B17</f>
        <v>31797.392757760212</v>
      </c>
      <c r="C31" s="2">
        <f>C9/'Output-Calculation-sheet'!C8*'Output-Calculation-sheet'!C17</f>
        <v>0</v>
      </c>
      <c r="D31" s="2">
        <f>D9/'Output-Calculation-sheet'!D8*'Output-Calculation-sheet'!D17</f>
        <v>5332.8402537808279</v>
      </c>
      <c r="E31" s="2">
        <f>E9/'Output-Calculation-sheet'!E8*'Output-Calculation-sheet'!E17</f>
        <v>6268.025101885034</v>
      </c>
      <c r="F31" s="2">
        <f>F9/'Output-Calculation-sheet'!F8*'Output-Calculation-sheet'!F17</f>
        <v>2894.8387085084601</v>
      </c>
      <c r="G31" s="2">
        <f>G9/'Output-Calculation-sheet'!G8*'Output-Calculation-sheet'!G17</f>
        <v>1895.7579655177644</v>
      </c>
      <c r="H31" s="2">
        <f>H9/'Output-Calculation-sheet'!H8*'Output-Calculation-sheet'!H17</f>
        <v>0</v>
      </c>
      <c r="I31" s="2">
        <f>I9/'Output-Calculation-sheet'!I8*'Output-Calculation-sheet'!I17</f>
        <v>1848.0888183747356</v>
      </c>
      <c r="J31" s="2">
        <f>J9/'Output-Calculation-sheet'!J8*'Output-Calculation-sheet'!J17</f>
        <v>1645.155267037587</v>
      </c>
      <c r="K31" s="2">
        <f>K9/'Output-Calculation-sheet'!K8*'Output-Calculation-sheet'!K17</f>
        <v>2342.2642877689314</v>
      </c>
      <c r="L31" s="2">
        <f>L9/'Output-Calculation-sheet'!L8*'Output-Calculation-sheet'!L17</f>
        <v>1997.5396778157665</v>
      </c>
      <c r="M31" s="2">
        <f>M9/'Output-Calculation-sheet'!M8*'Output-Calculation-sheet'!M17</f>
        <v>0</v>
      </c>
      <c r="N31" s="2">
        <f>N9/'Output-Calculation-sheet'!N8*'Output-Calculation-sheet'!N17</f>
        <v>2171.5299300667734</v>
      </c>
      <c r="O31" s="2">
        <f>O9/'Output-Calculation-sheet'!O8*'Output-Calculation-sheet'!O17</f>
        <v>0</v>
      </c>
      <c r="P31" s="2">
        <f>P9/'Output-Calculation-sheet'!P8*'Output-Calculation-sheet'!P17</f>
        <v>2695.2056886887676</v>
      </c>
      <c r="Q31" s="2">
        <f>Q9/'Output-Calculation-sheet'!Q8*'Output-Calculation-sheet'!Q17</f>
        <v>2873.3368914193325</v>
      </c>
      <c r="R31" s="2">
        <f>R9/'Output-Calculation-sheet'!R8*'Output-Calculation-sheet'!R17</f>
        <v>1879.8888484606662</v>
      </c>
      <c r="S31" s="2">
        <f>S9/'Output-Calculation-sheet'!S8*'Output-Calculation-sheet'!S17</f>
        <v>1617.5609287317507</v>
      </c>
      <c r="T31" s="2">
        <f>T9/'Output-Calculation-sheet'!T8*'Output-Calculation-sheet'!T17</f>
        <v>510.12157363504321</v>
      </c>
      <c r="U31" s="2">
        <f>U9/'Output-Calculation-sheet'!U8*'Output-Calculation-sheet'!U17</f>
        <v>586.29231566099486</v>
      </c>
      <c r="V31" s="2">
        <f>V9/'Output-Calculation-sheet'!V8*'Output-Calculation-sheet'!V17</f>
        <v>419.93336677354148</v>
      </c>
      <c r="W31" s="2">
        <f>W9/'Output-Calculation-sheet'!W8*'Output-Calculation-sheet'!W17</f>
        <v>233.78681330717083</v>
      </c>
      <c r="X31" s="2">
        <f>X9/'Output-Calculation-sheet'!X8*'Output-Calculation-sheet'!X17</f>
        <v>0</v>
      </c>
      <c r="Y31" s="2">
        <f>Y9/'Output-Calculation-sheet'!Y8*'Output-Calculation-sheet'!Y17</f>
        <v>225.88871216521812</v>
      </c>
      <c r="AA31" s="2">
        <f t="shared" si="1"/>
        <v>69.235447907358576</v>
      </c>
    </row>
    <row r="32" spans="1:27" x14ac:dyDescent="0.25">
      <c r="A32" s="2">
        <v>2033</v>
      </c>
      <c r="B32" s="2">
        <f>B10/'Output-Calculation-sheet'!B9*'Output-Calculation-sheet'!B18</f>
        <v>37216.532916715143</v>
      </c>
      <c r="C32" s="2">
        <f>C10/'Output-Calculation-sheet'!C9*'Output-Calculation-sheet'!C18</f>
        <v>0</v>
      </c>
      <c r="D32" s="2">
        <f>D10/'Output-Calculation-sheet'!D9*'Output-Calculation-sheet'!D18</f>
        <v>7149.1715520879534</v>
      </c>
      <c r="E32" s="2">
        <f>E10/'Output-Calculation-sheet'!E9*'Output-Calculation-sheet'!E18</f>
        <v>9987.0288219221839</v>
      </c>
      <c r="F32" s="2">
        <f>F10/'Output-Calculation-sheet'!F9*'Output-Calculation-sheet'!F18</f>
        <v>4031.6237379013774</v>
      </c>
      <c r="G32" s="2">
        <f>G10/'Output-Calculation-sheet'!G9*'Output-Calculation-sheet'!G18</f>
        <v>2515.1046820456622</v>
      </c>
      <c r="H32" s="2">
        <f>H10/'Output-Calculation-sheet'!H9*'Output-Calculation-sheet'!H18</f>
        <v>0</v>
      </c>
      <c r="I32" s="2">
        <f>I10/'Output-Calculation-sheet'!I9*'Output-Calculation-sheet'!I18</f>
        <v>2655.3599475989181</v>
      </c>
      <c r="J32" s="2">
        <f>J10/'Output-Calculation-sheet'!J9*'Output-Calculation-sheet'!J18</f>
        <v>2131.2776704146881</v>
      </c>
      <c r="K32" s="2">
        <f>K10/'Output-Calculation-sheet'!K9*'Output-Calculation-sheet'!K18</f>
        <v>3547.2496966993276</v>
      </c>
      <c r="L32" s="2">
        <f>L10/'Output-Calculation-sheet'!L9*'Output-Calculation-sheet'!L18</f>
        <v>3064.2444640019712</v>
      </c>
      <c r="M32" s="2">
        <f>M10/'Output-Calculation-sheet'!M9*'Output-Calculation-sheet'!M18</f>
        <v>0</v>
      </c>
      <c r="N32" s="2">
        <f>N10/'Output-Calculation-sheet'!N9*'Output-Calculation-sheet'!N18</f>
        <v>2267.8463532654609</v>
      </c>
      <c r="O32" s="2">
        <f>O10/'Output-Calculation-sheet'!O9*'Output-Calculation-sheet'!O18</f>
        <v>0</v>
      </c>
      <c r="P32" s="2">
        <f>P10/'Output-Calculation-sheet'!P9*'Output-Calculation-sheet'!P18</f>
        <v>3651.1932940372103</v>
      </c>
      <c r="Q32" s="2">
        <f>Q10/'Output-Calculation-sheet'!Q9*'Output-Calculation-sheet'!Q18</f>
        <v>3974.4262675853038</v>
      </c>
      <c r="R32" s="2">
        <f>R10/'Output-Calculation-sheet'!R9*'Output-Calculation-sheet'!R18</f>
        <v>2621.7464163293753</v>
      </c>
      <c r="S32" s="2">
        <f>S10/'Output-Calculation-sheet'!S9*'Output-Calculation-sheet'!S18</f>
        <v>1720.4052410570123</v>
      </c>
      <c r="T32" s="2">
        <f>T10/'Output-Calculation-sheet'!T9*'Output-Calculation-sheet'!T18</f>
        <v>765.26951639329604</v>
      </c>
      <c r="U32" s="2">
        <f>U10/'Output-Calculation-sheet'!U9*'Output-Calculation-sheet'!U18</f>
        <v>846.37937125656208</v>
      </c>
      <c r="V32" s="2">
        <f>V10/'Output-Calculation-sheet'!V9*'Output-Calculation-sheet'!V18</f>
        <v>625.03275021203706</v>
      </c>
      <c r="W32" s="2">
        <f>W10/'Output-Calculation-sheet'!W9*'Output-Calculation-sheet'!W18</f>
        <v>311.78422787278043</v>
      </c>
      <c r="X32" s="2">
        <f>X10/'Output-Calculation-sheet'!X9*'Output-Calculation-sheet'!X18</f>
        <v>0</v>
      </c>
      <c r="Y32" s="2">
        <f>Y10/'Output-Calculation-sheet'!Y9*'Output-Calculation-sheet'!Y18</f>
        <v>362.07680105728656</v>
      </c>
      <c r="AA32" s="2">
        <f t="shared" si="1"/>
        <v>89.443753728453544</v>
      </c>
    </row>
    <row r="33" spans="1:27" x14ac:dyDescent="0.25">
      <c r="A33" s="2">
        <v>2034</v>
      </c>
      <c r="B33" s="2">
        <f>B11/'Output-Calculation-sheet'!B10*'Output-Calculation-sheet'!B19</f>
        <v>36833.942437186917</v>
      </c>
      <c r="C33" s="2">
        <f>C11/'Output-Calculation-sheet'!C10*'Output-Calculation-sheet'!C19</f>
        <v>0</v>
      </c>
      <c r="D33" s="2">
        <f>D11/'Output-Calculation-sheet'!D10*'Output-Calculation-sheet'!D19</f>
        <v>10987.160465611909</v>
      </c>
      <c r="E33" s="2">
        <f>E11/'Output-Calculation-sheet'!E10*'Output-Calculation-sheet'!E19</f>
        <v>13608.332924749982</v>
      </c>
      <c r="F33" s="2">
        <f>F11/'Output-Calculation-sheet'!F10*'Output-Calculation-sheet'!F19</f>
        <v>6244.4764632597389</v>
      </c>
      <c r="G33" s="2">
        <f>G11/'Output-Calculation-sheet'!G10*'Output-Calculation-sheet'!G19</f>
        <v>3739.9255081404058</v>
      </c>
      <c r="H33" s="2">
        <f>H11/'Output-Calculation-sheet'!H10*'Output-Calculation-sheet'!H19</f>
        <v>0</v>
      </c>
      <c r="I33" s="2">
        <f>I11/'Output-Calculation-sheet'!I10*'Output-Calculation-sheet'!I19</f>
        <v>4080.7831883691274</v>
      </c>
      <c r="J33" s="2">
        <f>J11/'Output-Calculation-sheet'!J10*'Output-Calculation-sheet'!J19</f>
        <v>3450.5651536881787</v>
      </c>
      <c r="K33" s="2">
        <f>K11/'Output-Calculation-sheet'!K10*'Output-Calculation-sheet'!K19</f>
        <v>4788.1570868218023</v>
      </c>
      <c r="L33" s="2">
        <f>L11/'Output-Calculation-sheet'!L10*'Output-Calculation-sheet'!L19</f>
        <v>3893.9123660599071</v>
      </c>
      <c r="M33" s="2">
        <f>M11/'Output-Calculation-sheet'!M10*'Output-Calculation-sheet'!M19</f>
        <v>0</v>
      </c>
      <c r="N33" s="2">
        <f>N11/'Output-Calculation-sheet'!N10*'Output-Calculation-sheet'!N19</f>
        <v>2201.8419826653467</v>
      </c>
      <c r="O33" s="2">
        <f>O11/'Output-Calculation-sheet'!O10*'Output-Calculation-sheet'!O19</f>
        <v>0</v>
      </c>
      <c r="P33" s="2">
        <f>P11/'Output-Calculation-sheet'!P10*'Output-Calculation-sheet'!P19</f>
        <v>4844.7703340623229</v>
      </c>
      <c r="Q33" s="2">
        <f>Q11/'Output-Calculation-sheet'!Q10*'Output-Calculation-sheet'!Q19</f>
        <v>3989.6175076963518</v>
      </c>
      <c r="R33" s="2">
        <f>R11/'Output-Calculation-sheet'!R10*'Output-Calculation-sheet'!R19</f>
        <v>3459.0879299225276</v>
      </c>
      <c r="S33" s="2">
        <f>S11/'Output-Calculation-sheet'!S10*'Output-Calculation-sheet'!S19</f>
        <v>1612.5049967500045</v>
      </c>
      <c r="T33" s="2">
        <f>T11/'Output-Calculation-sheet'!T10*'Output-Calculation-sheet'!T19</f>
        <v>1014.9966732041285</v>
      </c>
      <c r="U33" s="2">
        <f>U11/'Output-Calculation-sheet'!U10*'Output-Calculation-sheet'!U19</f>
        <v>1168.1737354845559</v>
      </c>
      <c r="V33" s="2">
        <f>V11/'Output-Calculation-sheet'!V10*'Output-Calculation-sheet'!V19</f>
        <v>795.95548869232243</v>
      </c>
      <c r="W33" s="2">
        <f>W11/'Output-Calculation-sheet'!W10*'Output-Calculation-sheet'!W19</f>
        <v>496.36865832373007</v>
      </c>
      <c r="X33" s="2">
        <f>X11/'Output-Calculation-sheet'!X10*'Output-Calculation-sheet'!X19</f>
        <v>143.52473748265888</v>
      </c>
      <c r="Y33" s="2">
        <f>Y11/'Output-Calculation-sheet'!Y10*'Output-Calculation-sheet'!Y19</f>
        <v>446.71377845603388</v>
      </c>
      <c r="AA33" s="2">
        <f t="shared" si="1"/>
        <v>107.80081141662795</v>
      </c>
    </row>
    <row r="34" spans="1:27" x14ac:dyDescent="0.25">
      <c r="A34" s="2">
        <v>2035</v>
      </c>
      <c r="B34" s="2">
        <f>B12/'Output-Calculation-sheet'!B11*'Output-Calculation-sheet'!B20</f>
        <v>35936.890610533876</v>
      </c>
      <c r="C34" s="2">
        <f>C12/'Output-Calculation-sheet'!C11*'Output-Calculation-sheet'!C20</f>
        <v>0</v>
      </c>
      <c r="D34" s="2">
        <f>D12/'Output-Calculation-sheet'!D11*'Output-Calculation-sheet'!D20</f>
        <v>11278.092223934653</v>
      </c>
      <c r="E34" s="2">
        <f>E12/'Output-Calculation-sheet'!E11*'Output-Calculation-sheet'!E20</f>
        <v>12322.973006009175</v>
      </c>
      <c r="F34" s="2">
        <f>F12/'Output-Calculation-sheet'!F11*'Output-Calculation-sheet'!F20</f>
        <v>7764.0508369300615</v>
      </c>
      <c r="G34" s="2">
        <f>G12/'Output-Calculation-sheet'!G11*'Output-Calculation-sheet'!G20</f>
        <v>4148.8782567123581</v>
      </c>
      <c r="H34" s="2">
        <f>H12/'Output-Calculation-sheet'!H11*'Output-Calculation-sheet'!H20</f>
        <v>0</v>
      </c>
      <c r="I34" s="2">
        <f>I12/'Output-Calculation-sheet'!I11*'Output-Calculation-sheet'!I20</f>
        <v>4509.2657164949978</v>
      </c>
      <c r="J34" s="2">
        <f>J12/'Output-Calculation-sheet'!J11*'Output-Calculation-sheet'!J20</f>
        <v>3871.2085114693537</v>
      </c>
      <c r="K34" s="2">
        <f>K12/'Output-Calculation-sheet'!K11*'Output-Calculation-sheet'!K20</f>
        <v>5089.6966370805758</v>
      </c>
      <c r="L34" s="2">
        <f>L12/'Output-Calculation-sheet'!L11*'Output-Calculation-sheet'!L20</f>
        <v>4022.4687757997585</v>
      </c>
      <c r="M34" s="2">
        <f>M12/'Output-Calculation-sheet'!M11*'Output-Calculation-sheet'!M20</f>
        <v>0</v>
      </c>
      <c r="N34" s="2">
        <f>N12/'Output-Calculation-sheet'!N11*'Output-Calculation-sheet'!N20</f>
        <v>2238.5045352407869</v>
      </c>
      <c r="O34" s="2">
        <f>O12/'Output-Calculation-sheet'!O11*'Output-Calculation-sheet'!O20</f>
        <v>0</v>
      </c>
      <c r="P34" s="2">
        <f>P12/'Output-Calculation-sheet'!P11*'Output-Calculation-sheet'!P20</f>
        <v>5002.6487381683755</v>
      </c>
      <c r="Q34" s="2">
        <f>Q12/'Output-Calculation-sheet'!Q11*'Output-Calculation-sheet'!Q20</f>
        <v>3958.447927314357</v>
      </c>
      <c r="R34" s="2">
        <f>R12/'Output-Calculation-sheet'!R11*'Output-Calculation-sheet'!R20</f>
        <v>3973.0945316987609</v>
      </c>
      <c r="S34" s="2">
        <f>S12/'Output-Calculation-sheet'!S11*'Output-Calculation-sheet'!S20</f>
        <v>1517.6257060420687</v>
      </c>
      <c r="T34" s="2">
        <f>T12/'Output-Calculation-sheet'!T11*'Output-Calculation-sheet'!T20</f>
        <v>1248.2235700103088</v>
      </c>
      <c r="U34" s="2">
        <f>U12/'Output-Calculation-sheet'!U11*'Output-Calculation-sheet'!U20</f>
        <v>1138.8105821040624</v>
      </c>
      <c r="V34" s="2">
        <f>V12/'Output-Calculation-sheet'!V11*'Output-Calculation-sheet'!V20</f>
        <v>1046.114247239519</v>
      </c>
      <c r="W34" s="2">
        <f>W12/'Output-Calculation-sheet'!W11*'Output-Calculation-sheet'!W20</f>
        <v>673.03296504386094</v>
      </c>
      <c r="X34" s="2">
        <f>X12/'Output-Calculation-sheet'!X11*'Output-Calculation-sheet'!X20</f>
        <v>136.02249443160005</v>
      </c>
      <c r="Y34" s="2">
        <f>Y12/'Output-Calculation-sheet'!Y11*'Output-Calculation-sheet'!Y20</f>
        <v>377.26040264573743</v>
      </c>
      <c r="AA34" s="2">
        <f t="shared" si="1"/>
        <v>110.25331027490425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1.0232768645849679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0.19879516631024693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1.2220720308952149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1.2227439350099432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0.47509250395050545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1.6978364389604486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1.381074465591444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0.80491684384589868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2.1859913094373429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1.4909910039438958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0.86897832303575062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2.3599693269796465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3.1191360969894717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0.48008361665112048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0.33034450712771263</v>
      </c>
      <c r="N44" s="2">
        <f>N11/'Output-Calculation-sheet'!N10*'Output-Calculation-sheet'!N37*0.0114</f>
        <v>0</v>
      </c>
      <c r="O44" s="2">
        <f>O11/'Output-Calculation-sheet'!O10*'Output-Calculation-sheet'!O37*0.0114</f>
        <v>1.2119284635577314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0.28446470643111244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3.6239606797543934E-2</v>
      </c>
      <c r="Y44" s="2">
        <f>Y11/'Output-Calculation-sheet'!Y10*'Output-Calculation-sheet'!Y37*0.0114</f>
        <v>0</v>
      </c>
      <c r="AA44" s="2">
        <f t="shared" si="2"/>
        <v>5.4621969975546927</v>
      </c>
    </row>
    <row r="45" spans="1:27" x14ac:dyDescent="0.25">
      <c r="A45" s="2">
        <v>2035</v>
      </c>
      <c r="B45" s="2">
        <f>B12/'Output-Calculation-sheet'!B11*'Output-Calculation-sheet'!B38*0.0114</f>
        <v>3.358918347108145</v>
      </c>
      <c r="C45" s="2">
        <f>C12/'Output-Calculation-sheet'!C11*'Output-Calculation-sheet'!C38*0.0114</f>
        <v>3.1884351263900443</v>
      </c>
      <c r="D45" s="2">
        <f>D12/'Output-Calculation-sheet'!D11*'Output-Calculation-sheet'!D38*0.0114</f>
        <v>1.4122081166149143</v>
      </c>
      <c r="E45" s="2">
        <f>E12/'Output-Calculation-sheet'!E11*'Output-Calculation-sheet'!E38*0.0114</f>
        <v>1.1223287710194505</v>
      </c>
      <c r="F45" s="2">
        <f>F12/'Output-Calculation-sheet'!F11*'Output-Calculation-sheet'!F38*0.0114</f>
        <v>0.70586783479809478</v>
      </c>
      <c r="G45" s="2">
        <f>G12/'Output-Calculation-sheet'!G11*'Output-Calculation-sheet'!G38*0.0114</f>
        <v>0.50658939341203124</v>
      </c>
      <c r="H45" s="2">
        <f>H12/'Output-Calculation-sheet'!H11*'Output-Calculation-sheet'!H38*0.0114</f>
        <v>0.49074981640340121</v>
      </c>
      <c r="I45" s="2">
        <f>I12/'Output-Calculation-sheet'!I11*'Output-Calculation-sheet'!I38*0.0114</f>
        <v>0.45564691380036149</v>
      </c>
      <c r="J45" s="2">
        <f>J12/'Output-Calculation-sheet'!J11*'Output-Calculation-sheet'!J38*0.0114</f>
        <v>0.45094084800390977</v>
      </c>
      <c r="K45" s="2">
        <f>K12/'Output-Calculation-sheet'!K11*'Output-Calculation-sheet'!K38*0.0114</f>
        <v>0.44782919377850772</v>
      </c>
      <c r="L45" s="2">
        <f>L12/'Output-Calculation-sheet'!L11*'Output-Calculation-sheet'!L38*0.0114</f>
        <v>0.35609231568085081</v>
      </c>
      <c r="M45" s="2">
        <f>M12/'Output-Calculation-sheet'!M11*'Output-Calculation-sheet'!M38*0.0114</f>
        <v>0.33768389630468898</v>
      </c>
      <c r="N45" s="2">
        <f>N12/'Output-Calculation-sheet'!N11*'Output-Calculation-sheet'!N38*0.0114</f>
        <v>0.33188908442898912</v>
      </c>
      <c r="O45" s="2">
        <f>O12/'Output-Calculation-sheet'!O11*'Output-Calculation-sheet'!O38*0.0114</f>
        <v>1.2388543377792951</v>
      </c>
      <c r="P45" s="2">
        <f>P12/'Output-Calculation-sheet'!P11*'Output-Calculation-sheet'!P38*0.0114</f>
        <v>0.30660571283094262</v>
      </c>
      <c r="Q45" s="2">
        <f>Q12/'Output-Calculation-sheet'!Q11*'Output-Calculation-sheet'!Q38*0.0114</f>
        <v>0.29078476667901948</v>
      </c>
      <c r="R45" s="2">
        <f>R12/'Output-Calculation-sheet'!R11*'Output-Calculation-sheet'!R38*0.0114</f>
        <v>0.28836731645762265</v>
      </c>
      <c r="S45" s="2">
        <f>S12/'Output-Calculation-sheet'!S11*'Output-Calculation-sheet'!S38*0.0114</f>
        <v>0.1902497641126876</v>
      </c>
      <c r="T45" s="2">
        <f>T12/'Output-Calculation-sheet'!T11*'Output-Calculation-sheet'!T38*0.0114</f>
        <v>0.10668577521455633</v>
      </c>
      <c r="U45" s="2">
        <f>U12/'Output-Calculation-sheet'!U11*'Output-Calculation-sheet'!U38*0.0114</f>
        <v>9.2778107882414862E-2</v>
      </c>
      <c r="V45" s="2">
        <f>V12/'Output-Calculation-sheet'!V11*'Output-Calculation-sheet'!V38*0.0114</f>
        <v>7.1540335686060011E-2</v>
      </c>
      <c r="W45" s="2">
        <f>W12/'Output-Calculation-sheet'!W11*'Output-Calculation-sheet'!W38*0.0114</f>
        <v>6.1948550725047354E-2</v>
      </c>
      <c r="X45" s="2">
        <f>X12/'Output-Calculation-sheet'!X11*'Output-Calculation-sheet'!X38*0.0114</f>
        <v>3.7044755883328326E-2</v>
      </c>
      <c r="Y45" s="2">
        <f>Y12/'Output-Calculation-sheet'!Y11*'Output-Calculation-sheet'!Y38*0.0114</f>
        <v>3.574887652351446E-2</v>
      </c>
      <c r="AA45" s="2">
        <f t="shared" si="2"/>
        <v>15.885787957517879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9335.1573611260246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2044.71404454815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1444.9893858442663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204.40594718443722</v>
      </c>
      <c r="Y51" s="2">
        <f>Y7/'Output-Calculation-sheet'!Y6*'Output-Calculation-sheet'!Y42</f>
        <v>0</v>
      </c>
      <c r="AA51" s="2">
        <f t="shared" si="3"/>
        <v>13.029266738702878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25098.428139677781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8188.3218229203321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5588.9282463108548</v>
      </c>
      <c r="N52" s="2">
        <f>N8/'Output-Calculation-sheet'!N7*'Output-Calculation-sheet'!N43</f>
        <v>178.63478543492346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722.7828043542404</v>
      </c>
      <c r="Y52" s="2">
        <f>Y8/'Output-Calculation-sheet'!Y7*'Output-Calculation-sheet'!Y43</f>
        <v>0</v>
      </c>
      <c r="AA52" s="2">
        <f t="shared" si="3"/>
        <v>39.777095798698127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59240.82576089615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16371.531991683374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11188.232803178451</v>
      </c>
      <c r="N53" s="2">
        <f>N9/'Output-Calculation-sheet'!N8*'Output-Calculation-sheet'!N44</f>
        <v>3984.8750763701955</v>
      </c>
      <c r="O53" s="2">
        <f>O9/'Output-Calculation-sheet'!O8*'Output-Calculation-sheet'!O44</f>
        <v>0</v>
      </c>
      <c r="P53" s="2">
        <f>P9/'Output-Calculation-sheet'!P8*'Output-Calculation-sheet'!P44</f>
        <v>186.39526880460369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1243.3323490273992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1399.0968571487253</v>
      </c>
      <c r="Y53" s="2">
        <f>Y9/'Output-Calculation-sheet'!Y8*'Output-Calculation-sheet'!Y44</f>
        <v>0</v>
      </c>
      <c r="AA53" s="2">
        <f t="shared" si="3"/>
        <v>93.614290107108914</v>
      </c>
    </row>
    <row r="54" spans="1:27" x14ac:dyDescent="0.25">
      <c r="A54" s="2">
        <v>2033</v>
      </c>
      <c r="B54" s="2">
        <f>B10/'Output-Calculation-sheet'!B9*'Output-Calculation-sheet'!B45</f>
        <v>35272.155352887232</v>
      </c>
      <c r="C54" s="2">
        <f>C10/'Output-Calculation-sheet'!C9*'Output-Calculation-sheet'!C45</f>
        <v>80827.407055905933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25565.627304493857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330.65682665424436</v>
      </c>
      <c r="L54" s="2">
        <f>L10/'Output-Calculation-sheet'!L9*'Output-Calculation-sheet'!L45</f>
        <v>0</v>
      </c>
      <c r="M54" s="2">
        <f>M10/'Output-Calculation-sheet'!M9*'Output-Calculation-sheet'!M45</f>
        <v>17536.246543237608</v>
      </c>
      <c r="N54" s="2">
        <f>N10/'Output-Calculation-sheet'!N9*'Output-Calculation-sheet'!N45</f>
        <v>9829.3036886197951</v>
      </c>
      <c r="O54" s="2">
        <f>O10/'Output-Calculation-sheet'!O9*'Output-Calculation-sheet'!O45</f>
        <v>0</v>
      </c>
      <c r="P54" s="2">
        <f>P10/'Output-Calculation-sheet'!P9*'Output-Calculation-sheet'!P45</f>
        <v>2666.2980205156164</v>
      </c>
      <c r="Q54" s="2">
        <f>Q10/'Output-Calculation-sheet'!Q9*'Output-Calculation-sheet'!Q45</f>
        <v>1049.6558010933445</v>
      </c>
      <c r="R54" s="2">
        <f>R10/'Output-Calculation-sheet'!R9*'Output-Calculation-sheet'!R45</f>
        <v>1750.6540710548882</v>
      </c>
      <c r="S54" s="2">
        <f>S10/'Output-Calculation-sheet'!S9*'Output-Calculation-sheet'!S45</f>
        <v>4182.9387313635561</v>
      </c>
      <c r="T54" s="2">
        <f>T10/'Output-Calculation-sheet'!T9*'Output-Calculation-sheet'!T45</f>
        <v>87.524391421432611</v>
      </c>
      <c r="U54" s="2">
        <f>U10/'Output-Calculation-sheet'!U9*'Output-Calculation-sheet'!U45</f>
        <v>631.75136076453407</v>
      </c>
      <c r="V54" s="2">
        <f>V10/'Output-Calculation-sheet'!V9*'Output-Calculation-sheet'!V45</f>
        <v>46.953021284532568</v>
      </c>
      <c r="W54" s="2">
        <f>W10/'Output-Calculation-sheet'!W9*'Output-Calculation-sheet'!W45</f>
        <v>0</v>
      </c>
      <c r="X54" s="2">
        <f>X10/'Output-Calculation-sheet'!X9*'Output-Calculation-sheet'!X45</f>
        <v>2014.9433849900631</v>
      </c>
      <c r="Y54" s="2">
        <f>Y10/'Output-Calculation-sheet'!Y9*'Output-Calculation-sheet'!Y45</f>
        <v>20.529719719424623</v>
      </c>
      <c r="AA54" s="2">
        <f t="shared" si="3"/>
        <v>181.81264527400609</v>
      </c>
    </row>
    <row r="55" spans="1:27" x14ac:dyDescent="0.25">
      <c r="A55" s="2">
        <v>2034</v>
      </c>
      <c r="B55" s="2">
        <f>B11/'Output-Calculation-sheet'!B10*'Output-Calculation-sheet'!B46</f>
        <v>104918.65597571044</v>
      </c>
      <c r="C55" s="2">
        <f>C11/'Output-Calculation-sheet'!C10*'Output-Calculation-sheet'!C46</f>
        <v>86323.459526331426</v>
      </c>
      <c r="D55" s="2">
        <f>D11/'Output-Calculation-sheet'!D10*'Output-Calculation-sheet'!D46</f>
        <v>9694.8384943191631</v>
      </c>
      <c r="E55" s="2">
        <f>E11/'Output-Calculation-sheet'!E10*'Output-Calculation-sheet'!E46</f>
        <v>11942.456546628717</v>
      </c>
      <c r="F55" s="2">
        <f>F11/'Output-Calculation-sheet'!F10*'Output-Calculation-sheet'!F46</f>
        <v>363.43481758406102</v>
      </c>
      <c r="G55" s="2">
        <f>G11/'Output-Calculation-sheet'!G10*'Output-Calculation-sheet'!G46</f>
        <v>4303.7117469970144</v>
      </c>
      <c r="H55" s="2">
        <f>H11/'Output-Calculation-sheet'!H10*'Output-Calculation-sheet'!H46</f>
        <v>31121.209886419125</v>
      </c>
      <c r="I55" s="2">
        <f>I11/'Output-Calculation-sheet'!I10*'Output-Calculation-sheet'!I46</f>
        <v>2346.0192522746424</v>
      </c>
      <c r="J55" s="2">
        <f>J11/'Output-Calculation-sheet'!J10*'Output-Calculation-sheet'!J46</f>
        <v>1702.6451358335748</v>
      </c>
      <c r="K55" s="2">
        <f>K11/'Output-Calculation-sheet'!K10*'Output-Calculation-sheet'!K46</f>
        <v>4573.1058246797202</v>
      </c>
      <c r="L55" s="2">
        <f>L11/'Output-Calculation-sheet'!L10*'Output-Calculation-sheet'!L46</f>
        <v>1680.6496125974643</v>
      </c>
      <c r="M55" s="2">
        <f>M11/'Output-Calculation-sheet'!M10*'Output-Calculation-sheet'!M46</f>
        <v>21993.989553502972</v>
      </c>
      <c r="N55" s="2">
        <f>N11/'Output-Calculation-sheet'!N10*'Output-Calculation-sheet'!N46</f>
        <v>16774.908199219892</v>
      </c>
      <c r="O55" s="2">
        <f>O11/'Output-Calculation-sheet'!O10*'Output-Calculation-sheet'!O46</f>
        <v>372.08330021509295</v>
      </c>
      <c r="P55" s="2">
        <f>P11/'Output-Calculation-sheet'!P10*'Output-Calculation-sheet'!P46</f>
        <v>6235.6319977667199</v>
      </c>
      <c r="Q55" s="2">
        <f>Q11/'Output-Calculation-sheet'!Q10*'Output-Calculation-sheet'!Q46</f>
        <v>3668.0975302959237</v>
      </c>
      <c r="R55" s="2">
        <f>R11/'Output-Calculation-sheet'!R10*'Output-Calculation-sheet'!R46</f>
        <v>5048.1016532713975</v>
      </c>
      <c r="S55" s="2">
        <f>S11/'Output-Calculation-sheet'!S10*'Output-Calculation-sheet'!S46</f>
        <v>8244.5583006859615</v>
      </c>
      <c r="T55" s="2">
        <f>T11/'Output-Calculation-sheet'!T10*'Output-Calculation-sheet'!T46</f>
        <v>1144.3751501832455</v>
      </c>
      <c r="U55" s="2">
        <f>U11/'Output-Calculation-sheet'!U10*'Output-Calculation-sheet'!U46</f>
        <v>1910.7709999951844</v>
      </c>
      <c r="V55" s="2">
        <f>V11/'Output-Calculation-sheet'!V10*'Output-Calculation-sheet'!V46</f>
        <v>773.52331262616372</v>
      </c>
      <c r="W55" s="2">
        <f>W11/'Output-Calculation-sheet'!W10*'Output-Calculation-sheet'!W46</f>
        <v>101.00355036414028</v>
      </c>
      <c r="X55" s="2">
        <f>X11/'Output-Calculation-sheet'!X10*'Output-Calculation-sheet'!X46</f>
        <v>2250.6703169000971</v>
      </c>
      <c r="Y55" s="2">
        <f>Y11/'Output-Calculation-sheet'!Y10*'Output-Calculation-sheet'!Y46</f>
        <v>585.93258858865295</v>
      </c>
      <c r="AA55" s="2">
        <f t="shared" si="3"/>
        <v>328.07383327299084</v>
      </c>
    </row>
    <row r="56" spans="1:27" x14ac:dyDescent="0.25">
      <c r="A56" s="2">
        <v>2035</v>
      </c>
      <c r="B56" s="2">
        <f>B12/'Output-Calculation-sheet'!B11*'Output-Calculation-sheet'!B47</f>
        <v>136419.22760623429</v>
      </c>
      <c r="C56" s="2">
        <f>C12/'Output-Calculation-sheet'!C11*'Output-Calculation-sheet'!C47</f>
        <v>89639.777018246416</v>
      </c>
      <c r="D56" s="2">
        <f>D12/'Output-Calculation-sheet'!D11*'Output-Calculation-sheet'!D47</f>
        <v>10901.255637027409</v>
      </c>
      <c r="E56" s="2">
        <f>E12/'Output-Calculation-sheet'!E11*'Output-Calculation-sheet'!E47</f>
        <v>30617.916472548164</v>
      </c>
      <c r="F56" s="2">
        <f>F12/'Output-Calculation-sheet'!F11*'Output-Calculation-sheet'!F47</f>
        <v>3777.0120984810337</v>
      </c>
      <c r="G56" s="2">
        <f>G12/'Output-Calculation-sheet'!G11*'Output-Calculation-sheet'!G47</f>
        <v>8532.0318890447361</v>
      </c>
      <c r="H56" s="2">
        <f>H12/'Output-Calculation-sheet'!H11*'Output-Calculation-sheet'!H47</f>
        <v>32587.509738366203</v>
      </c>
      <c r="I56" s="2">
        <f>I12/'Output-Calculation-sheet'!I11*'Output-Calculation-sheet'!I47</f>
        <v>4316.6549728455293</v>
      </c>
      <c r="J56" s="2">
        <f>J12/'Output-Calculation-sheet'!J11*'Output-Calculation-sheet'!J47</f>
        <v>3916.0652589813217</v>
      </c>
      <c r="K56" s="2">
        <f>K12/'Output-Calculation-sheet'!K11*'Output-Calculation-sheet'!K47</f>
        <v>5656.7898161495705</v>
      </c>
      <c r="L56" s="2">
        <f>L12/'Output-Calculation-sheet'!L11*'Output-Calculation-sheet'!L47</f>
        <v>3123.6168042179893</v>
      </c>
      <c r="M56" s="2">
        <f>M12/'Output-Calculation-sheet'!M11*'Output-Calculation-sheet'!M47</f>
        <v>22719.609514534775</v>
      </c>
      <c r="N56" s="2">
        <f>N12/'Output-Calculation-sheet'!N11*'Output-Calculation-sheet'!N47</f>
        <v>17351.394238568202</v>
      </c>
      <c r="O56" s="2">
        <f>O12/'Output-Calculation-sheet'!O11*'Output-Calculation-sheet'!O47</f>
        <v>1630.0714970780198</v>
      </c>
      <c r="P56" s="2">
        <f>P12/'Output-Calculation-sheet'!P11*'Output-Calculation-sheet'!P47</f>
        <v>9009.9047191548925</v>
      </c>
      <c r="Q56" s="2">
        <f>Q12/'Output-Calculation-sheet'!Q11*'Output-Calculation-sheet'!Q47</f>
        <v>4565.8309855740772</v>
      </c>
      <c r="R56" s="2">
        <f>R12/'Output-Calculation-sheet'!R11*'Output-Calculation-sheet'!R47</f>
        <v>6652.6845814346279</v>
      </c>
      <c r="S56" s="2">
        <f>S12/'Output-Calculation-sheet'!S11*'Output-Calculation-sheet'!S47</f>
        <v>8811.5680220613194</v>
      </c>
      <c r="T56" s="2">
        <f>T12/'Output-Calculation-sheet'!T11*'Output-Calculation-sheet'!T47</f>
        <v>2330.2419323179406</v>
      </c>
      <c r="U56" s="2">
        <f>U12/'Output-Calculation-sheet'!U11*'Output-Calculation-sheet'!U47</f>
        <v>2229.9299613843573</v>
      </c>
      <c r="V56" s="2">
        <f>V12/'Output-Calculation-sheet'!V11*'Output-Calculation-sheet'!V47</f>
        <v>1556.3160745739369</v>
      </c>
      <c r="W56" s="2">
        <f>W12/'Output-Calculation-sheet'!W11*'Output-Calculation-sheet'!W47</f>
        <v>885.75559370023848</v>
      </c>
      <c r="X56" s="2">
        <f>X12/'Output-Calculation-sheet'!X11*'Output-Calculation-sheet'!X47</f>
        <v>2346.1678726107939</v>
      </c>
      <c r="Y56" s="2">
        <f>Y12/'Output-Calculation-sheet'!Y11*'Output-Calculation-sheet'!Y47</f>
        <v>1201.0368165356172</v>
      </c>
      <c r="AA56" s="2">
        <f t="shared" si="3"/>
        <v>410.77836912167129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5.0725590766760833</v>
      </c>
      <c r="C60" s="2">
        <f>C5*'Output-Calculation-sheet'!C49/10^9</f>
        <v>2.0459773571251709</v>
      </c>
      <c r="D60" s="2">
        <f>D5*'Output-Calculation-sheet'!D49/10^9</f>
        <v>1.3375738480345654</v>
      </c>
      <c r="E60" s="2">
        <f>E5*'Output-Calculation-sheet'!E49/10^9</f>
        <v>1.5518856911873322</v>
      </c>
      <c r="F60" s="2">
        <f>F5*'Output-Calculation-sheet'!F49/10^9</f>
        <v>0.71273489652079591</v>
      </c>
      <c r="G60" s="2">
        <f>G5*'Output-Calculation-sheet'!G49/10^9</f>
        <v>0.56225372291909859</v>
      </c>
      <c r="H60" s="2">
        <f>H5*'Output-Calculation-sheet'!H49/10^9</f>
        <v>0.5375956706597611</v>
      </c>
      <c r="I60" s="2">
        <f>I5*'Output-Calculation-sheet'!I49/10^9</f>
        <v>0.42326039285642575</v>
      </c>
      <c r="J60" s="2">
        <f>J5*'Output-Calculation-sheet'!J49/10^9</f>
        <v>0.65597755937692248</v>
      </c>
      <c r="K60" s="2">
        <f>K5*'Output-Calculation-sheet'!K49/10^9</f>
        <v>0.36410275512421542</v>
      </c>
      <c r="L60" s="2">
        <f>L5*'Output-Calculation-sheet'!L49/10^9</f>
        <v>0.47547521073513976</v>
      </c>
      <c r="M60" s="2">
        <f>M5*'Output-Calculation-sheet'!M49/10^9</f>
        <v>0.41152189830318753</v>
      </c>
      <c r="N60" s="2">
        <f>N5*'Output-Calculation-sheet'!N49/10^9</f>
        <v>0.34448182083793605</v>
      </c>
      <c r="O60" s="2">
        <f>O5*'Output-Calculation-sheet'!O49/10^9</f>
        <v>0.34529417961211128</v>
      </c>
      <c r="P60" s="2">
        <f>P5*'Output-Calculation-sheet'!P49/10^9</f>
        <v>0.36025358672209928</v>
      </c>
      <c r="Q60" s="2">
        <f>Q5*'Output-Calculation-sheet'!Q49/10^9</f>
        <v>0.31245376642809941</v>
      </c>
      <c r="R60" s="2">
        <f>R5*'Output-Calculation-sheet'!R49/10^9</f>
        <v>0.32667306761509102</v>
      </c>
      <c r="S60" s="2">
        <f>S5*'Output-Calculation-sheet'!S49/10^9</f>
        <v>0.23017435834208541</v>
      </c>
      <c r="T60" s="2">
        <f>T5*'Output-Calculation-sheet'!T49/10^9</f>
        <v>0.14318286130805383</v>
      </c>
      <c r="U60" s="2">
        <f>U5*'Output-Calculation-sheet'!U49/10^9</f>
        <v>0.1052079181922398</v>
      </c>
      <c r="V60" s="2">
        <f>V5*'Output-Calculation-sheet'!V49/10^9</f>
        <v>0.20007725351108799</v>
      </c>
      <c r="W60" s="2">
        <f>W5*'Output-Calculation-sheet'!W49/10^9</f>
        <v>7.967013669569159E-2</v>
      </c>
      <c r="X60" s="2">
        <f>X5*'Output-Calculation-sheet'!X49/10^9</f>
        <v>5.8434755474997525E-2</v>
      </c>
      <c r="Y60" s="2">
        <f>Y5*'Output-Calculation-sheet'!Y49/10^9</f>
        <v>4.225951098258026E-2</v>
      </c>
      <c r="AA60" s="2">
        <f t="shared" ref="AA60:AA67" si="4">SUM(B60:Y60)</f>
        <v>16.69908129524077</v>
      </c>
    </row>
    <row r="61" spans="1:27" x14ac:dyDescent="0.25">
      <c r="A61" s="2">
        <v>2029</v>
      </c>
      <c r="B61" s="2">
        <f>B6*'Output-Calculation-sheet'!B50/10^9</f>
        <v>6.5374176804198889</v>
      </c>
      <c r="C61" s="2">
        <f>C6*'Output-Calculation-sheet'!C50/10^9</f>
        <v>2.8018501765903334</v>
      </c>
      <c r="D61" s="2">
        <f>D6*'Output-Calculation-sheet'!D50/10^9</f>
        <v>1.6828251099558802</v>
      </c>
      <c r="E61" s="2">
        <f>E6*'Output-Calculation-sheet'!E50/10^9</f>
        <v>1.9451953925093053</v>
      </c>
      <c r="F61" s="2">
        <f>F6*'Output-Calculation-sheet'!F50/10^9</f>
        <v>0.89756316463738572</v>
      </c>
      <c r="G61" s="2">
        <f>G6*'Output-Calculation-sheet'!G50/10^9</f>
        <v>0.70179374856557386</v>
      </c>
      <c r="H61" s="2">
        <f>H6*'Output-Calculation-sheet'!H50/10^9</f>
        <v>0.7264909407587119</v>
      </c>
      <c r="I61" s="2">
        <f>I6*'Output-Calculation-sheet'!I50/10^9</f>
        <v>0.53510471711759811</v>
      </c>
      <c r="J61" s="2">
        <f>J6*'Output-Calculation-sheet'!J50/10^9</f>
        <v>0.80962631793436146</v>
      </c>
      <c r="K61" s="2">
        <f>K6*'Output-Calculation-sheet'!K50/10^9</f>
        <v>0.47011543362091507</v>
      </c>
      <c r="L61" s="2">
        <f>L6*'Output-Calculation-sheet'!L50/10^9</f>
        <v>0.59755263122903535</v>
      </c>
      <c r="M61" s="2">
        <f>M6*'Output-Calculation-sheet'!M50/10^9</f>
        <v>0.55012684468968664</v>
      </c>
      <c r="N61" s="2">
        <f>N6*'Output-Calculation-sheet'!N50/10^9</f>
        <v>0.46873446639044974</v>
      </c>
      <c r="O61" s="2">
        <f>O6*'Output-Calculation-sheet'!O50/10^9</f>
        <v>0.48805649764088471</v>
      </c>
      <c r="P61" s="2">
        <f>P6*'Output-Calculation-sheet'!P50/10^9</f>
        <v>0.46518149153664606</v>
      </c>
      <c r="Q61" s="2">
        <f>Q6*'Output-Calculation-sheet'!Q50/10^9</f>
        <v>0.41208966691992105</v>
      </c>
      <c r="R61" s="2">
        <f>R6*'Output-Calculation-sheet'!R50/10^9</f>
        <v>0.41639374438283222</v>
      </c>
      <c r="S61" s="2">
        <f>S6*'Output-Calculation-sheet'!S50/10^9</f>
        <v>0.30527706374351316</v>
      </c>
      <c r="T61" s="2">
        <f>T6*'Output-Calculation-sheet'!T50/10^9</f>
        <v>0.17893359973005674</v>
      </c>
      <c r="U61" s="2">
        <f>U6*'Output-Calculation-sheet'!U50/10^9</f>
        <v>0.13358778158133225</v>
      </c>
      <c r="V61" s="2">
        <f>V6*'Output-Calculation-sheet'!V50/10^9</f>
        <v>0.24506182483129105</v>
      </c>
      <c r="W61" s="2">
        <f>W6*'Output-Calculation-sheet'!W50/10^9</f>
        <v>9.8879961498775537E-2</v>
      </c>
      <c r="X61" s="2">
        <f>X6*'Output-Calculation-sheet'!X50/10^9</f>
        <v>7.7194754658738748E-2</v>
      </c>
      <c r="Y61" s="2">
        <f>Y6*'Output-Calculation-sheet'!Y50/10^9</f>
        <v>5.3638595349620809E-2</v>
      </c>
      <c r="AA61" s="2">
        <f t="shared" si="4"/>
        <v>21.598691606292746</v>
      </c>
    </row>
    <row r="62" spans="1:27" x14ac:dyDescent="0.25">
      <c r="A62" s="2">
        <v>2030</v>
      </c>
      <c r="B62" s="2">
        <f>B7*'Output-Calculation-sheet'!B51/10^9</f>
        <v>7.6378864445348329</v>
      </c>
      <c r="C62" s="2">
        <f>C7*'Output-Calculation-sheet'!C51/10^9</f>
        <v>3.7958684001686898</v>
      </c>
      <c r="D62" s="2">
        <f>D7*'Output-Calculation-sheet'!D51/10^9</f>
        <v>1.9027766899325538</v>
      </c>
      <c r="E62" s="2">
        <f>E7*'Output-Calculation-sheet'!E51/10^9</f>
        <v>2.1895351068568885</v>
      </c>
      <c r="F62" s="2">
        <f>F7*'Output-Calculation-sheet'!F51/10^9</f>
        <v>1.0160501387101462</v>
      </c>
      <c r="G62" s="2">
        <f>G7*'Output-Calculation-sheet'!G51/10^9</f>
        <v>0.78589738699686085</v>
      </c>
      <c r="H62" s="2">
        <f>H7*'Output-Calculation-sheet'!H51/10^9</f>
        <v>0.9568794586838516</v>
      </c>
      <c r="I62" s="2">
        <f>I7*'Output-Calculation-sheet'!I51/10^9</f>
        <v>0.60858318712557469</v>
      </c>
      <c r="J62" s="2">
        <f>J7*'Output-Calculation-sheet'!J51/10^9</f>
        <v>0.89406726562996408</v>
      </c>
      <c r="K62" s="2">
        <f>K7*'Output-Calculation-sheet'!K51/10^9</f>
        <v>0.54797628128553622</v>
      </c>
      <c r="L62" s="2">
        <f>L7*'Output-Calculation-sheet'!L51/10^9</f>
        <v>0.67476643158617322</v>
      </c>
      <c r="M62" s="2">
        <f>M7*'Output-Calculation-sheet'!M51/10^9</f>
        <v>0.71297570486109774</v>
      </c>
      <c r="N62" s="2">
        <f>N7*'Output-Calculation-sheet'!N51/10^9</f>
        <v>0.58249184008758248</v>
      </c>
      <c r="O62" s="2">
        <f>O7*'Output-Calculation-sheet'!O51/10^9</f>
        <v>0.66278751435343575</v>
      </c>
      <c r="P62" s="2">
        <f>P7*'Output-Calculation-sheet'!P51/10^9</f>
        <v>0.54227288191023604</v>
      </c>
      <c r="Q62" s="2">
        <f>Q7*'Output-Calculation-sheet'!Q51/10^9</f>
        <v>0.49347168613694925</v>
      </c>
      <c r="R62" s="2">
        <f>R7*'Output-Calculation-sheet'!R51/10^9</f>
        <v>0.47818629948735392</v>
      </c>
      <c r="S62" s="2">
        <f>S7*'Output-Calculation-sheet'!S51/10^9</f>
        <v>0.37073689799526294</v>
      </c>
      <c r="T62" s="2">
        <f>T7*'Output-Calculation-sheet'!T51/10^9</f>
        <v>0.20067373004376185</v>
      </c>
      <c r="U62" s="2">
        <f>U7*'Output-Calculation-sheet'!U51/10^9</f>
        <v>0.15271793535398634</v>
      </c>
      <c r="V62" s="2">
        <f>V7*'Output-Calculation-sheet'!V51/10^9</f>
        <v>0.26800736766959493</v>
      </c>
      <c r="W62" s="2">
        <f>W7*'Output-Calculation-sheet'!W51/10^9</f>
        <v>0.10995600907391972</v>
      </c>
      <c r="X62" s="2">
        <f>X7*'Output-Calculation-sheet'!X51/10^9</f>
        <v>9.8628626138751743E-2</v>
      </c>
      <c r="Y62" s="2">
        <f>Y7*'Output-Calculation-sheet'!Y51/10^9</f>
        <v>6.1292173577775687E-2</v>
      </c>
      <c r="AA62" s="2">
        <f t="shared" si="4"/>
        <v>25.744485458200774</v>
      </c>
    </row>
    <row r="63" spans="1:27" x14ac:dyDescent="0.25">
      <c r="A63" s="2">
        <v>2031</v>
      </c>
      <c r="B63" s="2">
        <f>B8*'Output-Calculation-sheet'!B52/10^9</f>
        <v>8.5278242040961825</v>
      </c>
      <c r="C63" s="2">
        <f>C8*'Output-Calculation-sheet'!C52/10^9</f>
        <v>4.8527775594218703</v>
      </c>
      <c r="D63" s="2">
        <f>D8*'Output-Calculation-sheet'!D52/10^9</f>
        <v>1.9966968270352086</v>
      </c>
      <c r="E63" s="2">
        <f>E8*'Output-Calculation-sheet'!E52/10^9</f>
        <v>2.2843205636294277</v>
      </c>
      <c r="F63" s="2">
        <f>F8*'Output-Calculation-sheet'!F52/10^9</f>
        <v>1.0677742170911604</v>
      </c>
      <c r="G63" s="2">
        <f>G8*'Output-Calculation-sheet'!G52/10^9</f>
        <v>0.81446066381309346</v>
      </c>
      <c r="H63" s="2">
        <f>H8*'Output-Calculation-sheet'!H52/10^9</f>
        <v>1.2174233670545169</v>
      </c>
      <c r="I63" s="2">
        <f>I8*'Output-Calculation-sheet'!I52/10^9</f>
        <v>0.64336979193187271</v>
      </c>
      <c r="J63" s="2">
        <f>J8*'Output-Calculation-sheet'!J52/10^9</f>
        <v>0.90951205273551206</v>
      </c>
      <c r="K63" s="2">
        <f>K8*'Output-Calculation-sheet'!K52/10^9</f>
        <v>0.59704850909954754</v>
      </c>
      <c r="L63" s="2">
        <f>L8*'Output-Calculation-sheet'!L52/10^9</f>
        <v>0.70688061943187586</v>
      </c>
      <c r="M63" s="2">
        <f>M8*'Output-Calculation-sheet'!M52/10^9</f>
        <v>0.89136659024411258</v>
      </c>
      <c r="N63" s="2">
        <f>N8*'Output-Calculation-sheet'!N52/10^9</f>
        <v>0.71073313805848859</v>
      </c>
      <c r="O63" s="2">
        <f>O8*'Output-Calculation-sheet'!O52/10^9</f>
        <v>0.84346749512708374</v>
      </c>
      <c r="P63" s="2">
        <f>P8*'Output-Calculation-sheet'!P52/10^9</f>
        <v>0.60720967207143317</v>
      </c>
      <c r="Q63" s="2">
        <f>Q8*'Output-Calculation-sheet'!Q52/10^9</f>
        <v>0.56639291636032507</v>
      </c>
      <c r="R63" s="2">
        <f>R8*'Output-Calculation-sheet'!R52/10^9</f>
        <v>0.51301896766859711</v>
      </c>
      <c r="S63" s="2">
        <f>S8*'Output-Calculation-sheet'!S52/10^9</f>
        <v>0.43527877258393016</v>
      </c>
      <c r="T63" s="2">
        <f>T8*'Output-Calculation-sheet'!T52/10^9</f>
        <v>0.20836893660166256</v>
      </c>
      <c r="U63" s="2">
        <f>U8*'Output-Calculation-sheet'!U52/10^9</f>
        <v>0.16249634623862119</v>
      </c>
      <c r="V63" s="2">
        <f>V8*'Output-Calculation-sheet'!V52/10^9</f>
        <v>0.26904675855152316</v>
      </c>
      <c r="W63" s="2">
        <f>W8*'Output-Calculation-sheet'!W52/10^9</f>
        <v>0.11290399713628305</v>
      </c>
      <c r="X63" s="2">
        <f>X8*'Output-Calculation-sheet'!X52/10^9</f>
        <v>0.12031317599260016</v>
      </c>
      <c r="Y63" s="2">
        <f>Y8*'Output-Calculation-sheet'!Y52/10^9</f>
        <v>6.5197827104150313E-2</v>
      </c>
      <c r="AA63" s="2">
        <f t="shared" si="4"/>
        <v>29.123882969079073</v>
      </c>
    </row>
    <row r="64" spans="1:27" x14ac:dyDescent="0.25">
      <c r="A64" s="2">
        <v>2032</v>
      </c>
      <c r="B64" s="2">
        <f>B9*'Output-Calculation-sheet'!B53/10^9</f>
        <v>9.2389077084740467</v>
      </c>
      <c r="C64" s="2">
        <f>C9*'Output-Calculation-sheet'!C53/10^9</f>
        <v>5.8041299487954525</v>
      </c>
      <c r="D64" s="2">
        <f>D9*'Output-Calculation-sheet'!D53/10^9</f>
        <v>1.9400346456715889</v>
      </c>
      <c r="E64" s="2">
        <f>E9*'Output-Calculation-sheet'!E53/10^9</f>
        <v>2.2652284825579341</v>
      </c>
      <c r="F64" s="2">
        <f>F9*'Output-Calculation-sheet'!F53/10^9</f>
        <v>1.0394760614273211</v>
      </c>
      <c r="G64" s="2">
        <f>G9*'Output-Calculation-sheet'!G53/10^9</f>
        <v>0.77831571243789877</v>
      </c>
      <c r="H64" s="2">
        <f>H9*'Output-Calculation-sheet'!H53/10^9</f>
        <v>1.4495247535326601</v>
      </c>
      <c r="I64" s="2">
        <f>I9*'Output-Calculation-sheet'!I53/10^9</f>
        <v>0.63116077157569717</v>
      </c>
      <c r="J64" s="2">
        <f>J9*'Output-Calculation-sheet'!J53/10^9</f>
        <v>0.84715334465285796</v>
      </c>
      <c r="K64" s="2">
        <f>K9*'Output-Calculation-sheet'!K53/10^9</f>
        <v>0.6253868943691947</v>
      </c>
      <c r="L64" s="2">
        <f>L9*'Output-Calculation-sheet'!L53/10^9</f>
        <v>0.70210367290127129</v>
      </c>
      <c r="M64" s="2">
        <f>M9*'Output-Calculation-sheet'!M53/10^9</f>
        <v>1.0453107860057078</v>
      </c>
      <c r="N64" s="2">
        <f>N9*'Output-Calculation-sheet'!N53/10^9</f>
        <v>0.85431517624136255</v>
      </c>
      <c r="O64" s="2">
        <f>O9*'Output-Calculation-sheet'!O53/10^9</f>
        <v>1.0092276496065644</v>
      </c>
      <c r="P64" s="2">
        <f>P9*'Output-Calculation-sheet'!P53/10^9</f>
        <v>0.66730705463590478</v>
      </c>
      <c r="Q64" s="2">
        <f>Q9*'Output-Calculation-sheet'!Q53/10^9</f>
        <v>0.63297281477626355</v>
      </c>
      <c r="R64" s="2">
        <f>R9*'Output-Calculation-sheet'!R53/10^9</f>
        <v>0.53848144437676304</v>
      </c>
      <c r="S64" s="2">
        <f>S9*'Output-Calculation-sheet'!S53/10^9</f>
        <v>0.50624417690703694</v>
      </c>
      <c r="T64" s="2">
        <f>T9*'Output-Calculation-sheet'!T53/10^9</f>
        <v>0.20129534505200791</v>
      </c>
      <c r="U64" s="2">
        <f>U9*'Output-Calculation-sheet'!U53/10^9</f>
        <v>0.17150250974564302</v>
      </c>
      <c r="V64" s="2">
        <f>V9*'Output-Calculation-sheet'!V53/10^9</f>
        <v>0.24995935140482647</v>
      </c>
      <c r="W64" s="2">
        <f>W9*'Output-Calculation-sheet'!W53/10^9</f>
        <v>0.10654103868793131</v>
      </c>
      <c r="X64" s="2">
        <f>X9*'Output-Calculation-sheet'!X53/10^9</f>
        <v>0.13770883789453645</v>
      </c>
      <c r="Y64" s="2">
        <f>Y9*'Output-Calculation-sheet'!Y53/10^9</f>
        <v>6.7766008181264853E-2</v>
      </c>
      <c r="AA64" s="2">
        <f t="shared" si="4"/>
        <v>31.510054189911742</v>
      </c>
    </row>
    <row r="65" spans="1:27" x14ac:dyDescent="0.25">
      <c r="A65" s="2">
        <v>2033</v>
      </c>
      <c r="B65" s="2">
        <f>B10*'Output-Calculation-sheet'!B54/10^9</f>
        <v>9.9847308959128824</v>
      </c>
      <c r="C65" s="2">
        <f>C10*'Output-Calculation-sheet'!C54/10^9</f>
        <v>6.562207214669793</v>
      </c>
      <c r="D65" s="2">
        <f>D10*'Output-Calculation-sheet'!D54/10^9</f>
        <v>1.7797405021922519</v>
      </c>
      <c r="E65" s="2">
        <f>E10*'Output-Calculation-sheet'!E54/10^9</f>
        <v>2.2665348473090159</v>
      </c>
      <c r="F65" s="2">
        <f>F10*'Output-Calculation-sheet'!F54/10^9</f>
        <v>0.97394958074779125</v>
      </c>
      <c r="G65" s="2">
        <f>G10*'Output-Calculation-sheet'!G54/10^9</f>
        <v>0.69340402713627203</v>
      </c>
      <c r="H65" s="2">
        <f>H10*'Output-Calculation-sheet'!H54/10^9</f>
        <v>1.6293080743619757</v>
      </c>
      <c r="I65" s="2">
        <f>I10*'Output-Calculation-sheet'!I54/10^9</f>
        <v>0.60797043811947027</v>
      </c>
      <c r="J65" s="2">
        <f>J10*'Output-Calculation-sheet'!J54/10^9</f>
        <v>0.71932555484675686</v>
      </c>
      <c r="K65" s="2">
        <f>K10*'Output-Calculation-sheet'!K54/10^9</f>
        <v>0.67310629984378678</v>
      </c>
      <c r="L65" s="2">
        <f>L10*'Output-Calculation-sheet'!L54/10^9</f>
        <v>0.69419573005317492</v>
      </c>
      <c r="M65" s="2">
        <f>M10*'Output-Calculation-sheet'!M54/10^9</f>
        <v>1.1585397985562462</v>
      </c>
      <c r="N65" s="2">
        <f>N10*'Output-Calculation-sheet'!N54/10^9</f>
        <v>0.98719522610510646</v>
      </c>
      <c r="O65" s="2">
        <f>O10*'Output-Calculation-sheet'!O54/10^9</f>
        <v>1.1486620355597583</v>
      </c>
      <c r="P65" s="2">
        <f>P10*'Output-Calculation-sheet'!P54/10^9</f>
        <v>0.72822685248318997</v>
      </c>
      <c r="Q65" s="2">
        <f>Q10*'Output-Calculation-sheet'!Q54/10^9</f>
        <v>0.718610723714596</v>
      </c>
      <c r="R65" s="2">
        <f>R10*'Output-Calculation-sheet'!R54/10^9</f>
        <v>0.56968440545994481</v>
      </c>
      <c r="S65" s="2">
        <f>S10*'Output-Calculation-sheet'!S54/10^9</f>
        <v>0.57176676524721515</v>
      </c>
      <c r="T65" s="2">
        <f>T10*'Output-Calculation-sheet'!T54/10^9</f>
        <v>0.19291675266112157</v>
      </c>
      <c r="U65" s="2">
        <f>U10*'Output-Calculation-sheet'!U54/10^9</f>
        <v>0.18528380795791258</v>
      </c>
      <c r="V65" s="2">
        <f>V10*'Output-Calculation-sheet'!V54/10^9</f>
        <v>0.21830721514786117</v>
      </c>
      <c r="W65" s="2">
        <f>W10*'Output-Calculation-sheet'!W54/10^9</f>
        <v>9.3300209493975203E-2</v>
      </c>
      <c r="X65" s="2">
        <f>X10*'Output-Calculation-sheet'!X54/10^9</f>
        <v>0.14997673632920525</v>
      </c>
      <c r="Y65" s="2">
        <f>Y10*'Output-Calculation-sheet'!Y54/10^9</f>
        <v>7.237711716305778E-2</v>
      </c>
      <c r="AA65" s="2">
        <f t="shared" si="4"/>
        <v>33.379320811072375</v>
      </c>
    </row>
    <row r="66" spans="1:27" x14ac:dyDescent="0.25">
      <c r="A66" s="2">
        <v>2034</v>
      </c>
      <c r="B66" s="2">
        <f>B11*'Output-Calculation-sheet'!B55/10^9</f>
        <v>10.783318734790008</v>
      </c>
      <c r="C66" s="2">
        <f>C11*'Output-Calculation-sheet'!C55/10^9</f>
        <v>7.1665879994949853</v>
      </c>
      <c r="D66" s="2">
        <f>D11*'Output-Calculation-sheet'!D55/10^9</f>
        <v>1.9508813614919986</v>
      </c>
      <c r="E66" s="2">
        <f>E11*'Output-Calculation-sheet'!E55/10^9</f>
        <v>2.526702985403384</v>
      </c>
      <c r="F66" s="2">
        <f>F11*'Output-Calculation-sheet'!F55/10^9</f>
        <v>0.99438052702740287</v>
      </c>
      <c r="G66" s="2">
        <f>G11*'Output-Calculation-sheet'!G55/10^9</f>
        <v>0.72544070386720683</v>
      </c>
      <c r="H66" s="2">
        <f>H11*'Output-Calculation-sheet'!H55/10^9</f>
        <v>1.8103982664053551</v>
      </c>
      <c r="I66" s="2">
        <f>I11*'Output-Calculation-sheet'!I55/10^9</f>
        <v>0.67438075876043224</v>
      </c>
      <c r="J66" s="2">
        <f>J11*'Output-Calculation-sheet'!J55/10^9</f>
        <v>0.67900578844277404</v>
      </c>
      <c r="K66" s="2">
        <f>K11*'Output-Calculation-sheet'!K55/10^9</f>
        <v>0.77310912031131507</v>
      </c>
      <c r="L66" s="2">
        <f>L11*'Output-Calculation-sheet'!L55/10^9</f>
        <v>0.74951957696235749</v>
      </c>
      <c r="M66" s="2">
        <f>M11*'Output-Calculation-sheet'!M55/10^9</f>
        <v>1.2723694766233777</v>
      </c>
      <c r="N66" s="2">
        <f>N11*'Output-Calculation-sheet'!N55/10^9</f>
        <v>1.1060952233624906</v>
      </c>
      <c r="O66" s="2">
        <f>O11*'Output-Calculation-sheet'!O55/10^9</f>
        <v>1.2610984966460888</v>
      </c>
      <c r="P66" s="2">
        <f>P11*'Output-Calculation-sheet'!P55/10^9</f>
        <v>0.80866659406839658</v>
      </c>
      <c r="Q66" s="2">
        <f>Q11*'Output-Calculation-sheet'!Q55/10^9</f>
        <v>0.83179784884805974</v>
      </c>
      <c r="R66" s="2">
        <f>R11*'Output-Calculation-sheet'!R55/10^9</f>
        <v>0.61543176590813731</v>
      </c>
      <c r="S66" s="2">
        <f>S11*'Output-Calculation-sheet'!S55/10^9</f>
        <v>0.63885607443744208</v>
      </c>
      <c r="T66" s="2">
        <f>T11*'Output-Calculation-sheet'!T55/10^9</f>
        <v>0.19282708274939708</v>
      </c>
      <c r="U66" s="2">
        <f>U11*'Output-Calculation-sheet'!U55/10^9</f>
        <v>0.20986681799970036</v>
      </c>
      <c r="V66" s="2">
        <f>V11*'Output-Calculation-sheet'!V55/10^9</f>
        <v>0.18223941185222159</v>
      </c>
      <c r="W66" s="2">
        <f>W11*'Output-Calculation-sheet'!W55/10^9</f>
        <v>8.9279791444380058E-2</v>
      </c>
      <c r="X66" s="2">
        <f>X11*'Output-Calculation-sheet'!X55/10^9</f>
        <v>0.16683557739628896</v>
      </c>
      <c r="Y66" s="2">
        <f>Y11*'Output-Calculation-sheet'!Y55/10^9</f>
        <v>8.5663432059805131E-2</v>
      </c>
      <c r="AA66" s="2">
        <f t="shared" si="4"/>
        <v>36.294753416353011</v>
      </c>
    </row>
    <row r="67" spans="1:27" x14ac:dyDescent="0.25">
      <c r="A67" s="2">
        <v>2035</v>
      </c>
      <c r="B67" s="2">
        <f>B12*'Output-Calculation-sheet'!B56/10^9</f>
        <v>12.079650667876821</v>
      </c>
      <c r="C67" s="2">
        <f>C12*'Output-Calculation-sheet'!C56/10^9</f>
        <v>7.6334381103233415</v>
      </c>
      <c r="D67" s="2">
        <f>D12*'Output-Calculation-sheet'!D56/10^9</f>
        <v>2.3959941947494876</v>
      </c>
      <c r="E67" s="2">
        <f>E12*'Output-Calculation-sheet'!E56/10^9</f>
        <v>3.2766556234720707</v>
      </c>
      <c r="F67" s="2">
        <f>F12*'Output-Calculation-sheet'!F56/10^9</f>
        <v>1.2842312204087489</v>
      </c>
      <c r="G67" s="2">
        <f>G12*'Output-Calculation-sheet'!G56/10^9</f>
        <v>0.94754264485164963</v>
      </c>
      <c r="H67" s="2">
        <f>H12*'Output-Calculation-sheet'!H56/10^9</f>
        <v>2.0148600637588467</v>
      </c>
      <c r="I67" s="2">
        <f>I12*'Output-Calculation-sheet'!I56/10^9</f>
        <v>0.86818249505560208</v>
      </c>
      <c r="J67" s="2">
        <f>J12*'Output-Calculation-sheet'!J56/10^9</f>
        <v>0.79423928099782937</v>
      </c>
      <c r="K67" s="2">
        <f>K12*'Output-Calculation-sheet'!K56/10^9</f>
        <v>0.95159810220645669</v>
      </c>
      <c r="L67" s="2">
        <f>L12*'Output-Calculation-sheet'!L56/10^9</f>
        <v>0.88717483000506758</v>
      </c>
      <c r="M67" s="2">
        <f>M12*'Output-Calculation-sheet'!M56/10^9</f>
        <v>1.4256121312730121</v>
      </c>
      <c r="N67" s="2">
        <f>N12*'Output-Calculation-sheet'!N56/10^9</f>
        <v>1.2176049214758358</v>
      </c>
      <c r="O67" s="2">
        <f>O12*'Output-Calculation-sheet'!O56/10^9</f>
        <v>1.3467217005444376</v>
      </c>
      <c r="P67" s="2">
        <f>P12*'Output-Calculation-sheet'!P56/10^9</f>
        <v>0.98811423307097102</v>
      </c>
      <c r="Q67" s="2">
        <f>Q12*'Output-Calculation-sheet'!Q56/10^9</f>
        <v>0.93342235299722154</v>
      </c>
      <c r="R67" s="2">
        <f>R12*'Output-Calculation-sheet'!R56/10^9</f>
        <v>0.73296077459587117</v>
      </c>
      <c r="S67" s="2">
        <f>S12*'Output-Calculation-sheet'!S56/10^9</f>
        <v>0.70755636785709564</v>
      </c>
      <c r="T67" s="2">
        <f>T12*'Output-Calculation-sheet'!T56/10^9</f>
        <v>0.22792122137973556</v>
      </c>
      <c r="U67" s="2">
        <f>U12*'Output-Calculation-sheet'!U56/10^9</f>
        <v>0.24641542667299401</v>
      </c>
      <c r="V67" s="2">
        <f>V12*'Output-Calculation-sheet'!V56/10^9</f>
        <v>0.17591046218750259</v>
      </c>
      <c r="W67" s="2">
        <f>W12*'Output-Calculation-sheet'!W56/10^9</f>
        <v>0.11928727529163496</v>
      </c>
      <c r="X67" s="2">
        <f>X12*'Output-Calculation-sheet'!X56/10^9</f>
        <v>0.18517703091428428</v>
      </c>
      <c r="Y67" s="2">
        <f>Y12*'Output-Calculation-sheet'!Y56/10^9</f>
        <v>0.11130714281791189</v>
      </c>
      <c r="AA67" s="2">
        <f t="shared" si="4"/>
        <v>41.551578274784433</v>
      </c>
    </row>
    <row r="68" spans="1:27" x14ac:dyDescent="0.25">
      <c r="B68" s="2">
        <f>SUM(B60:B67)</f>
        <v>69.862295412780739</v>
      </c>
      <c r="C68" s="2">
        <f t="shared" ref="C68:Y68" si="5">SUM(C60:C67)</f>
        <v>40.662836766589635</v>
      </c>
      <c r="D68" s="2">
        <f t="shared" si="5"/>
        <v>14.986523179063534</v>
      </c>
      <c r="E68" s="2">
        <f t="shared" si="5"/>
        <v>18.306058692925358</v>
      </c>
      <c r="F68" s="2">
        <f t="shared" si="5"/>
        <v>7.9861598065707531</v>
      </c>
      <c r="G68" s="2">
        <f t="shared" si="5"/>
        <v>6.0091086105876537</v>
      </c>
      <c r="H68" s="2">
        <f t="shared" si="5"/>
        <v>10.34248059521568</v>
      </c>
      <c r="I68" s="2">
        <f t="shared" si="5"/>
        <v>4.9920125525426728</v>
      </c>
      <c r="J68" s="2">
        <f t="shared" si="5"/>
        <v>6.3089071646169783</v>
      </c>
      <c r="K68" s="2">
        <f t="shared" si="5"/>
        <v>5.0024433958609675</v>
      </c>
      <c r="L68" s="2">
        <f t="shared" si="5"/>
        <v>5.4876687029040951</v>
      </c>
      <c r="M68" s="2">
        <f t="shared" si="5"/>
        <v>7.4678232305564283</v>
      </c>
      <c r="N68" s="2">
        <f t="shared" si="5"/>
        <v>6.2716518125592522</v>
      </c>
      <c r="O68" s="2">
        <f t="shared" si="5"/>
        <v>7.1053155690903651</v>
      </c>
      <c r="P68" s="2">
        <f t="shared" si="5"/>
        <v>5.1672323664988768</v>
      </c>
      <c r="Q68" s="2">
        <f t="shared" si="5"/>
        <v>4.9012117761814356</v>
      </c>
      <c r="R68" s="2">
        <f t="shared" si="5"/>
        <v>4.1908304694945908</v>
      </c>
      <c r="S68" s="2">
        <f t="shared" si="5"/>
        <v>3.7658904771135817</v>
      </c>
      <c r="T68" s="2">
        <f t="shared" si="5"/>
        <v>1.5461195295257968</v>
      </c>
      <c r="U68" s="2">
        <f t="shared" si="5"/>
        <v>1.3670785437424298</v>
      </c>
      <c r="V68" s="2">
        <f t="shared" si="5"/>
        <v>1.8086096451559088</v>
      </c>
      <c r="W68" s="2">
        <f t="shared" si="5"/>
        <v>0.80981841932259147</v>
      </c>
      <c r="X68" s="2">
        <f t="shared" si="5"/>
        <v>0.99426949479940319</v>
      </c>
      <c r="Y68" s="2">
        <f t="shared" si="5"/>
        <v>0.55950180723616671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2253.3633691702662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533.75325943968392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364.99291105332077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48.654872754809873</v>
      </c>
      <c r="Y73" s="2">
        <f>Y7/'Output-Calculation-sheet'!Y6*'Output-Calculation-sheet'!Y60</f>
        <v>0</v>
      </c>
      <c r="AA73" s="2">
        <f t="shared" si="6"/>
        <v>3.2007644124180805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5258.0134370225815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1759.1684948596585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1174.7200158688986</v>
      </c>
      <c r="N74" s="2">
        <f>N8/'Output-Calculation-sheet'!N7*'Output-Calculation-sheet'!N61</f>
        <v>49.102236646424579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145.5809185694329</v>
      </c>
      <c r="Y74" s="2">
        <f>Y8/'Output-Calculation-sheet'!Y7*'Output-Calculation-sheet'!Y61</f>
        <v>0</v>
      </c>
      <c r="AA74" s="2">
        <f t="shared" si="6"/>
        <v>8.3865851029669951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10820.476144143069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3116.1104103897028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2115.4741377551104</v>
      </c>
      <c r="N75" s="2">
        <f>N9/'Output-Calculation-sheet'!N8*'Output-Calculation-sheet'!N62</f>
        <v>817.15159793920452</v>
      </c>
      <c r="O75" s="2">
        <f>O9/'Output-Calculation-sheet'!O8*'Output-Calculation-sheet'!O62</f>
        <v>0</v>
      </c>
      <c r="P75" s="2">
        <f>P9/'Output-Calculation-sheet'!P8*'Output-Calculation-sheet'!P62</f>
        <v>54.707011394151181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273.80780649104548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255.41259124568182</v>
      </c>
      <c r="Y75" s="2">
        <f>Y9/'Output-Calculation-sheet'!Y8*'Output-Calculation-sheet'!Y62</f>
        <v>0</v>
      </c>
      <c r="AA75" s="2">
        <f t="shared" si="6"/>
        <v>17.453139699357965</v>
      </c>
    </row>
    <row r="76" spans="1:27" x14ac:dyDescent="0.25">
      <c r="A76" s="2">
        <v>2033</v>
      </c>
      <c r="B76" s="2">
        <f>B10/'Output-Calculation-sheet'!B9*'Output-Calculation-sheet'!B63</f>
        <v>7096.8678824863891</v>
      </c>
      <c r="C76" s="2">
        <f>C10/'Output-Calculation-sheet'!C9*'Output-Calculation-sheet'!C63</f>
        <v>14495.048332025797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4621.5407217052752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121.13061749767152</v>
      </c>
      <c r="L76" s="2">
        <f>L10/'Output-Calculation-sheet'!L9*'Output-Calculation-sheet'!L63</f>
        <v>0</v>
      </c>
      <c r="M76" s="2">
        <f>M10/'Output-Calculation-sheet'!M9*'Output-Calculation-sheet'!M63</f>
        <v>3146.8004875194579</v>
      </c>
      <c r="N76" s="2">
        <f>N10/'Output-Calculation-sheet'!N9*'Output-Calculation-sheet'!N63</f>
        <v>1797.5917715309665</v>
      </c>
      <c r="O76" s="2">
        <f>O10/'Output-Calculation-sheet'!O9*'Output-Calculation-sheet'!O63</f>
        <v>0</v>
      </c>
      <c r="P76" s="2">
        <f>P10/'Output-Calculation-sheet'!P9*'Output-Calculation-sheet'!P63</f>
        <v>624.21558185958054</v>
      </c>
      <c r="Q76" s="2">
        <f>Q10/'Output-Calculation-sheet'!Q9*'Output-Calculation-sheet'!Q63</f>
        <v>281.54631282962839</v>
      </c>
      <c r="R76" s="2">
        <f>R10/'Output-Calculation-sheet'!R9*'Output-Calculation-sheet'!R63</f>
        <v>475.75207255288922</v>
      </c>
      <c r="S76" s="2">
        <f>S10/'Output-Calculation-sheet'!S9*'Output-Calculation-sheet'!S63</f>
        <v>799.34710517930273</v>
      </c>
      <c r="T76" s="2">
        <f>T10/'Output-Calculation-sheet'!T9*'Output-Calculation-sheet'!T63</f>
        <v>32.357767508503635</v>
      </c>
      <c r="U76" s="2">
        <f>U10/'Output-Calculation-sheet'!U9*'Output-Calculation-sheet'!U63</f>
        <v>168.11436512296703</v>
      </c>
      <c r="V76" s="2">
        <f>V10/'Output-Calculation-sheet'!V9*'Output-Calculation-sheet'!V63</f>
        <v>12.900342597925322</v>
      </c>
      <c r="W76" s="2">
        <f>W10/'Output-Calculation-sheet'!W9*'Output-Calculation-sheet'!W63</f>
        <v>0</v>
      </c>
      <c r="X76" s="2">
        <f>X10/'Output-Calculation-sheet'!X9*'Output-Calculation-sheet'!X63</f>
        <v>370.55811762964316</v>
      </c>
      <c r="Y76" s="2">
        <f>Y10/'Output-Calculation-sheet'!Y9*'Output-Calculation-sheet'!Y63</f>
        <v>7.0299625953515461</v>
      </c>
      <c r="AA76" s="2">
        <f t="shared" si="6"/>
        <v>34.050801440641344</v>
      </c>
    </row>
    <row r="77" spans="1:27" x14ac:dyDescent="0.25">
      <c r="A77" s="2">
        <v>2034</v>
      </c>
      <c r="B77" s="2">
        <f>B11/'Output-Calculation-sheet'!B10*'Output-Calculation-sheet'!B64</f>
        <v>17968.184550038015</v>
      </c>
      <c r="C77" s="2">
        <f>C11/'Output-Calculation-sheet'!C10*'Output-Calculation-sheet'!C64</f>
        <v>15784.33349712931</v>
      </c>
      <c r="D77" s="2">
        <f>D11/'Output-Calculation-sheet'!D10*'Output-Calculation-sheet'!D64</f>
        <v>2214.6646685460337</v>
      </c>
      <c r="E77" s="2">
        <f>E11/'Output-Calculation-sheet'!E10*'Output-Calculation-sheet'!E64</f>
        <v>2736.5561315799064</v>
      </c>
      <c r="F77" s="2">
        <f>F11/'Output-Calculation-sheet'!F10*'Output-Calculation-sheet'!F64</f>
        <v>170.39035697732729</v>
      </c>
      <c r="G77" s="2">
        <f>G11/'Output-Calculation-sheet'!G10*'Output-Calculation-sheet'!G64</f>
        <v>1169.3489119441688</v>
      </c>
      <c r="H77" s="2">
        <f>H11/'Output-Calculation-sheet'!H10*'Output-Calculation-sheet'!H64</f>
        <v>5793.5143254322757</v>
      </c>
      <c r="I77" s="2">
        <f>I11/'Output-Calculation-sheet'!I10*'Output-Calculation-sheet'!I64</f>
        <v>689.84696113135874</v>
      </c>
      <c r="J77" s="2">
        <f>J11/'Output-Calculation-sheet'!J10*'Output-Calculation-sheet'!J64</f>
        <v>491.75487241302426</v>
      </c>
      <c r="K77" s="2">
        <f>K11/'Output-Calculation-sheet'!K10*'Output-Calculation-sheet'!K64</f>
        <v>1042.6296985662646</v>
      </c>
      <c r="L77" s="2">
        <f>L11/'Output-Calculation-sheet'!L10*'Output-Calculation-sheet'!L64</f>
        <v>452.70589110238967</v>
      </c>
      <c r="M77" s="2">
        <f>M11/'Output-Calculation-sheet'!M10*'Output-Calculation-sheet'!M64</f>
        <v>4120.6420401813912</v>
      </c>
      <c r="N77" s="2">
        <f>N11/'Output-Calculation-sheet'!N10*'Output-Calculation-sheet'!N64</f>
        <v>2931.7356114083132</v>
      </c>
      <c r="O77" s="2">
        <f>O11/'Output-Calculation-sheet'!O10*'Output-Calculation-sheet'!O64</f>
        <v>102.21659804480339</v>
      </c>
      <c r="P77" s="2">
        <f>P11/'Output-Calculation-sheet'!P10*'Output-Calculation-sheet'!P64</f>
        <v>1293.9594162454316</v>
      </c>
      <c r="Q77" s="2">
        <f>Q11/'Output-Calculation-sheet'!Q10*'Output-Calculation-sheet'!Q64</f>
        <v>738.36058449970324</v>
      </c>
      <c r="R77" s="2">
        <f>R11/'Output-Calculation-sheet'!R10*'Output-Calculation-sheet'!R64</f>
        <v>1107.2911994065453</v>
      </c>
      <c r="S77" s="2">
        <f>S11/'Output-Calculation-sheet'!S10*'Output-Calculation-sheet'!S64</f>
        <v>1480.5104346489236</v>
      </c>
      <c r="T77" s="2">
        <f>T11/'Output-Calculation-sheet'!T10*'Output-Calculation-sheet'!T64</f>
        <v>304.63266497877993</v>
      </c>
      <c r="U77" s="2">
        <f>U11/'Output-Calculation-sheet'!U10*'Output-Calculation-sheet'!U64</f>
        <v>404.8923748989796</v>
      </c>
      <c r="V77" s="2">
        <f>V11/'Output-Calculation-sheet'!V10*'Output-Calculation-sheet'!V64</f>
        <v>161.40239216074977</v>
      </c>
      <c r="W77" s="2">
        <f>W11/'Output-Calculation-sheet'!W10*'Output-Calculation-sheet'!W64</f>
        <v>34.101988188734737</v>
      </c>
      <c r="X77" s="2">
        <f>X11/'Output-Calculation-sheet'!X10*'Output-Calculation-sheet'!X64</f>
        <v>418.70097285246544</v>
      </c>
      <c r="Y77" s="2">
        <f>Y11/'Output-Calculation-sheet'!Y10*'Output-Calculation-sheet'!Y64</f>
        <v>101.37860866538855</v>
      </c>
      <c r="AA77" s="2">
        <f t="shared" si="6"/>
        <v>61.713754751040263</v>
      </c>
    </row>
    <row r="78" spans="1:27" x14ac:dyDescent="0.25">
      <c r="A78" s="2">
        <v>2035</v>
      </c>
      <c r="B78" s="2">
        <f>B12/'Output-Calculation-sheet'!B11*'Output-Calculation-sheet'!B65</f>
        <v>23377.48241195214</v>
      </c>
      <c r="C78" s="2">
        <f>C12/'Output-Calculation-sheet'!C11*'Output-Calculation-sheet'!C65</f>
        <v>16508.682241468032</v>
      </c>
      <c r="D78" s="2">
        <f>D12/'Output-Calculation-sheet'!D11*'Output-Calculation-sheet'!D65</f>
        <v>2481.8938259982287</v>
      </c>
      <c r="E78" s="2">
        <f>E12/'Output-Calculation-sheet'!E11*'Output-Calculation-sheet'!E65</f>
        <v>4718.0141836460634</v>
      </c>
      <c r="F78" s="2">
        <f>F12/'Output-Calculation-sheet'!F11*'Output-Calculation-sheet'!F65</f>
        <v>999.3602503194079</v>
      </c>
      <c r="G78" s="2">
        <f>G12/'Output-Calculation-sheet'!G11*'Output-Calculation-sheet'!G65</f>
        <v>1875.1806336141135</v>
      </c>
      <c r="H78" s="2">
        <f>H12/'Output-Calculation-sheet'!H11*'Output-Calculation-sheet'!H65</f>
        <v>6037.3419957290707</v>
      </c>
      <c r="I78" s="2">
        <f>I12/'Output-Calculation-sheet'!I11*'Output-Calculation-sheet'!I65</f>
        <v>1102.6655313968747</v>
      </c>
      <c r="J78" s="2">
        <f>J12/'Output-Calculation-sheet'!J11*'Output-Calculation-sheet'!J65</f>
        <v>988.90536842962661</v>
      </c>
      <c r="K78" s="2">
        <f>K12/'Output-Calculation-sheet'!K11*'Output-Calculation-sheet'!K65</f>
        <v>1247.9506866627748</v>
      </c>
      <c r="L78" s="2">
        <f>L12/'Output-Calculation-sheet'!L11*'Output-Calculation-sheet'!L65</f>
        <v>742.01517184198337</v>
      </c>
      <c r="M78" s="2">
        <f>M12/'Output-Calculation-sheet'!M11*'Output-Calculation-sheet'!M65</f>
        <v>4297.5607655765962</v>
      </c>
      <c r="N78" s="2">
        <f>N12/'Output-Calculation-sheet'!N11*'Output-Calculation-sheet'!N65</f>
        <v>3021.8792268035277</v>
      </c>
      <c r="O78" s="2">
        <f>O12/'Output-Calculation-sheet'!O11*'Output-Calculation-sheet'!O65</f>
        <v>423.6284142322927</v>
      </c>
      <c r="P78" s="2">
        <f>P12/'Output-Calculation-sheet'!P11*'Output-Calculation-sheet'!P65</f>
        <v>1717.9064299441779</v>
      </c>
      <c r="Q78" s="2">
        <f>Q12/'Output-Calculation-sheet'!Q11*'Output-Calculation-sheet'!Q65</f>
        <v>864.08989087881253</v>
      </c>
      <c r="R78" s="2">
        <f>R12/'Output-Calculation-sheet'!R11*'Output-Calculation-sheet'!R65</f>
        <v>1424.2815895142894</v>
      </c>
      <c r="S78" s="2">
        <f>S12/'Output-Calculation-sheet'!S11*'Output-Calculation-sheet'!S65</f>
        <v>1606.8094551138408</v>
      </c>
      <c r="T78" s="2">
        <f>T12/'Output-Calculation-sheet'!T11*'Output-Calculation-sheet'!T65</f>
        <v>512.13851303654337</v>
      </c>
      <c r="U78" s="2">
        <f>U12/'Output-Calculation-sheet'!U11*'Output-Calculation-sheet'!U65</f>
        <v>438.8078965617583</v>
      </c>
      <c r="V78" s="2">
        <f>V12/'Output-Calculation-sheet'!V11*'Output-Calculation-sheet'!V65</f>
        <v>276.39043900185447</v>
      </c>
      <c r="W78" s="2">
        <f>W12/'Output-Calculation-sheet'!W11*'Output-Calculation-sheet'!W65</f>
        <v>194.67060361176283</v>
      </c>
      <c r="X78" s="2">
        <f>X12/'Output-Calculation-sheet'!X11*'Output-Calculation-sheet'!X65</f>
        <v>442.93829692497519</v>
      </c>
      <c r="Y78" s="2">
        <f>Y12/'Output-Calculation-sheet'!Y11*'Output-Calculation-sheet'!Y65</f>
        <v>190.01782218792619</v>
      </c>
      <c r="AA78" s="2">
        <f t="shared" si="6"/>
        <v>75.490611644446673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89.761128472365613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104.62903490012997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0.19439016337249557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321.7747197394587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229.21129576559474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0.55098601550505355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242.29376589323579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376.56928367059584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0.61886304956383165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523.15473822592833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508.17445791564359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1.0313291961415718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1094.4337182419199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42.112597951852671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28.977588344536194</v>
      </c>
      <c r="N88" s="2">
        <f>N11/'Output-Calculation-sheet'!N10*'Output-Calculation-sheet'!N73</f>
        <v>0</v>
      </c>
      <c r="O88" s="2">
        <f>O11/'Output-Calculation-sheet'!O10*'Output-Calculation-sheet'!O73</f>
        <v>611.27970749622409</v>
      </c>
      <c r="P88" s="2">
        <f>P11/'Output-Calculation-sheet'!P10*'Output-Calculation-sheet'!P73</f>
        <v>0</v>
      </c>
      <c r="Q88" s="2">
        <f>Q11/'Output-Calculation-sheet'!Q10*'Output-Calculation-sheet'!Q73</f>
        <v>24.953044423781794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3.1789128769775381</v>
      </c>
      <c r="Y88" s="2">
        <f>Y11/'Output-Calculation-sheet'!Y10*'Output-Calculation-sheet'!Y73</f>
        <v>0</v>
      </c>
      <c r="AA88" s="2">
        <f t="shared" si="7"/>
        <v>1.8049355693352922</v>
      </c>
    </row>
    <row r="89" spans="1:27" x14ac:dyDescent="0.25">
      <c r="A89" s="2">
        <v>2035</v>
      </c>
      <c r="B89" s="2">
        <f>B12/'Output-Calculation-sheet'!B11*'Output-Calculation-sheet'!B74</f>
        <v>589.28392054528854</v>
      </c>
      <c r="C89" s="2">
        <f>C12/'Output-Calculation-sheet'!C11*'Output-Calculation-sheet'!C74</f>
        <v>1817.9673966259024</v>
      </c>
      <c r="D89" s="2">
        <f>D12/'Output-Calculation-sheet'!D11*'Output-Calculation-sheet'!D74</f>
        <v>247.75580993244111</v>
      </c>
      <c r="E89" s="2">
        <f>E12/'Output-Calculation-sheet'!E11*'Output-Calculation-sheet'!E74</f>
        <v>196.89978438937726</v>
      </c>
      <c r="F89" s="2">
        <f>F12/'Output-Calculation-sheet'!F11*'Output-Calculation-sheet'!F74</f>
        <v>61.918231122639895</v>
      </c>
      <c r="G89" s="2">
        <f>G12/'Output-Calculation-sheet'!G11*'Output-Calculation-sheet'!G74</f>
        <v>88.875332177549339</v>
      </c>
      <c r="H89" s="2">
        <f>H12/'Output-Calculation-sheet'!H11*'Output-Calculation-sheet'!H74</f>
        <v>215.2411475453514</v>
      </c>
      <c r="I89" s="2">
        <f>I12/'Output-Calculation-sheet'!I11*'Output-Calculation-sheet'!I74</f>
        <v>79.938055052694992</v>
      </c>
      <c r="J89" s="2">
        <f>J12/'Output-Calculation-sheet'!J11*'Output-Calculation-sheet'!J74</f>
        <v>39.556214737185066</v>
      </c>
      <c r="K89" s="2">
        <f>K12/'Output-Calculation-sheet'!K11*'Output-Calculation-sheet'!K74</f>
        <v>78.566525224299596</v>
      </c>
      <c r="L89" s="2">
        <f>L12/'Output-Calculation-sheet'!L11*'Output-Calculation-sheet'!L74</f>
        <v>62.472336084359789</v>
      </c>
      <c r="M89" s="2">
        <f>M12/'Output-Calculation-sheet'!M11*'Output-Calculation-sheet'!M74</f>
        <v>118.48557765076806</v>
      </c>
      <c r="N89" s="2">
        <f>N12/'Output-Calculation-sheet'!N11*'Output-Calculation-sheet'!N74</f>
        <v>87.33923274447082</v>
      </c>
      <c r="O89" s="2">
        <f>O12/'Output-Calculation-sheet'!O11*'Output-Calculation-sheet'!O74</f>
        <v>706.36431540047522</v>
      </c>
      <c r="P89" s="2">
        <f>P12/'Output-Calculation-sheet'!P11*'Output-Calculation-sheet'!P74</f>
        <v>53.790475935253092</v>
      </c>
      <c r="Q89" s="2">
        <f>Q12/'Output-Calculation-sheet'!Q11*'Output-Calculation-sheet'!Q74</f>
        <v>76.522307020794599</v>
      </c>
      <c r="R89" s="2">
        <f>R12/'Output-Calculation-sheet'!R11*'Output-Calculation-sheet'!R74</f>
        <v>50.59075727326713</v>
      </c>
      <c r="S89" s="2">
        <f>S12/'Output-Calculation-sheet'!S11*'Output-Calculation-sheet'!S74</f>
        <v>50.06572739807568</v>
      </c>
      <c r="T89" s="2">
        <f>T12/'Output-Calculation-sheet'!T11*'Output-Calculation-sheet'!T74</f>
        <v>9.3584013346102033</v>
      </c>
      <c r="U89" s="2">
        <f>U12/'Output-Calculation-sheet'!U11*'Output-Calculation-sheet'!U74</f>
        <v>16.276861032002607</v>
      </c>
      <c r="V89" s="2">
        <f>V12/'Output-Calculation-sheet'!V11*'Output-Calculation-sheet'!V74</f>
        <v>6.2754680426368425</v>
      </c>
      <c r="W89" s="2">
        <f>W12/'Output-Calculation-sheet'!W11*'Output-Calculation-sheet'!W74</f>
        <v>5.4340833969339783</v>
      </c>
      <c r="X89" s="2">
        <f>X12/'Output-Calculation-sheet'!X11*'Output-Calculation-sheet'!X74</f>
        <v>19.497239938593857</v>
      </c>
      <c r="Y89" s="2">
        <f>Y12/'Output-Calculation-sheet'!Y11*'Output-Calculation-sheet'!Y74</f>
        <v>6.2717327234235887</v>
      </c>
      <c r="AA89" s="2">
        <f t="shared" si="7"/>
        <v>4.6847469333283946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1746307870.1857948</v>
      </c>
      <c r="C93" s="2">
        <f>C5/'Output-Calculation-sheet'!C4*'Output-Calculation-sheet'!C76</f>
        <v>578541946.62522089</v>
      </c>
      <c r="D93" s="2">
        <f>D5/'Output-Calculation-sheet'!D4*'Output-Calculation-sheet'!D76</f>
        <v>640394265.03362298</v>
      </c>
      <c r="E93" s="2">
        <f>E5/'Output-Calculation-sheet'!E4*'Output-Calculation-sheet'!E76</f>
        <v>1071576614.988668</v>
      </c>
      <c r="F93" s="2">
        <f>F5/'Output-Calculation-sheet'!F4*'Output-Calculation-sheet'!F76</f>
        <v>460433011.2688815</v>
      </c>
      <c r="G93" s="2">
        <f>G5/'Output-Calculation-sheet'!G4*'Output-Calculation-sheet'!G76</f>
        <v>358103295.88826829</v>
      </c>
      <c r="H93" s="2">
        <f>H5/'Output-Calculation-sheet'!H4*'Output-Calculation-sheet'!H76</f>
        <v>302914723.3836695</v>
      </c>
      <c r="I93" s="2">
        <f>I5/'Output-Calculation-sheet'!I4*'Output-Calculation-sheet'!I76</f>
        <v>248563717.39396125</v>
      </c>
      <c r="J93" s="2">
        <f>J5/'Output-Calculation-sheet'!J4*'Output-Calculation-sheet'!J76</f>
        <v>168672512.46713123</v>
      </c>
      <c r="K93" s="2">
        <f>K5/'Output-Calculation-sheet'!K4*'Output-Calculation-sheet'!K76</f>
        <v>246524827.21847776</v>
      </c>
      <c r="L93" s="2">
        <f>L5/'Output-Calculation-sheet'!L4*'Output-Calculation-sheet'!L76</f>
        <v>164557116.30105281</v>
      </c>
      <c r="M93" s="2">
        <f>M5/'Output-Calculation-sheet'!M4*'Output-Calculation-sheet'!M76</f>
        <v>221299499.61088344</v>
      </c>
      <c r="N93" s="2">
        <f>N5/'Output-Calculation-sheet'!N4*'Output-Calculation-sheet'!N76</f>
        <v>167107072.17643422</v>
      </c>
      <c r="O93" s="2">
        <f>O5/'Output-Calculation-sheet'!O4*'Output-Calculation-sheet'!O76</f>
        <v>81562910.696286768</v>
      </c>
      <c r="P93" s="2">
        <f>P5/'Output-Calculation-sheet'!P4*'Output-Calculation-sheet'!P76</f>
        <v>289538873.16679019</v>
      </c>
      <c r="Q93" s="2">
        <f>Q5/'Output-Calculation-sheet'!Q4*'Output-Calculation-sheet'!Q76</f>
        <v>132926224.10079931</v>
      </c>
      <c r="R93" s="2">
        <f>R5/'Output-Calculation-sheet'!R4*'Output-Calculation-sheet'!R76</f>
        <v>166327153.39424601</v>
      </c>
      <c r="S93" s="2">
        <f>S5/'Output-Calculation-sheet'!S4*'Output-Calculation-sheet'!S76</f>
        <v>97989264.861312062</v>
      </c>
      <c r="T93" s="2">
        <f>T5/'Output-Calculation-sheet'!T4*'Output-Calculation-sheet'!T76</f>
        <v>75350538.018404737</v>
      </c>
      <c r="U93" s="2">
        <f>U5/'Output-Calculation-sheet'!U4*'Output-Calculation-sheet'!U76</f>
        <v>48849334.318540476</v>
      </c>
      <c r="V93" s="2">
        <f>V5/'Output-Calculation-sheet'!V4*'Output-Calculation-sheet'!V76</f>
        <v>25038656.460300475</v>
      </c>
      <c r="W93" s="2">
        <f>W5/'Output-Calculation-sheet'!W4*'Output-Calculation-sheet'!W76</f>
        <v>70136618.249221653</v>
      </c>
      <c r="X93" s="2">
        <f>X5/'Output-Calculation-sheet'!X4*'Output-Calculation-sheet'!X76</f>
        <v>24342626.371006861</v>
      </c>
      <c r="Y93" s="2">
        <f>Y5/'Output-Calculation-sheet'!Y4*'Output-Calculation-sheet'!Y76</f>
        <v>38342432.107863858</v>
      </c>
      <c r="AA93" s="2">
        <f t="shared" ref="AA93:AA100" si="8">SUM(B93:Y93)/10^9</f>
        <v>7.4254011042868413</v>
      </c>
    </row>
    <row r="94" spans="1:27" x14ac:dyDescent="0.25">
      <c r="A94" s="2">
        <v>2029</v>
      </c>
      <c r="B94" s="2">
        <f>B6/'Output-Calculation-sheet'!B5*'Output-Calculation-sheet'!B77</f>
        <v>4770275577.2046194</v>
      </c>
      <c r="C94" s="2">
        <f>C6/'Output-Calculation-sheet'!C5*'Output-Calculation-sheet'!C77</f>
        <v>1591100093.4583569</v>
      </c>
      <c r="D94" s="2">
        <f>D6/'Output-Calculation-sheet'!D5*'Output-Calculation-sheet'!D77</f>
        <v>1750628612.8903368</v>
      </c>
      <c r="E94" s="2">
        <f>E6/'Output-Calculation-sheet'!E5*'Output-Calculation-sheet'!E77</f>
        <v>2977423307.6058097</v>
      </c>
      <c r="F94" s="2">
        <f>F6/'Output-Calculation-sheet'!F5*'Output-Calculation-sheet'!F77</f>
        <v>1257121185.293328</v>
      </c>
      <c r="G94" s="2">
        <f>G6/'Output-Calculation-sheet'!G5*'Output-Calculation-sheet'!G77</f>
        <v>991348660.76990867</v>
      </c>
      <c r="H94" s="2">
        <f>H6/'Output-Calculation-sheet'!H5*'Output-Calculation-sheet'!H77</f>
        <v>833219066.76802337</v>
      </c>
      <c r="I94" s="2">
        <f>I6/'Output-Calculation-sheet'!I5*'Output-Calculation-sheet'!I77</f>
        <v>677018760.81268287</v>
      </c>
      <c r="J94" s="2">
        <f>J6/'Output-Calculation-sheet'!J5*'Output-Calculation-sheet'!J77</f>
        <v>465106722.47048736</v>
      </c>
      <c r="K94" s="2">
        <f>K6/'Output-Calculation-sheet'!K5*'Output-Calculation-sheet'!K77</f>
        <v>670122308.02897418</v>
      </c>
      <c r="L94" s="2">
        <f>L6/'Output-Calculation-sheet'!L5*'Output-Calculation-sheet'!L77</f>
        <v>452892172.54127854</v>
      </c>
      <c r="M94" s="2">
        <f>M6/'Output-Calculation-sheet'!M5*'Output-Calculation-sheet'!M77</f>
        <v>614123907.08887005</v>
      </c>
      <c r="N94" s="2">
        <f>N6/'Output-Calculation-sheet'!N5*'Output-Calculation-sheet'!N77</f>
        <v>464588570.8688699</v>
      </c>
      <c r="O94" s="2">
        <f>O6/'Output-Calculation-sheet'!O5*'Output-Calculation-sheet'!O77</f>
        <v>228179734.14081442</v>
      </c>
      <c r="P94" s="2">
        <f>P6/'Output-Calculation-sheet'!P5*'Output-Calculation-sheet'!P77</f>
        <v>794528531.37577534</v>
      </c>
      <c r="Q94" s="2">
        <f>Q6/'Output-Calculation-sheet'!Q5*'Output-Calculation-sheet'!Q77</f>
        <v>367041568.51426083</v>
      </c>
      <c r="R94" s="2">
        <f>R6/'Output-Calculation-sheet'!R5*'Output-Calculation-sheet'!R77</f>
        <v>455701352.96848524</v>
      </c>
      <c r="S94" s="2">
        <f>S6/'Output-Calculation-sheet'!S5*'Output-Calculation-sheet'!S77</f>
        <v>267570625.38094619</v>
      </c>
      <c r="T94" s="2">
        <f>T6/'Output-Calculation-sheet'!T5*'Output-Calculation-sheet'!T77</f>
        <v>206404423.76007929</v>
      </c>
      <c r="U94" s="2">
        <f>U6/'Output-Calculation-sheet'!U5*'Output-Calculation-sheet'!U77</f>
        <v>130657353.90778957</v>
      </c>
      <c r="V94" s="2">
        <f>V6/'Output-Calculation-sheet'!V5*'Output-Calculation-sheet'!V77</f>
        <v>67017490.588205159</v>
      </c>
      <c r="W94" s="2">
        <f>W6/'Output-Calculation-sheet'!W5*'Output-Calculation-sheet'!W77</f>
        <v>194465251.02513176</v>
      </c>
      <c r="X94" s="2">
        <f>X6/'Output-Calculation-sheet'!X5*'Output-Calculation-sheet'!X77</f>
        <v>67250053.937438741</v>
      </c>
      <c r="Y94" s="2">
        <f>Y6/'Output-Calculation-sheet'!Y5*'Output-Calculation-sheet'!Y77</f>
        <v>106626120.53622364</v>
      </c>
      <c r="AA94" s="2">
        <f t="shared" si="8"/>
        <v>20.400411451936694</v>
      </c>
    </row>
    <row r="95" spans="1:27" x14ac:dyDescent="0.25">
      <c r="A95" s="2">
        <v>2030</v>
      </c>
      <c r="B95" s="2">
        <f>B7/'Output-Calculation-sheet'!B6*'Output-Calculation-sheet'!B78</f>
        <v>8892559045.1044922</v>
      </c>
      <c r="C95" s="2">
        <f>C7/'Output-Calculation-sheet'!C6*'Output-Calculation-sheet'!C78</f>
        <v>2985933559.8056378</v>
      </c>
      <c r="D95" s="2">
        <f>D7/'Output-Calculation-sheet'!D6*'Output-Calculation-sheet'!D78</f>
        <v>3268827217.0194545</v>
      </c>
      <c r="E95" s="2">
        <f>E7/'Output-Calculation-sheet'!E6*'Output-Calculation-sheet'!E78</f>
        <v>5650981527.1223888</v>
      </c>
      <c r="F95" s="2">
        <f>F7/'Output-Calculation-sheet'!F6*'Output-Calculation-sheet'!F78</f>
        <v>2343002848.2167053</v>
      </c>
      <c r="G95" s="2">
        <f>G7/'Output-Calculation-sheet'!G6*'Output-Calculation-sheet'!G78</f>
        <v>1874489713.9958615</v>
      </c>
      <c r="H95" s="2">
        <f>H7/'Output-Calculation-sheet'!H6*'Output-Calculation-sheet'!H78</f>
        <v>1564419833.8031774</v>
      </c>
      <c r="I95" s="2">
        <f>I7/'Output-Calculation-sheet'!I6*'Output-Calculation-sheet'!I78</f>
        <v>1259019779.9378614</v>
      </c>
      <c r="J95" s="2">
        <f>J7/'Output-Calculation-sheet'!J6*'Output-Calculation-sheet'!J78</f>
        <v>876095116.92525661</v>
      </c>
      <c r="K95" s="2">
        <f>K7/'Output-Calculation-sheet'!K6*'Output-Calculation-sheet'!K78</f>
        <v>1243590812.6081772</v>
      </c>
      <c r="L95" s="2">
        <f>L7/'Output-Calculation-sheet'!L6*'Output-Calculation-sheet'!L78</f>
        <v>851079571.54020834</v>
      </c>
      <c r="M95" s="2">
        <f>M7/'Output-Calculation-sheet'!M6*'Output-Calculation-sheet'!M78</f>
        <v>1163971082.2983732</v>
      </c>
      <c r="N95" s="2">
        <f>N7/'Output-Calculation-sheet'!N6*'Output-Calculation-sheet'!N78</f>
        <v>882305926.62456155</v>
      </c>
      <c r="O95" s="2">
        <f>O7/'Output-Calculation-sheet'!O6*'Output-Calculation-sheet'!O78</f>
        <v>435937745.82001567</v>
      </c>
      <c r="P95" s="2">
        <f>P7/'Output-Calculation-sheet'!P6*'Output-Calculation-sheet'!P78</f>
        <v>1487991365.3855639</v>
      </c>
      <c r="Q95" s="2">
        <f>Q7/'Output-Calculation-sheet'!Q6*'Output-Calculation-sheet'!Q78</f>
        <v>692201199.27202606</v>
      </c>
      <c r="R95" s="2">
        <f>R7/'Output-Calculation-sheet'!R6*'Output-Calculation-sheet'!R78</f>
        <v>852244551.31309211</v>
      </c>
      <c r="S95" s="2">
        <f>S7/'Output-Calculation-sheet'!S6*'Output-Calculation-sheet'!S78</f>
        <v>498661559.7766993</v>
      </c>
      <c r="T95" s="2">
        <f>T7/'Output-Calculation-sheet'!T6*'Output-Calculation-sheet'!T78</f>
        <v>386005742.14735484</v>
      </c>
      <c r="U95" s="2">
        <f>U7/'Output-Calculation-sheet'!U6*'Output-Calculation-sheet'!U78</f>
        <v>238292344.47321224</v>
      </c>
      <c r="V95" s="2">
        <f>V7/'Output-Calculation-sheet'!V6*'Output-Calculation-sheet'!V78</f>
        <v>122295661.34855743</v>
      </c>
      <c r="W95" s="2">
        <f>W7/'Output-Calculation-sheet'!W6*'Output-Calculation-sheet'!W78</f>
        <v>368281452.9223249</v>
      </c>
      <c r="X95" s="2">
        <f>X7/'Output-Calculation-sheet'!X6*'Output-Calculation-sheet'!X78</f>
        <v>126898945.5492972</v>
      </c>
      <c r="Y95" s="2">
        <f>Y7/'Output-Calculation-sheet'!Y6*'Output-Calculation-sheet'!Y78</f>
        <v>202539160.57501948</v>
      </c>
      <c r="AA95" s="2">
        <f t="shared" si="8"/>
        <v>38.267625763585322</v>
      </c>
    </row>
    <row r="96" spans="1:27" x14ac:dyDescent="0.25">
      <c r="A96" s="2">
        <v>2031</v>
      </c>
      <c r="B96" s="2">
        <f>B8/'Output-Calculation-sheet'!B7*'Output-Calculation-sheet'!B79</f>
        <v>14151176082.779236</v>
      </c>
      <c r="C96" s="2">
        <f>C8/'Output-Calculation-sheet'!C7*'Output-Calculation-sheet'!C79</f>
        <v>4787407183.5796318</v>
      </c>
      <c r="D96" s="2">
        <f>D8/'Output-Calculation-sheet'!D7*'Output-Calculation-sheet'!D79</f>
        <v>4997737812.0375462</v>
      </c>
      <c r="E96" s="2">
        <f>E8/'Output-Calculation-sheet'!E7*'Output-Calculation-sheet'!E79</f>
        <v>8885552297.8053856</v>
      </c>
      <c r="F96" s="2">
        <f>F8/'Output-Calculation-sheet'!F7*'Output-Calculation-sheet'!F79</f>
        <v>3677642536.0715933</v>
      </c>
      <c r="G96" s="2">
        <f>G8/'Output-Calculation-sheet'!G7*'Output-Calculation-sheet'!G79</f>
        <v>2864581132.3241625</v>
      </c>
      <c r="H96" s="2">
        <f>H8/'Output-Calculation-sheet'!H7*'Output-Calculation-sheet'!H79</f>
        <v>2451919671.1862078</v>
      </c>
      <c r="I96" s="2">
        <f>I8/'Output-Calculation-sheet'!I7*'Output-Calculation-sheet'!I79</f>
        <v>1995485300.1624954</v>
      </c>
      <c r="J96" s="2">
        <f>J8/'Output-Calculation-sheet'!J7*'Output-Calculation-sheet'!J79</f>
        <v>1349398702.2757676</v>
      </c>
      <c r="K96" s="2">
        <f>K8/'Output-Calculation-sheet'!K7*'Output-Calculation-sheet'!K79</f>
        <v>1930587010.6614261</v>
      </c>
      <c r="L96" s="2">
        <f>L8/'Output-Calculation-sheet'!L7*'Output-Calculation-sheet'!L79</f>
        <v>1362220514.8628054</v>
      </c>
      <c r="M96" s="2">
        <f>M8/'Output-Calculation-sheet'!M7*'Output-Calculation-sheet'!M79</f>
        <v>1830310614.0415723</v>
      </c>
      <c r="N96" s="2">
        <f>N8/'Output-Calculation-sheet'!N7*'Output-Calculation-sheet'!N79</f>
        <v>1361896866.7860579</v>
      </c>
      <c r="O96" s="2">
        <f>O8/'Output-Calculation-sheet'!O7*'Output-Calculation-sheet'!O79</f>
        <v>688485511.44750595</v>
      </c>
      <c r="P96" s="2">
        <f>P8/'Output-Calculation-sheet'!P7*'Output-Calculation-sheet'!P79</f>
        <v>2302839636.5437536</v>
      </c>
      <c r="Q96" s="2">
        <f>Q8/'Output-Calculation-sheet'!Q7*'Output-Calculation-sheet'!Q79</f>
        <v>1073221768.8425845</v>
      </c>
      <c r="R96" s="2">
        <f>R8/'Output-Calculation-sheet'!R7*'Output-Calculation-sheet'!R79</f>
        <v>1338971734.5960093</v>
      </c>
      <c r="S96" s="2">
        <f>S8/'Output-Calculation-sheet'!S7*'Output-Calculation-sheet'!S79</f>
        <v>780197142.87135124</v>
      </c>
      <c r="T96" s="2">
        <f>T8/'Output-Calculation-sheet'!T7*'Output-Calculation-sheet'!T79</f>
        <v>595891005.53704929</v>
      </c>
      <c r="U96" s="2">
        <f>U8/'Output-Calculation-sheet'!U7*'Output-Calculation-sheet'!U79</f>
        <v>374323414.75154728</v>
      </c>
      <c r="V96" s="2">
        <f>V8/'Output-Calculation-sheet'!V7*'Output-Calculation-sheet'!V79</f>
        <v>194218507.58640769</v>
      </c>
      <c r="W96" s="2">
        <f>W8/'Output-Calculation-sheet'!W7*'Output-Calculation-sheet'!W79</f>
        <v>573899944.08269536</v>
      </c>
      <c r="X96" s="2">
        <f>X8/'Output-Calculation-sheet'!X7*'Output-Calculation-sheet'!X79</f>
        <v>201709589.25981554</v>
      </c>
      <c r="Y96" s="2">
        <f>Y8/'Output-Calculation-sheet'!Y7*'Output-Calculation-sheet'!Y79</f>
        <v>315471016.21112537</v>
      </c>
      <c r="AA96" s="2">
        <f t="shared" si="8"/>
        <v>60.08514499630374</v>
      </c>
    </row>
    <row r="97" spans="1:27" x14ac:dyDescent="0.25">
      <c r="A97" s="2">
        <v>2032</v>
      </c>
      <c r="B97" s="2">
        <f>B9/'Output-Calculation-sheet'!B8*'Output-Calculation-sheet'!B80</f>
        <v>19968272063.236294</v>
      </c>
      <c r="C97" s="2">
        <f>C9/'Output-Calculation-sheet'!C8*'Output-Calculation-sheet'!C80</f>
        <v>6801301098.1619282</v>
      </c>
      <c r="D97" s="2">
        <f>D9/'Output-Calculation-sheet'!D8*'Output-Calculation-sheet'!D80</f>
        <v>6776834485.0320244</v>
      </c>
      <c r="E97" s="2">
        <f>E9/'Output-Calculation-sheet'!E8*'Output-Calculation-sheet'!E80</f>
        <v>12393816447.325052</v>
      </c>
      <c r="F97" s="2">
        <f>F9/'Output-Calculation-sheet'!F8*'Output-Calculation-sheet'!F80</f>
        <v>5119886578.2716742</v>
      </c>
      <c r="G97" s="2">
        <f>G9/'Output-Calculation-sheet'!G8*'Output-Calculation-sheet'!G80</f>
        <v>3875472851.4741054</v>
      </c>
      <c r="H97" s="2">
        <f>H9/'Output-Calculation-sheet'!H8*'Output-Calculation-sheet'!H80</f>
        <v>3409633332.6087952</v>
      </c>
      <c r="I97" s="2">
        <f>I9/'Output-Calculation-sheet'!I8*'Output-Calculation-sheet'!I80</f>
        <v>2804739838.2763739</v>
      </c>
      <c r="J97" s="2">
        <f>J9/'Output-Calculation-sheet'!J8*'Output-Calculation-sheet'!J80</f>
        <v>1843857564.9843912</v>
      </c>
      <c r="K97" s="2">
        <f>K9/'Output-Calculation-sheet'!K8*'Output-Calculation-sheet'!K80</f>
        <v>2658309169.2742572</v>
      </c>
      <c r="L97" s="2">
        <f>L9/'Output-Calculation-sheet'!L8*'Output-Calculation-sheet'!L80</f>
        <v>1934808721.9384711</v>
      </c>
      <c r="M97" s="2">
        <f>M9/'Output-Calculation-sheet'!M8*'Output-Calculation-sheet'!M80</f>
        <v>2552763650.7588992</v>
      </c>
      <c r="N97" s="2">
        <f>N9/'Output-Calculation-sheet'!N8*'Output-Calculation-sheet'!N80</f>
        <v>1865135155.3102188</v>
      </c>
      <c r="O97" s="2">
        <f>O9/'Output-Calculation-sheet'!O8*'Output-Calculation-sheet'!O80</f>
        <v>964898773.67631686</v>
      </c>
      <c r="P97" s="2">
        <f>P9/'Output-Calculation-sheet'!P8*'Output-Calculation-sheet'!P80</f>
        <v>3156967347.9801326</v>
      </c>
      <c r="Q97" s="2">
        <f>Q9/'Output-Calculation-sheet'!Q8*'Output-Calculation-sheet'!Q80</f>
        <v>1476708264.4764535</v>
      </c>
      <c r="R97" s="2">
        <f>R9/'Output-Calculation-sheet'!R8*'Output-Calculation-sheet'!R80</f>
        <v>1865817128.6891503</v>
      </c>
      <c r="S97" s="2">
        <f>S9/'Output-Calculation-sheet'!S8*'Output-Calculation-sheet'!S80</f>
        <v>1082914862.4588339</v>
      </c>
      <c r="T97" s="2">
        <f>T9/'Output-Calculation-sheet'!T8*'Output-Calculation-sheet'!T80</f>
        <v>815472976.5418961</v>
      </c>
      <c r="U97" s="2">
        <f>U9/'Output-Calculation-sheet'!U8*'Output-Calculation-sheet'!U80</f>
        <v>521326025.45849746</v>
      </c>
      <c r="V97" s="2">
        <f>V9/'Output-Calculation-sheet'!V8*'Output-Calculation-sheet'!V80</f>
        <v>273352299.07936078</v>
      </c>
      <c r="W97" s="2">
        <f>W9/'Output-Calculation-sheet'!W8*'Output-Calculation-sheet'!W80</f>
        <v>791633539.86394274</v>
      </c>
      <c r="X97" s="2">
        <f>X9/'Output-Calculation-sheet'!X8*'Output-Calculation-sheet'!X80</f>
        <v>284272834.66517627</v>
      </c>
      <c r="Y97" s="2">
        <f>Y9/'Output-Calculation-sheet'!Y8*'Output-Calculation-sheet'!Y80</f>
        <v>435133035.8015542</v>
      </c>
      <c r="AA97" s="2">
        <f t="shared" si="8"/>
        <v>83.673328045343808</v>
      </c>
    </row>
    <row r="98" spans="1:27" x14ac:dyDescent="0.25">
      <c r="A98" s="2">
        <v>2033</v>
      </c>
      <c r="B98" s="2">
        <f>B10/'Output-Calculation-sheet'!B9*'Output-Calculation-sheet'!B81</f>
        <v>25857562409.074036</v>
      </c>
      <c r="C98" s="2">
        <f>C10/'Output-Calculation-sheet'!C9*'Output-Calculation-sheet'!C81</f>
        <v>8865254636.839407</v>
      </c>
      <c r="D98" s="2">
        <f>D10/'Output-Calculation-sheet'!D9*'Output-Calculation-sheet'!D81</f>
        <v>8437022275.0875969</v>
      </c>
      <c r="E98" s="2">
        <f>E10/'Output-Calculation-sheet'!E9*'Output-Calculation-sheet'!E81</f>
        <v>15870569754.570684</v>
      </c>
      <c r="F98" s="2">
        <f>F10/'Output-Calculation-sheet'!F9*'Output-Calculation-sheet'!F81</f>
        <v>6545406575.6392183</v>
      </c>
      <c r="G98" s="2">
        <f>G10/'Output-Calculation-sheet'!G9*'Output-Calculation-sheet'!G81</f>
        <v>4805837771.8617039</v>
      </c>
      <c r="H98" s="2">
        <f>H10/'Output-Calculation-sheet'!H9*'Output-Calculation-sheet'!H81</f>
        <v>4354128286.1833096</v>
      </c>
      <c r="I98" s="2">
        <f>I10/'Output-Calculation-sheet'!I9*'Output-Calculation-sheet'!I81</f>
        <v>3619566057.8539472</v>
      </c>
      <c r="J98" s="2">
        <f>J10/'Output-Calculation-sheet'!J9*'Output-Calculation-sheet'!J81</f>
        <v>2314441767.3229218</v>
      </c>
      <c r="K98" s="2">
        <f>K10/'Output-Calculation-sheet'!K9*'Output-Calculation-sheet'!K81</f>
        <v>3361818450.5010495</v>
      </c>
      <c r="L98" s="2">
        <f>L10/'Output-Calculation-sheet'!L9*'Output-Calculation-sheet'!L81</f>
        <v>2521414160.4650092</v>
      </c>
      <c r="M98" s="2">
        <f>M10/'Output-Calculation-sheet'!M9*'Output-Calculation-sheet'!M81</f>
        <v>3269767529.4333105</v>
      </c>
      <c r="N98" s="2">
        <f>N10/'Output-Calculation-sheet'!N9*'Output-Calculation-sheet'!N81</f>
        <v>2345803078.1516776</v>
      </c>
      <c r="O98" s="2">
        <f>O10/'Output-Calculation-sheet'!O9*'Output-Calculation-sheet'!O81</f>
        <v>1242235257.3343093</v>
      </c>
      <c r="P98" s="2">
        <f>P10/'Output-Calculation-sheet'!P9*'Output-Calculation-sheet'!P81</f>
        <v>3969823453.6152997</v>
      </c>
      <c r="Q98" s="2">
        <f>Q10/'Output-Calculation-sheet'!Q9*'Output-Calculation-sheet'!Q81</f>
        <v>1866510350.5272889</v>
      </c>
      <c r="R98" s="2">
        <f>R10/'Output-Calculation-sheet'!R9*'Output-Calculation-sheet'!R81</f>
        <v>2387549119.3508906</v>
      </c>
      <c r="S98" s="2">
        <f>S10/'Output-Calculation-sheet'!S9*'Output-Calculation-sheet'!S81</f>
        <v>1380428467.3560553</v>
      </c>
      <c r="T98" s="2">
        <f>T10/'Output-Calculation-sheet'!T9*'Output-Calculation-sheet'!T81</f>
        <v>1024334713.0494229</v>
      </c>
      <c r="U98" s="2">
        <f>U10/'Output-Calculation-sheet'!U9*'Output-Calculation-sheet'!U81</f>
        <v>666498598.98204482</v>
      </c>
      <c r="V98" s="2">
        <f>V10/'Output-Calculation-sheet'!V9*'Output-Calculation-sheet'!V81</f>
        <v>352988881.70158327</v>
      </c>
      <c r="W98" s="2">
        <f>W10/'Output-Calculation-sheet'!W9*'Output-Calculation-sheet'!W81</f>
        <v>1000845260.8972317</v>
      </c>
      <c r="X98" s="2">
        <f>X10/'Output-Calculation-sheet'!X9*'Output-Calculation-sheet'!X81</f>
        <v>367780352.54083329</v>
      </c>
      <c r="Y98" s="2">
        <f>Y10/'Output-Calculation-sheet'!Y9*'Output-Calculation-sheet'!Y81</f>
        <v>550326705.5599432</v>
      </c>
      <c r="AA98" s="2">
        <f t="shared" si="8"/>
        <v>106.97791391389873</v>
      </c>
    </row>
    <row r="99" spans="1:27" x14ac:dyDescent="0.25">
      <c r="A99" s="2">
        <v>2034</v>
      </c>
      <c r="B99" s="2">
        <f>B11/'Output-Calculation-sheet'!B10*'Output-Calculation-sheet'!B82</f>
        <v>31543966861.936867</v>
      </c>
      <c r="C99" s="2">
        <f>C11/'Output-Calculation-sheet'!C10*'Output-Calculation-sheet'!C82</f>
        <v>10883962746.352383</v>
      </c>
      <c r="D99" s="2">
        <f>D11/'Output-Calculation-sheet'!D10*'Output-Calculation-sheet'!D82</f>
        <v>9901344613.5222206</v>
      </c>
      <c r="E99" s="2">
        <f>E11/'Output-Calculation-sheet'!E10*'Output-Calculation-sheet'!E82</f>
        <v>19153282916.443104</v>
      </c>
      <c r="F99" s="2">
        <f>F11/'Output-Calculation-sheet'!F10*'Output-Calculation-sheet'!F82</f>
        <v>7888255799.7106886</v>
      </c>
      <c r="G99" s="2">
        <f>G11/'Output-Calculation-sheet'!G10*'Output-Calculation-sheet'!G82</f>
        <v>5607988542.9849138</v>
      </c>
      <c r="H99" s="2">
        <f>H11/'Output-Calculation-sheet'!H10*'Output-Calculation-sheet'!H82</f>
        <v>5241683475.6505842</v>
      </c>
      <c r="I99" s="2">
        <f>I11/'Output-Calculation-sheet'!I10*'Output-Calculation-sheet'!I82</f>
        <v>4402649209.7170334</v>
      </c>
      <c r="J99" s="2">
        <f>J11/'Output-Calculation-sheet'!J10*'Output-Calculation-sheet'!J82</f>
        <v>2739766919.3741832</v>
      </c>
      <c r="K99" s="2">
        <f>K11/'Output-Calculation-sheet'!K10*'Output-Calculation-sheet'!K82</f>
        <v>4008638533.9635386</v>
      </c>
      <c r="L99" s="2">
        <f>L11/'Output-Calculation-sheet'!L10*'Output-Calculation-sheet'!L82</f>
        <v>3094962097.4967556</v>
      </c>
      <c r="M99" s="2">
        <f>M11/'Output-Calculation-sheet'!M10*'Output-Calculation-sheet'!M82</f>
        <v>3948463005.755826</v>
      </c>
      <c r="N99" s="2">
        <f>N11/'Output-Calculation-sheet'!N10*'Output-Calculation-sheet'!N82</f>
        <v>2781695876.8988934</v>
      </c>
      <c r="O99" s="2">
        <f>O11/'Output-Calculation-sheet'!O10*'Output-Calculation-sheet'!O82</f>
        <v>1508096936.8988681</v>
      </c>
      <c r="P99" s="2">
        <f>P11/'Output-Calculation-sheet'!P10*'Output-Calculation-sheet'!P82</f>
        <v>4701079798.0732784</v>
      </c>
      <c r="Q99" s="2">
        <f>Q11/'Output-Calculation-sheet'!Q10*'Output-Calculation-sheet'!Q82</f>
        <v>2224846378.8430243</v>
      </c>
      <c r="R99" s="2">
        <f>R11/'Output-Calculation-sheet'!R10*'Output-Calculation-sheet'!R82</f>
        <v>2880053348.3748608</v>
      </c>
      <c r="S99" s="2">
        <f>S11/'Output-Calculation-sheet'!S10*'Output-Calculation-sheet'!S82</f>
        <v>1658991244.8794565</v>
      </c>
      <c r="T99" s="2">
        <f>T11/'Output-Calculation-sheet'!T10*'Output-Calculation-sheet'!T82</f>
        <v>1212528641.1274388</v>
      </c>
      <c r="U99" s="2">
        <f>U11/'Output-Calculation-sheet'!U10*'Output-Calculation-sheet'!U82</f>
        <v>802960908.86422634</v>
      </c>
      <c r="V99" s="2">
        <f>V11/'Output-Calculation-sheet'!V10*'Output-Calculation-sheet'!V82</f>
        <v>429333187.12159282</v>
      </c>
      <c r="W99" s="2">
        <f>W11/'Output-Calculation-sheet'!W10*'Output-Calculation-sheet'!W82</f>
        <v>1190555959.6214299</v>
      </c>
      <c r="X99" s="2">
        <f>X11/'Output-Calculation-sheet'!X10*'Output-Calculation-sheet'!X82</f>
        <v>448396151.71017575</v>
      </c>
      <c r="Y99" s="2">
        <f>Y11/'Output-Calculation-sheet'!Y10*'Output-Calculation-sheet'!Y82</f>
        <v>655183378.36906719</v>
      </c>
      <c r="AA99" s="2">
        <f t="shared" si="8"/>
        <v>128.90868653369037</v>
      </c>
    </row>
    <row r="100" spans="1:27" x14ac:dyDescent="0.25">
      <c r="A100" s="2">
        <v>2035</v>
      </c>
      <c r="B100" s="2">
        <f>B12/'Output-Calculation-sheet'!B11*'Output-Calculation-sheet'!B83</f>
        <v>36841912855.707329</v>
      </c>
      <c r="C100" s="2">
        <f>C12/'Output-Calculation-sheet'!C11*'Output-Calculation-sheet'!C83</f>
        <v>12790913743.511799</v>
      </c>
      <c r="D100" s="2">
        <f>D12/'Output-Calculation-sheet'!D11*'Output-Calculation-sheet'!D83</f>
        <v>11132850335.477957</v>
      </c>
      <c r="E100" s="2">
        <f>E12/'Output-Calculation-sheet'!E11*'Output-Calculation-sheet'!E83</f>
        <v>22140366720.695869</v>
      </c>
      <c r="F100" s="2">
        <f>F12/'Output-Calculation-sheet'!F11*'Output-Calculation-sheet'!F83</f>
        <v>9107664068.6451225</v>
      </c>
      <c r="G100" s="2">
        <f>G12/'Output-Calculation-sheet'!G11*'Output-Calculation-sheet'!G83</f>
        <v>6258738648.7079</v>
      </c>
      <c r="H100" s="2">
        <f>H12/'Output-Calculation-sheet'!H11*'Output-Calculation-sheet'!H83</f>
        <v>6045473806.2833338</v>
      </c>
      <c r="I100" s="2">
        <f>I12/'Output-Calculation-sheet'!I11*'Output-Calculation-sheet'!I83</f>
        <v>5129465116.6213322</v>
      </c>
      <c r="J100" s="2">
        <f>J12/'Output-Calculation-sheet'!J11*'Output-Calculation-sheet'!J83</f>
        <v>3108676635.4241319</v>
      </c>
      <c r="K100" s="2">
        <f>K12/'Output-Calculation-sheet'!K11*'Output-Calculation-sheet'!K83</f>
        <v>4580404850.6190996</v>
      </c>
      <c r="L100" s="2">
        <f>L12/'Output-Calculation-sheet'!L11*'Output-Calculation-sheet'!L83</f>
        <v>3636580279.4234719</v>
      </c>
      <c r="M100" s="2">
        <f>M12/'Output-Calculation-sheet'!M11*'Output-Calculation-sheet'!M83</f>
        <v>4568350666.8791027</v>
      </c>
      <c r="N100" s="2">
        <f>N12/'Output-Calculation-sheet'!N11*'Output-Calculation-sheet'!N83</f>
        <v>3160937841.8715158</v>
      </c>
      <c r="O100" s="2">
        <f>O12/'Output-Calculation-sheet'!O11*'Output-Calculation-sheet'!O83</f>
        <v>1754521207.272521</v>
      </c>
      <c r="P100" s="2">
        <f>P12/'Output-Calculation-sheet'!P11*'Output-Calculation-sheet'!P83</f>
        <v>5328605574.7170258</v>
      </c>
      <c r="Q100" s="2">
        <f>Q12/'Output-Calculation-sheet'!Q11*'Output-Calculation-sheet'!Q83</f>
        <v>2541769286.266778</v>
      </c>
      <c r="R100" s="2">
        <f>R12/'Output-Calculation-sheet'!R11*'Output-Calculation-sheet'!R83</f>
        <v>3328305212.0995164</v>
      </c>
      <c r="S100" s="2">
        <f>S12/'Output-Calculation-sheet'!S11*'Output-Calculation-sheet'!S83</f>
        <v>1910276186.3069568</v>
      </c>
      <c r="T100" s="2">
        <f>T12/'Output-Calculation-sheet'!T11*'Output-Calculation-sheet'!T83</f>
        <v>1374736990.132504</v>
      </c>
      <c r="U100" s="2">
        <f>U12/'Output-Calculation-sheet'!U11*'Output-Calculation-sheet'!U83</f>
        <v>926417077.86966681</v>
      </c>
      <c r="V100" s="2">
        <f>V12/'Output-Calculation-sheet'!V11*'Output-Calculation-sheet'!V83</f>
        <v>499855839.70060515</v>
      </c>
      <c r="W100" s="2">
        <f>W12/'Output-Calculation-sheet'!W11*'Output-Calculation-sheet'!W83</f>
        <v>1354232270.6166344</v>
      </c>
      <c r="X100" s="2">
        <f>X12/'Output-Calculation-sheet'!X11*'Output-Calculation-sheet'!X83</f>
        <v>523559059.11706185</v>
      </c>
      <c r="Y100" s="2">
        <f>Y12/'Output-Calculation-sheet'!Y11*'Output-Calculation-sheet'!Y83</f>
        <v>746262814.81454301</v>
      </c>
      <c r="AA100" s="2">
        <f t="shared" si="8"/>
        <v>148.7908770887818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4440-7B07-4798-B5FD-A51C8754CFF0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111996457403.11165</v>
      </c>
      <c r="C8" s="2">
        <v>52778366472.874344</v>
      </c>
      <c r="D8" s="2">
        <v>47039792595.699043</v>
      </c>
      <c r="E8" s="2">
        <v>37321301977.13401</v>
      </c>
      <c r="F8" s="2">
        <v>24025061344.637638</v>
      </c>
      <c r="G8" s="2">
        <v>16880667450.754374</v>
      </c>
      <c r="H8" s="2">
        <v>16466443103.687737</v>
      </c>
      <c r="I8" s="2">
        <v>15379616846.532742</v>
      </c>
      <c r="J8" s="2">
        <v>14969456819.544785</v>
      </c>
      <c r="K8" s="2">
        <v>14825950640.057587</v>
      </c>
      <c r="L8" s="2">
        <v>11893570361.318674</v>
      </c>
      <c r="M8" s="2">
        <v>11360410310.638874</v>
      </c>
      <c r="N8" s="2">
        <v>11150209910.042786</v>
      </c>
      <c r="O8" s="2">
        <v>10254882439.398483</v>
      </c>
      <c r="P8" s="2">
        <v>10150547118.711617</v>
      </c>
      <c r="Q8" s="2">
        <v>9986497872.3486023</v>
      </c>
      <c r="R8" s="2">
        <v>9607470291.0891724</v>
      </c>
      <c r="S8" s="2">
        <v>6385616914.6803789</v>
      </c>
      <c r="T8" s="2">
        <v>3531623467.0849013</v>
      </c>
      <c r="U8" s="2">
        <v>3075923369.3065529</v>
      </c>
      <c r="V8" s="2">
        <v>2368522512.8334332</v>
      </c>
      <c r="W8" s="2">
        <v>2050615579.5377002</v>
      </c>
      <c r="X8" s="2">
        <v>1230369347.722621</v>
      </c>
      <c r="Y8" s="2">
        <v>1196521886.9667697</v>
      </c>
    </row>
    <row r="9" spans="1:27" x14ac:dyDescent="0.25">
      <c r="A9" s="2">
        <v>2032</v>
      </c>
      <c r="B9" s="2">
        <v>115634237372.98776</v>
      </c>
      <c r="C9" s="2">
        <v>54492671450.457222</v>
      </c>
      <c r="D9" s="2">
        <v>48567701774.788895</v>
      </c>
      <c r="E9" s="2">
        <v>38533542863.409973</v>
      </c>
      <c r="F9" s="2">
        <v>24805424303.976559</v>
      </c>
      <c r="G9" s="2">
        <v>17428971882.469257</v>
      </c>
      <c r="H9" s="2">
        <v>17001293029.182215</v>
      </c>
      <c r="I9" s="2">
        <v>15879165344.815254</v>
      </c>
      <c r="J9" s="2">
        <v>15455682825.623369</v>
      </c>
      <c r="K9" s="2">
        <v>15307515392.40193</v>
      </c>
      <c r="L9" s="2">
        <v>12279887866.657152</v>
      </c>
      <c r="M9" s="2">
        <v>11729410134.703558</v>
      </c>
      <c r="N9" s="2">
        <v>11512382171.65881</v>
      </c>
      <c r="O9" s="2">
        <v>10587973385.27729</v>
      </c>
      <c r="P9" s="2">
        <v>10480249127.578075</v>
      </c>
      <c r="Q9" s="2">
        <v>10310871363.900047</v>
      </c>
      <c r="R9" s="2">
        <v>9919532509.8101444</v>
      </c>
      <c r="S9" s="2">
        <v>6593029451.1672783</v>
      </c>
      <c r="T9" s="2">
        <v>3646334855.3519812</v>
      </c>
      <c r="U9" s="2">
        <v>3175833068.9630556</v>
      </c>
      <c r="V9" s="2">
        <v>2445454979.7629337</v>
      </c>
      <c r="W9" s="2">
        <v>2117222045.9753687</v>
      </c>
      <c r="X9" s="2">
        <v>1270333227.5852222</v>
      </c>
      <c r="Y9" s="2">
        <v>1235386360.4943507</v>
      </c>
    </row>
    <row r="10" spans="1:27" x14ac:dyDescent="0.25">
      <c r="A10" s="2">
        <v>2033</v>
      </c>
      <c r="B10" s="2">
        <v>107567153601.76149</v>
      </c>
      <c r="C10" s="2">
        <v>50691055635.836571</v>
      </c>
      <c r="D10" s="2">
        <v>45179434357.679771</v>
      </c>
      <c r="E10" s="2">
        <v>35845296498.463715</v>
      </c>
      <c r="F10" s="2">
        <v>23074903652.073715</v>
      </c>
      <c r="G10" s="2">
        <v>16213060579.584919</v>
      </c>
      <c r="H10" s="2">
        <v>15815218228.14222</v>
      </c>
      <c r="I10" s="2">
        <v>14771374434.752993</v>
      </c>
      <c r="J10" s="2">
        <v>14377435665.194286</v>
      </c>
      <c r="K10" s="2">
        <v>14239604955.101908</v>
      </c>
      <c r="L10" s="2">
        <v>11423196229.542334</v>
      </c>
      <c r="M10" s="2">
        <v>10911121915.804232</v>
      </c>
      <c r="N10" s="2">
        <v>10709234648.096397</v>
      </c>
      <c r="O10" s="2">
        <v>9849316131.1023369</v>
      </c>
      <c r="P10" s="2">
        <v>9749107126.9369831</v>
      </c>
      <c r="Q10" s="2">
        <v>9591545799.6329517</v>
      </c>
      <c r="R10" s="2">
        <v>9227508230.9633503</v>
      </c>
      <c r="S10" s="2">
        <v>6133074665.3094282</v>
      </c>
      <c r="T10" s="2">
        <v>3391952680.9689293</v>
      </c>
      <c r="U10" s="2">
        <v>2954274886.950603</v>
      </c>
      <c r="V10" s="2">
        <v>2274850748.4497046</v>
      </c>
      <c r="W10" s="2">
        <v>1969516591.3004005</v>
      </c>
      <c r="X10" s="2">
        <v>1181709954.780241</v>
      </c>
      <c r="Y10" s="2">
        <v>1149201113.9242349</v>
      </c>
    </row>
    <row r="11" spans="1:27" x14ac:dyDescent="0.25">
      <c r="A11" s="2">
        <v>2034</v>
      </c>
      <c r="B11" s="2">
        <v>90605439880.145462</v>
      </c>
      <c r="C11" s="2">
        <v>42697842604.237946</v>
      </c>
      <c r="D11" s="2">
        <v>38055320666.649109</v>
      </c>
      <c r="E11" s="2">
        <v>30193035216.880169</v>
      </c>
      <c r="F11" s="2">
        <v>19436340235.685822</v>
      </c>
      <c r="G11" s="2">
        <v>13656506065.553101</v>
      </c>
      <c r="H11" s="2">
        <v>13321397437.608269</v>
      </c>
      <c r="I11" s="2">
        <v>12442152027.654037</v>
      </c>
      <c r="J11" s="2">
        <v>12110331445.751743</v>
      </c>
      <c r="K11" s="2">
        <v>11994234554.658512</v>
      </c>
      <c r="L11" s="2">
        <v>9621930901.3858051</v>
      </c>
      <c r="M11" s="2">
        <v>9190602964.4271336</v>
      </c>
      <c r="N11" s="2">
        <v>9020550266.3275776</v>
      </c>
      <c r="O11" s="2">
        <v>8296227897.6072664</v>
      </c>
      <c r="P11" s="2">
        <v>8211820338.2516718</v>
      </c>
      <c r="Q11" s="2">
        <v>8079104049.9566956</v>
      </c>
      <c r="R11" s="2">
        <v>7772469701.6655664</v>
      </c>
      <c r="S11" s="2">
        <v>5165981521.8819447</v>
      </c>
      <c r="T11" s="2">
        <v>2857093029.063807</v>
      </c>
      <c r="U11" s="2">
        <v>2488430405.5308113</v>
      </c>
      <c r="V11" s="2">
        <v>1916141180.8668365</v>
      </c>
      <c r="W11" s="2">
        <v>1658953603.687206</v>
      </c>
      <c r="X11" s="2">
        <v>995372162.21232438</v>
      </c>
      <c r="Y11" s="2">
        <v>967989474.02986169</v>
      </c>
    </row>
    <row r="12" spans="1:27" x14ac:dyDescent="0.25">
      <c r="A12" s="2">
        <v>2035</v>
      </c>
      <c r="B12" s="2">
        <v>68515589266.077843</v>
      </c>
      <c r="C12" s="2">
        <v>32287993417.27681</v>
      </c>
      <c r="D12" s="2">
        <v>28777330849.385063</v>
      </c>
      <c r="E12" s="2">
        <v>22831891797.584019</v>
      </c>
      <c r="F12" s="2">
        <v>14697708064.610462</v>
      </c>
      <c r="G12" s="2">
        <v>10327013053.905773</v>
      </c>
      <c r="H12" s="2">
        <v>10073604813.272989</v>
      </c>
      <c r="I12" s="2">
        <v>9408721805.6721497</v>
      </c>
      <c r="J12" s="2">
        <v>9157799976.5885677</v>
      </c>
      <c r="K12" s="2">
        <v>9070007820.6679668</v>
      </c>
      <c r="L12" s="2">
        <v>7276078196.3864746</v>
      </c>
      <c r="M12" s="2">
        <v>6949909173.7898407</v>
      </c>
      <c r="N12" s="2">
        <v>6821315782.1348791</v>
      </c>
      <c r="O12" s="2">
        <v>6273585160.4732962</v>
      </c>
      <c r="P12" s="2">
        <v>6209756391.7436228</v>
      </c>
      <c r="Q12" s="2">
        <v>6109396692.48312</v>
      </c>
      <c r="R12" s="2">
        <v>5877520625.3266916</v>
      </c>
      <c r="S12" s="2">
        <v>3906501293.7150669</v>
      </c>
      <c r="T12" s="2">
        <v>2160526042.7327414</v>
      </c>
      <c r="U12" s="2">
        <v>1881744361.1344326</v>
      </c>
      <c r="V12" s="2">
        <v>1448980792.9607368</v>
      </c>
      <c r="W12" s="2">
        <v>1254496240.7562873</v>
      </c>
      <c r="X12" s="2">
        <v>752697744.4537729</v>
      </c>
      <c r="Y12" s="2">
        <v>731991029.50384843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1983.6295847142874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618.8655377603767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426.9700839418449</v>
      </c>
      <c r="N16" s="2">
        <f>N5/'Output-Calculation-sheet'!N4*'Output-Calculation-sheet'!N22</f>
        <v>0</v>
      </c>
      <c r="O16" s="2">
        <f>O5/'Output-Calculation-sheet'!O4*'Output-Calculation-sheet'!O22</f>
        <v>385.41521815063498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46.242265149224508</v>
      </c>
      <c r="Y16" s="2">
        <f>Y5/'Output-Calculation-sheet'!Y4*'Output-Calculation-sheet'!Y22</f>
        <v>0</v>
      </c>
      <c r="AA16" s="2">
        <f t="shared" ref="AA16:AA23" si="0">SUM(B16:Y16)/1000</f>
        <v>3.4611226897163689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5907.20971218657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1741.9893210659743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1202.4961204697115</v>
      </c>
      <c r="N17" s="2">
        <f>N6/'Output-Calculation-sheet'!N5*'Output-Calculation-sheet'!N23</f>
        <v>0</v>
      </c>
      <c r="O17" s="2">
        <f>O6/'Output-Calculation-sheet'!O5*'Output-Calculation-sheet'!O23</f>
        <v>1154.9939713928168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133.71066903551042</v>
      </c>
      <c r="Y17" s="2">
        <f>Y6/'Output-Calculation-sheet'!Y5*'Output-Calculation-sheet'!Y23</f>
        <v>0</v>
      </c>
      <c r="AA17" s="2">
        <f t="shared" si="0"/>
        <v>10.140399794150582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11451.635009375932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3627.4608713827793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2501.8089914069992</v>
      </c>
      <c r="N18" s="2">
        <f>N7/'Output-Calculation-sheet'!N6*'Output-Calculation-sheet'!N24</f>
        <v>775.35046695385222</v>
      </c>
      <c r="O18" s="2">
        <f>O7/'Output-Calculation-sheet'!O6*'Output-Calculation-sheet'!O24</f>
        <v>1651.4646868636512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169.50445449421477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280.50336123624345</v>
      </c>
      <c r="Y18" s="2">
        <f>Y7/'Output-Calculation-sheet'!Y6*'Output-Calculation-sheet'!Y24</f>
        <v>0</v>
      </c>
      <c r="AA18" s="2">
        <f t="shared" si="0"/>
        <v>20.457727841713673</v>
      </c>
    </row>
    <row r="19" spans="1:27" x14ac:dyDescent="0.25">
      <c r="A19" s="2">
        <v>2031</v>
      </c>
      <c r="B19" s="2">
        <f>B8/'Output-Calculation-sheet'!B7*'Output-Calculation-sheet'!B25</f>
        <v>1245.2060664341511</v>
      </c>
      <c r="C19" s="2">
        <f>C8/'Output-Calculation-sheet'!C7*'Output-Calculation-sheet'!C25</f>
        <v>16438.588648451143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5586.6418014651399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3881.8985727950244</v>
      </c>
      <c r="N19" s="2">
        <f>N8/'Output-Calculation-sheet'!N7*'Output-Calculation-sheet'!N25</f>
        <v>1329.0342402712099</v>
      </c>
      <c r="O19" s="2">
        <f>O8/'Output-Calculation-sheet'!O7*'Output-Calculation-sheet'!O25</f>
        <v>2121.6647769239125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474.22039729743619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433.72475298111544</v>
      </c>
      <c r="Y19" s="2">
        <f>Y8/'Output-Calculation-sheet'!Y7*'Output-Calculation-sheet'!Y25</f>
        <v>0</v>
      </c>
      <c r="AA19" s="2">
        <f t="shared" si="0"/>
        <v>31.510979256619127</v>
      </c>
    </row>
    <row r="20" spans="1:27" x14ac:dyDescent="0.25">
      <c r="A20" s="2">
        <v>2032</v>
      </c>
      <c r="B20" s="2">
        <f>B9/'Output-Calculation-sheet'!B8*'Output-Calculation-sheet'!B26</f>
        <v>6641.5939850749764</v>
      </c>
      <c r="C20" s="2">
        <f>C9/'Output-Calculation-sheet'!C8*'Output-Calculation-sheet'!C26</f>
        <v>22548.649515031961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7216.6837029447097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5020.3900545131282</v>
      </c>
      <c r="N20" s="2">
        <f>N9/'Output-Calculation-sheet'!N8*'Output-Calculation-sheet'!N26</f>
        <v>2265.8065838188249</v>
      </c>
      <c r="O20" s="2">
        <f>O9/'Output-Calculation-sheet'!O8*'Output-Calculation-sheet'!O26</f>
        <v>2377.6702782251318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823.4556278925993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561.66923902296492</v>
      </c>
      <c r="Y20" s="2">
        <f>Y9/'Output-Calculation-sheet'!Y8*'Output-Calculation-sheet'!Y26</f>
        <v>0</v>
      </c>
      <c r="AA20" s="2">
        <f t="shared" si="0"/>
        <v>47.455918986524303</v>
      </c>
    </row>
    <row r="21" spans="1:27" x14ac:dyDescent="0.25">
      <c r="A21" s="2">
        <v>2033</v>
      </c>
      <c r="B21" s="2">
        <f>B10/'Output-Calculation-sheet'!B9*'Output-Calculation-sheet'!B27</f>
        <v>13970.575669318034</v>
      </c>
      <c r="C21" s="2">
        <f>C10/'Output-Calculation-sheet'!C9*'Output-Calculation-sheet'!C27</f>
        <v>23992.128266269952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8086.4237788215687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5616.5247053402236</v>
      </c>
      <c r="N21" s="2">
        <f>N10/'Output-Calculation-sheet'!N9*'Output-Calculation-sheet'!N27</f>
        <v>3073.2498042468669</v>
      </c>
      <c r="O21" s="2">
        <f>O10/'Output-Calculation-sheet'!O9*'Output-Calculation-sheet'!O27</f>
        <v>2393.7924340920131</v>
      </c>
      <c r="P21" s="2">
        <f>P10/'Output-Calculation-sheet'!P9*'Output-Calculation-sheet'!P27</f>
        <v>0</v>
      </c>
      <c r="Q21" s="2">
        <f>Q10/'Output-Calculation-sheet'!Q9*'Output-Calculation-sheet'!Q27</f>
        <v>209.61598712811141</v>
      </c>
      <c r="R21" s="2">
        <f>R10/'Output-Calculation-sheet'!R9*'Output-Calculation-sheet'!R27</f>
        <v>0</v>
      </c>
      <c r="S21" s="2">
        <f>S10/'Output-Calculation-sheet'!S9*'Output-Calculation-sheet'!S27</f>
        <v>1334.8288211835293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660.45518816448362</v>
      </c>
      <c r="Y21" s="2">
        <f>Y10/'Output-Calculation-sheet'!Y9*'Output-Calculation-sheet'!Y27</f>
        <v>0</v>
      </c>
      <c r="AA21" s="2">
        <f t="shared" si="0"/>
        <v>59.337594654564782</v>
      </c>
    </row>
    <row r="22" spans="1:27" x14ac:dyDescent="0.25">
      <c r="A22" s="2">
        <v>2034</v>
      </c>
      <c r="B22" s="2">
        <f>B11/'Output-Calculation-sheet'!B10*'Output-Calculation-sheet'!B28</f>
        <v>22410.425738174119</v>
      </c>
      <c r="C22" s="2">
        <f>C11/'Output-Calculation-sheet'!C10*'Output-Calculation-sheet'!C28</f>
        <v>21499.989603468028</v>
      </c>
      <c r="D22" s="2">
        <f>D11/'Output-Calculation-sheet'!D10*'Output-Calculation-sheet'!D28</f>
        <v>0</v>
      </c>
      <c r="E22" s="2">
        <f>E11/'Output-Calculation-sheet'!E10*'Output-Calculation-sheet'!E28</f>
        <v>1148.2758511075936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8204.3553431296677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684.71234721978851</v>
      </c>
      <c r="M22" s="2">
        <f>M11/'Output-Calculation-sheet'!M10*'Output-Calculation-sheet'!M28</f>
        <v>5981.6962346751743</v>
      </c>
      <c r="N22" s="2">
        <f>N11/'Output-Calculation-sheet'!N10*'Output-Calculation-sheet'!N28</f>
        <v>3569.8056240685705</v>
      </c>
      <c r="O22" s="2">
        <f>O11/'Output-Calculation-sheet'!O10*'Output-Calculation-sheet'!O28</f>
        <v>2206.3735775479568</v>
      </c>
      <c r="P22" s="2">
        <f>P11/'Output-Calculation-sheet'!P10*'Output-Calculation-sheet'!P28</f>
        <v>0</v>
      </c>
      <c r="Q22" s="2">
        <f>Q11/'Output-Calculation-sheet'!Q10*'Output-Calculation-sheet'!Q28</f>
        <v>810.94811061916641</v>
      </c>
      <c r="R22" s="2">
        <f>R11/'Output-Calculation-sheet'!R10*'Output-Calculation-sheet'!R28</f>
        <v>0</v>
      </c>
      <c r="S22" s="2">
        <f>S11/'Output-Calculation-sheet'!S10*'Output-Calculation-sheet'!S28</f>
        <v>1821.1042901587882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600.66405761716771</v>
      </c>
      <c r="Y22" s="2">
        <f>Y11/'Output-Calculation-sheet'!Y10*'Output-Calculation-sheet'!Y28</f>
        <v>62.304988996953114</v>
      </c>
      <c r="AA22" s="2">
        <f t="shared" si="0"/>
        <v>69.00065576678297</v>
      </c>
    </row>
    <row r="23" spans="1:27" x14ac:dyDescent="0.25">
      <c r="A23" s="2">
        <v>2035</v>
      </c>
      <c r="B23" s="2">
        <f>B12/'Output-Calculation-sheet'!B11*'Output-Calculation-sheet'!B29</f>
        <v>20498.618481654536</v>
      </c>
      <c r="C23" s="2">
        <f>C12/'Output-Calculation-sheet'!C11*'Output-Calculation-sheet'!C29</f>
        <v>16743.016359953424</v>
      </c>
      <c r="D23" s="2">
        <f>D12/'Output-Calculation-sheet'!D11*'Output-Calculation-sheet'!D29</f>
        <v>0</v>
      </c>
      <c r="E23" s="2">
        <f>E12/'Output-Calculation-sheet'!E11*'Output-Calculation-sheet'!E29</f>
        <v>3160.3868044730716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6445.1754411312295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716.43418603572491</v>
      </c>
      <c r="M23" s="2">
        <f>M12/'Output-Calculation-sheet'!M11*'Output-Calculation-sheet'!M29</f>
        <v>4722.1109548092245</v>
      </c>
      <c r="N23" s="2">
        <f>N12/'Output-Calculation-sheet'!N11*'Output-Calculation-sheet'!N29</f>
        <v>2754.6707181518109</v>
      </c>
      <c r="O23" s="2">
        <f>O12/'Output-Calculation-sheet'!O11*'Output-Calculation-sheet'!O29</f>
        <v>1856.9867033973012</v>
      </c>
      <c r="P23" s="2">
        <f>P12/'Output-Calculation-sheet'!P11*'Output-Calculation-sheet'!P29</f>
        <v>336.43259165992004</v>
      </c>
      <c r="Q23" s="2">
        <f>Q12/'Output-Calculation-sheet'!Q11*'Output-Calculation-sheet'!Q29</f>
        <v>755.28740960582002</v>
      </c>
      <c r="R23" s="2">
        <f>R12/'Output-Calculation-sheet'!R11*'Output-Calculation-sheet'!R29</f>
        <v>0</v>
      </c>
      <c r="S23" s="2">
        <f>S12/'Output-Calculation-sheet'!S11*'Output-Calculation-sheet'!S29</f>
        <v>1474.5757045159003</v>
      </c>
      <c r="T23" s="2">
        <f>T12/'Output-Calculation-sheet'!T11*'Output-Calculation-sheet'!T29</f>
        <v>0</v>
      </c>
      <c r="U23" s="2">
        <f>U12/'Output-Calculation-sheet'!U11*'Output-Calculation-sheet'!U29</f>
        <v>64.302484050831282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467.79856243824827</v>
      </c>
      <c r="Y23" s="2">
        <f>Y12/'Output-Calculation-sheet'!Y11*'Output-Calculation-sheet'!Y29</f>
        <v>138.4944969480627</v>
      </c>
      <c r="AA23" s="2">
        <f t="shared" si="0"/>
        <v>60.1342908988251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2504.1414456833122</v>
      </c>
      <c r="C27" s="2">
        <f>C5/'Output-Calculation-sheet'!C4*'Output-Calculation-sheet'!C13</f>
        <v>0</v>
      </c>
      <c r="D27" s="2">
        <f>D5/'Output-Calculation-sheet'!D4*'Output-Calculation-sheet'!D13</f>
        <v>447.33558611350941</v>
      </c>
      <c r="E27" s="2">
        <f>E5/'Output-Calculation-sheet'!E4*'Output-Calculation-sheet'!E13</f>
        <v>481.27782588996712</v>
      </c>
      <c r="F27" s="2">
        <f>F5/'Output-Calculation-sheet'!F4*'Output-Calculation-sheet'!F13</f>
        <v>242.82749537111511</v>
      </c>
      <c r="G27" s="2">
        <f>G5/'Output-Calculation-sheet'!G4*'Output-Calculation-sheet'!G13</f>
        <v>159.01580217807515</v>
      </c>
      <c r="H27" s="2">
        <f>H5/'Output-Calculation-sheet'!H4*'Output-Calculation-sheet'!H13</f>
        <v>0</v>
      </c>
      <c r="I27" s="2">
        <f>I5/'Output-Calculation-sheet'!I4*'Output-Calculation-sheet'!I13</f>
        <v>155.02022792977669</v>
      </c>
      <c r="J27" s="2">
        <f>J5/'Output-Calculation-sheet'!J4*'Output-Calculation-sheet'!J13</f>
        <v>137.99817189254861</v>
      </c>
      <c r="K27" s="2">
        <f>K5/'Output-Calculation-sheet'!K4*'Output-Calculation-sheet'!K13</f>
        <v>184.24557097933075</v>
      </c>
      <c r="L27" s="2">
        <f>L5/'Output-Calculation-sheet'!L4*'Output-Calculation-sheet'!L13</f>
        <v>155.62778354434798</v>
      </c>
      <c r="M27" s="2">
        <f>M5/'Output-Calculation-sheet'!M4*'Output-Calculation-sheet'!M13</f>
        <v>0</v>
      </c>
      <c r="N27" s="2">
        <f>N5/'Output-Calculation-sheet'!N4*'Output-Calculation-sheet'!N13</f>
        <v>298.70996831696249</v>
      </c>
      <c r="O27" s="2">
        <f>O5/'Output-Calculation-sheet'!O4*'Output-Calculation-sheet'!O13</f>
        <v>0</v>
      </c>
      <c r="P27" s="2">
        <f>P5/'Output-Calculation-sheet'!P4*'Output-Calculation-sheet'!P13</f>
        <v>182.4874100205131</v>
      </c>
      <c r="Q27" s="2">
        <f>Q5/'Output-Calculation-sheet'!Q4*'Output-Calculation-sheet'!Q13</f>
        <v>203.08851457760323</v>
      </c>
      <c r="R27" s="2">
        <f>R5/'Output-Calculation-sheet'!R4*'Output-Calculation-sheet'!R13</f>
        <v>137.29654783747617</v>
      </c>
      <c r="S27" s="2">
        <f>S5/'Output-Calculation-sheet'!S4*'Output-Calculation-sheet'!S13</f>
        <v>158.46088170778449</v>
      </c>
      <c r="T27" s="2">
        <f>T5/'Output-Calculation-sheet'!T4*'Output-Calculation-sheet'!T13</f>
        <v>41.614483279902437</v>
      </c>
      <c r="U27" s="2">
        <f>U5/'Output-Calculation-sheet'!U4*'Output-Calculation-sheet'!U13</f>
        <v>41.541576899447783</v>
      </c>
      <c r="V27" s="2">
        <f>V5/'Output-Calculation-sheet'!V4*'Output-Calculation-sheet'!V13</f>
        <v>32.331009028422002</v>
      </c>
      <c r="W27" s="2">
        <f>W5/'Output-Calculation-sheet'!W4*'Output-Calculation-sheet'!W13</f>
        <v>19.609201796962768</v>
      </c>
      <c r="X27" s="2">
        <f>X5/'Output-Calculation-sheet'!X4*'Output-Calculation-sheet'!X13</f>
        <v>0</v>
      </c>
      <c r="Y27" s="2">
        <f>Y5/'Output-Calculation-sheet'!Y4*'Output-Calculation-sheet'!Y13</f>
        <v>16.579717952772711</v>
      </c>
      <c r="AA27" s="2">
        <f t="shared" ref="AA27:AA34" si="1">SUM(B27:Y27)/1000</f>
        <v>5.599209220999831</v>
      </c>
    </row>
    <row r="28" spans="1:27" x14ac:dyDescent="0.25">
      <c r="A28" s="2">
        <v>2029</v>
      </c>
      <c r="B28" s="2">
        <f>B6/'Output-Calculation-sheet'!B5*'Output-Calculation-sheet'!B14</f>
        <v>6975.0614014457879</v>
      </c>
      <c r="C28" s="2">
        <f>C6/'Output-Calculation-sheet'!C5*'Output-Calculation-sheet'!C14</f>
        <v>0</v>
      </c>
      <c r="D28" s="2">
        <f>D6/'Output-Calculation-sheet'!D5*'Output-Calculation-sheet'!D14</f>
        <v>1245.9238393254443</v>
      </c>
      <c r="E28" s="2">
        <f>E6/'Output-Calculation-sheet'!E5*'Output-Calculation-sheet'!E14</f>
        <v>1340.5773800615191</v>
      </c>
      <c r="F28" s="2">
        <f>F6/'Output-Calculation-sheet'!F5*'Output-Calculation-sheet'!F14</f>
        <v>676.32842181815863</v>
      </c>
      <c r="G28" s="2">
        <f>G6/'Output-Calculation-sheet'!G5*'Output-Calculation-sheet'!G14</f>
        <v>442.9147876716487</v>
      </c>
      <c r="H28" s="2">
        <f>H6/'Output-Calculation-sheet'!H5*'Output-Calculation-sheet'!H14</f>
        <v>0</v>
      </c>
      <c r="I28" s="2">
        <f>I6/'Output-Calculation-sheet'!I5*'Output-Calculation-sheet'!I14</f>
        <v>431.78571184665856</v>
      </c>
      <c r="J28" s="2">
        <f>J6/'Output-Calculation-sheet'!J5*'Output-Calculation-sheet'!J14</f>
        <v>384.35329961501031</v>
      </c>
      <c r="K28" s="2">
        <f>K6/'Output-Calculation-sheet'!K5*'Output-Calculation-sheet'!K14</f>
        <v>513.18854372954593</v>
      </c>
      <c r="L28" s="2">
        <f>L6/'Output-Calculation-sheet'!L5*'Output-Calculation-sheet'!L14</f>
        <v>433.47796734794025</v>
      </c>
      <c r="M28" s="2">
        <f>M6/'Output-Calculation-sheet'!M5*'Output-Calculation-sheet'!M14</f>
        <v>0</v>
      </c>
      <c r="N28" s="2">
        <f>N6/'Output-Calculation-sheet'!N5*'Output-Calculation-sheet'!N14</f>
        <v>832.02677253838363</v>
      </c>
      <c r="O28" s="2">
        <f>O6/'Output-Calculation-sheet'!O5*'Output-Calculation-sheet'!O14</f>
        <v>0</v>
      </c>
      <c r="P28" s="2">
        <f>P6/'Output-Calculation-sheet'!P5*'Output-Calculation-sheet'!P14</f>
        <v>508.2914487421229</v>
      </c>
      <c r="Q28" s="2">
        <f>Q6/'Output-Calculation-sheet'!Q5*'Output-Calculation-sheet'!Q14</f>
        <v>565.68565791721255</v>
      </c>
      <c r="R28" s="2">
        <f>R6/'Output-Calculation-sheet'!R5*'Output-Calculation-sheet'!R14</f>
        <v>382.41904578380706</v>
      </c>
      <c r="S28" s="2">
        <f>S6/'Output-Calculation-sheet'!S5*'Output-Calculation-sheet'!S14</f>
        <v>441.37758385742876</v>
      </c>
      <c r="T28" s="2">
        <f>T6/'Output-Calculation-sheet'!T5*'Output-Calculation-sheet'!T14</f>
        <v>115.91093321242691</v>
      </c>
      <c r="U28" s="2">
        <f>U6/'Output-Calculation-sheet'!U5*'Output-Calculation-sheet'!U14</f>
        <v>115.70374535854505</v>
      </c>
      <c r="V28" s="2">
        <f>V6/'Output-Calculation-sheet'!V5*'Output-Calculation-sheet'!V14</f>
        <v>90.050025661151054</v>
      </c>
      <c r="W28" s="2">
        <f>W6/'Output-Calculation-sheet'!W5*'Output-Calculation-sheet'!W14</f>
        <v>54.621255024991989</v>
      </c>
      <c r="X28" s="2">
        <f>X6/'Output-Calculation-sheet'!X5*'Output-Calculation-sheet'!X14</f>
        <v>0</v>
      </c>
      <c r="Y28" s="2">
        <f>Y6/'Output-Calculation-sheet'!Y5*'Output-Calculation-sheet'!Y14</f>
        <v>46.18033023211477</v>
      </c>
      <c r="AA28" s="2">
        <f t="shared" si="1"/>
        <v>15.595878151189893</v>
      </c>
    </row>
    <row r="29" spans="1:27" x14ac:dyDescent="0.25">
      <c r="A29" s="2">
        <v>2030</v>
      </c>
      <c r="B29" s="2">
        <f>B7/'Output-Calculation-sheet'!B6*'Output-Calculation-sheet'!B15</f>
        <v>13552.6126352148</v>
      </c>
      <c r="C29" s="2">
        <f>C7/'Output-Calculation-sheet'!C6*'Output-Calculation-sheet'!C15</f>
        <v>0</v>
      </c>
      <c r="D29" s="2">
        <f>D7/'Output-Calculation-sheet'!D6*'Output-Calculation-sheet'!D15</f>
        <v>2370.7665856164185</v>
      </c>
      <c r="E29" s="2">
        <f>E7/'Output-Calculation-sheet'!E6*'Output-Calculation-sheet'!E15</f>
        <v>2550.8006949201194</v>
      </c>
      <c r="F29" s="2">
        <f>F7/'Output-Calculation-sheet'!F6*'Output-Calculation-sheet'!F15</f>
        <v>1286.9283360530835</v>
      </c>
      <c r="G29" s="2">
        <f>G7/'Output-Calculation-sheet'!G6*'Output-Calculation-sheet'!G15</f>
        <v>842.77219598129716</v>
      </c>
      <c r="H29" s="2">
        <f>H7/'Output-Calculation-sheet'!H6*'Output-Calculation-sheet'!H15</f>
        <v>0</v>
      </c>
      <c r="I29" s="2">
        <f>I7/'Output-Calculation-sheet'!I6*'Output-Calculation-sheet'!I15</f>
        <v>821.59594282078501</v>
      </c>
      <c r="J29" s="2">
        <f>J7/'Output-Calculation-sheet'!J6*'Output-Calculation-sheet'!J15</f>
        <v>731.35489294473336</v>
      </c>
      <c r="K29" s="2">
        <f>K7/'Output-Calculation-sheet'!K6*'Output-Calculation-sheet'!K15</f>
        <v>976.51335185901678</v>
      </c>
      <c r="L29" s="2">
        <f>L7/'Output-Calculation-sheet'!L6*'Output-Calculation-sheet'!L15</f>
        <v>824.83599291676478</v>
      </c>
      <c r="M29" s="2">
        <f>M7/'Output-Calculation-sheet'!M6*'Output-Calculation-sheet'!M15</f>
        <v>0</v>
      </c>
      <c r="N29" s="2">
        <f>N7/'Output-Calculation-sheet'!N6*'Output-Calculation-sheet'!N15</f>
        <v>1064.191500591799</v>
      </c>
      <c r="O29" s="2">
        <f>O7/'Output-Calculation-sheet'!O6*'Output-Calculation-sheet'!O15</f>
        <v>0</v>
      </c>
      <c r="P29" s="2">
        <f>P7/'Output-Calculation-sheet'!P6*'Output-Calculation-sheet'!P15</f>
        <v>967.17001188157531</v>
      </c>
      <c r="Q29" s="2">
        <f>Q7/'Output-Calculation-sheet'!Q6*'Output-Calculation-sheet'!Q15</f>
        <v>1089.8124823691437</v>
      </c>
      <c r="R29" s="2">
        <f>R7/'Output-Calculation-sheet'!R6*'Output-Calculation-sheet'!R15</f>
        <v>727.66172629851314</v>
      </c>
      <c r="S29" s="2">
        <f>S7/'Output-Calculation-sheet'!S6*'Output-Calculation-sheet'!S15</f>
        <v>751.59757644000138</v>
      </c>
      <c r="T29" s="2">
        <f>T7/'Output-Calculation-sheet'!T6*'Output-Calculation-sheet'!T15</f>
        <v>220.55373728929908</v>
      </c>
      <c r="U29" s="2">
        <f>U7/'Output-Calculation-sheet'!U6*'Output-Calculation-sheet'!U15</f>
        <v>220.1621149747352</v>
      </c>
      <c r="V29" s="2">
        <f>V7/'Output-Calculation-sheet'!V6*'Output-Calculation-sheet'!V15</f>
        <v>171.34797035911538</v>
      </c>
      <c r="W29" s="2">
        <f>W7/'Output-Calculation-sheet'!W6*'Output-Calculation-sheet'!W15</f>
        <v>103.93083250045947</v>
      </c>
      <c r="X29" s="2">
        <f>X7/'Output-Calculation-sheet'!X6*'Output-Calculation-sheet'!X15</f>
        <v>0</v>
      </c>
      <c r="Y29" s="2">
        <f>Y7/'Output-Calculation-sheet'!Y6*'Output-Calculation-sheet'!Y15</f>
        <v>87.871300313670062</v>
      </c>
      <c r="AA29" s="2">
        <f t="shared" si="1"/>
        <v>29.362479881345326</v>
      </c>
    </row>
    <row r="30" spans="1:27" x14ac:dyDescent="0.25">
      <c r="A30" s="2">
        <v>2031</v>
      </c>
      <c r="B30" s="2">
        <f>B8/'Output-Calculation-sheet'!B7*'Output-Calculation-sheet'!B16</f>
        <v>21703.537237293542</v>
      </c>
      <c r="C30" s="2">
        <f>C8/'Output-Calculation-sheet'!C7*'Output-Calculation-sheet'!C16</f>
        <v>0</v>
      </c>
      <c r="D30" s="2">
        <f>D8/'Output-Calculation-sheet'!D7*'Output-Calculation-sheet'!D16</f>
        <v>3654.5887574843405</v>
      </c>
      <c r="E30" s="2">
        <f>E8/'Output-Calculation-sheet'!E7*'Output-Calculation-sheet'!E16</f>
        <v>3932.1310266165328</v>
      </c>
      <c r="F30" s="2">
        <f>F8/'Output-Calculation-sheet'!F7*'Output-Calculation-sheet'!F16</f>
        <v>1983.7810268674946</v>
      </c>
      <c r="G30" s="2">
        <f>G8/'Output-Calculation-sheet'!G7*'Output-Calculation-sheet'!G16</f>
        <v>1299.1409557209163</v>
      </c>
      <c r="H30" s="2">
        <f>H8/'Output-Calculation-sheet'!H7*'Output-Calculation-sheet'!H16</f>
        <v>0</v>
      </c>
      <c r="I30" s="2">
        <f>I8/'Output-Calculation-sheet'!I7*'Output-Calculation-sheet'!I16</f>
        <v>1266.4679097525275</v>
      </c>
      <c r="J30" s="2">
        <f>J8/'Output-Calculation-sheet'!J7*'Output-Calculation-sheet'!J16</f>
        <v>1127.3999609545099</v>
      </c>
      <c r="K30" s="2">
        <f>K8/'Output-Calculation-sheet'!K7*'Output-Calculation-sheet'!K16</f>
        <v>1505.2944388867145</v>
      </c>
      <c r="L30" s="2">
        <f>L8/'Output-Calculation-sheet'!L7*'Output-Calculation-sheet'!L16</f>
        <v>1271.4844100012049</v>
      </c>
      <c r="M30" s="2">
        <f>M8/'Output-Calculation-sheet'!M7*'Output-Calculation-sheet'!M16</f>
        <v>0</v>
      </c>
      <c r="N30" s="2">
        <f>N8/'Output-Calculation-sheet'!N7*'Output-Calculation-sheet'!N16</f>
        <v>1806.0364834064092</v>
      </c>
      <c r="O30" s="2">
        <f>O8/'Output-Calculation-sheet'!O7*'Output-Calculation-sheet'!O16</f>
        <v>0</v>
      </c>
      <c r="P30" s="2">
        <f>P8/'Output-Calculation-sheet'!P7*'Output-Calculation-sheet'!P16</f>
        <v>1623.2063304962246</v>
      </c>
      <c r="Q30" s="2">
        <f>Q8/'Output-Calculation-sheet'!Q7*'Output-Calculation-sheet'!Q16</f>
        <v>1784.9908836911525</v>
      </c>
      <c r="R30" s="2">
        <f>R8/'Output-Calculation-sheet'!R7*'Output-Calculation-sheet'!R16</f>
        <v>1132.5844739581023</v>
      </c>
      <c r="S30" s="2">
        <f>S8/'Output-Calculation-sheet'!S7*'Output-Calculation-sheet'!S16</f>
        <v>1139.0478700885742</v>
      </c>
      <c r="T30" s="2">
        <f>T8/'Output-Calculation-sheet'!T7*'Output-Calculation-sheet'!T16</f>
        <v>339.98557904038717</v>
      </c>
      <c r="U30" s="2">
        <f>U8/'Output-Calculation-sheet'!U7*'Output-Calculation-sheet'!U16</f>
        <v>339.37786343910676</v>
      </c>
      <c r="V30" s="2">
        <f>V8/'Output-Calculation-sheet'!V7*'Output-Calculation-sheet'!V16</f>
        <v>264.13134006004032</v>
      </c>
      <c r="W30" s="2">
        <f>W8/'Output-Calculation-sheet'!W7*'Output-Calculation-sheet'!W16</f>
        <v>160.20897327707809</v>
      </c>
      <c r="X30" s="2">
        <f>X8/'Output-Calculation-sheet'!X7*'Output-Calculation-sheet'!X16</f>
        <v>0</v>
      </c>
      <c r="Y30" s="2">
        <f>Y8/'Output-Calculation-sheet'!Y7*'Output-Calculation-sheet'!Y16</f>
        <v>135.59868214589898</v>
      </c>
      <c r="AA30" s="2">
        <f t="shared" si="1"/>
        <v>46.468994203180742</v>
      </c>
    </row>
    <row r="31" spans="1:27" x14ac:dyDescent="0.25">
      <c r="A31" s="2">
        <v>2032</v>
      </c>
      <c r="B31" s="2">
        <f>B9/'Output-Calculation-sheet'!B8*'Output-Calculation-sheet'!B17</f>
        <v>28122.703232383756</v>
      </c>
      <c r="C31" s="2">
        <f>C9/'Output-Calculation-sheet'!C8*'Output-Calculation-sheet'!C17</f>
        <v>0</v>
      </c>
      <c r="D31" s="2">
        <f>D9/'Output-Calculation-sheet'!D8*'Output-Calculation-sheet'!D17</f>
        <v>4716.5465730263959</v>
      </c>
      <c r="E31" s="2">
        <f>E9/'Output-Calculation-sheet'!E8*'Output-Calculation-sheet'!E17</f>
        <v>5543.6560832625137</v>
      </c>
      <c r="F31" s="2">
        <f>F9/'Output-Calculation-sheet'!F8*'Output-Calculation-sheet'!F17</f>
        <v>2560.2945035527182</v>
      </c>
      <c r="G31" s="2">
        <f>G9/'Output-Calculation-sheet'!G8*'Output-Calculation-sheet'!G17</f>
        <v>1676.6732754109948</v>
      </c>
      <c r="H31" s="2">
        <f>H9/'Output-Calculation-sheet'!H8*'Output-Calculation-sheet'!H17</f>
        <v>0</v>
      </c>
      <c r="I31" s="2">
        <f>I9/'Output-Calculation-sheet'!I8*'Output-Calculation-sheet'!I17</f>
        <v>1634.5130489843473</v>
      </c>
      <c r="J31" s="2">
        <f>J9/'Output-Calculation-sheet'!J8*'Output-Calculation-sheet'!J17</f>
        <v>1455.0316656009397</v>
      </c>
      <c r="K31" s="2">
        <f>K9/'Output-Calculation-sheet'!K8*'Output-Calculation-sheet'!K17</f>
        <v>2071.5787598862325</v>
      </c>
      <c r="L31" s="2">
        <f>L9/'Output-Calculation-sheet'!L8*'Output-Calculation-sheet'!L17</f>
        <v>1766.6925078445104</v>
      </c>
      <c r="M31" s="2">
        <f>M9/'Output-Calculation-sheet'!M8*'Output-Calculation-sheet'!M17</f>
        <v>0</v>
      </c>
      <c r="N31" s="2">
        <f>N9/'Output-Calculation-sheet'!N8*'Output-Calculation-sheet'!N17</f>
        <v>1920.5754461929221</v>
      </c>
      <c r="O31" s="2">
        <f>O9/'Output-Calculation-sheet'!O8*'Output-Calculation-sheet'!O17</f>
        <v>0</v>
      </c>
      <c r="P31" s="2">
        <f>P9/'Output-Calculation-sheet'!P8*'Output-Calculation-sheet'!P17</f>
        <v>2383.7322232882889</v>
      </c>
      <c r="Q31" s="2">
        <f>Q9/'Output-Calculation-sheet'!Q8*'Output-Calculation-sheet'!Q17</f>
        <v>2541.2775600705536</v>
      </c>
      <c r="R31" s="2">
        <f>R9/'Output-Calculation-sheet'!R8*'Output-Calculation-sheet'!R17</f>
        <v>1662.6380847600949</v>
      </c>
      <c r="S31" s="2">
        <f>S9/'Output-Calculation-sheet'!S8*'Output-Calculation-sheet'!S17</f>
        <v>1430.6262876826625</v>
      </c>
      <c r="T31" s="2">
        <f>T9/'Output-Calculation-sheet'!T8*'Output-Calculation-sheet'!T17</f>
        <v>451.16899165494476</v>
      </c>
      <c r="U31" s="2">
        <f>U9/'Output-Calculation-sheet'!U8*'Output-Calculation-sheet'!U17</f>
        <v>518.53700479066026</v>
      </c>
      <c r="V31" s="2">
        <f>V9/'Output-Calculation-sheet'!V8*'Output-Calculation-sheet'!V17</f>
        <v>371.40345251312772</v>
      </c>
      <c r="W31" s="2">
        <f>W9/'Output-Calculation-sheet'!W8*'Output-Calculation-sheet'!W17</f>
        <v>206.76906501013983</v>
      </c>
      <c r="X31" s="2">
        <f>X9/'Output-Calculation-sheet'!X8*'Output-Calculation-sheet'!X17</f>
        <v>0</v>
      </c>
      <c r="Y31" s="2">
        <f>Y9/'Output-Calculation-sheet'!Y8*'Output-Calculation-sheet'!Y17</f>
        <v>199.78371384608005</v>
      </c>
      <c r="AA31" s="2">
        <f t="shared" si="1"/>
        <v>61.234201479761893</v>
      </c>
    </row>
    <row r="32" spans="1:27" x14ac:dyDescent="0.25">
      <c r="A32" s="2">
        <v>2033</v>
      </c>
      <c r="B32" s="2">
        <f>B10/'Output-Calculation-sheet'!B9*'Output-Calculation-sheet'!B18</f>
        <v>28361.994823007797</v>
      </c>
      <c r="C32" s="2">
        <f>C10/'Output-Calculation-sheet'!C9*'Output-Calculation-sheet'!C18</f>
        <v>0</v>
      </c>
      <c r="D32" s="2">
        <f>D10/'Output-Calculation-sheet'!D9*'Output-Calculation-sheet'!D18</f>
        <v>5448.2443865168598</v>
      </c>
      <c r="E32" s="2">
        <f>E10/'Output-Calculation-sheet'!E9*'Output-Calculation-sheet'!E18</f>
        <v>7610.9201353726603</v>
      </c>
      <c r="F32" s="2">
        <f>F10/'Output-Calculation-sheet'!F9*'Output-Calculation-sheet'!F18</f>
        <v>3072.4219216916435</v>
      </c>
      <c r="G32" s="2">
        <f>G10/'Output-Calculation-sheet'!G9*'Output-Calculation-sheet'!G18</f>
        <v>1916.7122883567597</v>
      </c>
      <c r="H32" s="2">
        <f>H10/'Output-Calculation-sheet'!H9*'Output-Calculation-sheet'!H18</f>
        <v>0</v>
      </c>
      <c r="I32" s="2">
        <f>I10/'Output-Calculation-sheet'!I9*'Output-Calculation-sheet'!I18</f>
        <v>2023.59809430819</v>
      </c>
      <c r="J32" s="2">
        <f>J10/'Output-Calculation-sheet'!J9*'Output-Calculation-sheet'!J18</f>
        <v>1624.2051990701336</v>
      </c>
      <c r="K32" s="2">
        <f>K10/'Output-Calculation-sheet'!K9*'Output-Calculation-sheet'!K18</f>
        <v>2703.2898996487779</v>
      </c>
      <c r="L32" s="2">
        <f>L10/'Output-Calculation-sheet'!L9*'Output-Calculation-sheet'!L18</f>
        <v>2335.2010199053498</v>
      </c>
      <c r="M32" s="2">
        <f>M10/'Output-Calculation-sheet'!M9*'Output-Calculation-sheet'!M18</f>
        <v>0</v>
      </c>
      <c r="N32" s="2">
        <f>N10/'Output-Calculation-sheet'!N9*'Output-Calculation-sheet'!N18</f>
        <v>1728.2815321521703</v>
      </c>
      <c r="O32" s="2">
        <f>O10/'Output-Calculation-sheet'!O9*'Output-Calculation-sheet'!O18</f>
        <v>0</v>
      </c>
      <c r="P32" s="2">
        <f>P10/'Output-Calculation-sheet'!P9*'Output-Calculation-sheet'!P18</f>
        <v>2782.5032905409153</v>
      </c>
      <c r="Q32" s="2">
        <f>Q10/'Output-Calculation-sheet'!Q9*'Output-Calculation-sheet'!Q18</f>
        <v>3028.8328436702186</v>
      </c>
      <c r="R32" s="2">
        <f>R10/'Output-Calculation-sheet'!R9*'Output-Calculation-sheet'!R18</f>
        <v>1997.9818768603354</v>
      </c>
      <c r="S32" s="2">
        <f>S10/'Output-Calculation-sheet'!S9*'Output-Calculation-sheet'!S18</f>
        <v>1311.0873237313156</v>
      </c>
      <c r="T32" s="2">
        <f>T10/'Output-Calculation-sheet'!T9*'Output-Calculation-sheet'!T18</f>
        <v>583.19699233466554</v>
      </c>
      <c r="U32" s="2">
        <f>U10/'Output-Calculation-sheet'!U9*'Output-Calculation-sheet'!U18</f>
        <v>645.00923284817293</v>
      </c>
      <c r="V32" s="2">
        <f>V10/'Output-Calculation-sheet'!V9*'Output-Calculation-sheet'!V18</f>
        <v>476.32528439429871</v>
      </c>
      <c r="W32" s="2">
        <f>W10/'Output-Calculation-sheet'!W9*'Output-Calculation-sheet'!W18</f>
        <v>237.60468705164328</v>
      </c>
      <c r="X32" s="2">
        <f>X10/'Output-Calculation-sheet'!X9*'Output-Calculation-sheet'!X18</f>
        <v>0</v>
      </c>
      <c r="Y32" s="2">
        <f>Y10/'Output-Calculation-sheet'!Y9*'Output-Calculation-sheet'!Y18</f>
        <v>275.93167746439246</v>
      </c>
      <c r="AA32" s="2">
        <f t="shared" si="1"/>
        <v>68.163342508926306</v>
      </c>
    </row>
    <row r="33" spans="1:27" x14ac:dyDescent="0.25">
      <c r="A33" s="2">
        <v>2034</v>
      </c>
      <c r="B33" s="2">
        <f>B11/'Output-Calculation-sheet'!B10*'Output-Calculation-sheet'!B19</f>
        <v>22604.471478939413</v>
      </c>
      <c r="C33" s="2">
        <f>C11/'Output-Calculation-sheet'!C10*'Output-Calculation-sheet'!C19</f>
        <v>0</v>
      </c>
      <c r="D33" s="2">
        <f>D11/'Output-Calculation-sheet'!D10*'Output-Calculation-sheet'!D19</f>
        <v>6742.6655673088126</v>
      </c>
      <c r="E33" s="2">
        <f>E11/'Output-Calculation-sheet'!E10*'Output-Calculation-sheet'!E19</f>
        <v>8351.2421728407262</v>
      </c>
      <c r="F33" s="2">
        <f>F11/'Output-Calculation-sheet'!F10*'Output-Calculation-sheet'!F19</f>
        <v>3832.1472200639982</v>
      </c>
      <c r="G33" s="2">
        <f>G11/'Output-Calculation-sheet'!G10*'Output-Calculation-sheet'!G19</f>
        <v>2295.1395883371038</v>
      </c>
      <c r="H33" s="2">
        <f>H11/'Output-Calculation-sheet'!H10*'Output-Calculation-sheet'!H19</f>
        <v>0</v>
      </c>
      <c r="I33" s="2">
        <f>I11/'Output-Calculation-sheet'!I10*'Output-Calculation-sheet'!I19</f>
        <v>2504.3191439669913</v>
      </c>
      <c r="J33" s="2">
        <f>J11/'Output-Calculation-sheet'!J10*'Output-Calculation-sheet'!J19</f>
        <v>2117.5632159326219</v>
      </c>
      <c r="K33" s="2">
        <f>K11/'Output-Calculation-sheet'!K10*'Output-Calculation-sheet'!K19</f>
        <v>2938.4245384624942</v>
      </c>
      <c r="L33" s="2">
        <f>L11/'Output-Calculation-sheet'!L10*'Output-Calculation-sheet'!L19</f>
        <v>2389.6391533486062</v>
      </c>
      <c r="M33" s="2">
        <f>M11/'Output-Calculation-sheet'!M10*'Output-Calculation-sheet'!M19</f>
        <v>0</v>
      </c>
      <c r="N33" s="2">
        <f>N11/'Output-Calculation-sheet'!N10*'Output-Calculation-sheet'!N19</f>
        <v>1351.239400538396</v>
      </c>
      <c r="O33" s="2">
        <f>O11/'Output-Calculation-sheet'!O10*'Output-Calculation-sheet'!O19</f>
        <v>0</v>
      </c>
      <c r="P33" s="2">
        <f>P11/'Output-Calculation-sheet'!P10*'Output-Calculation-sheet'!P19</f>
        <v>2973.1672906064114</v>
      </c>
      <c r="Q33" s="2">
        <f>Q11/'Output-Calculation-sheet'!Q10*'Output-Calculation-sheet'!Q19</f>
        <v>2448.3720502737206</v>
      </c>
      <c r="R33" s="2">
        <f>R11/'Output-Calculation-sheet'!R10*'Output-Calculation-sheet'!R19</f>
        <v>2122.7935236206804</v>
      </c>
      <c r="S33" s="2">
        <f>S11/'Output-Calculation-sheet'!S10*'Output-Calculation-sheet'!S19</f>
        <v>989.57159611249358</v>
      </c>
      <c r="T33" s="2">
        <f>T11/'Output-Calculation-sheet'!T10*'Output-Calculation-sheet'!T19</f>
        <v>622.88915691788065</v>
      </c>
      <c r="U33" s="2">
        <f>U11/'Output-Calculation-sheet'!U10*'Output-Calculation-sheet'!U19</f>
        <v>716.89176175580269</v>
      </c>
      <c r="V33" s="2">
        <f>V11/'Output-Calculation-sheet'!V10*'Output-Calculation-sheet'!V19</f>
        <v>488.46666830011418</v>
      </c>
      <c r="W33" s="2">
        <f>W11/'Output-Calculation-sheet'!W10*'Output-Calculation-sheet'!W19</f>
        <v>304.61445171805735</v>
      </c>
      <c r="X33" s="2">
        <f>X11/'Output-Calculation-sheet'!X10*'Output-Calculation-sheet'!X19</f>
        <v>88.079109111970538</v>
      </c>
      <c r="Y33" s="2">
        <f>Y11/'Output-Calculation-sheet'!Y10*'Output-Calculation-sheet'!Y19</f>
        <v>274.14195158659368</v>
      </c>
      <c r="AA33" s="2">
        <f t="shared" si="1"/>
        <v>66.155839039742901</v>
      </c>
    </row>
    <row r="34" spans="1:27" x14ac:dyDescent="0.25">
      <c r="A34" s="2">
        <v>2035</v>
      </c>
      <c r="B34" s="2">
        <f>B12/'Output-Calculation-sheet'!B11*'Output-Calculation-sheet'!B20</f>
        <v>16314.678257782798</v>
      </c>
      <c r="C34" s="2">
        <f>C12/'Output-Calculation-sheet'!C11*'Output-Calculation-sheet'!C20</f>
        <v>0</v>
      </c>
      <c r="D34" s="2">
        <f>D12/'Output-Calculation-sheet'!D11*'Output-Calculation-sheet'!D20</f>
        <v>5120.043578315649</v>
      </c>
      <c r="E34" s="2">
        <f>E12/'Output-Calculation-sheet'!E11*'Output-Calculation-sheet'!E20</f>
        <v>5594.3999705264305</v>
      </c>
      <c r="F34" s="2">
        <f>F12/'Output-Calculation-sheet'!F11*'Output-Calculation-sheet'!F20</f>
        <v>3524.7343114446885</v>
      </c>
      <c r="G34" s="2">
        <f>G12/'Output-Calculation-sheet'!G11*'Output-Calculation-sheet'!G20</f>
        <v>1883.5133685475901</v>
      </c>
      <c r="H34" s="2">
        <f>H12/'Output-Calculation-sheet'!H11*'Output-Calculation-sheet'!H20</f>
        <v>0</v>
      </c>
      <c r="I34" s="2">
        <f>I12/'Output-Calculation-sheet'!I11*'Output-Calculation-sheet'!I20</f>
        <v>2047.1225555029566</v>
      </c>
      <c r="J34" s="2">
        <f>J12/'Output-Calculation-sheet'!J11*'Output-Calculation-sheet'!J20</f>
        <v>1757.4564816383959</v>
      </c>
      <c r="K34" s="2">
        <f>K12/'Output-Calculation-sheet'!K11*'Output-Calculation-sheet'!K20</f>
        <v>2310.6273707316468</v>
      </c>
      <c r="L34" s="2">
        <f>L12/'Output-Calculation-sheet'!L11*'Output-Calculation-sheet'!L20</f>
        <v>1826.1258212449334</v>
      </c>
      <c r="M34" s="2">
        <f>M12/'Output-Calculation-sheet'!M11*'Output-Calculation-sheet'!M20</f>
        <v>0</v>
      </c>
      <c r="N34" s="2">
        <f>N12/'Output-Calculation-sheet'!N11*'Output-Calculation-sheet'!N20</f>
        <v>1016.2393198352033</v>
      </c>
      <c r="O34" s="2">
        <f>O12/'Output-Calculation-sheet'!O11*'Output-Calculation-sheet'!O20</f>
        <v>0</v>
      </c>
      <c r="P34" s="2">
        <f>P12/'Output-Calculation-sheet'!P11*'Output-Calculation-sheet'!P20</f>
        <v>2271.1092477209636</v>
      </c>
      <c r="Q34" s="2">
        <f>Q12/'Output-Calculation-sheet'!Q11*'Output-Calculation-sheet'!Q20</f>
        <v>1797.061549765546</v>
      </c>
      <c r="R34" s="2">
        <f>R12/'Output-Calculation-sheet'!R11*'Output-Calculation-sheet'!R20</f>
        <v>1803.7108350554247</v>
      </c>
      <c r="S34" s="2">
        <f>S12/'Output-Calculation-sheet'!S11*'Output-Calculation-sheet'!S20</f>
        <v>688.973772888388</v>
      </c>
      <c r="T34" s="2">
        <f>T12/'Output-Calculation-sheet'!T11*'Output-Calculation-sheet'!T20</f>
        <v>566.67022640322625</v>
      </c>
      <c r="U34" s="2">
        <f>U12/'Output-Calculation-sheet'!U11*'Output-Calculation-sheet'!U20</f>
        <v>516.99877000878087</v>
      </c>
      <c r="V34" s="2">
        <f>V12/'Output-Calculation-sheet'!V11*'Output-Calculation-sheet'!V20</f>
        <v>474.9163623964921</v>
      </c>
      <c r="W34" s="2">
        <f>W12/'Output-Calculation-sheet'!W11*'Output-Calculation-sheet'!W20</f>
        <v>305.54441675467604</v>
      </c>
      <c r="X34" s="2">
        <f>X12/'Output-Calculation-sheet'!X11*'Output-Calculation-sheet'!X20</f>
        <v>61.751676195995721</v>
      </c>
      <c r="Y34" s="2">
        <f>Y12/'Output-Calculation-sheet'!Y11*'Output-Calculation-sheet'!Y20</f>
        <v>171.26918840225613</v>
      </c>
      <c r="AA34" s="2">
        <f t="shared" si="1"/>
        <v>50.052947081162017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1.0232768645849679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0.19879516631024693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1.2220720308952149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1.1830429001126419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0.45966681788596414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1.6427097179986061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1.2214695598956713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0.71189602552242959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1.9333655854181009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1.1362552022145862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0.66223145381112769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1.7984866560257138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1.9141698737126445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0.2946205511018094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0.2027277694296947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0.74374342186483056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0.17457198219420469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2.2239736071152497E-2</v>
      </c>
      <c r="Y44" s="2">
        <f>Y11/'Output-Calculation-sheet'!Y10*'Output-Calculation-sheet'!Y37*0.0114</f>
        <v>0</v>
      </c>
      <c r="AA44" s="2">
        <f t="shared" si="2"/>
        <v>3.3520733343743361</v>
      </c>
    </row>
    <row r="45" spans="1:27" x14ac:dyDescent="0.25">
      <c r="A45" s="2">
        <v>2035</v>
      </c>
      <c r="B45" s="2">
        <f>B12/'Output-Calculation-sheet'!B11*'Output-Calculation-sheet'!B38*0.0114</f>
        <v>1.5248862991827685</v>
      </c>
      <c r="C45" s="2">
        <f>C12/'Output-Calculation-sheet'!C11*'Output-Calculation-sheet'!C38*0.0114</f>
        <v>1.4474900958075354</v>
      </c>
      <c r="D45" s="2">
        <f>D12/'Output-Calculation-sheet'!D11*'Output-Calculation-sheet'!D38*0.0114</f>
        <v>0.64111615290523494</v>
      </c>
      <c r="E45" s="2">
        <f>E12/'Output-Calculation-sheet'!E11*'Output-Calculation-sheet'!E38*0.0114</f>
        <v>0.50951633509627947</v>
      </c>
      <c r="F45" s="2">
        <f>F12/'Output-Calculation-sheet'!F11*'Output-Calculation-sheet'!F38*0.0114</f>
        <v>0.32045083538399144</v>
      </c>
      <c r="G45" s="2">
        <f>G12/'Output-Calculation-sheet'!G11*'Output-Calculation-sheet'!G38*0.0114</f>
        <v>0.22998213874129778</v>
      </c>
      <c r="H45" s="2">
        <f>H12/'Output-Calculation-sheet'!H11*'Output-Calculation-sheet'!H38*0.0114</f>
        <v>0.22279126612419312</v>
      </c>
      <c r="I45" s="2">
        <f>I12/'Output-Calculation-sheet'!I11*'Output-Calculation-sheet'!I38*0.0114</f>
        <v>0.20685520287126907</v>
      </c>
      <c r="J45" s="2">
        <f>J12/'Output-Calculation-sheet'!J11*'Output-Calculation-sheet'!J38*0.0114</f>
        <v>0.20471873674900082</v>
      </c>
      <c r="K45" s="2">
        <f>K12/'Output-Calculation-sheet'!K11*'Output-Calculation-sheet'!K38*0.0114</f>
        <v>0.20330610375058486</v>
      </c>
      <c r="L45" s="2">
        <f>L12/'Output-Calculation-sheet'!L11*'Output-Calculation-sheet'!L38*0.0114</f>
        <v>0.16165927162042804</v>
      </c>
      <c r="M45" s="2">
        <f>M12/'Output-Calculation-sheet'!M11*'Output-Calculation-sheet'!M38*0.0114</f>
        <v>0.15330219246710855</v>
      </c>
      <c r="N45" s="2">
        <f>N12/'Output-Calculation-sheet'!N11*'Output-Calculation-sheet'!N38*0.0114</f>
        <v>0.15067145592562514</v>
      </c>
      <c r="O45" s="2">
        <f>O12/'Output-Calculation-sheet'!O11*'Output-Calculation-sheet'!O38*0.0114</f>
        <v>0.56241676966908605</v>
      </c>
      <c r="P45" s="2">
        <f>P12/'Output-Calculation-sheet'!P11*'Output-Calculation-sheet'!P38*0.0114</f>
        <v>0.13919327665395545</v>
      </c>
      <c r="Q45" s="2">
        <f>Q12/'Output-Calculation-sheet'!Q11*'Output-Calculation-sheet'!Q38*0.0114</f>
        <v>0.13201086209840468</v>
      </c>
      <c r="R45" s="2">
        <f>R12/'Output-Calculation-sheet'!R11*'Output-Calculation-sheet'!R38*0.0114</f>
        <v>0.13091338477367662</v>
      </c>
      <c r="S45" s="2">
        <f>S12/'Output-Calculation-sheet'!S11*'Output-Calculation-sheet'!S38*0.0114</f>
        <v>8.6369845509331883E-2</v>
      </c>
      <c r="T45" s="2">
        <f>T12/'Output-Calculation-sheet'!T11*'Output-Calculation-sheet'!T38*0.0114</f>
        <v>4.8433352684036438E-2</v>
      </c>
      <c r="U45" s="2">
        <f>U12/'Output-Calculation-sheet'!U11*'Output-Calculation-sheet'!U38*0.0114</f>
        <v>4.2119531037662417E-2</v>
      </c>
      <c r="V45" s="2">
        <f>V12/'Output-Calculation-sheet'!V11*'Output-Calculation-sheet'!V38*0.0114</f>
        <v>3.2477978460098797E-2</v>
      </c>
      <c r="W45" s="2">
        <f>W12/'Output-Calculation-sheet'!W11*'Output-Calculation-sheet'!W38*0.0114</f>
        <v>2.8123486936258067E-2</v>
      </c>
      <c r="X45" s="2">
        <f>X12/'Output-Calculation-sheet'!X11*'Output-Calculation-sheet'!X38*0.0114</f>
        <v>1.681762843437137E-2</v>
      </c>
      <c r="Y45" s="2">
        <f>Y12/'Output-Calculation-sheet'!Y11*'Output-Calculation-sheet'!Y38*0.0114</f>
        <v>1.6229323367987363E-2</v>
      </c>
      <c r="AA45" s="2">
        <f t="shared" si="2"/>
        <v>7.2118515262501877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9335.1573611260246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2044.71404454815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1444.9893858442663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204.40594718443722</v>
      </c>
      <c r="Y51" s="2">
        <f>Y7/'Output-Calculation-sheet'!Y6*'Output-Calculation-sheet'!Y42</f>
        <v>0</v>
      </c>
      <c r="AA51" s="2">
        <f t="shared" si="3"/>
        <v>13.029266738702878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24283.512160206858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7922.4567949826151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5407.462422607141</v>
      </c>
      <c r="N52" s="2">
        <f>N8/'Output-Calculation-sheet'!N7*'Output-Calculation-sheet'!N43</f>
        <v>172.83472734641936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699.31491012289132</v>
      </c>
      <c r="Y52" s="2">
        <f>Y8/'Output-Calculation-sheet'!Y7*'Output-Calculation-sheet'!Y43</f>
        <v>0</v>
      </c>
      <c r="AA52" s="2">
        <f t="shared" si="3"/>
        <v>38.485581015265922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52394.61533236695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14479.543627023435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9895.2562939871605</v>
      </c>
      <c r="N53" s="2">
        <f>N9/'Output-Calculation-sheet'!N8*'Output-Calculation-sheet'!N44</f>
        <v>3524.3600016083633</v>
      </c>
      <c r="O53" s="2">
        <f>O9/'Output-Calculation-sheet'!O8*'Output-Calculation-sheet'!O44</f>
        <v>0</v>
      </c>
      <c r="P53" s="2">
        <f>P9/'Output-Calculation-sheet'!P8*'Output-Calculation-sheet'!P44</f>
        <v>164.85435986675233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1099.6457142665145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1237.4091802653177</v>
      </c>
      <c r="Y53" s="2">
        <f>Y9/'Output-Calculation-sheet'!Y8*'Output-Calculation-sheet'!Y44</f>
        <v>0</v>
      </c>
      <c r="AA53" s="2">
        <f t="shared" si="3"/>
        <v>82.795684509384486</v>
      </c>
    </row>
    <row r="54" spans="1:27" x14ac:dyDescent="0.25">
      <c r="A54" s="2">
        <v>2033</v>
      </c>
      <c r="B54" s="2">
        <f>B10/'Output-Calculation-sheet'!B9*'Output-Calculation-sheet'!B45</f>
        <v>26880.222554681004</v>
      </c>
      <c r="C54" s="2">
        <f>C10/'Output-Calculation-sheet'!C9*'Output-Calculation-sheet'!C45</f>
        <v>61596.992541106512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19483.066595151304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251.98712697785626</v>
      </c>
      <c r="L54" s="2">
        <f>L10/'Output-Calculation-sheet'!L9*'Output-Calculation-sheet'!L45</f>
        <v>0</v>
      </c>
      <c r="M54" s="2">
        <f>M10/'Output-Calculation-sheet'!M9*'Output-Calculation-sheet'!M45</f>
        <v>13364.031915259675</v>
      </c>
      <c r="N54" s="2">
        <f>N10/'Output-Calculation-sheet'!N9*'Output-Calculation-sheet'!N45</f>
        <v>7490.7208834920157</v>
      </c>
      <c r="O54" s="2">
        <f>O10/'Output-Calculation-sheet'!O9*'Output-Calculation-sheet'!O45</f>
        <v>0</v>
      </c>
      <c r="P54" s="2">
        <f>P10/'Output-Calculation-sheet'!P9*'Output-Calculation-sheet'!P45</f>
        <v>2031.9337866235196</v>
      </c>
      <c r="Q54" s="2">
        <f>Q10/'Output-Calculation-sheet'!Q9*'Output-Calculation-sheet'!Q45</f>
        <v>799.92224055827421</v>
      </c>
      <c r="R54" s="2">
        <f>R10/'Output-Calculation-sheet'!R9*'Output-Calculation-sheet'!R45</f>
        <v>1334.1393678785143</v>
      </c>
      <c r="S54" s="2">
        <f>S10/'Output-Calculation-sheet'!S9*'Output-Calculation-sheet'!S45</f>
        <v>3187.7361308583509</v>
      </c>
      <c r="T54" s="2">
        <f>T10/'Output-Calculation-sheet'!T9*'Output-Calculation-sheet'!T45</f>
        <v>66.700633880558769</v>
      </c>
      <c r="U54" s="2">
        <f>U10/'Output-Calculation-sheet'!U9*'Output-Calculation-sheet'!U45</f>
        <v>481.44540662960088</v>
      </c>
      <c r="V54" s="2">
        <f>V10/'Output-Calculation-sheet'!V9*'Output-Calculation-sheet'!V45</f>
        <v>35.781982958396071</v>
      </c>
      <c r="W54" s="2">
        <f>W10/'Output-Calculation-sheet'!W9*'Output-Calculation-sheet'!W45</f>
        <v>0</v>
      </c>
      <c r="X54" s="2">
        <f>X10/'Output-Calculation-sheet'!X9*'Output-Calculation-sheet'!X45</f>
        <v>1535.5491061359737</v>
      </c>
      <c r="Y54" s="2">
        <f>Y10/'Output-Calculation-sheet'!Y9*'Output-Calculation-sheet'!Y45</f>
        <v>15.645299515221875</v>
      </c>
      <c r="AA54" s="2">
        <f t="shared" si="3"/>
        <v>138.55587557170679</v>
      </c>
    </row>
    <row r="55" spans="1:27" x14ac:dyDescent="0.25">
      <c r="A55" s="2">
        <v>2034</v>
      </c>
      <c r="B55" s="2">
        <f>B11/'Output-Calculation-sheet'!B10*'Output-Calculation-sheet'!B46</f>
        <v>64387.100855575132</v>
      </c>
      <c r="C55" s="2">
        <f>C11/'Output-Calculation-sheet'!C10*'Output-Calculation-sheet'!C46</f>
        <v>52975.490803187655</v>
      </c>
      <c r="D55" s="2">
        <f>D11/'Output-Calculation-sheet'!D10*'Output-Calculation-sheet'!D46</f>
        <v>5949.5857825013791</v>
      </c>
      <c r="E55" s="2">
        <f>E11/'Output-Calculation-sheet'!E10*'Output-Calculation-sheet'!E46</f>
        <v>7328.9173119899933</v>
      </c>
      <c r="F55" s="2">
        <f>F11/'Output-Calculation-sheet'!F10*'Output-Calculation-sheet'!F46</f>
        <v>223.03482671022681</v>
      </c>
      <c r="G55" s="2">
        <f>G11/'Output-Calculation-sheet'!G10*'Output-Calculation-sheet'!G46</f>
        <v>2641.1272593062185</v>
      </c>
      <c r="H55" s="2">
        <f>H11/'Output-Calculation-sheet'!H10*'Output-Calculation-sheet'!H46</f>
        <v>19098.648005634837</v>
      </c>
      <c r="I55" s="2">
        <f>I11/'Output-Calculation-sheet'!I10*'Output-Calculation-sheet'!I46</f>
        <v>1439.7189594222261</v>
      </c>
      <c r="J55" s="2">
        <f>J11/'Output-Calculation-sheet'!J10*'Output-Calculation-sheet'!J46</f>
        <v>1044.8893293824758</v>
      </c>
      <c r="K55" s="2">
        <f>K11/'Output-Calculation-sheet'!K10*'Output-Calculation-sheet'!K46</f>
        <v>2806.4506089845322</v>
      </c>
      <c r="L55" s="2">
        <f>L11/'Output-Calculation-sheet'!L10*'Output-Calculation-sheet'!L46</f>
        <v>1031.3909866920924</v>
      </c>
      <c r="M55" s="2">
        <f>M11/'Output-Calculation-sheet'!M10*'Output-Calculation-sheet'!M46</f>
        <v>13497.401490977041</v>
      </c>
      <c r="N55" s="2">
        <f>N11/'Output-Calculation-sheet'!N10*'Output-Calculation-sheet'!N46</f>
        <v>10294.524801349293</v>
      </c>
      <c r="O55" s="2">
        <f>O11/'Output-Calculation-sheet'!O10*'Output-Calculation-sheet'!O46</f>
        <v>228.34227864271114</v>
      </c>
      <c r="P55" s="2">
        <f>P11/'Output-Calculation-sheet'!P10*'Output-Calculation-sheet'!P46</f>
        <v>3826.7194962105364</v>
      </c>
      <c r="Q55" s="2">
        <f>Q11/'Output-Calculation-sheet'!Q10*'Output-Calculation-sheet'!Q46</f>
        <v>2251.0597703989552</v>
      </c>
      <c r="R55" s="2">
        <f>R11/'Output-Calculation-sheet'!R10*'Output-Calculation-sheet'!R46</f>
        <v>3097.9488562418182</v>
      </c>
      <c r="S55" s="2">
        <f>S11/'Output-Calculation-sheet'!S10*'Output-Calculation-sheet'!S46</f>
        <v>5059.5692622943134</v>
      </c>
      <c r="T55" s="2">
        <f>T11/'Output-Calculation-sheet'!T10*'Output-Calculation-sheet'!T46</f>
        <v>702.28690528137133</v>
      </c>
      <c r="U55" s="2">
        <f>U11/'Output-Calculation-sheet'!U10*'Output-Calculation-sheet'!U46</f>
        <v>1172.6132396995281</v>
      </c>
      <c r="V55" s="2">
        <f>V11/'Output-Calculation-sheet'!V10*'Output-Calculation-sheet'!V46</f>
        <v>474.70035792042194</v>
      </c>
      <c r="W55" s="2">
        <f>W11/'Output-Calculation-sheet'!W10*'Output-Calculation-sheet'!W46</f>
        <v>61.984455706072303</v>
      </c>
      <c r="X55" s="2">
        <f>X11/'Output-Calculation-sheet'!X10*'Output-Calculation-sheet'!X46</f>
        <v>1381.2046612610498</v>
      </c>
      <c r="Y55" s="2">
        <f>Y11/'Output-Calculation-sheet'!Y10*'Output-Calculation-sheet'!Y46</f>
        <v>359.57857375488879</v>
      </c>
      <c r="AA55" s="2">
        <f t="shared" si="3"/>
        <v>201.33428887912484</v>
      </c>
    </row>
    <row r="56" spans="1:27" x14ac:dyDescent="0.25">
      <c r="A56" s="2">
        <v>2035</v>
      </c>
      <c r="B56" s="2">
        <f>B12/'Output-Calculation-sheet'!B11*'Output-Calculation-sheet'!B47</f>
        <v>61931.785659791385</v>
      </c>
      <c r="C56" s="2">
        <f>C12/'Output-Calculation-sheet'!C11*'Output-Calculation-sheet'!C47</f>
        <v>40694.787342659212</v>
      </c>
      <c r="D56" s="2">
        <f>D12/'Output-Calculation-sheet'!D11*'Output-Calculation-sheet'!D47</f>
        <v>4948.966794356199</v>
      </c>
      <c r="E56" s="2">
        <f>E12/'Output-Calculation-sheet'!E11*'Output-Calculation-sheet'!E47</f>
        <v>13899.963176749379</v>
      </c>
      <c r="F56" s="2">
        <f>F12/'Output-Calculation-sheet'!F11*'Output-Calculation-sheet'!F47</f>
        <v>1714.6930665283751</v>
      </c>
      <c r="G56" s="2">
        <f>G12/'Output-Calculation-sheet'!G11*'Output-Calculation-sheet'!G47</f>
        <v>3873.3833893271203</v>
      </c>
      <c r="H56" s="2">
        <f>H12/'Output-Calculation-sheet'!H11*'Output-Calculation-sheet'!H47</f>
        <v>14794.121794387209</v>
      </c>
      <c r="I56" s="2">
        <f>I12/'Output-Calculation-sheet'!I11*'Output-Calculation-sheet'!I47</f>
        <v>1959.6808693067596</v>
      </c>
      <c r="J56" s="2">
        <f>J12/'Output-Calculation-sheet'!J11*'Output-Calculation-sheet'!J47</f>
        <v>1777.8206086097439</v>
      </c>
      <c r="K56" s="2">
        <f>K12/'Output-Calculation-sheet'!K11*'Output-Calculation-sheet'!K47</f>
        <v>2568.0771000073873</v>
      </c>
      <c r="L56" s="2">
        <f>L12/'Output-Calculation-sheet'!L11*'Output-Calculation-sheet'!L47</f>
        <v>1418.0637861441055</v>
      </c>
      <c r="M56" s="2">
        <f>M12/'Output-Calculation-sheet'!M11*'Output-Calculation-sheet'!M47</f>
        <v>10314.279089673006</v>
      </c>
      <c r="N56" s="2">
        <f>N12/'Output-Calculation-sheet'!N11*'Output-Calculation-sheet'!N47</f>
        <v>7877.2094501467182</v>
      </c>
      <c r="O56" s="2">
        <f>O12/'Output-Calculation-sheet'!O11*'Output-Calculation-sheet'!O47</f>
        <v>740.02206535406049</v>
      </c>
      <c r="P56" s="2">
        <f>P12/'Output-Calculation-sheet'!P11*'Output-Calculation-sheet'!P47</f>
        <v>4090.3287437785157</v>
      </c>
      <c r="Q56" s="2">
        <f>Q12/'Output-Calculation-sheet'!Q11*'Output-Calculation-sheet'!Q47</f>
        <v>2072.8021329486351</v>
      </c>
      <c r="R56" s="2">
        <f>R12/'Output-Calculation-sheet'!R11*'Output-Calculation-sheet'!R47</f>
        <v>3020.1947539892062</v>
      </c>
      <c r="S56" s="2">
        <f>S12/'Output-Calculation-sheet'!S11*'Output-Calculation-sheet'!S47</f>
        <v>4000.2875814848448</v>
      </c>
      <c r="T56" s="2">
        <f>T12/'Output-Calculation-sheet'!T11*'Output-Calculation-sheet'!T47</f>
        <v>1057.8863875723748</v>
      </c>
      <c r="U56" s="2">
        <f>U12/'Output-Calculation-sheet'!U11*'Output-Calculation-sheet'!U47</f>
        <v>1012.3466231859212</v>
      </c>
      <c r="V56" s="2">
        <f>V12/'Output-Calculation-sheet'!V11*'Output-Calculation-sheet'!V47</f>
        <v>706.53847878109661</v>
      </c>
      <c r="W56" s="2">
        <f>W12/'Output-Calculation-sheet'!W11*'Output-Calculation-sheet'!W47</f>
        <v>402.116523737725</v>
      </c>
      <c r="X56" s="2">
        <f>X12/'Output-Calculation-sheet'!X11*'Output-Calculation-sheet'!X47</f>
        <v>1065.1164675101868</v>
      </c>
      <c r="Y56" s="2">
        <f>Y12/'Output-Calculation-sheet'!Y11*'Output-Calculation-sheet'!Y47</f>
        <v>545.24832017010181</v>
      </c>
      <c r="AA56" s="2">
        <f t="shared" si="3"/>
        <v>186.48572020619923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5.0725590766760833</v>
      </c>
      <c r="C60" s="2">
        <f>C5*'Output-Calculation-sheet'!C49/10^9</f>
        <v>2.0459773571251709</v>
      </c>
      <c r="D60" s="2">
        <f>D5*'Output-Calculation-sheet'!D49/10^9</f>
        <v>1.3375738480345654</v>
      </c>
      <c r="E60" s="2">
        <f>E5*'Output-Calculation-sheet'!E49/10^9</f>
        <v>1.5518856911873322</v>
      </c>
      <c r="F60" s="2">
        <f>F5*'Output-Calculation-sheet'!F49/10^9</f>
        <v>0.71273489652079591</v>
      </c>
      <c r="G60" s="2">
        <f>G5*'Output-Calculation-sheet'!G49/10^9</f>
        <v>0.56225372291909859</v>
      </c>
      <c r="H60" s="2">
        <f>H5*'Output-Calculation-sheet'!H49/10^9</f>
        <v>0.5375956706597611</v>
      </c>
      <c r="I60" s="2">
        <f>I5*'Output-Calculation-sheet'!I49/10^9</f>
        <v>0.42326039285642575</v>
      </c>
      <c r="J60" s="2">
        <f>J5*'Output-Calculation-sheet'!J49/10^9</f>
        <v>0.65597755937692248</v>
      </c>
      <c r="K60" s="2">
        <f>K5*'Output-Calculation-sheet'!K49/10^9</f>
        <v>0.36410275512421542</v>
      </c>
      <c r="L60" s="2">
        <f>L5*'Output-Calculation-sheet'!L49/10^9</f>
        <v>0.47547521073513976</v>
      </c>
      <c r="M60" s="2">
        <f>M5*'Output-Calculation-sheet'!M49/10^9</f>
        <v>0.41152189830318753</v>
      </c>
      <c r="N60" s="2">
        <f>N5*'Output-Calculation-sheet'!N49/10^9</f>
        <v>0.34448182083793605</v>
      </c>
      <c r="O60" s="2">
        <f>O5*'Output-Calculation-sheet'!O49/10^9</f>
        <v>0.34529417961211128</v>
      </c>
      <c r="P60" s="2">
        <f>P5*'Output-Calculation-sheet'!P49/10^9</f>
        <v>0.36025358672209928</v>
      </c>
      <c r="Q60" s="2">
        <f>Q5*'Output-Calculation-sheet'!Q49/10^9</f>
        <v>0.31245376642809941</v>
      </c>
      <c r="R60" s="2">
        <f>R5*'Output-Calculation-sheet'!R49/10^9</f>
        <v>0.32667306761509102</v>
      </c>
      <c r="S60" s="2">
        <f>S5*'Output-Calculation-sheet'!S49/10^9</f>
        <v>0.23017435834208541</v>
      </c>
      <c r="T60" s="2">
        <f>T5*'Output-Calculation-sheet'!T49/10^9</f>
        <v>0.14318286130805383</v>
      </c>
      <c r="U60" s="2">
        <f>U5*'Output-Calculation-sheet'!U49/10^9</f>
        <v>0.1052079181922398</v>
      </c>
      <c r="V60" s="2">
        <f>V5*'Output-Calculation-sheet'!V49/10^9</f>
        <v>0.20007725351108799</v>
      </c>
      <c r="W60" s="2">
        <f>W5*'Output-Calculation-sheet'!W49/10^9</f>
        <v>7.967013669569159E-2</v>
      </c>
      <c r="X60" s="2">
        <f>X5*'Output-Calculation-sheet'!X49/10^9</f>
        <v>5.8434755474997525E-2</v>
      </c>
      <c r="Y60" s="2">
        <f>Y5*'Output-Calculation-sheet'!Y49/10^9</f>
        <v>4.225951098258026E-2</v>
      </c>
      <c r="AA60" s="2">
        <f t="shared" ref="AA60:AA67" si="4">SUM(B60:Y60)</f>
        <v>16.69908129524077</v>
      </c>
    </row>
    <row r="61" spans="1:27" x14ac:dyDescent="0.25">
      <c r="A61" s="2">
        <v>2029</v>
      </c>
      <c r="B61" s="2">
        <f>B6*'Output-Calculation-sheet'!B50/10^9</f>
        <v>6.5374176804198889</v>
      </c>
      <c r="C61" s="2">
        <f>C6*'Output-Calculation-sheet'!C50/10^9</f>
        <v>2.8018501765903334</v>
      </c>
      <c r="D61" s="2">
        <f>D6*'Output-Calculation-sheet'!D50/10^9</f>
        <v>1.6828251099558802</v>
      </c>
      <c r="E61" s="2">
        <f>E6*'Output-Calculation-sheet'!E50/10^9</f>
        <v>1.9451953925093053</v>
      </c>
      <c r="F61" s="2">
        <f>F6*'Output-Calculation-sheet'!F50/10^9</f>
        <v>0.89756316463738572</v>
      </c>
      <c r="G61" s="2">
        <f>G6*'Output-Calculation-sheet'!G50/10^9</f>
        <v>0.70179374856557386</v>
      </c>
      <c r="H61" s="2">
        <f>H6*'Output-Calculation-sheet'!H50/10^9</f>
        <v>0.7264909407587119</v>
      </c>
      <c r="I61" s="2">
        <f>I6*'Output-Calculation-sheet'!I50/10^9</f>
        <v>0.53510471711759811</v>
      </c>
      <c r="J61" s="2">
        <f>J6*'Output-Calculation-sheet'!J50/10^9</f>
        <v>0.80962631793436146</v>
      </c>
      <c r="K61" s="2">
        <f>K6*'Output-Calculation-sheet'!K50/10^9</f>
        <v>0.47011543362091507</v>
      </c>
      <c r="L61" s="2">
        <f>L6*'Output-Calculation-sheet'!L50/10^9</f>
        <v>0.59755263122903535</v>
      </c>
      <c r="M61" s="2">
        <f>M6*'Output-Calculation-sheet'!M50/10^9</f>
        <v>0.55012684468968664</v>
      </c>
      <c r="N61" s="2">
        <f>N6*'Output-Calculation-sheet'!N50/10^9</f>
        <v>0.46873446639044974</v>
      </c>
      <c r="O61" s="2">
        <f>O6*'Output-Calculation-sheet'!O50/10^9</f>
        <v>0.48805649764088471</v>
      </c>
      <c r="P61" s="2">
        <f>P6*'Output-Calculation-sheet'!P50/10^9</f>
        <v>0.46518149153664606</v>
      </c>
      <c r="Q61" s="2">
        <f>Q6*'Output-Calculation-sheet'!Q50/10^9</f>
        <v>0.41208966691992105</v>
      </c>
      <c r="R61" s="2">
        <f>R6*'Output-Calculation-sheet'!R50/10^9</f>
        <v>0.41639374438283222</v>
      </c>
      <c r="S61" s="2">
        <f>S6*'Output-Calculation-sheet'!S50/10^9</f>
        <v>0.30527706374351316</v>
      </c>
      <c r="T61" s="2">
        <f>T6*'Output-Calculation-sheet'!T50/10^9</f>
        <v>0.17893359973005674</v>
      </c>
      <c r="U61" s="2">
        <f>U6*'Output-Calculation-sheet'!U50/10^9</f>
        <v>0.13358778158133225</v>
      </c>
      <c r="V61" s="2">
        <f>V6*'Output-Calculation-sheet'!V50/10^9</f>
        <v>0.24506182483129105</v>
      </c>
      <c r="W61" s="2">
        <f>W6*'Output-Calculation-sheet'!W50/10^9</f>
        <v>9.8879961498775537E-2</v>
      </c>
      <c r="X61" s="2">
        <f>X6*'Output-Calculation-sheet'!X50/10^9</f>
        <v>7.7194754658738748E-2</v>
      </c>
      <c r="Y61" s="2">
        <f>Y6*'Output-Calculation-sheet'!Y50/10^9</f>
        <v>5.3638595349620809E-2</v>
      </c>
      <c r="AA61" s="2">
        <f t="shared" si="4"/>
        <v>21.598691606292746</v>
      </c>
    </row>
    <row r="62" spans="1:27" x14ac:dyDescent="0.25">
      <c r="A62" s="2">
        <v>2030</v>
      </c>
      <c r="B62" s="2">
        <f>B7*'Output-Calculation-sheet'!B51/10^9</f>
        <v>7.6378864445348329</v>
      </c>
      <c r="C62" s="2">
        <f>C7*'Output-Calculation-sheet'!C51/10^9</f>
        <v>3.7958684001686898</v>
      </c>
      <c r="D62" s="2">
        <f>D7*'Output-Calculation-sheet'!D51/10^9</f>
        <v>1.9027766899325538</v>
      </c>
      <c r="E62" s="2">
        <f>E7*'Output-Calculation-sheet'!E51/10^9</f>
        <v>2.1895351068568885</v>
      </c>
      <c r="F62" s="2">
        <f>F7*'Output-Calculation-sheet'!F51/10^9</f>
        <v>1.0160501387101462</v>
      </c>
      <c r="G62" s="2">
        <f>G7*'Output-Calculation-sheet'!G51/10^9</f>
        <v>0.78589738699686085</v>
      </c>
      <c r="H62" s="2">
        <f>H7*'Output-Calculation-sheet'!H51/10^9</f>
        <v>0.9568794586838516</v>
      </c>
      <c r="I62" s="2">
        <f>I7*'Output-Calculation-sheet'!I51/10^9</f>
        <v>0.60858318712557469</v>
      </c>
      <c r="J62" s="2">
        <f>J7*'Output-Calculation-sheet'!J51/10^9</f>
        <v>0.89406726562996408</v>
      </c>
      <c r="K62" s="2">
        <f>K7*'Output-Calculation-sheet'!K51/10^9</f>
        <v>0.54797628128553622</v>
      </c>
      <c r="L62" s="2">
        <f>L7*'Output-Calculation-sheet'!L51/10^9</f>
        <v>0.67476643158617322</v>
      </c>
      <c r="M62" s="2">
        <f>M7*'Output-Calculation-sheet'!M51/10^9</f>
        <v>0.71297570486109774</v>
      </c>
      <c r="N62" s="2">
        <f>N7*'Output-Calculation-sheet'!N51/10^9</f>
        <v>0.58249184008758248</v>
      </c>
      <c r="O62" s="2">
        <f>O7*'Output-Calculation-sheet'!O51/10^9</f>
        <v>0.66278751435343575</v>
      </c>
      <c r="P62" s="2">
        <f>P7*'Output-Calculation-sheet'!P51/10^9</f>
        <v>0.54227288191023604</v>
      </c>
      <c r="Q62" s="2">
        <f>Q7*'Output-Calculation-sheet'!Q51/10^9</f>
        <v>0.49347168613694925</v>
      </c>
      <c r="R62" s="2">
        <f>R7*'Output-Calculation-sheet'!R51/10^9</f>
        <v>0.47818629948735392</v>
      </c>
      <c r="S62" s="2">
        <f>S7*'Output-Calculation-sheet'!S51/10^9</f>
        <v>0.37073689799526294</v>
      </c>
      <c r="T62" s="2">
        <f>T7*'Output-Calculation-sheet'!T51/10^9</f>
        <v>0.20067373004376185</v>
      </c>
      <c r="U62" s="2">
        <f>U7*'Output-Calculation-sheet'!U51/10^9</f>
        <v>0.15271793535398634</v>
      </c>
      <c r="V62" s="2">
        <f>V7*'Output-Calculation-sheet'!V51/10^9</f>
        <v>0.26800736766959493</v>
      </c>
      <c r="W62" s="2">
        <f>W7*'Output-Calculation-sheet'!W51/10^9</f>
        <v>0.10995600907391972</v>
      </c>
      <c r="X62" s="2">
        <f>X7*'Output-Calculation-sheet'!X51/10^9</f>
        <v>9.8628626138751743E-2</v>
      </c>
      <c r="Y62" s="2">
        <f>Y7*'Output-Calculation-sheet'!Y51/10^9</f>
        <v>6.1292173577775687E-2</v>
      </c>
      <c r="AA62" s="2">
        <f t="shared" si="4"/>
        <v>25.744485458200774</v>
      </c>
    </row>
    <row r="63" spans="1:27" x14ac:dyDescent="0.25">
      <c r="A63" s="2">
        <v>2031</v>
      </c>
      <c r="B63" s="2">
        <f>B8*'Output-Calculation-sheet'!B52/10^9</f>
        <v>8.2509359394063893</v>
      </c>
      <c r="C63" s="2">
        <f>C8*'Output-Calculation-sheet'!C52/10^9</f>
        <v>4.6952136691263266</v>
      </c>
      <c r="D63" s="2">
        <f>D8*'Output-Calculation-sheet'!D52/10^9</f>
        <v>1.9318664662869374</v>
      </c>
      <c r="E63" s="2">
        <f>E8*'Output-Calculation-sheet'!E52/10^9</f>
        <v>2.2101514037451571</v>
      </c>
      <c r="F63" s="2">
        <f>F8*'Output-Calculation-sheet'!F52/10^9</f>
        <v>1.0331048638100666</v>
      </c>
      <c r="G63" s="2">
        <f>G8*'Output-Calculation-sheet'!G52/10^9</f>
        <v>0.78801609900217928</v>
      </c>
      <c r="H63" s="2">
        <f>H8*'Output-Calculation-sheet'!H52/10^9</f>
        <v>1.1778950846428538</v>
      </c>
      <c r="I63" s="2">
        <f>I8*'Output-Calculation-sheet'!I52/10^9</f>
        <v>0.62248034334822555</v>
      </c>
      <c r="J63" s="2">
        <f>J8*'Output-Calculation-sheet'!J52/10^9</f>
        <v>0.87998128287332089</v>
      </c>
      <c r="K63" s="2">
        <f>K8*'Output-Calculation-sheet'!K52/10^9</f>
        <v>0.57766305723472189</v>
      </c>
      <c r="L63" s="2">
        <f>L8*'Output-Calculation-sheet'!L52/10^9</f>
        <v>0.68392905014843264</v>
      </c>
      <c r="M63" s="2">
        <f>M8*'Output-Calculation-sheet'!M52/10^9</f>
        <v>0.86242498187270644</v>
      </c>
      <c r="N63" s="2">
        <f>N8*'Output-Calculation-sheet'!N52/10^9</f>
        <v>0.68765648209740315</v>
      </c>
      <c r="O63" s="2">
        <f>O8*'Output-Calculation-sheet'!O52/10^9</f>
        <v>0.81608111315455123</v>
      </c>
      <c r="P63" s="2">
        <f>P8*'Output-Calculation-sheet'!P52/10^9</f>
        <v>0.58749429938329101</v>
      </c>
      <c r="Q63" s="2">
        <f>Q8*'Output-Calculation-sheet'!Q52/10^9</f>
        <v>0.54800281497100811</v>
      </c>
      <c r="R63" s="2">
        <f>R8*'Output-Calculation-sheet'!R52/10^9</f>
        <v>0.49636185463354243</v>
      </c>
      <c r="S63" s="2">
        <f>S8*'Output-Calculation-sheet'!S52/10^9</f>
        <v>0.42114579081594583</v>
      </c>
      <c r="T63" s="2">
        <f>T8*'Output-Calculation-sheet'!T52/10^9</f>
        <v>0.20160344614476747</v>
      </c>
      <c r="U63" s="2">
        <f>U8*'Output-Calculation-sheet'!U52/10^9</f>
        <v>0.15722028399207166</v>
      </c>
      <c r="V63" s="2">
        <f>V8*'Output-Calculation-sheet'!V52/10^9</f>
        <v>0.26031113170077708</v>
      </c>
      <c r="W63" s="2">
        <f>W8*'Output-Calculation-sheet'!W52/10^9</f>
        <v>0.10923813922277321</v>
      </c>
      <c r="X63" s="2">
        <f>X8*'Output-Calculation-sheet'!X52/10^9</f>
        <v>0.11640675089252511</v>
      </c>
      <c r="Y63" s="2">
        <f>Y8*'Output-Calculation-sheet'!Y52/10^9</f>
        <v>6.3080931542473254E-2</v>
      </c>
      <c r="AA63" s="2">
        <f t="shared" si="4"/>
        <v>28.178265280048439</v>
      </c>
    </row>
    <row r="64" spans="1:27" x14ac:dyDescent="0.25">
      <c r="A64" s="2">
        <v>2032</v>
      </c>
      <c r="B64" s="2">
        <f>B9*'Output-Calculation-sheet'!B53/10^9</f>
        <v>8.1712064148211656</v>
      </c>
      <c r="C64" s="2">
        <f>C9*'Output-Calculation-sheet'!C53/10^9</f>
        <v>5.133371321217183</v>
      </c>
      <c r="D64" s="2">
        <f>D9*'Output-Calculation-sheet'!D53/10^9</f>
        <v>1.7158330878386132</v>
      </c>
      <c r="E64" s="2">
        <f>E9*'Output-Calculation-sheet'!E53/10^9</f>
        <v>2.0034456552407938</v>
      </c>
      <c r="F64" s="2">
        <f>F9*'Output-Calculation-sheet'!F53/10^9</f>
        <v>0.91934823132797017</v>
      </c>
      <c r="G64" s="2">
        <f>G9*'Output-Calculation-sheet'!G53/10^9</f>
        <v>0.68836907380245704</v>
      </c>
      <c r="H64" s="2">
        <f>H9*'Output-Calculation-sheet'!H53/10^9</f>
        <v>1.2820093390092349</v>
      </c>
      <c r="I64" s="2">
        <f>I9*'Output-Calculation-sheet'!I53/10^9</f>
        <v>0.55822020396982941</v>
      </c>
      <c r="J64" s="2">
        <f>J9*'Output-Calculation-sheet'!J53/10^9</f>
        <v>0.74925143345846434</v>
      </c>
      <c r="K64" s="2">
        <f>K9*'Output-Calculation-sheet'!K53/10^9</f>
        <v>0.55311358921006859</v>
      </c>
      <c r="L64" s="2">
        <f>L9*'Output-Calculation-sheet'!L53/10^9</f>
        <v>0.62096453573383859</v>
      </c>
      <c r="M64" s="2">
        <f>M9*'Output-Calculation-sheet'!M53/10^9</f>
        <v>0.92450866158747991</v>
      </c>
      <c r="N64" s="2">
        <f>N9*'Output-Calculation-sheet'!N53/10^9</f>
        <v>0.75558560261183549</v>
      </c>
      <c r="O64" s="2">
        <f>O9*'Output-Calculation-sheet'!O53/10^9</f>
        <v>0.89259549988968367</v>
      </c>
      <c r="P64" s="2">
        <f>P9*'Output-Calculation-sheet'!P53/10^9</f>
        <v>0.5901892147374771</v>
      </c>
      <c r="Q64" s="2">
        <f>Q9*'Output-Calculation-sheet'!Q53/10^9</f>
        <v>0.55982283703984281</v>
      </c>
      <c r="R64" s="2">
        <f>R9*'Output-Calculation-sheet'!R53/10^9</f>
        <v>0.47625143267940589</v>
      </c>
      <c r="S64" s="2">
        <f>S9*'Output-Calculation-sheet'!S53/10^9</f>
        <v>0.44773968918581941</v>
      </c>
      <c r="T64" s="2">
        <f>T9*'Output-Calculation-sheet'!T53/10^9</f>
        <v>0.17803249763540241</v>
      </c>
      <c r="U64" s="2">
        <f>U9*'Output-Calculation-sheet'!U53/10^9</f>
        <v>0.15168269367017934</v>
      </c>
      <c r="V64" s="2">
        <f>V9*'Output-Calculation-sheet'!V53/10^9</f>
        <v>0.2210726116216396</v>
      </c>
      <c r="W64" s="2">
        <f>W9*'Output-Calculation-sheet'!W53/10^9</f>
        <v>9.4228543702199449E-2</v>
      </c>
      <c r="X64" s="2">
        <f>X9*'Output-Calculation-sheet'!X53/10^9</f>
        <v>0.12179441283403147</v>
      </c>
      <c r="Y64" s="2">
        <f>Y9*'Output-Calculation-sheet'!Y53/10^9</f>
        <v>5.993457865692136E-2</v>
      </c>
      <c r="AA64" s="2">
        <f t="shared" si="4"/>
        <v>27.868571161481533</v>
      </c>
    </row>
    <row r="65" spans="1:27" x14ac:dyDescent="0.25">
      <c r="A65" s="2">
        <v>2033</v>
      </c>
      <c r="B65" s="2">
        <f>B10*'Output-Calculation-sheet'!B54/10^9</f>
        <v>7.6091689307205401</v>
      </c>
      <c r="C65" s="2">
        <f>C10*'Output-Calculation-sheet'!C54/10^9</f>
        <v>5.0009302980068258</v>
      </c>
      <c r="D65" s="2">
        <f>D10*'Output-Calculation-sheet'!D54/10^9</f>
        <v>1.3563055704956093</v>
      </c>
      <c r="E65" s="2">
        <f>E10*'Output-Calculation-sheet'!E54/10^9</f>
        <v>1.7272820590086002</v>
      </c>
      <c r="F65" s="2">
        <f>F10*'Output-Calculation-sheet'!F54/10^9</f>
        <v>0.74222800465738781</v>
      </c>
      <c r="G65" s="2">
        <f>G10*'Output-Calculation-sheet'!G54/10^9</f>
        <v>0.52842970278563828</v>
      </c>
      <c r="H65" s="2">
        <f>H10*'Output-Calculation-sheet'!H54/10^9</f>
        <v>1.2416639474061424</v>
      </c>
      <c r="I65" s="2">
        <f>I10*'Output-Calculation-sheet'!I54/10^9</f>
        <v>0.46332242869248308</v>
      </c>
      <c r="J65" s="2">
        <f>J10*'Output-Calculation-sheet'!J54/10^9</f>
        <v>0.54818399414787922</v>
      </c>
      <c r="K65" s="2">
        <f>K10*'Output-Calculation-sheet'!K54/10^9</f>
        <v>0.5129612001801811</v>
      </c>
      <c r="L65" s="2">
        <f>L10*'Output-Calculation-sheet'!L54/10^9</f>
        <v>0.52903304415762498</v>
      </c>
      <c r="M65" s="2">
        <f>M10*'Output-Calculation-sheet'!M54/10^9</f>
        <v>0.88290061415535426</v>
      </c>
      <c r="N65" s="2">
        <f>N10*'Output-Calculation-sheet'!N54/10^9</f>
        <v>0.75232225298224575</v>
      </c>
      <c r="O65" s="2">
        <f>O10*'Output-Calculation-sheet'!O54/10^9</f>
        <v>0.87537296337723824</v>
      </c>
      <c r="P65" s="2">
        <f>P10*'Output-Calculation-sheet'!P54/10^9</f>
        <v>0.55496749969493087</v>
      </c>
      <c r="Q65" s="2">
        <f>Q10*'Output-Calculation-sheet'!Q54/10^9</f>
        <v>0.54763923526571701</v>
      </c>
      <c r="R65" s="2">
        <f>R10*'Output-Calculation-sheet'!R54/10^9</f>
        <v>0.43414538894745963</v>
      </c>
      <c r="S65" s="2">
        <f>S10*'Output-Calculation-sheet'!S54/10^9</f>
        <v>0.43573231478062008</v>
      </c>
      <c r="T65" s="2">
        <f>T10*'Output-Calculation-sheet'!T54/10^9</f>
        <v>0.14701809952288111</v>
      </c>
      <c r="U65" s="2">
        <f>U10*'Output-Calculation-sheet'!U54/10^9</f>
        <v>0.14120118104094778</v>
      </c>
      <c r="V65" s="2">
        <f>V10*'Output-Calculation-sheet'!V54/10^9</f>
        <v>0.16636767642232539</v>
      </c>
      <c r="W65" s="2">
        <f>W10*'Output-Calculation-sheet'!W54/10^9</f>
        <v>7.1102272330832397E-2</v>
      </c>
      <c r="X65" s="2">
        <f>X10*'Output-Calculation-sheet'!X54/10^9</f>
        <v>0.11429434947257214</v>
      </c>
      <c r="Y65" s="2">
        <f>Y10*'Output-Calculation-sheet'!Y54/10^9</f>
        <v>5.5157191210600746E-2</v>
      </c>
      <c r="AA65" s="2">
        <f t="shared" si="4"/>
        <v>25.437730219462637</v>
      </c>
    </row>
    <row r="66" spans="1:27" x14ac:dyDescent="0.25">
      <c r="A66" s="2">
        <v>2034</v>
      </c>
      <c r="B66" s="2">
        <f>B11*'Output-Calculation-sheet'!B55/10^9</f>
        <v>6.617570769258375</v>
      </c>
      <c r="C66" s="2">
        <f>C11*'Output-Calculation-sheet'!C55/10^9</f>
        <v>4.3980340771870372</v>
      </c>
      <c r="D66" s="2">
        <f>D11*'Output-Calculation-sheet'!D55/10^9</f>
        <v>1.197228403390215</v>
      </c>
      <c r="E66" s="2">
        <f>E11*'Output-Calculation-sheet'!E55/10^9</f>
        <v>1.5506020205873956</v>
      </c>
      <c r="F66" s="2">
        <f>F11*'Output-Calculation-sheet'!F55/10^9</f>
        <v>0.61023731849324991</v>
      </c>
      <c r="G66" s="2">
        <f>G11*'Output-Calculation-sheet'!G55/10^9</f>
        <v>0.44519273841489898</v>
      </c>
      <c r="H66" s="2">
        <f>H11*'Output-Calculation-sheet'!H55/10^9</f>
        <v>1.1110159073595647</v>
      </c>
      <c r="I66" s="2">
        <f>I11*'Output-Calculation-sheet'!I55/10^9</f>
        <v>0.41385796954375459</v>
      </c>
      <c r="J66" s="2">
        <f>J11*'Output-Calculation-sheet'!J55/10^9</f>
        <v>0.41669628509257273</v>
      </c>
      <c r="K66" s="2">
        <f>K11*'Output-Calculation-sheet'!K55/10^9</f>
        <v>0.47444617393281985</v>
      </c>
      <c r="L66" s="2">
        <f>L11*'Output-Calculation-sheet'!L55/10^9</f>
        <v>0.45996960355912081</v>
      </c>
      <c r="M66" s="2">
        <f>M11*'Output-Calculation-sheet'!M55/10^9</f>
        <v>0.78083521996193794</v>
      </c>
      <c r="N66" s="2">
        <f>N11*'Output-Calculation-sheet'!N55/10^9</f>
        <v>0.67879505356033365</v>
      </c>
      <c r="O66" s="2">
        <f>O11*'Output-Calculation-sheet'!O55/10^9</f>
        <v>0.7739183783593645</v>
      </c>
      <c r="P66" s="2">
        <f>P11*'Output-Calculation-sheet'!P55/10^9</f>
        <v>0.49626729456837881</v>
      </c>
      <c r="Q66" s="2">
        <f>Q11*'Output-Calculation-sheet'!Q55/10^9</f>
        <v>0.51046261970444395</v>
      </c>
      <c r="R66" s="2">
        <f>R11*'Output-Calculation-sheet'!R55/10^9</f>
        <v>0.37768180322883338</v>
      </c>
      <c r="S66" s="2">
        <f>S11*'Output-Calculation-sheet'!S55/10^9</f>
        <v>0.39205697132189044</v>
      </c>
      <c r="T66" s="2">
        <f>T11*'Output-Calculation-sheet'!T55/10^9</f>
        <v>0.11833526372608194</v>
      </c>
      <c r="U66" s="2">
        <f>U11*'Output-Calculation-sheet'!U55/10^9</f>
        <v>0.12879230915723552</v>
      </c>
      <c r="V66" s="2">
        <f>V11*'Output-Calculation-sheet'!V55/10^9</f>
        <v>0.11183775927806559</v>
      </c>
      <c r="W66" s="2">
        <f>W11*'Output-Calculation-sheet'!W55/10^9</f>
        <v>5.4789750046215134E-2</v>
      </c>
      <c r="X66" s="2">
        <f>X11*'Output-Calculation-sheet'!X55/10^9</f>
        <v>0.10238464311437465</v>
      </c>
      <c r="Y66" s="2">
        <f>Y11*'Output-Calculation-sheet'!Y55/10^9</f>
        <v>5.2570441246848343E-2</v>
      </c>
      <c r="AA66" s="2">
        <f t="shared" si="4"/>
        <v>22.273578774093</v>
      </c>
    </row>
    <row r="67" spans="1:27" x14ac:dyDescent="0.25">
      <c r="A67" s="2">
        <v>2035</v>
      </c>
      <c r="B67" s="2">
        <f>B12*'Output-Calculation-sheet'!B56/10^9</f>
        <v>5.4839361660035868</v>
      </c>
      <c r="C67" s="2">
        <f>C12*'Output-Calculation-sheet'!C56/10^9</f>
        <v>3.4654385689706357</v>
      </c>
      <c r="D67" s="2">
        <f>D12*'Output-Calculation-sheet'!D56/10^9</f>
        <v>1.0877366886993607</v>
      </c>
      <c r="E67" s="2">
        <f>E12*'Output-Calculation-sheet'!E56/10^9</f>
        <v>1.4875405565230497</v>
      </c>
      <c r="F67" s="2">
        <f>F12*'Output-Calculation-sheet'!F56/10^9</f>
        <v>0.5830170282853312</v>
      </c>
      <c r="G67" s="2">
        <f>G12*'Output-Calculation-sheet'!G56/10^9</f>
        <v>0.43016669287887394</v>
      </c>
      <c r="H67" s="2">
        <f>H12*'Output-Calculation-sheet'!H56/10^9</f>
        <v>0.9147088998580718</v>
      </c>
      <c r="I67" s="2">
        <f>I12*'Output-Calculation-sheet'!I56/10^9</f>
        <v>0.39413866462112462</v>
      </c>
      <c r="J67" s="2">
        <f>J12*'Output-Calculation-sheet'!J56/10^9</f>
        <v>0.36056982418434746</v>
      </c>
      <c r="K67" s="2">
        <f>K12*'Output-Calculation-sheet'!K56/10^9</f>
        <v>0.43200779489988306</v>
      </c>
      <c r="L67" s="2">
        <f>L12*'Output-Calculation-sheet'!L56/10^9</f>
        <v>0.40276083055703199</v>
      </c>
      <c r="M67" s="2">
        <f>M12*'Output-Calculation-sheet'!M56/10^9</f>
        <v>0.64720132562870281</v>
      </c>
      <c r="N67" s="2">
        <f>N12*'Output-Calculation-sheet'!N56/10^9</f>
        <v>0.55276993088401305</v>
      </c>
      <c r="O67" s="2">
        <f>O12*'Output-Calculation-sheet'!O56/10^9</f>
        <v>0.61138654106920265</v>
      </c>
      <c r="P67" s="2">
        <f>P12*'Output-Calculation-sheet'!P56/10^9</f>
        <v>0.44858543743245705</v>
      </c>
      <c r="Q67" s="2">
        <f>Q12*'Output-Calculation-sheet'!Q56/10^9</f>
        <v>0.42375634366397941</v>
      </c>
      <c r="R67" s="2">
        <f>R12*'Output-Calculation-sheet'!R56/10^9</f>
        <v>0.33275052487712298</v>
      </c>
      <c r="S67" s="2">
        <f>S12*'Output-Calculation-sheet'!S56/10^9</f>
        <v>0.32121739790838383</v>
      </c>
      <c r="T67" s="2">
        <f>T12*'Output-Calculation-sheet'!T56/10^9</f>
        <v>0.10347198468643558</v>
      </c>
      <c r="U67" s="2">
        <f>U12*'Output-Calculation-sheet'!U56/10^9</f>
        <v>0.11186800904655236</v>
      </c>
      <c r="V67" s="2">
        <f>V12*'Output-Calculation-sheet'!V56/10^9</f>
        <v>7.9860069805976347E-2</v>
      </c>
      <c r="W67" s="2">
        <f>W12*'Output-Calculation-sheet'!W56/10^9</f>
        <v>5.4154198751411566E-2</v>
      </c>
      <c r="X67" s="2">
        <f>X12*'Output-Calculation-sheet'!X56/10^9</f>
        <v>8.406691922345938E-2</v>
      </c>
      <c r="Y67" s="2">
        <f>Y12*'Output-Calculation-sheet'!Y56/10^9</f>
        <v>5.0531367405921887E-2</v>
      </c>
      <c r="AA67" s="2">
        <f t="shared" si="4"/>
        <v>18.863641765864916</v>
      </c>
    </row>
    <row r="68" spans="1:27" x14ac:dyDescent="0.25">
      <c r="B68" s="2">
        <f>SUM(B60:B67)</f>
        <v>55.380681421840862</v>
      </c>
      <c r="C68" s="2">
        <f t="shared" ref="C68:Y68" si="5">SUM(C60:C67)</f>
        <v>31.336683868392203</v>
      </c>
      <c r="D68" s="2">
        <f t="shared" si="5"/>
        <v>12.212145864633733</v>
      </c>
      <c r="E68" s="2">
        <f t="shared" si="5"/>
        <v>14.665637885658521</v>
      </c>
      <c r="F68" s="2">
        <f t="shared" si="5"/>
        <v>6.5142836464423342</v>
      </c>
      <c r="G68" s="2">
        <f t="shared" si="5"/>
        <v>4.9301191653655803</v>
      </c>
      <c r="H68" s="2">
        <f t="shared" si="5"/>
        <v>7.948259248378192</v>
      </c>
      <c r="I68" s="2">
        <f t="shared" si="5"/>
        <v>4.018967907275016</v>
      </c>
      <c r="J68" s="2">
        <f t="shared" si="5"/>
        <v>5.3143539626978322</v>
      </c>
      <c r="K68" s="2">
        <f t="shared" si="5"/>
        <v>3.9323862854883416</v>
      </c>
      <c r="L68" s="2">
        <f t="shared" si="5"/>
        <v>4.444451337706397</v>
      </c>
      <c r="M68" s="2">
        <f t="shared" si="5"/>
        <v>5.7724952510601533</v>
      </c>
      <c r="N68" s="2">
        <f t="shared" si="5"/>
        <v>4.8228374494518</v>
      </c>
      <c r="O68" s="2">
        <f t="shared" si="5"/>
        <v>5.4654926874564715</v>
      </c>
      <c r="P68" s="2">
        <f t="shared" si="5"/>
        <v>4.0452117059855164</v>
      </c>
      <c r="Q68" s="2">
        <f t="shared" si="5"/>
        <v>3.8076989701299611</v>
      </c>
      <c r="R68" s="2">
        <f t="shared" si="5"/>
        <v>3.3384441158516411</v>
      </c>
      <c r="S68" s="2">
        <f t="shared" si="5"/>
        <v>2.9240804840935213</v>
      </c>
      <c r="T68" s="2">
        <f t="shared" si="5"/>
        <v>1.2712514827974408</v>
      </c>
      <c r="U68" s="2">
        <f t="shared" si="5"/>
        <v>1.0822781120345453</v>
      </c>
      <c r="V68" s="2">
        <f t="shared" si="5"/>
        <v>1.552595694840758</v>
      </c>
      <c r="W68" s="2">
        <f t="shared" si="5"/>
        <v>0.67201901132181863</v>
      </c>
      <c r="X68" s="2">
        <f t="shared" si="5"/>
        <v>0.77320521180945079</v>
      </c>
      <c r="Y68" s="2">
        <f t="shared" si="5"/>
        <v>0.43846478997274235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2253.3633691702662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533.75325943968392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364.99291105332077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48.654872754809873</v>
      </c>
      <c r="Y73" s="2">
        <f>Y7/'Output-Calculation-sheet'!Y6*'Output-Calculation-sheet'!Y60</f>
        <v>0</v>
      </c>
      <c r="AA73" s="2">
        <f t="shared" si="6"/>
        <v>3.2007644124180805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5087.2920218703439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1702.0503953091682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1136.5782602574182</v>
      </c>
      <c r="N74" s="2">
        <f>N8/'Output-Calculation-sheet'!N7*'Output-Calculation-sheet'!N61</f>
        <v>47.507945679347017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140.85408005237312</v>
      </c>
      <c r="Y74" s="2">
        <f>Y8/'Output-Calculation-sheet'!Y7*'Output-Calculation-sheet'!Y61</f>
        <v>0</v>
      </c>
      <c r="AA74" s="2">
        <f t="shared" si="6"/>
        <v>8.1142827031686515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9569.999708877338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2755.9947753686201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1870.9977835321274</v>
      </c>
      <c r="N75" s="2">
        <f>N9/'Output-Calculation-sheet'!N8*'Output-Calculation-sheet'!N62</f>
        <v>722.71686108930999</v>
      </c>
      <c r="O75" s="2">
        <f>O9/'Output-Calculation-sheet'!O8*'Output-Calculation-sheet'!O62</f>
        <v>0</v>
      </c>
      <c r="P75" s="2">
        <f>P9/'Output-Calculation-sheet'!P8*'Output-Calculation-sheet'!P62</f>
        <v>48.384754620891805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242.16500212201765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225.8956437132239</v>
      </c>
      <c r="Y75" s="2">
        <f>Y9/'Output-Calculation-sheet'!Y8*'Output-Calculation-sheet'!Y62</f>
        <v>0</v>
      </c>
      <c r="AA75" s="2">
        <f t="shared" si="6"/>
        <v>15.436154529323531</v>
      </c>
    </row>
    <row r="76" spans="1:27" x14ac:dyDescent="0.25">
      <c r="A76" s="2">
        <v>2033</v>
      </c>
      <c r="B76" s="2">
        <f>B10/'Output-Calculation-sheet'!B9*'Output-Calculation-sheet'!B63</f>
        <v>5408.384778697302</v>
      </c>
      <c r="C76" s="2">
        <f>C10/'Output-Calculation-sheet'!C9*'Output-Calculation-sheet'!C63</f>
        <v>11046.393995705101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3521.9861644998709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92.311284182888016</v>
      </c>
      <c r="L76" s="2">
        <f>L10/'Output-Calculation-sheet'!L9*'Output-Calculation-sheet'!L63</f>
        <v>0</v>
      </c>
      <c r="M76" s="2">
        <f>M10/'Output-Calculation-sheet'!M9*'Output-Calculation-sheet'!M63</f>
        <v>2398.1153573814081</v>
      </c>
      <c r="N76" s="2">
        <f>N10/'Output-Calculation-sheet'!N9*'Output-Calculation-sheet'!N63</f>
        <v>1369.90967514721</v>
      </c>
      <c r="O76" s="2">
        <f>O10/'Output-Calculation-sheet'!O9*'Output-Calculation-sheet'!O63</f>
        <v>0</v>
      </c>
      <c r="P76" s="2">
        <f>P10/'Output-Calculation-sheet'!P9*'Output-Calculation-sheet'!P63</f>
        <v>475.70253630989868</v>
      </c>
      <c r="Q76" s="2">
        <f>Q10/'Output-Calculation-sheet'!Q9*'Output-Calculation-sheet'!Q63</f>
        <v>214.56096097883528</v>
      </c>
      <c r="R76" s="2">
        <f>R10/'Output-Calculation-sheet'!R9*'Output-Calculation-sheet'!R63</f>
        <v>362.5613876761746</v>
      </c>
      <c r="S76" s="2">
        <f>S10/'Output-Calculation-sheet'!S9*'Output-Calculation-sheet'!S63</f>
        <v>609.1668589767894</v>
      </c>
      <c r="T76" s="2">
        <f>T10/'Output-Calculation-sheet'!T9*'Output-Calculation-sheet'!T63</f>
        <v>24.659224345642574</v>
      </c>
      <c r="U76" s="2">
        <f>U10/'Output-Calculation-sheet'!U9*'Output-Calculation-sheet'!U63</f>
        <v>128.11668308708428</v>
      </c>
      <c r="V76" s="2">
        <f>V10/'Output-Calculation-sheet'!V9*'Output-Calculation-sheet'!V63</f>
        <v>9.8310998178193199</v>
      </c>
      <c r="W76" s="2">
        <f>W10/'Output-Calculation-sheet'!W9*'Output-Calculation-sheet'!W63</f>
        <v>0</v>
      </c>
      <c r="X76" s="2">
        <f>X10/'Output-Calculation-sheet'!X9*'Output-Calculation-sheet'!X63</f>
        <v>282.39512362300621</v>
      </c>
      <c r="Y76" s="2">
        <f>Y10/'Output-Calculation-sheet'!Y9*'Output-Calculation-sheet'!Y63</f>
        <v>5.357397562569548</v>
      </c>
      <c r="AA76" s="2">
        <f t="shared" si="6"/>
        <v>25.949452527991596</v>
      </c>
    </row>
    <row r="77" spans="1:27" x14ac:dyDescent="0.25">
      <c r="A77" s="2">
        <v>2034</v>
      </c>
      <c r="B77" s="2">
        <f>B11/'Output-Calculation-sheet'!B10*'Output-Calculation-sheet'!B64</f>
        <v>11026.82168443638</v>
      </c>
      <c r="C77" s="2">
        <f>C11/'Output-Calculation-sheet'!C10*'Output-Calculation-sheet'!C64</f>
        <v>9686.6230639952282</v>
      </c>
      <c r="D77" s="2">
        <f>D11/'Output-Calculation-sheet'!D10*'Output-Calculation-sheet'!D64</f>
        <v>1359.1085021901586</v>
      </c>
      <c r="E77" s="2">
        <f>E11/'Output-Calculation-sheet'!E10*'Output-Calculation-sheet'!E64</f>
        <v>1679.3859395393845</v>
      </c>
      <c r="F77" s="2">
        <f>F11/'Output-Calculation-sheet'!F10*'Output-Calculation-sheet'!F64</f>
        <v>104.566161255978</v>
      </c>
      <c r="G77" s="2">
        <f>G11/'Output-Calculation-sheet'!G10*'Output-Calculation-sheet'!G64</f>
        <v>717.61295099068661</v>
      </c>
      <c r="H77" s="2">
        <f>H11/'Output-Calculation-sheet'!H10*'Output-Calculation-sheet'!H64</f>
        <v>3555.3981101910636</v>
      </c>
      <c r="I77" s="2">
        <f>I11/'Output-Calculation-sheet'!I10*'Output-Calculation-sheet'!I64</f>
        <v>423.34936001810564</v>
      </c>
      <c r="J77" s="2">
        <f>J11/'Output-Calculation-sheet'!J10*'Output-Calculation-sheet'!J64</f>
        <v>301.78303631346597</v>
      </c>
      <c r="K77" s="2">
        <f>K11/'Output-Calculation-sheet'!K10*'Output-Calculation-sheet'!K64</f>
        <v>639.84715522991041</v>
      </c>
      <c r="L77" s="2">
        <f>L11/'Output-Calculation-sheet'!L10*'Output-Calculation-sheet'!L64</f>
        <v>277.81922668806089</v>
      </c>
      <c r="M77" s="2">
        <f>M11/'Output-Calculation-sheet'!M10*'Output-Calculation-sheet'!M64</f>
        <v>2528.7799597080716</v>
      </c>
      <c r="N77" s="2">
        <f>N11/'Output-Calculation-sheet'!N10*'Output-Calculation-sheet'!N64</f>
        <v>1799.1648362072917</v>
      </c>
      <c r="O77" s="2">
        <f>O11/'Output-Calculation-sheet'!O10*'Output-Calculation-sheet'!O64</f>
        <v>62.728885975704785</v>
      </c>
      <c r="P77" s="2">
        <f>P11/'Output-Calculation-sheet'!P10*'Output-Calculation-sheet'!P64</f>
        <v>794.08466170309771</v>
      </c>
      <c r="Q77" s="2">
        <f>Q11/'Output-Calculation-sheet'!Q10*'Output-Calculation-sheet'!Q64</f>
        <v>453.1214871163611</v>
      </c>
      <c r="R77" s="2">
        <f>R11/'Output-Calculation-sheet'!R10*'Output-Calculation-sheet'!R64</f>
        <v>679.5290072071208</v>
      </c>
      <c r="S77" s="2">
        <f>S11/'Output-Calculation-sheet'!S10*'Output-Calculation-sheet'!S64</f>
        <v>908.56839317061338</v>
      </c>
      <c r="T77" s="2">
        <f>T11/'Output-Calculation-sheet'!T10*'Output-Calculation-sheet'!T64</f>
        <v>186.94877418590104</v>
      </c>
      <c r="U77" s="2">
        <f>U11/'Output-Calculation-sheet'!U10*'Output-Calculation-sheet'!U64</f>
        <v>248.47674549233</v>
      </c>
      <c r="V77" s="2">
        <f>V11/'Output-Calculation-sheet'!V10*'Output-Calculation-sheet'!V64</f>
        <v>99.050373889569954</v>
      </c>
      <c r="W77" s="2">
        <f>W11/'Output-Calculation-sheet'!W10*'Output-Calculation-sheet'!W64</f>
        <v>20.927909650234412</v>
      </c>
      <c r="X77" s="2">
        <f>X11/'Output-Calculation-sheet'!X10*'Output-Calculation-sheet'!X64</f>
        <v>256.95088749154712</v>
      </c>
      <c r="Y77" s="2">
        <f>Y11/'Output-Calculation-sheet'!Y10*'Output-Calculation-sheet'!Y64</f>
        <v>62.214623700930936</v>
      </c>
      <c r="AA77" s="2">
        <f t="shared" si="6"/>
        <v>37.87286173634719</v>
      </c>
    </row>
    <row r="78" spans="1:27" x14ac:dyDescent="0.25">
      <c r="A78" s="2">
        <v>2035</v>
      </c>
      <c r="B78" s="2">
        <f>B12/'Output-Calculation-sheet'!B11*'Output-Calculation-sheet'!B65</f>
        <v>10612.941118399931</v>
      </c>
      <c r="C78" s="2">
        <f>C12/'Output-Calculation-sheet'!C11*'Output-Calculation-sheet'!C65</f>
        <v>7494.6339166743574</v>
      </c>
      <c r="D78" s="2">
        <f>D12/'Output-Calculation-sheet'!D11*'Output-Calculation-sheet'!D65</f>
        <v>1126.7335196014369</v>
      </c>
      <c r="E78" s="2">
        <f>E12/'Output-Calculation-sheet'!E11*'Output-Calculation-sheet'!E65</f>
        <v>2141.8904672648246</v>
      </c>
      <c r="F78" s="2">
        <f>F12/'Output-Calculation-sheet'!F11*'Output-Calculation-sheet'!F65</f>
        <v>453.69091956996681</v>
      </c>
      <c r="G78" s="2">
        <f>G12/'Output-Calculation-sheet'!G11*'Output-Calculation-sheet'!G65</f>
        <v>851.29704303555116</v>
      </c>
      <c r="H78" s="2">
        <f>H12/'Output-Calculation-sheet'!H11*'Output-Calculation-sheet'!H65</f>
        <v>2740.8406937590867</v>
      </c>
      <c r="I78" s="2">
        <f>I12/'Output-Calculation-sheet'!I11*'Output-Calculation-sheet'!I65</f>
        <v>500.58959094847114</v>
      </c>
      <c r="J78" s="2">
        <f>J12/'Output-Calculation-sheet'!J11*'Output-Calculation-sheet'!J65</f>
        <v>448.9445981337737</v>
      </c>
      <c r="K78" s="2">
        <f>K12/'Output-Calculation-sheet'!K11*'Output-Calculation-sheet'!K65</f>
        <v>566.54634245162981</v>
      </c>
      <c r="L78" s="2">
        <f>L12/'Output-Calculation-sheet'!L11*'Output-Calculation-sheet'!L65</f>
        <v>336.86105239853225</v>
      </c>
      <c r="M78" s="2">
        <f>M12/'Output-Calculation-sheet'!M11*'Output-Calculation-sheet'!M65</f>
        <v>1951.0124552373254</v>
      </c>
      <c r="N78" s="2">
        <f>N12/'Output-Calculation-sheet'!N11*'Output-Calculation-sheet'!N65</f>
        <v>1371.8768229971965</v>
      </c>
      <c r="O78" s="2">
        <f>O12/'Output-Calculation-sheet'!O11*'Output-Calculation-sheet'!O65</f>
        <v>192.31940108443109</v>
      </c>
      <c r="P78" s="2">
        <f>P12/'Output-Calculation-sheet'!P11*'Output-Calculation-sheet'!P65</f>
        <v>779.89748710480274</v>
      </c>
      <c r="Q78" s="2">
        <f>Q12/'Output-Calculation-sheet'!Q11*'Output-Calculation-sheet'!Q65</f>
        <v>392.28069863557516</v>
      </c>
      <c r="R78" s="2">
        <f>R12/'Output-Calculation-sheet'!R11*'Output-Calculation-sheet'!R65</f>
        <v>646.59728447952943</v>
      </c>
      <c r="S78" s="2">
        <f>S12/'Output-Calculation-sheet'!S11*'Output-Calculation-sheet'!S65</f>
        <v>729.46153204644668</v>
      </c>
      <c r="T78" s="2">
        <f>T12/'Output-Calculation-sheet'!T11*'Output-Calculation-sheet'!T65</f>
        <v>232.50133558192053</v>
      </c>
      <c r="U78" s="2">
        <f>U12/'Output-Calculation-sheet'!U11*'Output-Calculation-sheet'!U65</f>
        <v>199.21060302532297</v>
      </c>
      <c r="V78" s="2">
        <f>V12/'Output-Calculation-sheet'!V11*'Output-Calculation-sheet'!V65</f>
        <v>125.47610572966065</v>
      </c>
      <c r="W78" s="2">
        <f>W12/'Output-Calculation-sheet'!W11*'Output-Calculation-sheet'!W65</f>
        <v>88.376824210921839</v>
      </c>
      <c r="X78" s="2">
        <f>X12/'Output-Calculation-sheet'!X11*'Output-Calculation-sheet'!X65</f>
        <v>201.08572777476252</v>
      </c>
      <c r="Y78" s="2">
        <f>Y12/'Output-Calculation-sheet'!Y11*'Output-Calculation-sheet'!Y65</f>
        <v>86.264548200280203</v>
      </c>
      <c r="AA78" s="2">
        <f t="shared" si="6"/>
        <v>34.271330088345735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89.761128472365613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104.62903490012997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0.19439016337249557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311.32707897701101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221.76907880463182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0.53309615778164288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214.29290524485461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333.05077217423604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0.54734367741909074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398.68603586476706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387.26985602989919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0.7859558918946663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671.63855217987521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25.843907991386789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17.783137669271465</v>
      </c>
      <c r="N88" s="2">
        <f>N11/'Output-Calculation-sheet'!N10*'Output-Calculation-sheet'!N73</f>
        <v>0</v>
      </c>
      <c r="O88" s="2">
        <f>O11/'Output-Calculation-sheet'!O10*'Output-Calculation-sheet'!O73</f>
        <v>375.13374348445399</v>
      </c>
      <c r="P88" s="2">
        <f>P11/'Output-Calculation-sheet'!P10*'Output-Calculation-sheet'!P73</f>
        <v>0</v>
      </c>
      <c r="Q88" s="2">
        <f>Q11/'Output-Calculation-sheet'!Q10*'Output-Calculation-sheet'!Q73</f>
        <v>15.313331771421463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1.9508540413291664</v>
      </c>
      <c r="Y88" s="2">
        <f>Y11/'Output-Calculation-sheet'!Y10*'Output-Calculation-sheet'!Y73</f>
        <v>0</v>
      </c>
      <c r="AA88" s="2">
        <f t="shared" si="7"/>
        <v>1.1076635271377382</v>
      </c>
    </row>
    <row r="89" spans="1:27" x14ac:dyDescent="0.25">
      <c r="A89" s="2">
        <v>2035</v>
      </c>
      <c r="B89" s="2">
        <f>B12/'Output-Calculation-sheet'!B11*'Output-Calculation-sheet'!B74</f>
        <v>267.52391213732778</v>
      </c>
      <c r="C89" s="2">
        <f>C12/'Output-Calculation-sheet'!C11*'Output-Calculation-sheet'!C74</f>
        <v>825.32330024113855</v>
      </c>
      <c r="D89" s="2">
        <f>D12/'Output-Calculation-sheet'!D11*'Output-Calculation-sheet'!D74</f>
        <v>112.47651805354998</v>
      </c>
      <c r="E89" s="2">
        <f>E12/'Output-Calculation-sheet'!E11*'Output-Calculation-sheet'!E74</f>
        <v>89.388830718645522</v>
      </c>
      <c r="F89" s="2">
        <f>F12/'Output-Calculation-sheet'!F11*'Output-Calculation-sheet'!F74</f>
        <v>28.109722402104509</v>
      </c>
      <c r="G89" s="2">
        <f>G12/'Output-Calculation-sheet'!G11*'Output-Calculation-sheet'!G74</f>
        <v>40.34774363882417</v>
      </c>
      <c r="H89" s="2">
        <f>H12/'Output-Calculation-sheet'!H11*'Output-Calculation-sheet'!H74</f>
        <v>97.715467598330306</v>
      </c>
      <c r="I89" s="2">
        <f>I12/'Output-Calculation-sheet'!I11*'Output-Calculation-sheet'!I74</f>
        <v>36.290386468643696</v>
      </c>
      <c r="J89" s="2">
        <f>J12/'Output-Calculation-sheet'!J11*'Output-Calculation-sheet'!J74</f>
        <v>17.957783925350949</v>
      </c>
      <c r="K89" s="2">
        <f>K12/'Output-Calculation-sheet'!K11*'Output-Calculation-sheet'!K74</f>
        <v>35.667737500102604</v>
      </c>
      <c r="L89" s="2">
        <f>L12/'Output-Calculation-sheet'!L11*'Output-Calculation-sheet'!L74</f>
        <v>28.361275722882109</v>
      </c>
      <c r="M89" s="2">
        <f>M12/'Output-Calculation-sheet'!M11*'Output-Calculation-sheet'!M74</f>
        <v>53.79024297091528</v>
      </c>
      <c r="N89" s="2">
        <f>N12/'Output-Calculation-sheet'!N11*'Output-Calculation-sheet'!N74</f>
        <v>39.650383138322411</v>
      </c>
      <c r="O89" s="2">
        <f>O12/'Output-Calculation-sheet'!O11*'Output-Calculation-sheet'!O74</f>
        <v>320.67622832009289</v>
      </c>
      <c r="P89" s="2">
        <f>P12/'Output-Calculation-sheet'!P11*'Output-Calculation-sheet'!P74</f>
        <v>24.419873097185167</v>
      </c>
      <c r="Q89" s="2">
        <f>Q12/'Output-Calculation-sheet'!Q11*'Output-Calculation-sheet'!Q74</f>
        <v>34.739700552211758</v>
      </c>
      <c r="R89" s="2">
        <f>R12/'Output-Calculation-sheet'!R11*'Output-Calculation-sheet'!R74</f>
        <v>22.967260486609934</v>
      </c>
      <c r="S89" s="2">
        <f>S12/'Output-Calculation-sheet'!S11*'Output-Calculation-sheet'!S74</f>
        <v>22.728906712982074</v>
      </c>
      <c r="T89" s="2">
        <f>T12/'Output-Calculation-sheet'!T11*'Output-Calculation-sheet'!T74</f>
        <v>4.2485397091260033</v>
      </c>
      <c r="U89" s="2">
        <f>U12/'Output-Calculation-sheet'!U11*'Output-Calculation-sheet'!U74</f>
        <v>7.3893914101162128</v>
      </c>
      <c r="V89" s="2">
        <f>V12/'Output-Calculation-sheet'!V11*'Output-Calculation-sheet'!V74</f>
        <v>2.8489454789560349</v>
      </c>
      <c r="W89" s="2">
        <f>W12/'Output-Calculation-sheet'!W11*'Output-Calculation-sheet'!W74</f>
        <v>2.4669725382682515</v>
      </c>
      <c r="X89" s="2">
        <f>X12/'Output-Calculation-sheet'!X11*'Output-Calculation-sheet'!X74</f>
        <v>8.8513833865112481</v>
      </c>
      <c r="Y89" s="2">
        <f>Y12/'Output-Calculation-sheet'!Y11*'Output-Calculation-sheet'!Y74</f>
        <v>2.8472497136819936</v>
      </c>
      <c r="AA89" s="2">
        <f t="shared" si="7"/>
        <v>2.1267877559218795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1746307870.1857948</v>
      </c>
      <c r="C93" s="2">
        <f>C5/'Output-Calculation-sheet'!C4*'Output-Calculation-sheet'!C76</f>
        <v>578541946.62522089</v>
      </c>
      <c r="D93" s="2">
        <f>D5/'Output-Calculation-sheet'!D4*'Output-Calculation-sheet'!D76</f>
        <v>640394265.03362298</v>
      </c>
      <c r="E93" s="2">
        <f>E5/'Output-Calculation-sheet'!E4*'Output-Calculation-sheet'!E76</f>
        <v>1071576614.988668</v>
      </c>
      <c r="F93" s="2">
        <f>F5/'Output-Calculation-sheet'!F4*'Output-Calculation-sheet'!F76</f>
        <v>460433011.2688815</v>
      </c>
      <c r="G93" s="2">
        <f>G5/'Output-Calculation-sheet'!G4*'Output-Calculation-sheet'!G76</f>
        <v>358103295.88826829</v>
      </c>
      <c r="H93" s="2">
        <f>H5/'Output-Calculation-sheet'!H4*'Output-Calculation-sheet'!H76</f>
        <v>302914723.3836695</v>
      </c>
      <c r="I93" s="2">
        <f>I5/'Output-Calculation-sheet'!I4*'Output-Calculation-sheet'!I76</f>
        <v>248563717.39396125</v>
      </c>
      <c r="J93" s="2">
        <f>J5/'Output-Calculation-sheet'!J4*'Output-Calculation-sheet'!J76</f>
        <v>168672512.46713123</v>
      </c>
      <c r="K93" s="2">
        <f>K5/'Output-Calculation-sheet'!K4*'Output-Calculation-sheet'!K76</f>
        <v>246524827.21847776</v>
      </c>
      <c r="L93" s="2">
        <f>L5/'Output-Calculation-sheet'!L4*'Output-Calculation-sheet'!L76</f>
        <v>164557116.30105281</v>
      </c>
      <c r="M93" s="2">
        <f>M5/'Output-Calculation-sheet'!M4*'Output-Calculation-sheet'!M76</f>
        <v>221299499.61088344</v>
      </c>
      <c r="N93" s="2">
        <f>N5/'Output-Calculation-sheet'!N4*'Output-Calculation-sheet'!N76</f>
        <v>167107072.17643422</v>
      </c>
      <c r="O93" s="2">
        <f>O5/'Output-Calculation-sheet'!O4*'Output-Calculation-sheet'!O76</f>
        <v>81562910.696286768</v>
      </c>
      <c r="P93" s="2">
        <f>P5/'Output-Calculation-sheet'!P4*'Output-Calculation-sheet'!P76</f>
        <v>289538873.16679019</v>
      </c>
      <c r="Q93" s="2">
        <f>Q5/'Output-Calculation-sheet'!Q4*'Output-Calculation-sheet'!Q76</f>
        <v>132926224.10079931</v>
      </c>
      <c r="R93" s="2">
        <f>R5/'Output-Calculation-sheet'!R4*'Output-Calculation-sheet'!R76</f>
        <v>166327153.39424601</v>
      </c>
      <c r="S93" s="2">
        <f>S5/'Output-Calculation-sheet'!S4*'Output-Calculation-sheet'!S76</f>
        <v>97989264.861312062</v>
      </c>
      <c r="T93" s="2">
        <f>T5/'Output-Calculation-sheet'!T4*'Output-Calculation-sheet'!T76</f>
        <v>75350538.018404737</v>
      </c>
      <c r="U93" s="2">
        <f>U5/'Output-Calculation-sheet'!U4*'Output-Calculation-sheet'!U76</f>
        <v>48849334.318540476</v>
      </c>
      <c r="V93" s="2">
        <f>V5/'Output-Calculation-sheet'!V4*'Output-Calculation-sheet'!V76</f>
        <v>25038656.460300475</v>
      </c>
      <c r="W93" s="2">
        <f>W5/'Output-Calculation-sheet'!W4*'Output-Calculation-sheet'!W76</f>
        <v>70136618.249221653</v>
      </c>
      <c r="X93" s="2">
        <f>X5/'Output-Calculation-sheet'!X4*'Output-Calculation-sheet'!X76</f>
        <v>24342626.371006861</v>
      </c>
      <c r="Y93" s="2">
        <f>Y5/'Output-Calculation-sheet'!Y4*'Output-Calculation-sheet'!Y76</f>
        <v>38342432.107863858</v>
      </c>
      <c r="AA93" s="2">
        <f t="shared" ref="AA93:AA100" si="8">SUM(B93:Y93)/10^9</f>
        <v>7.4254011042868413</v>
      </c>
    </row>
    <row r="94" spans="1:27" x14ac:dyDescent="0.25">
      <c r="A94" s="2">
        <v>2029</v>
      </c>
      <c r="B94" s="2">
        <f>B6/'Output-Calculation-sheet'!B5*'Output-Calculation-sheet'!B77</f>
        <v>4770275577.2046194</v>
      </c>
      <c r="C94" s="2">
        <f>C6/'Output-Calculation-sheet'!C5*'Output-Calculation-sheet'!C77</f>
        <v>1591100093.4583569</v>
      </c>
      <c r="D94" s="2">
        <f>D6/'Output-Calculation-sheet'!D5*'Output-Calculation-sheet'!D77</f>
        <v>1750628612.8903368</v>
      </c>
      <c r="E94" s="2">
        <f>E6/'Output-Calculation-sheet'!E5*'Output-Calculation-sheet'!E77</f>
        <v>2977423307.6058097</v>
      </c>
      <c r="F94" s="2">
        <f>F6/'Output-Calculation-sheet'!F5*'Output-Calculation-sheet'!F77</f>
        <v>1257121185.293328</v>
      </c>
      <c r="G94" s="2">
        <f>G6/'Output-Calculation-sheet'!G5*'Output-Calculation-sheet'!G77</f>
        <v>991348660.76990867</v>
      </c>
      <c r="H94" s="2">
        <f>H6/'Output-Calculation-sheet'!H5*'Output-Calculation-sheet'!H77</f>
        <v>833219066.76802337</v>
      </c>
      <c r="I94" s="2">
        <f>I6/'Output-Calculation-sheet'!I5*'Output-Calculation-sheet'!I77</f>
        <v>677018760.81268287</v>
      </c>
      <c r="J94" s="2">
        <f>J6/'Output-Calculation-sheet'!J5*'Output-Calculation-sheet'!J77</f>
        <v>465106722.47048736</v>
      </c>
      <c r="K94" s="2">
        <f>K6/'Output-Calculation-sheet'!K5*'Output-Calculation-sheet'!K77</f>
        <v>670122308.02897418</v>
      </c>
      <c r="L94" s="2">
        <f>L6/'Output-Calculation-sheet'!L5*'Output-Calculation-sheet'!L77</f>
        <v>452892172.54127854</v>
      </c>
      <c r="M94" s="2">
        <f>M6/'Output-Calculation-sheet'!M5*'Output-Calculation-sheet'!M77</f>
        <v>614123907.08887005</v>
      </c>
      <c r="N94" s="2">
        <f>N6/'Output-Calculation-sheet'!N5*'Output-Calculation-sheet'!N77</f>
        <v>464588570.8688699</v>
      </c>
      <c r="O94" s="2">
        <f>O6/'Output-Calculation-sheet'!O5*'Output-Calculation-sheet'!O77</f>
        <v>228179734.14081442</v>
      </c>
      <c r="P94" s="2">
        <f>P6/'Output-Calculation-sheet'!P5*'Output-Calculation-sheet'!P77</f>
        <v>794528531.37577534</v>
      </c>
      <c r="Q94" s="2">
        <f>Q6/'Output-Calculation-sheet'!Q5*'Output-Calculation-sheet'!Q77</f>
        <v>367041568.51426083</v>
      </c>
      <c r="R94" s="2">
        <f>R6/'Output-Calculation-sheet'!R5*'Output-Calculation-sheet'!R77</f>
        <v>455701352.96848524</v>
      </c>
      <c r="S94" s="2">
        <f>S6/'Output-Calculation-sheet'!S5*'Output-Calculation-sheet'!S77</f>
        <v>267570625.38094619</v>
      </c>
      <c r="T94" s="2">
        <f>T6/'Output-Calculation-sheet'!T5*'Output-Calculation-sheet'!T77</f>
        <v>206404423.76007929</v>
      </c>
      <c r="U94" s="2">
        <f>U6/'Output-Calculation-sheet'!U5*'Output-Calculation-sheet'!U77</f>
        <v>130657353.90778957</v>
      </c>
      <c r="V94" s="2">
        <f>V6/'Output-Calculation-sheet'!V5*'Output-Calculation-sheet'!V77</f>
        <v>67017490.588205159</v>
      </c>
      <c r="W94" s="2">
        <f>W6/'Output-Calculation-sheet'!W5*'Output-Calculation-sheet'!W77</f>
        <v>194465251.02513176</v>
      </c>
      <c r="X94" s="2">
        <f>X6/'Output-Calculation-sheet'!X5*'Output-Calculation-sheet'!X77</f>
        <v>67250053.937438741</v>
      </c>
      <c r="Y94" s="2">
        <f>Y6/'Output-Calculation-sheet'!Y5*'Output-Calculation-sheet'!Y77</f>
        <v>106626120.53622364</v>
      </c>
      <c r="AA94" s="2">
        <f t="shared" si="8"/>
        <v>20.400411451936694</v>
      </c>
    </row>
    <row r="95" spans="1:27" x14ac:dyDescent="0.25">
      <c r="A95" s="2">
        <v>2030</v>
      </c>
      <c r="B95" s="2">
        <f>B7/'Output-Calculation-sheet'!B6*'Output-Calculation-sheet'!B78</f>
        <v>8892559045.1044922</v>
      </c>
      <c r="C95" s="2">
        <f>C7/'Output-Calculation-sheet'!C6*'Output-Calculation-sheet'!C78</f>
        <v>2985933559.8056378</v>
      </c>
      <c r="D95" s="2">
        <f>D7/'Output-Calculation-sheet'!D6*'Output-Calculation-sheet'!D78</f>
        <v>3268827217.0194545</v>
      </c>
      <c r="E95" s="2">
        <f>E7/'Output-Calculation-sheet'!E6*'Output-Calculation-sheet'!E78</f>
        <v>5650981527.1223888</v>
      </c>
      <c r="F95" s="2">
        <f>F7/'Output-Calculation-sheet'!F6*'Output-Calculation-sheet'!F78</f>
        <v>2343002848.2167053</v>
      </c>
      <c r="G95" s="2">
        <f>G7/'Output-Calculation-sheet'!G6*'Output-Calculation-sheet'!G78</f>
        <v>1874489713.9958615</v>
      </c>
      <c r="H95" s="2">
        <f>H7/'Output-Calculation-sheet'!H6*'Output-Calculation-sheet'!H78</f>
        <v>1564419833.8031774</v>
      </c>
      <c r="I95" s="2">
        <f>I7/'Output-Calculation-sheet'!I6*'Output-Calculation-sheet'!I78</f>
        <v>1259019779.9378614</v>
      </c>
      <c r="J95" s="2">
        <f>J7/'Output-Calculation-sheet'!J6*'Output-Calculation-sheet'!J78</f>
        <v>876095116.92525661</v>
      </c>
      <c r="K95" s="2">
        <f>K7/'Output-Calculation-sheet'!K6*'Output-Calculation-sheet'!K78</f>
        <v>1243590812.6081772</v>
      </c>
      <c r="L95" s="2">
        <f>L7/'Output-Calculation-sheet'!L6*'Output-Calculation-sheet'!L78</f>
        <v>851079571.54020834</v>
      </c>
      <c r="M95" s="2">
        <f>M7/'Output-Calculation-sheet'!M6*'Output-Calculation-sheet'!M78</f>
        <v>1163971082.2983732</v>
      </c>
      <c r="N95" s="2">
        <f>N7/'Output-Calculation-sheet'!N6*'Output-Calculation-sheet'!N78</f>
        <v>882305926.62456155</v>
      </c>
      <c r="O95" s="2">
        <f>O7/'Output-Calculation-sheet'!O6*'Output-Calculation-sheet'!O78</f>
        <v>435937745.82001567</v>
      </c>
      <c r="P95" s="2">
        <f>P7/'Output-Calculation-sheet'!P6*'Output-Calculation-sheet'!P78</f>
        <v>1487991365.3855639</v>
      </c>
      <c r="Q95" s="2">
        <f>Q7/'Output-Calculation-sheet'!Q6*'Output-Calculation-sheet'!Q78</f>
        <v>692201199.27202606</v>
      </c>
      <c r="R95" s="2">
        <f>R7/'Output-Calculation-sheet'!R6*'Output-Calculation-sheet'!R78</f>
        <v>852244551.31309211</v>
      </c>
      <c r="S95" s="2">
        <f>S7/'Output-Calculation-sheet'!S6*'Output-Calculation-sheet'!S78</f>
        <v>498661559.7766993</v>
      </c>
      <c r="T95" s="2">
        <f>T7/'Output-Calculation-sheet'!T6*'Output-Calculation-sheet'!T78</f>
        <v>386005742.14735484</v>
      </c>
      <c r="U95" s="2">
        <f>U7/'Output-Calculation-sheet'!U6*'Output-Calculation-sheet'!U78</f>
        <v>238292344.47321224</v>
      </c>
      <c r="V95" s="2">
        <f>V7/'Output-Calculation-sheet'!V6*'Output-Calculation-sheet'!V78</f>
        <v>122295661.34855743</v>
      </c>
      <c r="W95" s="2">
        <f>W7/'Output-Calculation-sheet'!W6*'Output-Calculation-sheet'!W78</f>
        <v>368281452.9223249</v>
      </c>
      <c r="X95" s="2">
        <f>X7/'Output-Calculation-sheet'!X6*'Output-Calculation-sheet'!X78</f>
        <v>126898945.5492972</v>
      </c>
      <c r="Y95" s="2">
        <f>Y7/'Output-Calculation-sheet'!Y6*'Output-Calculation-sheet'!Y78</f>
        <v>202539160.57501948</v>
      </c>
      <c r="AA95" s="2">
        <f t="shared" si="8"/>
        <v>38.267625763585322</v>
      </c>
    </row>
    <row r="96" spans="1:27" x14ac:dyDescent="0.25">
      <c r="A96" s="2">
        <v>2031</v>
      </c>
      <c r="B96" s="2">
        <f>B8/'Output-Calculation-sheet'!B7*'Output-Calculation-sheet'!B79</f>
        <v>13691704300.164585</v>
      </c>
      <c r="C96" s="2">
        <f>C8/'Output-Calculation-sheet'!C7*'Output-Calculation-sheet'!C79</f>
        <v>4631965791.2971668</v>
      </c>
      <c r="D96" s="2">
        <f>D8/'Output-Calculation-sheet'!D7*'Output-Calculation-sheet'!D79</f>
        <v>4835467235.5070229</v>
      </c>
      <c r="E96" s="2">
        <f>E8/'Output-Calculation-sheet'!E7*'Output-Calculation-sheet'!E79</f>
        <v>8597049029.2497349</v>
      </c>
      <c r="F96" s="2">
        <f>F8/'Output-Calculation-sheet'!F7*'Output-Calculation-sheet'!F79</f>
        <v>3558233876.184689</v>
      </c>
      <c r="G96" s="2">
        <f>G8/'Output-Calculation-sheet'!G7*'Output-Calculation-sheet'!G79</f>
        <v>2771571604.9453769</v>
      </c>
      <c r="H96" s="2">
        <f>H8/'Output-Calculation-sheet'!H7*'Output-Calculation-sheet'!H79</f>
        <v>2372308768.4910727</v>
      </c>
      <c r="I96" s="2">
        <f>I8/'Output-Calculation-sheet'!I7*'Output-Calculation-sheet'!I79</f>
        <v>1930694276.2445085</v>
      </c>
      <c r="J96" s="2">
        <f>J8/'Output-Calculation-sheet'!J7*'Output-Calculation-sheet'!J79</f>
        <v>1305585338.3853245</v>
      </c>
      <c r="K96" s="2">
        <f>K8/'Output-Calculation-sheet'!K7*'Output-Calculation-sheet'!K79</f>
        <v>1867903156.6769674</v>
      </c>
      <c r="L96" s="2">
        <f>L8/'Output-Calculation-sheet'!L7*'Output-Calculation-sheet'!L79</f>
        <v>1317990842.0344157</v>
      </c>
      <c r="M96" s="2">
        <f>M8/'Output-Calculation-sheet'!M7*'Output-Calculation-sheet'!M79</f>
        <v>1770882614.8666067</v>
      </c>
      <c r="N96" s="2">
        <f>N8/'Output-Calculation-sheet'!N7*'Output-Calculation-sheet'!N79</f>
        <v>1317677702.4240952</v>
      </c>
      <c r="O96" s="2">
        <f>O8/'Output-Calculation-sheet'!O7*'Output-Calculation-sheet'!O79</f>
        <v>666131209.34578133</v>
      </c>
      <c r="P96" s="2">
        <f>P8/'Output-Calculation-sheet'!P7*'Output-Calculation-sheet'!P79</f>
        <v>2228069184.4845757</v>
      </c>
      <c r="Q96" s="2">
        <f>Q8/'Output-Calculation-sheet'!Q7*'Output-Calculation-sheet'!Q79</f>
        <v>1038375540.0636898</v>
      </c>
      <c r="R96" s="2">
        <f>R8/'Output-Calculation-sheet'!R7*'Output-Calculation-sheet'!R79</f>
        <v>1295496921.8902211</v>
      </c>
      <c r="S96" s="2">
        <f>S8/'Output-Calculation-sheet'!S7*'Output-Calculation-sheet'!S79</f>
        <v>754865073.65470183</v>
      </c>
      <c r="T96" s="2">
        <f>T8/'Output-Calculation-sheet'!T7*'Output-Calculation-sheet'!T79</f>
        <v>576543136.43016076</v>
      </c>
      <c r="U96" s="2">
        <f>U8/'Output-Calculation-sheet'!U7*'Output-Calculation-sheet'!U79</f>
        <v>362169580.635979</v>
      </c>
      <c r="V96" s="2">
        <f>V8/'Output-Calculation-sheet'!V7*'Output-Calculation-sheet'!V79</f>
        <v>187912464.65573713</v>
      </c>
      <c r="W96" s="2">
        <f>W8/'Output-Calculation-sheet'!W7*'Output-Calculation-sheet'!W79</f>
        <v>555266098.47102118</v>
      </c>
      <c r="X96" s="2">
        <f>X8/'Output-Calculation-sheet'!X7*'Output-Calculation-sheet'!X79</f>
        <v>195160319.85594884</v>
      </c>
      <c r="Y96" s="2">
        <f>Y8/'Output-Calculation-sheet'!Y7*'Output-Calculation-sheet'!Y79</f>
        <v>305228049.17192835</v>
      </c>
      <c r="AA96" s="2">
        <f t="shared" si="8"/>
        <v>58.134252115131311</v>
      </c>
    </row>
    <row r="97" spans="1:27" x14ac:dyDescent="0.25">
      <c r="A97" s="2">
        <v>2032</v>
      </c>
      <c r="B97" s="2">
        <f>B9/'Output-Calculation-sheet'!B8*'Output-Calculation-sheet'!B80</f>
        <v>17660623736.543411</v>
      </c>
      <c r="C97" s="2">
        <f>C9/'Output-Calculation-sheet'!C8*'Output-Calculation-sheet'!C80</f>
        <v>6015303639.3530598</v>
      </c>
      <c r="D97" s="2">
        <f>D9/'Output-Calculation-sheet'!D8*'Output-Calculation-sheet'!D80</f>
        <v>5993664528.7066088</v>
      </c>
      <c r="E97" s="2">
        <f>E9/'Output-Calculation-sheet'!E8*'Output-Calculation-sheet'!E80</f>
        <v>10961515760.744112</v>
      </c>
      <c r="F97" s="2">
        <f>F9/'Output-Calculation-sheet'!F8*'Output-Calculation-sheet'!F80</f>
        <v>4528203048.6307459</v>
      </c>
      <c r="G97" s="2">
        <f>G9/'Output-Calculation-sheet'!G8*'Output-Calculation-sheet'!G80</f>
        <v>3427600926.8265352</v>
      </c>
      <c r="H97" s="2">
        <f>H9/'Output-Calculation-sheet'!H8*'Output-Calculation-sheet'!H80</f>
        <v>3015596501.0936022</v>
      </c>
      <c r="I97" s="2">
        <f>I9/'Output-Calculation-sheet'!I8*'Output-Calculation-sheet'!I80</f>
        <v>2480607976.7857828</v>
      </c>
      <c r="J97" s="2">
        <f>J9/'Output-Calculation-sheet'!J8*'Output-Calculation-sheet'!J80</f>
        <v>1630770783.5632734</v>
      </c>
      <c r="K97" s="2">
        <f>K9/'Output-Calculation-sheet'!K8*'Output-Calculation-sheet'!K80</f>
        <v>2351099677.7929063</v>
      </c>
      <c r="L97" s="2">
        <f>L9/'Output-Calculation-sheet'!L8*'Output-Calculation-sheet'!L80</f>
        <v>1711211101.8984084</v>
      </c>
      <c r="M97" s="2">
        <f>M9/'Output-Calculation-sheet'!M8*'Output-Calculation-sheet'!M80</f>
        <v>2257751606.2284198</v>
      </c>
      <c r="N97" s="2">
        <f>N9/'Output-Calculation-sheet'!N8*'Output-Calculation-sheet'!N80</f>
        <v>1649589413.2160914</v>
      </c>
      <c r="O97" s="2">
        <f>O9/'Output-Calculation-sheet'!O8*'Output-Calculation-sheet'!O80</f>
        <v>853389523.72966456</v>
      </c>
      <c r="P97" s="2">
        <f>P9/'Output-Calculation-sheet'!P8*'Output-Calculation-sheet'!P80</f>
        <v>2792130050.345191</v>
      </c>
      <c r="Q97" s="2">
        <f>Q9/'Output-Calculation-sheet'!Q8*'Output-Calculation-sheet'!Q80</f>
        <v>1306051367.1374688</v>
      </c>
      <c r="R97" s="2">
        <f>R9/'Output-Calculation-sheet'!R8*'Output-Calculation-sheet'!R80</f>
        <v>1650192573.8303654</v>
      </c>
      <c r="S97" s="2">
        <f>S9/'Output-Calculation-sheet'!S8*'Output-Calculation-sheet'!S80</f>
        <v>957766994.76201499</v>
      </c>
      <c r="T97" s="2">
        <f>T9/'Output-Calculation-sheet'!T8*'Output-Calculation-sheet'!T80</f>
        <v>721232230.83186495</v>
      </c>
      <c r="U97" s="2">
        <f>U9/'Output-Calculation-sheet'!U8*'Output-Calculation-sheet'!U80</f>
        <v>461078592.60597378</v>
      </c>
      <c r="V97" s="2">
        <f>V9/'Output-Calculation-sheet'!V8*'Output-Calculation-sheet'!V80</f>
        <v>241762135.76575533</v>
      </c>
      <c r="W97" s="2">
        <f>W9/'Output-Calculation-sheet'!W8*'Output-Calculation-sheet'!W80</f>
        <v>700147816.52064228</v>
      </c>
      <c r="X97" s="2">
        <f>X9/'Output-Calculation-sheet'!X8*'Output-Calculation-sheet'!X80</f>
        <v>251420631.47193626</v>
      </c>
      <c r="Y97" s="2">
        <f>Y9/'Output-Calculation-sheet'!Y8*'Output-Calculation-sheet'!Y80</f>
        <v>384846560.39815825</v>
      </c>
      <c r="AA97" s="2">
        <f t="shared" si="8"/>
        <v>74.003557178782003</v>
      </c>
    </row>
    <row r="98" spans="1:27" x14ac:dyDescent="0.25">
      <c r="A98" s="2">
        <v>2033</v>
      </c>
      <c r="B98" s="2">
        <f>B10/'Output-Calculation-sheet'!B9*'Output-Calculation-sheet'!B81</f>
        <v>19705544651.967773</v>
      </c>
      <c r="C98" s="2">
        <f>C10/'Output-Calculation-sheet'!C9*'Output-Calculation-sheet'!C81</f>
        <v>6756037879.1157351</v>
      </c>
      <c r="D98" s="2">
        <f>D10/'Output-Calculation-sheet'!D9*'Output-Calculation-sheet'!D81</f>
        <v>6429690337.4403992</v>
      </c>
      <c r="E98" s="2">
        <f>E10/'Output-Calculation-sheet'!E9*'Output-Calculation-sheet'!E81</f>
        <v>12094652079.080534</v>
      </c>
      <c r="F98" s="2">
        <f>F10/'Output-Calculation-sheet'!F9*'Output-Calculation-sheet'!F81</f>
        <v>4988126858.2486219</v>
      </c>
      <c r="G98" s="2">
        <f>G10/'Output-Calculation-sheet'!G9*'Output-Calculation-sheet'!G81</f>
        <v>3662435356.6406198</v>
      </c>
      <c r="H98" s="2">
        <f>H10/'Output-Calculation-sheet'!H9*'Output-Calculation-sheet'!H81</f>
        <v>3318196356.1140523</v>
      </c>
      <c r="I98" s="2">
        <f>I10/'Output-Calculation-sheet'!I9*'Output-Calculation-sheet'!I81</f>
        <v>2758400789.8887687</v>
      </c>
      <c r="J98" s="2">
        <f>J10/'Output-Calculation-sheet'!J9*'Output-Calculation-sheet'!J81</f>
        <v>1763790989.6083765</v>
      </c>
      <c r="K98" s="2">
        <f>K10/'Output-Calculation-sheet'!K9*'Output-Calculation-sheet'!K81</f>
        <v>2561976358.7966857</v>
      </c>
      <c r="L98" s="2">
        <f>L10/'Output-Calculation-sheet'!L9*'Output-Calculation-sheet'!L81</f>
        <v>1921520618.9625647</v>
      </c>
      <c r="M98" s="2">
        <f>M10/'Output-Calculation-sheet'!M9*'Output-Calculation-sheet'!M81</f>
        <v>2491826144.8415394</v>
      </c>
      <c r="N98" s="2">
        <f>N10/'Output-Calculation-sheet'!N9*'Output-Calculation-sheet'!N81</f>
        <v>1787690833.727613</v>
      </c>
      <c r="O98" s="2">
        <f>O10/'Output-Calculation-sheet'!O9*'Output-Calculation-sheet'!O81</f>
        <v>946683293.04929674</v>
      </c>
      <c r="P98" s="2">
        <f>P10/'Output-Calculation-sheet'!P9*'Output-Calculation-sheet'!P81</f>
        <v>3025325128.7984257</v>
      </c>
      <c r="Q98" s="2">
        <f>Q10/'Output-Calculation-sheet'!Q9*'Output-Calculation-sheet'!Q81</f>
        <v>1422431181.7872026</v>
      </c>
      <c r="R98" s="2">
        <f>R10/'Output-Calculation-sheet'!R9*'Output-Calculation-sheet'!R81</f>
        <v>1819504678.5858307</v>
      </c>
      <c r="S98" s="2">
        <f>S10/'Output-Calculation-sheet'!S9*'Output-Calculation-sheet'!S81</f>
        <v>1051997646.6453902</v>
      </c>
      <c r="T98" s="2">
        <f>T10/'Output-Calculation-sheet'!T9*'Output-Calculation-sheet'!T81</f>
        <v>780625532.57040906</v>
      </c>
      <c r="U98" s="2">
        <f>U10/'Output-Calculation-sheet'!U9*'Output-Calculation-sheet'!U81</f>
        <v>507925600.0598771</v>
      </c>
      <c r="V98" s="2">
        <f>V10/'Output-Calculation-sheet'!V9*'Output-Calculation-sheet'!V81</f>
        <v>269005951.14014888</v>
      </c>
      <c r="W98" s="2">
        <f>W10/'Output-Calculation-sheet'!W9*'Output-Calculation-sheet'!W81</f>
        <v>762724678.6185751</v>
      </c>
      <c r="X98" s="2">
        <f>X10/'Output-Calculation-sheet'!X9*'Output-Calculation-sheet'!X81</f>
        <v>280278242.95481879</v>
      </c>
      <c r="Y98" s="2">
        <f>Y10/'Output-Calculation-sheet'!Y9*'Output-Calculation-sheet'!Y81</f>
        <v>419393262.90772855</v>
      </c>
      <c r="AA98" s="2">
        <f t="shared" si="8"/>
        <v>81.525784451550976</v>
      </c>
    </row>
    <row r="99" spans="1:27" x14ac:dyDescent="0.25">
      <c r="A99" s="2">
        <v>2034</v>
      </c>
      <c r="B99" s="2">
        <f>B11/'Output-Calculation-sheet'!B10*'Output-Calculation-sheet'!B82</f>
        <v>19358088004.812492</v>
      </c>
      <c r="C99" s="2">
        <f>C11/'Output-Calculation-sheet'!C10*'Output-Calculation-sheet'!C82</f>
        <v>6679334581.067749</v>
      </c>
      <c r="D99" s="2">
        <f>D11/'Output-Calculation-sheet'!D10*'Output-Calculation-sheet'!D82</f>
        <v>6076315678.1597719</v>
      </c>
      <c r="E99" s="2">
        <f>E11/'Output-Calculation-sheet'!E10*'Output-Calculation-sheet'!E82</f>
        <v>11754099853.717991</v>
      </c>
      <c r="F99" s="2">
        <f>F11/'Output-Calculation-sheet'!F10*'Output-Calculation-sheet'!F82</f>
        <v>4840911437.7916832</v>
      </c>
      <c r="G99" s="2">
        <f>G11/'Output-Calculation-sheet'!G10*'Output-Calculation-sheet'!G82</f>
        <v>3441543551.5841236</v>
      </c>
      <c r="H99" s="2">
        <f>H11/'Output-Calculation-sheet'!H10*'Output-Calculation-sheet'!H82</f>
        <v>3216747293.0443282</v>
      </c>
      <c r="I99" s="2">
        <f>I11/'Output-Calculation-sheet'!I10*'Output-Calculation-sheet'!I82</f>
        <v>2701843786.1365228</v>
      </c>
      <c r="J99" s="2">
        <f>J11/'Output-Calculation-sheet'!J10*'Output-Calculation-sheet'!J82</f>
        <v>1681356354.7683384</v>
      </c>
      <c r="K99" s="2">
        <f>K11/'Output-Calculation-sheet'!K10*'Output-Calculation-sheet'!K82</f>
        <v>2460044986.0853019</v>
      </c>
      <c r="L99" s="2">
        <f>L11/'Output-Calculation-sheet'!L10*'Output-Calculation-sheet'!L82</f>
        <v>1899334630.8385797</v>
      </c>
      <c r="M99" s="2">
        <f>M11/'Output-Calculation-sheet'!M10*'Output-Calculation-sheet'!M82</f>
        <v>2423116112.3047943</v>
      </c>
      <c r="N99" s="2">
        <f>N11/'Output-Calculation-sheet'!N10*'Output-Calculation-sheet'!N82</f>
        <v>1707087565.2171047</v>
      </c>
      <c r="O99" s="2">
        <f>O11/'Output-Calculation-sheet'!O10*'Output-Calculation-sheet'!O82</f>
        <v>925497840.90420735</v>
      </c>
      <c r="P99" s="2">
        <f>P11/'Output-Calculation-sheet'!P10*'Output-Calculation-sheet'!P82</f>
        <v>2884986433.2871938</v>
      </c>
      <c r="Q99" s="2">
        <f>Q11/'Output-Calculation-sheet'!Q10*'Output-Calculation-sheet'!Q82</f>
        <v>1365356874.3378758</v>
      </c>
      <c r="R99" s="2">
        <f>R11/'Output-Calculation-sheet'!R10*'Output-Calculation-sheet'!R82</f>
        <v>1767448159.5930803</v>
      </c>
      <c r="S99" s="2">
        <f>S11/'Output-Calculation-sheet'!S10*'Output-Calculation-sheet'!S82</f>
        <v>1018099551.5926062</v>
      </c>
      <c r="T99" s="2">
        <f>T11/'Output-Calculation-sheet'!T10*'Output-Calculation-sheet'!T82</f>
        <v>744111742.38278449</v>
      </c>
      <c r="U99" s="2">
        <f>U11/'Output-Calculation-sheet'!U10*'Output-Calculation-sheet'!U82</f>
        <v>492765795.95238304</v>
      </c>
      <c r="V99" s="2">
        <f>V11/'Output-Calculation-sheet'!V10*'Output-Calculation-sheet'!V82</f>
        <v>263475727.57930878</v>
      </c>
      <c r="W99" s="2">
        <f>W11/'Output-Calculation-sheet'!W10*'Output-Calculation-sheet'!W82</f>
        <v>730627417.34032166</v>
      </c>
      <c r="X99" s="2">
        <f>X11/'Output-Calculation-sheet'!X10*'Output-Calculation-sheet'!X82</f>
        <v>275174400.34781533</v>
      </c>
      <c r="Y99" s="2">
        <f>Y11/'Output-Calculation-sheet'!Y10*'Output-Calculation-sheet'!Y82</f>
        <v>402076807.69101572</v>
      </c>
      <c r="AA99" s="2">
        <f t="shared" si="8"/>
        <v>79.10944458653735</v>
      </c>
    </row>
    <row r="100" spans="1:27" x14ac:dyDescent="0.25">
      <c r="A100" s="2">
        <v>2035</v>
      </c>
      <c r="B100" s="2">
        <f>B12/'Output-Calculation-sheet'!B11*'Output-Calculation-sheet'!B83</f>
        <v>16725541482.043306</v>
      </c>
      <c r="C100" s="2">
        <f>C12/'Output-Calculation-sheet'!C11*'Output-Calculation-sheet'!C83</f>
        <v>5806836340.127841</v>
      </c>
      <c r="D100" s="2">
        <f>D12/'Output-Calculation-sheet'!D11*'Output-Calculation-sheet'!D83</f>
        <v>5054106469.1371164</v>
      </c>
      <c r="E100" s="2">
        <f>E12/'Output-Calculation-sheet'!E11*'Output-Calculation-sheet'!E83</f>
        <v>10051313661.833488</v>
      </c>
      <c r="F100" s="2">
        <f>F12/'Output-Calculation-sheet'!F11*'Output-Calculation-sheet'!F83</f>
        <v>4134709665.6258759</v>
      </c>
      <c r="G100" s="2">
        <f>G12/'Output-Calculation-sheet'!G11*'Output-Calculation-sheet'!G83</f>
        <v>2841350646.0486383</v>
      </c>
      <c r="H100" s="2">
        <f>H12/'Output-Calculation-sheet'!H11*'Output-Calculation-sheet'!H83</f>
        <v>2744532384.1249514</v>
      </c>
      <c r="I100" s="2">
        <f>I12/'Output-Calculation-sheet'!I11*'Output-Calculation-sheet'!I83</f>
        <v>2328681518.9199286</v>
      </c>
      <c r="J100" s="2">
        <f>J12/'Output-Calculation-sheet'!J11*'Output-Calculation-sheet'!J83</f>
        <v>1411281228.0861385</v>
      </c>
      <c r="K100" s="2">
        <f>K12/'Output-Calculation-sheet'!K11*'Output-Calculation-sheet'!K83</f>
        <v>2079418395.9347317</v>
      </c>
      <c r="L100" s="2">
        <f>L12/'Output-Calculation-sheet'!L11*'Output-Calculation-sheet'!L83</f>
        <v>1650939639.1684766</v>
      </c>
      <c r="M100" s="2">
        <f>M12/'Output-Calculation-sheet'!M11*'Output-Calculation-sheet'!M83</f>
        <v>2073946021.2791295</v>
      </c>
      <c r="N100" s="2">
        <f>N12/'Output-Calculation-sheet'!N11*'Output-Calculation-sheet'!N83</f>
        <v>1435006841.3505955</v>
      </c>
      <c r="O100" s="2">
        <f>O12/'Output-Calculation-sheet'!O11*'Output-Calculation-sheet'!O83</f>
        <v>796519913.29259253</v>
      </c>
      <c r="P100" s="2">
        <f>P12/'Output-Calculation-sheet'!P11*'Output-Calculation-sheet'!P83</f>
        <v>2419087573.7216315</v>
      </c>
      <c r="Q100" s="2">
        <f>Q12/'Output-Calculation-sheet'!Q11*'Output-Calculation-sheet'!Q83</f>
        <v>1153915862.1252971</v>
      </c>
      <c r="R100" s="2">
        <f>R12/'Output-Calculation-sheet'!R11*'Output-Calculation-sheet'!R83</f>
        <v>1510988506.7014837</v>
      </c>
      <c r="S100" s="2">
        <f>S12/'Output-Calculation-sheet'!S11*'Output-Calculation-sheet'!S83</f>
        <v>867229769.56629241</v>
      </c>
      <c r="T100" s="2">
        <f>T12/'Output-Calculation-sheet'!T11*'Output-Calculation-sheet'!T83</f>
        <v>624104960.16898799</v>
      </c>
      <c r="U100" s="2">
        <f>U12/'Output-Calculation-sheet'!U11*'Output-Calculation-sheet'!U83</f>
        <v>420576079.37645638</v>
      </c>
      <c r="V100" s="2">
        <f>V12/'Output-Calculation-sheet'!V11*'Output-Calculation-sheet'!V83</f>
        <v>226925230.91017851</v>
      </c>
      <c r="W100" s="2">
        <f>W12/'Output-Calculation-sheet'!W11*'Output-Calculation-sheet'!W83</f>
        <v>614796199.83986151</v>
      </c>
      <c r="X100" s="2">
        <f>X12/'Output-Calculation-sheet'!X11*'Output-Calculation-sheet'!X83</f>
        <v>237686050.55493009</v>
      </c>
      <c r="Y100" s="2">
        <f>Y12/'Output-Calculation-sheet'!Y11*'Output-Calculation-sheet'!Y83</f>
        <v>338789403.10650718</v>
      </c>
      <c r="AA100" s="2">
        <f t="shared" si="8"/>
        <v>67.548283843044445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1C0-C290-4C53-9782-B1BA3078570B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113269989506.9044</v>
      </c>
      <c r="C8" s="2">
        <v>53378518885.258392</v>
      </c>
      <c r="D8" s="2">
        <v>47574690639.935852</v>
      </c>
      <c r="E8" s="2">
        <v>37745689295.494881</v>
      </c>
      <c r="F8" s="2">
        <v>24298254690.458027</v>
      </c>
      <c r="G8" s="2">
        <v>17072620593.116785</v>
      </c>
      <c r="H8" s="2">
        <v>16653686025.598593</v>
      </c>
      <c r="I8" s="2">
        <v>15554501269.239019</v>
      </c>
      <c r="J8" s="2">
        <v>15139677237.922947</v>
      </c>
      <c r="K8" s="2">
        <v>14994539223.546438</v>
      </c>
      <c r="L8" s="2">
        <v>12028814314.878195</v>
      </c>
      <c r="M8" s="2">
        <v>11489591604.211245</v>
      </c>
      <c r="N8" s="2">
        <v>11277000976.5973</v>
      </c>
      <c r="O8" s="2">
        <v>10371492574.308268</v>
      </c>
      <c r="P8" s="2">
        <v>10265970837.69776</v>
      </c>
      <c r="Q8" s="2">
        <v>10100056157.492546</v>
      </c>
      <c r="R8" s="2">
        <v>9716718584.6124039</v>
      </c>
      <c r="S8" s="2">
        <v>6458228926.9880247</v>
      </c>
      <c r="T8" s="2">
        <v>3571782200.3888664</v>
      </c>
      <c r="U8" s="2">
        <v>3110900253.8478084</v>
      </c>
      <c r="V8" s="2">
        <v>2395455413.4678912</v>
      </c>
      <c r="W8" s="2">
        <v>2073933502.5652039</v>
      </c>
      <c r="X8" s="2">
        <v>1244360101.5391233</v>
      </c>
      <c r="Y8" s="2">
        <v>1210127755.1457798</v>
      </c>
    </row>
    <row r="9" spans="1:27" x14ac:dyDescent="0.25">
      <c r="A9" s="2">
        <v>2032</v>
      </c>
      <c r="B9" s="2">
        <v>121148203730.30881</v>
      </c>
      <c r="C9" s="2">
        <v>57091129864.890114</v>
      </c>
      <c r="D9" s="2">
        <v>50883630687.562149</v>
      </c>
      <c r="E9" s="2">
        <v>40370997442.644005</v>
      </c>
      <c r="F9" s="2">
        <v>25988259753.048771</v>
      </c>
      <c r="G9" s="2">
        <v>18260064531.030106</v>
      </c>
      <c r="H9" s="2">
        <v>17811992004.879929</v>
      </c>
      <c r="I9" s="2">
        <v>16636356168.941389</v>
      </c>
      <c r="J9" s="2">
        <v>16192680077.181496</v>
      </c>
      <c r="K9" s="2">
        <v>16037447346.859526</v>
      </c>
      <c r="L9" s="2">
        <v>12865448770.648029</v>
      </c>
      <c r="M9" s="2">
        <v>12288721756.791397</v>
      </c>
      <c r="N9" s="2">
        <v>12061344913.3976</v>
      </c>
      <c r="O9" s="2">
        <v>11092856111.751411</v>
      </c>
      <c r="P9" s="2">
        <v>10979995071.501324</v>
      </c>
      <c r="Q9" s="2">
        <v>10802540605.699286</v>
      </c>
      <c r="R9" s="2">
        <v>10392540935.186958</v>
      </c>
      <c r="S9" s="2">
        <v>6907415081.344449</v>
      </c>
      <c r="T9" s="2">
        <v>3820208685.2548423</v>
      </c>
      <c r="U9" s="2">
        <v>3327271233.7882824</v>
      </c>
      <c r="V9" s="2">
        <v>2562065395.4416552</v>
      </c>
      <c r="W9" s="2">
        <v>2218180822.5255198</v>
      </c>
      <c r="X9" s="2">
        <v>1330908493.5153129</v>
      </c>
      <c r="Y9" s="2">
        <v>1294295200.8587046</v>
      </c>
    </row>
    <row r="10" spans="1:27" x14ac:dyDescent="0.25">
      <c r="A10" s="2">
        <v>2033</v>
      </c>
      <c r="B10" s="2">
        <v>120143050192.27116</v>
      </c>
      <c r="C10" s="2">
        <v>56617450937.697701</v>
      </c>
      <c r="D10" s="2">
        <v>50461454709.388664</v>
      </c>
      <c r="E10" s="2">
        <v>40036043645.029991</v>
      </c>
      <c r="F10" s="2">
        <v>25772637973.823963</v>
      </c>
      <c r="G10" s="2">
        <v>18108562751.366753</v>
      </c>
      <c r="H10" s="2">
        <v>17664207834.48431</v>
      </c>
      <c r="I10" s="2">
        <v>16498326121.872005</v>
      </c>
      <c r="J10" s="2">
        <v>16058331162.639408</v>
      </c>
      <c r="K10" s="2">
        <v>15904386381.484638</v>
      </c>
      <c r="L10" s="2">
        <v>12758705534.247705</v>
      </c>
      <c r="M10" s="2">
        <v>12186763562.022812</v>
      </c>
      <c r="N10" s="2">
        <v>11961273239.696335</v>
      </c>
      <c r="O10" s="2">
        <v>11000819884.8463</v>
      </c>
      <c r="P10" s="2">
        <v>10888895240.435532</v>
      </c>
      <c r="Q10" s="2">
        <v>10712913095.135563</v>
      </c>
      <c r="R10" s="2">
        <v>10306315147.527252</v>
      </c>
      <c r="S10" s="2">
        <v>6850105005.8012409</v>
      </c>
      <c r="T10" s="2">
        <v>3788512827.142293</v>
      </c>
      <c r="U10" s="2">
        <v>3299665224.3744059</v>
      </c>
      <c r="V10" s="2">
        <v>2540808216.0727816</v>
      </c>
      <c r="W10" s="2">
        <v>2199776816.2496023</v>
      </c>
      <c r="X10" s="2">
        <v>1319866089.7497623</v>
      </c>
      <c r="Y10" s="2">
        <v>1283556573.6207442</v>
      </c>
    </row>
    <row r="11" spans="1:27" x14ac:dyDescent="0.25">
      <c r="A11" s="2">
        <v>2034</v>
      </c>
      <c r="B11" s="2">
        <v>111625384379.06194</v>
      </c>
      <c r="C11" s="2">
        <v>52603498191.273239</v>
      </c>
      <c r="D11" s="2">
        <v>46883937683.017914</v>
      </c>
      <c r="E11" s="2">
        <v>37197646919.579109</v>
      </c>
      <c r="F11" s="2">
        <v>23945460146.77076</v>
      </c>
      <c r="G11" s="2">
        <v>16824737464.537193</v>
      </c>
      <c r="H11" s="2">
        <v>16411885549.105137</v>
      </c>
      <c r="I11" s="2">
        <v>15328660226.436914</v>
      </c>
      <c r="J11" s="2">
        <v>14919859164.947403</v>
      </c>
      <c r="K11" s="2">
        <v>14776828458.28521</v>
      </c>
      <c r="L11" s="2">
        <v>11854163908.444567</v>
      </c>
      <c r="M11" s="2">
        <v>11322770353.928091</v>
      </c>
      <c r="N11" s="2">
        <v>11113266401.238607</v>
      </c>
      <c r="O11" s="2">
        <v>10220905380.424507</v>
      </c>
      <c r="P11" s="2">
        <v>10116915749.44837</v>
      </c>
      <c r="Q11" s="2">
        <v>9953410040.3663788</v>
      </c>
      <c r="R11" s="2">
        <v>9575638274.8178864</v>
      </c>
      <c r="S11" s="2">
        <v>6364459726.016592</v>
      </c>
      <c r="T11" s="2">
        <v>3519922291.6180801</v>
      </c>
      <c r="U11" s="2">
        <v>3065732045.2873874</v>
      </c>
      <c r="V11" s="2">
        <v>2360674989.5121956</v>
      </c>
      <c r="W11" s="2">
        <v>2043821363.5249233</v>
      </c>
      <c r="X11" s="2">
        <v>1226292818.1149549</v>
      </c>
      <c r="Y11" s="2">
        <v>1192557502.6886103</v>
      </c>
    </row>
    <row r="12" spans="1:27" x14ac:dyDescent="0.25">
      <c r="A12" s="2">
        <v>2035</v>
      </c>
      <c r="B12" s="2">
        <v>97614257982.267181</v>
      </c>
      <c r="C12" s="2">
        <v>46000750382.865761</v>
      </c>
      <c r="D12" s="2">
        <v>40999104403.291</v>
      </c>
      <c r="E12" s="2">
        <v>32528628886.15654</v>
      </c>
      <c r="F12" s="2">
        <v>20939845692.566486</v>
      </c>
      <c r="G12" s="2">
        <v>14712910262.150991</v>
      </c>
      <c r="H12" s="2">
        <v>14351879179.430552</v>
      </c>
      <c r="I12" s="2">
        <v>13404619407.936369</v>
      </c>
      <c r="J12" s="2">
        <v>13047130719.304836</v>
      </c>
      <c r="K12" s="2">
        <v>12922053109.250681</v>
      </c>
      <c r="L12" s="2">
        <v>10366239008.804144</v>
      </c>
      <c r="M12" s="2">
        <v>9901545535.9956856</v>
      </c>
      <c r="N12" s="2">
        <v>9718338347.0583649</v>
      </c>
      <c r="O12" s="2">
        <v>8937985747.3014412</v>
      </c>
      <c r="P12" s="2">
        <v>8847048809.2380104</v>
      </c>
      <c r="Q12" s="2">
        <v>8704066202.2200222</v>
      </c>
      <c r="R12" s="2">
        <v>8373712037.8353128</v>
      </c>
      <c r="S12" s="2">
        <v>5565597978.175168</v>
      </c>
      <c r="T12" s="2">
        <v>3078104541.9270234</v>
      </c>
      <c r="U12" s="2">
        <v>2680923881.5872779</v>
      </c>
      <c r="V12" s="2">
        <v>2064365007.2998371</v>
      </c>
      <c r="W12" s="2">
        <v>1787282587.7248507</v>
      </c>
      <c r="X12" s="2">
        <v>1072369552.6349111</v>
      </c>
      <c r="Y12" s="2">
        <v>1042868666.2419229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1983.6295847142874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618.8655377603767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426.9700839418449</v>
      </c>
      <c r="N16" s="2">
        <f>N5/'Output-Calculation-sheet'!N4*'Output-Calculation-sheet'!N22</f>
        <v>0</v>
      </c>
      <c r="O16" s="2">
        <f>O5/'Output-Calculation-sheet'!O4*'Output-Calculation-sheet'!O22</f>
        <v>385.41521815063498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46.242265149224508</v>
      </c>
      <c r="Y16" s="2">
        <f>Y5/'Output-Calculation-sheet'!Y4*'Output-Calculation-sheet'!Y22</f>
        <v>0</v>
      </c>
      <c r="AA16" s="2">
        <f t="shared" ref="AA16:AA23" si="0">SUM(B16:Y16)/1000</f>
        <v>3.4611226897163689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5907.20971218657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1741.9893210659743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1202.4961204697115</v>
      </c>
      <c r="N17" s="2">
        <f>N6/'Output-Calculation-sheet'!N5*'Output-Calculation-sheet'!N23</f>
        <v>0</v>
      </c>
      <c r="O17" s="2">
        <f>O6/'Output-Calculation-sheet'!O5*'Output-Calculation-sheet'!O23</f>
        <v>1154.9939713928168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133.71066903551042</v>
      </c>
      <c r="Y17" s="2">
        <f>Y6/'Output-Calculation-sheet'!Y5*'Output-Calculation-sheet'!Y23</f>
        <v>0</v>
      </c>
      <c r="AA17" s="2">
        <f t="shared" si="0"/>
        <v>10.140399794150582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11451.635009375932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3627.4608713827793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2501.8089914069992</v>
      </c>
      <c r="N18" s="2">
        <f>N7/'Output-Calculation-sheet'!N6*'Output-Calculation-sheet'!N24</f>
        <v>775.35046695385222</v>
      </c>
      <c r="O18" s="2">
        <f>O7/'Output-Calculation-sheet'!O6*'Output-Calculation-sheet'!O24</f>
        <v>1651.4646868636512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169.50445449421477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280.50336123624345</v>
      </c>
      <c r="Y18" s="2">
        <f>Y7/'Output-Calculation-sheet'!Y6*'Output-Calculation-sheet'!Y24</f>
        <v>0</v>
      </c>
      <c r="AA18" s="2">
        <f t="shared" si="0"/>
        <v>20.457727841713673</v>
      </c>
    </row>
    <row r="19" spans="1:27" x14ac:dyDescent="0.25">
      <c r="A19" s="2">
        <v>2031</v>
      </c>
      <c r="B19" s="2">
        <f>B8/'Output-Calculation-sheet'!B7*'Output-Calculation-sheet'!B25</f>
        <v>1259.365531279843</v>
      </c>
      <c r="C19" s="2">
        <f>C8/'Output-Calculation-sheet'!C7*'Output-Calculation-sheet'!C25</f>
        <v>16625.514832281169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5650.1685223233553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3926.0403480864306</v>
      </c>
      <c r="N19" s="2">
        <f>N8/'Output-Calculation-sheet'!N7*'Output-Calculation-sheet'!N25</f>
        <v>1344.1469305408059</v>
      </c>
      <c r="O19" s="2">
        <f>O8/'Output-Calculation-sheet'!O7*'Output-Calculation-sheet'!O25</f>
        <v>2145.7906133079468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479.61284375721914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438.65671609797465</v>
      </c>
      <c r="Y19" s="2">
        <f>Y8/'Output-Calculation-sheet'!Y7*'Output-Calculation-sheet'!Y25</f>
        <v>0</v>
      </c>
      <c r="AA19" s="2">
        <f t="shared" si="0"/>
        <v>31.869296337674744</v>
      </c>
    </row>
    <row r="20" spans="1:27" x14ac:dyDescent="0.25">
      <c r="A20" s="2">
        <v>2032</v>
      </c>
      <c r="B20" s="2">
        <f>B9/'Output-Calculation-sheet'!B8*'Output-Calculation-sheet'!B26</f>
        <v>6958.2953931066086</v>
      </c>
      <c r="C20" s="2">
        <f>C9/'Output-Calculation-sheet'!C8*'Output-Calculation-sheet'!C26</f>
        <v>23623.871678065432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7560.8080043063401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5259.7850856916812</v>
      </c>
      <c r="N20" s="2">
        <f>N9/'Output-Calculation-sheet'!N8*'Output-Calculation-sheet'!N26</f>
        <v>2373.8505469149318</v>
      </c>
      <c r="O20" s="2">
        <f>O9/'Output-Calculation-sheet'!O8*'Output-Calculation-sheet'!O26</f>
        <v>2491.0484110409948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862.72173741257393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588.45218288348462</v>
      </c>
      <c r="Y20" s="2">
        <f>Y9/'Output-Calculation-sheet'!Y8*'Output-Calculation-sheet'!Y26</f>
        <v>0</v>
      </c>
      <c r="AA20" s="2">
        <f t="shared" si="0"/>
        <v>49.718833039422051</v>
      </c>
    </row>
    <row r="21" spans="1:27" x14ac:dyDescent="0.25">
      <c r="A21" s="2">
        <v>2033</v>
      </c>
      <c r="B21" s="2">
        <f>B10/'Output-Calculation-sheet'!B9*'Output-Calculation-sheet'!B27</f>
        <v>15603.904330013924</v>
      </c>
      <c r="C21" s="2">
        <f>C10/'Output-Calculation-sheet'!C9*'Output-Calculation-sheet'!C27</f>
        <v>26797.097199257638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9031.824171268443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6273.1641303630395</v>
      </c>
      <c r="N21" s="2">
        <f>N10/'Output-Calculation-sheet'!N9*'Output-Calculation-sheet'!N27</f>
        <v>3432.5497433165556</v>
      </c>
      <c r="O21" s="2">
        <f>O10/'Output-Calculation-sheet'!O9*'Output-Calculation-sheet'!O27</f>
        <v>2673.6556181801398</v>
      </c>
      <c r="P21" s="2">
        <f>P10/'Output-Calculation-sheet'!P9*'Output-Calculation-sheet'!P27</f>
        <v>0</v>
      </c>
      <c r="Q21" s="2">
        <f>Q10/'Output-Calculation-sheet'!Q9*'Output-Calculation-sheet'!Q27</f>
        <v>234.12262218884953</v>
      </c>
      <c r="R21" s="2">
        <f>R10/'Output-Calculation-sheet'!R9*'Output-Calculation-sheet'!R27</f>
        <v>0</v>
      </c>
      <c r="S21" s="2">
        <f>S10/'Output-Calculation-sheet'!S9*'Output-Calculation-sheet'!S27</f>
        <v>1490.8863969318299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737.67035906853323</v>
      </c>
      <c r="Y21" s="2">
        <f>Y10/'Output-Calculation-sheet'!Y9*'Output-Calculation-sheet'!Y27</f>
        <v>0</v>
      </c>
      <c r="AA21" s="2">
        <f t="shared" si="0"/>
        <v>66.274874570588963</v>
      </c>
    </row>
    <row r="22" spans="1:27" x14ac:dyDescent="0.25">
      <c r="A22" s="2">
        <v>2034</v>
      </c>
      <c r="B22" s="2">
        <f>B11/'Output-Calculation-sheet'!B10*'Output-Calculation-sheet'!B28</f>
        <v>27609.516497367429</v>
      </c>
      <c r="C22" s="2">
        <f>C11/'Output-Calculation-sheet'!C10*'Output-Calculation-sheet'!C28</f>
        <v>26487.864379971503</v>
      </c>
      <c r="D22" s="2">
        <f>D11/'Output-Calculation-sheet'!D10*'Output-Calculation-sheet'!D28</f>
        <v>0</v>
      </c>
      <c r="E22" s="2">
        <f>E11/'Output-Calculation-sheet'!E10*'Output-Calculation-sheet'!E28</f>
        <v>1414.6692894227342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10107.71891809935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843.5617005844606</v>
      </c>
      <c r="M22" s="2">
        <f>M11/'Output-Calculation-sheet'!M10*'Output-Calculation-sheet'!M28</f>
        <v>7369.415592680326</v>
      </c>
      <c r="N22" s="2">
        <f>N11/'Output-Calculation-sheet'!N10*'Output-Calculation-sheet'!N28</f>
        <v>4397.9801375315765</v>
      </c>
      <c r="O22" s="2">
        <f>O11/'Output-Calculation-sheet'!O10*'Output-Calculation-sheet'!O28</f>
        <v>2718.2396443678222</v>
      </c>
      <c r="P22" s="2">
        <f>P11/'Output-Calculation-sheet'!P10*'Output-Calculation-sheet'!P28</f>
        <v>0</v>
      </c>
      <c r="Q22" s="2">
        <f>Q11/'Output-Calculation-sheet'!Q10*'Output-Calculation-sheet'!Q28</f>
        <v>999.08344001290834</v>
      </c>
      <c r="R22" s="2">
        <f>R11/'Output-Calculation-sheet'!R10*'Output-Calculation-sheet'!R28</f>
        <v>0</v>
      </c>
      <c r="S22" s="2">
        <f>S11/'Output-Calculation-sheet'!S10*'Output-Calculation-sheet'!S28</f>
        <v>2243.5900830263381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740.01468789178091</v>
      </c>
      <c r="Y22" s="2">
        <f>Y11/'Output-Calculation-sheet'!Y10*'Output-Calculation-sheet'!Y28</f>
        <v>76.759390547831089</v>
      </c>
      <c r="AA22" s="2">
        <f t="shared" si="0"/>
        <v>85.008413761504045</v>
      </c>
    </row>
    <row r="23" spans="1:27" x14ac:dyDescent="0.25">
      <c r="A23" s="2">
        <v>2035</v>
      </c>
      <c r="B23" s="2">
        <f>B12/'Output-Calculation-sheet'!B11*'Output-Calculation-sheet'!B29</f>
        <v>29204.411057134013</v>
      </c>
      <c r="C23" s="2">
        <f>C12/'Output-Calculation-sheet'!C11*'Output-Calculation-sheet'!C29</f>
        <v>23853.799345063591</v>
      </c>
      <c r="D23" s="2">
        <f>D12/'Output-Calculation-sheet'!D11*'Output-Calculation-sheet'!D29</f>
        <v>0</v>
      </c>
      <c r="E23" s="2">
        <f>E12/'Output-Calculation-sheet'!E11*'Output-Calculation-sheet'!E29</f>
        <v>4502.6075986523783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9182.4506654727847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1020.7048091116889</v>
      </c>
      <c r="M23" s="2">
        <f>M12/'Output-Calculation-sheet'!M11*'Output-Calculation-sheet'!M29</f>
        <v>6727.5982283911026</v>
      </c>
      <c r="N23" s="2">
        <f>N12/'Output-Calculation-sheet'!N11*'Output-Calculation-sheet'!N29</f>
        <v>3924.583310429156</v>
      </c>
      <c r="O23" s="2">
        <f>O12/'Output-Calculation-sheet'!O11*'Output-Calculation-sheet'!O29</f>
        <v>2645.6516112138329</v>
      </c>
      <c r="P23" s="2">
        <f>P12/'Output-Calculation-sheet'!P11*'Output-Calculation-sheet'!P29</f>
        <v>479.31599432647096</v>
      </c>
      <c r="Q23" s="2">
        <f>Q12/'Output-Calculation-sheet'!Q11*'Output-Calculation-sheet'!Q29</f>
        <v>1076.0590522794068</v>
      </c>
      <c r="R23" s="2">
        <f>R12/'Output-Calculation-sheet'!R11*'Output-Calculation-sheet'!R29</f>
        <v>0</v>
      </c>
      <c r="S23" s="2">
        <f>S12/'Output-Calculation-sheet'!S11*'Output-Calculation-sheet'!S29</f>
        <v>2100.8301143848321</v>
      </c>
      <c r="T23" s="2">
        <f>T12/'Output-Calculation-sheet'!T11*'Output-Calculation-sheet'!T29</f>
        <v>0</v>
      </c>
      <c r="U23" s="2">
        <f>U12/'Output-Calculation-sheet'!U11*'Output-Calculation-sheet'!U29</f>
        <v>91.611840958742746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666.47328070473293</v>
      </c>
      <c r="Y23" s="2">
        <f>Y12/'Output-Calculation-sheet'!Y11*'Output-Calculation-sheet'!Y29</f>
        <v>197.3133078037439</v>
      </c>
      <c r="AA23" s="2">
        <f t="shared" si="0"/>
        <v>85.673410215926467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2504.1414456833122</v>
      </c>
      <c r="C27" s="2">
        <f>C5/'Output-Calculation-sheet'!C4*'Output-Calculation-sheet'!C13</f>
        <v>0</v>
      </c>
      <c r="D27" s="2">
        <f>D5/'Output-Calculation-sheet'!D4*'Output-Calculation-sheet'!D13</f>
        <v>447.33558611350941</v>
      </c>
      <c r="E27" s="2">
        <f>E5/'Output-Calculation-sheet'!E4*'Output-Calculation-sheet'!E13</f>
        <v>481.27782588996712</v>
      </c>
      <c r="F27" s="2">
        <f>F5/'Output-Calculation-sheet'!F4*'Output-Calculation-sheet'!F13</f>
        <v>242.82749537111511</v>
      </c>
      <c r="G27" s="2">
        <f>G5/'Output-Calculation-sheet'!G4*'Output-Calculation-sheet'!G13</f>
        <v>159.01580217807515</v>
      </c>
      <c r="H27" s="2">
        <f>H5/'Output-Calculation-sheet'!H4*'Output-Calculation-sheet'!H13</f>
        <v>0</v>
      </c>
      <c r="I27" s="2">
        <f>I5/'Output-Calculation-sheet'!I4*'Output-Calculation-sheet'!I13</f>
        <v>155.02022792977669</v>
      </c>
      <c r="J27" s="2">
        <f>J5/'Output-Calculation-sheet'!J4*'Output-Calculation-sheet'!J13</f>
        <v>137.99817189254861</v>
      </c>
      <c r="K27" s="2">
        <f>K5/'Output-Calculation-sheet'!K4*'Output-Calculation-sheet'!K13</f>
        <v>184.24557097933075</v>
      </c>
      <c r="L27" s="2">
        <f>L5/'Output-Calculation-sheet'!L4*'Output-Calculation-sheet'!L13</f>
        <v>155.62778354434798</v>
      </c>
      <c r="M27" s="2">
        <f>M5/'Output-Calculation-sheet'!M4*'Output-Calculation-sheet'!M13</f>
        <v>0</v>
      </c>
      <c r="N27" s="2">
        <f>N5/'Output-Calculation-sheet'!N4*'Output-Calculation-sheet'!N13</f>
        <v>298.70996831696249</v>
      </c>
      <c r="O27" s="2">
        <f>O5/'Output-Calculation-sheet'!O4*'Output-Calculation-sheet'!O13</f>
        <v>0</v>
      </c>
      <c r="P27" s="2">
        <f>P5/'Output-Calculation-sheet'!P4*'Output-Calculation-sheet'!P13</f>
        <v>182.4874100205131</v>
      </c>
      <c r="Q27" s="2">
        <f>Q5/'Output-Calculation-sheet'!Q4*'Output-Calculation-sheet'!Q13</f>
        <v>203.08851457760323</v>
      </c>
      <c r="R27" s="2">
        <f>R5/'Output-Calculation-sheet'!R4*'Output-Calculation-sheet'!R13</f>
        <v>137.29654783747617</v>
      </c>
      <c r="S27" s="2">
        <f>S5/'Output-Calculation-sheet'!S4*'Output-Calculation-sheet'!S13</f>
        <v>158.46088170778449</v>
      </c>
      <c r="T27" s="2">
        <f>T5/'Output-Calculation-sheet'!T4*'Output-Calculation-sheet'!T13</f>
        <v>41.614483279902437</v>
      </c>
      <c r="U27" s="2">
        <f>U5/'Output-Calculation-sheet'!U4*'Output-Calculation-sheet'!U13</f>
        <v>41.541576899447783</v>
      </c>
      <c r="V27" s="2">
        <f>V5/'Output-Calculation-sheet'!V4*'Output-Calculation-sheet'!V13</f>
        <v>32.331009028422002</v>
      </c>
      <c r="W27" s="2">
        <f>W5/'Output-Calculation-sheet'!W4*'Output-Calculation-sheet'!W13</f>
        <v>19.609201796962768</v>
      </c>
      <c r="X27" s="2">
        <f>X5/'Output-Calculation-sheet'!X4*'Output-Calculation-sheet'!X13</f>
        <v>0</v>
      </c>
      <c r="Y27" s="2">
        <f>Y5/'Output-Calculation-sheet'!Y4*'Output-Calculation-sheet'!Y13</f>
        <v>16.579717952772711</v>
      </c>
      <c r="AA27" s="2">
        <f t="shared" ref="AA27:AA34" si="1">SUM(B27:Y27)/1000</f>
        <v>5.599209220999831</v>
      </c>
    </row>
    <row r="28" spans="1:27" x14ac:dyDescent="0.25">
      <c r="A28" s="2">
        <v>2029</v>
      </c>
      <c r="B28" s="2">
        <f>B6/'Output-Calculation-sheet'!B5*'Output-Calculation-sheet'!B14</f>
        <v>6975.0614014457879</v>
      </c>
      <c r="C28" s="2">
        <f>C6/'Output-Calculation-sheet'!C5*'Output-Calculation-sheet'!C14</f>
        <v>0</v>
      </c>
      <c r="D28" s="2">
        <f>D6/'Output-Calculation-sheet'!D5*'Output-Calculation-sheet'!D14</f>
        <v>1245.9238393254443</v>
      </c>
      <c r="E28" s="2">
        <f>E6/'Output-Calculation-sheet'!E5*'Output-Calculation-sheet'!E14</f>
        <v>1340.5773800615191</v>
      </c>
      <c r="F28" s="2">
        <f>F6/'Output-Calculation-sheet'!F5*'Output-Calculation-sheet'!F14</f>
        <v>676.32842181815863</v>
      </c>
      <c r="G28" s="2">
        <f>G6/'Output-Calculation-sheet'!G5*'Output-Calculation-sheet'!G14</f>
        <v>442.9147876716487</v>
      </c>
      <c r="H28" s="2">
        <f>H6/'Output-Calculation-sheet'!H5*'Output-Calculation-sheet'!H14</f>
        <v>0</v>
      </c>
      <c r="I28" s="2">
        <f>I6/'Output-Calculation-sheet'!I5*'Output-Calculation-sheet'!I14</f>
        <v>431.78571184665856</v>
      </c>
      <c r="J28" s="2">
        <f>J6/'Output-Calculation-sheet'!J5*'Output-Calculation-sheet'!J14</f>
        <v>384.35329961501031</v>
      </c>
      <c r="K28" s="2">
        <f>K6/'Output-Calculation-sheet'!K5*'Output-Calculation-sheet'!K14</f>
        <v>513.18854372954593</v>
      </c>
      <c r="L28" s="2">
        <f>L6/'Output-Calculation-sheet'!L5*'Output-Calculation-sheet'!L14</f>
        <v>433.47796734794025</v>
      </c>
      <c r="M28" s="2">
        <f>M6/'Output-Calculation-sheet'!M5*'Output-Calculation-sheet'!M14</f>
        <v>0</v>
      </c>
      <c r="N28" s="2">
        <f>N6/'Output-Calculation-sheet'!N5*'Output-Calculation-sheet'!N14</f>
        <v>832.02677253838363</v>
      </c>
      <c r="O28" s="2">
        <f>O6/'Output-Calculation-sheet'!O5*'Output-Calculation-sheet'!O14</f>
        <v>0</v>
      </c>
      <c r="P28" s="2">
        <f>P6/'Output-Calculation-sheet'!P5*'Output-Calculation-sheet'!P14</f>
        <v>508.2914487421229</v>
      </c>
      <c r="Q28" s="2">
        <f>Q6/'Output-Calculation-sheet'!Q5*'Output-Calculation-sheet'!Q14</f>
        <v>565.68565791721255</v>
      </c>
      <c r="R28" s="2">
        <f>R6/'Output-Calculation-sheet'!R5*'Output-Calculation-sheet'!R14</f>
        <v>382.41904578380706</v>
      </c>
      <c r="S28" s="2">
        <f>S6/'Output-Calculation-sheet'!S5*'Output-Calculation-sheet'!S14</f>
        <v>441.37758385742876</v>
      </c>
      <c r="T28" s="2">
        <f>T6/'Output-Calculation-sheet'!T5*'Output-Calculation-sheet'!T14</f>
        <v>115.91093321242691</v>
      </c>
      <c r="U28" s="2">
        <f>U6/'Output-Calculation-sheet'!U5*'Output-Calculation-sheet'!U14</f>
        <v>115.70374535854505</v>
      </c>
      <c r="V28" s="2">
        <f>V6/'Output-Calculation-sheet'!V5*'Output-Calculation-sheet'!V14</f>
        <v>90.050025661151054</v>
      </c>
      <c r="W28" s="2">
        <f>W6/'Output-Calculation-sheet'!W5*'Output-Calculation-sheet'!W14</f>
        <v>54.621255024991989</v>
      </c>
      <c r="X28" s="2">
        <f>X6/'Output-Calculation-sheet'!X5*'Output-Calculation-sheet'!X14</f>
        <v>0</v>
      </c>
      <c r="Y28" s="2">
        <f>Y6/'Output-Calculation-sheet'!Y5*'Output-Calculation-sheet'!Y14</f>
        <v>46.18033023211477</v>
      </c>
      <c r="AA28" s="2">
        <f t="shared" si="1"/>
        <v>15.595878151189893</v>
      </c>
    </row>
    <row r="29" spans="1:27" x14ac:dyDescent="0.25">
      <c r="A29" s="2">
        <v>2030</v>
      </c>
      <c r="B29" s="2">
        <f>B7/'Output-Calculation-sheet'!B6*'Output-Calculation-sheet'!B15</f>
        <v>13552.6126352148</v>
      </c>
      <c r="C29" s="2">
        <f>C7/'Output-Calculation-sheet'!C6*'Output-Calculation-sheet'!C15</f>
        <v>0</v>
      </c>
      <c r="D29" s="2">
        <f>D7/'Output-Calculation-sheet'!D6*'Output-Calculation-sheet'!D15</f>
        <v>2370.7665856164185</v>
      </c>
      <c r="E29" s="2">
        <f>E7/'Output-Calculation-sheet'!E6*'Output-Calculation-sheet'!E15</f>
        <v>2550.8006949201194</v>
      </c>
      <c r="F29" s="2">
        <f>F7/'Output-Calculation-sheet'!F6*'Output-Calculation-sheet'!F15</f>
        <v>1286.9283360530835</v>
      </c>
      <c r="G29" s="2">
        <f>G7/'Output-Calculation-sheet'!G6*'Output-Calculation-sheet'!G15</f>
        <v>842.77219598129716</v>
      </c>
      <c r="H29" s="2">
        <f>H7/'Output-Calculation-sheet'!H6*'Output-Calculation-sheet'!H15</f>
        <v>0</v>
      </c>
      <c r="I29" s="2">
        <f>I7/'Output-Calculation-sheet'!I6*'Output-Calculation-sheet'!I15</f>
        <v>821.59594282078501</v>
      </c>
      <c r="J29" s="2">
        <f>J7/'Output-Calculation-sheet'!J6*'Output-Calculation-sheet'!J15</f>
        <v>731.35489294473336</v>
      </c>
      <c r="K29" s="2">
        <f>K7/'Output-Calculation-sheet'!K6*'Output-Calculation-sheet'!K15</f>
        <v>976.51335185901678</v>
      </c>
      <c r="L29" s="2">
        <f>L7/'Output-Calculation-sheet'!L6*'Output-Calculation-sheet'!L15</f>
        <v>824.83599291676478</v>
      </c>
      <c r="M29" s="2">
        <f>M7/'Output-Calculation-sheet'!M6*'Output-Calculation-sheet'!M15</f>
        <v>0</v>
      </c>
      <c r="N29" s="2">
        <f>N7/'Output-Calculation-sheet'!N6*'Output-Calculation-sheet'!N15</f>
        <v>1064.191500591799</v>
      </c>
      <c r="O29" s="2">
        <f>O7/'Output-Calculation-sheet'!O6*'Output-Calculation-sheet'!O15</f>
        <v>0</v>
      </c>
      <c r="P29" s="2">
        <f>P7/'Output-Calculation-sheet'!P6*'Output-Calculation-sheet'!P15</f>
        <v>967.17001188157531</v>
      </c>
      <c r="Q29" s="2">
        <f>Q7/'Output-Calculation-sheet'!Q6*'Output-Calculation-sheet'!Q15</f>
        <v>1089.8124823691437</v>
      </c>
      <c r="R29" s="2">
        <f>R7/'Output-Calculation-sheet'!R6*'Output-Calculation-sheet'!R15</f>
        <v>727.66172629851314</v>
      </c>
      <c r="S29" s="2">
        <f>S7/'Output-Calculation-sheet'!S6*'Output-Calculation-sheet'!S15</f>
        <v>751.59757644000138</v>
      </c>
      <c r="T29" s="2">
        <f>T7/'Output-Calculation-sheet'!T6*'Output-Calculation-sheet'!T15</f>
        <v>220.55373728929908</v>
      </c>
      <c r="U29" s="2">
        <f>U7/'Output-Calculation-sheet'!U6*'Output-Calculation-sheet'!U15</f>
        <v>220.1621149747352</v>
      </c>
      <c r="V29" s="2">
        <f>V7/'Output-Calculation-sheet'!V6*'Output-Calculation-sheet'!V15</f>
        <v>171.34797035911538</v>
      </c>
      <c r="W29" s="2">
        <f>W7/'Output-Calculation-sheet'!W6*'Output-Calculation-sheet'!W15</f>
        <v>103.93083250045947</v>
      </c>
      <c r="X29" s="2">
        <f>X7/'Output-Calculation-sheet'!X6*'Output-Calculation-sheet'!X15</f>
        <v>0</v>
      </c>
      <c r="Y29" s="2">
        <f>Y7/'Output-Calculation-sheet'!Y6*'Output-Calculation-sheet'!Y15</f>
        <v>87.871300313670062</v>
      </c>
      <c r="AA29" s="2">
        <f t="shared" si="1"/>
        <v>29.362479881345326</v>
      </c>
    </row>
    <row r="30" spans="1:27" x14ac:dyDescent="0.25">
      <c r="A30" s="2">
        <v>2031</v>
      </c>
      <c r="B30" s="2">
        <f>B8/'Output-Calculation-sheet'!B7*'Output-Calculation-sheet'!B16</f>
        <v>21950.332109903386</v>
      </c>
      <c r="C30" s="2">
        <f>C8/'Output-Calculation-sheet'!C7*'Output-Calculation-sheet'!C16</f>
        <v>0</v>
      </c>
      <c r="D30" s="2">
        <f>D8/'Output-Calculation-sheet'!D7*'Output-Calculation-sheet'!D16</f>
        <v>3696.1457514887516</v>
      </c>
      <c r="E30" s="2">
        <f>E8/'Output-Calculation-sheet'!E7*'Output-Calculation-sheet'!E16</f>
        <v>3976.8440042841335</v>
      </c>
      <c r="F30" s="2">
        <f>F8/'Output-Calculation-sheet'!F7*'Output-Calculation-sheet'!F16</f>
        <v>2006.3389620307237</v>
      </c>
      <c r="G30" s="2">
        <f>G8/'Output-Calculation-sheet'!G7*'Output-Calculation-sheet'!G16</f>
        <v>1313.9137240104303</v>
      </c>
      <c r="H30" s="2">
        <f>H8/'Output-Calculation-sheet'!H7*'Output-Calculation-sheet'!H16</f>
        <v>0</v>
      </c>
      <c r="I30" s="2">
        <f>I8/'Output-Calculation-sheet'!I7*'Output-Calculation-sheet'!I16</f>
        <v>1280.869146888876</v>
      </c>
      <c r="J30" s="2">
        <f>J8/'Output-Calculation-sheet'!J7*'Output-Calculation-sheet'!J16</f>
        <v>1140.2198311306033</v>
      </c>
      <c r="K30" s="2">
        <f>K8/'Output-Calculation-sheet'!K7*'Output-Calculation-sheet'!K16</f>
        <v>1522.4114159593273</v>
      </c>
      <c r="L30" s="2">
        <f>L8/'Output-Calculation-sheet'!L7*'Output-Calculation-sheet'!L16</f>
        <v>1285.9426906750323</v>
      </c>
      <c r="M30" s="2">
        <f>M8/'Output-Calculation-sheet'!M7*'Output-Calculation-sheet'!M16</f>
        <v>0</v>
      </c>
      <c r="N30" s="2">
        <f>N8/'Output-Calculation-sheet'!N7*'Output-Calculation-sheet'!N16</f>
        <v>1826.5732530111873</v>
      </c>
      <c r="O30" s="2">
        <f>O8/'Output-Calculation-sheet'!O7*'Output-Calculation-sheet'!O16</f>
        <v>0</v>
      </c>
      <c r="P30" s="2">
        <f>P8/'Output-Calculation-sheet'!P7*'Output-Calculation-sheet'!P16</f>
        <v>1641.6641051517749</v>
      </c>
      <c r="Q30" s="2">
        <f>Q8/'Output-Calculation-sheet'!Q7*'Output-Calculation-sheet'!Q16</f>
        <v>1805.2883399506482</v>
      </c>
      <c r="R30" s="2">
        <f>R8/'Output-Calculation-sheet'!R7*'Output-Calculation-sheet'!R16</f>
        <v>1145.4632981752941</v>
      </c>
      <c r="S30" s="2">
        <f>S8/'Output-Calculation-sheet'!S7*'Output-Calculation-sheet'!S16</f>
        <v>1152.0001907596945</v>
      </c>
      <c r="T30" s="2">
        <f>T8/'Output-Calculation-sheet'!T7*'Output-Calculation-sheet'!T16</f>
        <v>343.85161694706892</v>
      </c>
      <c r="U30" s="2">
        <f>U8/'Output-Calculation-sheet'!U7*'Output-Calculation-sheet'!U16</f>
        <v>343.23699090106425</v>
      </c>
      <c r="V30" s="2">
        <f>V8/'Output-Calculation-sheet'!V7*'Output-Calculation-sheet'!V16</f>
        <v>267.13482560756557</v>
      </c>
      <c r="W30" s="2">
        <f>W8/'Output-Calculation-sheet'!W7*'Output-Calculation-sheet'!W16</f>
        <v>162.03073867497511</v>
      </c>
      <c r="X30" s="2">
        <f>X8/'Output-Calculation-sheet'!X7*'Output-Calculation-sheet'!X16</f>
        <v>0</v>
      </c>
      <c r="Y30" s="2">
        <f>Y8/'Output-Calculation-sheet'!Y7*'Output-Calculation-sheet'!Y16</f>
        <v>137.14059944354372</v>
      </c>
      <c r="AA30" s="2">
        <f t="shared" si="1"/>
        <v>46.997401594994081</v>
      </c>
    </row>
    <row r="31" spans="1:27" x14ac:dyDescent="0.25">
      <c r="A31" s="2">
        <v>2032</v>
      </c>
      <c r="B31" s="2">
        <f>B9/'Output-Calculation-sheet'!B8*'Output-Calculation-sheet'!B17</f>
        <v>29463.72162817344</v>
      </c>
      <c r="C31" s="2">
        <f>C9/'Output-Calculation-sheet'!C8*'Output-Calculation-sheet'!C17</f>
        <v>0</v>
      </c>
      <c r="D31" s="2">
        <f>D9/'Output-Calculation-sheet'!D8*'Output-Calculation-sheet'!D17</f>
        <v>4941.4529650884469</v>
      </c>
      <c r="E31" s="2">
        <f>E9/'Output-Calculation-sheet'!E8*'Output-Calculation-sheet'!E17</f>
        <v>5808.0028185730052</v>
      </c>
      <c r="F31" s="2">
        <f>F9/'Output-Calculation-sheet'!F8*'Output-Calculation-sheet'!F17</f>
        <v>2682.3809900306542</v>
      </c>
      <c r="G31" s="2">
        <f>G9/'Output-Calculation-sheet'!G8*'Output-Calculation-sheet'!G17</f>
        <v>1756.6246829081938</v>
      </c>
      <c r="H31" s="2">
        <f>H9/'Output-Calculation-sheet'!H8*'Output-Calculation-sheet'!H17</f>
        <v>0</v>
      </c>
      <c r="I31" s="2">
        <f>I9/'Output-Calculation-sheet'!I8*'Output-Calculation-sheet'!I17</f>
        <v>1712.4540651353932</v>
      </c>
      <c r="J31" s="2">
        <f>J9/'Output-Calculation-sheet'!J8*'Output-Calculation-sheet'!J17</f>
        <v>1524.41419308786</v>
      </c>
      <c r="K31" s="2">
        <f>K9/'Output-Calculation-sheet'!K8*'Output-Calculation-sheet'!K17</f>
        <v>2170.3610569641205</v>
      </c>
      <c r="L31" s="2">
        <f>L9/'Output-Calculation-sheet'!L8*'Output-Calculation-sheet'!L17</f>
        <v>1850.9364417631803</v>
      </c>
      <c r="M31" s="2">
        <f>M9/'Output-Calculation-sheet'!M8*'Output-Calculation-sheet'!M17</f>
        <v>0</v>
      </c>
      <c r="N31" s="2">
        <f>N9/'Output-Calculation-sheet'!N8*'Output-Calculation-sheet'!N17</f>
        <v>2012.1572184914307</v>
      </c>
      <c r="O31" s="2">
        <f>O9/'Output-Calculation-sheet'!O8*'Output-Calculation-sheet'!O17</f>
        <v>0</v>
      </c>
      <c r="P31" s="2">
        <f>P9/'Output-Calculation-sheet'!P8*'Output-Calculation-sheet'!P17</f>
        <v>2497.3994172152679</v>
      </c>
      <c r="Q31" s="2">
        <f>Q9/'Output-Calculation-sheet'!Q8*'Output-Calculation-sheet'!Q17</f>
        <v>2662.4572321917562</v>
      </c>
      <c r="R31" s="2">
        <f>R9/'Output-Calculation-sheet'!R8*'Output-Calculation-sheet'!R17</f>
        <v>1741.9202305332074</v>
      </c>
      <c r="S31" s="2">
        <f>S9/'Output-Calculation-sheet'!S8*'Output-Calculation-sheet'!S17</f>
        <v>1498.8450557516435</v>
      </c>
      <c r="T31" s="2">
        <f>T9/'Output-Calculation-sheet'!T8*'Output-Calculation-sheet'!T17</f>
        <v>472.68278115162684</v>
      </c>
      <c r="U31" s="2">
        <f>U9/'Output-Calculation-sheet'!U8*'Output-Calculation-sheet'!U17</f>
        <v>543.26320755203756</v>
      </c>
      <c r="V31" s="2">
        <f>V9/'Output-Calculation-sheet'!V8*'Output-Calculation-sheet'!V17</f>
        <v>389.11365831960171</v>
      </c>
      <c r="W31" s="2">
        <f>W9/'Output-Calculation-sheet'!W8*'Output-Calculation-sheet'!W17</f>
        <v>216.62875444211224</v>
      </c>
      <c r="X31" s="2">
        <f>X9/'Output-Calculation-sheet'!X8*'Output-Calculation-sheet'!X17</f>
        <v>0</v>
      </c>
      <c r="Y31" s="2">
        <f>Y9/'Output-Calculation-sheet'!Y8*'Output-Calculation-sheet'!Y17</f>
        <v>209.31030996427501</v>
      </c>
      <c r="AA31" s="2">
        <f t="shared" si="1"/>
        <v>64.154126707337255</v>
      </c>
    </row>
    <row r="32" spans="1:27" x14ac:dyDescent="0.25">
      <c r="A32" s="2">
        <v>2033</v>
      </c>
      <c r="B32" s="2">
        <f>B10/'Output-Calculation-sheet'!B9*'Output-Calculation-sheet'!B18</f>
        <v>31677.853819474505</v>
      </c>
      <c r="C32" s="2">
        <f>C10/'Output-Calculation-sheet'!C9*'Output-Calculation-sheet'!C18</f>
        <v>0</v>
      </c>
      <c r="D32" s="2">
        <f>D10/'Output-Calculation-sheet'!D9*'Output-Calculation-sheet'!D18</f>
        <v>6085.2098142563073</v>
      </c>
      <c r="E32" s="2">
        <f>E10/'Output-Calculation-sheet'!E9*'Output-Calculation-sheet'!E18</f>
        <v>8500.7284214172123</v>
      </c>
      <c r="F32" s="2">
        <f>F10/'Output-Calculation-sheet'!F9*'Output-Calculation-sheet'!F18</f>
        <v>3431.6250713134841</v>
      </c>
      <c r="G32" s="2">
        <f>G10/'Output-Calculation-sheet'!G9*'Output-Calculation-sheet'!G18</f>
        <v>2140.7990539262364</v>
      </c>
      <c r="H32" s="2">
        <f>H10/'Output-Calculation-sheet'!H9*'Output-Calculation-sheet'!H18</f>
        <v>0</v>
      </c>
      <c r="I32" s="2">
        <f>I10/'Output-Calculation-sheet'!I9*'Output-Calculation-sheet'!I18</f>
        <v>2260.1810987166614</v>
      </c>
      <c r="J32" s="2">
        <f>J10/'Output-Calculation-sheet'!J9*'Output-Calculation-sheet'!J18</f>
        <v>1814.0943607829677</v>
      </c>
      <c r="K32" s="2">
        <f>K10/'Output-Calculation-sheet'!K9*'Output-Calculation-sheet'!K18</f>
        <v>3019.3370673372942</v>
      </c>
      <c r="L32" s="2">
        <f>L10/'Output-Calculation-sheet'!L9*'Output-Calculation-sheet'!L18</f>
        <v>2608.2141615666669</v>
      </c>
      <c r="M32" s="2">
        <f>M10/'Output-Calculation-sheet'!M9*'Output-Calculation-sheet'!M18</f>
        <v>0</v>
      </c>
      <c r="N32" s="2">
        <f>N10/'Output-Calculation-sheet'!N9*'Output-Calculation-sheet'!N18</f>
        <v>1930.3384714674951</v>
      </c>
      <c r="O32" s="2">
        <f>O10/'Output-Calculation-sheet'!O9*'Output-Calculation-sheet'!O18</f>
        <v>0</v>
      </c>
      <c r="P32" s="2">
        <f>P10/'Output-Calculation-sheet'!P9*'Output-Calculation-sheet'!P18</f>
        <v>3107.8114582567373</v>
      </c>
      <c r="Q32" s="2">
        <f>Q10/'Output-Calculation-sheet'!Q9*'Output-Calculation-sheet'!Q18</f>
        <v>3382.9399047620741</v>
      </c>
      <c r="R32" s="2">
        <f>R10/'Output-Calculation-sheet'!R9*'Output-Calculation-sheet'!R18</f>
        <v>2231.5700367379482</v>
      </c>
      <c r="S32" s="2">
        <f>S10/'Output-Calculation-sheet'!S9*'Output-Calculation-sheet'!S18</f>
        <v>1464.3692323092432</v>
      </c>
      <c r="T32" s="2">
        <f>T10/'Output-Calculation-sheet'!T9*'Output-Calculation-sheet'!T18</f>
        <v>651.37974907702574</v>
      </c>
      <c r="U32" s="2">
        <f>U10/'Output-Calculation-sheet'!U9*'Output-Calculation-sheet'!U18</f>
        <v>720.41858543040735</v>
      </c>
      <c r="V32" s="2">
        <f>V10/'Output-Calculation-sheet'!V9*'Output-Calculation-sheet'!V18</f>
        <v>532.01345052505815</v>
      </c>
      <c r="W32" s="2">
        <f>W10/'Output-Calculation-sheet'!W9*'Output-Calculation-sheet'!W18</f>
        <v>265.38353843637441</v>
      </c>
      <c r="X32" s="2">
        <f>X10/'Output-Calculation-sheet'!X9*'Output-Calculation-sheet'!X18</f>
        <v>0</v>
      </c>
      <c r="Y32" s="2">
        <f>Y10/'Output-Calculation-sheet'!Y9*'Output-Calculation-sheet'!Y18</f>
        <v>308.19141592214817</v>
      </c>
      <c r="AA32" s="2">
        <f t="shared" si="1"/>
        <v>76.132458711715856</v>
      </c>
    </row>
    <row r="33" spans="1:27" x14ac:dyDescent="0.25">
      <c r="A33" s="2">
        <v>2034</v>
      </c>
      <c r="B33" s="2">
        <f>B11/'Output-Calculation-sheet'!B10*'Output-Calculation-sheet'!B19</f>
        <v>27848.579741568865</v>
      </c>
      <c r="C33" s="2">
        <f>C11/'Output-Calculation-sheet'!C10*'Output-Calculation-sheet'!C19</f>
        <v>0</v>
      </c>
      <c r="D33" s="2">
        <f>D11/'Output-Calculation-sheet'!D10*'Output-Calculation-sheet'!D19</f>
        <v>8306.9254637021186</v>
      </c>
      <c r="E33" s="2">
        <f>E11/'Output-Calculation-sheet'!E10*'Output-Calculation-sheet'!E19</f>
        <v>10288.682653261481</v>
      </c>
      <c r="F33" s="2">
        <f>F11/'Output-Calculation-sheet'!F10*'Output-Calculation-sheet'!F19</f>
        <v>4721.1834852593038</v>
      </c>
      <c r="G33" s="2">
        <f>G11/'Output-Calculation-sheet'!G10*'Output-Calculation-sheet'!G19</f>
        <v>2827.5988626138983</v>
      </c>
      <c r="H33" s="2">
        <f>H11/'Output-Calculation-sheet'!H10*'Output-Calculation-sheet'!H19</f>
        <v>0</v>
      </c>
      <c r="I33" s="2">
        <f>I11/'Output-Calculation-sheet'!I10*'Output-Calculation-sheet'!I19</f>
        <v>3085.306880281656</v>
      </c>
      <c r="J33" s="2">
        <f>J11/'Output-Calculation-sheet'!J10*'Output-Calculation-sheet'!J19</f>
        <v>2608.8257861572229</v>
      </c>
      <c r="K33" s="2">
        <f>K11/'Output-Calculation-sheet'!K10*'Output-Calculation-sheet'!K19</f>
        <v>3620.1222466182121</v>
      </c>
      <c r="L33" s="2">
        <f>L11/'Output-Calculation-sheet'!L10*'Output-Calculation-sheet'!L19</f>
        <v>2944.0217869109038</v>
      </c>
      <c r="M33" s="2">
        <f>M11/'Output-Calculation-sheet'!M10*'Output-Calculation-sheet'!M19</f>
        <v>0</v>
      </c>
      <c r="N33" s="2">
        <f>N11/'Output-Calculation-sheet'!N10*'Output-Calculation-sheet'!N19</f>
        <v>1664.7192229600764</v>
      </c>
      <c r="O33" s="2">
        <f>O11/'Output-Calculation-sheet'!O10*'Output-Calculation-sheet'!O19</f>
        <v>0</v>
      </c>
      <c r="P33" s="2">
        <f>P11/'Output-Calculation-sheet'!P10*'Output-Calculation-sheet'!P19</f>
        <v>3662.9251188031644</v>
      </c>
      <c r="Q33" s="2">
        <f>Q11/'Output-Calculation-sheet'!Q10*'Output-Calculation-sheet'!Q19</f>
        <v>3016.3803804306108</v>
      </c>
      <c r="R33" s="2">
        <f>R11/'Output-Calculation-sheet'!R10*'Output-Calculation-sheet'!R19</f>
        <v>2615.269495352527</v>
      </c>
      <c r="S33" s="2">
        <f>S11/'Output-Calculation-sheet'!S10*'Output-Calculation-sheet'!S19</f>
        <v>1219.1465538137575</v>
      </c>
      <c r="T33" s="2">
        <f>T11/'Output-Calculation-sheet'!T10*'Output-Calculation-sheet'!T19</f>
        <v>767.39588327681133</v>
      </c>
      <c r="U33" s="2">
        <f>U11/'Output-Calculation-sheet'!U10*'Output-Calculation-sheet'!U19</f>
        <v>883.20655547868523</v>
      </c>
      <c r="V33" s="2">
        <f>V11/'Output-Calculation-sheet'!V10*'Output-Calculation-sheet'!V19</f>
        <v>601.78814514323903</v>
      </c>
      <c r="W33" s="2">
        <f>W11/'Output-Calculation-sheet'!W10*'Output-Calculation-sheet'!W19</f>
        <v>375.28326450845287</v>
      </c>
      <c r="X33" s="2">
        <f>X11/'Output-Calculation-sheet'!X10*'Output-Calculation-sheet'!X19</f>
        <v>108.51295930349016</v>
      </c>
      <c r="Y33" s="2">
        <f>Y11/'Output-Calculation-sheet'!Y10*'Output-Calculation-sheet'!Y19</f>
        <v>337.74131841045676</v>
      </c>
      <c r="AA33" s="2">
        <f t="shared" si="1"/>
        <v>81.503615803854899</v>
      </c>
    </row>
    <row r="34" spans="1:27" x14ac:dyDescent="0.25">
      <c r="A34" s="2">
        <v>2035</v>
      </c>
      <c r="B34" s="2">
        <f>B12/'Output-Calculation-sheet'!B11*'Output-Calculation-sheet'!B20</f>
        <v>23243.545438517693</v>
      </c>
      <c r="C34" s="2">
        <f>C12/'Output-Calculation-sheet'!C11*'Output-Calculation-sheet'!C20</f>
        <v>0</v>
      </c>
      <c r="D34" s="2">
        <f>D12/'Output-Calculation-sheet'!D11*'Output-Calculation-sheet'!D20</f>
        <v>7294.5334060142204</v>
      </c>
      <c r="E34" s="2">
        <f>E12/'Output-Calculation-sheet'!E11*'Output-Calculation-sheet'!E20</f>
        <v>7970.3496361714333</v>
      </c>
      <c r="F34" s="2">
        <f>F12/'Output-Calculation-sheet'!F11*'Output-Calculation-sheet'!F20</f>
        <v>5021.6940127326234</v>
      </c>
      <c r="G34" s="2">
        <f>G12/'Output-Calculation-sheet'!G11*'Output-Calculation-sheet'!G20</f>
        <v>2683.4441889779055</v>
      </c>
      <c r="H34" s="2">
        <f>H12/'Output-Calculation-sheet'!H11*'Output-Calculation-sheet'!H20</f>
        <v>0</v>
      </c>
      <c r="I34" s="2">
        <f>I12/'Output-Calculation-sheet'!I11*'Output-Calculation-sheet'!I20</f>
        <v>2916.5384315408487</v>
      </c>
      <c r="J34" s="2">
        <f>J12/'Output-Calculation-sheet'!J11*'Output-Calculation-sheet'!J20</f>
        <v>2503.8507619782526</v>
      </c>
      <c r="K34" s="2">
        <f>K12/'Output-Calculation-sheet'!K11*'Output-Calculation-sheet'!K20</f>
        <v>3291.9541185228754</v>
      </c>
      <c r="L34" s="2">
        <f>L12/'Output-Calculation-sheet'!L11*'Output-Calculation-sheet'!L20</f>
        <v>2601.6840682903853</v>
      </c>
      <c r="M34" s="2">
        <f>M12/'Output-Calculation-sheet'!M11*'Output-Calculation-sheet'!M20</f>
        <v>0</v>
      </c>
      <c r="N34" s="2">
        <f>N12/'Output-Calculation-sheet'!N11*'Output-Calculation-sheet'!N20</f>
        <v>1447.8376118591023</v>
      </c>
      <c r="O34" s="2">
        <f>O12/'Output-Calculation-sheet'!O11*'Output-Calculation-sheet'!O20</f>
        <v>0</v>
      </c>
      <c r="P34" s="2">
        <f>P12/'Output-Calculation-sheet'!P11*'Output-Calculation-sheet'!P20</f>
        <v>3235.6525921715624</v>
      </c>
      <c r="Q34" s="2">
        <f>Q12/'Output-Calculation-sheet'!Q11*'Output-Calculation-sheet'!Q20</f>
        <v>2560.2761591612989</v>
      </c>
      <c r="R34" s="2">
        <f>R12/'Output-Calculation-sheet'!R11*'Output-Calculation-sheet'!R20</f>
        <v>2569.7494054200924</v>
      </c>
      <c r="S34" s="2">
        <f>S12/'Output-Calculation-sheet'!S11*'Output-Calculation-sheet'!S20</f>
        <v>981.58191924126743</v>
      </c>
      <c r="T34" s="2">
        <f>T12/'Output-Calculation-sheet'!T11*'Output-Calculation-sheet'!T20</f>
        <v>807.33588170978283</v>
      </c>
      <c r="U34" s="2">
        <f>U12/'Output-Calculation-sheet'!U11*'Output-Calculation-sheet'!U20</f>
        <v>736.56888677067764</v>
      </c>
      <c r="V34" s="2">
        <f>V12/'Output-Calculation-sheet'!V11*'Output-Calculation-sheet'!V20</f>
        <v>676.61402048136915</v>
      </c>
      <c r="W34" s="2">
        <f>W12/'Output-Calculation-sheet'!W11*'Output-Calculation-sheet'!W20</f>
        <v>435.30956737898111</v>
      </c>
      <c r="X34" s="2">
        <f>X12/'Output-Calculation-sheet'!X11*'Output-Calculation-sheet'!X20</f>
        <v>87.977701361137491</v>
      </c>
      <c r="Y34" s="2">
        <f>Y12/'Output-Calculation-sheet'!Y11*'Output-Calculation-sheet'!Y20</f>
        <v>244.00745757562379</v>
      </c>
      <c r="AA34" s="2">
        <f t="shared" si="1"/>
        <v>71.31050526587714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1.0232768645849679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0.19879516631024693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1.2220720308952149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1.1964954962785603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0.46489377294507822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1.6613892692236385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1.2797147839120819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0.74584246581398139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2.0255572497260634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1.2690971288159174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0.73965429157575224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2.0087514203916697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2.3582463503586641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0.36297083603605074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0.24975945392279225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0.91628764735187829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0.21507168487918793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2.7399227802604439E-2</v>
      </c>
      <c r="Y44" s="2">
        <f>Y11/'Output-Calculation-sheet'!Y10*'Output-Calculation-sheet'!Y37*0.0114</f>
        <v>0</v>
      </c>
      <c r="AA44" s="2">
        <f t="shared" si="2"/>
        <v>4.1297352003511776</v>
      </c>
    </row>
    <row r="45" spans="1:27" x14ac:dyDescent="0.25">
      <c r="A45" s="2">
        <v>2035</v>
      </c>
      <c r="B45" s="2">
        <f>B12/'Output-Calculation-sheet'!B11*'Output-Calculation-sheet'!B38*0.0114</f>
        <v>2.1725076905344163</v>
      </c>
      <c r="C45" s="2">
        <f>C12/'Output-Calculation-sheet'!C11*'Output-Calculation-sheet'!C38*0.0114</f>
        <v>2.0622412089344619</v>
      </c>
      <c r="D45" s="2">
        <f>D12/'Output-Calculation-sheet'!D11*'Output-Calculation-sheet'!D38*0.0114</f>
        <v>0.91339909963052346</v>
      </c>
      <c r="E45" s="2">
        <f>E12/'Output-Calculation-sheet'!E11*'Output-Calculation-sheet'!E38*0.0114</f>
        <v>0.72590865105340208</v>
      </c>
      <c r="F45" s="2">
        <f>F12/'Output-Calculation-sheet'!F11*'Output-Calculation-sheet'!F38*0.0114</f>
        <v>0.45654676331147048</v>
      </c>
      <c r="G45" s="2">
        <f>G12/'Output-Calculation-sheet'!G11*'Output-Calculation-sheet'!G38*0.0114</f>
        <v>0.32765588186397454</v>
      </c>
      <c r="H45" s="2">
        <f>H12/'Output-Calculation-sheet'!H11*'Output-Calculation-sheet'!H38*0.0114</f>
        <v>0.3174110353657893</v>
      </c>
      <c r="I45" s="2">
        <f>I12/'Output-Calculation-sheet'!I11*'Output-Calculation-sheet'!I38*0.0114</f>
        <v>0.29470690326598953</v>
      </c>
      <c r="J45" s="2">
        <f>J12/'Output-Calculation-sheet'!J11*'Output-Calculation-sheet'!J38*0.0114</f>
        <v>0.2916630769271461</v>
      </c>
      <c r="K45" s="2">
        <f>K12/'Output-Calculation-sheet'!K11*'Output-Calculation-sheet'!K38*0.0114</f>
        <v>0.28965049667469961</v>
      </c>
      <c r="L45" s="2">
        <f>L12/'Output-Calculation-sheet'!L11*'Output-Calculation-sheet'!L38*0.0114</f>
        <v>0.23031619539751502</v>
      </c>
      <c r="M45" s="2">
        <f>M12/'Output-Calculation-sheet'!M11*'Output-Calculation-sheet'!M38*0.0114</f>
        <v>0.21840985277989058</v>
      </c>
      <c r="N45" s="2">
        <f>N12/'Output-Calculation-sheet'!N11*'Output-Calculation-sheet'!N38*0.0114</f>
        <v>0.21466183866814628</v>
      </c>
      <c r="O45" s="2">
        <f>O12/'Output-Calculation-sheet'!O11*'Output-Calculation-sheet'!O38*0.0114</f>
        <v>0.80127597581960108</v>
      </c>
      <c r="P45" s="2">
        <f>P12/'Output-Calculation-sheet'!P11*'Output-Calculation-sheet'!P38*0.0114</f>
        <v>0.19830886024975575</v>
      </c>
      <c r="Q45" s="2">
        <f>Q12/'Output-Calculation-sheet'!Q11*'Output-Calculation-sheet'!Q38*0.0114</f>
        <v>0.18807606396395862</v>
      </c>
      <c r="R45" s="2">
        <f>R12/'Output-Calculation-sheet'!R11*'Output-Calculation-sheet'!R38*0.0114</f>
        <v>0.1865124864503849</v>
      </c>
      <c r="S45" s="2">
        <f>S12/'Output-Calculation-sheet'!S11*'Output-Calculation-sheet'!S38*0.0114</f>
        <v>0.1230512423777788</v>
      </c>
      <c r="T45" s="2">
        <f>T12/'Output-Calculation-sheet'!T11*'Output-Calculation-sheet'!T38*0.0114</f>
        <v>6.9003066812801953E-2</v>
      </c>
      <c r="U45" s="2">
        <f>U12/'Output-Calculation-sheet'!U11*'Output-Calculation-sheet'!U38*0.0114</f>
        <v>6.0007756086512723E-2</v>
      </c>
      <c r="V45" s="2">
        <f>V12/'Output-Calculation-sheet'!V11*'Output-Calculation-sheet'!V38*0.0114</f>
        <v>4.6271422344990716E-2</v>
      </c>
      <c r="W45" s="2">
        <f>W12/'Output-Calculation-sheet'!W11*'Output-Calculation-sheet'!W38*0.0114</f>
        <v>4.0067572045476001E-2</v>
      </c>
      <c r="X45" s="2">
        <f>X12/'Output-Calculation-sheet'!X11*'Output-Calculation-sheet'!X38*0.0114</f>
        <v>2.3960099274157706E-2</v>
      </c>
      <c r="Y45" s="2">
        <f>Y12/'Output-Calculation-sheet'!Y11*'Output-Calculation-sheet'!Y38*0.0114</f>
        <v>2.3121940204996562E-2</v>
      </c>
      <c r="AA45" s="2">
        <f t="shared" si="2"/>
        <v>10.274735180037839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9335.1573611260246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2044.71404454815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1444.9893858442663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204.40594718443722</v>
      </c>
      <c r="Y51" s="2">
        <f>Y7/'Output-Calculation-sheet'!Y6*'Output-Calculation-sheet'!Y42</f>
        <v>0</v>
      </c>
      <c r="AA51" s="2">
        <f t="shared" si="3"/>
        <v>13.029266738702878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24559.644397296765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8012.5444933194112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5468.9516621324246</v>
      </c>
      <c r="N52" s="2">
        <f>N8/'Output-Calculation-sheet'!N7*'Output-Calculation-sheet'!N43</f>
        <v>174.80006249209887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707.26694726185997</v>
      </c>
      <c r="Y52" s="2">
        <f>Y8/'Output-Calculation-sheet'!Y7*'Output-Calculation-sheet'!Y43</f>
        <v>0</v>
      </c>
      <c r="AA52" s="2">
        <f t="shared" si="3"/>
        <v>38.923207562502554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54893.028888860354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15169.994121985754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10367.107118982183</v>
      </c>
      <c r="N53" s="2">
        <f>N9/'Output-Calculation-sheet'!N8*'Output-Calculation-sheet'!N44</f>
        <v>3692.4175157274135</v>
      </c>
      <c r="O53" s="2">
        <f>O9/'Output-Calculation-sheet'!O8*'Output-Calculation-sheet'!O44</f>
        <v>0</v>
      </c>
      <c r="P53" s="2">
        <f>P9/'Output-Calculation-sheet'!P8*'Output-Calculation-sheet'!P44</f>
        <v>172.71536552402068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1152.0818232528161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1296.4144778763957</v>
      </c>
      <c r="Y53" s="2">
        <f>Y9/'Output-Calculation-sheet'!Y8*'Output-Calculation-sheet'!Y44</f>
        <v>0</v>
      </c>
      <c r="AA53" s="2">
        <f t="shared" si="3"/>
        <v>86.743759312208951</v>
      </c>
    </row>
    <row r="54" spans="1:27" x14ac:dyDescent="0.25">
      <c r="A54" s="2">
        <v>2033</v>
      </c>
      <c r="B54" s="2">
        <f>B10/'Output-Calculation-sheet'!B9*'Output-Calculation-sheet'!B45</f>
        <v>30022.844515554556</v>
      </c>
      <c r="C54" s="2">
        <f>C10/'Output-Calculation-sheet'!C9*'Output-Calculation-sheet'!C45</f>
        <v>68798.423298968148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21760.871878293274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281.44745891845395</v>
      </c>
      <c r="L54" s="2">
        <f>L10/'Output-Calculation-sheet'!L9*'Output-Calculation-sheet'!L45</f>
        <v>0</v>
      </c>
      <c r="M54" s="2">
        <f>M10/'Output-Calculation-sheet'!M9*'Output-Calculation-sheet'!M45</f>
        <v>14926.448301406614</v>
      </c>
      <c r="N54" s="2">
        <f>N10/'Output-Calculation-sheet'!N9*'Output-Calculation-sheet'!N45</f>
        <v>8366.4764284228277</v>
      </c>
      <c r="O54" s="2">
        <f>O10/'Output-Calculation-sheet'!O9*'Output-Calculation-sheet'!O45</f>
        <v>0</v>
      </c>
      <c r="P54" s="2">
        <f>P10/'Output-Calculation-sheet'!P9*'Output-Calculation-sheet'!P45</f>
        <v>2269.4913339203895</v>
      </c>
      <c r="Q54" s="2">
        <f>Q10/'Output-Calculation-sheet'!Q9*'Output-Calculation-sheet'!Q45</f>
        <v>893.44279065996363</v>
      </c>
      <c r="R54" s="2">
        <f>R10/'Output-Calculation-sheet'!R9*'Output-Calculation-sheet'!R45</f>
        <v>1490.1163382265831</v>
      </c>
      <c r="S54" s="2">
        <f>S10/'Output-Calculation-sheet'!S9*'Output-Calculation-sheet'!S45</f>
        <v>3560.4209012290858</v>
      </c>
      <c r="T54" s="2">
        <f>T10/'Output-Calculation-sheet'!T9*'Output-Calculation-sheet'!T45</f>
        <v>74.498741817009858</v>
      </c>
      <c r="U54" s="2">
        <f>U10/'Output-Calculation-sheet'!U9*'Output-Calculation-sheet'!U45</f>
        <v>537.73217675429248</v>
      </c>
      <c r="V54" s="2">
        <f>V10/'Output-Calculation-sheet'!V9*'Output-Calculation-sheet'!V45</f>
        <v>39.965327989111834</v>
      </c>
      <c r="W54" s="2">
        <f>W10/'Output-Calculation-sheet'!W9*'Output-Calculation-sheet'!W45</f>
        <v>0</v>
      </c>
      <c r="X54" s="2">
        <f>X10/'Output-Calculation-sheet'!X9*'Output-Calculation-sheet'!X45</f>
        <v>1715.0733021550395</v>
      </c>
      <c r="Y54" s="2">
        <f>Y10/'Output-Calculation-sheet'!Y9*'Output-Calculation-sheet'!Y45</f>
        <v>17.474423576265721</v>
      </c>
      <c r="AA54" s="2">
        <f t="shared" si="3"/>
        <v>154.7547272178916</v>
      </c>
    </row>
    <row r="55" spans="1:27" x14ac:dyDescent="0.25">
      <c r="A55" s="2">
        <v>2034</v>
      </c>
      <c r="B55" s="2">
        <f>B11/'Output-Calculation-sheet'!B10*'Output-Calculation-sheet'!B46</f>
        <v>79324.540464285674</v>
      </c>
      <c r="C55" s="2">
        <f>C11/'Output-Calculation-sheet'!C10*'Output-Calculation-sheet'!C46</f>
        <v>65265.502064750755</v>
      </c>
      <c r="D55" s="2">
        <f>D11/'Output-Calculation-sheet'!D10*'Output-Calculation-sheet'!D46</f>
        <v>7329.8556990224288</v>
      </c>
      <c r="E55" s="2">
        <f>E11/'Output-Calculation-sheet'!E10*'Output-Calculation-sheet'!E46</f>
        <v>9029.1842643822856</v>
      </c>
      <c r="F55" s="2">
        <f>F11/'Output-Calculation-sheet'!F10*'Output-Calculation-sheet'!F46</f>
        <v>274.77763249513367</v>
      </c>
      <c r="G55" s="2">
        <f>G11/'Output-Calculation-sheet'!G10*'Output-Calculation-sheet'!G46</f>
        <v>3253.8536969089737</v>
      </c>
      <c r="H55" s="2">
        <f>H11/'Output-Calculation-sheet'!H10*'Output-Calculation-sheet'!H46</f>
        <v>23529.425248301883</v>
      </c>
      <c r="I55" s="2">
        <f>I11/'Output-Calculation-sheet'!I10*'Output-Calculation-sheet'!I46</f>
        <v>1773.7255340950621</v>
      </c>
      <c r="J55" s="2">
        <f>J11/'Output-Calculation-sheet'!J10*'Output-Calculation-sheet'!J46</f>
        <v>1287.2976852183224</v>
      </c>
      <c r="K55" s="2">
        <f>K11/'Output-Calculation-sheet'!K10*'Output-Calculation-sheet'!K46</f>
        <v>3457.5311193583038</v>
      </c>
      <c r="L55" s="2">
        <f>L11/'Output-Calculation-sheet'!L10*'Output-Calculation-sheet'!L46</f>
        <v>1270.6678041285388</v>
      </c>
      <c r="M55" s="2">
        <f>M11/'Output-Calculation-sheet'!M10*'Output-Calculation-sheet'!M46</f>
        <v>16628.721537491168</v>
      </c>
      <c r="N55" s="2">
        <f>N11/'Output-Calculation-sheet'!N10*'Output-Calculation-sheet'!N46</f>
        <v>12682.795751231841</v>
      </c>
      <c r="O55" s="2">
        <f>O11/'Output-Calculation-sheet'!O10*'Output-Calculation-sheet'!O46</f>
        <v>281.31638295890997</v>
      </c>
      <c r="P55" s="2">
        <f>P11/'Output-Calculation-sheet'!P10*'Output-Calculation-sheet'!P46</f>
        <v>4714.4965604758954</v>
      </c>
      <c r="Q55" s="2">
        <f>Q11/'Output-Calculation-sheet'!Q10*'Output-Calculation-sheet'!Q46</f>
        <v>2773.2927787053181</v>
      </c>
      <c r="R55" s="2">
        <f>R11/'Output-Calculation-sheet'!R10*'Output-Calculation-sheet'!R46</f>
        <v>3816.6552948930189</v>
      </c>
      <c r="S55" s="2">
        <f>S11/'Output-Calculation-sheet'!S10*'Output-Calculation-sheet'!S46</f>
        <v>6233.3604300490788</v>
      </c>
      <c r="T55" s="2">
        <f>T11/'Output-Calculation-sheet'!T10*'Output-Calculation-sheet'!T46</f>
        <v>865.21345572754456</v>
      </c>
      <c r="U55" s="2">
        <f>U11/'Output-Calculation-sheet'!U10*'Output-Calculation-sheet'!U46</f>
        <v>1444.6528131488033</v>
      </c>
      <c r="V55" s="2">
        <f>V11/'Output-Calculation-sheet'!V10*'Output-Calculation-sheet'!V46</f>
        <v>584.82812939090286</v>
      </c>
      <c r="W55" s="2">
        <f>W11/'Output-Calculation-sheet'!W10*'Output-Calculation-sheet'!W46</f>
        <v>76.364495364405172</v>
      </c>
      <c r="X55" s="2">
        <f>X11/'Output-Calculation-sheet'!X10*'Output-Calculation-sheet'!X46</f>
        <v>1701.6362530038546</v>
      </c>
      <c r="Y55" s="2">
        <f>Y11/'Output-Calculation-sheet'!Y10*'Output-Calculation-sheet'!Y46</f>
        <v>442.9987488936618</v>
      </c>
      <c r="AA55" s="2">
        <f t="shared" si="3"/>
        <v>248.04269384428173</v>
      </c>
    </row>
    <row r="56" spans="1:27" x14ac:dyDescent="0.25">
      <c r="A56" s="2">
        <v>2035</v>
      </c>
      <c r="B56" s="2">
        <f>B12/'Output-Calculation-sheet'!B11*'Output-Calculation-sheet'!B47</f>
        <v>88234.303571704804</v>
      </c>
      <c r="C56" s="2">
        <f>C12/'Output-Calculation-sheet'!C11*'Output-Calculation-sheet'!C47</f>
        <v>57977.921707324123</v>
      </c>
      <c r="D56" s="2">
        <f>D12/'Output-Calculation-sheet'!D11*'Output-Calculation-sheet'!D47</f>
        <v>7050.8000673233391</v>
      </c>
      <c r="E56" s="2">
        <f>E12/'Output-Calculation-sheet'!E11*'Output-Calculation-sheet'!E47</f>
        <v>19803.297410316496</v>
      </c>
      <c r="F56" s="2">
        <f>F12/'Output-Calculation-sheet'!F11*'Output-Calculation-sheet'!F47</f>
        <v>2442.9256633333071</v>
      </c>
      <c r="G56" s="2">
        <f>G12/'Output-Calculation-sheet'!G11*'Output-Calculation-sheet'!G47</f>
        <v>5518.4148524458869</v>
      </c>
      <c r="H56" s="2">
        <f>H12/'Output-Calculation-sheet'!H11*'Output-Calculation-sheet'!H47</f>
        <v>21077.206471219517</v>
      </c>
      <c r="I56" s="2">
        <f>I12/'Output-Calculation-sheet'!I11*'Output-Calculation-sheet'!I47</f>
        <v>2791.9601362041117</v>
      </c>
      <c r="J56" s="2">
        <f>J12/'Output-Calculation-sheet'!J11*'Output-Calculation-sheet'!J47</f>
        <v>2532.8635627883741</v>
      </c>
      <c r="K56" s="2">
        <f>K12/'Output-Calculation-sheet'!K11*'Output-Calculation-sheet'!K47</f>
        <v>3658.7431158909426</v>
      </c>
      <c r="L56" s="2">
        <f>L12/'Output-Calculation-sheet'!L11*'Output-Calculation-sheet'!L47</f>
        <v>2020.3175034869737</v>
      </c>
      <c r="M56" s="2">
        <f>M12/'Output-Calculation-sheet'!M11*'Output-Calculation-sheet'!M47</f>
        <v>14694.768165103163</v>
      </c>
      <c r="N56" s="2">
        <f>N12/'Output-Calculation-sheet'!N11*'Output-Calculation-sheet'!N47</f>
        <v>11222.671565457471</v>
      </c>
      <c r="O56" s="2">
        <f>O12/'Output-Calculation-sheet'!O11*'Output-Calculation-sheet'!O47</f>
        <v>1054.310494499475</v>
      </c>
      <c r="P56" s="2">
        <f>P12/'Output-Calculation-sheet'!P11*'Output-Calculation-sheet'!P47</f>
        <v>5827.497209093699</v>
      </c>
      <c r="Q56" s="2">
        <f>Q12/'Output-Calculation-sheet'!Q11*'Output-Calculation-sheet'!Q47</f>
        <v>2953.1241622411044</v>
      </c>
      <c r="R56" s="2">
        <f>R12/'Output-Calculation-sheet'!R11*'Output-Calculation-sheet'!R47</f>
        <v>4302.8757838992306</v>
      </c>
      <c r="S56" s="2">
        <f>S12/'Output-Calculation-sheet'!S11*'Output-Calculation-sheet'!S47</f>
        <v>5699.2154364444914</v>
      </c>
      <c r="T56" s="2">
        <f>T12/'Output-Calculation-sheet'!T11*'Output-Calculation-sheet'!T47</f>
        <v>1507.1722488059374</v>
      </c>
      <c r="U56" s="2">
        <f>U12/'Output-Calculation-sheet'!U11*'Output-Calculation-sheet'!U47</f>
        <v>1442.2916813775864</v>
      </c>
      <c r="V56" s="2">
        <f>V12/'Output-Calculation-sheet'!V11*'Output-Calculation-sheet'!V47</f>
        <v>1006.6063808383946</v>
      </c>
      <c r="W56" s="2">
        <f>W12/'Output-Calculation-sheet'!W11*'Output-Calculation-sheet'!W47</f>
        <v>572.89598626426209</v>
      </c>
      <c r="X56" s="2">
        <f>X12/'Output-Calculation-sheet'!X11*'Output-Calculation-sheet'!X47</f>
        <v>1517.4729540299879</v>
      </c>
      <c r="Y56" s="2">
        <f>Y12/'Output-Calculation-sheet'!Y11*'Output-Calculation-sheet'!Y47</f>
        <v>776.81606127313</v>
      </c>
      <c r="AA56" s="2">
        <f t="shared" si="3"/>
        <v>265.68647219136591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5.0725590766760833</v>
      </c>
      <c r="C60" s="2">
        <f>C5*'Output-Calculation-sheet'!C49/10^9</f>
        <v>2.0459773571251709</v>
      </c>
      <c r="D60" s="2">
        <f>D5*'Output-Calculation-sheet'!D49/10^9</f>
        <v>1.3375738480345654</v>
      </c>
      <c r="E60" s="2">
        <f>E5*'Output-Calculation-sheet'!E49/10^9</f>
        <v>1.5518856911873322</v>
      </c>
      <c r="F60" s="2">
        <f>F5*'Output-Calculation-sheet'!F49/10^9</f>
        <v>0.71273489652079591</v>
      </c>
      <c r="G60" s="2">
        <f>G5*'Output-Calculation-sheet'!G49/10^9</f>
        <v>0.56225372291909859</v>
      </c>
      <c r="H60" s="2">
        <f>H5*'Output-Calculation-sheet'!H49/10^9</f>
        <v>0.5375956706597611</v>
      </c>
      <c r="I60" s="2">
        <f>I5*'Output-Calculation-sheet'!I49/10^9</f>
        <v>0.42326039285642575</v>
      </c>
      <c r="J60" s="2">
        <f>J5*'Output-Calculation-sheet'!J49/10^9</f>
        <v>0.65597755937692248</v>
      </c>
      <c r="K60" s="2">
        <f>K5*'Output-Calculation-sheet'!K49/10^9</f>
        <v>0.36410275512421542</v>
      </c>
      <c r="L60" s="2">
        <f>L5*'Output-Calculation-sheet'!L49/10^9</f>
        <v>0.47547521073513976</v>
      </c>
      <c r="M60" s="2">
        <f>M5*'Output-Calculation-sheet'!M49/10^9</f>
        <v>0.41152189830318753</v>
      </c>
      <c r="N60" s="2">
        <f>N5*'Output-Calculation-sheet'!N49/10^9</f>
        <v>0.34448182083793605</v>
      </c>
      <c r="O60" s="2">
        <f>O5*'Output-Calculation-sheet'!O49/10^9</f>
        <v>0.34529417961211128</v>
      </c>
      <c r="P60" s="2">
        <f>P5*'Output-Calculation-sheet'!P49/10^9</f>
        <v>0.36025358672209928</v>
      </c>
      <c r="Q60" s="2">
        <f>Q5*'Output-Calculation-sheet'!Q49/10^9</f>
        <v>0.31245376642809941</v>
      </c>
      <c r="R60" s="2">
        <f>R5*'Output-Calculation-sheet'!R49/10^9</f>
        <v>0.32667306761509102</v>
      </c>
      <c r="S60" s="2">
        <f>S5*'Output-Calculation-sheet'!S49/10^9</f>
        <v>0.23017435834208541</v>
      </c>
      <c r="T60" s="2">
        <f>T5*'Output-Calculation-sheet'!T49/10^9</f>
        <v>0.14318286130805383</v>
      </c>
      <c r="U60" s="2">
        <f>U5*'Output-Calculation-sheet'!U49/10^9</f>
        <v>0.1052079181922398</v>
      </c>
      <c r="V60" s="2">
        <f>V5*'Output-Calculation-sheet'!V49/10^9</f>
        <v>0.20007725351108799</v>
      </c>
      <c r="W60" s="2">
        <f>W5*'Output-Calculation-sheet'!W49/10^9</f>
        <v>7.967013669569159E-2</v>
      </c>
      <c r="X60" s="2">
        <f>X5*'Output-Calculation-sheet'!X49/10^9</f>
        <v>5.8434755474997525E-2</v>
      </c>
      <c r="Y60" s="2">
        <f>Y5*'Output-Calculation-sheet'!Y49/10^9</f>
        <v>4.225951098258026E-2</v>
      </c>
      <c r="AA60" s="2">
        <f t="shared" ref="AA60:AA67" si="4">SUM(B60:Y60)</f>
        <v>16.69908129524077</v>
      </c>
    </row>
    <row r="61" spans="1:27" x14ac:dyDescent="0.25">
      <c r="A61" s="2">
        <v>2029</v>
      </c>
      <c r="B61" s="2">
        <f>B6*'Output-Calculation-sheet'!B50/10^9</f>
        <v>6.5374176804198889</v>
      </c>
      <c r="C61" s="2">
        <f>C6*'Output-Calculation-sheet'!C50/10^9</f>
        <v>2.8018501765903334</v>
      </c>
      <c r="D61" s="2">
        <f>D6*'Output-Calculation-sheet'!D50/10^9</f>
        <v>1.6828251099558802</v>
      </c>
      <c r="E61" s="2">
        <f>E6*'Output-Calculation-sheet'!E50/10^9</f>
        <v>1.9451953925093053</v>
      </c>
      <c r="F61" s="2">
        <f>F6*'Output-Calculation-sheet'!F50/10^9</f>
        <v>0.89756316463738572</v>
      </c>
      <c r="G61" s="2">
        <f>G6*'Output-Calculation-sheet'!G50/10^9</f>
        <v>0.70179374856557386</v>
      </c>
      <c r="H61" s="2">
        <f>H6*'Output-Calculation-sheet'!H50/10^9</f>
        <v>0.7264909407587119</v>
      </c>
      <c r="I61" s="2">
        <f>I6*'Output-Calculation-sheet'!I50/10^9</f>
        <v>0.53510471711759811</v>
      </c>
      <c r="J61" s="2">
        <f>J6*'Output-Calculation-sheet'!J50/10^9</f>
        <v>0.80962631793436146</v>
      </c>
      <c r="K61" s="2">
        <f>K6*'Output-Calculation-sheet'!K50/10^9</f>
        <v>0.47011543362091507</v>
      </c>
      <c r="L61" s="2">
        <f>L6*'Output-Calculation-sheet'!L50/10^9</f>
        <v>0.59755263122903535</v>
      </c>
      <c r="M61" s="2">
        <f>M6*'Output-Calculation-sheet'!M50/10^9</f>
        <v>0.55012684468968664</v>
      </c>
      <c r="N61" s="2">
        <f>N6*'Output-Calculation-sheet'!N50/10^9</f>
        <v>0.46873446639044974</v>
      </c>
      <c r="O61" s="2">
        <f>O6*'Output-Calculation-sheet'!O50/10^9</f>
        <v>0.48805649764088471</v>
      </c>
      <c r="P61" s="2">
        <f>P6*'Output-Calculation-sheet'!P50/10^9</f>
        <v>0.46518149153664606</v>
      </c>
      <c r="Q61" s="2">
        <f>Q6*'Output-Calculation-sheet'!Q50/10^9</f>
        <v>0.41208966691992105</v>
      </c>
      <c r="R61" s="2">
        <f>R6*'Output-Calculation-sheet'!R50/10^9</f>
        <v>0.41639374438283222</v>
      </c>
      <c r="S61" s="2">
        <f>S6*'Output-Calculation-sheet'!S50/10^9</f>
        <v>0.30527706374351316</v>
      </c>
      <c r="T61" s="2">
        <f>T6*'Output-Calculation-sheet'!T50/10^9</f>
        <v>0.17893359973005674</v>
      </c>
      <c r="U61" s="2">
        <f>U6*'Output-Calculation-sheet'!U50/10^9</f>
        <v>0.13358778158133225</v>
      </c>
      <c r="V61" s="2">
        <f>V6*'Output-Calculation-sheet'!V50/10^9</f>
        <v>0.24506182483129105</v>
      </c>
      <c r="W61" s="2">
        <f>W6*'Output-Calculation-sheet'!W50/10^9</f>
        <v>9.8879961498775537E-2</v>
      </c>
      <c r="X61" s="2">
        <f>X6*'Output-Calculation-sheet'!X50/10^9</f>
        <v>7.7194754658738748E-2</v>
      </c>
      <c r="Y61" s="2">
        <f>Y6*'Output-Calculation-sheet'!Y50/10^9</f>
        <v>5.3638595349620809E-2</v>
      </c>
      <c r="AA61" s="2">
        <f t="shared" si="4"/>
        <v>21.598691606292746</v>
      </c>
    </row>
    <row r="62" spans="1:27" x14ac:dyDescent="0.25">
      <c r="A62" s="2">
        <v>2030</v>
      </c>
      <c r="B62" s="2">
        <f>B7*'Output-Calculation-sheet'!B51/10^9</f>
        <v>7.6378864445348329</v>
      </c>
      <c r="C62" s="2">
        <f>C7*'Output-Calculation-sheet'!C51/10^9</f>
        <v>3.7958684001686898</v>
      </c>
      <c r="D62" s="2">
        <f>D7*'Output-Calculation-sheet'!D51/10^9</f>
        <v>1.9027766899325538</v>
      </c>
      <c r="E62" s="2">
        <f>E7*'Output-Calculation-sheet'!E51/10^9</f>
        <v>2.1895351068568885</v>
      </c>
      <c r="F62" s="2">
        <f>F7*'Output-Calculation-sheet'!F51/10^9</f>
        <v>1.0160501387101462</v>
      </c>
      <c r="G62" s="2">
        <f>G7*'Output-Calculation-sheet'!G51/10^9</f>
        <v>0.78589738699686085</v>
      </c>
      <c r="H62" s="2">
        <f>H7*'Output-Calculation-sheet'!H51/10^9</f>
        <v>0.9568794586838516</v>
      </c>
      <c r="I62" s="2">
        <f>I7*'Output-Calculation-sheet'!I51/10^9</f>
        <v>0.60858318712557469</v>
      </c>
      <c r="J62" s="2">
        <f>J7*'Output-Calculation-sheet'!J51/10^9</f>
        <v>0.89406726562996408</v>
      </c>
      <c r="K62" s="2">
        <f>K7*'Output-Calculation-sheet'!K51/10^9</f>
        <v>0.54797628128553622</v>
      </c>
      <c r="L62" s="2">
        <f>L7*'Output-Calculation-sheet'!L51/10^9</f>
        <v>0.67476643158617322</v>
      </c>
      <c r="M62" s="2">
        <f>M7*'Output-Calculation-sheet'!M51/10^9</f>
        <v>0.71297570486109774</v>
      </c>
      <c r="N62" s="2">
        <f>N7*'Output-Calculation-sheet'!N51/10^9</f>
        <v>0.58249184008758248</v>
      </c>
      <c r="O62" s="2">
        <f>O7*'Output-Calculation-sheet'!O51/10^9</f>
        <v>0.66278751435343575</v>
      </c>
      <c r="P62" s="2">
        <f>P7*'Output-Calculation-sheet'!P51/10^9</f>
        <v>0.54227288191023604</v>
      </c>
      <c r="Q62" s="2">
        <f>Q7*'Output-Calculation-sheet'!Q51/10^9</f>
        <v>0.49347168613694925</v>
      </c>
      <c r="R62" s="2">
        <f>R7*'Output-Calculation-sheet'!R51/10^9</f>
        <v>0.47818629948735392</v>
      </c>
      <c r="S62" s="2">
        <f>S7*'Output-Calculation-sheet'!S51/10^9</f>
        <v>0.37073689799526294</v>
      </c>
      <c r="T62" s="2">
        <f>T7*'Output-Calculation-sheet'!T51/10^9</f>
        <v>0.20067373004376185</v>
      </c>
      <c r="U62" s="2">
        <f>U7*'Output-Calculation-sheet'!U51/10^9</f>
        <v>0.15271793535398634</v>
      </c>
      <c r="V62" s="2">
        <f>V7*'Output-Calculation-sheet'!V51/10^9</f>
        <v>0.26800736766959493</v>
      </c>
      <c r="W62" s="2">
        <f>W7*'Output-Calculation-sheet'!W51/10^9</f>
        <v>0.10995600907391972</v>
      </c>
      <c r="X62" s="2">
        <f>X7*'Output-Calculation-sheet'!X51/10^9</f>
        <v>9.8628626138751743E-2</v>
      </c>
      <c r="Y62" s="2">
        <f>Y7*'Output-Calculation-sheet'!Y51/10^9</f>
        <v>6.1292173577775687E-2</v>
      </c>
      <c r="AA62" s="2">
        <f t="shared" si="4"/>
        <v>25.744485458200774</v>
      </c>
    </row>
    <row r="63" spans="1:27" x14ac:dyDescent="0.25">
      <c r="A63" s="2">
        <v>2031</v>
      </c>
      <c r="B63" s="2">
        <f>B8*'Output-Calculation-sheet'!B52/10^9</f>
        <v>8.3447588338873313</v>
      </c>
      <c r="C63" s="2">
        <f>C8*'Output-Calculation-sheet'!C52/10^9</f>
        <v>4.748603798425477</v>
      </c>
      <c r="D63" s="2">
        <f>D8*'Output-Calculation-sheet'!D52/10^9</f>
        <v>1.9538340715318219</v>
      </c>
      <c r="E63" s="2">
        <f>E8*'Output-Calculation-sheet'!E52/10^9</f>
        <v>2.235283437669954</v>
      </c>
      <c r="F63" s="2">
        <f>F8*'Output-Calculation-sheet'!F52/10^9</f>
        <v>1.0448524872720388</v>
      </c>
      <c r="G63" s="2">
        <f>G8*'Output-Calculation-sheet'!G52/10^9</f>
        <v>0.7969767735061295</v>
      </c>
      <c r="H63" s="2">
        <f>H8*'Output-Calculation-sheet'!H52/10^9</f>
        <v>1.191289144062011</v>
      </c>
      <c r="I63" s="2">
        <f>I8*'Output-Calculation-sheet'!I52/10^9</f>
        <v>0.62955868064223952</v>
      </c>
      <c r="J63" s="2">
        <f>J8*'Output-Calculation-sheet'!J52/10^9</f>
        <v>0.8899877102234488</v>
      </c>
      <c r="K63" s="2">
        <f>K8*'Output-Calculation-sheet'!K52/10^9</f>
        <v>0.58423176901026996</v>
      </c>
      <c r="L63" s="2">
        <f>L8*'Output-Calculation-sheet'!L52/10^9</f>
        <v>0.69170613187295082</v>
      </c>
      <c r="M63" s="2">
        <f>M8*'Output-Calculation-sheet'!M52/10^9</f>
        <v>0.87223177332839108</v>
      </c>
      <c r="N63" s="2">
        <f>N8*'Output-Calculation-sheet'!N52/10^9</f>
        <v>0.6954759491291157</v>
      </c>
      <c r="O63" s="2">
        <f>O8*'Output-Calculation-sheet'!O52/10^9</f>
        <v>0.82536092004308947</v>
      </c>
      <c r="P63" s="2">
        <f>P8*'Output-Calculation-sheet'!P52/10^9</f>
        <v>0.5941748040028868</v>
      </c>
      <c r="Q63" s="2">
        <f>Q8*'Output-Calculation-sheet'!Q52/10^9</f>
        <v>0.5542342547327358</v>
      </c>
      <c r="R63" s="2">
        <f>R8*'Output-Calculation-sheet'!R52/10^9</f>
        <v>0.50200607563509325</v>
      </c>
      <c r="S63" s="2">
        <f>S8*'Output-Calculation-sheet'!S52/10^9</f>
        <v>0.42593471626428225</v>
      </c>
      <c r="T63" s="2">
        <f>T8*'Output-Calculation-sheet'!T52/10^9</f>
        <v>0.20389591562865916</v>
      </c>
      <c r="U63" s="2">
        <f>U8*'Output-Calculation-sheet'!U52/10^9</f>
        <v>0.15900806446007917</v>
      </c>
      <c r="V63" s="2">
        <f>V8*'Output-Calculation-sheet'!V52/10^9</f>
        <v>0.26327117696365837</v>
      </c>
      <c r="W63" s="2">
        <f>W8*'Output-Calculation-sheet'!W52/10^9</f>
        <v>0.11048030598844201</v>
      </c>
      <c r="X63" s="2">
        <f>X8*'Output-Calculation-sheet'!X52/10^9</f>
        <v>0.11773043324638963</v>
      </c>
      <c r="Y63" s="2">
        <f>Y8*'Output-Calculation-sheet'!Y52/10^9</f>
        <v>6.3798236297634744E-2</v>
      </c>
      <c r="AA63" s="2">
        <f t="shared" si="4"/>
        <v>28.498685463824135</v>
      </c>
    </row>
    <row r="64" spans="1:27" x14ac:dyDescent="0.25">
      <c r="A64" s="2">
        <v>2032</v>
      </c>
      <c r="B64" s="2">
        <f>B9*'Output-Calculation-sheet'!B53/10^9</f>
        <v>8.5608467003770663</v>
      </c>
      <c r="C64" s="2">
        <f>C9*'Output-Calculation-sheet'!C53/10^9</f>
        <v>5.3781538130455102</v>
      </c>
      <c r="D64" s="2">
        <f>D9*'Output-Calculation-sheet'!D53/10^9</f>
        <v>1.7976518132962218</v>
      </c>
      <c r="E64" s="2">
        <f>E9*'Output-Calculation-sheet'!E53/10^9</f>
        <v>2.0989790560110686</v>
      </c>
      <c r="F64" s="2">
        <f>F9*'Output-Calculation-sheet'!F53/10^9</f>
        <v>0.96318693631163121</v>
      </c>
      <c r="G64" s="2">
        <f>G9*'Output-Calculation-sheet'!G53/10^9</f>
        <v>0.72119364203239966</v>
      </c>
      <c r="H64" s="2">
        <f>H9*'Output-Calculation-sheet'!H53/10^9</f>
        <v>1.3431413750364782</v>
      </c>
      <c r="I64" s="2">
        <f>I9*'Output-Calculation-sheet'!I53/10^9</f>
        <v>0.58483868215236079</v>
      </c>
      <c r="J64" s="2">
        <f>J9*'Output-Calculation-sheet'!J53/10^9</f>
        <v>0.78497914949760372</v>
      </c>
      <c r="K64" s="2">
        <f>K9*'Output-Calculation-sheet'!K53/10^9</f>
        <v>0.57948856077531419</v>
      </c>
      <c r="L64" s="2">
        <f>L9*'Output-Calculation-sheet'!L53/10^9</f>
        <v>0.65057494902416479</v>
      </c>
      <c r="M64" s="2">
        <f>M9*'Output-Calculation-sheet'!M53/10^9</f>
        <v>0.96859343935621467</v>
      </c>
      <c r="N64" s="2">
        <f>N9*'Output-Calculation-sheet'!N53/10^9</f>
        <v>0.7916153606448233</v>
      </c>
      <c r="O64" s="2">
        <f>O9*'Output-Calculation-sheet'!O53/10^9</f>
        <v>0.93515851296350549</v>
      </c>
      <c r="P64" s="2">
        <f>P9*'Output-Calculation-sheet'!P53/10^9</f>
        <v>0.61833212075258059</v>
      </c>
      <c r="Q64" s="2">
        <f>Q9*'Output-Calculation-sheet'!Q53/10^9</f>
        <v>0.58651773605613378</v>
      </c>
      <c r="R64" s="2">
        <f>R9*'Output-Calculation-sheet'!R53/10^9</f>
        <v>0.49896126704230059</v>
      </c>
      <c r="S64" s="2">
        <f>S9*'Output-Calculation-sheet'!S53/10^9</f>
        <v>0.4690899539438651</v>
      </c>
      <c r="T64" s="2">
        <f>T9*'Output-Calculation-sheet'!T53/10^9</f>
        <v>0.18652189683734471</v>
      </c>
      <c r="U64" s="2">
        <f>U9*'Output-Calculation-sheet'!U53/10^9</f>
        <v>0.15891561437676394</v>
      </c>
      <c r="V64" s="2">
        <f>V9*'Output-Calculation-sheet'!V53/10^9</f>
        <v>0.23161435921041715</v>
      </c>
      <c r="W64" s="2">
        <f>W9*'Output-Calculation-sheet'!W53/10^9</f>
        <v>9.8721789229450671E-2</v>
      </c>
      <c r="X64" s="2">
        <f>X9*'Output-Calculation-sheet'!X53/10^9</f>
        <v>0.127602124374605</v>
      </c>
      <c r="Y64" s="2">
        <f>Y9*'Output-Calculation-sheet'!Y53/10^9</f>
        <v>6.2792531957452019E-2</v>
      </c>
      <c r="AA64" s="2">
        <f t="shared" si="4"/>
        <v>29.197471384305278</v>
      </c>
    </row>
    <row r="65" spans="1:27" x14ac:dyDescent="0.25">
      <c r="A65" s="2">
        <v>2033</v>
      </c>
      <c r="B65" s="2">
        <f>B10*'Output-Calculation-sheet'!B54/10^9</f>
        <v>8.4987724798367967</v>
      </c>
      <c r="C65" s="2">
        <f>C10*'Output-Calculation-sheet'!C54/10^9</f>
        <v>5.5855993180398213</v>
      </c>
      <c r="D65" s="2">
        <f>D10*'Output-Calculation-sheet'!D54/10^9</f>
        <v>1.5148740370633227</v>
      </c>
      <c r="E65" s="2">
        <f>E10*'Output-Calculation-sheet'!E54/10^9</f>
        <v>1.9292221478683942</v>
      </c>
      <c r="F65" s="2">
        <f>F10*'Output-Calculation-sheet'!F54/10^9</f>
        <v>0.82900340328612665</v>
      </c>
      <c r="G65" s="2">
        <f>G10*'Output-Calculation-sheet'!G54/10^9</f>
        <v>0.59020950335737288</v>
      </c>
      <c r="H65" s="2">
        <f>H10*'Output-Calculation-sheet'!H54/10^9</f>
        <v>1.3868294266429937</v>
      </c>
      <c r="I65" s="2">
        <f>I10*'Output-Calculation-sheet'!I54/10^9</f>
        <v>0.51749040428912518</v>
      </c>
      <c r="J65" s="2">
        <f>J10*'Output-Calculation-sheet'!J54/10^9</f>
        <v>0.61227330944666569</v>
      </c>
      <c r="K65" s="2">
        <f>K10*'Output-Calculation-sheet'!K54/10^9</f>
        <v>0.57293254638027291</v>
      </c>
      <c r="L65" s="2">
        <f>L10*'Output-Calculation-sheet'!L54/10^9</f>
        <v>0.59088338260685103</v>
      </c>
      <c r="M65" s="2">
        <f>M10*'Output-Calculation-sheet'!M54/10^9</f>
        <v>0.98612233613585853</v>
      </c>
      <c r="N65" s="2">
        <f>N10*'Output-Calculation-sheet'!N54/10^9</f>
        <v>0.8402777908899538</v>
      </c>
      <c r="O65" s="2">
        <f>O10*'Output-Calculation-sheet'!O54/10^9</f>
        <v>0.97771461226307332</v>
      </c>
      <c r="P65" s="2">
        <f>P10*'Output-Calculation-sheet'!P54/10^9</f>
        <v>0.6198498885428857</v>
      </c>
      <c r="Q65" s="2">
        <f>Q10*'Output-Calculation-sheet'!Q54/10^9</f>
        <v>0.61166486168607315</v>
      </c>
      <c r="R65" s="2">
        <f>R10*'Output-Calculation-sheet'!R54/10^9</f>
        <v>0.48490221697382141</v>
      </c>
      <c r="S65" s="2">
        <f>S10*'Output-Calculation-sheet'!S54/10^9</f>
        <v>0.48667467356155153</v>
      </c>
      <c r="T65" s="2">
        <f>T10*'Output-Calculation-sheet'!T54/10^9</f>
        <v>0.16420628713057783</v>
      </c>
      <c r="U65" s="2">
        <f>U10*'Output-Calculation-sheet'!U54/10^9</f>
        <v>0.15770930077611309</v>
      </c>
      <c r="V65" s="2">
        <f>V10*'Output-Calculation-sheet'!V54/10^9</f>
        <v>0.1858180627589987</v>
      </c>
      <c r="W65" s="2">
        <f>W10*'Output-Calculation-sheet'!W54/10^9</f>
        <v>7.9414984848012571E-2</v>
      </c>
      <c r="X65" s="2">
        <f>X10*'Output-Calculation-sheet'!X54/10^9</f>
        <v>0.12765673633248717</v>
      </c>
      <c r="Y65" s="2">
        <f>Y10*'Output-Calculation-sheet'!Y54/10^9</f>
        <v>6.1605731584324322E-2</v>
      </c>
      <c r="AA65" s="2">
        <f t="shared" si="4"/>
        <v>28.411707442301463</v>
      </c>
    </row>
    <row r="66" spans="1:27" x14ac:dyDescent="0.25">
      <c r="A66" s="2">
        <v>2034</v>
      </c>
      <c r="B66" s="2">
        <f>B11*'Output-Calculation-sheet'!B55/10^9</f>
        <v>8.1528093870661849</v>
      </c>
      <c r="C66" s="2">
        <f>C11*'Output-Calculation-sheet'!C55/10^9</f>
        <v>5.418352860795447</v>
      </c>
      <c r="D66" s="2">
        <f>D11*'Output-Calculation-sheet'!D55/10^9</f>
        <v>1.4749785542098379</v>
      </c>
      <c r="E66" s="2">
        <f>E11*'Output-Calculation-sheet'!E55/10^9</f>
        <v>1.9103328320681434</v>
      </c>
      <c r="F66" s="2">
        <f>F11*'Output-Calculation-sheet'!F55/10^9</f>
        <v>0.75180889060706246</v>
      </c>
      <c r="G66" s="2">
        <f>G11*'Output-Calculation-sheet'!G55/10^9</f>
        <v>0.54847491071250787</v>
      </c>
      <c r="H66" s="2">
        <f>H11*'Output-Calculation-sheet'!H55/10^9</f>
        <v>1.3687652515601314</v>
      </c>
      <c r="I66" s="2">
        <f>I11*'Output-Calculation-sheet'!I55/10^9</f>
        <v>0.50987065445264679</v>
      </c>
      <c r="J66" s="2">
        <f>J11*'Output-Calculation-sheet'!J55/10^9</f>
        <v>0.51336744299586234</v>
      </c>
      <c r="K66" s="2">
        <f>K11*'Output-Calculation-sheet'!K55/10^9</f>
        <v>0.58451497617011805</v>
      </c>
      <c r="L66" s="2">
        <f>L11*'Output-Calculation-sheet'!L55/10^9</f>
        <v>0.56667992416228818</v>
      </c>
      <c r="M66" s="2">
        <f>M11*'Output-Calculation-sheet'!M55/10^9</f>
        <v>0.96198453073302126</v>
      </c>
      <c r="N66" s="2">
        <f>N11*'Output-Calculation-sheet'!N55/10^9</f>
        <v>0.83627162859657322</v>
      </c>
      <c r="O66" s="2">
        <f>O11*'Output-Calculation-sheet'!O55/10^9</f>
        <v>0.95346302138879535</v>
      </c>
      <c r="P66" s="2">
        <f>P11*'Output-Calculation-sheet'!P55/10^9</f>
        <v>0.61139847214727183</v>
      </c>
      <c r="Q66" s="2">
        <f>Q11*'Output-Calculation-sheet'!Q55/10^9</f>
        <v>0.62888703162885629</v>
      </c>
      <c r="R66" s="2">
        <f>R11*'Output-Calculation-sheet'!R55/10^9</f>
        <v>0.4653018241969169</v>
      </c>
      <c r="S66" s="2">
        <f>S11*'Output-Calculation-sheet'!S55/10^9</f>
        <v>0.4830119491742223</v>
      </c>
      <c r="T66" s="2">
        <f>T11*'Output-Calculation-sheet'!T55/10^9</f>
        <v>0.14578836895990965</v>
      </c>
      <c r="U66" s="2">
        <f>U11*'Output-Calculation-sheet'!U55/10^9</f>
        <v>0.15867138919871565</v>
      </c>
      <c r="V66" s="2">
        <f>V11*'Output-Calculation-sheet'!V55/10^9</f>
        <v>0.13778348059477497</v>
      </c>
      <c r="W66" s="2">
        <f>W11*'Output-Calculation-sheet'!W55/10^9</f>
        <v>6.7500659088811352E-2</v>
      </c>
      <c r="X66" s="2">
        <f>X11*'Output-Calculation-sheet'!X55/10^9</f>
        <v>0.12613729547887276</v>
      </c>
      <c r="Y66" s="2">
        <f>Y11*'Output-Calculation-sheet'!Y55/10^9</f>
        <v>6.4766483325050847E-2</v>
      </c>
      <c r="AA66" s="2">
        <f t="shared" si="4"/>
        <v>27.440921819312024</v>
      </c>
    </row>
    <row r="67" spans="1:27" x14ac:dyDescent="0.25">
      <c r="A67" s="2">
        <v>2035</v>
      </c>
      <c r="B67" s="2">
        <f>B12*'Output-Calculation-sheet'!B56/10^9</f>
        <v>7.8129716959406226</v>
      </c>
      <c r="C67" s="2">
        <f>C12*'Output-Calculation-sheet'!C56/10^9</f>
        <v>4.9372152836563217</v>
      </c>
      <c r="D67" s="2">
        <f>D12*'Output-Calculation-sheet'!D56/10^9</f>
        <v>1.5497000154977225</v>
      </c>
      <c r="E67" s="2">
        <f>E12*'Output-Calculation-sheet'!E56/10^9</f>
        <v>2.1193011575749168</v>
      </c>
      <c r="F67" s="2">
        <f>F12*'Output-Calculation-sheet'!F56/10^9</f>
        <v>0.83062519372179866</v>
      </c>
      <c r="G67" s="2">
        <f>G12*'Output-Calculation-sheet'!G56/10^9</f>
        <v>0.61285910234222563</v>
      </c>
      <c r="H67" s="2">
        <f>H12*'Output-Calculation-sheet'!H56/10^9</f>
        <v>1.3031870773623855</v>
      </c>
      <c r="I67" s="2">
        <f>I12*'Output-Calculation-sheet'!I56/10^9</f>
        <v>0.56152991897511184</v>
      </c>
      <c r="J67" s="2">
        <f>J12*'Output-Calculation-sheet'!J56/10^9</f>
        <v>0.51370434401237175</v>
      </c>
      <c r="K67" s="2">
        <f>K12*'Output-Calculation-sheet'!K56/10^9</f>
        <v>0.61548212302373095</v>
      </c>
      <c r="L67" s="2">
        <f>L12*'Output-Calculation-sheet'!L56/10^9</f>
        <v>0.57381393111087664</v>
      </c>
      <c r="M67" s="2">
        <f>M12*'Output-Calculation-sheet'!M56/10^9</f>
        <v>0.92206865390945514</v>
      </c>
      <c r="N67" s="2">
        <f>N12*'Output-Calculation-sheet'!N56/10^9</f>
        <v>0.78753211081068297</v>
      </c>
      <c r="O67" s="2">
        <f>O12*'Output-Calculation-sheet'!O56/10^9</f>
        <v>0.87104327914410584</v>
      </c>
      <c r="P67" s="2">
        <f>P12*'Output-Calculation-sheet'!P56/10^9</f>
        <v>0.63910031404049672</v>
      </c>
      <c r="Q67" s="2">
        <f>Q12*'Output-Calculation-sheet'!Q56/10^9</f>
        <v>0.60372626865106238</v>
      </c>
      <c r="R67" s="2">
        <f>R12*'Output-Calculation-sheet'!R56/10^9</f>
        <v>0.47407014851686863</v>
      </c>
      <c r="S67" s="2">
        <f>S12*'Output-Calculation-sheet'!S56/10^9</f>
        <v>0.45763888603590619</v>
      </c>
      <c r="T67" s="2">
        <f>T12*'Output-Calculation-sheet'!T56/10^9</f>
        <v>0.14741668451386455</v>
      </c>
      <c r="U67" s="2">
        <f>U12*'Output-Calculation-sheet'!U56/10^9</f>
        <v>0.15937851242329201</v>
      </c>
      <c r="V67" s="2">
        <f>V12*'Output-Calculation-sheet'!V56/10^9</f>
        <v>0.11377675562635778</v>
      </c>
      <c r="W67" s="2">
        <f>W12*'Output-Calculation-sheet'!W56/10^9</f>
        <v>7.7153564383930298E-2</v>
      </c>
      <c r="X67" s="2">
        <f>X12*'Output-Calculation-sheet'!X56/10^9</f>
        <v>0.11977026000586477</v>
      </c>
      <c r="Y67" s="2">
        <f>Y12*'Output-Calculation-sheet'!Y56/10^9</f>
        <v>7.1992111386547084E-2</v>
      </c>
      <c r="AA67" s="2">
        <f t="shared" si="4"/>
        <v>26.875057392666516</v>
      </c>
    </row>
    <row r="68" spans="1:27" x14ac:dyDescent="0.25">
      <c r="B68" s="2">
        <f>SUM(B60:B67)</f>
        <v>60.618022298738808</v>
      </c>
      <c r="C68" s="2">
        <f t="shared" ref="C68:Y68" si="5">SUM(C60:C67)</f>
        <v>34.711621007846773</v>
      </c>
      <c r="D68" s="2">
        <f t="shared" si="5"/>
        <v>13.214214139521925</v>
      </c>
      <c r="E68" s="2">
        <f t="shared" si="5"/>
        <v>15.979734821746003</v>
      </c>
      <c r="F68" s="2">
        <f t="shared" si="5"/>
        <v>7.0458251110669856</v>
      </c>
      <c r="G68" s="2">
        <f t="shared" si="5"/>
        <v>5.3196587904321682</v>
      </c>
      <c r="H68" s="2">
        <f t="shared" si="5"/>
        <v>8.814178344766324</v>
      </c>
      <c r="I68" s="2">
        <f t="shared" si="5"/>
        <v>4.3702366376110833</v>
      </c>
      <c r="J68" s="2">
        <f t="shared" si="5"/>
        <v>5.6739830991172004</v>
      </c>
      <c r="K68" s="2">
        <f t="shared" si="5"/>
        <v>4.3188444453903729</v>
      </c>
      <c r="L68" s="2">
        <f t="shared" si="5"/>
        <v>4.8214525923274802</v>
      </c>
      <c r="M68" s="2">
        <f t="shared" si="5"/>
        <v>6.3856251813169127</v>
      </c>
      <c r="N68" s="2">
        <f t="shared" si="5"/>
        <v>5.3468809673871176</v>
      </c>
      <c r="O68" s="2">
        <f t="shared" si="5"/>
        <v>6.0588785374090008</v>
      </c>
      <c r="P68" s="2">
        <f t="shared" si="5"/>
        <v>4.4505635596551034</v>
      </c>
      <c r="Q68" s="2">
        <f t="shared" si="5"/>
        <v>4.203045272239831</v>
      </c>
      <c r="R68" s="2">
        <f t="shared" si="5"/>
        <v>3.6464946438502781</v>
      </c>
      <c r="S68" s="2">
        <f t="shared" si="5"/>
        <v>3.2285384990606891</v>
      </c>
      <c r="T68" s="2">
        <f t="shared" si="5"/>
        <v>1.3706193441522281</v>
      </c>
      <c r="U68" s="2">
        <f t="shared" si="5"/>
        <v>1.1851965163625224</v>
      </c>
      <c r="V68" s="2">
        <f t="shared" si="5"/>
        <v>1.6454102811661808</v>
      </c>
      <c r="W68" s="2">
        <f t="shared" si="5"/>
        <v>0.72177741080703373</v>
      </c>
      <c r="X68" s="2">
        <f t="shared" si="5"/>
        <v>0.85315498571070736</v>
      </c>
      <c r="Y68" s="2">
        <f t="shared" si="5"/>
        <v>0.48214537446098582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2253.3633691702662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533.75325943968392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364.99291105332077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48.654872754809873</v>
      </c>
      <c r="Y73" s="2">
        <f>Y7/'Output-Calculation-sheet'!Y6*'Output-Calculation-sheet'!Y60</f>
        <v>0</v>
      </c>
      <c r="AA73" s="2">
        <f t="shared" si="6"/>
        <v>3.2007644124180805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5145.1405454883843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1721.4047201776543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1149.5024985456064</v>
      </c>
      <c r="N74" s="2">
        <f>N8/'Output-Calculation-sheet'!N7*'Output-Calculation-sheet'!N61</f>
        <v>48.048167177515673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142.45575743625</v>
      </c>
      <c r="Y74" s="2">
        <f>Y8/'Output-Calculation-sheet'!Y7*'Output-Calculation-sheet'!Y61</f>
        <v>0</v>
      </c>
      <c r="AA74" s="2">
        <f t="shared" si="6"/>
        <v>8.206551688825412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10026.340820585563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2887.413140876733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1960.2154673893858</v>
      </c>
      <c r="N75" s="2">
        <f>N9/'Output-Calculation-sheet'!N8*'Output-Calculation-sheet'!N62</f>
        <v>757.17928803524171</v>
      </c>
      <c r="O75" s="2">
        <f>O9/'Output-Calculation-sheet'!O8*'Output-Calculation-sheet'!O62</f>
        <v>0</v>
      </c>
      <c r="P75" s="2">
        <f>P9/'Output-Calculation-sheet'!P8*'Output-Calculation-sheet'!P62</f>
        <v>50.691959781300071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253.7125308207568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236.66737540789816</v>
      </c>
      <c r="Y75" s="2">
        <f>Y9/'Output-Calculation-sheet'!Y8*'Output-Calculation-sheet'!Y62</f>
        <v>0</v>
      </c>
      <c r="AA75" s="2">
        <f t="shared" si="6"/>
        <v>16.172220582896877</v>
      </c>
    </row>
    <row r="76" spans="1:27" x14ac:dyDescent="0.25">
      <c r="A76" s="2">
        <v>2033</v>
      </c>
      <c r="B76" s="2">
        <f>B10/'Output-Calculation-sheet'!B9*'Output-Calculation-sheet'!B63</f>
        <v>6040.6901379186884</v>
      </c>
      <c r="C76" s="2">
        <f>C10/'Output-Calculation-sheet'!C9*'Output-Calculation-sheet'!C63</f>
        <v>12337.850578281621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3933.748791983126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103.10358578379363</v>
      </c>
      <c r="L76" s="2">
        <f>L10/'Output-Calculation-sheet'!L9*'Output-Calculation-sheet'!L63</f>
        <v>0</v>
      </c>
      <c r="M76" s="2">
        <f>M10/'Output-Calculation-sheet'!M9*'Output-Calculation-sheet'!M63</f>
        <v>2678.4839432993299</v>
      </c>
      <c r="N76" s="2">
        <f>N10/'Output-Calculation-sheet'!N9*'Output-Calculation-sheet'!N63</f>
        <v>1530.0686254971608</v>
      </c>
      <c r="O76" s="2">
        <f>O10/'Output-Calculation-sheet'!O9*'Output-Calculation-sheet'!O63</f>
        <v>0</v>
      </c>
      <c r="P76" s="2">
        <f>P10/'Output-Calculation-sheet'!P9*'Output-Calculation-sheet'!P63</f>
        <v>531.31789568460738</v>
      </c>
      <c r="Q76" s="2">
        <f>Q10/'Output-Calculation-sheet'!Q9*'Output-Calculation-sheet'!Q63</f>
        <v>239.6457230765657</v>
      </c>
      <c r="R76" s="2">
        <f>R10/'Output-Calculation-sheet'!R9*'Output-Calculation-sheet'!R63</f>
        <v>404.94918326671063</v>
      </c>
      <c r="S76" s="2">
        <f>S10/'Output-Calculation-sheet'!S9*'Output-Calculation-sheet'!S63</f>
        <v>680.38580610278507</v>
      </c>
      <c r="T76" s="2">
        <f>T10/'Output-Calculation-sheet'!T9*'Output-Calculation-sheet'!T63</f>
        <v>27.542184849748548</v>
      </c>
      <c r="U76" s="2">
        <f>U10/'Output-Calculation-sheet'!U9*'Output-Calculation-sheet'!U63</f>
        <v>143.09506732496456</v>
      </c>
      <c r="V76" s="2">
        <f>V10/'Output-Calculation-sheet'!V9*'Output-Calculation-sheet'!V63</f>
        <v>10.980473865008475</v>
      </c>
      <c r="W76" s="2">
        <f>W10/'Output-Calculation-sheet'!W9*'Output-Calculation-sheet'!W63</f>
        <v>0</v>
      </c>
      <c r="X76" s="2">
        <f>X10/'Output-Calculation-sheet'!X9*'Output-Calculation-sheet'!X63</f>
        <v>315.41051683025916</v>
      </c>
      <c r="Y76" s="2">
        <f>Y10/'Output-Calculation-sheet'!Y9*'Output-Calculation-sheet'!Y63</f>
        <v>5.9837419017584192</v>
      </c>
      <c r="AA76" s="2">
        <f t="shared" si="6"/>
        <v>28.983256255666127</v>
      </c>
    </row>
    <row r="77" spans="1:27" x14ac:dyDescent="0.25">
      <c r="A77" s="2">
        <v>2034</v>
      </c>
      <c r="B77" s="2">
        <f>B11/'Output-Calculation-sheet'!B10*'Output-Calculation-sheet'!B64</f>
        <v>13584.981328194066</v>
      </c>
      <c r="C77" s="2">
        <f>C11/'Output-Calculation-sheet'!C10*'Output-Calculation-sheet'!C64</f>
        <v>11933.864283247032</v>
      </c>
      <c r="D77" s="2">
        <f>D11/'Output-Calculation-sheet'!D10*'Output-Calculation-sheet'!D64</f>
        <v>1674.4139112454359</v>
      </c>
      <c r="E77" s="2">
        <f>E11/'Output-Calculation-sheet'!E10*'Output-Calculation-sheet'!E64</f>
        <v>2068.9938845819215</v>
      </c>
      <c r="F77" s="2">
        <f>F11/'Output-Calculation-sheet'!F10*'Output-Calculation-sheet'!F64</f>
        <v>128.82491336813519</v>
      </c>
      <c r="G77" s="2">
        <f>G11/'Output-Calculation-sheet'!G10*'Output-Calculation-sheet'!G64</f>
        <v>884.09505649650987</v>
      </c>
      <c r="H77" s="2">
        <f>H11/'Output-Calculation-sheet'!H10*'Output-Calculation-sheet'!H64</f>
        <v>4380.2301627325942</v>
      </c>
      <c r="I77" s="2">
        <f>I11/'Output-Calculation-sheet'!I10*'Output-Calculation-sheet'!I64</f>
        <v>521.56399330065301</v>
      </c>
      <c r="J77" s="2">
        <f>J11/'Output-Calculation-sheet'!J10*'Output-Calculation-sheet'!J64</f>
        <v>371.79497690351002</v>
      </c>
      <c r="K77" s="2">
        <f>K11/'Output-Calculation-sheet'!K10*'Output-Calculation-sheet'!K64</f>
        <v>788.28804033033725</v>
      </c>
      <c r="L77" s="2">
        <f>L11/'Output-Calculation-sheet'!L10*'Output-Calculation-sheet'!L64</f>
        <v>342.27170033025999</v>
      </c>
      <c r="M77" s="2">
        <f>M11/'Output-Calculation-sheet'!M10*'Output-Calculation-sheet'!M64</f>
        <v>3115.4424655504367</v>
      </c>
      <c r="N77" s="2">
        <f>N11/'Output-Calculation-sheet'!N10*'Output-Calculation-sheet'!N64</f>
        <v>2216.5608010798887</v>
      </c>
      <c r="O77" s="2">
        <f>O11/'Output-Calculation-sheet'!O10*'Output-Calculation-sheet'!O64</f>
        <v>77.281629204283419</v>
      </c>
      <c r="P77" s="2">
        <f>P11/'Output-Calculation-sheet'!P10*'Output-Calculation-sheet'!P64</f>
        <v>978.30776727512455</v>
      </c>
      <c r="Q77" s="2">
        <f>Q11/'Output-Calculation-sheet'!Q10*'Output-Calculation-sheet'!Q64</f>
        <v>558.24308382238337</v>
      </c>
      <c r="R77" s="2">
        <f>R11/'Output-Calculation-sheet'!R10*'Output-Calculation-sheet'!R64</f>
        <v>837.17585529695054</v>
      </c>
      <c r="S77" s="2">
        <f>S11/'Output-Calculation-sheet'!S10*'Output-Calculation-sheet'!S64</f>
        <v>1119.3510704930707</v>
      </c>
      <c r="T77" s="2">
        <f>T11/'Output-Calculation-sheet'!T10*'Output-Calculation-sheet'!T64</f>
        <v>230.31982191467236</v>
      </c>
      <c r="U77" s="2">
        <f>U11/'Output-Calculation-sheet'!U10*'Output-Calculation-sheet'!U64</f>
        <v>306.12193110623139</v>
      </c>
      <c r="V77" s="2">
        <f>V11/'Output-Calculation-sheet'!V10*'Output-Calculation-sheet'!V64</f>
        <v>122.02949483981132</v>
      </c>
      <c r="W77" s="2">
        <f>W11/'Output-Calculation-sheet'!W10*'Output-Calculation-sheet'!W64</f>
        <v>25.783065145403118</v>
      </c>
      <c r="X77" s="2">
        <f>X11/'Output-Calculation-sheet'!X10*'Output-Calculation-sheet'!X64</f>
        <v>316.56202564356454</v>
      </c>
      <c r="Y77" s="2">
        <f>Y11/'Output-Calculation-sheet'!Y10*'Output-Calculation-sheet'!Y64</f>
        <v>76.648061019313303</v>
      </c>
      <c r="AA77" s="2">
        <f t="shared" si="6"/>
        <v>46.659149323121589</v>
      </c>
    </row>
    <row r="78" spans="1:27" x14ac:dyDescent="0.25">
      <c r="A78" s="2">
        <v>2035</v>
      </c>
      <c r="B78" s="2">
        <f>B12/'Output-Calculation-sheet'!B11*'Output-Calculation-sheet'!B65</f>
        <v>15120.272384419444</v>
      </c>
      <c r="C78" s="2">
        <f>C12/'Output-Calculation-sheet'!C11*'Output-Calculation-sheet'!C65</f>
        <v>10677.615655961499</v>
      </c>
      <c r="D78" s="2">
        <f>D12/'Output-Calculation-sheet'!D11*'Output-Calculation-sheet'!D65</f>
        <v>1605.2588562366261</v>
      </c>
      <c r="E78" s="2">
        <f>E12/'Output-Calculation-sheet'!E11*'Output-Calculation-sheet'!E65</f>
        <v>3051.5544109151042</v>
      </c>
      <c r="F78" s="2">
        <f>F12/'Output-Calculation-sheet'!F11*'Output-Calculation-sheet'!F65</f>
        <v>646.3741017409767</v>
      </c>
      <c r="G78" s="2">
        <f>G12/'Output-Calculation-sheet'!G11*'Output-Calculation-sheet'!G65</f>
        <v>1212.8441142891227</v>
      </c>
      <c r="H78" s="2">
        <f>H12/'Output-Calculation-sheet'!H11*'Output-Calculation-sheet'!H65</f>
        <v>3904.8796549044287</v>
      </c>
      <c r="I78" s="2">
        <f>I12/'Output-Calculation-sheet'!I11*'Output-Calculation-sheet'!I65</f>
        <v>713.19070590369472</v>
      </c>
      <c r="J78" s="2">
        <f>J12/'Output-Calculation-sheet'!J11*'Output-Calculation-sheet'!J65</f>
        <v>639.61201080514491</v>
      </c>
      <c r="K78" s="2">
        <f>K12/'Output-Calculation-sheet'!K11*'Output-Calculation-sheet'!K65</f>
        <v>807.1593840668296</v>
      </c>
      <c r="L78" s="2">
        <f>L12/'Output-Calculation-sheet'!L11*'Output-Calculation-sheet'!L65</f>
        <v>479.92642295333059</v>
      </c>
      <c r="M78" s="2">
        <f>M12/'Output-Calculation-sheet'!M11*'Output-Calculation-sheet'!M65</f>
        <v>2779.6102342863915</v>
      </c>
      <c r="N78" s="2">
        <f>N12/'Output-Calculation-sheet'!N11*'Output-Calculation-sheet'!N65</f>
        <v>1954.5148710593198</v>
      </c>
      <c r="O78" s="2">
        <f>O12/'Output-Calculation-sheet'!O11*'Output-Calculation-sheet'!O65</f>
        <v>273.99772567883855</v>
      </c>
      <c r="P78" s="2">
        <f>P12/'Output-Calculation-sheet'!P11*'Output-Calculation-sheet'!P65</f>
        <v>1111.12106487657</v>
      </c>
      <c r="Q78" s="2">
        <f>Q12/'Output-Calculation-sheet'!Q11*'Output-Calculation-sheet'!Q65</f>
        <v>558.88287217921595</v>
      </c>
      <c r="R78" s="2">
        <f>R12/'Output-Calculation-sheet'!R11*'Output-Calculation-sheet'!R65</f>
        <v>921.20807562064658</v>
      </c>
      <c r="S78" s="2">
        <f>S12/'Output-Calculation-sheet'!S11*'Output-Calculation-sheet'!S65</f>
        <v>1039.2648875980085</v>
      </c>
      <c r="T78" s="2">
        <f>T12/'Output-Calculation-sheet'!T11*'Output-Calculation-sheet'!T65</f>
        <v>331.24498520443746</v>
      </c>
      <c r="U78" s="2">
        <f>U12/'Output-Calculation-sheet'!U11*'Output-Calculation-sheet'!U65</f>
        <v>283.81563093619235</v>
      </c>
      <c r="V78" s="2">
        <f>V12/'Output-Calculation-sheet'!V11*'Output-Calculation-sheet'!V65</f>
        <v>178.76598722284439</v>
      </c>
      <c r="W78" s="2">
        <f>W12/'Output-Calculation-sheet'!W11*'Output-Calculation-sheet'!W65</f>
        <v>125.91058780325722</v>
      </c>
      <c r="X78" s="2">
        <f>X12/'Output-Calculation-sheet'!X11*'Output-Calculation-sheet'!X65</f>
        <v>286.48712384753406</v>
      </c>
      <c r="Y78" s="2">
        <f>Y12/'Output-Calculation-sheet'!Y11*'Output-Calculation-sheet'!Y65</f>
        <v>122.90122515103215</v>
      </c>
      <c r="AA78" s="2">
        <f t="shared" si="6"/>
        <v>48.826412973660503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89.761128472365613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104.62903490012997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0.19439016337249557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314.86723586277901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224.29085536823948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0.53915809123101854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224.51136559861087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348.93214774923104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0.57344351334784183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445.2972381810236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432.54636934254512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0.87784360752356871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827.45485977496992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31.839547020706203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21.90872402831511</v>
      </c>
      <c r="N88" s="2">
        <f>N11/'Output-Calculation-sheet'!N10*'Output-Calculation-sheet'!N73</f>
        <v>0</v>
      </c>
      <c r="O88" s="2">
        <f>O11/'Output-Calculation-sheet'!O10*'Output-Calculation-sheet'!O73</f>
        <v>462.16262914678072</v>
      </c>
      <c r="P88" s="2">
        <f>P11/'Output-Calculation-sheet'!P10*'Output-Calculation-sheet'!P73</f>
        <v>0</v>
      </c>
      <c r="Q88" s="2">
        <f>Q11/'Output-Calculation-sheet'!Q10*'Output-Calculation-sheet'!Q73</f>
        <v>18.865937270104205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2.4034410353161788</v>
      </c>
      <c r="Y88" s="2">
        <f>Y11/'Output-Calculation-sheet'!Y10*'Output-Calculation-sheet'!Y73</f>
        <v>0</v>
      </c>
      <c r="AA88" s="2">
        <f t="shared" si="7"/>
        <v>1.3646351382761925</v>
      </c>
    </row>
    <row r="89" spans="1:27" x14ac:dyDescent="0.25">
      <c r="A89" s="2">
        <v>2035</v>
      </c>
      <c r="B89" s="2">
        <f>B12/'Output-Calculation-sheet'!B11*'Output-Calculation-sheet'!B74</f>
        <v>381.14170009375727</v>
      </c>
      <c r="C89" s="2">
        <f>C12/'Output-Calculation-sheet'!C11*'Output-Calculation-sheet'!C74</f>
        <v>1175.8392857959652</v>
      </c>
      <c r="D89" s="2">
        <f>D12/'Output-Calculation-sheet'!D11*'Output-Calculation-sheet'!D74</f>
        <v>160.24545607553043</v>
      </c>
      <c r="E89" s="2">
        <f>E12/'Output-Calculation-sheet'!E11*'Output-Calculation-sheet'!E74</f>
        <v>127.35239492164949</v>
      </c>
      <c r="F89" s="2">
        <f>F12/'Output-Calculation-sheet'!F11*'Output-Calculation-sheet'!F74</f>
        <v>40.04796169398864</v>
      </c>
      <c r="G89" s="2">
        <f>G12/'Output-Calculation-sheet'!G11*'Output-Calculation-sheet'!G74</f>
        <v>57.483488046311322</v>
      </c>
      <c r="H89" s="2">
        <f>H12/'Output-Calculation-sheet'!H11*'Output-Calculation-sheet'!H74</f>
        <v>139.21536638850407</v>
      </c>
      <c r="I89" s="2">
        <f>I12/'Output-Calculation-sheet'!I11*'Output-Calculation-sheet'!I74</f>
        <v>51.702965485261323</v>
      </c>
      <c r="J89" s="2">
        <f>J12/'Output-Calculation-sheet'!J11*'Output-Calculation-sheet'!J74</f>
        <v>25.584480432205797</v>
      </c>
      <c r="K89" s="2">
        <f>K12/'Output-Calculation-sheet'!K11*'Output-Calculation-sheet'!K74</f>
        <v>50.815876609596422</v>
      </c>
      <c r="L89" s="2">
        <f>L12/'Output-Calculation-sheet'!L11*'Output-Calculation-sheet'!L74</f>
        <v>40.406350069739474</v>
      </c>
      <c r="M89" s="2">
        <f>M12/'Output-Calculation-sheet'!M11*'Output-Calculation-sheet'!M74</f>
        <v>76.6350360631195</v>
      </c>
      <c r="N89" s="2">
        <f>N12/'Output-Calculation-sheet'!N11*'Output-Calculation-sheet'!N74</f>
        <v>56.489957544249016</v>
      </c>
      <c r="O89" s="2">
        <f>O12/'Output-Calculation-sheet'!O11*'Output-Calculation-sheet'!O74</f>
        <v>456.86788094977248</v>
      </c>
      <c r="P89" s="2">
        <f>P12/'Output-Calculation-sheet'!P11*'Output-Calculation-sheet'!P74</f>
        <v>34.791028113992233</v>
      </c>
      <c r="Q89" s="2">
        <f>Q12/'Output-Calculation-sheet'!Q11*'Output-Calculation-sheet'!Q74</f>
        <v>49.493701043146999</v>
      </c>
      <c r="R89" s="2">
        <f>R12/'Output-Calculation-sheet'!R11*'Output-Calculation-sheet'!R74</f>
        <v>32.721488850944716</v>
      </c>
      <c r="S89" s="2">
        <f>S12/'Output-Calculation-sheet'!S11*'Output-Calculation-sheet'!S74</f>
        <v>32.381905888889158</v>
      </c>
      <c r="T89" s="2">
        <f>T12/'Output-Calculation-sheet'!T11*'Output-Calculation-sheet'!T74</f>
        <v>6.0529005976142063</v>
      </c>
      <c r="U89" s="2">
        <f>U12/'Output-Calculation-sheet'!U11*'Output-Calculation-sheet'!U74</f>
        <v>10.52767650640574</v>
      </c>
      <c r="V89" s="2">
        <f>V12/'Output-Calculation-sheet'!V11*'Output-Calculation-sheet'!V74</f>
        <v>4.0588966969290103</v>
      </c>
      <c r="W89" s="2">
        <f>W12/'Output-Calculation-sheet'!W11*'Output-Calculation-sheet'!W74</f>
        <v>3.514699302234737</v>
      </c>
      <c r="X89" s="2">
        <f>X12/'Output-Calculation-sheet'!X11*'Output-Calculation-sheet'!X74</f>
        <v>12.61057856534616</v>
      </c>
      <c r="Y89" s="2">
        <f>Y12/'Output-Calculation-sheet'!Y11*'Output-Calculation-sheet'!Y74</f>
        <v>4.0564807377186947</v>
      </c>
      <c r="AA89" s="2">
        <f t="shared" si="7"/>
        <v>3.0300375564728723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1746307870.1857948</v>
      </c>
      <c r="C93" s="2">
        <f>C5/'Output-Calculation-sheet'!C4*'Output-Calculation-sheet'!C76</f>
        <v>578541946.62522089</v>
      </c>
      <c r="D93" s="2">
        <f>D5/'Output-Calculation-sheet'!D4*'Output-Calculation-sheet'!D76</f>
        <v>640394265.03362298</v>
      </c>
      <c r="E93" s="2">
        <f>E5/'Output-Calculation-sheet'!E4*'Output-Calculation-sheet'!E76</f>
        <v>1071576614.988668</v>
      </c>
      <c r="F93" s="2">
        <f>F5/'Output-Calculation-sheet'!F4*'Output-Calculation-sheet'!F76</f>
        <v>460433011.2688815</v>
      </c>
      <c r="G93" s="2">
        <f>G5/'Output-Calculation-sheet'!G4*'Output-Calculation-sheet'!G76</f>
        <v>358103295.88826829</v>
      </c>
      <c r="H93" s="2">
        <f>H5/'Output-Calculation-sheet'!H4*'Output-Calculation-sheet'!H76</f>
        <v>302914723.3836695</v>
      </c>
      <c r="I93" s="2">
        <f>I5/'Output-Calculation-sheet'!I4*'Output-Calculation-sheet'!I76</f>
        <v>248563717.39396125</v>
      </c>
      <c r="J93" s="2">
        <f>J5/'Output-Calculation-sheet'!J4*'Output-Calculation-sheet'!J76</f>
        <v>168672512.46713123</v>
      </c>
      <c r="K93" s="2">
        <f>K5/'Output-Calculation-sheet'!K4*'Output-Calculation-sheet'!K76</f>
        <v>246524827.21847776</v>
      </c>
      <c r="L93" s="2">
        <f>L5/'Output-Calculation-sheet'!L4*'Output-Calculation-sheet'!L76</f>
        <v>164557116.30105281</v>
      </c>
      <c r="M93" s="2">
        <f>M5/'Output-Calculation-sheet'!M4*'Output-Calculation-sheet'!M76</f>
        <v>221299499.61088344</v>
      </c>
      <c r="N93" s="2">
        <f>N5/'Output-Calculation-sheet'!N4*'Output-Calculation-sheet'!N76</f>
        <v>167107072.17643422</v>
      </c>
      <c r="O93" s="2">
        <f>O5/'Output-Calculation-sheet'!O4*'Output-Calculation-sheet'!O76</f>
        <v>81562910.696286768</v>
      </c>
      <c r="P93" s="2">
        <f>P5/'Output-Calculation-sheet'!P4*'Output-Calculation-sheet'!P76</f>
        <v>289538873.16679019</v>
      </c>
      <c r="Q93" s="2">
        <f>Q5/'Output-Calculation-sheet'!Q4*'Output-Calculation-sheet'!Q76</f>
        <v>132926224.10079931</v>
      </c>
      <c r="R93" s="2">
        <f>R5/'Output-Calculation-sheet'!R4*'Output-Calculation-sheet'!R76</f>
        <v>166327153.39424601</v>
      </c>
      <c r="S93" s="2">
        <f>S5/'Output-Calculation-sheet'!S4*'Output-Calculation-sheet'!S76</f>
        <v>97989264.861312062</v>
      </c>
      <c r="T93" s="2">
        <f>T5/'Output-Calculation-sheet'!T4*'Output-Calculation-sheet'!T76</f>
        <v>75350538.018404737</v>
      </c>
      <c r="U93" s="2">
        <f>U5/'Output-Calculation-sheet'!U4*'Output-Calculation-sheet'!U76</f>
        <v>48849334.318540476</v>
      </c>
      <c r="V93" s="2">
        <f>V5/'Output-Calculation-sheet'!V4*'Output-Calculation-sheet'!V76</f>
        <v>25038656.460300475</v>
      </c>
      <c r="W93" s="2">
        <f>W5/'Output-Calculation-sheet'!W4*'Output-Calculation-sheet'!W76</f>
        <v>70136618.249221653</v>
      </c>
      <c r="X93" s="2">
        <f>X5/'Output-Calculation-sheet'!X4*'Output-Calculation-sheet'!X76</f>
        <v>24342626.371006861</v>
      </c>
      <c r="Y93" s="2">
        <f>Y5/'Output-Calculation-sheet'!Y4*'Output-Calculation-sheet'!Y76</f>
        <v>38342432.107863858</v>
      </c>
      <c r="AA93" s="2">
        <f t="shared" ref="AA93:AA100" si="8">SUM(B93:Y93)/10^9</f>
        <v>7.4254011042868413</v>
      </c>
    </row>
    <row r="94" spans="1:27" x14ac:dyDescent="0.25">
      <c r="A94" s="2">
        <v>2029</v>
      </c>
      <c r="B94" s="2">
        <f>B6/'Output-Calculation-sheet'!B5*'Output-Calculation-sheet'!B77</f>
        <v>4770275577.2046194</v>
      </c>
      <c r="C94" s="2">
        <f>C6/'Output-Calculation-sheet'!C5*'Output-Calculation-sheet'!C77</f>
        <v>1591100093.4583569</v>
      </c>
      <c r="D94" s="2">
        <f>D6/'Output-Calculation-sheet'!D5*'Output-Calculation-sheet'!D77</f>
        <v>1750628612.8903368</v>
      </c>
      <c r="E94" s="2">
        <f>E6/'Output-Calculation-sheet'!E5*'Output-Calculation-sheet'!E77</f>
        <v>2977423307.6058097</v>
      </c>
      <c r="F94" s="2">
        <f>F6/'Output-Calculation-sheet'!F5*'Output-Calculation-sheet'!F77</f>
        <v>1257121185.293328</v>
      </c>
      <c r="G94" s="2">
        <f>G6/'Output-Calculation-sheet'!G5*'Output-Calculation-sheet'!G77</f>
        <v>991348660.76990867</v>
      </c>
      <c r="H94" s="2">
        <f>H6/'Output-Calculation-sheet'!H5*'Output-Calculation-sheet'!H77</f>
        <v>833219066.76802337</v>
      </c>
      <c r="I94" s="2">
        <f>I6/'Output-Calculation-sheet'!I5*'Output-Calculation-sheet'!I77</f>
        <v>677018760.81268287</v>
      </c>
      <c r="J94" s="2">
        <f>J6/'Output-Calculation-sheet'!J5*'Output-Calculation-sheet'!J77</f>
        <v>465106722.47048736</v>
      </c>
      <c r="K94" s="2">
        <f>K6/'Output-Calculation-sheet'!K5*'Output-Calculation-sheet'!K77</f>
        <v>670122308.02897418</v>
      </c>
      <c r="L94" s="2">
        <f>L6/'Output-Calculation-sheet'!L5*'Output-Calculation-sheet'!L77</f>
        <v>452892172.54127854</v>
      </c>
      <c r="M94" s="2">
        <f>M6/'Output-Calculation-sheet'!M5*'Output-Calculation-sheet'!M77</f>
        <v>614123907.08887005</v>
      </c>
      <c r="N94" s="2">
        <f>N6/'Output-Calculation-sheet'!N5*'Output-Calculation-sheet'!N77</f>
        <v>464588570.8688699</v>
      </c>
      <c r="O94" s="2">
        <f>O6/'Output-Calculation-sheet'!O5*'Output-Calculation-sheet'!O77</f>
        <v>228179734.14081442</v>
      </c>
      <c r="P94" s="2">
        <f>P6/'Output-Calculation-sheet'!P5*'Output-Calculation-sheet'!P77</f>
        <v>794528531.37577534</v>
      </c>
      <c r="Q94" s="2">
        <f>Q6/'Output-Calculation-sheet'!Q5*'Output-Calculation-sheet'!Q77</f>
        <v>367041568.51426083</v>
      </c>
      <c r="R94" s="2">
        <f>R6/'Output-Calculation-sheet'!R5*'Output-Calculation-sheet'!R77</f>
        <v>455701352.96848524</v>
      </c>
      <c r="S94" s="2">
        <f>S6/'Output-Calculation-sheet'!S5*'Output-Calculation-sheet'!S77</f>
        <v>267570625.38094619</v>
      </c>
      <c r="T94" s="2">
        <f>T6/'Output-Calculation-sheet'!T5*'Output-Calculation-sheet'!T77</f>
        <v>206404423.76007929</v>
      </c>
      <c r="U94" s="2">
        <f>U6/'Output-Calculation-sheet'!U5*'Output-Calculation-sheet'!U77</f>
        <v>130657353.90778957</v>
      </c>
      <c r="V94" s="2">
        <f>V6/'Output-Calculation-sheet'!V5*'Output-Calculation-sheet'!V77</f>
        <v>67017490.588205159</v>
      </c>
      <c r="W94" s="2">
        <f>W6/'Output-Calculation-sheet'!W5*'Output-Calculation-sheet'!W77</f>
        <v>194465251.02513176</v>
      </c>
      <c r="X94" s="2">
        <f>X6/'Output-Calculation-sheet'!X5*'Output-Calculation-sheet'!X77</f>
        <v>67250053.937438741</v>
      </c>
      <c r="Y94" s="2">
        <f>Y6/'Output-Calculation-sheet'!Y5*'Output-Calculation-sheet'!Y77</f>
        <v>106626120.53622364</v>
      </c>
      <c r="AA94" s="2">
        <f t="shared" si="8"/>
        <v>20.400411451936694</v>
      </c>
    </row>
    <row r="95" spans="1:27" x14ac:dyDescent="0.25">
      <c r="A95" s="2">
        <v>2030</v>
      </c>
      <c r="B95" s="2">
        <f>B7/'Output-Calculation-sheet'!B6*'Output-Calculation-sheet'!B78</f>
        <v>8892559045.1044922</v>
      </c>
      <c r="C95" s="2">
        <f>C7/'Output-Calculation-sheet'!C6*'Output-Calculation-sheet'!C78</f>
        <v>2985933559.8056378</v>
      </c>
      <c r="D95" s="2">
        <f>D7/'Output-Calculation-sheet'!D6*'Output-Calculation-sheet'!D78</f>
        <v>3268827217.0194545</v>
      </c>
      <c r="E95" s="2">
        <f>E7/'Output-Calculation-sheet'!E6*'Output-Calculation-sheet'!E78</f>
        <v>5650981527.1223888</v>
      </c>
      <c r="F95" s="2">
        <f>F7/'Output-Calculation-sheet'!F6*'Output-Calculation-sheet'!F78</f>
        <v>2343002848.2167053</v>
      </c>
      <c r="G95" s="2">
        <f>G7/'Output-Calculation-sheet'!G6*'Output-Calculation-sheet'!G78</f>
        <v>1874489713.9958615</v>
      </c>
      <c r="H95" s="2">
        <f>H7/'Output-Calculation-sheet'!H6*'Output-Calculation-sheet'!H78</f>
        <v>1564419833.8031774</v>
      </c>
      <c r="I95" s="2">
        <f>I7/'Output-Calculation-sheet'!I6*'Output-Calculation-sheet'!I78</f>
        <v>1259019779.9378614</v>
      </c>
      <c r="J95" s="2">
        <f>J7/'Output-Calculation-sheet'!J6*'Output-Calculation-sheet'!J78</f>
        <v>876095116.92525661</v>
      </c>
      <c r="K95" s="2">
        <f>K7/'Output-Calculation-sheet'!K6*'Output-Calculation-sheet'!K78</f>
        <v>1243590812.6081772</v>
      </c>
      <c r="L95" s="2">
        <f>L7/'Output-Calculation-sheet'!L6*'Output-Calculation-sheet'!L78</f>
        <v>851079571.54020834</v>
      </c>
      <c r="M95" s="2">
        <f>M7/'Output-Calculation-sheet'!M6*'Output-Calculation-sheet'!M78</f>
        <v>1163971082.2983732</v>
      </c>
      <c r="N95" s="2">
        <f>N7/'Output-Calculation-sheet'!N6*'Output-Calculation-sheet'!N78</f>
        <v>882305926.62456155</v>
      </c>
      <c r="O95" s="2">
        <f>O7/'Output-Calculation-sheet'!O6*'Output-Calculation-sheet'!O78</f>
        <v>435937745.82001567</v>
      </c>
      <c r="P95" s="2">
        <f>P7/'Output-Calculation-sheet'!P6*'Output-Calculation-sheet'!P78</f>
        <v>1487991365.3855639</v>
      </c>
      <c r="Q95" s="2">
        <f>Q7/'Output-Calculation-sheet'!Q6*'Output-Calculation-sheet'!Q78</f>
        <v>692201199.27202606</v>
      </c>
      <c r="R95" s="2">
        <f>R7/'Output-Calculation-sheet'!R6*'Output-Calculation-sheet'!R78</f>
        <v>852244551.31309211</v>
      </c>
      <c r="S95" s="2">
        <f>S7/'Output-Calculation-sheet'!S6*'Output-Calculation-sheet'!S78</f>
        <v>498661559.7766993</v>
      </c>
      <c r="T95" s="2">
        <f>T7/'Output-Calculation-sheet'!T6*'Output-Calculation-sheet'!T78</f>
        <v>386005742.14735484</v>
      </c>
      <c r="U95" s="2">
        <f>U7/'Output-Calculation-sheet'!U6*'Output-Calculation-sheet'!U78</f>
        <v>238292344.47321224</v>
      </c>
      <c r="V95" s="2">
        <f>V7/'Output-Calculation-sheet'!V6*'Output-Calculation-sheet'!V78</f>
        <v>122295661.34855743</v>
      </c>
      <c r="W95" s="2">
        <f>W7/'Output-Calculation-sheet'!W6*'Output-Calculation-sheet'!W78</f>
        <v>368281452.9223249</v>
      </c>
      <c r="X95" s="2">
        <f>X7/'Output-Calculation-sheet'!X6*'Output-Calculation-sheet'!X78</f>
        <v>126898945.5492972</v>
      </c>
      <c r="Y95" s="2">
        <f>Y7/'Output-Calculation-sheet'!Y6*'Output-Calculation-sheet'!Y78</f>
        <v>202539160.57501948</v>
      </c>
      <c r="AA95" s="2">
        <f t="shared" si="8"/>
        <v>38.267625763585322</v>
      </c>
    </row>
    <row r="96" spans="1:27" x14ac:dyDescent="0.25">
      <c r="A96" s="2">
        <v>2031</v>
      </c>
      <c r="B96" s="2">
        <f>B8/'Output-Calculation-sheet'!B7*'Output-Calculation-sheet'!B79</f>
        <v>13847395162.05619</v>
      </c>
      <c r="C96" s="2">
        <f>C8/'Output-Calculation-sheet'!C7*'Output-Calculation-sheet'!C79</f>
        <v>4684636717.4645414</v>
      </c>
      <c r="D96" s="2">
        <f>D8/'Output-Calculation-sheet'!D7*'Output-Calculation-sheet'!D79</f>
        <v>4890452213.6397781</v>
      </c>
      <c r="E96" s="2">
        <f>E8/'Output-Calculation-sheet'!E7*'Output-Calculation-sheet'!E79</f>
        <v>8694807638.6780853</v>
      </c>
      <c r="F96" s="2">
        <f>F8/'Output-Calculation-sheet'!F7*'Output-Calculation-sheet'!F79</f>
        <v>3598695201.2944088</v>
      </c>
      <c r="G96" s="2">
        <f>G8/'Output-Calculation-sheet'!G7*'Output-Calculation-sheet'!G79</f>
        <v>2803087650.1730742</v>
      </c>
      <c r="H96" s="2">
        <f>H8/'Output-Calculation-sheet'!H7*'Output-Calculation-sheet'!H79</f>
        <v>2399284723.3278236</v>
      </c>
      <c r="I96" s="2">
        <f>I8/'Output-Calculation-sheet'!I7*'Output-Calculation-sheet'!I79</f>
        <v>1952648552.3030477</v>
      </c>
      <c r="J96" s="2">
        <f>J8/'Output-Calculation-sheet'!J7*'Output-Calculation-sheet'!J79</f>
        <v>1320431386.9231832</v>
      </c>
      <c r="K96" s="2">
        <f>K8/'Output-Calculation-sheet'!K7*'Output-Calculation-sheet'!K79</f>
        <v>1889143423.4850659</v>
      </c>
      <c r="L96" s="2">
        <f>L8/'Output-Calculation-sheet'!L7*'Output-Calculation-sheet'!L79</f>
        <v>1332977955.8124363</v>
      </c>
      <c r="M96" s="2">
        <f>M8/'Output-Calculation-sheet'!M7*'Output-Calculation-sheet'!M79</f>
        <v>1791019643.4331765</v>
      </c>
      <c r="N96" s="2">
        <f>N8/'Output-Calculation-sheet'!N7*'Output-Calculation-sheet'!N79</f>
        <v>1332661255.4346063</v>
      </c>
      <c r="O96" s="2">
        <f>O8/'Output-Calculation-sheet'!O7*'Output-Calculation-sheet'!O79</f>
        <v>673705908.58280027</v>
      </c>
      <c r="P96" s="2">
        <f>P8/'Output-Calculation-sheet'!P7*'Output-Calculation-sheet'!P79</f>
        <v>2253404964.7557254</v>
      </c>
      <c r="Q96" s="2">
        <f>Q8/'Output-Calculation-sheet'!Q7*'Output-Calculation-sheet'!Q79</f>
        <v>1050183097.3447608</v>
      </c>
      <c r="R96" s="2">
        <f>R8/'Output-Calculation-sheet'!R7*'Output-Calculation-sheet'!R79</f>
        <v>1310228253.2077246</v>
      </c>
      <c r="S96" s="2">
        <f>S8/'Output-Calculation-sheet'!S7*'Output-Calculation-sheet'!S79</f>
        <v>763448781.81496048</v>
      </c>
      <c r="T96" s="2">
        <f>T8/'Output-Calculation-sheet'!T7*'Output-Calculation-sheet'!T79</f>
        <v>583099113.38238144</v>
      </c>
      <c r="U96" s="2">
        <f>U8/'Output-Calculation-sheet'!U7*'Output-Calculation-sheet'!U79</f>
        <v>366287876.86294758</v>
      </c>
      <c r="V96" s="2">
        <f>V8/'Output-Calculation-sheet'!V7*'Output-Calculation-sheet'!V79</f>
        <v>190049251.49695432</v>
      </c>
      <c r="W96" s="2">
        <f>W8/'Output-Calculation-sheet'!W7*'Output-Calculation-sheet'!W79</f>
        <v>561580130.35155952</v>
      </c>
      <c r="X96" s="2">
        <f>X8/'Output-Calculation-sheet'!X7*'Output-Calculation-sheet'!X79</f>
        <v>197379523.37797123</v>
      </c>
      <c r="Y96" s="2">
        <f>Y8/'Output-Calculation-sheet'!Y7*'Output-Calculation-sheet'!Y79</f>
        <v>308698852.87957919</v>
      </c>
      <c r="AA96" s="2">
        <f t="shared" si="8"/>
        <v>58.795307278082781</v>
      </c>
    </row>
    <row r="97" spans="1:27" x14ac:dyDescent="0.25">
      <c r="A97" s="2">
        <v>2032</v>
      </c>
      <c r="B97" s="2">
        <f>B9/'Output-Calculation-sheet'!B8*'Output-Calculation-sheet'!B80</f>
        <v>18502762599.088924</v>
      </c>
      <c r="C97" s="2">
        <f>C9/'Output-Calculation-sheet'!C8*'Output-Calculation-sheet'!C80</f>
        <v>6302140675.2516661</v>
      </c>
      <c r="D97" s="2">
        <f>D9/'Output-Calculation-sheet'!D8*'Output-Calculation-sheet'!D80</f>
        <v>6279469713.3921347</v>
      </c>
      <c r="E97" s="2">
        <f>E9/'Output-Calculation-sheet'!E8*'Output-Calculation-sheet'!E80</f>
        <v>11484210686.599234</v>
      </c>
      <c r="F97" s="2">
        <f>F9/'Output-Calculation-sheet'!F8*'Output-Calculation-sheet'!F80</f>
        <v>4744128364.8390512</v>
      </c>
      <c r="G97" s="2">
        <f>G9/'Output-Calculation-sheet'!G8*'Output-Calculation-sheet'!G80</f>
        <v>3591044528.1872778</v>
      </c>
      <c r="H97" s="2">
        <f>H9/'Output-Calculation-sheet'!H8*'Output-Calculation-sheet'!H80</f>
        <v>3159393857.5863042</v>
      </c>
      <c r="I97" s="2">
        <f>I9/'Output-Calculation-sheet'!I8*'Output-Calculation-sheet'!I80</f>
        <v>2598894647.2429032</v>
      </c>
      <c r="J97" s="2">
        <f>J9/'Output-Calculation-sheet'!J8*'Output-Calculation-sheet'!J80</f>
        <v>1708533351.4787383</v>
      </c>
      <c r="K97" s="2">
        <f>K9/'Output-Calculation-sheet'!K8*'Output-Calculation-sheet'!K80</f>
        <v>2463210803.5336537</v>
      </c>
      <c r="L97" s="2">
        <f>L9/'Output-Calculation-sheet'!L8*'Output-Calculation-sheet'!L80</f>
        <v>1792809430.0450013</v>
      </c>
      <c r="M97" s="2">
        <f>M9/'Output-Calculation-sheet'!M8*'Output-Calculation-sheet'!M80</f>
        <v>2365411471.3579426</v>
      </c>
      <c r="N97" s="2">
        <f>N9/'Output-Calculation-sheet'!N8*'Output-Calculation-sheet'!N80</f>
        <v>1728249338.98295</v>
      </c>
      <c r="O97" s="2">
        <f>O9/'Output-Calculation-sheet'!O8*'Output-Calculation-sheet'!O80</f>
        <v>894083017.54635704</v>
      </c>
      <c r="P97" s="2">
        <f>P9/'Output-Calculation-sheet'!P8*'Output-Calculation-sheet'!P80</f>
        <v>2925271510.112062</v>
      </c>
      <c r="Q97" s="2">
        <f>Q9/'Output-Calculation-sheet'!Q8*'Output-Calculation-sheet'!Q80</f>
        <v>1368329836.4121013</v>
      </c>
      <c r="R97" s="2">
        <f>R9/'Output-Calculation-sheet'!R8*'Output-Calculation-sheet'!R80</f>
        <v>1728881261.0385647</v>
      </c>
      <c r="S97" s="2">
        <f>S9/'Output-Calculation-sheet'!S8*'Output-Calculation-sheet'!S80</f>
        <v>1003437681.1196864</v>
      </c>
      <c r="T97" s="2">
        <f>T9/'Output-Calculation-sheet'!T8*'Output-Calculation-sheet'!T80</f>
        <v>755623863.85483253</v>
      </c>
      <c r="U97" s="2">
        <f>U9/'Output-Calculation-sheet'!U8*'Output-Calculation-sheet'!U80</f>
        <v>483064916.94613999</v>
      </c>
      <c r="V97" s="2">
        <f>V9/'Output-Calculation-sheet'!V8*'Output-Calculation-sheet'!V80</f>
        <v>253290453.96433988</v>
      </c>
      <c r="W97" s="2">
        <f>W9/'Output-Calculation-sheet'!W8*'Output-Calculation-sheet'!W80</f>
        <v>733534048.77462375</v>
      </c>
      <c r="X97" s="2">
        <f>X9/'Output-Calculation-sheet'!X8*'Output-Calculation-sheet'!X80</f>
        <v>263409510.67387161</v>
      </c>
      <c r="Y97" s="2">
        <f>Y9/'Output-Calculation-sheet'!Y8*'Output-Calculation-sheet'!Y80</f>
        <v>403197794.72957325</v>
      </c>
      <c r="AA97" s="2">
        <f t="shared" si="8"/>
        <v>77.532383362757926</v>
      </c>
    </row>
    <row r="98" spans="1:27" x14ac:dyDescent="0.25">
      <c r="A98" s="2">
        <v>2033</v>
      </c>
      <c r="B98" s="2">
        <f>B10/'Output-Calculation-sheet'!B9*'Output-Calculation-sheet'!B81</f>
        <v>22009360301.122963</v>
      </c>
      <c r="C98" s="2">
        <f>C10/'Output-Calculation-sheet'!C9*'Output-Calculation-sheet'!C81</f>
        <v>7545900126.8784628</v>
      </c>
      <c r="D98" s="2">
        <f>D10/'Output-Calculation-sheet'!D9*'Output-Calculation-sheet'!D81</f>
        <v>7181398624.6375208</v>
      </c>
      <c r="E98" s="2">
        <f>E10/'Output-Calculation-sheet'!E9*'Output-Calculation-sheet'!E81</f>
        <v>13508662664.577881</v>
      </c>
      <c r="F98" s="2">
        <f>F10/'Output-Calculation-sheet'!F9*'Output-Calculation-sheet'!F81</f>
        <v>5571299001.874548</v>
      </c>
      <c r="G98" s="2">
        <f>G10/'Output-Calculation-sheet'!G9*'Output-Calculation-sheet'!G81</f>
        <v>4090618187.2940907</v>
      </c>
      <c r="H98" s="2">
        <f>H10/'Output-Calculation-sheet'!H9*'Output-Calculation-sheet'!H81</f>
        <v>3706133499.0451355</v>
      </c>
      <c r="I98" s="2">
        <f>I10/'Output-Calculation-sheet'!I9*'Output-Calculation-sheet'!I81</f>
        <v>3080891084.8095531</v>
      </c>
      <c r="J98" s="2">
        <f>J10/'Output-Calculation-sheet'!J9*'Output-Calculation-sheet'!J81</f>
        <v>1969999412.4388976</v>
      </c>
      <c r="K98" s="2">
        <f>K10/'Output-Calculation-sheet'!K9*'Output-Calculation-sheet'!K81</f>
        <v>2861502270.5340214</v>
      </c>
      <c r="L98" s="2">
        <f>L10/'Output-Calculation-sheet'!L9*'Output-Calculation-sheet'!L81</f>
        <v>2146169536.3269601</v>
      </c>
      <c r="M98" s="2">
        <f>M10/'Output-Calculation-sheet'!M9*'Output-Calculation-sheet'!M81</f>
        <v>2783150651.1594462</v>
      </c>
      <c r="N98" s="2">
        <f>N10/'Output-Calculation-sheet'!N9*'Output-Calculation-sheet'!N81</f>
        <v>1996693436.3621812</v>
      </c>
      <c r="O98" s="2">
        <f>O10/'Output-Calculation-sheet'!O9*'Output-Calculation-sheet'!O81</f>
        <v>1057361978.862883</v>
      </c>
      <c r="P98" s="2">
        <f>P10/'Output-Calculation-sheet'!P9*'Output-Calculation-sheet'!P81</f>
        <v>3379022095.7489047</v>
      </c>
      <c r="Q98" s="2">
        <f>Q10/'Output-Calculation-sheet'!Q9*'Output-Calculation-sheet'!Q81</f>
        <v>1588730529.2208915</v>
      </c>
      <c r="R98" s="2">
        <f>R10/'Output-Calculation-sheet'!R9*'Output-Calculation-sheet'!R81</f>
        <v>2032226703.0855963</v>
      </c>
      <c r="S98" s="2">
        <f>S10/'Output-Calculation-sheet'!S9*'Output-Calculation-sheet'!S81</f>
        <v>1174988849.5794363</v>
      </c>
      <c r="T98" s="2">
        <f>T10/'Output-Calculation-sheet'!T9*'Output-Calculation-sheet'!T81</f>
        <v>871890064.95602953</v>
      </c>
      <c r="U98" s="2">
        <f>U10/'Output-Calculation-sheet'!U9*'Output-Calculation-sheet'!U81</f>
        <v>567308223.91988957</v>
      </c>
      <c r="V98" s="2">
        <f>V10/'Output-Calculation-sheet'!V9*'Output-Calculation-sheet'!V81</f>
        <v>300455988.72592366</v>
      </c>
      <c r="W98" s="2">
        <f>W10/'Output-Calculation-sheet'!W9*'Output-Calculation-sheet'!W81</f>
        <v>851896385.44693029</v>
      </c>
      <c r="X98" s="2">
        <f>X10/'Output-Calculation-sheet'!X9*'Output-Calculation-sheet'!X81</f>
        <v>313046147.30059141</v>
      </c>
      <c r="Y98" s="2">
        <f>Y10/'Output-Calculation-sheet'!Y9*'Output-Calculation-sheet'!Y81</f>
        <v>468425389.61631942</v>
      </c>
      <c r="AA98" s="2">
        <f t="shared" si="8"/>
        <v>91.057131153525049</v>
      </c>
    </row>
    <row r="99" spans="1:27" x14ac:dyDescent="0.25">
      <c r="A99" s="2">
        <v>2034</v>
      </c>
      <c r="B99" s="2">
        <f>B11/'Output-Calculation-sheet'!B10*'Output-Calculation-sheet'!B82</f>
        <v>23849053845.324516</v>
      </c>
      <c r="C99" s="2">
        <f>C11/'Output-Calculation-sheet'!C10*'Output-Calculation-sheet'!C82</f>
        <v>8228902050.4102125</v>
      </c>
      <c r="D99" s="2">
        <f>D11/'Output-Calculation-sheet'!D10*'Output-Calculation-sheet'!D82</f>
        <v>7485986206.5714188</v>
      </c>
      <c r="E99" s="2">
        <f>E11/'Output-Calculation-sheet'!E10*'Output-Calculation-sheet'!E82</f>
        <v>14480983878.415668</v>
      </c>
      <c r="F99" s="2">
        <f>F11/'Output-Calculation-sheet'!F10*'Output-Calculation-sheet'!F82</f>
        <v>5963975239.2715445</v>
      </c>
      <c r="G99" s="2">
        <f>G11/'Output-Calculation-sheet'!G10*'Output-Calculation-sheet'!G82</f>
        <v>4239961996.8849387</v>
      </c>
      <c r="H99" s="2">
        <f>H11/'Output-Calculation-sheet'!H10*'Output-Calculation-sheet'!H82</f>
        <v>3963014290.437366</v>
      </c>
      <c r="I99" s="2">
        <f>I11/'Output-Calculation-sheet'!I10*'Output-Calculation-sheet'!I82</f>
        <v>3328656111.1410513</v>
      </c>
      <c r="J99" s="2">
        <f>J11/'Output-Calculation-sheet'!J10*'Output-Calculation-sheet'!J82</f>
        <v>2071421424.8886542</v>
      </c>
      <c r="K99" s="2">
        <f>K11/'Output-Calculation-sheet'!K10*'Output-Calculation-sheet'!K82</f>
        <v>3030761370.6727366</v>
      </c>
      <c r="L99" s="2">
        <f>L11/'Output-Calculation-sheet'!L10*'Output-Calculation-sheet'!L82</f>
        <v>2339969415.8791804</v>
      </c>
      <c r="M99" s="2">
        <f>M11/'Output-Calculation-sheet'!M10*'Output-Calculation-sheet'!M82</f>
        <v>2985265209.1189942</v>
      </c>
      <c r="N99" s="2">
        <f>N11/'Output-Calculation-sheet'!N10*'Output-Calculation-sheet'!N82</f>
        <v>2103122129.1805983</v>
      </c>
      <c r="O99" s="2">
        <f>O11/'Output-Calculation-sheet'!O10*'Output-Calculation-sheet'!O82</f>
        <v>1140208053.3970497</v>
      </c>
      <c r="P99" s="2">
        <f>P11/'Output-Calculation-sheet'!P10*'Output-Calculation-sheet'!P82</f>
        <v>3554286806.2895484</v>
      </c>
      <c r="Q99" s="2">
        <f>Q11/'Output-Calculation-sheet'!Q10*'Output-Calculation-sheet'!Q82</f>
        <v>1682111870.0396874</v>
      </c>
      <c r="R99" s="2">
        <f>R11/'Output-Calculation-sheet'!R10*'Output-Calculation-sheet'!R82</f>
        <v>2177486036.6620898</v>
      </c>
      <c r="S99" s="2">
        <f>S11/'Output-Calculation-sheet'!S10*'Output-Calculation-sheet'!S82</f>
        <v>1254292832.0088499</v>
      </c>
      <c r="T99" s="2">
        <f>T11/'Output-Calculation-sheet'!T10*'Output-Calculation-sheet'!T82</f>
        <v>916741416.12608969</v>
      </c>
      <c r="U99" s="2">
        <f>U11/'Output-Calculation-sheet'!U10*'Output-Calculation-sheet'!U82</f>
        <v>607084645.85350513</v>
      </c>
      <c r="V99" s="2">
        <f>V11/'Output-Calculation-sheet'!V10*'Output-Calculation-sheet'!V82</f>
        <v>324600591.36071968</v>
      </c>
      <c r="W99" s="2">
        <f>W11/'Output-Calculation-sheet'!W10*'Output-Calculation-sheet'!W82</f>
        <v>900128804.69847322</v>
      </c>
      <c r="X99" s="2">
        <f>X11/'Output-Calculation-sheet'!X10*'Output-Calculation-sheet'!X82</f>
        <v>339013289.38676357</v>
      </c>
      <c r="Y99" s="2">
        <f>Y11/'Output-Calculation-sheet'!Y10*'Output-Calculation-sheet'!Y82</f>
        <v>495356330.34601998</v>
      </c>
      <c r="AA99" s="2">
        <f t="shared" si="8"/>
        <v>97.462383844365661</v>
      </c>
    </row>
    <row r="100" spans="1:27" x14ac:dyDescent="0.25">
      <c r="A100" s="2">
        <v>2035</v>
      </c>
      <c r="B100" s="2">
        <f>B12/'Output-Calculation-sheet'!B11*'Output-Calculation-sheet'!B83</f>
        <v>23828902861.521687</v>
      </c>
      <c r="C100" s="2">
        <f>C12/'Output-Calculation-sheet'!C11*'Output-Calculation-sheet'!C83</f>
        <v>8273008035.6571007</v>
      </c>
      <c r="D100" s="2">
        <f>D12/'Output-Calculation-sheet'!D11*'Output-Calculation-sheet'!D83</f>
        <v>7200592712.2990627</v>
      </c>
      <c r="E100" s="2">
        <f>E12/'Output-Calculation-sheet'!E11*'Output-Calculation-sheet'!E83</f>
        <v>14320120944.105639</v>
      </c>
      <c r="F100" s="2">
        <f>F12/'Output-Calculation-sheet'!F11*'Output-Calculation-sheet'!F83</f>
        <v>5890726771.8998384</v>
      </c>
      <c r="G100" s="2">
        <f>G12/'Output-Calculation-sheet'!G11*'Output-Calculation-sheet'!G83</f>
        <v>4048076327.6277151</v>
      </c>
      <c r="H100" s="2">
        <f>H12/'Output-Calculation-sheet'!H11*'Output-Calculation-sheet'!H83</f>
        <v>3910139211.4465861</v>
      </c>
      <c r="I100" s="2">
        <f>I12/'Output-Calculation-sheet'!I11*'Output-Calculation-sheet'!I83</f>
        <v>3317675889.2582488</v>
      </c>
      <c r="J100" s="2">
        <f>J12/'Output-Calculation-sheet'!J11*'Output-Calculation-sheet'!J83</f>
        <v>2010654383.3249478</v>
      </c>
      <c r="K100" s="2">
        <f>K12/'Output-Calculation-sheet'!K11*'Output-Calculation-sheet'!K83</f>
        <v>2962550361.5764885</v>
      </c>
      <c r="L100" s="2">
        <f>L12/'Output-Calculation-sheet'!L11*'Output-Calculation-sheet'!L83</f>
        <v>2352096064.227108</v>
      </c>
      <c r="M100" s="2">
        <f>M12/'Output-Calculation-sheet'!M11*'Output-Calculation-sheet'!M83</f>
        <v>2954753861.5809464</v>
      </c>
      <c r="N100" s="2">
        <f>N12/'Output-Calculation-sheet'!N11*'Output-Calculation-sheet'!N83</f>
        <v>2044456298.4626882</v>
      </c>
      <c r="O100" s="2">
        <f>O12/'Output-Calculation-sheet'!O11*'Output-Calculation-sheet'!O83</f>
        <v>1134803059.2309477</v>
      </c>
      <c r="P100" s="2">
        <f>P12/'Output-Calculation-sheet'!P11*'Output-Calculation-sheet'!P83</f>
        <v>3446477524.785327</v>
      </c>
      <c r="Q100" s="2">
        <f>Q12/'Output-Calculation-sheet'!Q11*'Output-Calculation-sheet'!Q83</f>
        <v>1643985578.4922299</v>
      </c>
      <c r="R100" s="2">
        <f>R12/'Output-Calculation-sheet'!R11*'Output-Calculation-sheet'!R83</f>
        <v>2152707485.717032</v>
      </c>
      <c r="S100" s="2">
        <f>S12/'Output-Calculation-sheet'!S11*'Output-Calculation-sheet'!S83</f>
        <v>1235543492.5560584</v>
      </c>
      <c r="T100" s="2">
        <f>T12/'Output-Calculation-sheet'!T11*'Output-Calculation-sheet'!T83</f>
        <v>889163229.01874995</v>
      </c>
      <c r="U100" s="2">
        <f>U12/'Output-Calculation-sheet'!U11*'Output-Calculation-sheet'!U83</f>
        <v>599195341.57389033</v>
      </c>
      <c r="V100" s="2">
        <f>V12/'Output-Calculation-sheet'!V11*'Output-Calculation-sheet'!V83</f>
        <v>323300700.90660042</v>
      </c>
      <c r="W100" s="2">
        <f>W12/'Output-Calculation-sheet'!W11*'Output-Calculation-sheet'!W83</f>
        <v>875901024.86936057</v>
      </c>
      <c r="X100" s="2">
        <f>X12/'Output-Calculation-sheet'!X11*'Output-Calculation-sheet'!X83</f>
        <v>338631656.03893101</v>
      </c>
      <c r="Y100" s="2">
        <f>Y12/'Output-Calculation-sheet'!Y11*'Output-Calculation-sheet'!Y83</f>
        <v>482673746.96389335</v>
      </c>
      <c r="AA100" s="2">
        <f t="shared" si="8"/>
        <v>96.236136563141088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46C4-1AA5-4F22-8C50-105FF1AA3A91}">
  <dimension ref="A1:AA100"/>
  <sheetViews>
    <sheetView workbookViewId="0">
      <selection activeCell="B7" sqref="B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114081021708.64017</v>
      </c>
      <c r="C8" s="2">
        <v>53760718070.456215</v>
      </c>
      <c r="D8" s="2">
        <v>47915333437.419754</v>
      </c>
      <c r="E8" s="2">
        <v>38015954787.957863</v>
      </c>
      <c r="F8" s="2">
        <v>24472234286.339748</v>
      </c>
      <c r="G8" s="2">
        <v>17194863431.924419</v>
      </c>
      <c r="H8" s="2">
        <v>16772929222.346075</v>
      </c>
      <c r="I8" s="2">
        <v>15665874118.006905</v>
      </c>
      <c r="J8" s="2">
        <v>15248079876.762188</v>
      </c>
      <c r="K8" s="2">
        <v>15101902649.758682</v>
      </c>
      <c r="L8" s="2">
        <v>12114942651.258694</v>
      </c>
      <c r="M8" s="2">
        <v>11571859015.167791</v>
      </c>
      <c r="N8" s="2">
        <v>11357746202.855738</v>
      </c>
      <c r="O8" s="2">
        <v>10445754207.901112</v>
      </c>
      <c r="P8" s="2">
        <v>10339476917.884563</v>
      </c>
      <c r="Q8" s="2">
        <v>10172374260.625826</v>
      </c>
      <c r="R8" s="2">
        <v>9786291926.1623688</v>
      </c>
      <c r="S8" s="2">
        <v>6504470933.7964525</v>
      </c>
      <c r="T8" s="2">
        <v>3597356762.5011497</v>
      </c>
      <c r="U8" s="2">
        <v>3133174823.6013856</v>
      </c>
      <c r="V8" s="2">
        <v>2412607277.6695404</v>
      </c>
      <c r="W8" s="2">
        <v>2088783215.7342556</v>
      </c>
      <c r="X8" s="2">
        <v>1253269929.4405541</v>
      </c>
      <c r="Y8" s="2">
        <v>1218792473.6816425</v>
      </c>
    </row>
    <row r="9" spans="1:27" x14ac:dyDescent="0.25">
      <c r="A9" s="2">
        <v>2032</v>
      </c>
      <c r="B9" s="2">
        <v>124276037258.7495</v>
      </c>
      <c r="C9" s="2">
        <v>58565122418.386719</v>
      </c>
      <c r="D9" s="2">
        <v>52197356530.890793</v>
      </c>
      <c r="E9" s="2">
        <v>41413305586.632637</v>
      </c>
      <c r="F9" s="2">
        <v>26659230908.199917</v>
      </c>
      <c r="G9" s="2">
        <v>18731507278.945633</v>
      </c>
      <c r="H9" s="2">
        <v>18271866308.30093</v>
      </c>
      <c r="I9" s="2">
        <v>17065877622.946058</v>
      </c>
      <c r="J9" s="2">
        <v>16610746594.89455</v>
      </c>
      <c r="K9" s="2">
        <v>16451506028.520025</v>
      </c>
      <c r="L9" s="2">
        <v>13197612028.41164</v>
      </c>
      <c r="M9" s="2">
        <v>12605994937.482845</v>
      </c>
      <c r="N9" s="2">
        <v>12372747623.933823</v>
      </c>
      <c r="O9" s="2">
        <v>11379254144.938461</v>
      </c>
      <c r="P9" s="2">
        <v>11263479231.144405</v>
      </c>
      <c r="Q9" s="2">
        <v>11081443203.166315</v>
      </c>
      <c r="R9" s="2">
        <v>10660858062.324335</v>
      </c>
      <c r="S9" s="2">
        <v>7085752389.0471869</v>
      </c>
      <c r="T9" s="2">
        <v>3918839754.007462</v>
      </c>
      <c r="U9" s="2">
        <v>3413175524.5892162</v>
      </c>
      <c r="V9" s="2">
        <v>2628213417.44419</v>
      </c>
      <c r="W9" s="2">
        <v>2275450349.7261424</v>
      </c>
      <c r="X9" s="2">
        <v>1365270209.8356864</v>
      </c>
      <c r="Y9" s="2">
        <v>1327711626.3631046</v>
      </c>
    </row>
    <row r="10" spans="1:27" x14ac:dyDescent="0.25">
      <c r="A10" s="2">
        <v>2033</v>
      </c>
      <c r="B10" s="2">
        <v>126949158716.35188</v>
      </c>
      <c r="C10" s="2">
        <v>59824831762.656769</v>
      </c>
      <c r="D10" s="2">
        <v>53320098105.618813</v>
      </c>
      <c r="E10" s="2">
        <v>42304087093.958817</v>
      </c>
      <c r="F10" s="2">
        <v>27232658929.850719</v>
      </c>
      <c r="G10" s="2">
        <v>19134413544.264771</v>
      </c>
      <c r="H10" s="2">
        <v>18664885903.844254</v>
      </c>
      <c r="I10" s="2">
        <v>17432956946.305328</v>
      </c>
      <c r="J10" s="2">
        <v>16968036255.307201</v>
      </c>
      <c r="K10" s="2">
        <v>16805370496.238363</v>
      </c>
      <c r="L10" s="2">
        <v>13481486705.142813</v>
      </c>
      <c r="M10" s="2">
        <v>12877144197.670897</v>
      </c>
      <c r="N10" s="2">
        <v>12638879839.705837</v>
      </c>
      <c r="O10" s="2">
        <v>11624016764.485249</v>
      </c>
      <c r="P10" s="2">
        <v>11505751584.561527</v>
      </c>
      <c r="Q10" s="2">
        <v>11319800043.800938</v>
      </c>
      <c r="R10" s="2">
        <v>10890168306.450632</v>
      </c>
      <c r="S10" s="2">
        <v>7238163724.1059561</v>
      </c>
      <c r="T10" s="2">
        <v>4003132227.9743619</v>
      </c>
      <c r="U10" s="2">
        <v>3486591389.2610712</v>
      </c>
      <c r="V10" s="2">
        <v>2684745101.5588117</v>
      </c>
      <c r="W10" s="2">
        <v>2324394259.5073791</v>
      </c>
      <c r="X10" s="2">
        <v>1394636555.7044282</v>
      </c>
      <c r="Y10" s="2">
        <v>1356270104.0569971</v>
      </c>
    </row>
    <row r="11" spans="1:27" x14ac:dyDescent="0.25">
      <c r="A11" s="2">
        <v>2034</v>
      </c>
      <c r="B11" s="2">
        <v>123110251217.68784</v>
      </c>
      <c r="C11" s="2">
        <v>58015745372.623085</v>
      </c>
      <c r="D11" s="2">
        <v>51707713064.891502</v>
      </c>
      <c r="E11" s="2">
        <v>41024823183.813515</v>
      </c>
      <c r="F11" s="2">
        <v>26409150844.949177</v>
      </c>
      <c r="G11" s="2">
        <v>18555794163.243576</v>
      </c>
      <c r="H11" s="2">
        <v>18100464908.994865</v>
      </c>
      <c r="I11" s="2">
        <v>16905789142.896809</v>
      </c>
      <c r="J11" s="2">
        <v>16454927525.192301</v>
      </c>
      <c r="K11" s="2">
        <v>16297180733.752548</v>
      </c>
      <c r="L11" s="2">
        <v>13073810270.506886</v>
      </c>
      <c r="M11" s="2">
        <v>12487742913.553133</v>
      </c>
      <c r="N11" s="2">
        <v>12256683603.968901</v>
      </c>
      <c r="O11" s="2">
        <v>11272509707.857302</v>
      </c>
      <c r="P11" s="2">
        <v>11157820834.311901</v>
      </c>
      <c r="Q11" s="2">
        <v>10977492416.787668</v>
      </c>
      <c r="R11" s="2">
        <v>10560852624.518805</v>
      </c>
      <c r="S11" s="2">
        <v>7019283652.1307373</v>
      </c>
      <c r="T11" s="2">
        <v>3882078614.9886217</v>
      </c>
      <c r="U11" s="2">
        <v>3381157828.5793662</v>
      </c>
      <c r="V11" s="2">
        <v>2603559151.1626859</v>
      </c>
      <c r="W11" s="2">
        <v>2254105219.0529094</v>
      </c>
      <c r="X11" s="2">
        <v>1352463131.4317462</v>
      </c>
      <c r="Y11" s="2">
        <v>1315256870.6860571</v>
      </c>
    </row>
    <row r="12" spans="1:27" x14ac:dyDescent="0.25">
      <c r="A12" s="2">
        <v>2035</v>
      </c>
      <c r="B12" s="2">
        <v>114208447027.50169</v>
      </c>
      <c r="C12" s="2">
        <v>53820767292.840012</v>
      </c>
      <c r="D12" s="2">
        <v>47968853528.230415</v>
      </c>
      <c r="E12" s="2">
        <v>38058417548.968651</v>
      </c>
      <c r="F12" s="2">
        <v>24499569089.363823</v>
      </c>
      <c r="G12" s="2">
        <v>17214069614.712555</v>
      </c>
      <c r="H12" s="2">
        <v>16791664116.392326</v>
      </c>
      <c r="I12" s="2">
        <v>15683372462.38385</v>
      </c>
      <c r="J12" s="2">
        <v>15265111556.626387</v>
      </c>
      <c r="K12" s="2">
        <v>15118771053.738056</v>
      </c>
      <c r="L12" s="2">
        <v>12128474704.243532</v>
      </c>
      <c r="M12" s="2">
        <v>11584784458.880896</v>
      </c>
      <c r="N12" s="2">
        <v>11370432488.53035</v>
      </c>
      <c r="O12" s="2">
        <v>10457421823.958149</v>
      </c>
      <c r="P12" s="2">
        <v>10351025825.173349</v>
      </c>
      <c r="Q12" s="2">
        <v>10183736518.907923</v>
      </c>
      <c r="R12" s="2">
        <v>9797222941.2469654</v>
      </c>
      <c r="S12" s="2">
        <v>6511736246.3817596</v>
      </c>
      <c r="T12" s="2">
        <v>3601374909.6535401</v>
      </c>
      <c r="U12" s="2">
        <v>3136674492.4767747</v>
      </c>
      <c r="V12" s="2">
        <v>2415302092.6969681</v>
      </c>
      <c r="W12" s="2">
        <v>2091116328.3178484</v>
      </c>
      <c r="X12" s="2">
        <v>1254669796.9907098</v>
      </c>
      <c r="Y12" s="2">
        <v>1220153830.8754933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1983.6295847142874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618.8655377603767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426.9700839418449</v>
      </c>
      <c r="N16" s="2">
        <f>N5/'Output-Calculation-sheet'!N4*'Output-Calculation-sheet'!N22</f>
        <v>0</v>
      </c>
      <c r="O16" s="2">
        <f>O5/'Output-Calculation-sheet'!O4*'Output-Calculation-sheet'!O22</f>
        <v>385.41521815063498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46.242265149224508</v>
      </c>
      <c r="Y16" s="2">
        <f>Y5/'Output-Calculation-sheet'!Y4*'Output-Calculation-sheet'!Y22</f>
        <v>0</v>
      </c>
      <c r="AA16" s="2">
        <f t="shared" ref="AA16:AA23" si="0">SUM(B16:Y16)/1000</f>
        <v>3.4611226897163689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5907.20971218657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1741.9893210659743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1202.4961204697115</v>
      </c>
      <c r="N17" s="2">
        <f>N6/'Output-Calculation-sheet'!N5*'Output-Calculation-sheet'!N23</f>
        <v>0</v>
      </c>
      <c r="O17" s="2">
        <f>O6/'Output-Calculation-sheet'!O5*'Output-Calculation-sheet'!O23</f>
        <v>1154.9939713928168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133.71066903551042</v>
      </c>
      <c r="Y17" s="2">
        <f>Y6/'Output-Calculation-sheet'!Y5*'Output-Calculation-sheet'!Y23</f>
        <v>0</v>
      </c>
      <c r="AA17" s="2">
        <f t="shared" si="0"/>
        <v>10.140399794150582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11451.635009375932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3627.4608713827793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2501.8089914069992</v>
      </c>
      <c r="N18" s="2">
        <f>N7/'Output-Calculation-sheet'!N6*'Output-Calculation-sheet'!N24</f>
        <v>775.35046695385222</v>
      </c>
      <c r="O18" s="2">
        <f>O7/'Output-Calculation-sheet'!O6*'Output-Calculation-sheet'!O24</f>
        <v>1651.4646868636512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169.50445449421477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280.50336123624345</v>
      </c>
      <c r="Y18" s="2">
        <f>Y7/'Output-Calculation-sheet'!Y6*'Output-Calculation-sheet'!Y24</f>
        <v>0</v>
      </c>
      <c r="AA18" s="2">
        <f t="shared" si="0"/>
        <v>20.457727841713673</v>
      </c>
    </row>
    <row r="19" spans="1:27" x14ac:dyDescent="0.25">
      <c r="A19" s="2">
        <v>2031</v>
      </c>
      <c r="B19" s="2">
        <f>B8/'Output-Calculation-sheet'!B7*'Output-Calculation-sheet'!B25</f>
        <v>1268.3828005854234</v>
      </c>
      <c r="C19" s="2">
        <f>C8/'Output-Calculation-sheet'!C7*'Output-Calculation-sheet'!C25</f>
        <v>16744.556318539922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5690.6246805413148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3954.1514582001814</v>
      </c>
      <c r="N19" s="2">
        <f>N8/'Output-Calculation-sheet'!N7*'Output-Calculation-sheet'!N25</f>
        <v>1353.7712489439289</v>
      </c>
      <c r="O19" s="2">
        <f>O8/'Output-Calculation-sheet'!O7*'Output-Calculation-sheet'!O25</f>
        <v>2161.1548354920492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483.04695249463953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441.79757206354731</v>
      </c>
      <c r="Y19" s="2">
        <f>Y8/'Output-Calculation-sheet'!Y7*'Output-Calculation-sheet'!Y25</f>
        <v>0</v>
      </c>
      <c r="AA19" s="2">
        <f t="shared" si="0"/>
        <v>32.097485866861</v>
      </c>
    </row>
    <row r="20" spans="1:27" x14ac:dyDescent="0.25">
      <c r="A20" s="2">
        <v>2032</v>
      </c>
      <c r="B20" s="2">
        <f>B9/'Output-Calculation-sheet'!B8*'Output-Calculation-sheet'!B26</f>
        <v>7137.9463409638593</v>
      </c>
      <c r="C20" s="2">
        <f>C9/'Output-Calculation-sheet'!C8*'Output-Calculation-sheet'!C26</f>
        <v>24233.798491926616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7756.0147680039499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5395.5834849815492</v>
      </c>
      <c r="N20" s="2">
        <f>N9/'Output-Calculation-sheet'!N8*'Output-Calculation-sheet'!N26</f>
        <v>2435.1391925862854</v>
      </c>
      <c r="O20" s="2">
        <f>O9/'Output-Calculation-sheet'!O8*'Output-Calculation-sheet'!O26</f>
        <v>2555.3628994205997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884.99569520067917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603.64498319610379</v>
      </c>
      <c r="Y20" s="2">
        <f>Y9/'Output-Calculation-sheet'!Y8*'Output-Calculation-sheet'!Y26</f>
        <v>0</v>
      </c>
      <c r="AA20" s="2">
        <f t="shared" si="0"/>
        <v>51.002485856279641</v>
      </c>
    </row>
    <row r="21" spans="1:27" x14ac:dyDescent="0.25">
      <c r="A21" s="2">
        <v>2033</v>
      </c>
      <c r="B21" s="2">
        <f>B10/'Output-Calculation-sheet'!B9*'Output-Calculation-sheet'!B27</f>
        <v>16487.866124720214</v>
      </c>
      <c r="C21" s="2">
        <f>C10/'Output-Calculation-sheet'!C9*'Output-Calculation-sheet'!C27</f>
        <v>28315.153810743763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9543.4773662030821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6628.539125356866</v>
      </c>
      <c r="N21" s="2">
        <f>N10/'Output-Calculation-sheet'!N9*'Output-Calculation-sheet'!N27</f>
        <v>3627.0038214336837</v>
      </c>
      <c r="O21" s="2">
        <f>O10/'Output-Calculation-sheet'!O9*'Output-Calculation-sheet'!O27</f>
        <v>2825.1183142264795</v>
      </c>
      <c r="P21" s="2">
        <f>P10/'Output-Calculation-sheet'!P9*'Output-Calculation-sheet'!P27</f>
        <v>0</v>
      </c>
      <c r="Q21" s="2">
        <f>Q10/'Output-Calculation-sheet'!Q9*'Output-Calculation-sheet'!Q27</f>
        <v>247.38567795453523</v>
      </c>
      <c r="R21" s="2">
        <f>R10/'Output-Calculation-sheet'!R9*'Output-Calculation-sheet'!R27</f>
        <v>0</v>
      </c>
      <c r="S21" s="2">
        <f>S10/'Output-Calculation-sheet'!S9*'Output-Calculation-sheet'!S27</f>
        <v>1575.3451700223645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779.45941395587954</v>
      </c>
      <c r="Y21" s="2">
        <f>Y10/'Output-Calculation-sheet'!Y9*'Output-Calculation-sheet'!Y27</f>
        <v>0</v>
      </c>
      <c r="AA21" s="2">
        <f t="shared" si="0"/>
        <v>70.029348824616861</v>
      </c>
    </row>
    <row r="22" spans="1:27" x14ac:dyDescent="0.25">
      <c r="A22" s="2">
        <v>2034</v>
      </c>
      <c r="B22" s="2">
        <f>B11/'Output-Calculation-sheet'!B10*'Output-Calculation-sheet'!B28</f>
        <v>30450.193124955265</v>
      </c>
      <c r="C22" s="2">
        <f>C11/'Output-Calculation-sheet'!C10*'Output-Calculation-sheet'!C28</f>
        <v>29213.13692380891</v>
      </c>
      <c r="D22" s="2">
        <f>D11/'Output-Calculation-sheet'!D10*'Output-Calculation-sheet'!D28</f>
        <v>0</v>
      </c>
      <c r="E22" s="2">
        <f>E11/'Output-Calculation-sheet'!E10*'Output-Calculation-sheet'!E28</f>
        <v>1560.2212039813471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11147.677763145046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930.35373140495733</v>
      </c>
      <c r="M22" s="2">
        <f>M11/'Output-Calculation-sheet'!M10*'Output-Calculation-sheet'!M28</f>
        <v>8127.6370064853973</v>
      </c>
      <c r="N22" s="2">
        <f>N11/'Output-Calculation-sheet'!N10*'Output-Calculation-sheet'!N28</f>
        <v>4850.4777169974368</v>
      </c>
      <c r="O22" s="2">
        <f>O11/'Output-Calculation-sheet'!O10*'Output-Calculation-sheet'!O28</f>
        <v>2997.912771808305</v>
      </c>
      <c r="P22" s="2">
        <f>P11/'Output-Calculation-sheet'!P10*'Output-Calculation-sheet'!P28</f>
        <v>0</v>
      </c>
      <c r="Q22" s="2">
        <f>Q11/'Output-Calculation-sheet'!Q10*'Output-Calculation-sheet'!Q28</f>
        <v>1101.8767278752775</v>
      </c>
      <c r="R22" s="2">
        <f>R11/'Output-Calculation-sheet'!R10*'Output-Calculation-sheet'!R28</f>
        <v>0</v>
      </c>
      <c r="S22" s="2">
        <f>S11/'Output-Calculation-sheet'!S10*'Output-Calculation-sheet'!S28</f>
        <v>2474.4276607632924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816.15301607171557</v>
      </c>
      <c r="Y22" s="2">
        <f>Y11/'Output-Calculation-sheet'!Y10*'Output-Calculation-sheet'!Y28</f>
        <v>84.656979290390268</v>
      </c>
      <c r="AA22" s="2">
        <f t="shared" si="0"/>
        <v>93.754724626587347</v>
      </c>
    </row>
    <row r="23" spans="1:27" x14ac:dyDescent="0.25">
      <c r="A23" s="2">
        <v>2035</v>
      </c>
      <c r="B23" s="2">
        <f>B12/'Output-Calculation-sheet'!B11*'Output-Calculation-sheet'!B29</f>
        <v>34169.090685440533</v>
      </c>
      <c r="C23" s="2">
        <f>C12/'Output-Calculation-sheet'!C11*'Output-Calculation-sheet'!C29</f>
        <v>27908.887853250424</v>
      </c>
      <c r="D23" s="2">
        <f>D12/'Output-Calculation-sheet'!D11*'Output-Calculation-sheet'!D29</f>
        <v>0</v>
      </c>
      <c r="E23" s="2">
        <f>E12/'Output-Calculation-sheet'!E11*'Output-Calculation-sheet'!E29</f>
        <v>5268.0400593705681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10743.445190156628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1194.2221713484259</v>
      </c>
      <c r="M23" s="2">
        <f>M12/'Output-Calculation-sheet'!M11*'Output-Calculation-sheet'!M29</f>
        <v>7871.2737439350249</v>
      </c>
      <c r="N23" s="2">
        <f>N12/'Output-Calculation-sheet'!N11*'Output-Calculation-sheet'!N29</f>
        <v>4591.7530325906928</v>
      </c>
      <c r="O23" s="2">
        <f>O12/'Output-Calculation-sheet'!O11*'Output-Calculation-sheet'!O29</f>
        <v>3095.4060209875261</v>
      </c>
      <c r="P23" s="2">
        <f>P12/'Output-Calculation-sheet'!P11*'Output-Calculation-sheet'!P29</f>
        <v>560.79856036413867</v>
      </c>
      <c r="Q23" s="2">
        <f>Q12/'Output-Calculation-sheet'!Q11*'Output-Calculation-sheet'!Q29</f>
        <v>1258.986502699654</v>
      </c>
      <c r="R23" s="2">
        <f>R12/'Output-Calculation-sheet'!R11*'Output-Calculation-sheet'!R29</f>
        <v>0</v>
      </c>
      <c r="S23" s="2">
        <f>S12/'Output-Calculation-sheet'!S11*'Output-Calculation-sheet'!S29</f>
        <v>2457.9661802693527</v>
      </c>
      <c r="T23" s="2">
        <f>T12/'Output-Calculation-sheet'!T11*'Output-Calculation-sheet'!T29</f>
        <v>0</v>
      </c>
      <c r="U23" s="2">
        <f>U12/'Output-Calculation-sheet'!U11*'Output-Calculation-sheet'!U29</f>
        <v>107.18563354883244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779.77213521860017</v>
      </c>
      <c r="Y23" s="2">
        <f>Y12/'Output-Calculation-sheet'!Y11*'Output-Calculation-sheet'!Y29</f>
        <v>230.85609549189783</v>
      </c>
      <c r="AA23" s="2">
        <f t="shared" si="0"/>
        <v>100.23768386467233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2504.1414456833122</v>
      </c>
      <c r="C27" s="2">
        <f>C5/'Output-Calculation-sheet'!C4*'Output-Calculation-sheet'!C13</f>
        <v>0</v>
      </c>
      <c r="D27" s="2">
        <f>D5/'Output-Calculation-sheet'!D4*'Output-Calculation-sheet'!D13</f>
        <v>447.33558611350941</v>
      </c>
      <c r="E27" s="2">
        <f>E5/'Output-Calculation-sheet'!E4*'Output-Calculation-sheet'!E13</f>
        <v>481.27782588996712</v>
      </c>
      <c r="F27" s="2">
        <f>F5/'Output-Calculation-sheet'!F4*'Output-Calculation-sheet'!F13</f>
        <v>242.82749537111511</v>
      </c>
      <c r="G27" s="2">
        <f>G5/'Output-Calculation-sheet'!G4*'Output-Calculation-sheet'!G13</f>
        <v>159.01580217807515</v>
      </c>
      <c r="H27" s="2">
        <f>H5/'Output-Calculation-sheet'!H4*'Output-Calculation-sheet'!H13</f>
        <v>0</v>
      </c>
      <c r="I27" s="2">
        <f>I5/'Output-Calculation-sheet'!I4*'Output-Calculation-sheet'!I13</f>
        <v>155.02022792977669</v>
      </c>
      <c r="J27" s="2">
        <f>J5/'Output-Calculation-sheet'!J4*'Output-Calculation-sheet'!J13</f>
        <v>137.99817189254861</v>
      </c>
      <c r="K27" s="2">
        <f>K5/'Output-Calculation-sheet'!K4*'Output-Calculation-sheet'!K13</f>
        <v>184.24557097933075</v>
      </c>
      <c r="L27" s="2">
        <f>L5/'Output-Calculation-sheet'!L4*'Output-Calculation-sheet'!L13</f>
        <v>155.62778354434798</v>
      </c>
      <c r="M27" s="2">
        <f>M5/'Output-Calculation-sheet'!M4*'Output-Calculation-sheet'!M13</f>
        <v>0</v>
      </c>
      <c r="N27" s="2">
        <f>N5/'Output-Calculation-sheet'!N4*'Output-Calculation-sheet'!N13</f>
        <v>298.70996831696249</v>
      </c>
      <c r="O27" s="2">
        <f>O5/'Output-Calculation-sheet'!O4*'Output-Calculation-sheet'!O13</f>
        <v>0</v>
      </c>
      <c r="P27" s="2">
        <f>P5/'Output-Calculation-sheet'!P4*'Output-Calculation-sheet'!P13</f>
        <v>182.4874100205131</v>
      </c>
      <c r="Q27" s="2">
        <f>Q5/'Output-Calculation-sheet'!Q4*'Output-Calculation-sheet'!Q13</f>
        <v>203.08851457760323</v>
      </c>
      <c r="R27" s="2">
        <f>R5/'Output-Calculation-sheet'!R4*'Output-Calculation-sheet'!R13</f>
        <v>137.29654783747617</v>
      </c>
      <c r="S27" s="2">
        <f>S5/'Output-Calculation-sheet'!S4*'Output-Calculation-sheet'!S13</f>
        <v>158.46088170778449</v>
      </c>
      <c r="T27" s="2">
        <f>T5/'Output-Calculation-sheet'!T4*'Output-Calculation-sheet'!T13</f>
        <v>41.614483279902437</v>
      </c>
      <c r="U27" s="2">
        <f>U5/'Output-Calculation-sheet'!U4*'Output-Calculation-sheet'!U13</f>
        <v>41.541576899447783</v>
      </c>
      <c r="V27" s="2">
        <f>V5/'Output-Calculation-sheet'!V4*'Output-Calculation-sheet'!V13</f>
        <v>32.331009028422002</v>
      </c>
      <c r="W27" s="2">
        <f>W5/'Output-Calculation-sheet'!W4*'Output-Calculation-sheet'!W13</f>
        <v>19.609201796962768</v>
      </c>
      <c r="X27" s="2">
        <f>X5/'Output-Calculation-sheet'!X4*'Output-Calculation-sheet'!X13</f>
        <v>0</v>
      </c>
      <c r="Y27" s="2">
        <f>Y5/'Output-Calculation-sheet'!Y4*'Output-Calculation-sheet'!Y13</f>
        <v>16.579717952772711</v>
      </c>
      <c r="AA27" s="2">
        <f t="shared" ref="AA27:AA34" si="1">SUM(B27:Y27)/1000</f>
        <v>5.599209220999831</v>
      </c>
    </row>
    <row r="28" spans="1:27" x14ac:dyDescent="0.25">
      <c r="A28" s="2">
        <v>2029</v>
      </c>
      <c r="B28" s="2">
        <f>B6/'Output-Calculation-sheet'!B5*'Output-Calculation-sheet'!B14</f>
        <v>6975.0614014457879</v>
      </c>
      <c r="C28" s="2">
        <f>C6/'Output-Calculation-sheet'!C5*'Output-Calculation-sheet'!C14</f>
        <v>0</v>
      </c>
      <c r="D28" s="2">
        <f>D6/'Output-Calculation-sheet'!D5*'Output-Calculation-sheet'!D14</f>
        <v>1245.9238393254443</v>
      </c>
      <c r="E28" s="2">
        <f>E6/'Output-Calculation-sheet'!E5*'Output-Calculation-sheet'!E14</f>
        <v>1340.5773800615191</v>
      </c>
      <c r="F28" s="2">
        <f>F6/'Output-Calculation-sheet'!F5*'Output-Calculation-sheet'!F14</f>
        <v>676.32842181815863</v>
      </c>
      <c r="G28" s="2">
        <f>G6/'Output-Calculation-sheet'!G5*'Output-Calculation-sheet'!G14</f>
        <v>442.9147876716487</v>
      </c>
      <c r="H28" s="2">
        <f>H6/'Output-Calculation-sheet'!H5*'Output-Calculation-sheet'!H14</f>
        <v>0</v>
      </c>
      <c r="I28" s="2">
        <f>I6/'Output-Calculation-sheet'!I5*'Output-Calculation-sheet'!I14</f>
        <v>431.78571184665856</v>
      </c>
      <c r="J28" s="2">
        <f>J6/'Output-Calculation-sheet'!J5*'Output-Calculation-sheet'!J14</f>
        <v>384.35329961501031</v>
      </c>
      <c r="K28" s="2">
        <f>K6/'Output-Calculation-sheet'!K5*'Output-Calculation-sheet'!K14</f>
        <v>513.18854372954593</v>
      </c>
      <c r="L28" s="2">
        <f>L6/'Output-Calculation-sheet'!L5*'Output-Calculation-sheet'!L14</f>
        <v>433.47796734794025</v>
      </c>
      <c r="M28" s="2">
        <f>M6/'Output-Calculation-sheet'!M5*'Output-Calculation-sheet'!M14</f>
        <v>0</v>
      </c>
      <c r="N28" s="2">
        <f>N6/'Output-Calculation-sheet'!N5*'Output-Calculation-sheet'!N14</f>
        <v>832.02677253838363</v>
      </c>
      <c r="O28" s="2">
        <f>O6/'Output-Calculation-sheet'!O5*'Output-Calculation-sheet'!O14</f>
        <v>0</v>
      </c>
      <c r="P28" s="2">
        <f>P6/'Output-Calculation-sheet'!P5*'Output-Calculation-sheet'!P14</f>
        <v>508.2914487421229</v>
      </c>
      <c r="Q28" s="2">
        <f>Q6/'Output-Calculation-sheet'!Q5*'Output-Calculation-sheet'!Q14</f>
        <v>565.68565791721255</v>
      </c>
      <c r="R28" s="2">
        <f>R6/'Output-Calculation-sheet'!R5*'Output-Calculation-sheet'!R14</f>
        <v>382.41904578380706</v>
      </c>
      <c r="S28" s="2">
        <f>S6/'Output-Calculation-sheet'!S5*'Output-Calculation-sheet'!S14</f>
        <v>441.37758385742876</v>
      </c>
      <c r="T28" s="2">
        <f>T6/'Output-Calculation-sheet'!T5*'Output-Calculation-sheet'!T14</f>
        <v>115.91093321242691</v>
      </c>
      <c r="U28" s="2">
        <f>U6/'Output-Calculation-sheet'!U5*'Output-Calculation-sheet'!U14</f>
        <v>115.70374535854505</v>
      </c>
      <c r="V28" s="2">
        <f>V6/'Output-Calculation-sheet'!V5*'Output-Calculation-sheet'!V14</f>
        <v>90.050025661151054</v>
      </c>
      <c r="W28" s="2">
        <f>W6/'Output-Calculation-sheet'!W5*'Output-Calculation-sheet'!W14</f>
        <v>54.621255024991989</v>
      </c>
      <c r="X28" s="2">
        <f>X6/'Output-Calculation-sheet'!X5*'Output-Calculation-sheet'!X14</f>
        <v>0</v>
      </c>
      <c r="Y28" s="2">
        <f>Y6/'Output-Calculation-sheet'!Y5*'Output-Calculation-sheet'!Y14</f>
        <v>46.18033023211477</v>
      </c>
      <c r="AA28" s="2">
        <f t="shared" si="1"/>
        <v>15.595878151189893</v>
      </c>
    </row>
    <row r="29" spans="1:27" x14ac:dyDescent="0.25">
      <c r="A29" s="2">
        <v>2030</v>
      </c>
      <c r="B29" s="2">
        <f>B7/'Output-Calculation-sheet'!B6*'Output-Calculation-sheet'!B15</f>
        <v>13552.6126352148</v>
      </c>
      <c r="C29" s="2">
        <f>C7/'Output-Calculation-sheet'!C6*'Output-Calculation-sheet'!C15</f>
        <v>0</v>
      </c>
      <c r="D29" s="2">
        <f>D7/'Output-Calculation-sheet'!D6*'Output-Calculation-sheet'!D15</f>
        <v>2370.7665856164185</v>
      </c>
      <c r="E29" s="2">
        <f>E7/'Output-Calculation-sheet'!E6*'Output-Calculation-sheet'!E15</f>
        <v>2550.8006949201194</v>
      </c>
      <c r="F29" s="2">
        <f>F7/'Output-Calculation-sheet'!F6*'Output-Calculation-sheet'!F15</f>
        <v>1286.9283360530835</v>
      </c>
      <c r="G29" s="2">
        <f>G7/'Output-Calculation-sheet'!G6*'Output-Calculation-sheet'!G15</f>
        <v>842.77219598129716</v>
      </c>
      <c r="H29" s="2">
        <f>H7/'Output-Calculation-sheet'!H6*'Output-Calculation-sheet'!H15</f>
        <v>0</v>
      </c>
      <c r="I29" s="2">
        <f>I7/'Output-Calculation-sheet'!I6*'Output-Calculation-sheet'!I15</f>
        <v>821.59594282078501</v>
      </c>
      <c r="J29" s="2">
        <f>J7/'Output-Calculation-sheet'!J6*'Output-Calculation-sheet'!J15</f>
        <v>731.35489294473336</v>
      </c>
      <c r="K29" s="2">
        <f>K7/'Output-Calculation-sheet'!K6*'Output-Calculation-sheet'!K15</f>
        <v>976.51335185901678</v>
      </c>
      <c r="L29" s="2">
        <f>L7/'Output-Calculation-sheet'!L6*'Output-Calculation-sheet'!L15</f>
        <v>824.83599291676478</v>
      </c>
      <c r="M29" s="2">
        <f>M7/'Output-Calculation-sheet'!M6*'Output-Calculation-sheet'!M15</f>
        <v>0</v>
      </c>
      <c r="N29" s="2">
        <f>N7/'Output-Calculation-sheet'!N6*'Output-Calculation-sheet'!N15</f>
        <v>1064.191500591799</v>
      </c>
      <c r="O29" s="2">
        <f>O7/'Output-Calculation-sheet'!O6*'Output-Calculation-sheet'!O15</f>
        <v>0</v>
      </c>
      <c r="P29" s="2">
        <f>P7/'Output-Calculation-sheet'!P6*'Output-Calculation-sheet'!P15</f>
        <v>967.17001188157531</v>
      </c>
      <c r="Q29" s="2">
        <f>Q7/'Output-Calculation-sheet'!Q6*'Output-Calculation-sheet'!Q15</f>
        <v>1089.8124823691437</v>
      </c>
      <c r="R29" s="2">
        <f>R7/'Output-Calculation-sheet'!R6*'Output-Calculation-sheet'!R15</f>
        <v>727.66172629851314</v>
      </c>
      <c r="S29" s="2">
        <f>S7/'Output-Calculation-sheet'!S6*'Output-Calculation-sheet'!S15</f>
        <v>751.59757644000138</v>
      </c>
      <c r="T29" s="2">
        <f>T7/'Output-Calculation-sheet'!T6*'Output-Calculation-sheet'!T15</f>
        <v>220.55373728929908</v>
      </c>
      <c r="U29" s="2">
        <f>U7/'Output-Calculation-sheet'!U6*'Output-Calculation-sheet'!U15</f>
        <v>220.1621149747352</v>
      </c>
      <c r="V29" s="2">
        <f>V7/'Output-Calculation-sheet'!V6*'Output-Calculation-sheet'!V15</f>
        <v>171.34797035911538</v>
      </c>
      <c r="W29" s="2">
        <f>W7/'Output-Calculation-sheet'!W6*'Output-Calculation-sheet'!W15</f>
        <v>103.93083250045947</v>
      </c>
      <c r="X29" s="2">
        <f>X7/'Output-Calculation-sheet'!X6*'Output-Calculation-sheet'!X15</f>
        <v>0</v>
      </c>
      <c r="Y29" s="2">
        <f>Y7/'Output-Calculation-sheet'!Y6*'Output-Calculation-sheet'!Y15</f>
        <v>87.871300313670062</v>
      </c>
      <c r="AA29" s="2">
        <f t="shared" si="1"/>
        <v>29.362479881345326</v>
      </c>
    </row>
    <row r="30" spans="1:27" x14ac:dyDescent="0.25">
      <c r="A30" s="2">
        <v>2031</v>
      </c>
      <c r="B30" s="2">
        <f>B8/'Output-Calculation-sheet'!B7*'Output-Calculation-sheet'!B16</f>
        <v>22107.500184672572</v>
      </c>
      <c r="C30" s="2">
        <f>C8/'Output-Calculation-sheet'!C7*'Output-Calculation-sheet'!C16</f>
        <v>0</v>
      </c>
      <c r="D30" s="2">
        <f>D8/'Output-Calculation-sheet'!D7*'Output-Calculation-sheet'!D16</f>
        <v>3722.6107775721471</v>
      </c>
      <c r="E30" s="2">
        <f>E8/'Output-Calculation-sheet'!E7*'Output-Calculation-sheet'!E16</f>
        <v>4005.3188771325836</v>
      </c>
      <c r="F30" s="2">
        <f>F8/'Output-Calculation-sheet'!F7*'Output-Calculation-sheet'!F16</f>
        <v>2020.7046869053145</v>
      </c>
      <c r="G30" s="2">
        <f>G8/'Output-Calculation-sheet'!G7*'Output-Calculation-sheet'!G16</f>
        <v>1323.3215675629369</v>
      </c>
      <c r="H30" s="2">
        <f>H8/'Output-Calculation-sheet'!H7*'Output-Calculation-sheet'!H16</f>
        <v>0</v>
      </c>
      <c r="I30" s="2">
        <f>I8/'Output-Calculation-sheet'!I7*'Output-Calculation-sheet'!I16</f>
        <v>1290.0403857038434</v>
      </c>
      <c r="J30" s="2">
        <f>J8/'Output-Calculation-sheet'!J7*'Output-Calculation-sheet'!J16</f>
        <v>1148.3839971566651</v>
      </c>
      <c r="K30" s="2">
        <f>K8/'Output-Calculation-sheet'!K7*'Output-Calculation-sheet'!K16</f>
        <v>1533.3121381012493</v>
      </c>
      <c r="L30" s="2">
        <f>L8/'Output-Calculation-sheet'!L7*'Output-Calculation-sheet'!L16</f>
        <v>1295.150256917992</v>
      </c>
      <c r="M30" s="2">
        <f>M8/'Output-Calculation-sheet'!M7*'Output-Calculation-sheet'!M16</f>
        <v>0</v>
      </c>
      <c r="N30" s="2">
        <f>N8/'Output-Calculation-sheet'!N7*'Output-Calculation-sheet'!N16</f>
        <v>1839.6518251331611</v>
      </c>
      <c r="O30" s="2">
        <f>O8/'Output-Calculation-sheet'!O7*'Output-Calculation-sheet'!O16</f>
        <v>0</v>
      </c>
      <c r="P30" s="2">
        <f>P8/'Output-Calculation-sheet'!P7*'Output-Calculation-sheet'!P16</f>
        <v>1653.4186966327834</v>
      </c>
      <c r="Q30" s="2">
        <f>Q8/'Output-Calculation-sheet'!Q7*'Output-Calculation-sheet'!Q16</f>
        <v>1818.2145085103157</v>
      </c>
      <c r="R30" s="2">
        <f>R8/'Output-Calculation-sheet'!R7*'Output-Calculation-sheet'!R16</f>
        <v>1153.6650083084974</v>
      </c>
      <c r="S30" s="2">
        <f>S8/'Output-Calculation-sheet'!S7*'Output-Calculation-sheet'!S16</f>
        <v>1160.2487061447423</v>
      </c>
      <c r="T30" s="2">
        <f>T8/'Output-Calculation-sheet'!T7*'Output-Calculation-sheet'!T16</f>
        <v>346.31365243570099</v>
      </c>
      <c r="U30" s="2">
        <f>U8/'Output-Calculation-sheet'!U7*'Output-Calculation-sheet'!U16</f>
        <v>345.69462556369194</v>
      </c>
      <c r="V30" s="2">
        <f>V8/'Output-Calculation-sheet'!V7*'Output-Calculation-sheet'!V16</f>
        <v>269.04755594960898</v>
      </c>
      <c r="W30" s="2">
        <f>W8/'Output-Calculation-sheet'!W7*'Output-Calculation-sheet'!W16</f>
        <v>163.19090605301153</v>
      </c>
      <c r="X30" s="2">
        <f>X8/'Output-Calculation-sheet'!X7*'Output-Calculation-sheet'!X16</f>
        <v>0</v>
      </c>
      <c r="Y30" s="2">
        <f>Y8/'Output-Calculation-sheet'!Y7*'Output-Calculation-sheet'!Y16</f>
        <v>138.12254923270021</v>
      </c>
      <c r="AA30" s="2">
        <f t="shared" si="1"/>
        <v>47.333910905689507</v>
      </c>
    </row>
    <row r="31" spans="1:27" x14ac:dyDescent="0.25">
      <c r="A31" s="2">
        <v>2032</v>
      </c>
      <c r="B31" s="2">
        <f>B9/'Output-Calculation-sheet'!B8*'Output-Calculation-sheet'!B17</f>
        <v>30224.423095827049</v>
      </c>
      <c r="C31" s="2">
        <f>C9/'Output-Calculation-sheet'!C8*'Output-Calculation-sheet'!C17</f>
        <v>0</v>
      </c>
      <c r="D31" s="2">
        <f>D9/'Output-Calculation-sheet'!D8*'Output-Calculation-sheet'!D17</f>
        <v>5069.0325889500064</v>
      </c>
      <c r="E31" s="2">
        <f>E9/'Output-Calculation-sheet'!E8*'Output-Calculation-sheet'!E17</f>
        <v>5957.9552354462385</v>
      </c>
      <c r="F31" s="2">
        <f>F9/'Output-Calculation-sheet'!F8*'Output-Calculation-sheet'!F17</f>
        <v>2751.6353490581068</v>
      </c>
      <c r="G31" s="2">
        <f>G9/'Output-Calculation-sheet'!G8*'Output-Calculation-sheet'!G17</f>
        <v>1801.9776424313748</v>
      </c>
      <c r="H31" s="2">
        <f>H9/'Output-Calculation-sheet'!H8*'Output-Calculation-sheet'!H17</f>
        <v>0</v>
      </c>
      <c r="I31" s="2">
        <f>I9/'Output-Calculation-sheet'!I8*'Output-Calculation-sheet'!I17</f>
        <v>1756.6666170009478</v>
      </c>
      <c r="J31" s="2">
        <f>J9/'Output-Calculation-sheet'!J8*'Output-Calculation-sheet'!J17</f>
        <v>1563.7718862071531</v>
      </c>
      <c r="K31" s="2">
        <f>K9/'Output-Calculation-sheet'!K8*'Output-Calculation-sheet'!K17</f>
        <v>2226.3959619298307</v>
      </c>
      <c r="L31" s="2">
        <f>L9/'Output-Calculation-sheet'!L8*'Output-Calculation-sheet'!L17</f>
        <v>1898.7243650116966</v>
      </c>
      <c r="M31" s="2">
        <f>M9/'Output-Calculation-sheet'!M8*'Output-Calculation-sheet'!M17</f>
        <v>0</v>
      </c>
      <c r="N31" s="2">
        <f>N9/'Output-Calculation-sheet'!N8*'Output-Calculation-sheet'!N17</f>
        <v>2064.1075786181232</v>
      </c>
      <c r="O31" s="2">
        <f>O9/'Output-Calculation-sheet'!O8*'Output-Calculation-sheet'!O17</f>
        <v>0</v>
      </c>
      <c r="P31" s="2">
        <f>P9/'Output-Calculation-sheet'!P8*'Output-Calculation-sheet'!P17</f>
        <v>2561.8778774032821</v>
      </c>
      <c r="Q31" s="2">
        <f>Q9/'Output-Calculation-sheet'!Q8*'Output-Calculation-sheet'!Q17</f>
        <v>2731.1971948364135</v>
      </c>
      <c r="R31" s="2">
        <f>R9/'Output-Calculation-sheet'!R8*'Output-Calculation-sheet'!R17</f>
        <v>1786.8935469602488</v>
      </c>
      <c r="S31" s="2">
        <f>S9/'Output-Calculation-sheet'!S8*'Output-Calculation-sheet'!S17</f>
        <v>1537.5425987193787</v>
      </c>
      <c r="T31" s="2">
        <f>T9/'Output-Calculation-sheet'!T8*'Output-Calculation-sheet'!T17</f>
        <v>484.88661914243954</v>
      </c>
      <c r="U31" s="2">
        <f>U9/'Output-Calculation-sheet'!U8*'Output-Calculation-sheet'!U17</f>
        <v>557.28930800609146</v>
      </c>
      <c r="V31" s="2">
        <f>V9/'Output-Calculation-sheet'!V8*'Output-Calculation-sheet'!V17</f>
        <v>399.15988855158793</v>
      </c>
      <c r="W31" s="2">
        <f>W9/'Output-Calculation-sheet'!W8*'Output-Calculation-sheet'!W17</f>
        <v>222.22172784580181</v>
      </c>
      <c r="X31" s="2">
        <f>X9/'Output-Calculation-sheet'!X8*'Output-Calculation-sheet'!X17</f>
        <v>0</v>
      </c>
      <c r="Y31" s="2">
        <f>Y9/'Output-Calculation-sheet'!Y8*'Output-Calculation-sheet'!Y17</f>
        <v>214.71433400421861</v>
      </c>
      <c r="AA31" s="2">
        <f t="shared" si="1"/>
        <v>65.810473415950014</v>
      </c>
    </row>
    <row r="32" spans="1:27" x14ac:dyDescent="0.25">
      <c r="A32" s="2">
        <v>2033</v>
      </c>
      <c r="B32" s="2">
        <f>B10/'Output-Calculation-sheet'!B9*'Output-Calculation-sheet'!B18</f>
        <v>33472.405485677984</v>
      </c>
      <c r="C32" s="2">
        <f>C10/'Output-Calculation-sheet'!C9*'Output-Calculation-sheet'!C18</f>
        <v>0</v>
      </c>
      <c r="D32" s="2">
        <f>D10/'Output-Calculation-sheet'!D9*'Output-Calculation-sheet'!D18</f>
        <v>6429.9371898418967</v>
      </c>
      <c r="E32" s="2">
        <f>E10/'Output-Calculation-sheet'!E9*'Output-Calculation-sheet'!E18</f>
        <v>8982.2950212106389</v>
      </c>
      <c r="F32" s="2">
        <f>F10/'Output-Calculation-sheet'!F9*'Output-Calculation-sheet'!F18</f>
        <v>3626.0267667252292</v>
      </c>
      <c r="G32" s="2">
        <f>G10/'Output-Calculation-sheet'!G9*'Output-Calculation-sheet'!G18</f>
        <v>2262.0754046261172</v>
      </c>
      <c r="H32" s="2">
        <f>H10/'Output-Calculation-sheet'!H9*'Output-Calculation-sheet'!H18</f>
        <v>0</v>
      </c>
      <c r="I32" s="2">
        <f>I10/'Output-Calculation-sheet'!I9*'Output-Calculation-sheet'!I18</f>
        <v>2388.2204469546436</v>
      </c>
      <c r="J32" s="2">
        <f>J10/'Output-Calculation-sheet'!J9*'Output-Calculation-sheet'!J18</f>
        <v>1916.8628777521333</v>
      </c>
      <c r="K32" s="2">
        <f>K10/'Output-Calculation-sheet'!K9*'Output-Calculation-sheet'!K18</f>
        <v>3190.3826310897553</v>
      </c>
      <c r="L32" s="2">
        <f>L10/'Output-Calculation-sheet'!L9*'Output-Calculation-sheet'!L18</f>
        <v>2755.9695965190663</v>
      </c>
      <c r="M32" s="2">
        <f>M10/'Output-Calculation-sheet'!M9*'Output-Calculation-sheet'!M18</f>
        <v>0</v>
      </c>
      <c r="N32" s="2">
        <f>N10/'Output-Calculation-sheet'!N9*'Output-Calculation-sheet'!N18</f>
        <v>2039.692221884105</v>
      </c>
      <c r="O32" s="2">
        <f>O10/'Output-Calculation-sheet'!O9*'Output-Calculation-sheet'!O18</f>
        <v>0</v>
      </c>
      <c r="P32" s="2">
        <f>P10/'Output-Calculation-sheet'!P9*'Output-Calculation-sheet'!P18</f>
        <v>3283.8690997385052</v>
      </c>
      <c r="Q32" s="2">
        <f>Q10/'Output-Calculation-sheet'!Q9*'Output-Calculation-sheet'!Q18</f>
        <v>3574.5835835716807</v>
      </c>
      <c r="R32" s="2">
        <f>R10/'Output-Calculation-sheet'!R9*'Output-Calculation-sheet'!R18</f>
        <v>2357.988567188263</v>
      </c>
      <c r="S32" s="2">
        <f>S10/'Output-Calculation-sheet'!S9*'Output-Calculation-sheet'!S18</f>
        <v>1547.3258069797826</v>
      </c>
      <c r="T32" s="2">
        <f>T10/'Output-Calculation-sheet'!T9*'Output-Calculation-sheet'!T18</f>
        <v>688.28043751062046</v>
      </c>
      <c r="U32" s="2">
        <f>U10/'Output-Calculation-sheet'!U9*'Output-Calculation-sheet'!U18</f>
        <v>761.23032666185736</v>
      </c>
      <c r="V32" s="2">
        <f>V10/'Output-Calculation-sheet'!V9*'Output-Calculation-sheet'!V18</f>
        <v>562.15203344558006</v>
      </c>
      <c r="W32" s="2">
        <f>W10/'Output-Calculation-sheet'!W9*'Output-Calculation-sheet'!W18</f>
        <v>280.41752633839553</v>
      </c>
      <c r="X32" s="2">
        <f>X10/'Output-Calculation-sheet'!X9*'Output-Calculation-sheet'!X18</f>
        <v>0</v>
      </c>
      <c r="Y32" s="2">
        <f>Y10/'Output-Calculation-sheet'!Y9*'Output-Calculation-sheet'!Y18</f>
        <v>325.65047176931836</v>
      </c>
      <c r="AA32" s="2">
        <f t="shared" si="1"/>
        <v>80.445365495485575</v>
      </c>
    </row>
    <row r="33" spans="1:27" x14ac:dyDescent="0.25">
      <c r="A33" s="2">
        <v>2034</v>
      </c>
      <c r="B33" s="2">
        <f>B11/'Output-Calculation-sheet'!B10*'Output-Calculation-sheet'!B19</f>
        <v>30713.853010332328</v>
      </c>
      <c r="C33" s="2">
        <f>C11/'Output-Calculation-sheet'!C10*'Output-Calculation-sheet'!C19</f>
        <v>0</v>
      </c>
      <c r="D33" s="2">
        <f>D11/'Output-Calculation-sheet'!D10*'Output-Calculation-sheet'!D19</f>
        <v>9161.6050092169007</v>
      </c>
      <c r="E33" s="2">
        <f>E11/'Output-Calculation-sheet'!E10*'Output-Calculation-sheet'!E19</f>
        <v>11347.260420987874</v>
      </c>
      <c r="F33" s="2">
        <f>F11/'Output-Calculation-sheet'!F10*'Output-Calculation-sheet'!F19</f>
        <v>5206.9346784179588</v>
      </c>
      <c r="G33" s="2">
        <f>G11/'Output-Calculation-sheet'!G10*'Output-Calculation-sheet'!G19</f>
        <v>3118.5236965198856</v>
      </c>
      <c r="H33" s="2">
        <f>H11/'Output-Calculation-sheet'!H10*'Output-Calculation-sheet'!H19</f>
        <v>0</v>
      </c>
      <c r="I33" s="2">
        <f>I11/'Output-Calculation-sheet'!I10*'Output-Calculation-sheet'!I19</f>
        <v>3402.7466711808456</v>
      </c>
      <c r="J33" s="2">
        <f>J11/'Output-Calculation-sheet'!J10*'Output-Calculation-sheet'!J19</f>
        <v>2877.2415853579046</v>
      </c>
      <c r="K33" s="2">
        <f>K11/'Output-Calculation-sheet'!K10*'Output-Calculation-sheet'!K19</f>
        <v>3992.5879019280269</v>
      </c>
      <c r="L33" s="2">
        <f>L11/'Output-Calculation-sheet'!L10*'Output-Calculation-sheet'!L19</f>
        <v>3246.9250949780553</v>
      </c>
      <c r="M33" s="2">
        <f>M11/'Output-Calculation-sheet'!M10*'Output-Calculation-sheet'!M19</f>
        <v>0</v>
      </c>
      <c r="N33" s="2">
        <f>N11/'Output-Calculation-sheet'!N10*'Output-Calculation-sheet'!N19</f>
        <v>1835.9981726877827</v>
      </c>
      <c r="O33" s="2">
        <f>O11/'Output-Calculation-sheet'!O10*'Output-Calculation-sheet'!O19</f>
        <v>0</v>
      </c>
      <c r="P33" s="2">
        <f>P11/'Output-Calculation-sheet'!P10*'Output-Calculation-sheet'!P19</f>
        <v>4039.79465849904</v>
      </c>
      <c r="Q33" s="2">
        <f>Q11/'Output-Calculation-sheet'!Q10*'Output-Calculation-sheet'!Q19</f>
        <v>3326.7284898377693</v>
      </c>
      <c r="R33" s="2">
        <f>R11/'Output-Calculation-sheet'!R10*'Output-Calculation-sheet'!R19</f>
        <v>2884.348272266267</v>
      </c>
      <c r="S33" s="2">
        <f>S11/'Output-Calculation-sheet'!S10*'Output-Calculation-sheet'!S19</f>
        <v>1344.5816052154439</v>
      </c>
      <c r="T33" s="2">
        <f>T11/'Output-Calculation-sheet'!T10*'Output-Calculation-sheet'!T19</f>
        <v>846.35139667522299</v>
      </c>
      <c r="U33" s="2">
        <f>U11/'Output-Calculation-sheet'!U10*'Output-Calculation-sheet'!U19</f>
        <v>974.07754989540683</v>
      </c>
      <c r="V33" s="2">
        <f>V11/'Output-Calculation-sheet'!V10*'Output-Calculation-sheet'!V19</f>
        <v>663.70467739511082</v>
      </c>
      <c r="W33" s="2">
        <f>W11/'Output-Calculation-sheet'!W10*'Output-Calculation-sheet'!W19</f>
        <v>413.89525535282991</v>
      </c>
      <c r="X33" s="2">
        <f>X11/'Output-Calculation-sheet'!X10*'Output-Calculation-sheet'!X19</f>
        <v>119.67759622544442</v>
      </c>
      <c r="Y33" s="2">
        <f>Y11/'Output-Calculation-sheet'!Y10*'Output-Calculation-sheet'!Y19</f>
        <v>372.49070887771717</v>
      </c>
      <c r="AA33" s="2">
        <f t="shared" si="1"/>
        <v>89.889326451847822</v>
      </c>
    </row>
    <row r="34" spans="1:27" x14ac:dyDescent="0.25">
      <c r="A34" s="2">
        <v>2035</v>
      </c>
      <c r="B34" s="2">
        <f>B12/'Output-Calculation-sheet'!B11*'Output-Calculation-sheet'!B20</f>
        <v>27194.892250561581</v>
      </c>
      <c r="C34" s="2">
        <f>C12/'Output-Calculation-sheet'!C11*'Output-Calculation-sheet'!C20</f>
        <v>0</v>
      </c>
      <c r="D34" s="2">
        <f>D12/'Output-Calculation-sheet'!D11*'Output-Calculation-sheet'!D20</f>
        <v>8534.5865379877068</v>
      </c>
      <c r="E34" s="2">
        <f>E12/'Output-Calculation-sheet'!E11*'Output-Calculation-sheet'!E20</f>
        <v>9325.2899015911826</v>
      </c>
      <c r="F34" s="2">
        <f>F12/'Output-Calculation-sheet'!F11*'Output-Calculation-sheet'!F20</f>
        <v>5875.3699151786113</v>
      </c>
      <c r="G34" s="2">
        <f>G12/'Output-Calculation-sheet'!G11*'Output-Calculation-sheet'!G20</f>
        <v>3139.6232460611927</v>
      </c>
      <c r="H34" s="2">
        <f>H12/'Output-Calculation-sheet'!H11*'Output-Calculation-sheet'!H20</f>
        <v>0</v>
      </c>
      <c r="I34" s="2">
        <f>I12/'Output-Calculation-sheet'!I11*'Output-Calculation-sheet'!I20</f>
        <v>3412.3429491500756</v>
      </c>
      <c r="J34" s="2">
        <f>J12/'Output-Calculation-sheet'!J11*'Output-Calculation-sheet'!J20</f>
        <v>2929.4993684847891</v>
      </c>
      <c r="K34" s="2">
        <f>K12/'Output-Calculation-sheet'!K11*'Output-Calculation-sheet'!K20</f>
        <v>3851.5783998540992</v>
      </c>
      <c r="L34" s="2">
        <f>L12/'Output-Calculation-sheet'!L11*'Output-Calculation-sheet'!L20</f>
        <v>3043.9641015313114</v>
      </c>
      <c r="M34" s="2">
        <f>M12/'Output-Calculation-sheet'!M11*'Output-Calculation-sheet'!M20</f>
        <v>0</v>
      </c>
      <c r="N34" s="2">
        <f>N12/'Output-Calculation-sheet'!N11*'Output-Calculation-sheet'!N20</f>
        <v>1693.9665230920841</v>
      </c>
      <c r="O34" s="2">
        <f>O12/'Output-Calculation-sheet'!O11*'Output-Calculation-sheet'!O20</f>
        <v>0</v>
      </c>
      <c r="P34" s="2">
        <f>P12/'Output-Calculation-sheet'!P11*'Output-Calculation-sheet'!P20</f>
        <v>3785.7057494567621</v>
      </c>
      <c r="Q34" s="2">
        <f>Q12/'Output-Calculation-sheet'!Q11*'Output-Calculation-sheet'!Q20</f>
        <v>2995.5169474572835</v>
      </c>
      <c r="R34" s="2">
        <f>R12/'Output-Calculation-sheet'!R11*'Output-Calculation-sheet'!R20</f>
        <v>3006.6006227921143</v>
      </c>
      <c r="S34" s="2">
        <f>S12/'Output-Calculation-sheet'!S11*'Output-Calculation-sheet'!S20</f>
        <v>1148.4484843104065</v>
      </c>
      <c r="T34" s="2">
        <f>T12/'Output-Calculation-sheet'!T11*'Output-Calculation-sheet'!T20</f>
        <v>944.58103954857904</v>
      </c>
      <c r="U34" s="2">
        <f>U12/'Output-Calculation-sheet'!U11*'Output-Calculation-sheet'!U20</f>
        <v>861.7838257003059</v>
      </c>
      <c r="V34" s="2">
        <f>V12/'Output-Calculation-sheet'!V11*'Output-Calculation-sheet'!V20</f>
        <v>791.63677636364719</v>
      </c>
      <c r="W34" s="2">
        <f>W12/'Output-Calculation-sheet'!W11*'Output-Calculation-sheet'!W20</f>
        <v>509.31114669333016</v>
      </c>
      <c r="X34" s="2">
        <f>X12/'Output-Calculation-sheet'!X11*'Output-Calculation-sheet'!X20</f>
        <v>102.93369896158141</v>
      </c>
      <c r="Y34" s="2">
        <f>Y12/'Output-Calculation-sheet'!Y11*'Output-Calculation-sheet'!Y20</f>
        <v>285.48813840190752</v>
      </c>
      <c r="AA34" s="2">
        <f t="shared" si="1"/>
        <v>83.433119623178541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1.0232768645849679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0.19879516631024693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1.2220720308952149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1.2050626055449962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0.46822249065650606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1.6732850962015022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1.312754768696933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0.76509880639251049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2.0778535750894433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1.3409915311346294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0.78155573631775055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2.1225472674523802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2.6008806351784264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0.40031603078156325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0.27545660234425146</v>
      </c>
      <c r="N44" s="2">
        <f>N11/'Output-Calculation-sheet'!N10*'Output-Calculation-sheet'!N37*0.0114</f>
        <v>0</v>
      </c>
      <c r="O44" s="2">
        <f>O11/'Output-Calculation-sheet'!O10*'Output-Calculation-sheet'!O37*0.0114</f>
        <v>1.010562275602906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0.23719989232354863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3.0218268333076399E-2</v>
      </c>
      <c r="Y44" s="2">
        <f>Y11/'Output-Calculation-sheet'!Y10*'Output-Calculation-sheet'!Y37*0.0114</f>
        <v>0</v>
      </c>
      <c r="AA44" s="2">
        <f t="shared" si="2"/>
        <v>4.5546337045637717</v>
      </c>
    </row>
    <row r="45" spans="1:27" x14ac:dyDescent="0.25">
      <c r="A45" s="2">
        <v>2035</v>
      </c>
      <c r="B45" s="2">
        <f>B12/'Output-Calculation-sheet'!B11*'Output-Calculation-sheet'!B38*0.0114</f>
        <v>2.5418287719434769</v>
      </c>
      <c r="C45" s="2">
        <f>C12/'Output-Calculation-sheet'!C11*'Output-Calculation-sheet'!C38*0.0114</f>
        <v>2.4128172537182899</v>
      </c>
      <c r="D45" s="2">
        <f>D12/'Output-Calculation-sheet'!D11*'Output-Calculation-sheet'!D38*0.0114</f>
        <v>1.0686747493800648</v>
      </c>
      <c r="E45" s="2">
        <f>E12/'Output-Calculation-sheet'!E11*'Output-Calculation-sheet'!E38*0.0114</f>
        <v>0.84931137555436187</v>
      </c>
      <c r="F45" s="2">
        <f>F12/'Output-Calculation-sheet'!F11*'Output-Calculation-sheet'!F38*0.0114</f>
        <v>0.53415861484812566</v>
      </c>
      <c r="G45" s="2">
        <f>G12/'Output-Calculation-sheet'!G11*'Output-Calculation-sheet'!G38*0.0114</f>
        <v>0.38335659360243346</v>
      </c>
      <c r="H45" s="2">
        <f>H12/'Output-Calculation-sheet'!H11*'Output-Calculation-sheet'!H38*0.0114</f>
        <v>0.37137014784360362</v>
      </c>
      <c r="I45" s="2">
        <f>I12/'Output-Calculation-sheet'!I11*'Output-Calculation-sheet'!I38*0.0114</f>
        <v>0.34480636790177949</v>
      </c>
      <c r="J45" s="2">
        <f>J12/'Output-Calculation-sheet'!J11*'Output-Calculation-sheet'!J38*0.0114</f>
        <v>0.34124509840727729</v>
      </c>
      <c r="K45" s="2">
        <f>K12/'Output-Calculation-sheet'!K11*'Output-Calculation-sheet'!K38*0.0114</f>
        <v>0.33889038435319019</v>
      </c>
      <c r="L45" s="2">
        <f>L12/'Output-Calculation-sheet'!L11*'Output-Calculation-sheet'!L38*0.0114</f>
        <v>0.269469394587943</v>
      </c>
      <c r="M45" s="2">
        <f>M12/'Output-Calculation-sheet'!M11*'Output-Calculation-sheet'!M38*0.0114</f>
        <v>0.25553900236610932</v>
      </c>
      <c r="N45" s="2">
        <f>N12/'Output-Calculation-sheet'!N11*'Output-Calculation-sheet'!N38*0.0114</f>
        <v>0.25115383487124149</v>
      </c>
      <c r="O45" s="2">
        <f>O12/'Output-Calculation-sheet'!O11*'Output-Calculation-sheet'!O38*0.0114</f>
        <v>0.93749096423421041</v>
      </c>
      <c r="P45" s="2">
        <f>P12/'Output-Calculation-sheet'!P11*'Output-Calculation-sheet'!P38*0.0114</f>
        <v>0.23202088945892363</v>
      </c>
      <c r="Q45" s="2">
        <f>Q12/'Output-Calculation-sheet'!Q11*'Output-Calculation-sheet'!Q38*0.0114</f>
        <v>0.22004854241960098</v>
      </c>
      <c r="R45" s="2">
        <f>R12/'Output-Calculation-sheet'!R11*'Output-Calculation-sheet'!R38*0.0114</f>
        <v>0.21821916048991585</v>
      </c>
      <c r="S45" s="2">
        <f>S12/'Output-Calculation-sheet'!S11*'Output-Calculation-sheet'!S38*0.0114</f>
        <v>0.14396965758141406</v>
      </c>
      <c r="T45" s="2">
        <f>T12/'Output-Calculation-sheet'!T11*'Output-Calculation-sheet'!T38*0.0114</f>
        <v>8.0733422183639242E-2</v>
      </c>
      <c r="U45" s="2">
        <f>U12/'Output-Calculation-sheet'!U11*'Output-Calculation-sheet'!U38*0.0114</f>
        <v>7.0208930272160991E-2</v>
      </c>
      <c r="V45" s="2">
        <f>V12/'Output-Calculation-sheet'!V11*'Output-Calculation-sheet'!V38*0.0114</f>
        <v>5.4137452837423009E-2</v>
      </c>
      <c r="W45" s="2">
        <f>W12/'Output-Calculation-sheet'!W11*'Output-Calculation-sheet'!W38*0.0114</f>
        <v>4.6878962910394201E-2</v>
      </c>
      <c r="X45" s="2">
        <f>X12/'Output-Calculation-sheet'!X11*'Output-Calculation-sheet'!X38*0.0114</f>
        <v>2.8033258514585348E-2</v>
      </c>
      <c r="Y45" s="2">
        <f>Y12/'Output-Calculation-sheet'!Y11*'Output-Calculation-sheet'!Y38*0.0114</f>
        <v>2.7052614419864059E-2</v>
      </c>
      <c r="AA45" s="2">
        <f t="shared" si="2"/>
        <v>12.021415444700029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9335.1573611260246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2044.71404454815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1444.9893858442663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204.40594718443722</v>
      </c>
      <c r="Y51" s="2">
        <f>Y7/'Output-Calculation-sheet'!Y6*'Output-Calculation-sheet'!Y42</f>
        <v>0</v>
      </c>
      <c r="AA51" s="2">
        <f t="shared" si="3"/>
        <v>13.029266738702878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24735.495587502555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8069.9156613597024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5508.1102771109781</v>
      </c>
      <c r="N52" s="2">
        <f>N8/'Output-Calculation-sheet'!N7*'Output-Calculation-sheet'!N43</f>
        <v>176.05166037926801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712.33109772174623</v>
      </c>
      <c r="Y52" s="2">
        <f>Y8/'Output-Calculation-sheet'!Y7*'Output-Calculation-sheet'!Y43</f>
        <v>0</v>
      </c>
      <c r="AA52" s="2">
        <f t="shared" si="3"/>
        <v>39.201904284074253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56310.270341473697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15561.656687174285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10634.767589721598</v>
      </c>
      <c r="N53" s="2">
        <f>N9/'Output-Calculation-sheet'!N8*'Output-Calculation-sheet'!N44</f>
        <v>3787.7492412592592</v>
      </c>
      <c r="O53" s="2">
        <f>O9/'Output-Calculation-sheet'!O8*'Output-Calculation-sheet'!O44</f>
        <v>0</v>
      </c>
      <c r="P53" s="2">
        <f>P9/'Output-Calculation-sheet'!P8*'Output-Calculation-sheet'!P44</f>
        <v>177.17457246666368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1181.82654949159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1329.8856193857209</v>
      </c>
      <c r="Y53" s="2">
        <f>Y9/'Output-Calculation-sheet'!Y8*'Output-Calculation-sheet'!Y44</f>
        <v>0</v>
      </c>
      <c r="AA53" s="2">
        <f t="shared" si="3"/>
        <v>88.983330600972806</v>
      </c>
    </row>
    <row r="54" spans="1:27" x14ac:dyDescent="0.25">
      <c r="A54" s="2">
        <v>2033</v>
      </c>
      <c r="B54" s="2">
        <f>B10/'Output-Calculation-sheet'!B9*'Output-Calculation-sheet'!B45</f>
        <v>31723.639839524207</v>
      </c>
      <c r="C54" s="2">
        <f>C10/'Output-Calculation-sheet'!C9*'Output-Calculation-sheet'!C45</f>
        <v>72695.856687824649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22993.626127043048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297.39146854830915</v>
      </c>
      <c r="L54" s="2">
        <f>L10/'Output-Calculation-sheet'!L9*'Output-Calculation-sheet'!L45</f>
        <v>0</v>
      </c>
      <c r="M54" s="2">
        <f>M10/'Output-Calculation-sheet'!M9*'Output-Calculation-sheet'!M45</f>
        <v>15772.032185417154</v>
      </c>
      <c r="N54" s="2">
        <f>N10/'Output-Calculation-sheet'!N9*'Output-Calculation-sheet'!N45</f>
        <v>8840.4376475268873</v>
      </c>
      <c r="O54" s="2">
        <f>O10/'Output-Calculation-sheet'!O9*'Output-Calculation-sheet'!O45</f>
        <v>0</v>
      </c>
      <c r="P54" s="2">
        <f>P10/'Output-Calculation-sheet'!P9*'Output-Calculation-sheet'!P45</f>
        <v>2398.0581073492581</v>
      </c>
      <c r="Q54" s="2">
        <f>Q10/'Output-Calculation-sheet'!Q9*'Output-Calculation-sheet'!Q45</f>
        <v>944.05635993057672</v>
      </c>
      <c r="R54" s="2">
        <f>R10/'Output-Calculation-sheet'!R9*'Output-Calculation-sheet'!R45</f>
        <v>1574.5314874611443</v>
      </c>
      <c r="S54" s="2">
        <f>S10/'Output-Calculation-sheet'!S9*'Output-Calculation-sheet'!S45</f>
        <v>3762.1188854769448</v>
      </c>
      <c r="T54" s="2">
        <f>T10/'Output-Calculation-sheet'!T9*'Output-Calculation-sheet'!T45</f>
        <v>78.719098474366149</v>
      </c>
      <c r="U54" s="2">
        <f>U10/'Output-Calculation-sheet'!U9*'Output-Calculation-sheet'!U45</f>
        <v>568.19472574087808</v>
      </c>
      <c r="V54" s="2">
        <f>V10/'Output-Calculation-sheet'!V9*'Output-Calculation-sheet'!V45</f>
        <v>42.229365393348424</v>
      </c>
      <c r="W54" s="2">
        <f>W10/'Output-Calculation-sheet'!W9*'Output-Calculation-sheet'!W45</f>
        <v>0</v>
      </c>
      <c r="X54" s="2">
        <f>X10/'Output-Calculation-sheet'!X9*'Output-Calculation-sheet'!X45</f>
        <v>1812.2322722539323</v>
      </c>
      <c r="Y54" s="2">
        <f>Y10/'Output-Calculation-sheet'!Y9*'Output-Calculation-sheet'!Y45</f>
        <v>18.46435035992474</v>
      </c>
      <c r="AA54" s="2">
        <f t="shared" si="3"/>
        <v>163.52158860832461</v>
      </c>
    </row>
    <row r="55" spans="1:27" x14ac:dyDescent="0.25">
      <c r="A55" s="2">
        <v>2034</v>
      </c>
      <c r="B55" s="2">
        <f>B11/'Output-Calculation-sheet'!B10*'Output-Calculation-sheet'!B46</f>
        <v>87486.051301048341</v>
      </c>
      <c r="C55" s="2">
        <f>C11/'Output-Calculation-sheet'!C10*'Output-Calculation-sheet'!C46</f>
        <v>71980.512315683649</v>
      </c>
      <c r="D55" s="2">
        <f>D11/'Output-Calculation-sheet'!D10*'Output-Calculation-sheet'!D46</f>
        <v>8084.0068906881679</v>
      </c>
      <c r="E55" s="2">
        <f>E11/'Output-Calculation-sheet'!E10*'Output-Calculation-sheet'!E46</f>
        <v>9958.1752776244102</v>
      </c>
      <c r="F55" s="2">
        <f>F11/'Output-Calculation-sheet'!F10*'Output-Calculation-sheet'!F46</f>
        <v>303.04884102887502</v>
      </c>
      <c r="G55" s="2">
        <f>G11/'Output-Calculation-sheet'!G10*'Output-Calculation-sheet'!G46</f>
        <v>3588.634863659247</v>
      </c>
      <c r="H55" s="2">
        <f>H11/'Output-Calculation-sheet'!H10*'Output-Calculation-sheet'!H46</f>
        <v>25950.311118208352</v>
      </c>
      <c r="I55" s="2">
        <f>I11/'Output-Calculation-sheet'!I10*'Output-Calculation-sheet'!I46</f>
        <v>1956.2198805259395</v>
      </c>
      <c r="J55" s="2">
        <f>J11/'Output-Calculation-sheet'!J10*'Output-Calculation-sheet'!J46</f>
        <v>1419.7446423208232</v>
      </c>
      <c r="K55" s="2">
        <f>K11/'Output-Calculation-sheet'!K10*'Output-Calculation-sheet'!K46</f>
        <v>3813.2681653458794</v>
      </c>
      <c r="L55" s="2">
        <f>L11/'Output-Calculation-sheet'!L10*'Output-Calculation-sheet'!L46</f>
        <v>1401.4037528352274</v>
      </c>
      <c r="M55" s="2">
        <f>M11/'Output-Calculation-sheet'!M10*'Output-Calculation-sheet'!M46</f>
        <v>18339.610629762006</v>
      </c>
      <c r="N55" s="2">
        <f>N11/'Output-Calculation-sheet'!N10*'Output-Calculation-sheet'!N46</f>
        <v>13987.698047019232</v>
      </c>
      <c r="O55" s="2">
        <f>O11/'Output-Calculation-sheet'!O10*'Output-Calculation-sheet'!O46</f>
        <v>310.260347772822</v>
      </c>
      <c r="P55" s="2">
        <f>P11/'Output-Calculation-sheet'!P10*'Output-Calculation-sheet'!P46</f>
        <v>5199.5597520556566</v>
      </c>
      <c r="Q55" s="2">
        <f>Q11/'Output-Calculation-sheet'!Q10*'Output-Calculation-sheet'!Q46</f>
        <v>3058.6301904878637</v>
      </c>
      <c r="R55" s="2">
        <f>R11/'Output-Calculation-sheet'!R10*'Output-Calculation-sheet'!R46</f>
        <v>4209.3417619956108</v>
      </c>
      <c r="S55" s="2">
        <f>S11/'Output-Calculation-sheet'!S10*'Output-Calculation-sheet'!S46</f>
        <v>6874.695865483438</v>
      </c>
      <c r="T55" s="2">
        <f>T11/'Output-Calculation-sheet'!T10*'Output-Calculation-sheet'!T46</f>
        <v>954.23318346504732</v>
      </c>
      <c r="U55" s="2">
        <f>U11/'Output-Calculation-sheet'!U10*'Output-Calculation-sheet'!U46</f>
        <v>1593.2896602186211</v>
      </c>
      <c r="V55" s="2">
        <f>V11/'Output-Calculation-sheet'!V10*'Output-Calculation-sheet'!V46</f>
        <v>644.99968648698825</v>
      </c>
      <c r="W55" s="2">
        <f>W11/'Output-Calculation-sheet'!W10*'Output-Calculation-sheet'!W46</f>
        <v>84.221454293037255</v>
      </c>
      <c r="X55" s="2">
        <f>X11/'Output-Calculation-sheet'!X10*'Output-Calculation-sheet'!X46</f>
        <v>1876.713507001587</v>
      </c>
      <c r="Y55" s="2">
        <f>Y11/'Output-Calculation-sheet'!Y10*'Output-Calculation-sheet'!Y46</f>
        <v>488.57782276671827</v>
      </c>
      <c r="AA55" s="2">
        <f t="shared" si="3"/>
        <v>273.56320895777753</v>
      </c>
    </row>
    <row r="56" spans="1:27" x14ac:dyDescent="0.25">
      <c r="A56" s="2">
        <v>2035</v>
      </c>
      <c r="B56" s="2">
        <f>B12/'Output-Calculation-sheet'!B11*'Output-Calculation-sheet'!B47</f>
        <v>103233.92293068682</v>
      </c>
      <c r="C56" s="2">
        <f>C12/'Output-Calculation-sheet'!C11*'Output-Calculation-sheet'!C47</f>
        <v>67834.028931290522</v>
      </c>
      <c r="D56" s="2">
        <f>D12/'Output-Calculation-sheet'!D11*'Output-Calculation-sheet'!D47</f>
        <v>8249.4191180215512</v>
      </c>
      <c r="E56" s="2">
        <f>E12/'Output-Calculation-sheet'!E11*'Output-Calculation-sheet'!E47</f>
        <v>23169.810333105837</v>
      </c>
      <c r="F56" s="2">
        <f>F12/'Output-Calculation-sheet'!F11*'Output-Calculation-sheet'!F47</f>
        <v>2858.2171496259357</v>
      </c>
      <c r="G56" s="2">
        <f>G12/'Output-Calculation-sheet'!G11*'Output-Calculation-sheet'!G47</f>
        <v>6456.5321027778264</v>
      </c>
      <c r="H56" s="2">
        <f>H12/'Output-Calculation-sheet'!H11*'Output-Calculation-sheet'!H47</f>
        <v>24660.280869965609</v>
      </c>
      <c r="I56" s="2">
        <f>I12/'Output-Calculation-sheet'!I11*'Output-Calculation-sheet'!I47</f>
        <v>3266.5866432800162</v>
      </c>
      <c r="J56" s="2">
        <f>J12/'Output-Calculation-sheet'!J11*'Output-Calculation-sheet'!J47</f>
        <v>2963.4442756421445</v>
      </c>
      <c r="K56" s="2">
        <f>K12/'Output-Calculation-sheet'!K11*'Output-Calculation-sheet'!K47</f>
        <v>4280.7206444613494</v>
      </c>
      <c r="L56" s="2">
        <f>L12/'Output-Calculation-sheet'!L11*'Output-Calculation-sheet'!L47</f>
        <v>2363.7666191924827</v>
      </c>
      <c r="M56" s="2">
        <f>M12/'Output-Calculation-sheet'!M11*'Output-Calculation-sheet'!M47</f>
        <v>17192.843404807532</v>
      </c>
      <c r="N56" s="2">
        <f>N12/'Output-Calculation-sheet'!N11*'Output-Calculation-sheet'!N47</f>
        <v>13130.498735373678</v>
      </c>
      <c r="O56" s="2">
        <f>O12/'Output-Calculation-sheet'!O11*'Output-Calculation-sheet'!O47</f>
        <v>1233.5407424134346</v>
      </c>
      <c r="P56" s="2">
        <f>P12/'Output-Calculation-sheet'!P11*'Output-Calculation-sheet'!P47</f>
        <v>6818.1577165560893</v>
      </c>
      <c r="Q56" s="2">
        <f>Q12/'Output-Calculation-sheet'!Q11*'Output-Calculation-sheet'!Q47</f>
        <v>3455.1481660621557</v>
      </c>
      <c r="R56" s="2">
        <f>R12/'Output-Calculation-sheet'!R11*'Output-Calculation-sheet'!R47</f>
        <v>5034.3543165656019</v>
      </c>
      <c r="S56" s="2">
        <f>S12/'Output-Calculation-sheet'!S11*'Output-Calculation-sheet'!S47</f>
        <v>6668.068351139178</v>
      </c>
      <c r="T56" s="2">
        <f>T12/'Output-Calculation-sheet'!T11*'Output-Calculation-sheet'!T47</f>
        <v>1763.387905590015</v>
      </c>
      <c r="U56" s="2">
        <f>U12/'Output-Calculation-sheet'!U11*'Output-Calculation-sheet'!U47</f>
        <v>1687.4777977694835</v>
      </c>
      <c r="V56" s="2">
        <f>V12/'Output-Calculation-sheet'!V11*'Output-Calculation-sheet'!V47</f>
        <v>1177.7270441825356</v>
      </c>
      <c r="W56" s="2">
        <f>W12/'Output-Calculation-sheet'!W11*'Output-Calculation-sheet'!W47</f>
        <v>670.28692582405745</v>
      </c>
      <c r="X56" s="2">
        <f>X12/'Output-Calculation-sheet'!X11*'Output-Calculation-sheet'!X47</f>
        <v>1775.4397059237388</v>
      </c>
      <c r="Y56" s="2">
        <f>Y12/'Output-Calculation-sheet'!Y11*'Output-Calculation-sheet'!Y47</f>
        <v>908.87292305332755</v>
      </c>
      <c r="AA56" s="2">
        <f t="shared" si="3"/>
        <v>310.85253335331095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5.0725590766760833</v>
      </c>
      <c r="C60" s="2">
        <f>C5*'Output-Calculation-sheet'!C49/10^9</f>
        <v>2.0459773571251709</v>
      </c>
      <c r="D60" s="2">
        <f>D5*'Output-Calculation-sheet'!D49/10^9</f>
        <v>1.3375738480345654</v>
      </c>
      <c r="E60" s="2">
        <f>E5*'Output-Calculation-sheet'!E49/10^9</f>
        <v>1.5518856911873322</v>
      </c>
      <c r="F60" s="2">
        <f>F5*'Output-Calculation-sheet'!F49/10^9</f>
        <v>0.71273489652079591</v>
      </c>
      <c r="G60" s="2">
        <f>G5*'Output-Calculation-sheet'!G49/10^9</f>
        <v>0.56225372291909859</v>
      </c>
      <c r="H60" s="2">
        <f>H5*'Output-Calculation-sheet'!H49/10^9</f>
        <v>0.5375956706597611</v>
      </c>
      <c r="I60" s="2">
        <f>I5*'Output-Calculation-sheet'!I49/10^9</f>
        <v>0.42326039285642575</v>
      </c>
      <c r="J60" s="2">
        <f>J5*'Output-Calculation-sheet'!J49/10^9</f>
        <v>0.65597755937692248</v>
      </c>
      <c r="K60" s="2">
        <f>K5*'Output-Calculation-sheet'!K49/10^9</f>
        <v>0.36410275512421542</v>
      </c>
      <c r="L60" s="2">
        <f>L5*'Output-Calculation-sheet'!L49/10^9</f>
        <v>0.47547521073513976</v>
      </c>
      <c r="M60" s="2">
        <f>M5*'Output-Calculation-sheet'!M49/10^9</f>
        <v>0.41152189830318753</v>
      </c>
      <c r="N60" s="2">
        <f>N5*'Output-Calculation-sheet'!N49/10^9</f>
        <v>0.34448182083793605</v>
      </c>
      <c r="O60" s="2">
        <f>O5*'Output-Calculation-sheet'!O49/10^9</f>
        <v>0.34529417961211128</v>
      </c>
      <c r="P60" s="2">
        <f>P5*'Output-Calculation-sheet'!P49/10^9</f>
        <v>0.36025358672209928</v>
      </c>
      <c r="Q60" s="2">
        <f>Q5*'Output-Calculation-sheet'!Q49/10^9</f>
        <v>0.31245376642809941</v>
      </c>
      <c r="R60" s="2">
        <f>R5*'Output-Calculation-sheet'!R49/10^9</f>
        <v>0.32667306761509102</v>
      </c>
      <c r="S60" s="2">
        <f>S5*'Output-Calculation-sheet'!S49/10^9</f>
        <v>0.23017435834208541</v>
      </c>
      <c r="T60" s="2">
        <f>T5*'Output-Calculation-sheet'!T49/10^9</f>
        <v>0.14318286130805383</v>
      </c>
      <c r="U60" s="2">
        <f>U5*'Output-Calculation-sheet'!U49/10^9</f>
        <v>0.1052079181922398</v>
      </c>
      <c r="V60" s="2">
        <f>V5*'Output-Calculation-sheet'!V49/10^9</f>
        <v>0.20007725351108799</v>
      </c>
      <c r="W60" s="2">
        <f>W5*'Output-Calculation-sheet'!W49/10^9</f>
        <v>7.967013669569159E-2</v>
      </c>
      <c r="X60" s="2">
        <f>X5*'Output-Calculation-sheet'!X49/10^9</f>
        <v>5.8434755474997525E-2</v>
      </c>
      <c r="Y60" s="2">
        <f>Y5*'Output-Calculation-sheet'!Y49/10^9</f>
        <v>4.225951098258026E-2</v>
      </c>
      <c r="AA60" s="2">
        <f t="shared" ref="AA60:AA67" si="4">SUM(B60:Y60)</f>
        <v>16.69908129524077</v>
      </c>
    </row>
    <row r="61" spans="1:27" x14ac:dyDescent="0.25">
      <c r="A61" s="2">
        <v>2029</v>
      </c>
      <c r="B61" s="2">
        <f>B6*'Output-Calculation-sheet'!B50/10^9</f>
        <v>6.5374176804198889</v>
      </c>
      <c r="C61" s="2">
        <f>C6*'Output-Calculation-sheet'!C50/10^9</f>
        <v>2.8018501765903334</v>
      </c>
      <c r="D61" s="2">
        <f>D6*'Output-Calculation-sheet'!D50/10^9</f>
        <v>1.6828251099558802</v>
      </c>
      <c r="E61" s="2">
        <f>E6*'Output-Calculation-sheet'!E50/10^9</f>
        <v>1.9451953925093053</v>
      </c>
      <c r="F61" s="2">
        <f>F6*'Output-Calculation-sheet'!F50/10^9</f>
        <v>0.89756316463738572</v>
      </c>
      <c r="G61" s="2">
        <f>G6*'Output-Calculation-sheet'!G50/10^9</f>
        <v>0.70179374856557386</v>
      </c>
      <c r="H61" s="2">
        <f>H6*'Output-Calculation-sheet'!H50/10^9</f>
        <v>0.7264909407587119</v>
      </c>
      <c r="I61" s="2">
        <f>I6*'Output-Calculation-sheet'!I50/10^9</f>
        <v>0.53510471711759811</v>
      </c>
      <c r="J61" s="2">
        <f>J6*'Output-Calculation-sheet'!J50/10^9</f>
        <v>0.80962631793436146</v>
      </c>
      <c r="K61" s="2">
        <f>K6*'Output-Calculation-sheet'!K50/10^9</f>
        <v>0.47011543362091507</v>
      </c>
      <c r="L61" s="2">
        <f>L6*'Output-Calculation-sheet'!L50/10^9</f>
        <v>0.59755263122903535</v>
      </c>
      <c r="M61" s="2">
        <f>M6*'Output-Calculation-sheet'!M50/10^9</f>
        <v>0.55012684468968664</v>
      </c>
      <c r="N61" s="2">
        <f>N6*'Output-Calculation-sheet'!N50/10^9</f>
        <v>0.46873446639044974</v>
      </c>
      <c r="O61" s="2">
        <f>O6*'Output-Calculation-sheet'!O50/10^9</f>
        <v>0.48805649764088471</v>
      </c>
      <c r="P61" s="2">
        <f>P6*'Output-Calculation-sheet'!P50/10^9</f>
        <v>0.46518149153664606</v>
      </c>
      <c r="Q61" s="2">
        <f>Q6*'Output-Calculation-sheet'!Q50/10^9</f>
        <v>0.41208966691992105</v>
      </c>
      <c r="R61" s="2">
        <f>R6*'Output-Calculation-sheet'!R50/10^9</f>
        <v>0.41639374438283222</v>
      </c>
      <c r="S61" s="2">
        <f>S6*'Output-Calculation-sheet'!S50/10^9</f>
        <v>0.30527706374351316</v>
      </c>
      <c r="T61" s="2">
        <f>T6*'Output-Calculation-sheet'!T50/10^9</f>
        <v>0.17893359973005674</v>
      </c>
      <c r="U61" s="2">
        <f>U6*'Output-Calculation-sheet'!U50/10^9</f>
        <v>0.13358778158133225</v>
      </c>
      <c r="V61" s="2">
        <f>V6*'Output-Calculation-sheet'!V50/10^9</f>
        <v>0.24506182483129105</v>
      </c>
      <c r="W61" s="2">
        <f>W6*'Output-Calculation-sheet'!W50/10^9</f>
        <v>9.8879961498775537E-2</v>
      </c>
      <c r="X61" s="2">
        <f>X6*'Output-Calculation-sheet'!X50/10^9</f>
        <v>7.7194754658738748E-2</v>
      </c>
      <c r="Y61" s="2">
        <f>Y6*'Output-Calculation-sheet'!Y50/10^9</f>
        <v>5.3638595349620809E-2</v>
      </c>
      <c r="AA61" s="2">
        <f t="shared" si="4"/>
        <v>21.598691606292746</v>
      </c>
    </row>
    <row r="62" spans="1:27" x14ac:dyDescent="0.25">
      <c r="A62" s="2">
        <v>2030</v>
      </c>
      <c r="B62" s="2">
        <f>B7*'Output-Calculation-sheet'!B51/10^9</f>
        <v>7.6378864445348329</v>
      </c>
      <c r="C62" s="2">
        <f>C7*'Output-Calculation-sheet'!C51/10^9</f>
        <v>3.7958684001686898</v>
      </c>
      <c r="D62" s="2">
        <f>D7*'Output-Calculation-sheet'!D51/10^9</f>
        <v>1.9027766899325538</v>
      </c>
      <c r="E62" s="2">
        <f>E7*'Output-Calculation-sheet'!E51/10^9</f>
        <v>2.1895351068568885</v>
      </c>
      <c r="F62" s="2">
        <f>F7*'Output-Calculation-sheet'!F51/10^9</f>
        <v>1.0160501387101462</v>
      </c>
      <c r="G62" s="2">
        <f>G7*'Output-Calculation-sheet'!G51/10^9</f>
        <v>0.78589738699686085</v>
      </c>
      <c r="H62" s="2">
        <f>H7*'Output-Calculation-sheet'!H51/10^9</f>
        <v>0.9568794586838516</v>
      </c>
      <c r="I62" s="2">
        <f>I7*'Output-Calculation-sheet'!I51/10^9</f>
        <v>0.60858318712557469</v>
      </c>
      <c r="J62" s="2">
        <f>J7*'Output-Calculation-sheet'!J51/10^9</f>
        <v>0.89406726562996408</v>
      </c>
      <c r="K62" s="2">
        <f>K7*'Output-Calculation-sheet'!K51/10^9</f>
        <v>0.54797628128553622</v>
      </c>
      <c r="L62" s="2">
        <f>L7*'Output-Calculation-sheet'!L51/10^9</f>
        <v>0.67476643158617322</v>
      </c>
      <c r="M62" s="2">
        <f>M7*'Output-Calculation-sheet'!M51/10^9</f>
        <v>0.71297570486109774</v>
      </c>
      <c r="N62" s="2">
        <f>N7*'Output-Calculation-sheet'!N51/10^9</f>
        <v>0.58249184008758248</v>
      </c>
      <c r="O62" s="2">
        <f>O7*'Output-Calculation-sheet'!O51/10^9</f>
        <v>0.66278751435343575</v>
      </c>
      <c r="P62" s="2">
        <f>P7*'Output-Calculation-sheet'!P51/10^9</f>
        <v>0.54227288191023604</v>
      </c>
      <c r="Q62" s="2">
        <f>Q7*'Output-Calculation-sheet'!Q51/10^9</f>
        <v>0.49347168613694925</v>
      </c>
      <c r="R62" s="2">
        <f>R7*'Output-Calculation-sheet'!R51/10^9</f>
        <v>0.47818629948735392</v>
      </c>
      <c r="S62" s="2">
        <f>S7*'Output-Calculation-sheet'!S51/10^9</f>
        <v>0.37073689799526294</v>
      </c>
      <c r="T62" s="2">
        <f>T7*'Output-Calculation-sheet'!T51/10^9</f>
        <v>0.20067373004376185</v>
      </c>
      <c r="U62" s="2">
        <f>U7*'Output-Calculation-sheet'!U51/10^9</f>
        <v>0.15271793535398634</v>
      </c>
      <c r="V62" s="2">
        <f>V7*'Output-Calculation-sheet'!V51/10^9</f>
        <v>0.26800736766959493</v>
      </c>
      <c r="W62" s="2">
        <f>W7*'Output-Calculation-sheet'!W51/10^9</f>
        <v>0.10995600907391972</v>
      </c>
      <c r="X62" s="2">
        <f>X7*'Output-Calculation-sheet'!X51/10^9</f>
        <v>9.8628626138751743E-2</v>
      </c>
      <c r="Y62" s="2">
        <f>Y7*'Output-Calculation-sheet'!Y51/10^9</f>
        <v>6.1292173577775687E-2</v>
      </c>
      <c r="AA62" s="2">
        <f t="shared" si="4"/>
        <v>25.744485458200774</v>
      </c>
    </row>
    <row r="63" spans="1:27" x14ac:dyDescent="0.25">
      <c r="A63" s="2">
        <v>2031</v>
      </c>
      <c r="B63" s="2">
        <f>B8*'Output-Calculation-sheet'!B52/10^9</f>
        <v>8.4045087125574369</v>
      </c>
      <c r="C63" s="2">
        <f>C8*'Output-Calculation-sheet'!C52/10^9</f>
        <v>4.7826046013793171</v>
      </c>
      <c r="D63" s="2">
        <f>D8*'Output-Calculation-sheet'!D52/10^9</f>
        <v>1.9678238525475975</v>
      </c>
      <c r="E63" s="2">
        <f>E8*'Output-Calculation-sheet'!E52/10^9</f>
        <v>2.2512884435488192</v>
      </c>
      <c r="F63" s="2">
        <f>F8*'Output-Calculation-sheet'!F52/10^9</f>
        <v>1.05233380705436</v>
      </c>
      <c r="G63" s="2">
        <f>G8*'Output-Calculation-sheet'!G52/10^9</f>
        <v>0.80268326143080226</v>
      </c>
      <c r="H63" s="2">
        <f>H8*'Output-Calculation-sheet'!H52/10^9</f>
        <v>1.1998189749697257</v>
      </c>
      <c r="I63" s="2">
        <f>I8*'Output-Calculation-sheet'!I52/10^9</f>
        <v>0.63406642682554804</v>
      </c>
      <c r="J63" s="2">
        <f>J8*'Output-Calculation-sheet'!J52/10^9</f>
        <v>0.89636017211986563</v>
      </c>
      <c r="K63" s="2">
        <f>K8*'Output-Calculation-sheet'!K52/10^9</f>
        <v>0.58841496687236128</v>
      </c>
      <c r="L63" s="2">
        <f>L8*'Output-Calculation-sheet'!L52/10^9</f>
        <v>0.696658864273909</v>
      </c>
      <c r="M63" s="2">
        <f>M8*'Output-Calculation-sheet'!M52/10^9</f>
        <v>0.8784770997261947</v>
      </c>
      <c r="N63" s="2">
        <f>N8*'Output-Calculation-sheet'!N52/10^9</f>
        <v>0.70045567405653841</v>
      </c>
      <c r="O63" s="2">
        <f>O8*'Output-Calculation-sheet'!O52/10^9</f>
        <v>0.83127064323740807</v>
      </c>
      <c r="P63" s="2">
        <f>P8*'Output-Calculation-sheet'!P52/10^9</f>
        <v>0.5984291956701252</v>
      </c>
      <c r="Q63" s="2">
        <f>Q8*'Output-Calculation-sheet'!Q52/10^9</f>
        <v>0.55820266534043561</v>
      </c>
      <c r="R63" s="2">
        <f>R8*'Output-Calculation-sheet'!R52/10^9</f>
        <v>0.50560052368421426</v>
      </c>
      <c r="S63" s="2">
        <f>S8*'Output-Calculation-sheet'!S52/10^9</f>
        <v>0.42898448056841393</v>
      </c>
      <c r="T63" s="2">
        <f>T8*'Output-Calculation-sheet'!T52/10^9</f>
        <v>0.20535584472459292</v>
      </c>
      <c r="U63" s="2">
        <f>U8*'Output-Calculation-sheet'!U52/10^9</f>
        <v>0.16014658898165987</v>
      </c>
      <c r="V63" s="2">
        <f>V8*'Output-Calculation-sheet'!V52/10^9</f>
        <v>0.26515624293069789</v>
      </c>
      <c r="W63" s="2">
        <f>W8*'Output-Calculation-sheet'!W52/10^9</f>
        <v>0.11127136358634868</v>
      </c>
      <c r="X63" s="2">
        <f>X8*'Output-Calculation-sheet'!X52/10^9</f>
        <v>0.11857340297652545</v>
      </c>
      <c r="Y63" s="2">
        <f>Y8*'Output-Calculation-sheet'!Y52/10^9</f>
        <v>6.4255042414387981E-2</v>
      </c>
      <c r="AA63" s="2">
        <f t="shared" si="4"/>
        <v>28.702740851477284</v>
      </c>
    </row>
    <row r="64" spans="1:27" x14ac:dyDescent="0.25">
      <c r="A64" s="2">
        <v>2032</v>
      </c>
      <c r="B64" s="2">
        <f>B9*'Output-Calculation-sheet'!B53/10^9</f>
        <v>8.7818727042036588</v>
      </c>
      <c r="C64" s="2">
        <f>C9*'Output-Calculation-sheet'!C53/10^9</f>
        <v>5.5170082846726984</v>
      </c>
      <c r="D64" s="2">
        <f>D9*'Output-Calculation-sheet'!D53/10^9</f>
        <v>1.8440640211619452</v>
      </c>
      <c r="E64" s="2">
        <f>E9*'Output-Calculation-sheet'!E53/10^9</f>
        <v>2.1531710032685067</v>
      </c>
      <c r="F64" s="2">
        <f>F9*'Output-Calculation-sheet'!F53/10^9</f>
        <v>0.98805472882350542</v>
      </c>
      <c r="G64" s="2">
        <f>G9*'Output-Calculation-sheet'!G53/10^9</f>
        <v>0.73981359333657948</v>
      </c>
      <c r="H64" s="2">
        <f>H9*'Output-Calculation-sheet'!H53/10^9</f>
        <v>1.377818922840879</v>
      </c>
      <c r="I64" s="2">
        <f>I9*'Output-Calculation-sheet'!I53/10^9</f>
        <v>0.59993818823201706</v>
      </c>
      <c r="J64" s="2">
        <f>J9*'Output-Calculation-sheet'!J53/10^9</f>
        <v>0.80524593040994175</v>
      </c>
      <c r="K64" s="2">
        <f>K9*'Output-Calculation-sheet'!K53/10^9</f>
        <v>0.59444993613153341</v>
      </c>
      <c r="L64" s="2">
        <f>L9*'Output-Calculation-sheet'!L53/10^9</f>
        <v>0.66737164988859776</v>
      </c>
      <c r="M64" s="2">
        <f>M9*'Output-Calculation-sheet'!M53/10^9</f>
        <v>0.99360081826700986</v>
      </c>
      <c r="N64" s="2">
        <f>N9*'Output-Calculation-sheet'!N53/10^9</f>
        <v>0.81205347685631524</v>
      </c>
      <c r="O64" s="2">
        <f>O9*'Output-Calculation-sheet'!O53/10^9</f>
        <v>0.95930266088471994</v>
      </c>
      <c r="P64" s="2">
        <f>P9*'Output-Calculation-sheet'!P53/10^9</f>
        <v>0.63429636850409654</v>
      </c>
      <c r="Q64" s="2">
        <f>Q9*'Output-Calculation-sheet'!Q53/10^9</f>
        <v>0.60166059235423774</v>
      </c>
      <c r="R64" s="2">
        <f>R9*'Output-Calculation-sheet'!R53/10^9</f>
        <v>0.51184356931664876</v>
      </c>
      <c r="S64" s="2">
        <f>S9*'Output-Calculation-sheet'!S53/10^9</f>
        <v>0.48120103145572468</v>
      </c>
      <c r="T64" s="2">
        <f>T9*'Output-Calculation-sheet'!T53/10^9</f>
        <v>0.19133756413369973</v>
      </c>
      <c r="U64" s="2">
        <f>U9*'Output-Calculation-sheet'!U53/10^9</f>
        <v>0.16301853601765692</v>
      </c>
      <c r="V64" s="2">
        <f>V9*'Output-Calculation-sheet'!V53/10^9</f>
        <v>0.23759423457051221</v>
      </c>
      <c r="W64" s="2">
        <f>W9*'Output-Calculation-sheet'!W53/10^9</f>
        <v>0.10127061218209574</v>
      </c>
      <c r="X64" s="2">
        <f>X9*'Output-Calculation-sheet'!X53/10^9</f>
        <v>0.13089658678205132</v>
      </c>
      <c r="Y64" s="2">
        <f>Y9*'Output-Calculation-sheet'!Y53/10^9</f>
        <v>6.4413724684580051E-2</v>
      </c>
      <c r="AA64" s="2">
        <f t="shared" si="4"/>
        <v>29.951298738979215</v>
      </c>
    </row>
    <row r="65" spans="1:27" x14ac:dyDescent="0.25">
      <c r="A65" s="2">
        <v>2033</v>
      </c>
      <c r="B65" s="2">
        <f>B10*'Output-Calculation-sheet'!B54/10^9</f>
        <v>8.9802282754626752</v>
      </c>
      <c r="C65" s="2">
        <f>C10*'Output-Calculation-sheet'!C54/10^9</f>
        <v>5.9020237393423507</v>
      </c>
      <c r="D65" s="2">
        <f>D10*'Output-Calculation-sheet'!D54/10^9</f>
        <v>1.6006917109118306</v>
      </c>
      <c r="E65" s="2">
        <f>E10*'Output-Calculation-sheet'!E54/10^9</f>
        <v>2.03851265850916</v>
      </c>
      <c r="F65" s="2">
        <f>F10*'Output-Calculation-sheet'!F54/10^9</f>
        <v>0.87596647872468103</v>
      </c>
      <c r="G65" s="2">
        <f>G10*'Output-Calculation-sheet'!G54/10^9</f>
        <v>0.62364489496234199</v>
      </c>
      <c r="H65" s="2">
        <f>H10*'Output-Calculation-sheet'!H54/10^9</f>
        <v>1.4653933682693736</v>
      </c>
      <c r="I65" s="2">
        <f>I10*'Output-Calculation-sheet'!I54/10^9</f>
        <v>0.54680625606852973</v>
      </c>
      <c r="J65" s="2">
        <f>J10*'Output-Calculation-sheet'!J54/10^9</f>
        <v>0.64695861653536602</v>
      </c>
      <c r="K65" s="2">
        <f>K10*'Output-Calculation-sheet'!K54/10^9</f>
        <v>0.60538919769220123</v>
      </c>
      <c r="L65" s="2">
        <f>L10*'Output-Calculation-sheet'!L54/10^9</f>
        <v>0.62435694949783771</v>
      </c>
      <c r="M65" s="2">
        <f>M10*'Output-Calculation-sheet'!M54/10^9</f>
        <v>1.0419862053069813</v>
      </c>
      <c r="N65" s="2">
        <f>N10*'Output-Calculation-sheet'!N54/10^9</f>
        <v>0.88787956083019914</v>
      </c>
      <c r="O65" s="2">
        <f>O10*'Output-Calculation-sheet'!O54/10^9</f>
        <v>1.0331021835457446</v>
      </c>
      <c r="P65" s="2">
        <f>P10*'Output-Calculation-sheet'!P54/10^9</f>
        <v>0.65496440913571818</v>
      </c>
      <c r="Q65" s="2">
        <f>Q10*'Output-Calculation-sheet'!Q54/10^9</f>
        <v>0.64631570018517814</v>
      </c>
      <c r="R65" s="2">
        <f>R10*'Output-Calculation-sheet'!R54/10^9</f>
        <v>0.51237194665863917</v>
      </c>
      <c r="S65" s="2">
        <f>S10*'Output-Calculation-sheet'!S54/10^9</f>
        <v>0.51424481298185531</v>
      </c>
      <c r="T65" s="2">
        <f>T10*'Output-Calculation-sheet'!T54/10^9</f>
        <v>0.17350857976222414</v>
      </c>
      <c r="U65" s="2">
        <f>U10*'Output-Calculation-sheet'!U54/10^9</f>
        <v>0.16664353887495706</v>
      </c>
      <c r="V65" s="2">
        <f>V10*'Output-Calculation-sheet'!V54/10^9</f>
        <v>0.19634466333096876</v>
      </c>
      <c r="W65" s="2">
        <f>W10*'Output-Calculation-sheet'!W54/10^9</f>
        <v>8.3913846866654498E-2</v>
      </c>
      <c r="X65" s="2">
        <f>X10*'Output-Calculation-sheet'!X54/10^9</f>
        <v>0.13488849547226603</v>
      </c>
      <c r="Y65" s="2">
        <f>Y10*'Output-Calculation-sheet'!Y54/10^9</f>
        <v>6.5095698704330657E-2</v>
      </c>
      <c r="AA65" s="2">
        <f t="shared" si="4"/>
        <v>30.021231787632061</v>
      </c>
    </row>
    <row r="66" spans="1:27" x14ac:dyDescent="0.25">
      <c r="A66" s="2">
        <v>2034</v>
      </c>
      <c r="B66" s="2">
        <f>B11*'Output-Calculation-sheet'!B55/10^9</f>
        <v>8.991632300796887</v>
      </c>
      <c r="C66" s="2">
        <f>C11*'Output-Calculation-sheet'!C55/10^9</f>
        <v>5.9758341311810739</v>
      </c>
      <c r="D66" s="2">
        <f>D11*'Output-Calculation-sheet'!D55/10^9</f>
        <v>1.6267355437078865</v>
      </c>
      <c r="E66" s="2">
        <f>E11*'Output-Calculation-sheet'!E55/10^9</f>
        <v>2.1068823742336891</v>
      </c>
      <c r="F66" s="2">
        <f>F11*'Output-Calculation-sheet'!F55/10^9</f>
        <v>0.82916069588637109</v>
      </c>
      <c r="G66" s="2">
        <f>G11*'Output-Calculation-sheet'!G55/10^9</f>
        <v>0.60490617273145353</v>
      </c>
      <c r="H66" s="2">
        <f>H11*'Output-Calculation-sheet'!H55/10^9</f>
        <v>1.5095942102683364</v>
      </c>
      <c r="I66" s="2">
        <f>I11*'Output-Calculation-sheet'!I55/10^9</f>
        <v>0.56233001756154632</v>
      </c>
      <c r="J66" s="2">
        <f>J11*'Output-Calculation-sheet'!J55/10^9</f>
        <v>0.56618658225249974</v>
      </c>
      <c r="K66" s="2">
        <f>K11*'Output-Calculation-sheet'!K55/10^9</f>
        <v>0.64465431368585602</v>
      </c>
      <c r="L66" s="2">
        <f>L11*'Output-Calculation-sheet'!L55/10^9</f>
        <v>0.62498425615030218</v>
      </c>
      <c r="M66" s="2">
        <f>M11*'Output-Calculation-sheet'!M55/10^9</f>
        <v>1.0609608012089966</v>
      </c>
      <c r="N66" s="2">
        <f>N11*'Output-Calculation-sheet'!N55/10^9</f>
        <v>0.92231360147558461</v>
      </c>
      <c r="O66" s="2">
        <f>O11*'Output-Calculation-sheet'!O55/10^9</f>
        <v>1.0515625343008268</v>
      </c>
      <c r="P66" s="2">
        <f>P11*'Output-Calculation-sheet'!P55/10^9</f>
        <v>0.67430378778861144</v>
      </c>
      <c r="Q66" s="2">
        <f>Q11*'Output-Calculation-sheet'!Q55/10^9</f>
        <v>0.69359170301676421</v>
      </c>
      <c r="R66" s="2">
        <f>R11*'Output-Calculation-sheet'!R55/10^9</f>
        <v>0.51317560774891047</v>
      </c>
      <c r="S66" s="2">
        <f>S11*'Output-Calculation-sheet'!S55/10^9</f>
        <v>0.53270788481277953</v>
      </c>
      <c r="T66" s="2">
        <f>T11*'Output-Calculation-sheet'!T55/10^9</f>
        <v>0.16078818296672343</v>
      </c>
      <c r="U66" s="2">
        <f>U11*'Output-Calculation-sheet'!U55/10^9</f>
        <v>0.17499670611640458</v>
      </c>
      <c r="V66" s="2">
        <f>V11*'Output-Calculation-sheet'!V55/10^9</f>
        <v>0.15195969092539049</v>
      </c>
      <c r="W66" s="2">
        <f>W11*'Output-Calculation-sheet'!W55/10^9</f>
        <v>7.4445639260363572E-2</v>
      </c>
      <c r="X66" s="2">
        <f>X11*'Output-Calculation-sheet'!X55/10^9</f>
        <v>0.13911525788426798</v>
      </c>
      <c r="Y66" s="2">
        <f>Y11*'Output-Calculation-sheet'!Y55/10^9</f>
        <v>7.1430150740236203E-2</v>
      </c>
      <c r="AA66" s="2">
        <f t="shared" si="4"/>
        <v>30.264252146701761</v>
      </c>
    </row>
    <row r="67" spans="1:27" x14ac:dyDescent="0.25">
      <c r="A67" s="2">
        <v>2035</v>
      </c>
      <c r="B67" s="2">
        <f>B12*'Output-Calculation-sheet'!B56/10^9</f>
        <v>9.1411580900948213</v>
      </c>
      <c r="C67" s="2">
        <f>C12*'Output-Calculation-sheet'!C56/10^9</f>
        <v>5.7765300053734867</v>
      </c>
      <c r="D67" s="2">
        <f>D12*'Output-Calculation-sheet'!D56/10^9</f>
        <v>1.8131452903185759</v>
      </c>
      <c r="E67" s="2">
        <f>E12*'Output-Calculation-sheet'!E56/10^9</f>
        <v>2.4795772563695335</v>
      </c>
      <c r="F67" s="2">
        <f>F12*'Output-Calculation-sheet'!F56/10^9</f>
        <v>0.97182947858004143</v>
      </c>
      <c r="G67" s="2">
        <f>G12*'Output-Calculation-sheet'!G56/10^9</f>
        <v>0.7170436755037316</v>
      </c>
      <c r="H67" s="2">
        <f>H12*'Output-Calculation-sheet'!H56/10^9</f>
        <v>1.5247257456887546</v>
      </c>
      <c r="I67" s="2">
        <f>I12*'Output-Calculation-sheet'!I56/10^9</f>
        <v>0.65698865443690257</v>
      </c>
      <c r="J67" s="2">
        <f>J12*'Output-Calculation-sheet'!J56/10^9</f>
        <v>0.60103284677523705</v>
      </c>
      <c r="K67" s="2">
        <f>K12*'Output-Calculation-sheet'!K56/10^9</f>
        <v>0.72011260339139904</v>
      </c>
      <c r="L67" s="2">
        <f>L12*'Output-Calculation-sheet'!L56/10^9</f>
        <v>0.671360919086474</v>
      </c>
      <c r="M67" s="2">
        <f>M12*'Output-Calculation-sheet'!M56/10^9</f>
        <v>1.0788181070317442</v>
      </c>
      <c r="N67" s="2">
        <f>N12*'Output-Calculation-sheet'!N56/10^9</f>
        <v>0.92141067523473574</v>
      </c>
      <c r="O67" s="2">
        <f>O12*'Output-Calculation-sheet'!O56/10^9</f>
        <v>1.0191185412981658</v>
      </c>
      <c r="P67" s="2">
        <f>P12*'Output-Calculation-sheet'!P56/10^9</f>
        <v>0.74774583006729833</v>
      </c>
      <c r="Q67" s="2">
        <f>Q12*'Output-Calculation-sheet'!Q56/10^9</f>
        <v>0.70635828205416307</v>
      </c>
      <c r="R67" s="2">
        <f>R12*'Output-Calculation-sheet'!R56/10^9</f>
        <v>0.55466093338582123</v>
      </c>
      <c r="S67" s="2">
        <f>S12*'Output-Calculation-sheet'!S56/10^9</f>
        <v>0.53543639580860691</v>
      </c>
      <c r="T67" s="2">
        <f>T12*'Output-Calculation-sheet'!T56/10^9</f>
        <v>0.17247716626940027</v>
      </c>
      <c r="U67" s="2">
        <f>U12*'Output-Calculation-sheet'!U56/10^9</f>
        <v>0.18647247614917331</v>
      </c>
      <c r="V67" s="2">
        <f>V12*'Output-Calculation-sheet'!V56/10^9</f>
        <v>0.13311853039209146</v>
      </c>
      <c r="W67" s="2">
        <f>W12*'Output-Calculation-sheet'!W56/10^9</f>
        <v>9.0269484735782932E-2</v>
      </c>
      <c r="X67" s="2">
        <f>X12*'Output-Calculation-sheet'!X56/10^9</f>
        <v>0.14013091609869971</v>
      </c>
      <c r="Y67" s="2">
        <f>Y12*'Output-Calculation-sheet'!Y56/10^9</f>
        <v>8.4230597144754324E-2</v>
      </c>
      <c r="AA67" s="2">
        <f t="shared" si="4"/>
        <v>31.443752501289392</v>
      </c>
    </row>
    <row r="68" spans="1:27" x14ac:dyDescent="0.25">
      <c r="B68" s="2">
        <f>SUM(B60:B67)</f>
        <v>63.547263284746286</v>
      </c>
      <c r="C68" s="2">
        <f t="shared" ref="C68:Y68" si="5">SUM(C60:C67)</f>
        <v>36.597696695833122</v>
      </c>
      <c r="D68" s="2">
        <f t="shared" si="5"/>
        <v>13.775636066570833</v>
      </c>
      <c r="E68" s="2">
        <f t="shared" si="5"/>
        <v>16.716047926483235</v>
      </c>
      <c r="F68" s="2">
        <f t="shared" si="5"/>
        <v>7.343693388937286</v>
      </c>
      <c r="G68" s="2">
        <f t="shared" si="5"/>
        <v>5.5380364564464424</v>
      </c>
      <c r="H68" s="2">
        <f t="shared" si="5"/>
        <v>9.2983172921393944</v>
      </c>
      <c r="I68" s="2">
        <f t="shared" si="5"/>
        <v>4.5670778402241421</v>
      </c>
      <c r="J68" s="2">
        <f t="shared" si="5"/>
        <v>5.8754552910341591</v>
      </c>
      <c r="K68" s="2">
        <f t="shared" si="5"/>
        <v>4.5352154878040176</v>
      </c>
      <c r="L68" s="2">
        <f t="shared" si="5"/>
        <v>5.0325269124474694</v>
      </c>
      <c r="M68" s="2">
        <f t="shared" si="5"/>
        <v>6.7284674793948991</v>
      </c>
      <c r="N68" s="2">
        <f t="shared" si="5"/>
        <v>5.6398211157693412</v>
      </c>
      <c r="O68" s="2">
        <f t="shared" si="5"/>
        <v>6.3904947548732967</v>
      </c>
      <c r="P68" s="2">
        <f t="shared" si="5"/>
        <v>4.677447551334831</v>
      </c>
      <c r="Q68" s="2">
        <f t="shared" si="5"/>
        <v>4.4241440624357482</v>
      </c>
      <c r="R68" s="2">
        <f t="shared" si="5"/>
        <v>3.818905692279511</v>
      </c>
      <c r="S68" s="2">
        <f t="shared" si="5"/>
        <v>3.3987629257082421</v>
      </c>
      <c r="T68" s="2">
        <f t="shared" si="5"/>
        <v>1.4262575289385129</v>
      </c>
      <c r="U68" s="2">
        <f t="shared" si="5"/>
        <v>1.2427914812674103</v>
      </c>
      <c r="V68" s="2">
        <f t="shared" si="5"/>
        <v>1.6973198081616345</v>
      </c>
      <c r="W68" s="2">
        <f t="shared" si="5"/>
        <v>0.74967705389963235</v>
      </c>
      <c r="X68" s="2">
        <f t="shared" si="5"/>
        <v>0.89786279548629855</v>
      </c>
      <c r="Y68" s="2">
        <f t="shared" si="5"/>
        <v>0.50661549359826596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2253.3633691702662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533.75325943968392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364.99291105332077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48.654872754809873</v>
      </c>
      <c r="Y73" s="2">
        <f>Y7/'Output-Calculation-sheet'!Y6*'Output-Calculation-sheet'!Y60</f>
        <v>0</v>
      </c>
      <c r="AA73" s="2">
        <f t="shared" si="6"/>
        <v>3.2007644124180805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5181.980618335685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1733.7302678921167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1157.733130033741</v>
      </c>
      <c r="N74" s="2">
        <f>N8/'Output-Calculation-sheet'!N7*'Output-Calculation-sheet'!N61</f>
        <v>48.392200146751293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143.47576465181007</v>
      </c>
      <c r="Y74" s="2">
        <f>Y8/'Output-Calculation-sheet'!Y7*'Output-Calculation-sheet'!Y61</f>
        <v>0</v>
      </c>
      <c r="AA74" s="2">
        <f t="shared" si="6"/>
        <v>8.265311981060103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10285.20330488631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2961.9610694007042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2010.8247828648134</v>
      </c>
      <c r="N75" s="2">
        <f>N9/'Output-Calculation-sheet'!N8*'Output-Calculation-sheet'!N62</f>
        <v>776.72832542278479</v>
      </c>
      <c r="O75" s="2">
        <f>O9/'Output-Calculation-sheet'!O8*'Output-Calculation-sheet'!O62</f>
        <v>0</v>
      </c>
      <c r="P75" s="2">
        <f>P9/'Output-Calculation-sheet'!P8*'Output-Calculation-sheet'!P62</f>
        <v>52.000737018965786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260.26294210257237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242.77771075828261</v>
      </c>
      <c r="Y75" s="2">
        <f>Y9/'Output-Calculation-sheet'!Y8*'Output-Calculation-sheet'!Y62</f>
        <v>0</v>
      </c>
      <c r="AA75" s="2">
        <f t="shared" si="6"/>
        <v>16.589758872454432</v>
      </c>
    </row>
    <row r="76" spans="1:27" x14ac:dyDescent="0.25">
      <c r="A76" s="2">
        <v>2033</v>
      </c>
      <c r="B76" s="2">
        <f>B10/'Output-Calculation-sheet'!B9*'Output-Calculation-sheet'!B63</f>
        <v>6382.8954720867696</v>
      </c>
      <c r="C76" s="2">
        <f>C10/'Output-Calculation-sheet'!C9*'Output-Calculation-sheet'!C63</f>
        <v>13036.790299349886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4156.5958159421598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108.94440797819726</v>
      </c>
      <c r="L76" s="2">
        <f>L10/'Output-Calculation-sheet'!L9*'Output-Calculation-sheet'!L63</f>
        <v>0</v>
      </c>
      <c r="M76" s="2">
        <f>M10/'Output-Calculation-sheet'!M9*'Output-Calculation-sheet'!M63</f>
        <v>2830.2201641537899</v>
      </c>
      <c r="N76" s="2">
        <f>N10/'Output-Calculation-sheet'!N9*'Output-Calculation-sheet'!N63</f>
        <v>1616.7470733787397</v>
      </c>
      <c r="O76" s="2">
        <f>O10/'Output-Calculation-sheet'!O9*'Output-Calculation-sheet'!O63</f>
        <v>0</v>
      </c>
      <c r="P76" s="2">
        <f>P10/'Output-Calculation-sheet'!P9*'Output-Calculation-sheet'!P63</f>
        <v>561.4170753960301</v>
      </c>
      <c r="Q76" s="2">
        <f>Q10/'Output-Calculation-sheet'!Q9*'Output-Calculation-sheet'!Q63</f>
        <v>253.22166272501514</v>
      </c>
      <c r="R76" s="2">
        <f>R10/'Output-Calculation-sheet'!R9*'Output-Calculation-sheet'!R63</f>
        <v>427.88957044383255</v>
      </c>
      <c r="S76" s="2">
        <f>S10/'Output-Calculation-sheet'!S9*'Output-Calculation-sheet'!S63</f>
        <v>718.92968880901583</v>
      </c>
      <c r="T76" s="2">
        <f>T10/'Output-Calculation-sheet'!T9*'Output-Calculation-sheet'!T63</f>
        <v>29.102450705973165</v>
      </c>
      <c r="U76" s="2">
        <f>U10/'Output-Calculation-sheet'!U9*'Output-Calculation-sheet'!U63</f>
        <v>151.20140852335874</v>
      </c>
      <c r="V76" s="2">
        <f>V10/'Output-Calculation-sheet'!V9*'Output-Calculation-sheet'!V63</f>
        <v>11.602518141822479</v>
      </c>
      <c r="W76" s="2">
        <f>W10/'Output-Calculation-sheet'!W9*'Output-Calculation-sheet'!W63</f>
        <v>0</v>
      </c>
      <c r="X76" s="2">
        <f>X10/'Output-Calculation-sheet'!X9*'Output-Calculation-sheet'!X63</f>
        <v>333.27853502812928</v>
      </c>
      <c r="Y76" s="2">
        <f>Y10/'Output-Calculation-sheet'!Y9*'Output-Calculation-sheet'!Y63</f>
        <v>6.3227211161056562</v>
      </c>
      <c r="AA76" s="2">
        <f t="shared" si="6"/>
        <v>30.625158863778836</v>
      </c>
    </row>
    <row r="77" spans="1:27" x14ac:dyDescent="0.25">
      <c r="A77" s="2">
        <v>2034</v>
      </c>
      <c r="B77" s="2">
        <f>B11/'Output-Calculation-sheet'!B10*'Output-Calculation-sheet'!B64</f>
        <v>14982.707324188877</v>
      </c>
      <c r="C77" s="2">
        <f>C11/'Output-Calculation-sheet'!C10*'Output-Calculation-sheet'!C64</f>
        <v>13161.7108248356</v>
      </c>
      <c r="D77" s="2">
        <f>D11/'Output-Calculation-sheet'!D10*'Output-Calculation-sheet'!D64</f>
        <v>1846.6903240915781</v>
      </c>
      <c r="E77" s="2">
        <f>E11/'Output-Calculation-sheet'!E10*'Output-Calculation-sheet'!E64</f>
        <v>2281.8676801485485</v>
      </c>
      <c r="F77" s="2">
        <f>F11/'Output-Calculation-sheet'!F10*'Output-Calculation-sheet'!F64</f>
        <v>142.07939830237092</v>
      </c>
      <c r="G77" s="2">
        <f>G11/'Output-Calculation-sheet'!G10*'Output-Calculation-sheet'!G64</f>
        <v>975.05746664212211</v>
      </c>
      <c r="H77" s="2">
        <f>H11/'Output-Calculation-sheet'!H10*'Output-Calculation-sheet'!H64</f>
        <v>4830.9014900597558</v>
      </c>
      <c r="I77" s="2">
        <f>I11/'Output-Calculation-sheet'!I10*'Output-Calculation-sheet'!I64</f>
        <v>575.22645586865258</v>
      </c>
      <c r="J77" s="2">
        <f>J11/'Output-Calculation-sheet'!J10*'Output-Calculation-sheet'!J64</f>
        <v>410.04806624120505</v>
      </c>
      <c r="K77" s="2">
        <f>K11/'Output-Calculation-sheet'!K10*'Output-Calculation-sheet'!K64</f>
        <v>869.39309742856358</v>
      </c>
      <c r="L77" s="2">
        <f>L11/'Output-Calculation-sheet'!L10*'Output-Calculation-sheet'!L64</f>
        <v>377.4872108773435</v>
      </c>
      <c r="M77" s="2">
        <f>M11/'Output-Calculation-sheet'!M10*'Output-Calculation-sheet'!M64</f>
        <v>3435.9828342065703</v>
      </c>
      <c r="N77" s="2">
        <f>N11/'Output-Calculation-sheet'!N10*'Output-Calculation-sheet'!N64</f>
        <v>2444.6174011241301</v>
      </c>
      <c r="O77" s="2">
        <f>O11/'Output-Calculation-sheet'!O10*'Output-Calculation-sheet'!O64</f>
        <v>85.23294982387668</v>
      </c>
      <c r="P77" s="2">
        <f>P11/'Output-Calculation-sheet'!P10*'Output-Calculation-sheet'!P64</f>
        <v>1078.9634962282582</v>
      </c>
      <c r="Q77" s="2">
        <f>Q11/'Output-Calculation-sheet'!Q10*'Output-Calculation-sheet'!Q64</f>
        <v>615.67936963629859</v>
      </c>
      <c r="R77" s="2">
        <f>R11/'Output-Calculation-sheet'!R10*'Output-Calculation-sheet'!R64</f>
        <v>923.31086188243921</v>
      </c>
      <c r="S77" s="2">
        <f>S11/'Output-Calculation-sheet'!S10*'Output-Calculation-sheet'!S64</f>
        <v>1234.5184050720111</v>
      </c>
      <c r="T77" s="2">
        <f>T11/'Output-Calculation-sheet'!T10*'Output-Calculation-sheet'!T64</f>
        <v>254.01687343839561</v>
      </c>
      <c r="U77" s="2">
        <f>U11/'Output-Calculation-sheet'!U10*'Output-Calculation-sheet'!U64</f>
        <v>337.61807900032585</v>
      </c>
      <c r="V77" s="2">
        <f>V11/'Output-Calculation-sheet'!V10*'Output-Calculation-sheet'!V64</f>
        <v>134.58481553515404</v>
      </c>
      <c r="W77" s="2">
        <f>W11/'Output-Calculation-sheet'!W10*'Output-Calculation-sheet'!W64</f>
        <v>28.435822594201788</v>
      </c>
      <c r="X77" s="2">
        <f>X11/'Output-Calculation-sheet'!X10*'Output-Calculation-sheet'!X64</f>
        <v>349.13232970931216</v>
      </c>
      <c r="Y77" s="2">
        <f>Y11/'Output-Calculation-sheet'!Y10*'Output-Calculation-sheet'!Y64</f>
        <v>84.534195334930558</v>
      </c>
      <c r="AA77" s="2">
        <f t="shared" si="6"/>
        <v>51.459796772270536</v>
      </c>
    </row>
    <row r="78" spans="1:27" x14ac:dyDescent="0.25">
      <c r="A78" s="2">
        <v>2035</v>
      </c>
      <c r="B78" s="2">
        <f>B12/'Output-Calculation-sheet'!B11*'Output-Calculation-sheet'!B65</f>
        <v>17690.682317854327</v>
      </c>
      <c r="C78" s="2">
        <f>C12/'Output-Calculation-sheet'!C11*'Output-Calculation-sheet'!C65</f>
        <v>12492.784632399029</v>
      </c>
      <c r="D78" s="2">
        <f>D12/'Output-Calculation-sheet'!D11*'Output-Calculation-sheet'!D65</f>
        <v>1878.1490003359295</v>
      </c>
      <c r="E78" s="2">
        <f>E12/'Output-Calculation-sheet'!E11*'Output-Calculation-sheet'!E65</f>
        <v>3570.3113202361128</v>
      </c>
      <c r="F78" s="2">
        <f>F12/'Output-Calculation-sheet'!F11*'Output-Calculation-sheet'!F65</f>
        <v>756.25614417971474</v>
      </c>
      <c r="G78" s="2">
        <f>G12/'Output-Calculation-sheet'!G11*'Output-Calculation-sheet'!G65</f>
        <v>1419.0246962136391</v>
      </c>
      <c r="H78" s="2">
        <f>H12/'Output-Calculation-sheet'!H11*'Output-Calculation-sheet'!H65</f>
        <v>4568.6998030240384</v>
      </c>
      <c r="I78" s="2">
        <f>I12/'Output-Calculation-sheet'!I11*'Output-Calculation-sheet'!I65</f>
        <v>834.43141032230631</v>
      </c>
      <c r="J78" s="2">
        <f>J12/'Output-Calculation-sheet'!J11*'Output-Calculation-sheet'!J65</f>
        <v>748.34451405104664</v>
      </c>
      <c r="K78" s="2">
        <f>K12/'Output-Calculation-sheet'!K11*'Output-Calculation-sheet'!K65</f>
        <v>944.37453773088998</v>
      </c>
      <c r="L78" s="2">
        <f>L12/'Output-Calculation-sheet'!L11*'Output-Calculation-sheet'!L65</f>
        <v>561.51276038917422</v>
      </c>
      <c r="M78" s="2">
        <f>M12/'Output-Calculation-sheet'!M11*'Output-Calculation-sheet'!M65</f>
        <v>3252.1372877440563</v>
      </c>
      <c r="N78" s="2">
        <f>N12/'Output-Calculation-sheet'!N11*'Output-Calculation-sheet'!N65</f>
        <v>2286.7776975408005</v>
      </c>
      <c r="O78" s="2">
        <f>O12/'Output-Calculation-sheet'!O11*'Output-Calculation-sheet'!O65</f>
        <v>320.57667994087814</v>
      </c>
      <c r="P78" s="2">
        <f>P12/'Output-Calculation-sheet'!P11*'Output-Calculation-sheet'!P65</f>
        <v>1300.0089730964287</v>
      </c>
      <c r="Q78" s="2">
        <f>Q12/'Output-Calculation-sheet'!Q11*'Output-Calculation-sheet'!Q65</f>
        <v>653.89161605319316</v>
      </c>
      <c r="R78" s="2">
        <f>R12/'Output-Calculation-sheet'!R11*'Output-Calculation-sheet'!R65</f>
        <v>1077.8112325039649</v>
      </c>
      <c r="S78" s="2">
        <f>S12/'Output-Calculation-sheet'!S11*'Output-Calculation-sheet'!S65</f>
        <v>1215.9374185310271</v>
      </c>
      <c r="T78" s="2">
        <f>T12/'Output-Calculation-sheet'!T11*'Output-Calculation-sheet'!T65</f>
        <v>387.55583587716291</v>
      </c>
      <c r="U78" s="2">
        <f>U12/'Output-Calculation-sheet'!U11*'Output-Calculation-sheet'!U65</f>
        <v>332.06360547494529</v>
      </c>
      <c r="V78" s="2">
        <f>V12/'Output-Calculation-sheet'!V11*'Output-Calculation-sheet'!V65</f>
        <v>209.15577502794923</v>
      </c>
      <c r="W78" s="2">
        <f>W12/'Output-Calculation-sheet'!W11*'Output-Calculation-sheet'!W65</f>
        <v>147.31508485104928</v>
      </c>
      <c r="X78" s="2">
        <f>X12/'Output-Calculation-sheet'!X11*'Output-Calculation-sheet'!X65</f>
        <v>335.18924575492099</v>
      </c>
      <c r="Y78" s="2">
        <f>Y12/'Output-Calculation-sheet'!Y11*'Output-Calculation-sheet'!Y65</f>
        <v>143.79413778698796</v>
      </c>
      <c r="AA78" s="2">
        <f t="shared" si="6"/>
        <v>57.126785726919564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89.761128472365613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104.62903490012997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0.19439016337249557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317.12173830131479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225.89681566761254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0.54301855396892729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230.30785415735664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357.94096205497567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0.58824881621233227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470.52334425776468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457.05013819751503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0.9275734824552796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912.58969655383385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35.115441296628354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24.162859854758899</v>
      </c>
      <c r="N88" s="2">
        <f>N11/'Output-Calculation-sheet'!N10*'Output-Calculation-sheet'!N73</f>
        <v>0</v>
      </c>
      <c r="O88" s="2">
        <f>O11/'Output-Calculation-sheet'!O10*'Output-Calculation-sheet'!O73</f>
        <v>509.71342848392186</v>
      </c>
      <c r="P88" s="2">
        <f>P11/'Output-Calculation-sheet'!P10*'Output-Calculation-sheet'!P73</f>
        <v>0</v>
      </c>
      <c r="Q88" s="2">
        <f>Q11/'Output-Calculation-sheet'!Q10*'Output-Calculation-sheet'!Q73</f>
        <v>20.807008098556896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2.6507252923751228</v>
      </c>
      <c r="Y88" s="2">
        <f>Y11/'Output-Calculation-sheet'!Y10*'Output-Calculation-sheet'!Y73</f>
        <v>0</v>
      </c>
      <c r="AA88" s="2">
        <f t="shared" si="7"/>
        <v>1.5050391595800752</v>
      </c>
    </row>
    <row r="89" spans="1:27" x14ac:dyDescent="0.25">
      <c r="A89" s="2">
        <v>2035</v>
      </c>
      <c r="B89" s="2">
        <f>B12/'Output-Calculation-sheet'!B11*'Output-Calculation-sheet'!B74</f>
        <v>445.93487227078543</v>
      </c>
      <c r="C89" s="2">
        <f>C12/'Output-Calculation-sheet'!C11*'Output-Calculation-sheet'!C74</f>
        <v>1375.7291358920074</v>
      </c>
      <c r="D89" s="2">
        <f>D12/'Output-Calculation-sheet'!D11*'Output-Calculation-sheet'!D74</f>
        <v>187.48679813685345</v>
      </c>
      <c r="E89" s="2">
        <f>E12/'Output-Calculation-sheet'!E11*'Output-Calculation-sheet'!E74</f>
        <v>149.00199571129156</v>
      </c>
      <c r="F89" s="2">
        <f>F12/'Output-Calculation-sheet'!F11*'Output-Calculation-sheet'!F74</f>
        <v>46.856018846326812</v>
      </c>
      <c r="G89" s="2">
        <f>G12/'Output-Calculation-sheet'!G11*'Output-Calculation-sheet'!G74</f>
        <v>67.255542737269025</v>
      </c>
      <c r="H89" s="2">
        <f>H12/'Output-Calculation-sheet'!H11*'Output-Calculation-sheet'!H74</f>
        <v>162.88164379105422</v>
      </c>
      <c r="I89" s="2">
        <f>I12/'Output-Calculation-sheet'!I11*'Output-Calculation-sheet'!I74</f>
        <v>60.492345245926224</v>
      </c>
      <c r="J89" s="2">
        <f>J12/'Output-Calculation-sheet'!J11*'Output-Calculation-sheet'!J74</f>
        <v>29.933780562041864</v>
      </c>
      <c r="K89" s="2">
        <f>K12/'Output-Calculation-sheet'!K11*'Output-Calculation-sheet'!K74</f>
        <v>59.454453395296525</v>
      </c>
      <c r="L89" s="2">
        <f>L12/'Output-Calculation-sheet'!L11*'Output-Calculation-sheet'!L74</f>
        <v>47.275332383849651</v>
      </c>
      <c r="M89" s="2">
        <f>M12/'Output-Calculation-sheet'!M11*'Output-Calculation-sheet'!M74</f>
        <v>89.662807847757662</v>
      </c>
      <c r="N89" s="2">
        <f>N12/'Output-Calculation-sheet'!N11*'Output-Calculation-sheet'!N74</f>
        <v>66.093114439800388</v>
      </c>
      <c r="O89" s="2">
        <f>O12/'Output-Calculation-sheet'!O11*'Output-Calculation-sheet'!O74</f>
        <v>534.53432171248835</v>
      </c>
      <c r="P89" s="2">
        <f>P12/'Output-Calculation-sheet'!P11*'Output-Calculation-sheet'!P74</f>
        <v>40.705419203319934</v>
      </c>
      <c r="Q89" s="2">
        <f>Q12/'Output-Calculation-sheet'!Q11*'Output-Calculation-sheet'!Q74</f>
        <v>57.907511163052888</v>
      </c>
      <c r="R89" s="2">
        <f>R12/'Output-Calculation-sheet'!R11*'Output-Calculation-sheet'!R74</f>
        <v>38.284063243844884</v>
      </c>
      <c r="S89" s="2">
        <f>S12/'Output-Calculation-sheet'!S11*'Output-Calculation-sheet'!S74</f>
        <v>37.886751995108966</v>
      </c>
      <c r="T89" s="2">
        <f>T12/'Output-Calculation-sheet'!T11*'Output-Calculation-sheet'!T74</f>
        <v>7.0818791389157223</v>
      </c>
      <c r="U89" s="2">
        <f>U12/'Output-Calculation-sheet'!U11*'Output-Calculation-sheet'!U74</f>
        <v>12.317356188098419</v>
      </c>
      <c r="V89" s="2">
        <f>V12/'Output-Calculation-sheet'!V11*'Output-Calculation-sheet'!V74</f>
        <v>4.7488993717037724</v>
      </c>
      <c r="W89" s="2">
        <f>W12/'Output-Calculation-sheet'!W11*'Output-Calculation-sheet'!W74</f>
        <v>4.1121897289819476</v>
      </c>
      <c r="X89" s="2">
        <f>X12/'Output-Calculation-sheet'!X11*'Output-Calculation-sheet'!X74</f>
        <v>14.754346586623868</v>
      </c>
      <c r="Y89" s="2">
        <f>Y12/'Output-Calculation-sheet'!Y11*'Output-Calculation-sheet'!Y74</f>
        <v>4.7460727052393086</v>
      </c>
      <c r="AA89" s="2">
        <f t="shared" si="7"/>
        <v>3.5451366522976375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1746307870.1857948</v>
      </c>
      <c r="C93" s="2">
        <f>C5/'Output-Calculation-sheet'!C4*'Output-Calculation-sheet'!C76</f>
        <v>578541946.62522089</v>
      </c>
      <c r="D93" s="2">
        <f>D5/'Output-Calculation-sheet'!D4*'Output-Calculation-sheet'!D76</f>
        <v>640394265.03362298</v>
      </c>
      <c r="E93" s="2">
        <f>E5/'Output-Calculation-sheet'!E4*'Output-Calculation-sheet'!E76</f>
        <v>1071576614.988668</v>
      </c>
      <c r="F93" s="2">
        <f>F5/'Output-Calculation-sheet'!F4*'Output-Calculation-sheet'!F76</f>
        <v>460433011.2688815</v>
      </c>
      <c r="G93" s="2">
        <f>G5/'Output-Calculation-sheet'!G4*'Output-Calculation-sheet'!G76</f>
        <v>358103295.88826829</v>
      </c>
      <c r="H93" s="2">
        <f>H5/'Output-Calculation-sheet'!H4*'Output-Calculation-sheet'!H76</f>
        <v>302914723.3836695</v>
      </c>
      <c r="I93" s="2">
        <f>I5/'Output-Calculation-sheet'!I4*'Output-Calculation-sheet'!I76</f>
        <v>248563717.39396125</v>
      </c>
      <c r="J93" s="2">
        <f>J5/'Output-Calculation-sheet'!J4*'Output-Calculation-sheet'!J76</f>
        <v>168672512.46713123</v>
      </c>
      <c r="K93" s="2">
        <f>K5/'Output-Calculation-sheet'!K4*'Output-Calculation-sheet'!K76</f>
        <v>246524827.21847776</v>
      </c>
      <c r="L93" s="2">
        <f>L5/'Output-Calculation-sheet'!L4*'Output-Calculation-sheet'!L76</f>
        <v>164557116.30105281</v>
      </c>
      <c r="M93" s="2">
        <f>M5/'Output-Calculation-sheet'!M4*'Output-Calculation-sheet'!M76</f>
        <v>221299499.61088344</v>
      </c>
      <c r="N93" s="2">
        <f>N5/'Output-Calculation-sheet'!N4*'Output-Calculation-sheet'!N76</f>
        <v>167107072.17643422</v>
      </c>
      <c r="O93" s="2">
        <f>O5/'Output-Calculation-sheet'!O4*'Output-Calculation-sheet'!O76</f>
        <v>81562910.696286768</v>
      </c>
      <c r="P93" s="2">
        <f>P5/'Output-Calculation-sheet'!P4*'Output-Calculation-sheet'!P76</f>
        <v>289538873.16679019</v>
      </c>
      <c r="Q93" s="2">
        <f>Q5/'Output-Calculation-sheet'!Q4*'Output-Calculation-sheet'!Q76</f>
        <v>132926224.10079931</v>
      </c>
      <c r="R93" s="2">
        <f>R5/'Output-Calculation-sheet'!R4*'Output-Calculation-sheet'!R76</f>
        <v>166327153.39424601</v>
      </c>
      <c r="S93" s="2">
        <f>S5/'Output-Calculation-sheet'!S4*'Output-Calculation-sheet'!S76</f>
        <v>97989264.861312062</v>
      </c>
      <c r="T93" s="2">
        <f>T5/'Output-Calculation-sheet'!T4*'Output-Calculation-sheet'!T76</f>
        <v>75350538.018404737</v>
      </c>
      <c r="U93" s="2">
        <f>U5/'Output-Calculation-sheet'!U4*'Output-Calculation-sheet'!U76</f>
        <v>48849334.318540476</v>
      </c>
      <c r="V93" s="2">
        <f>V5/'Output-Calculation-sheet'!V4*'Output-Calculation-sheet'!V76</f>
        <v>25038656.460300475</v>
      </c>
      <c r="W93" s="2">
        <f>W5/'Output-Calculation-sheet'!W4*'Output-Calculation-sheet'!W76</f>
        <v>70136618.249221653</v>
      </c>
      <c r="X93" s="2">
        <f>X5/'Output-Calculation-sheet'!X4*'Output-Calculation-sheet'!X76</f>
        <v>24342626.371006861</v>
      </c>
      <c r="Y93" s="2">
        <f>Y5/'Output-Calculation-sheet'!Y4*'Output-Calculation-sheet'!Y76</f>
        <v>38342432.107863858</v>
      </c>
      <c r="AA93" s="2">
        <f t="shared" ref="AA93:AA100" si="8">SUM(B93:Y93)/10^9</f>
        <v>7.4254011042868413</v>
      </c>
    </row>
    <row r="94" spans="1:27" x14ac:dyDescent="0.25">
      <c r="A94" s="2">
        <v>2029</v>
      </c>
      <c r="B94" s="2">
        <f>B6/'Output-Calculation-sheet'!B5*'Output-Calculation-sheet'!B77</f>
        <v>4770275577.2046194</v>
      </c>
      <c r="C94" s="2">
        <f>C6/'Output-Calculation-sheet'!C5*'Output-Calculation-sheet'!C77</f>
        <v>1591100093.4583569</v>
      </c>
      <c r="D94" s="2">
        <f>D6/'Output-Calculation-sheet'!D5*'Output-Calculation-sheet'!D77</f>
        <v>1750628612.8903368</v>
      </c>
      <c r="E94" s="2">
        <f>E6/'Output-Calculation-sheet'!E5*'Output-Calculation-sheet'!E77</f>
        <v>2977423307.6058097</v>
      </c>
      <c r="F94" s="2">
        <f>F6/'Output-Calculation-sheet'!F5*'Output-Calculation-sheet'!F77</f>
        <v>1257121185.293328</v>
      </c>
      <c r="G94" s="2">
        <f>G6/'Output-Calculation-sheet'!G5*'Output-Calculation-sheet'!G77</f>
        <v>991348660.76990867</v>
      </c>
      <c r="H94" s="2">
        <f>H6/'Output-Calculation-sheet'!H5*'Output-Calculation-sheet'!H77</f>
        <v>833219066.76802337</v>
      </c>
      <c r="I94" s="2">
        <f>I6/'Output-Calculation-sheet'!I5*'Output-Calculation-sheet'!I77</f>
        <v>677018760.81268287</v>
      </c>
      <c r="J94" s="2">
        <f>J6/'Output-Calculation-sheet'!J5*'Output-Calculation-sheet'!J77</f>
        <v>465106722.47048736</v>
      </c>
      <c r="K94" s="2">
        <f>K6/'Output-Calculation-sheet'!K5*'Output-Calculation-sheet'!K77</f>
        <v>670122308.02897418</v>
      </c>
      <c r="L94" s="2">
        <f>L6/'Output-Calculation-sheet'!L5*'Output-Calculation-sheet'!L77</f>
        <v>452892172.54127854</v>
      </c>
      <c r="M94" s="2">
        <f>M6/'Output-Calculation-sheet'!M5*'Output-Calculation-sheet'!M77</f>
        <v>614123907.08887005</v>
      </c>
      <c r="N94" s="2">
        <f>N6/'Output-Calculation-sheet'!N5*'Output-Calculation-sheet'!N77</f>
        <v>464588570.8688699</v>
      </c>
      <c r="O94" s="2">
        <f>O6/'Output-Calculation-sheet'!O5*'Output-Calculation-sheet'!O77</f>
        <v>228179734.14081442</v>
      </c>
      <c r="P94" s="2">
        <f>P6/'Output-Calculation-sheet'!P5*'Output-Calculation-sheet'!P77</f>
        <v>794528531.37577534</v>
      </c>
      <c r="Q94" s="2">
        <f>Q6/'Output-Calculation-sheet'!Q5*'Output-Calculation-sheet'!Q77</f>
        <v>367041568.51426083</v>
      </c>
      <c r="R94" s="2">
        <f>R6/'Output-Calculation-sheet'!R5*'Output-Calculation-sheet'!R77</f>
        <v>455701352.96848524</v>
      </c>
      <c r="S94" s="2">
        <f>S6/'Output-Calculation-sheet'!S5*'Output-Calculation-sheet'!S77</f>
        <v>267570625.38094619</v>
      </c>
      <c r="T94" s="2">
        <f>T6/'Output-Calculation-sheet'!T5*'Output-Calculation-sheet'!T77</f>
        <v>206404423.76007929</v>
      </c>
      <c r="U94" s="2">
        <f>U6/'Output-Calculation-sheet'!U5*'Output-Calculation-sheet'!U77</f>
        <v>130657353.90778957</v>
      </c>
      <c r="V94" s="2">
        <f>V6/'Output-Calculation-sheet'!V5*'Output-Calculation-sheet'!V77</f>
        <v>67017490.588205159</v>
      </c>
      <c r="W94" s="2">
        <f>W6/'Output-Calculation-sheet'!W5*'Output-Calculation-sheet'!W77</f>
        <v>194465251.02513176</v>
      </c>
      <c r="X94" s="2">
        <f>X6/'Output-Calculation-sheet'!X5*'Output-Calculation-sheet'!X77</f>
        <v>67250053.937438741</v>
      </c>
      <c r="Y94" s="2">
        <f>Y6/'Output-Calculation-sheet'!Y5*'Output-Calculation-sheet'!Y77</f>
        <v>106626120.53622364</v>
      </c>
      <c r="AA94" s="2">
        <f t="shared" si="8"/>
        <v>20.400411451936694</v>
      </c>
    </row>
    <row r="95" spans="1:27" x14ac:dyDescent="0.25">
      <c r="A95" s="2">
        <v>2030</v>
      </c>
      <c r="B95" s="2">
        <f>B7/'Output-Calculation-sheet'!B6*'Output-Calculation-sheet'!B78</f>
        <v>8892559045.1044922</v>
      </c>
      <c r="C95" s="2">
        <f>C7/'Output-Calculation-sheet'!C6*'Output-Calculation-sheet'!C78</f>
        <v>2985933559.8056378</v>
      </c>
      <c r="D95" s="2">
        <f>D7/'Output-Calculation-sheet'!D6*'Output-Calculation-sheet'!D78</f>
        <v>3268827217.0194545</v>
      </c>
      <c r="E95" s="2">
        <f>E7/'Output-Calculation-sheet'!E6*'Output-Calculation-sheet'!E78</f>
        <v>5650981527.1223888</v>
      </c>
      <c r="F95" s="2">
        <f>F7/'Output-Calculation-sheet'!F6*'Output-Calculation-sheet'!F78</f>
        <v>2343002848.2167053</v>
      </c>
      <c r="G95" s="2">
        <f>G7/'Output-Calculation-sheet'!G6*'Output-Calculation-sheet'!G78</f>
        <v>1874489713.9958615</v>
      </c>
      <c r="H95" s="2">
        <f>H7/'Output-Calculation-sheet'!H6*'Output-Calculation-sheet'!H78</f>
        <v>1564419833.8031774</v>
      </c>
      <c r="I95" s="2">
        <f>I7/'Output-Calculation-sheet'!I6*'Output-Calculation-sheet'!I78</f>
        <v>1259019779.9378614</v>
      </c>
      <c r="J95" s="2">
        <f>J7/'Output-Calculation-sheet'!J6*'Output-Calculation-sheet'!J78</f>
        <v>876095116.92525661</v>
      </c>
      <c r="K95" s="2">
        <f>K7/'Output-Calculation-sheet'!K6*'Output-Calculation-sheet'!K78</f>
        <v>1243590812.6081772</v>
      </c>
      <c r="L95" s="2">
        <f>L7/'Output-Calculation-sheet'!L6*'Output-Calculation-sheet'!L78</f>
        <v>851079571.54020834</v>
      </c>
      <c r="M95" s="2">
        <f>M7/'Output-Calculation-sheet'!M6*'Output-Calculation-sheet'!M78</f>
        <v>1163971082.2983732</v>
      </c>
      <c r="N95" s="2">
        <f>N7/'Output-Calculation-sheet'!N6*'Output-Calculation-sheet'!N78</f>
        <v>882305926.62456155</v>
      </c>
      <c r="O95" s="2">
        <f>O7/'Output-Calculation-sheet'!O6*'Output-Calculation-sheet'!O78</f>
        <v>435937745.82001567</v>
      </c>
      <c r="P95" s="2">
        <f>P7/'Output-Calculation-sheet'!P6*'Output-Calculation-sheet'!P78</f>
        <v>1487991365.3855639</v>
      </c>
      <c r="Q95" s="2">
        <f>Q7/'Output-Calculation-sheet'!Q6*'Output-Calculation-sheet'!Q78</f>
        <v>692201199.27202606</v>
      </c>
      <c r="R95" s="2">
        <f>R7/'Output-Calculation-sheet'!R6*'Output-Calculation-sheet'!R78</f>
        <v>852244551.31309211</v>
      </c>
      <c r="S95" s="2">
        <f>S7/'Output-Calculation-sheet'!S6*'Output-Calculation-sheet'!S78</f>
        <v>498661559.7766993</v>
      </c>
      <c r="T95" s="2">
        <f>T7/'Output-Calculation-sheet'!T6*'Output-Calculation-sheet'!T78</f>
        <v>386005742.14735484</v>
      </c>
      <c r="U95" s="2">
        <f>U7/'Output-Calculation-sheet'!U6*'Output-Calculation-sheet'!U78</f>
        <v>238292344.47321224</v>
      </c>
      <c r="V95" s="2">
        <f>V7/'Output-Calculation-sheet'!V6*'Output-Calculation-sheet'!V78</f>
        <v>122295661.34855743</v>
      </c>
      <c r="W95" s="2">
        <f>W7/'Output-Calculation-sheet'!W6*'Output-Calculation-sheet'!W78</f>
        <v>368281452.9223249</v>
      </c>
      <c r="X95" s="2">
        <f>X7/'Output-Calculation-sheet'!X6*'Output-Calculation-sheet'!X78</f>
        <v>126898945.5492972</v>
      </c>
      <c r="Y95" s="2">
        <f>Y7/'Output-Calculation-sheet'!Y6*'Output-Calculation-sheet'!Y78</f>
        <v>202539160.57501948</v>
      </c>
      <c r="AA95" s="2">
        <f t="shared" si="8"/>
        <v>38.267625763585322</v>
      </c>
    </row>
    <row r="96" spans="1:27" x14ac:dyDescent="0.25">
      <c r="A96" s="2">
        <v>2031</v>
      </c>
      <c r="B96" s="2">
        <f>B8/'Output-Calculation-sheet'!B7*'Output-Calculation-sheet'!B79</f>
        <v>13946544843.586823</v>
      </c>
      <c r="C96" s="2">
        <f>C8/'Output-Calculation-sheet'!C7*'Output-Calculation-sheet'!C79</f>
        <v>4718179505.3454018</v>
      </c>
      <c r="D96" s="2">
        <f>D8/'Output-Calculation-sheet'!D7*'Output-Calculation-sheet'!D79</f>
        <v>4925468675.1365805</v>
      </c>
      <c r="E96" s="2">
        <f>E8/'Output-Calculation-sheet'!E7*'Output-Calculation-sheet'!E79</f>
        <v>8757063925.7455139</v>
      </c>
      <c r="F96" s="2">
        <f>F8/'Output-Calculation-sheet'!F7*'Output-Calculation-sheet'!F79</f>
        <v>3624462465.025847</v>
      </c>
      <c r="G96" s="2">
        <f>G8/'Output-Calculation-sheet'!G7*'Output-Calculation-sheet'!G79</f>
        <v>2823158229.84272</v>
      </c>
      <c r="H96" s="2">
        <f>H8/'Output-Calculation-sheet'!H7*'Output-Calculation-sheet'!H79</f>
        <v>2416464006.0330005</v>
      </c>
      <c r="I96" s="2">
        <f>I8/'Output-Calculation-sheet'!I7*'Output-Calculation-sheet'!I79</f>
        <v>1966629844.8014805</v>
      </c>
      <c r="J96" s="2">
        <f>J8/'Output-Calculation-sheet'!J7*'Output-Calculation-sheet'!J79</f>
        <v>1329885898.0398462</v>
      </c>
      <c r="K96" s="2">
        <f>K8/'Output-Calculation-sheet'!K7*'Output-Calculation-sheet'!K79</f>
        <v>1902670008.5656652</v>
      </c>
      <c r="L96" s="2">
        <f>L8/'Output-Calculation-sheet'!L7*'Output-Calculation-sheet'!L79</f>
        <v>1342522302.4754322</v>
      </c>
      <c r="M96" s="2">
        <f>M8/'Output-Calculation-sheet'!M7*'Output-Calculation-sheet'!M79</f>
        <v>1803843645.7226539</v>
      </c>
      <c r="N96" s="2">
        <f>N8/'Output-Calculation-sheet'!N7*'Output-Calculation-sheet'!N79</f>
        <v>1342203334.469558</v>
      </c>
      <c r="O96" s="2">
        <f>O8/'Output-Calculation-sheet'!O7*'Output-Calculation-sheet'!O79</f>
        <v>678529756.35341358</v>
      </c>
      <c r="P96" s="2">
        <f>P8/'Output-Calculation-sheet'!P7*'Output-Calculation-sheet'!P79</f>
        <v>2269539723.8205409</v>
      </c>
      <c r="Q96" s="2">
        <f>Q8/'Output-Calculation-sheet'!Q7*'Output-Calculation-sheet'!Q79</f>
        <v>1057702585.1929808</v>
      </c>
      <c r="R96" s="2">
        <f>R8/'Output-Calculation-sheet'!R7*'Output-Calculation-sheet'!R79</f>
        <v>1319609708.1685789</v>
      </c>
      <c r="S96" s="2">
        <f>S8/'Output-Calculation-sheet'!S7*'Output-Calculation-sheet'!S79</f>
        <v>768915203.67235947</v>
      </c>
      <c r="T96" s="2">
        <f>T8/'Output-Calculation-sheet'!T7*'Output-Calculation-sheet'!T79</f>
        <v>587274201.23941576</v>
      </c>
      <c r="U96" s="2">
        <f>U8/'Output-Calculation-sheet'!U7*'Output-Calculation-sheet'!U79</f>
        <v>368910559.75127923</v>
      </c>
      <c r="V96" s="2">
        <f>V8/'Output-Calculation-sheet'!V7*'Output-Calculation-sheet'!V79</f>
        <v>191410036.14565784</v>
      </c>
      <c r="W96" s="2">
        <f>W8/'Output-Calculation-sheet'!W7*'Output-Calculation-sheet'!W79</f>
        <v>565601138.66587842</v>
      </c>
      <c r="X96" s="2">
        <f>X8/'Output-Calculation-sheet'!X7*'Output-Calculation-sheet'!X79</f>
        <v>198792794.00790301</v>
      </c>
      <c r="Y96" s="2">
        <f>Y8/'Output-Calculation-sheet'!Y7*'Output-Calculation-sheet'!Y79</f>
        <v>310909188.65707982</v>
      </c>
      <c r="AA96" s="2">
        <f t="shared" si="8"/>
        <v>59.216291580465622</v>
      </c>
    </row>
    <row r="97" spans="1:27" x14ac:dyDescent="0.25">
      <c r="A97" s="2">
        <v>2032</v>
      </c>
      <c r="B97" s="2">
        <f>B9/'Output-Calculation-sheet'!B8*'Output-Calculation-sheet'!B80</f>
        <v>18980471384.231483</v>
      </c>
      <c r="C97" s="2">
        <f>C9/'Output-Calculation-sheet'!C8*'Output-Calculation-sheet'!C80</f>
        <v>6464850862.4277258</v>
      </c>
      <c r="D97" s="2">
        <f>D9/'Output-Calculation-sheet'!D8*'Output-Calculation-sheet'!D80</f>
        <v>6441594576.2097416</v>
      </c>
      <c r="E97" s="2">
        <f>E9/'Output-Calculation-sheet'!E8*'Output-Calculation-sheet'!E80</f>
        <v>11780712806.541401</v>
      </c>
      <c r="F97" s="2">
        <f>F9/'Output-Calculation-sheet'!F8*'Output-Calculation-sheet'!F80</f>
        <v>4866613414.6034136</v>
      </c>
      <c r="G97" s="2">
        <f>G9/'Output-Calculation-sheet'!G8*'Output-Calculation-sheet'!G80</f>
        <v>3683758981.4893832</v>
      </c>
      <c r="H97" s="2">
        <f>H9/'Output-Calculation-sheet'!H8*'Output-Calculation-sheet'!H80</f>
        <v>3240963849.8191795</v>
      </c>
      <c r="I97" s="2">
        <f>I9/'Output-Calculation-sheet'!I8*'Output-Calculation-sheet'!I80</f>
        <v>2665993535.7466683</v>
      </c>
      <c r="J97" s="2">
        <f>J9/'Output-Calculation-sheet'!J8*'Output-Calculation-sheet'!J80</f>
        <v>1752644677.4139607</v>
      </c>
      <c r="K97" s="2">
        <f>K9/'Output-Calculation-sheet'!K8*'Output-Calculation-sheet'!K80</f>
        <v>2526806573.8519745</v>
      </c>
      <c r="L97" s="2">
        <f>L9/'Output-Calculation-sheet'!L8*'Output-Calculation-sheet'!L80</f>
        <v>1839096616.0926185</v>
      </c>
      <c r="M97" s="2">
        <f>M9/'Output-Calculation-sheet'!M8*'Output-Calculation-sheet'!M80</f>
        <v>2426482234.942204</v>
      </c>
      <c r="N97" s="2">
        <f>N9/'Output-Calculation-sheet'!N8*'Output-Calculation-sheet'!N80</f>
        <v>1772869697.0363808</v>
      </c>
      <c r="O97" s="2">
        <f>O9/'Output-Calculation-sheet'!O8*'Output-Calculation-sheet'!O80</f>
        <v>917166668.42504764</v>
      </c>
      <c r="P97" s="2">
        <f>P9/'Output-Calculation-sheet'!P8*'Output-Calculation-sheet'!P80</f>
        <v>3000796875.1392593</v>
      </c>
      <c r="Q97" s="2">
        <f>Q9/'Output-Calculation-sheet'!Q8*'Output-Calculation-sheet'!Q80</f>
        <v>1403657705.9843414</v>
      </c>
      <c r="R97" s="2">
        <f>R9/'Output-Calculation-sheet'!R8*'Output-Calculation-sheet'!R80</f>
        <v>1773517934.2079608</v>
      </c>
      <c r="S97" s="2">
        <f>S9/'Output-Calculation-sheet'!S8*'Output-Calculation-sheet'!S80</f>
        <v>1029344677.0640409</v>
      </c>
      <c r="T97" s="2">
        <f>T9/'Output-Calculation-sheet'!T8*'Output-Calculation-sheet'!T80</f>
        <v>775132742.92592824</v>
      </c>
      <c r="U97" s="2">
        <f>U9/'Output-Calculation-sheet'!U8*'Output-Calculation-sheet'!U80</f>
        <v>495536803.42165983</v>
      </c>
      <c r="V97" s="2">
        <f>V9/'Output-Calculation-sheet'!V8*'Output-Calculation-sheet'!V80</f>
        <v>259829967.9641287</v>
      </c>
      <c r="W97" s="2">
        <f>W9/'Output-Calculation-sheet'!W8*'Output-Calculation-sheet'!W80</f>
        <v>752472607.67490828</v>
      </c>
      <c r="X97" s="2">
        <f>X9/'Output-Calculation-sheet'!X8*'Output-Calculation-sheet'!X80</f>
        <v>270210280.91913253</v>
      </c>
      <c r="Y97" s="2">
        <f>Y9/'Output-Calculation-sheet'!Y8*'Output-Calculation-sheet'!Y80</f>
        <v>413607652.5905776</v>
      </c>
      <c r="AA97" s="2">
        <f t="shared" si="8"/>
        <v>79.534133126723148</v>
      </c>
    </row>
    <row r="98" spans="1:27" x14ac:dyDescent="0.25">
      <c r="A98" s="2">
        <v>2033</v>
      </c>
      <c r="B98" s="2">
        <f>B10/'Output-Calculation-sheet'!B9*'Output-Calculation-sheet'!B81</f>
        <v>23256191428.81039</v>
      </c>
      <c r="C98" s="2">
        <f>C10/'Output-Calculation-sheet'!C9*'Output-Calculation-sheet'!C81</f>
        <v>7973375666.1894579</v>
      </c>
      <c r="D98" s="2">
        <f>D10/'Output-Calculation-sheet'!D9*'Output-Calculation-sheet'!D81</f>
        <v>7588225139.4941511</v>
      </c>
      <c r="E98" s="2">
        <f>E10/'Output-Calculation-sheet'!E9*'Output-Calculation-sheet'!E81</f>
        <v>14273928936.436104</v>
      </c>
      <c r="F98" s="2">
        <f>F10/'Output-Calculation-sheet'!F9*'Output-Calculation-sheet'!F81</f>
        <v>5886913309.7032347</v>
      </c>
      <c r="G98" s="2">
        <f>G10/'Output-Calculation-sheet'!G9*'Output-Calculation-sheet'!G81</f>
        <v>4322351868.6742964</v>
      </c>
      <c r="H98" s="2">
        <f>H10/'Output-Calculation-sheet'!H9*'Output-Calculation-sheet'!H81</f>
        <v>3916086107.696774</v>
      </c>
      <c r="I98" s="2">
        <f>I10/'Output-Calculation-sheet'!I9*'Output-Calculation-sheet'!I81</f>
        <v>3255423686.0755353</v>
      </c>
      <c r="J98" s="2">
        <f>J10/'Output-Calculation-sheet'!J9*'Output-Calculation-sheet'!J81</f>
        <v>2081599956.7232056</v>
      </c>
      <c r="K98" s="2">
        <f>K10/'Output-Calculation-sheet'!K9*'Output-Calculation-sheet'!K81</f>
        <v>3023606486.8327589</v>
      </c>
      <c r="L98" s="2">
        <f>L10/'Output-Calculation-sheet'!L9*'Output-Calculation-sheet'!L81</f>
        <v>2267750125.0663075</v>
      </c>
      <c r="M98" s="2">
        <f>M10/'Output-Calculation-sheet'!M9*'Output-Calculation-sheet'!M81</f>
        <v>2940816245.1354823</v>
      </c>
      <c r="N98" s="2">
        <f>N10/'Output-Calculation-sheet'!N9*'Output-Calculation-sheet'!N81</f>
        <v>2109806198.1528327</v>
      </c>
      <c r="O98" s="2">
        <f>O10/'Output-Calculation-sheet'!O9*'Output-Calculation-sheet'!O81</f>
        <v>1117261576.5995855</v>
      </c>
      <c r="P98" s="2">
        <f>P10/'Output-Calculation-sheet'!P9*'Output-Calculation-sheet'!P81</f>
        <v>3570443830.5236492</v>
      </c>
      <c r="Q98" s="2">
        <f>Q10/'Output-Calculation-sheet'!Q9*'Output-Calculation-sheet'!Q81</f>
        <v>1678732176.2582598</v>
      </c>
      <c r="R98" s="2">
        <f>R10/'Output-Calculation-sheet'!R9*'Output-Calculation-sheet'!R81</f>
        <v>2147352425.8352685</v>
      </c>
      <c r="S98" s="2">
        <f>S10/'Output-Calculation-sheet'!S9*'Output-Calculation-sheet'!S81</f>
        <v>1241552014.1738448</v>
      </c>
      <c r="T98" s="2">
        <f>T10/'Output-Calculation-sheet'!T9*'Output-Calculation-sheet'!T81</f>
        <v>921282671.46686625</v>
      </c>
      <c r="U98" s="2">
        <f>U10/'Output-Calculation-sheet'!U9*'Output-Calculation-sheet'!U81</f>
        <v>599446257.14297688</v>
      </c>
      <c r="V98" s="2">
        <f>V10/'Output-Calculation-sheet'!V9*'Output-Calculation-sheet'!V81</f>
        <v>317476832.31784177</v>
      </c>
      <c r="W98" s="2">
        <f>W10/'Output-Calculation-sheet'!W9*'Output-Calculation-sheet'!W81</f>
        <v>900156349.22631598</v>
      </c>
      <c r="X98" s="2">
        <f>X10/'Output-Calculation-sheet'!X9*'Output-Calculation-sheet'!X81</f>
        <v>330780223.8715077</v>
      </c>
      <c r="Y98" s="2">
        <f>Y10/'Output-Calculation-sheet'!Y9*'Output-Calculation-sheet'!Y81</f>
        <v>494961706.38255167</v>
      </c>
      <c r="AA98" s="2">
        <f t="shared" si="8"/>
        <v>96.215521218789206</v>
      </c>
    </row>
    <row r="99" spans="1:27" x14ac:dyDescent="0.25">
      <c r="A99" s="2">
        <v>2034</v>
      </c>
      <c r="B99" s="2">
        <f>B11/'Output-Calculation-sheet'!B10*'Output-Calculation-sheet'!B82</f>
        <v>26302825531.437054</v>
      </c>
      <c r="C99" s="2">
        <f>C11/'Output-Calculation-sheet'!C10*'Output-Calculation-sheet'!C82</f>
        <v>9075553954.9279461</v>
      </c>
      <c r="D99" s="2">
        <f>D11/'Output-Calculation-sheet'!D10*'Output-Calculation-sheet'!D82</f>
        <v>8256201289.9641323</v>
      </c>
      <c r="E99" s="2">
        <f>E11/'Output-Calculation-sheet'!E10*'Output-Calculation-sheet'!E82</f>
        <v>15970897417.894487</v>
      </c>
      <c r="F99" s="2">
        <f>F11/'Output-Calculation-sheet'!F10*'Output-Calculation-sheet'!F82</f>
        <v>6577594281.5074577</v>
      </c>
      <c r="G99" s="2">
        <f>G11/'Output-Calculation-sheet'!G10*'Output-Calculation-sheet'!G82</f>
        <v>4676201470.6026373</v>
      </c>
      <c r="H99" s="2">
        <f>H11/'Output-Calculation-sheet'!H10*'Output-Calculation-sheet'!H82</f>
        <v>4370759281.9411268</v>
      </c>
      <c r="I99" s="2">
        <f>I11/'Output-Calculation-sheet'!I10*'Output-Calculation-sheet'!I82</f>
        <v>3671133518.0560694</v>
      </c>
      <c r="J99" s="2">
        <f>J11/'Output-Calculation-sheet'!J10*'Output-Calculation-sheet'!J82</f>
        <v>2284544984.2283101</v>
      </c>
      <c r="K99" s="2">
        <f>K11/'Output-Calculation-sheet'!K10*'Output-Calculation-sheet'!K82</f>
        <v>3342589105.5150695</v>
      </c>
      <c r="L99" s="2">
        <f>L11/'Output-Calculation-sheet'!L10*'Output-Calculation-sheet'!L82</f>
        <v>2580723230.9484215</v>
      </c>
      <c r="M99" s="2">
        <f>M11/'Output-Calculation-sheet'!M10*'Output-Calculation-sheet'!M82</f>
        <v>3292411953.521564</v>
      </c>
      <c r="N99" s="2">
        <f>N11/'Output-Calculation-sheet'!N10*'Output-Calculation-sheet'!N82</f>
        <v>2319507297.602354</v>
      </c>
      <c r="O99" s="2">
        <f>O11/'Output-Calculation-sheet'!O10*'Output-Calculation-sheet'!O82</f>
        <v>1257521312.6923096</v>
      </c>
      <c r="P99" s="2">
        <f>P11/'Output-Calculation-sheet'!P10*'Output-Calculation-sheet'!P82</f>
        <v>3919978811.7737169</v>
      </c>
      <c r="Q99" s="2">
        <f>Q11/'Output-Calculation-sheet'!Q10*'Output-Calculation-sheet'!Q82</f>
        <v>1855180307.318023</v>
      </c>
      <c r="R99" s="2">
        <f>R11/'Output-Calculation-sheet'!R10*'Output-Calculation-sheet'!R82</f>
        <v>2401522328.3455992</v>
      </c>
      <c r="S99" s="2">
        <f>S11/'Output-Calculation-sheet'!S10*'Output-Calculation-sheet'!S82</f>
        <v>1383343999.2894588</v>
      </c>
      <c r="T99" s="2">
        <f>T11/'Output-Calculation-sheet'!T10*'Output-Calculation-sheet'!T82</f>
        <v>1011062731.552945</v>
      </c>
      <c r="U99" s="2">
        <f>U11/'Output-Calculation-sheet'!U10*'Output-Calculation-sheet'!U82</f>
        <v>669546122.30159593</v>
      </c>
      <c r="V99" s="2">
        <f>V11/'Output-Calculation-sheet'!V10*'Output-Calculation-sheet'!V82</f>
        <v>357997964.08426988</v>
      </c>
      <c r="W99" s="2">
        <f>W11/'Output-Calculation-sheet'!W10*'Output-Calculation-sheet'!W82</f>
        <v>992740888.56344557</v>
      </c>
      <c r="X99" s="2">
        <f>X11/'Output-Calculation-sheet'!X10*'Output-Calculation-sheet'!X82</f>
        <v>373893549.88297588</v>
      </c>
      <c r="Y99" s="2">
        <f>Y11/'Output-Calculation-sheet'!Y10*'Output-Calculation-sheet'!Y82</f>
        <v>546322349.61969304</v>
      </c>
      <c r="AA99" s="2">
        <f t="shared" si="8"/>
        <v>107.49005368357068</v>
      </c>
    </row>
    <row r="100" spans="1:27" x14ac:dyDescent="0.25">
      <c r="A100" s="2">
        <v>2035</v>
      </c>
      <c r="B100" s="2">
        <f>B12/'Output-Calculation-sheet'!B11*'Output-Calculation-sheet'!B83</f>
        <v>27879759027.39505</v>
      </c>
      <c r="C100" s="2">
        <f>C12/'Output-Calculation-sheet'!C11*'Output-Calculation-sheet'!C83</f>
        <v>9679399500.942606</v>
      </c>
      <c r="D100" s="2">
        <f>D12/'Output-Calculation-sheet'!D11*'Output-Calculation-sheet'!D83</f>
        <v>8424676152.315938</v>
      </c>
      <c r="E100" s="2">
        <f>E12/'Output-Calculation-sheet'!E11*'Output-Calculation-sheet'!E83</f>
        <v>16754507057.456821</v>
      </c>
      <c r="F100" s="2">
        <f>F12/'Output-Calculation-sheet'!F11*'Output-Calculation-sheet'!F83</f>
        <v>6892136152.940134</v>
      </c>
      <c r="G100" s="2">
        <f>G12/'Output-Calculation-sheet'!G11*'Output-Calculation-sheet'!G83</f>
        <v>4736239565.6497278</v>
      </c>
      <c r="H100" s="2">
        <f>H12/'Output-Calculation-sheet'!H11*'Output-Calculation-sheet'!H83</f>
        <v>4574853471.5264635</v>
      </c>
      <c r="I100" s="2">
        <f>I12/'Output-Calculation-sheet'!I11*'Output-Calculation-sheet'!I83</f>
        <v>3881672809.7405939</v>
      </c>
      <c r="J100" s="2">
        <f>J12/'Output-Calculation-sheet'!J11*'Output-Calculation-sheet'!J83</f>
        <v>2352460791.8476124</v>
      </c>
      <c r="K100" s="2">
        <f>K12/'Output-Calculation-sheet'!K11*'Output-Calculation-sheet'!K83</f>
        <v>3466176796.6097689</v>
      </c>
      <c r="L100" s="2">
        <f>L12/'Output-Calculation-sheet'!L11*'Output-Calculation-sheet'!L83</f>
        <v>2751946737.1628914</v>
      </c>
      <c r="M100" s="2">
        <f>M12/'Output-Calculation-sheet'!M11*'Output-Calculation-sheet'!M83</f>
        <v>3457054910.3695178</v>
      </c>
      <c r="N100" s="2">
        <f>N12/'Output-Calculation-sheet'!N11*'Output-Calculation-sheet'!N83</f>
        <v>2392008951.2480359</v>
      </c>
      <c r="O100" s="2">
        <f>O12/'Output-Calculation-sheet'!O11*'Output-Calculation-sheet'!O83</f>
        <v>1327716849.5238545</v>
      </c>
      <c r="P100" s="2">
        <f>P12/'Output-Calculation-sheet'!P11*'Output-Calculation-sheet'!P83</f>
        <v>4032370413.4740801</v>
      </c>
      <c r="Q100" s="2">
        <f>Q12/'Output-Calculation-sheet'!Q11*'Output-Calculation-sheet'!Q83</f>
        <v>1923459172.2175972</v>
      </c>
      <c r="R100" s="2">
        <f>R12/'Output-Calculation-sheet'!R11*'Output-Calculation-sheet'!R83</f>
        <v>2518662579.9366622</v>
      </c>
      <c r="S100" s="2">
        <f>S12/'Output-Calculation-sheet'!S11*'Output-Calculation-sheet'!S83</f>
        <v>1445582914.1824474</v>
      </c>
      <c r="T100" s="2">
        <f>T12/'Output-Calculation-sheet'!T11*'Output-Calculation-sheet'!T83</f>
        <v>1040318839.063839</v>
      </c>
      <c r="U100" s="2">
        <f>U12/'Output-Calculation-sheet'!U11*'Output-Calculation-sheet'!U83</f>
        <v>701057108.27304721</v>
      </c>
      <c r="V100" s="2">
        <f>V12/'Output-Calculation-sheet'!V11*'Output-Calculation-sheet'!V83</f>
        <v>378261042.35872269</v>
      </c>
      <c r="W100" s="2">
        <f>W12/'Output-Calculation-sheet'!W11*'Output-Calculation-sheet'!W83</f>
        <v>1024802092.1113744</v>
      </c>
      <c r="X100" s="2">
        <f>X12/'Output-Calculation-sheet'!X11*'Output-Calculation-sheet'!X83</f>
        <v>396198222.98483425</v>
      </c>
      <c r="Y100" s="2">
        <f>Y12/'Output-Calculation-sheet'!Y11*'Output-Calculation-sheet'!Y83</f>
        <v>564727122.87282646</v>
      </c>
      <c r="AA100" s="2">
        <f t="shared" si="8"/>
        <v>112.59604828220444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Y110"/>
  <sheetViews>
    <sheetView tabSelected="1" workbookViewId="0">
      <selection activeCell="B4" sqref="B4"/>
    </sheetView>
  </sheetViews>
  <sheetFormatPr defaultRowHeight="15" x14ac:dyDescent="0.25"/>
  <cols>
    <col min="1" max="1" width="14.85546875" style="2" customWidth="1"/>
    <col min="2" max="2" width="12" style="2" bestFit="1" customWidth="1"/>
    <col min="3" max="16384" width="9.140625" style="2"/>
  </cols>
  <sheetData>
    <row r="2" spans="1:25" x14ac:dyDescent="0.25">
      <c r="A2" s="3" t="s">
        <v>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7" t="s">
        <v>32</v>
      </c>
      <c r="N2" s="7" t="s">
        <v>33</v>
      </c>
      <c r="O2" s="7" t="s">
        <v>34</v>
      </c>
      <c r="P2" s="7" t="s">
        <v>35</v>
      </c>
      <c r="Q2" s="7" t="s">
        <v>36</v>
      </c>
      <c r="R2" s="7" t="s">
        <v>37</v>
      </c>
      <c r="S2" s="7" t="s">
        <v>38</v>
      </c>
      <c r="T2" s="7" t="s">
        <v>39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</row>
    <row r="4" spans="1:25" ht="46.5" customHeight="1" x14ac:dyDescent="0.25">
      <c r="A4" s="6" t="s">
        <v>2</v>
      </c>
      <c r="B4" s="7">
        <v>512220300</v>
      </c>
      <c r="C4" s="7">
        <v>508581200</v>
      </c>
      <c r="D4" s="7">
        <v>511703800</v>
      </c>
      <c r="E4" s="7">
        <v>510844400</v>
      </c>
      <c r="F4" s="7">
        <v>522869200</v>
      </c>
      <c r="G4" s="7">
        <v>511900400</v>
      </c>
      <c r="H4" s="7">
        <v>515456000</v>
      </c>
      <c r="I4" s="7">
        <v>518524200</v>
      </c>
      <c r="J4" s="7">
        <v>509962700</v>
      </c>
      <c r="K4" s="7">
        <v>508583300</v>
      </c>
      <c r="L4" s="7">
        <v>513099500</v>
      </c>
      <c r="M4" s="7">
        <v>516815600</v>
      </c>
      <c r="N4" s="7">
        <v>516109700</v>
      </c>
      <c r="O4" s="7">
        <v>508653900</v>
      </c>
      <c r="P4" s="7">
        <v>508582200</v>
      </c>
      <c r="Q4" s="7">
        <v>527586300</v>
      </c>
      <c r="R4" s="7">
        <v>511817300</v>
      </c>
      <c r="S4" s="7">
        <v>515621100</v>
      </c>
      <c r="T4" s="7">
        <v>508533800</v>
      </c>
      <c r="U4" s="7">
        <v>509309700</v>
      </c>
      <c r="V4" s="7">
        <v>508602500</v>
      </c>
      <c r="W4" s="7">
        <v>508516500</v>
      </c>
      <c r="X4" s="7">
        <v>510223800</v>
      </c>
      <c r="Y4" s="7">
        <v>514174100</v>
      </c>
    </row>
    <row r="5" spans="1:25" ht="46.5" customHeight="1" x14ac:dyDescent="0.25">
      <c r="A5" s="4"/>
      <c r="B5" s="7">
        <v>512220300</v>
      </c>
      <c r="C5" s="7">
        <v>508581200</v>
      </c>
      <c r="D5" s="7">
        <v>511703800</v>
      </c>
      <c r="E5" s="7">
        <v>510844400</v>
      </c>
      <c r="F5" s="7">
        <v>522869200</v>
      </c>
      <c r="G5" s="7">
        <v>511900400</v>
      </c>
      <c r="H5" s="7">
        <v>515456000</v>
      </c>
      <c r="I5" s="7">
        <v>518524200</v>
      </c>
      <c r="J5" s="7">
        <v>509962700</v>
      </c>
      <c r="K5" s="7">
        <v>508583300</v>
      </c>
      <c r="L5" s="7">
        <v>513099500</v>
      </c>
      <c r="M5" s="7">
        <v>516815600</v>
      </c>
      <c r="N5" s="7">
        <v>516109700</v>
      </c>
      <c r="O5" s="7">
        <v>508653900</v>
      </c>
      <c r="P5" s="7">
        <v>508582200</v>
      </c>
      <c r="Q5" s="7">
        <v>527586300</v>
      </c>
      <c r="R5" s="7">
        <v>511817300</v>
      </c>
      <c r="S5" s="7">
        <v>515621100</v>
      </c>
      <c r="T5" s="7">
        <v>508533800</v>
      </c>
      <c r="U5" s="7">
        <v>509309700</v>
      </c>
      <c r="V5" s="7">
        <v>508602500</v>
      </c>
      <c r="W5" s="7">
        <v>508516500</v>
      </c>
      <c r="X5" s="7">
        <v>510223800</v>
      </c>
      <c r="Y5" s="7">
        <v>514174100</v>
      </c>
    </row>
    <row r="6" spans="1:25" ht="46.5" customHeight="1" x14ac:dyDescent="0.25">
      <c r="A6" s="4"/>
      <c r="B6" s="7">
        <v>512220300</v>
      </c>
      <c r="C6" s="7">
        <v>508581200</v>
      </c>
      <c r="D6" s="7">
        <v>511703800</v>
      </c>
      <c r="E6" s="7">
        <v>510844400</v>
      </c>
      <c r="F6" s="7">
        <v>522869200</v>
      </c>
      <c r="G6" s="7">
        <v>511900400</v>
      </c>
      <c r="H6" s="7">
        <v>515456000</v>
      </c>
      <c r="I6" s="7">
        <v>518524200</v>
      </c>
      <c r="J6" s="7">
        <v>509962700</v>
      </c>
      <c r="K6" s="7">
        <v>508583300</v>
      </c>
      <c r="L6" s="7">
        <v>513099500</v>
      </c>
      <c r="M6" s="7">
        <v>516815600</v>
      </c>
      <c r="N6" s="7">
        <v>516109700</v>
      </c>
      <c r="O6" s="7">
        <v>508653900</v>
      </c>
      <c r="P6" s="7">
        <v>508582200</v>
      </c>
      <c r="Q6" s="7">
        <v>527586300</v>
      </c>
      <c r="R6" s="7">
        <v>511817300</v>
      </c>
      <c r="S6" s="7">
        <v>515621100</v>
      </c>
      <c r="T6" s="7">
        <v>508533800</v>
      </c>
      <c r="U6" s="7">
        <v>509309700</v>
      </c>
      <c r="V6" s="7">
        <v>508602500</v>
      </c>
      <c r="W6" s="7">
        <v>508516500</v>
      </c>
      <c r="X6" s="7">
        <v>510223800</v>
      </c>
      <c r="Y6" s="7">
        <v>514174100</v>
      </c>
    </row>
    <row r="7" spans="1:25" ht="46.5" customHeight="1" x14ac:dyDescent="0.25">
      <c r="A7" s="4"/>
      <c r="B7" s="7">
        <v>512220300</v>
      </c>
      <c r="C7" s="7">
        <v>508581200</v>
      </c>
      <c r="D7" s="7">
        <v>511703800</v>
      </c>
      <c r="E7" s="7">
        <v>510844400</v>
      </c>
      <c r="F7" s="7">
        <v>522869200</v>
      </c>
      <c r="G7" s="7">
        <v>511900400</v>
      </c>
      <c r="H7" s="7">
        <v>515456000</v>
      </c>
      <c r="I7" s="7">
        <v>518524200</v>
      </c>
      <c r="J7" s="7">
        <v>509962700</v>
      </c>
      <c r="K7" s="7">
        <v>508583300</v>
      </c>
      <c r="L7" s="7">
        <v>513099500</v>
      </c>
      <c r="M7" s="7">
        <v>516815600</v>
      </c>
      <c r="N7" s="7">
        <v>516109700</v>
      </c>
      <c r="O7" s="7">
        <v>508653900</v>
      </c>
      <c r="P7" s="7">
        <v>508582200</v>
      </c>
      <c r="Q7" s="7">
        <v>527586300</v>
      </c>
      <c r="R7" s="7">
        <v>511817300</v>
      </c>
      <c r="S7" s="7">
        <v>515621100</v>
      </c>
      <c r="T7" s="7">
        <v>508533800</v>
      </c>
      <c r="U7" s="7">
        <v>509309700</v>
      </c>
      <c r="V7" s="7">
        <v>508602500</v>
      </c>
      <c r="W7" s="7">
        <v>508516500</v>
      </c>
      <c r="X7" s="7">
        <v>510223800</v>
      </c>
      <c r="Y7" s="7">
        <v>514174100</v>
      </c>
    </row>
    <row r="8" spans="1:25" ht="46.5" customHeight="1" x14ac:dyDescent="0.25">
      <c r="A8" s="4"/>
      <c r="B8" s="7">
        <v>512220300</v>
      </c>
      <c r="C8" s="7">
        <v>508581200</v>
      </c>
      <c r="D8" s="7">
        <v>511703800</v>
      </c>
      <c r="E8" s="7">
        <v>510844400</v>
      </c>
      <c r="F8" s="7">
        <v>522869200</v>
      </c>
      <c r="G8" s="7">
        <v>511900400</v>
      </c>
      <c r="H8" s="7">
        <v>515456000</v>
      </c>
      <c r="I8" s="7">
        <v>518524200</v>
      </c>
      <c r="J8" s="7">
        <v>509962700</v>
      </c>
      <c r="K8" s="7">
        <v>508583300</v>
      </c>
      <c r="L8" s="7">
        <v>513099500</v>
      </c>
      <c r="M8" s="7">
        <v>516815600</v>
      </c>
      <c r="N8" s="7">
        <v>516109700</v>
      </c>
      <c r="O8" s="7">
        <v>508653900</v>
      </c>
      <c r="P8" s="7">
        <v>508582200</v>
      </c>
      <c r="Q8" s="7">
        <v>527586300</v>
      </c>
      <c r="R8" s="7">
        <v>511817300</v>
      </c>
      <c r="S8" s="7">
        <v>515621100</v>
      </c>
      <c r="T8" s="7">
        <v>508533800</v>
      </c>
      <c r="U8" s="7">
        <v>509309700</v>
      </c>
      <c r="V8" s="7">
        <v>508602500</v>
      </c>
      <c r="W8" s="7">
        <v>508516500</v>
      </c>
      <c r="X8" s="7">
        <v>510223800</v>
      </c>
      <c r="Y8" s="7">
        <v>514174100</v>
      </c>
    </row>
    <row r="9" spans="1:25" ht="46.5" customHeight="1" x14ac:dyDescent="0.25">
      <c r="A9" s="4"/>
      <c r="B9" s="7">
        <v>512220300</v>
      </c>
      <c r="C9" s="7">
        <v>508581200</v>
      </c>
      <c r="D9" s="7">
        <v>511703800</v>
      </c>
      <c r="E9" s="7">
        <v>510844400</v>
      </c>
      <c r="F9" s="7">
        <v>522869200</v>
      </c>
      <c r="G9" s="7">
        <v>511900400</v>
      </c>
      <c r="H9" s="7">
        <v>515456000</v>
      </c>
      <c r="I9" s="7">
        <v>518524200</v>
      </c>
      <c r="J9" s="7">
        <v>509962700</v>
      </c>
      <c r="K9" s="7">
        <v>508583300</v>
      </c>
      <c r="L9" s="7">
        <v>513099500</v>
      </c>
      <c r="M9" s="7">
        <v>516815600</v>
      </c>
      <c r="N9" s="7">
        <v>516109700</v>
      </c>
      <c r="O9" s="7">
        <v>508653900</v>
      </c>
      <c r="P9" s="7">
        <v>508582200</v>
      </c>
      <c r="Q9" s="7">
        <v>527586300</v>
      </c>
      <c r="R9" s="7">
        <v>511817300</v>
      </c>
      <c r="S9" s="7">
        <v>515621100</v>
      </c>
      <c r="T9" s="7">
        <v>508533800</v>
      </c>
      <c r="U9" s="7">
        <v>509309700</v>
      </c>
      <c r="V9" s="7">
        <v>508602500</v>
      </c>
      <c r="W9" s="7">
        <v>508516500</v>
      </c>
      <c r="X9" s="7">
        <v>510223800</v>
      </c>
      <c r="Y9" s="7">
        <v>514174100</v>
      </c>
    </row>
    <row r="10" spans="1:25" ht="46.5" customHeight="1" x14ac:dyDescent="0.25">
      <c r="A10" s="4"/>
      <c r="B10" s="7">
        <v>512220300</v>
      </c>
      <c r="C10" s="7">
        <v>508581200</v>
      </c>
      <c r="D10" s="7">
        <v>511703800</v>
      </c>
      <c r="E10" s="7">
        <v>510844400</v>
      </c>
      <c r="F10" s="7">
        <v>522869200</v>
      </c>
      <c r="G10" s="7">
        <v>511900400</v>
      </c>
      <c r="H10" s="7">
        <v>515456000</v>
      </c>
      <c r="I10" s="7">
        <v>518524200</v>
      </c>
      <c r="J10" s="7">
        <v>509962700</v>
      </c>
      <c r="K10" s="7">
        <v>508583300</v>
      </c>
      <c r="L10" s="7">
        <v>513099500</v>
      </c>
      <c r="M10" s="7">
        <v>516815600</v>
      </c>
      <c r="N10" s="7">
        <v>516109700</v>
      </c>
      <c r="O10" s="7">
        <v>508653900</v>
      </c>
      <c r="P10" s="7">
        <v>508582200</v>
      </c>
      <c r="Q10" s="7">
        <v>527586300</v>
      </c>
      <c r="R10" s="7">
        <v>511817300</v>
      </c>
      <c r="S10" s="7">
        <v>515621100</v>
      </c>
      <c r="T10" s="7">
        <v>508533800</v>
      </c>
      <c r="U10" s="7">
        <v>509309700</v>
      </c>
      <c r="V10" s="7">
        <v>508602500</v>
      </c>
      <c r="W10" s="7">
        <v>508516500</v>
      </c>
      <c r="X10" s="7">
        <v>510223800</v>
      </c>
      <c r="Y10" s="7">
        <v>514174100</v>
      </c>
    </row>
    <row r="11" spans="1:25" ht="46.5" customHeight="1" x14ac:dyDescent="0.25">
      <c r="A11" s="4"/>
      <c r="B11" s="7">
        <v>512220300</v>
      </c>
      <c r="C11" s="7">
        <v>508581200</v>
      </c>
      <c r="D11" s="7">
        <v>511703800</v>
      </c>
      <c r="E11" s="7">
        <v>510844400</v>
      </c>
      <c r="F11" s="7">
        <v>522869200</v>
      </c>
      <c r="G11" s="7">
        <v>511900400</v>
      </c>
      <c r="H11" s="7">
        <v>515456000</v>
      </c>
      <c r="I11" s="7">
        <v>518524200</v>
      </c>
      <c r="J11" s="7">
        <v>509962700</v>
      </c>
      <c r="K11" s="7">
        <v>508583300</v>
      </c>
      <c r="L11" s="7">
        <v>513099500</v>
      </c>
      <c r="M11" s="7">
        <v>516815600</v>
      </c>
      <c r="N11" s="7">
        <v>516109700</v>
      </c>
      <c r="O11" s="7">
        <v>508653900</v>
      </c>
      <c r="P11" s="7">
        <v>508582200</v>
      </c>
      <c r="Q11" s="7">
        <v>527586300</v>
      </c>
      <c r="R11" s="7">
        <v>511817300</v>
      </c>
      <c r="S11" s="7">
        <v>515621100</v>
      </c>
      <c r="T11" s="7">
        <v>508533800</v>
      </c>
      <c r="U11" s="7">
        <v>509309700</v>
      </c>
      <c r="V11" s="7">
        <v>508602500</v>
      </c>
      <c r="W11" s="7">
        <v>508516500</v>
      </c>
      <c r="X11" s="7">
        <v>510223800</v>
      </c>
      <c r="Y11" s="7">
        <v>514174100</v>
      </c>
    </row>
    <row r="12" spans="1:25" ht="33.75" customHeight="1" x14ac:dyDescent="0.25">
      <c r="A12" s="4"/>
    </row>
    <row r="13" spans="1:25" ht="28.5" customHeight="1" x14ac:dyDescent="0.25">
      <c r="A13" s="6" t="s">
        <v>5</v>
      </c>
      <c r="B13" s="7">
        <v>23.391999999999999</v>
      </c>
      <c r="C13" s="7">
        <v>0</v>
      </c>
      <c r="D13" s="7">
        <v>9.9390000000000001</v>
      </c>
      <c r="E13" s="7">
        <v>13.455</v>
      </c>
      <c r="F13" s="7">
        <v>10.794</v>
      </c>
      <c r="G13" s="7">
        <v>9.8490000000000002</v>
      </c>
      <c r="H13" s="7">
        <v>0</v>
      </c>
      <c r="I13" s="7">
        <v>10.675000000000001</v>
      </c>
      <c r="J13" s="7">
        <v>9.6020000000000003</v>
      </c>
      <c r="K13" s="7">
        <v>12.909000000000001</v>
      </c>
      <c r="L13" s="7">
        <v>13.712999999999999</v>
      </c>
      <c r="M13" s="7">
        <v>0</v>
      </c>
      <c r="N13" s="7">
        <v>28.24</v>
      </c>
      <c r="O13" s="7">
        <v>0</v>
      </c>
      <c r="P13" s="7">
        <v>18.675000000000001</v>
      </c>
      <c r="Q13" s="7">
        <v>21.914000000000001</v>
      </c>
      <c r="R13" s="7">
        <v>14.939</v>
      </c>
      <c r="S13" s="7">
        <v>26.134</v>
      </c>
      <c r="T13" s="7">
        <v>12.239000000000001</v>
      </c>
      <c r="U13" s="7">
        <v>14.048999999999999</v>
      </c>
      <c r="V13" s="7">
        <v>14.18</v>
      </c>
      <c r="W13" s="7">
        <v>9.9320000000000004</v>
      </c>
      <c r="X13" s="7">
        <v>0</v>
      </c>
      <c r="Y13" s="7">
        <v>14.552</v>
      </c>
    </row>
    <row r="14" spans="1:25" ht="28.5" customHeight="1" x14ac:dyDescent="0.25">
      <c r="A14" s="4"/>
      <c r="B14" s="7">
        <v>46.784999999999997</v>
      </c>
      <c r="C14" s="7">
        <v>0</v>
      </c>
      <c r="D14" s="7">
        <v>19.876999999999999</v>
      </c>
      <c r="E14" s="7">
        <v>26.911000000000001</v>
      </c>
      <c r="F14" s="7">
        <v>21.587</v>
      </c>
      <c r="G14" s="7">
        <v>19.698</v>
      </c>
      <c r="H14" s="7">
        <v>0</v>
      </c>
      <c r="I14" s="7">
        <v>21.35</v>
      </c>
      <c r="J14" s="7">
        <v>19.202999999999999</v>
      </c>
      <c r="K14" s="7">
        <v>25.818000000000001</v>
      </c>
      <c r="L14" s="7">
        <v>27.425999999999998</v>
      </c>
      <c r="M14" s="7">
        <v>0</v>
      </c>
      <c r="N14" s="7">
        <v>56.481000000000002</v>
      </c>
      <c r="O14" s="7">
        <v>0</v>
      </c>
      <c r="P14" s="7">
        <v>37.35</v>
      </c>
      <c r="Q14" s="7">
        <v>43.829000000000001</v>
      </c>
      <c r="R14" s="7">
        <v>29.878</v>
      </c>
      <c r="S14" s="7">
        <v>52.268999999999998</v>
      </c>
      <c r="T14" s="7">
        <v>24.478000000000002</v>
      </c>
      <c r="U14" s="7">
        <v>28.097000000000001</v>
      </c>
      <c r="V14" s="7">
        <v>28.359000000000002</v>
      </c>
      <c r="W14" s="7">
        <v>19.864999999999998</v>
      </c>
      <c r="X14" s="7">
        <v>0</v>
      </c>
      <c r="Y14" s="7">
        <v>29.103999999999999</v>
      </c>
    </row>
    <row r="15" spans="1:25" ht="28.5" customHeight="1" x14ac:dyDescent="0.25">
      <c r="A15" s="4"/>
      <c r="B15" s="7">
        <v>71.661000000000001</v>
      </c>
      <c r="C15" s="7">
        <v>0</v>
      </c>
      <c r="D15" s="7">
        <v>29.815999999999999</v>
      </c>
      <c r="E15" s="7">
        <v>40.366</v>
      </c>
      <c r="F15" s="7">
        <v>32.381</v>
      </c>
      <c r="G15" s="7">
        <v>29.547000000000001</v>
      </c>
      <c r="H15" s="7">
        <v>0</v>
      </c>
      <c r="I15" s="7">
        <v>32.024999999999999</v>
      </c>
      <c r="J15" s="7">
        <v>28.805</v>
      </c>
      <c r="K15" s="7">
        <v>38.728000000000002</v>
      </c>
      <c r="L15" s="7">
        <v>41.14</v>
      </c>
      <c r="M15" s="7">
        <v>0</v>
      </c>
      <c r="N15" s="7">
        <v>56.948999999999998</v>
      </c>
      <c r="O15" s="7">
        <v>0</v>
      </c>
      <c r="P15" s="7">
        <v>56.024999999999999</v>
      </c>
      <c r="Q15" s="7">
        <v>66.563999999999993</v>
      </c>
      <c r="R15" s="7">
        <v>44.817</v>
      </c>
      <c r="S15" s="7">
        <v>70.165000000000006</v>
      </c>
      <c r="T15" s="7">
        <v>36.716999999999999</v>
      </c>
      <c r="U15" s="7">
        <v>42.146000000000001</v>
      </c>
      <c r="V15" s="7">
        <v>42.539000000000001</v>
      </c>
      <c r="W15" s="7">
        <v>29.797000000000001</v>
      </c>
      <c r="X15" s="7">
        <v>0</v>
      </c>
      <c r="Y15" s="7">
        <v>43.655999999999999</v>
      </c>
    </row>
    <row r="16" spans="1:25" ht="28.5" customHeight="1" x14ac:dyDescent="0.25">
      <c r="A16" s="4"/>
      <c r="B16" s="7">
        <v>99.262</v>
      </c>
      <c r="C16" s="7">
        <v>0</v>
      </c>
      <c r="D16" s="7">
        <v>39.755000000000003</v>
      </c>
      <c r="E16" s="7">
        <v>53.822000000000003</v>
      </c>
      <c r="F16" s="7">
        <v>43.173999999999999</v>
      </c>
      <c r="G16" s="7">
        <v>39.396000000000001</v>
      </c>
      <c r="H16" s="7">
        <v>0</v>
      </c>
      <c r="I16" s="7">
        <v>42.698999999999998</v>
      </c>
      <c r="J16" s="7">
        <v>38.406999999999996</v>
      </c>
      <c r="K16" s="7">
        <v>51.637</v>
      </c>
      <c r="L16" s="7">
        <v>54.853000000000002</v>
      </c>
      <c r="M16" s="7">
        <v>0</v>
      </c>
      <c r="N16" s="7">
        <v>83.596000000000004</v>
      </c>
      <c r="O16" s="7">
        <v>0</v>
      </c>
      <c r="P16" s="7">
        <v>81.328999999999994</v>
      </c>
      <c r="Q16" s="7">
        <v>94.301000000000002</v>
      </c>
      <c r="R16" s="7">
        <v>60.335999999999999</v>
      </c>
      <c r="S16" s="7">
        <v>91.974999999999994</v>
      </c>
      <c r="T16" s="7">
        <v>48.956000000000003</v>
      </c>
      <c r="U16" s="7">
        <v>56.194000000000003</v>
      </c>
      <c r="V16" s="7">
        <v>56.718000000000004</v>
      </c>
      <c r="W16" s="7">
        <v>39.728999999999999</v>
      </c>
      <c r="X16" s="7">
        <v>0</v>
      </c>
      <c r="Y16" s="7">
        <v>58.27</v>
      </c>
    </row>
    <row r="17" spans="1:25" ht="28.5" customHeight="1" x14ac:dyDescent="0.25">
      <c r="A17" s="4"/>
      <c r="B17" s="7">
        <v>124.574</v>
      </c>
      <c r="C17" s="7">
        <v>0</v>
      </c>
      <c r="D17" s="7">
        <v>49.692999999999998</v>
      </c>
      <c r="E17" s="7">
        <v>73.492999999999995</v>
      </c>
      <c r="F17" s="7">
        <v>53.968000000000004</v>
      </c>
      <c r="G17" s="7">
        <v>49.244999999999997</v>
      </c>
      <c r="H17" s="7">
        <v>0</v>
      </c>
      <c r="I17" s="7">
        <v>53.374000000000002</v>
      </c>
      <c r="J17" s="7">
        <v>48.009</v>
      </c>
      <c r="K17" s="7">
        <v>68.826999999999998</v>
      </c>
      <c r="L17" s="7">
        <v>73.819000000000003</v>
      </c>
      <c r="M17" s="7">
        <v>0</v>
      </c>
      <c r="N17" s="7">
        <v>86.100999999999999</v>
      </c>
      <c r="O17" s="7">
        <v>0</v>
      </c>
      <c r="P17" s="7">
        <v>115.67700000000001</v>
      </c>
      <c r="Q17" s="7">
        <v>130.03200000000001</v>
      </c>
      <c r="R17" s="7">
        <v>85.787000000000006</v>
      </c>
      <c r="S17" s="7">
        <v>111.88500000000001</v>
      </c>
      <c r="T17" s="7">
        <v>62.921999999999997</v>
      </c>
      <c r="U17" s="7">
        <v>83.158000000000001</v>
      </c>
      <c r="V17" s="7">
        <v>77.244</v>
      </c>
      <c r="W17" s="7">
        <v>49.661999999999999</v>
      </c>
      <c r="X17" s="7">
        <v>0</v>
      </c>
      <c r="Y17" s="7">
        <v>83.150999999999996</v>
      </c>
    </row>
    <row r="18" spans="1:25" ht="28.5" customHeight="1" x14ac:dyDescent="0.25">
      <c r="A18" s="4"/>
      <c r="B18" s="7">
        <v>135.05600000000001</v>
      </c>
      <c r="C18" s="7">
        <v>0</v>
      </c>
      <c r="D18" s="7">
        <v>61.707000000000001</v>
      </c>
      <c r="E18" s="7">
        <v>108.46599999999999</v>
      </c>
      <c r="F18" s="7">
        <v>69.62</v>
      </c>
      <c r="G18" s="7">
        <v>60.517000000000003</v>
      </c>
      <c r="H18" s="7">
        <v>0</v>
      </c>
      <c r="I18" s="7">
        <v>71.034999999999997</v>
      </c>
      <c r="J18" s="7">
        <v>57.61</v>
      </c>
      <c r="K18" s="7">
        <v>96.551000000000002</v>
      </c>
      <c r="L18" s="7">
        <v>104.89100000000001</v>
      </c>
      <c r="M18" s="7">
        <v>0</v>
      </c>
      <c r="N18" s="7">
        <v>83.290999999999997</v>
      </c>
      <c r="O18" s="7">
        <v>0</v>
      </c>
      <c r="P18" s="7">
        <v>145.155</v>
      </c>
      <c r="Q18" s="7">
        <v>166.602</v>
      </c>
      <c r="R18" s="7">
        <v>110.821</v>
      </c>
      <c r="S18" s="7">
        <v>110.226</v>
      </c>
      <c r="T18" s="7">
        <v>87.435000000000002</v>
      </c>
      <c r="U18" s="7">
        <v>111.19799999999999</v>
      </c>
      <c r="V18" s="7">
        <v>106.495</v>
      </c>
      <c r="W18" s="7">
        <v>61.347999999999999</v>
      </c>
      <c r="X18" s="7">
        <v>0</v>
      </c>
      <c r="Y18" s="7">
        <v>123.45699999999999</v>
      </c>
    </row>
    <row r="19" spans="1:25" ht="28.5" customHeight="1" x14ac:dyDescent="0.25">
      <c r="A19" s="4"/>
      <c r="B19" s="7">
        <v>127.79</v>
      </c>
      <c r="C19" s="7">
        <v>0</v>
      </c>
      <c r="D19" s="7">
        <v>90.664000000000001</v>
      </c>
      <c r="E19" s="7">
        <v>141.297</v>
      </c>
      <c r="F19" s="7">
        <v>103.09099999999999</v>
      </c>
      <c r="G19" s="7">
        <v>86.031000000000006</v>
      </c>
      <c r="H19" s="7">
        <v>0</v>
      </c>
      <c r="I19" s="7">
        <v>104.367</v>
      </c>
      <c r="J19" s="7">
        <v>89.17</v>
      </c>
      <c r="K19" s="7">
        <v>124.596</v>
      </c>
      <c r="L19" s="7">
        <v>127.43</v>
      </c>
      <c r="M19" s="7">
        <v>0</v>
      </c>
      <c r="N19" s="7">
        <v>77.311000000000007</v>
      </c>
      <c r="O19" s="7">
        <v>0</v>
      </c>
      <c r="P19" s="7">
        <v>184.137</v>
      </c>
      <c r="Q19" s="7">
        <v>159.88499999999999</v>
      </c>
      <c r="R19" s="7">
        <v>139.786</v>
      </c>
      <c r="S19" s="7">
        <v>98.77</v>
      </c>
      <c r="T19" s="7">
        <v>110.86799999999999</v>
      </c>
      <c r="U19" s="7">
        <v>146.727</v>
      </c>
      <c r="V19" s="7">
        <v>129.654</v>
      </c>
      <c r="W19" s="7">
        <v>93.373000000000005</v>
      </c>
      <c r="X19" s="7">
        <v>45.149000000000001</v>
      </c>
      <c r="Y19" s="7">
        <v>145.61799999999999</v>
      </c>
    </row>
    <row r="20" spans="1:25" ht="28.5" customHeight="1" x14ac:dyDescent="0.25">
      <c r="A20" s="4"/>
      <c r="B20" s="7">
        <v>121.968</v>
      </c>
      <c r="C20" s="7">
        <v>0</v>
      </c>
      <c r="D20" s="7">
        <v>91.042000000000002</v>
      </c>
      <c r="E20" s="7">
        <v>125.17</v>
      </c>
      <c r="F20" s="7">
        <v>125.392</v>
      </c>
      <c r="G20" s="7">
        <v>93.364000000000004</v>
      </c>
      <c r="H20" s="7">
        <v>0</v>
      </c>
      <c r="I20" s="7">
        <v>112.819</v>
      </c>
      <c r="J20" s="7">
        <v>97.866</v>
      </c>
      <c r="K20" s="7">
        <v>129.56399999999999</v>
      </c>
      <c r="L20" s="7">
        <v>128.77600000000001</v>
      </c>
      <c r="M20" s="7">
        <v>0</v>
      </c>
      <c r="N20" s="7">
        <v>76.89</v>
      </c>
      <c r="O20" s="7">
        <v>0</v>
      </c>
      <c r="P20" s="7">
        <v>186.005</v>
      </c>
      <c r="Q20" s="7">
        <v>155.18799999999999</v>
      </c>
      <c r="R20" s="7">
        <v>157.06800000000001</v>
      </c>
      <c r="S20" s="7">
        <v>90.938000000000002</v>
      </c>
      <c r="T20" s="7">
        <v>133.38</v>
      </c>
      <c r="U20" s="7">
        <v>139.93</v>
      </c>
      <c r="V20" s="7">
        <v>166.69900000000001</v>
      </c>
      <c r="W20" s="7">
        <v>123.854</v>
      </c>
      <c r="X20" s="7">
        <v>41.859000000000002</v>
      </c>
      <c r="Y20" s="7">
        <v>120.30500000000001</v>
      </c>
    </row>
    <row r="21" spans="1:25" ht="28.5" customHeight="1" x14ac:dyDescent="0.25">
      <c r="A21" s="4"/>
    </row>
    <row r="22" spans="1:25" ht="30" x14ac:dyDescent="0.25">
      <c r="A22" s="6" t="s">
        <v>4</v>
      </c>
      <c r="B22" s="7">
        <v>0</v>
      </c>
      <c r="C22" s="7">
        <v>39.040999999999997</v>
      </c>
      <c r="D22" s="7">
        <v>0</v>
      </c>
      <c r="E22" s="7">
        <v>0</v>
      </c>
      <c r="F22" s="7">
        <v>0</v>
      </c>
      <c r="G22" s="7">
        <v>0</v>
      </c>
      <c r="H22" s="7">
        <v>39.567999999999998</v>
      </c>
      <c r="I22" s="7">
        <v>0</v>
      </c>
      <c r="J22" s="7">
        <v>0</v>
      </c>
      <c r="K22" s="7">
        <v>0</v>
      </c>
      <c r="L22" s="7">
        <v>0</v>
      </c>
      <c r="M22" s="7">
        <v>39.673000000000002</v>
      </c>
      <c r="N22" s="7">
        <v>0</v>
      </c>
      <c r="O22" s="7">
        <v>39.045999999999999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39.167000000000002</v>
      </c>
      <c r="Y22" s="7">
        <v>0</v>
      </c>
    </row>
    <row r="23" spans="1:25" x14ac:dyDescent="0.25">
      <c r="B23" s="7">
        <v>0</v>
      </c>
      <c r="C23" s="7">
        <v>83.481999999999999</v>
      </c>
      <c r="D23" s="7">
        <v>0</v>
      </c>
      <c r="E23" s="7">
        <v>0</v>
      </c>
      <c r="F23" s="7">
        <v>0</v>
      </c>
      <c r="G23" s="7">
        <v>0</v>
      </c>
      <c r="H23" s="7">
        <v>79.972999999999999</v>
      </c>
      <c r="I23" s="7">
        <v>0</v>
      </c>
      <c r="J23" s="7">
        <v>0</v>
      </c>
      <c r="K23" s="7">
        <v>0</v>
      </c>
      <c r="L23" s="7">
        <v>0</v>
      </c>
      <c r="M23" s="7">
        <v>80.228999999999999</v>
      </c>
      <c r="N23" s="7">
        <v>0</v>
      </c>
      <c r="O23" s="7">
        <v>84.019000000000005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81.319999999999993</v>
      </c>
      <c r="Y23" s="7">
        <v>0</v>
      </c>
    </row>
    <row r="24" spans="1:25" x14ac:dyDescent="0.25">
      <c r="B24" s="7">
        <v>0</v>
      </c>
      <c r="C24" s="7">
        <v>127.57899999999999</v>
      </c>
      <c r="D24" s="7">
        <v>0</v>
      </c>
      <c r="E24" s="7">
        <v>0</v>
      </c>
      <c r="F24" s="7">
        <v>0</v>
      </c>
      <c r="G24" s="7">
        <v>0</v>
      </c>
      <c r="H24" s="7">
        <v>131.28100000000001</v>
      </c>
      <c r="I24" s="7">
        <v>0</v>
      </c>
      <c r="J24" s="7">
        <v>0</v>
      </c>
      <c r="K24" s="7">
        <v>0</v>
      </c>
      <c r="L24" s="7">
        <v>0</v>
      </c>
      <c r="M24" s="7">
        <v>131.584</v>
      </c>
      <c r="N24" s="7">
        <v>41.491999999999997</v>
      </c>
      <c r="O24" s="7">
        <v>94.703999999999994</v>
      </c>
      <c r="P24" s="7">
        <v>0</v>
      </c>
      <c r="Q24" s="7">
        <v>0</v>
      </c>
      <c r="R24" s="7">
        <v>0</v>
      </c>
      <c r="S24" s="7">
        <v>15.824</v>
      </c>
      <c r="T24" s="7">
        <v>0</v>
      </c>
      <c r="U24" s="7">
        <v>0</v>
      </c>
      <c r="V24" s="7">
        <v>0</v>
      </c>
      <c r="W24" s="7">
        <v>0</v>
      </c>
      <c r="X24" s="7">
        <v>134.48400000000001</v>
      </c>
      <c r="Y24" s="7">
        <v>0</v>
      </c>
    </row>
    <row r="25" spans="1:25" x14ac:dyDescent="0.25">
      <c r="B25" s="7">
        <v>5.6950000000000003</v>
      </c>
      <c r="C25" s="7">
        <v>158.405</v>
      </c>
      <c r="D25" s="7">
        <v>0</v>
      </c>
      <c r="E25" s="7">
        <v>0</v>
      </c>
      <c r="F25" s="7">
        <v>0</v>
      </c>
      <c r="G25" s="7">
        <v>0</v>
      </c>
      <c r="H25" s="7">
        <v>174.881</v>
      </c>
      <c r="I25" s="7">
        <v>0</v>
      </c>
      <c r="J25" s="7">
        <v>0</v>
      </c>
      <c r="K25" s="7">
        <v>0</v>
      </c>
      <c r="L25" s="7">
        <v>0</v>
      </c>
      <c r="M25" s="7">
        <v>176.59800000000001</v>
      </c>
      <c r="N25" s="7">
        <v>61.517000000000003</v>
      </c>
      <c r="O25" s="7">
        <v>105.23699999999999</v>
      </c>
      <c r="P25" s="7">
        <v>0</v>
      </c>
      <c r="Q25" s="7">
        <v>0</v>
      </c>
      <c r="R25" s="7">
        <v>0</v>
      </c>
      <c r="S25" s="7">
        <v>38.292000000000002</v>
      </c>
      <c r="T25" s="7">
        <v>0</v>
      </c>
      <c r="U25" s="7">
        <v>0</v>
      </c>
      <c r="V25" s="7">
        <v>0</v>
      </c>
      <c r="W25" s="7">
        <v>0</v>
      </c>
      <c r="X25" s="7">
        <v>179.86199999999999</v>
      </c>
      <c r="Y25" s="7">
        <v>0</v>
      </c>
    </row>
    <row r="26" spans="1:25" x14ac:dyDescent="0.25">
      <c r="B26" s="7">
        <v>29.42</v>
      </c>
      <c r="C26" s="7">
        <v>210.447</v>
      </c>
      <c r="D26" s="7">
        <v>0</v>
      </c>
      <c r="E26" s="7">
        <v>0</v>
      </c>
      <c r="F26" s="7">
        <v>0</v>
      </c>
      <c r="G26" s="7">
        <v>0</v>
      </c>
      <c r="H26" s="7">
        <v>218.8</v>
      </c>
      <c r="I26" s="7">
        <v>0</v>
      </c>
      <c r="J26" s="7">
        <v>0</v>
      </c>
      <c r="K26" s="7">
        <v>0</v>
      </c>
      <c r="L26" s="7">
        <v>0</v>
      </c>
      <c r="M26" s="7">
        <v>221.20599999999999</v>
      </c>
      <c r="N26" s="7">
        <v>101.578</v>
      </c>
      <c r="O26" s="7">
        <v>114.22499999999999</v>
      </c>
      <c r="P26" s="7">
        <v>0</v>
      </c>
      <c r="Q26" s="7">
        <v>0</v>
      </c>
      <c r="R26" s="7">
        <v>0</v>
      </c>
      <c r="S26" s="7">
        <v>64.400000000000006</v>
      </c>
      <c r="T26" s="7">
        <v>0</v>
      </c>
      <c r="U26" s="7">
        <v>0</v>
      </c>
      <c r="V26" s="7">
        <v>0</v>
      </c>
      <c r="W26" s="7">
        <v>0</v>
      </c>
      <c r="X26" s="7">
        <v>225.59200000000001</v>
      </c>
      <c r="Y26" s="7">
        <v>0</v>
      </c>
    </row>
    <row r="27" spans="1:25" x14ac:dyDescent="0.25">
      <c r="B27" s="7">
        <v>66.525999999999996</v>
      </c>
      <c r="C27" s="7">
        <v>240.71199999999999</v>
      </c>
      <c r="D27" s="7">
        <v>0</v>
      </c>
      <c r="E27" s="7">
        <v>0</v>
      </c>
      <c r="F27" s="7">
        <v>0</v>
      </c>
      <c r="G27" s="7">
        <v>0</v>
      </c>
      <c r="H27" s="7">
        <v>263.55599999999998</v>
      </c>
      <c r="I27" s="7">
        <v>0</v>
      </c>
      <c r="J27" s="7">
        <v>0</v>
      </c>
      <c r="K27" s="7">
        <v>0</v>
      </c>
      <c r="L27" s="7">
        <v>0</v>
      </c>
      <c r="M27" s="7">
        <v>266.03199999999998</v>
      </c>
      <c r="N27" s="7">
        <v>148.10900000000001</v>
      </c>
      <c r="O27" s="7">
        <v>123.624</v>
      </c>
      <c r="P27" s="7">
        <v>0</v>
      </c>
      <c r="Q27" s="7">
        <v>11.53</v>
      </c>
      <c r="R27" s="7">
        <v>0</v>
      </c>
      <c r="S27" s="7">
        <v>112.22199999999999</v>
      </c>
      <c r="T27" s="7">
        <v>0</v>
      </c>
      <c r="U27" s="7">
        <v>0</v>
      </c>
      <c r="V27" s="7">
        <v>0</v>
      </c>
      <c r="W27" s="7">
        <v>0</v>
      </c>
      <c r="X27" s="7">
        <v>285.16300000000001</v>
      </c>
      <c r="Y27" s="7">
        <v>0</v>
      </c>
    </row>
    <row r="28" spans="1:25" x14ac:dyDescent="0.25">
      <c r="B28" s="7">
        <v>126.693</v>
      </c>
      <c r="C28" s="7">
        <v>256.08999999999997</v>
      </c>
      <c r="D28" s="7">
        <v>0</v>
      </c>
      <c r="E28" s="7">
        <v>19.428000000000001</v>
      </c>
      <c r="F28" s="7">
        <v>0</v>
      </c>
      <c r="G28" s="7">
        <v>0</v>
      </c>
      <c r="H28" s="7">
        <v>317.45800000000003</v>
      </c>
      <c r="I28" s="7">
        <v>0</v>
      </c>
      <c r="J28" s="7">
        <v>0</v>
      </c>
      <c r="K28" s="7">
        <v>0</v>
      </c>
      <c r="L28" s="7">
        <v>36.512999999999998</v>
      </c>
      <c r="M28" s="7">
        <v>336.36900000000003</v>
      </c>
      <c r="N28" s="7">
        <v>204.24600000000001</v>
      </c>
      <c r="O28" s="7">
        <v>135.27600000000001</v>
      </c>
      <c r="P28" s="7">
        <v>0</v>
      </c>
      <c r="Q28" s="7">
        <v>52.957000000000001</v>
      </c>
      <c r="R28" s="7">
        <v>0</v>
      </c>
      <c r="S28" s="7">
        <v>181.76599999999999</v>
      </c>
      <c r="T28" s="7">
        <v>0</v>
      </c>
      <c r="U28" s="7">
        <v>0</v>
      </c>
      <c r="V28" s="7">
        <v>0</v>
      </c>
      <c r="W28" s="7">
        <v>0</v>
      </c>
      <c r="X28" s="7">
        <v>307.89800000000002</v>
      </c>
      <c r="Y28" s="7">
        <v>33.094999999999999</v>
      </c>
    </row>
    <row r="29" spans="1:25" x14ac:dyDescent="0.25">
      <c r="B29" s="7">
        <v>153.24700000000001</v>
      </c>
      <c r="C29" s="7">
        <v>263.726</v>
      </c>
      <c r="D29" s="7">
        <v>0</v>
      </c>
      <c r="E29" s="7">
        <v>70.710999999999999</v>
      </c>
      <c r="F29" s="7">
        <v>0</v>
      </c>
      <c r="G29" s="7">
        <v>0</v>
      </c>
      <c r="H29" s="7">
        <v>329.79300000000001</v>
      </c>
      <c r="I29" s="7">
        <v>0</v>
      </c>
      <c r="J29" s="7">
        <v>0</v>
      </c>
      <c r="K29" s="7">
        <v>0</v>
      </c>
      <c r="L29" s="7">
        <v>50.521999999999998</v>
      </c>
      <c r="M29" s="7">
        <v>351.15</v>
      </c>
      <c r="N29" s="7">
        <v>208.422</v>
      </c>
      <c r="O29" s="7">
        <v>150.56200000000001</v>
      </c>
      <c r="P29" s="7">
        <v>27.553999999999998</v>
      </c>
      <c r="Q29" s="7">
        <v>65.224000000000004</v>
      </c>
      <c r="R29" s="7">
        <v>0</v>
      </c>
      <c r="S29" s="7">
        <v>194.63</v>
      </c>
      <c r="T29" s="7">
        <v>0</v>
      </c>
      <c r="U29" s="7">
        <v>17.404</v>
      </c>
      <c r="V29" s="7">
        <v>0</v>
      </c>
      <c r="W29" s="7">
        <v>0</v>
      </c>
      <c r="X29" s="7">
        <v>317.10199999999998</v>
      </c>
      <c r="Y29" s="7">
        <v>97.283000000000001</v>
      </c>
    </row>
    <row r="31" spans="1:25" x14ac:dyDescent="0.25">
      <c r="A31" s="6" t="s">
        <v>19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</row>
    <row r="32" spans="1:25" x14ac:dyDescent="0.25"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</row>
    <row r="33" spans="1:25" x14ac:dyDescent="0.25">
      <c r="B33" s="7">
        <v>0</v>
      </c>
      <c r="C33" s="7">
        <v>1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1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</row>
    <row r="34" spans="1:25" x14ac:dyDescent="0.25">
      <c r="B34" s="7">
        <v>0</v>
      </c>
      <c r="C34" s="7">
        <v>1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2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x14ac:dyDescent="0.25">
      <c r="B35" s="7">
        <v>0</v>
      </c>
      <c r="C35" s="7">
        <v>1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3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25">
      <c r="B36" s="7">
        <v>0</v>
      </c>
      <c r="C36" s="7">
        <v>1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3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1:25" x14ac:dyDescent="0.25">
      <c r="B37" s="7">
        <v>0</v>
      </c>
      <c r="C37" s="7">
        <v>2</v>
      </c>
      <c r="D37" s="7">
        <v>0</v>
      </c>
      <c r="E37" s="7">
        <v>0</v>
      </c>
      <c r="F37" s="7">
        <v>0</v>
      </c>
      <c r="G37" s="7">
        <v>0</v>
      </c>
      <c r="H37" s="7">
        <v>1</v>
      </c>
      <c r="I37" s="7">
        <v>0</v>
      </c>
      <c r="J37" s="7">
        <v>0</v>
      </c>
      <c r="K37" s="7">
        <v>0</v>
      </c>
      <c r="L37" s="7">
        <v>0</v>
      </c>
      <c r="M37" s="7">
        <v>1</v>
      </c>
      <c r="N37" s="7">
        <v>0</v>
      </c>
      <c r="O37" s="7">
        <v>4</v>
      </c>
      <c r="P37" s="7">
        <v>0</v>
      </c>
      <c r="Q37" s="7">
        <v>1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1</v>
      </c>
      <c r="Y37" s="7">
        <v>0</v>
      </c>
    </row>
    <row r="38" spans="1:25" x14ac:dyDescent="0.25">
      <c r="B38" s="7">
        <v>1</v>
      </c>
      <c r="C38" s="7">
        <v>2</v>
      </c>
      <c r="D38" s="7">
        <v>1</v>
      </c>
      <c r="E38" s="7">
        <v>1</v>
      </c>
      <c r="F38" s="7">
        <v>1</v>
      </c>
      <c r="G38" s="7">
        <v>1</v>
      </c>
      <c r="H38" s="7">
        <v>1</v>
      </c>
      <c r="I38" s="7">
        <v>1</v>
      </c>
      <c r="J38" s="7">
        <v>1</v>
      </c>
      <c r="K38" s="7">
        <v>1</v>
      </c>
      <c r="L38" s="7">
        <v>1</v>
      </c>
      <c r="M38" s="7">
        <v>1</v>
      </c>
      <c r="N38" s="7">
        <v>1</v>
      </c>
      <c r="O38" s="7">
        <v>4</v>
      </c>
      <c r="P38" s="7">
        <v>1</v>
      </c>
      <c r="Q38" s="7">
        <v>1</v>
      </c>
      <c r="R38" s="7">
        <v>1</v>
      </c>
      <c r="S38" s="7">
        <v>1</v>
      </c>
      <c r="T38" s="7">
        <v>1</v>
      </c>
      <c r="U38" s="7">
        <v>1</v>
      </c>
      <c r="V38" s="7">
        <v>1</v>
      </c>
      <c r="W38" s="7">
        <v>1</v>
      </c>
      <c r="X38" s="7">
        <v>1</v>
      </c>
      <c r="Y38" s="7">
        <v>1</v>
      </c>
    </row>
    <row r="40" spans="1:25" ht="45" x14ac:dyDescent="0.25">
      <c r="A40" s="6" t="s">
        <v>3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</row>
    <row r="41" spans="1:25" x14ac:dyDescent="0.25"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</row>
    <row r="42" spans="1:25" x14ac:dyDescent="0.25">
      <c r="B42" s="7">
        <v>0</v>
      </c>
      <c r="C42" s="7">
        <v>104</v>
      </c>
      <c r="D42" s="7">
        <v>0</v>
      </c>
      <c r="E42" s="7">
        <v>0</v>
      </c>
      <c r="F42" s="7">
        <v>0</v>
      </c>
      <c r="G42" s="7">
        <v>0</v>
      </c>
      <c r="H42" s="7">
        <v>74</v>
      </c>
      <c r="I42" s="7">
        <v>0</v>
      </c>
      <c r="J42" s="7">
        <v>0</v>
      </c>
      <c r="K42" s="7">
        <v>0</v>
      </c>
      <c r="L42" s="7">
        <v>0</v>
      </c>
      <c r="M42" s="7">
        <v>76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98</v>
      </c>
      <c r="Y42" s="7">
        <v>0</v>
      </c>
    </row>
    <row r="43" spans="1:25" x14ac:dyDescent="0.25">
      <c r="B43" s="7">
        <v>0</v>
      </c>
      <c r="C43" s="7">
        <v>234</v>
      </c>
      <c r="D43" s="7">
        <v>0</v>
      </c>
      <c r="E43" s="7">
        <v>0</v>
      </c>
      <c r="F43" s="7">
        <v>0</v>
      </c>
      <c r="G43" s="7">
        <v>0</v>
      </c>
      <c r="H43" s="7">
        <v>248</v>
      </c>
      <c r="I43" s="7">
        <v>0</v>
      </c>
      <c r="J43" s="7">
        <v>0</v>
      </c>
      <c r="K43" s="7">
        <v>0</v>
      </c>
      <c r="L43" s="7">
        <v>0</v>
      </c>
      <c r="M43" s="7">
        <v>246</v>
      </c>
      <c r="N43" s="7">
        <v>8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290</v>
      </c>
      <c r="Y43" s="7">
        <v>0</v>
      </c>
    </row>
    <row r="44" spans="1:25" x14ac:dyDescent="0.25">
      <c r="B44" s="7">
        <v>0</v>
      </c>
      <c r="C44" s="7">
        <v>489</v>
      </c>
      <c r="D44" s="7">
        <v>0</v>
      </c>
      <c r="E44" s="7">
        <v>0</v>
      </c>
      <c r="F44" s="7">
        <v>0</v>
      </c>
      <c r="G44" s="7">
        <v>0</v>
      </c>
      <c r="H44" s="7">
        <v>439</v>
      </c>
      <c r="I44" s="7">
        <v>0</v>
      </c>
      <c r="J44" s="7">
        <v>0</v>
      </c>
      <c r="K44" s="7">
        <v>0</v>
      </c>
      <c r="L44" s="7">
        <v>0</v>
      </c>
      <c r="M44" s="7">
        <v>436</v>
      </c>
      <c r="N44" s="7">
        <v>158</v>
      </c>
      <c r="O44" s="7">
        <v>0</v>
      </c>
      <c r="P44" s="7">
        <v>8</v>
      </c>
      <c r="Q44" s="7">
        <v>0</v>
      </c>
      <c r="R44" s="7">
        <v>0</v>
      </c>
      <c r="S44" s="7">
        <v>86</v>
      </c>
      <c r="T44" s="7">
        <v>0</v>
      </c>
      <c r="U44" s="7">
        <v>0</v>
      </c>
      <c r="V44" s="7">
        <v>0</v>
      </c>
      <c r="W44" s="7">
        <v>0</v>
      </c>
      <c r="X44" s="7">
        <v>497</v>
      </c>
      <c r="Y44" s="7">
        <v>0</v>
      </c>
    </row>
    <row r="45" spans="1:25" x14ac:dyDescent="0.25">
      <c r="B45" s="7">
        <v>128</v>
      </c>
      <c r="C45" s="7">
        <v>618</v>
      </c>
      <c r="D45" s="7">
        <v>0</v>
      </c>
      <c r="E45" s="7">
        <v>0</v>
      </c>
      <c r="F45" s="7">
        <v>0</v>
      </c>
      <c r="G45" s="7">
        <v>0</v>
      </c>
      <c r="H45" s="7">
        <v>635</v>
      </c>
      <c r="I45" s="7">
        <v>0</v>
      </c>
      <c r="J45" s="7">
        <v>0</v>
      </c>
      <c r="K45" s="7">
        <v>9</v>
      </c>
      <c r="L45" s="7">
        <v>0</v>
      </c>
      <c r="M45" s="7">
        <v>633</v>
      </c>
      <c r="N45" s="7">
        <v>361</v>
      </c>
      <c r="O45" s="7">
        <v>0</v>
      </c>
      <c r="P45" s="7">
        <v>106</v>
      </c>
      <c r="Q45" s="7">
        <v>44</v>
      </c>
      <c r="R45" s="7">
        <v>74</v>
      </c>
      <c r="S45" s="7">
        <v>268</v>
      </c>
      <c r="T45" s="7">
        <v>10</v>
      </c>
      <c r="U45" s="7">
        <v>83</v>
      </c>
      <c r="V45" s="7">
        <v>8</v>
      </c>
      <c r="W45" s="7">
        <v>0</v>
      </c>
      <c r="X45" s="7">
        <v>663</v>
      </c>
      <c r="Y45" s="7">
        <v>7</v>
      </c>
    </row>
    <row r="46" spans="1:25" x14ac:dyDescent="0.25">
      <c r="B46" s="7">
        <v>364</v>
      </c>
      <c r="C46" s="7">
        <v>631</v>
      </c>
      <c r="D46" s="7">
        <v>80</v>
      </c>
      <c r="E46" s="7">
        <v>124</v>
      </c>
      <c r="F46" s="7">
        <v>6</v>
      </c>
      <c r="G46" s="7">
        <v>99</v>
      </c>
      <c r="H46" s="7">
        <v>739</v>
      </c>
      <c r="I46" s="7">
        <v>60</v>
      </c>
      <c r="J46" s="7">
        <v>44</v>
      </c>
      <c r="K46" s="7">
        <v>119</v>
      </c>
      <c r="L46" s="7">
        <v>55</v>
      </c>
      <c r="M46" s="7">
        <v>759</v>
      </c>
      <c r="N46" s="7">
        <v>589</v>
      </c>
      <c r="O46" s="7">
        <v>14</v>
      </c>
      <c r="P46" s="7">
        <v>237</v>
      </c>
      <c r="Q46" s="7">
        <v>147</v>
      </c>
      <c r="R46" s="7">
        <v>204</v>
      </c>
      <c r="S46" s="7">
        <v>505</v>
      </c>
      <c r="T46" s="7">
        <v>125</v>
      </c>
      <c r="U46" s="7">
        <v>240</v>
      </c>
      <c r="V46" s="7">
        <v>126</v>
      </c>
      <c r="W46" s="7">
        <v>19</v>
      </c>
      <c r="X46" s="7">
        <v>708</v>
      </c>
      <c r="Y46" s="7">
        <v>191</v>
      </c>
    </row>
    <row r="47" spans="1:25" x14ac:dyDescent="0.25">
      <c r="B47" s="7">
        <v>463</v>
      </c>
      <c r="C47" s="7">
        <v>641</v>
      </c>
      <c r="D47" s="7">
        <v>88</v>
      </c>
      <c r="E47" s="7">
        <v>311</v>
      </c>
      <c r="F47" s="7">
        <v>61</v>
      </c>
      <c r="G47" s="7">
        <v>192</v>
      </c>
      <c r="H47" s="7">
        <v>757</v>
      </c>
      <c r="I47" s="7">
        <v>108</v>
      </c>
      <c r="J47" s="7">
        <v>99</v>
      </c>
      <c r="K47" s="7">
        <v>144</v>
      </c>
      <c r="L47" s="7">
        <v>100</v>
      </c>
      <c r="M47" s="7">
        <v>767</v>
      </c>
      <c r="N47" s="7">
        <v>596</v>
      </c>
      <c r="O47" s="7">
        <v>60</v>
      </c>
      <c r="P47" s="7">
        <v>335</v>
      </c>
      <c r="Q47" s="7">
        <v>179</v>
      </c>
      <c r="R47" s="7">
        <v>263</v>
      </c>
      <c r="S47" s="7">
        <v>528</v>
      </c>
      <c r="T47" s="7">
        <v>249</v>
      </c>
      <c r="U47" s="7">
        <v>274</v>
      </c>
      <c r="V47" s="7">
        <v>248</v>
      </c>
      <c r="W47" s="7">
        <v>163</v>
      </c>
      <c r="X47" s="7">
        <v>722</v>
      </c>
      <c r="Y47" s="7">
        <v>383</v>
      </c>
    </row>
    <row r="49" spans="1:25" x14ac:dyDescent="0.25">
      <c r="A49" s="6" t="s">
        <v>20</v>
      </c>
      <c r="B49" s="7">
        <v>9.2507900917029665E-2</v>
      </c>
      <c r="C49" s="7">
        <v>7.9177334495794643E-2</v>
      </c>
      <c r="D49" s="7">
        <v>5.8077560940920703E-2</v>
      </c>
      <c r="E49" s="7">
        <v>8.492957314266425E-2</v>
      </c>
      <c r="F49" s="7">
        <v>6.0592589945994729E-2</v>
      </c>
      <c r="G49" s="7">
        <v>6.8029726328135864E-2</v>
      </c>
      <c r="H49" s="7">
        <v>6.6682513752218495E-2</v>
      </c>
      <c r="I49" s="7">
        <v>5.6210586038940184E-2</v>
      </c>
      <c r="J49" s="7">
        <v>8.9503277567852882E-2</v>
      </c>
      <c r="K49" s="7">
        <v>5.0159986827338639E-2</v>
      </c>
      <c r="L49" s="7">
        <v>8.1652903394525356E-2</v>
      </c>
      <c r="M49" s="7">
        <v>7.3986917092867518E-2</v>
      </c>
      <c r="N49" s="7">
        <v>6.3101438988749814E-2</v>
      </c>
      <c r="O49" s="7">
        <v>6.8772461716277128E-2</v>
      </c>
      <c r="P49" s="7">
        <v>7.2489459293708799E-2</v>
      </c>
      <c r="Q49" s="7">
        <v>6.3904074400857588E-2</v>
      </c>
      <c r="R49" s="7">
        <v>6.9448085686880795E-2</v>
      </c>
      <c r="S49" s="7">
        <v>7.3622418301919998E-2</v>
      </c>
      <c r="T49" s="7">
        <v>8.2808065942557574E-2</v>
      </c>
      <c r="U49" s="7">
        <v>6.9860053495823873E-2</v>
      </c>
      <c r="V49" s="7">
        <v>0.17253459889176867</v>
      </c>
      <c r="W49" s="7">
        <v>7.9353723187602532E-2</v>
      </c>
      <c r="X49" s="7">
        <v>9.7004465387278818E-2</v>
      </c>
      <c r="Y49" s="7">
        <v>7.2137289237372407E-2</v>
      </c>
    </row>
    <row r="50" spans="1:25" x14ac:dyDescent="0.25">
      <c r="B50" s="7">
        <v>8.5606757127475522E-2</v>
      </c>
      <c r="C50" s="7">
        <v>7.7856533342958403E-2</v>
      </c>
      <c r="D50" s="7">
        <v>5.2466208837258915E-2</v>
      </c>
      <c r="E50" s="7">
        <v>7.6438568353730169E-2</v>
      </c>
      <c r="F50" s="7">
        <v>5.4790670362813182E-2</v>
      </c>
      <c r="G50" s="7">
        <v>6.0971373589164067E-2</v>
      </c>
      <c r="H50" s="7">
        <v>6.4704800626907977E-2</v>
      </c>
      <c r="I50" s="7">
        <v>5.1026920779054366E-2</v>
      </c>
      <c r="J50" s="7">
        <v>7.9320359401608934E-2</v>
      </c>
      <c r="K50" s="7">
        <v>4.6503758792088672E-2</v>
      </c>
      <c r="L50" s="7">
        <v>7.3683460676448237E-2</v>
      </c>
      <c r="M50" s="7">
        <v>7.1019059829892664E-2</v>
      </c>
      <c r="N50" s="7">
        <v>6.1652393763726339E-2</v>
      </c>
      <c r="O50" s="7">
        <v>6.9798407044543542E-2</v>
      </c>
      <c r="P50" s="7">
        <v>6.7210801349210411E-2</v>
      </c>
      <c r="Q50" s="7">
        <v>6.0518005871531722E-2</v>
      </c>
      <c r="R50" s="7">
        <v>6.3562540110974494E-2</v>
      </c>
      <c r="S50" s="7">
        <v>7.011281645103519E-2</v>
      </c>
      <c r="T50" s="7">
        <v>7.4305952089838381E-2</v>
      </c>
      <c r="U50" s="7">
        <v>6.3693824122112858E-2</v>
      </c>
      <c r="V50" s="7">
        <v>0.15174145506108655</v>
      </c>
      <c r="W50" s="7">
        <v>7.0718026780052484E-2</v>
      </c>
      <c r="X50" s="7">
        <v>9.2014948301799682E-2</v>
      </c>
      <c r="Y50" s="7">
        <v>6.5745017799356584E-2</v>
      </c>
    </row>
    <row r="51" spans="1:25" x14ac:dyDescent="0.25">
      <c r="B51" s="7">
        <v>7.8845379886239478E-2</v>
      </c>
      <c r="C51" s="7">
        <v>8.3150055091275515E-2</v>
      </c>
      <c r="D51" s="7">
        <v>4.6765950165336689E-2</v>
      </c>
      <c r="E51" s="7">
        <v>6.7826977635475919E-2</v>
      </c>
      <c r="F51" s="7">
        <v>4.8894270688103071E-2</v>
      </c>
      <c r="G51" s="7">
        <v>5.3824941783084633E-2</v>
      </c>
      <c r="H51" s="7">
        <v>6.7183832127836032E-2</v>
      </c>
      <c r="I51" s="7">
        <v>4.5749017597866613E-2</v>
      </c>
      <c r="J51" s="7">
        <v>6.9051241423819562E-2</v>
      </c>
      <c r="K51" s="7">
        <v>4.2731343667356446E-2</v>
      </c>
      <c r="L51" s="7">
        <v>6.5591650791650663E-2</v>
      </c>
      <c r="M51" s="7">
        <v>7.2558459270956874E-2</v>
      </c>
      <c r="N51" s="7">
        <v>6.0396829456187053E-2</v>
      </c>
      <c r="O51" s="7">
        <v>7.4722427240247302E-2</v>
      </c>
      <c r="P51" s="7">
        <v>6.1764051080901515E-2</v>
      </c>
      <c r="Q51" s="7">
        <v>5.7128966012763786E-2</v>
      </c>
      <c r="R51" s="7">
        <v>5.7543386505700123E-2</v>
      </c>
      <c r="S51" s="7">
        <v>6.7122834725797442E-2</v>
      </c>
      <c r="T51" s="7">
        <v>6.569366138074377E-2</v>
      </c>
      <c r="U51" s="7">
        <v>5.7401318832175828E-2</v>
      </c>
      <c r="V51" s="7">
        <v>0.13082072584569435</v>
      </c>
      <c r="W51" s="7">
        <v>6.1992914451101569E-2</v>
      </c>
      <c r="X51" s="7">
        <v>9.2677608590099742E-2</v>
      </c>
      <c r="Y51" s="7">
        <v>5.9223178735238621E-2</v>
      </c>
    </row>
    <row r="52" spans="1:25" x14ac:dyDescent="0.25">
      <c r="B52" s="7">
        <v>7.3671401138239487E-2</v>
      </c>
      <c r="C52" s="7">
        <v>8.8960950914224499E-2</v>
      </c>
      <c r="D52" s="7">
        <v>4.1068770921059983E-2</v>
      </c>
      <c r="E52" s="7">
        <v>5.9219568628641923E-2</v>
      </c>
      <c r="F52" s="7">
        <v>4.3001133232929464E-2</v>
      </c>
      <c r="G52" s="7">
        <v>4.6681572354946424E-2</v>
      </c>
      <c r="H52" s="7">
        <v>7.1533061343348567E-2</v>
      </c>
      <c r="I52" s="7">
        <v>4.0474372642681319E-2</v>
      </c>
      <c r="J52" s="7">
        <v>5.8785117822336648E-2</v>
      </c>
      <c r="K52" s="7">
        <v>3.8962969138313423E-2</v>
      </c>
      <c r="L52" s="7">
        <v>5.7504099220934315E-2</v>
      </c>
      <c r="M52" s="7">
        <v>7.5914950102203338E-2</v>
      </c>
      <c r="N52" s="7">
        <v>6.1672066054832185E-2</v>
      </c>
      <c r="O52" s="7">
        <v>7.9579762905835891E-2</v>
      </c>
      <c r="P52" s="7">
        <v>5.7878091940512084E-2</v>
      </c>
      <c r="Q52" s="7">
        <v>5.4874373576783229E-2</v>
      </c>
      <c r="R52" s="7">
        <v>5.1664157118852902E-2</v>
      </c>
      <c r="S52" s="7">
        <v>6.5952248066704688E-2</v>
      </c>
      <c r="T52" s="7">
        <v>5.7085204021247615E-2</v>
      </c>
      <c r="U52" s="7">
        <v>5.1113199230160264E-2</v>
      </c>
      <c r="V52" s="7">
        <v>0.10990443632700378</v>
      </c>
      <c r="W52" s="7">
        <v>5.3270900851831206E-2</v>
      </c>
      <c r="X52" s="7">
        <v>9.4611224757826365E-2</v>
      </c>
      <c r="Y52" s="7">
        <v>5.2720248772369652E-2</v>
      </c>
    </row>
    <row r="53" spans="1:25" x14ac:dyDescent="0.25">
      <c r="B53" s="7">
        <v>7.0664247894542384E-2</v>
      </c>
      <c r="C53" s="7">
        <v>9.4202966831682305E-2</v>
      </c>
      <c r="D53" s="7">
        <v>3.5328686043145006E-2</v>
      </c>
      <c r="E53" s="7">
        <v>5.1992251590839096E-2</v>
      </c>
      <c r="F53" s="7">
        <v>3.7062386841759824E-2</v>
      </c>
      <c r="G53" s="7">
        <v>3.9495678714981788E-2</v>
      </c>
      <c r="H53" s="7">
        <v>7.5406578594269497E-2</v>
      </c>
      <c r="I53" s="7">
        <v>3.5154253504394377E-2</v>
      </c>
      <c r="J53" s="7">
        <v>4.847740743076779E-2</v>
      </c>
      <c r="K53" s="7">
        <v>3.6133466145956854E-2</v>
      </c>
      <c r="L53" s="7">
        <v>5.0567606355747474E-2</v>
      </c>
      <c r="M53" s="7">
        <v>7.8819706274244408E-2</v>
      </c>
      <c r="N53" s="7">
        <v>6.5632428748928842E-2</v>
      </c>
      <c r="O53" s="7">
        <v>8.430277140012922E-2</v>
      </c>
      <c r="P53" s="7">
        <v>5.6314426074513209E-2</v>
      </c>
      <c r="Q53" s="7">
        <v>5.4294425493452377E-2</v>
      </c>
      <c r="R53" s="7">
        <v>4.8011479594265792E-2</v>
      </c>
      <c r="S53" s="7">
        <v>6.7911070700063123E-2</v>
      </c>
      <c r="T53" s="7">
        <v>4.88250543896405E-2</v>
      </c>
      <c r="U53" s="7">
        <v>4.776154488488446E-2</v>
      </c>
      <c r="V53" s="7">
        <v>9.0401423641448819E-2</v>
      </c>
      <c r="W53" s="7">
        <v>4.4505744629534091E-2</v>
      </c>
      <c r="X53" s="7">
        <v>9.5875956158015807E-2</v>
      </c>
      <c r="Y53" s="7">
        <v>4.8514845698100481E-2</v>
      </c>
    </row>
    <row r="54" spans="1:25" x14ac:dyDescent="0.25">
      <c r="B54" s="7">
        <v>7.0738777367777575E-2</v>
      </c>
      <c r="C54" s="7">
        <v>9.8655082938761407E-2</v>
      </c>
      <c r="D54" s="7">
        <v>3.0020419462490667E-2</v>
      </c>
      <c r="E54" s="7">
        <v>4.8187132699059401E-2</v>
      </c>
      <c r="F54" s="7">
        <v>3.2166028333153393E-2</v>
      </c>
      <c r="G54" s="7">
        <v>3.2592840826797614E-2</v>
      </c>
      <c r="H54" s="7">
        <v>7.8510705922266499E-2</v>
      </c>
      <c r="I54" s="7">
        <v>3.1366236821024081E-2</v>
      </c>
      <c r="J54" s="7">
        <v>3.8128078394045903E-2</v>
      </c>
      <c r="K54" s="7">
        <v>3.6023555554916729E-2</v>
      </c>
      <c r="L54" s="7">
        <v>4.6312173364356231E-2</v>
      </c>
      <c r="M54" s="7">
        <v>8.0917491433810801E-2</v>
      </c>
      <c r="N54" s="7">
        <v>7.024986170379352E-2</v>
      </c>
      <c r="O54" s="7">
        <v>8.8876522159033022E-2</v>
      </c>
      <c r="P54" s="7">
        <v>5.6924956559513469E-2</v>
      </c>
      <c r="Q54" s="7">
        <v>5.7096035061071596E-2</v>
      </c>
      <c r="R54" s="7">
        <v>4.7049038384020483E-2</v>
      </c>
      <c r="S54" s="7">
        <v>7.104630850905129E-2</v>
      </c>
      <c r="T54" s="7">
        <v>4.3343204740959006E-2</v>
      </c>
      <c r="U54" s="7">
        <v>4.7795545927242875E-2</v>
      </c>
      <c r="V54" s="7">
        <v>7.3133446902265503E-2</v>
      </c>
      <c r="W54" s="7">
        <v>3.6101382768187869E-2</v>
      </c>
      <c r="X54" s="7">
        <v>9.671946065126201E-2</v>
      </c>
      <c r="Y54" s="7">
        <v>4.7996117078456975E-2</v>
      </c>
    </row>
    <row r="55" spans="1:25" x14ac:dyDescent="0.25">
      <c r="B55" s="7">
        <v>7.3037234607681606E-2</v>
      </c>
      <c r="C55" s="7">
        <v>0.10300366034771306</v>
      </c>
      <c r="D55" s="7">
        <v>3.1460210620152279E-2</v>
      </c>
      <c r="E55" s="7">
        <v>5.1356281654005194E-2</v>
      </c>
      <c r="F55" s="7">
        <v>3.1396719294552795E-2</v>
      </c>
      <c r="G55" s="7">
        <v>3.2599314662030893E-2</v>
      </c>
      <c r="H55" s="7">
        <v>8.3400852843186185E-2</v>
      </c>
      <c r="I55" s="7">
        <v>3.3262571348100407E-2</v>
      </c>
      <c r="J55" s="7">
        <v>3.440833035488456E-2</v>
      </c>
      <c r="K55" s="7">
        <v>3.955618608013188E-2</v>
      </c>
      <c r="L55" s="7">
        <v>4.7804292950479763E-2</v>
      </c>
      <c r="M55" s="7">
        <v>8.4960173231747121E-2</v>
      </c>
      <c r="N55" s="7">
        <v>7.5249849900418858E-2</v>
      </c>
      <c r="O55" s="7">
        <v>9.328557362588509E-2</v>
      </c>
      <c r="P55" s="7">
        <v>6.0433286911636942E-2</v>
      </c>
      <c r="Q55" s="7">
        <v>6.3183072844219659E-2</v>
      </c>
      <c r="R55" s="7">
        <v>4.8592251591267024E-2</v>
      </c>
      <c r="S55" s="7">
        <v>7.5892058394174386E-2</v>
      </c>
      <c r="T55" s="7">
        <v>4.1418064628038112E-2</v>
      </c>
      <c r="U55" s="7">
        <v>5.1756444090612461E-2</v>
      </c>
      <c r="V55" s="7">
        <v>5.8366137315347344E-2</v>
      </c>
      <c r="W55" s="7">
        <v>3.3026692201903005E-2</v>
      </c>
      <c r="X55" s="7">
        <v>0.102860665589455</v>
      </c>
      <c r="Y55" s="7">
        <v>5.430889762467251E-2</v>
      </c>
    </row>
    <row r="56" spans="1:25" x14ac:dyDescent="0.25">
      <c r="B56" s="7">
        <v>8.0039246903458955E-2</v>
      </c>
      <c r="C56" s="7">
        <v>0.10732901621307731</v>
      </c>
      <c r="D56" s="7">
        <v>3.7798387014847286E-2</v>
      </c>
      <c r="E56" s="7">
        <v>6.5151874829770154E-2</v>
      </c>
      <c r="F56" s="7">
        <v>3.9667207004140691E-2</v>
      </c>
      <c r="G56" s="7">
        <v>4.1654512358361054E-2</v>
      </c>
      <c r="H56" s="7">
        <v>9.0802539588693276E-2</v>
      </c>
      <c r="I56" s="7">
        <v>4.1890776745414436E-2</v>
      </c>
      <c r="J56" s="7">
        <v>3.937297441592142E-2</v>
      </c>
      <c r="K56" s="7">
        <v>4.7630366306350938E-2</v>
      </c>
      <c r="L56" s="7">
        <v>5.5354109684672637E-2</v>
      </c>
      <c r="M56" s="7">
        <v>9.3123709885229874E-2</v>
      </c>
      <c r="N56" s="7">
        <v>8.1035675306474625E-2</v>
      </c>
      <c r="O56" s="7">
        <v>9.7454091309900709E-2</v>
      </c>
      <c r="P56" s="7">
        <v>7.2238814074717633E-2</v>
      </c>
      <c r="Q56" s="7">
        <v>6.9361405879137097E-2</v>
      </c>
      <c r="R56" s="7">
        <v>5.6614097353104166E-2</v>
      </c>
      <c r="S56" s="7">
        <v>8.2226364144604547E-2</v>
      </c>
      <c r="T56" s="7">
        <v>4.7892033069668091E-2</v>
      </c>
      <c r="U56" s="7">
        <v>5.9449100184422163E-2</v>
      </c>
      <c r="V56" s="7">
        <v>5.5114650376280265E-2</v>
      </c>
      <c r="W56" s="7">
        <v>4.3168083723203576E-2</v>
      </c>
      <c r="X56" s="7">
        <v>0.11168748656801955</v>
      </c>
      <c r="Y56" s="7">
        <v>6.9032768666813585E-2</v>
      </c>
    </row>
    <row r="58" spans="1:25" ht="45" x14ac:dyDescent="0.25">
      <c r="A58" s="5" t="s">
        <v>10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</row>
    <row r="59" spans="1:25" x14ac:dyDescent="0.25"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</row>
    <row r="60" spans="1:25" x14ac:dyDescent="0.25">
      <c r="B60" s="7">
        <v>0</v>
      </c>
      <c r="C60" s="7">
        <v>25.103999999999999</v>
      </c>
      <c r="D60" s="7">
        <v>0</v>
      </c>
      <c r="E60" s="7">
        <v>0</v>
      </c>
      <c r="F60" s="7">
        <v>0</v>
      </c>
      <c r="G60" s="7">
        <v>0</v>
      </c>
      <c r="H60" s="7">
        <v>19.317</v>
      </c>
      <c r="I60" s="7">
        <v>0</v>
      </c>
      <c r="J60" s="7">
        <v>0</v>
      </c>
      <c r="K60" s="7">
        <v>0</v>
      </c>
      <c r="L60" s="7">
        <v>0</v>
      </c>
      <c r="M60" s="7">
        <v>19.196999999999999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23.327000000000002</v>
      </c>
      <c r="Y60" s="7">
        <v>0</v>
      </c>
    </row>
    <row r="61" spans="1:25" x14ac:dyDescent="0.25">
      <c r="B61" s="7">
        <v>0</v>
      </c>
      <c r="C61" s="7">
        <v>49.021999999999998</v>
      </c>
      <c r="D61" s="7">
        <v>0</v>
      </c>
      <c r="E61" s="7">
        <v>0</v>
      </c>
      <c r="F61" s="7">
        <v>0</v>
      </c>
      <c r="G61" s="7">
        <v>0</v>
      </c>
      <c r="H61" s="7">
        <v>53.28</v>
      </c>
      <c r="I61" s="7">
        <v>0</v>
      </c>
      <c r="J61" s="7">
        <v>0</v>
      </c>
      <c r="K61" s="7">
        <v>0</v>
      </c>
      <c r="L61" s="7">
        <v>0</v>
      </c>
      <c r="M61" s="7">
        <v>51.706000000000003</v>
      </c>
      <c r="N61" s="7">
        <v>2.1989999999999998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58.411000000000001</v>
      </c>
      <c r="Y61" s="7">
        <v>0</v>
      </c>
    </row>
    <row r="62" spans="1:25" x14ac:dyDescent="0.25">
      <c r="B62" s="7">
        <v>0</v>
      </c>
      <c r="C62" s="7">
        <v>89.316999999999993</v>
      </c>
      <c r="D62" s="7">
        <v>0</v>
      </c>
      <c r="E62" s="7">
        <v>0</v>
      </c>
      <c r="F62" s="7">
        <v>0</v>
      </c>
      <c r="G62" s="7">
        <v>0</v>
      </c>
      <c r="H62" s="7">
        <v>83.558000000000007</v>
      </c>
      <c r="I62" s="7">
        <v>0</v>
      </c>
      <c r="J62" s="7">
        <v>0</v>
      </c>
      <c r="K62" s="7">
        <v>0</v>
      </c>
      <c r="L62" s="7">
        <v>0</v>
      </c>
      <c r="M62" s="7">
        <v>82.438999999999993</v>
      </c>
      <c r="N62" s="7">
        <v>32.4</v>
      </c>
      <c r="O62" s="7">
        <v>0</v>
      </c>
      <c r="P62" s="7">
        <v>2.3479999999999999</v>
      </c>
      <c r="Q62" s="7">
        <v>0</v>
      </c>
      <c r="R62" s="7">
        <v>0</v>
      </c>
      <c r="S62" s="7">
        <v>18.939</v>
      </c>
      <c r="T62" s="7">
        <v>0</v>
      </c>
      <c r="U62" s="7">
        <v>0</v>
      </c>
      <c r="V62" s="7">
        <v>0</v>
      </c>
      <c r="W62" s="7">
        <v>0</v>
      </c>
      <c r="X62" s="7">
        <v>90.73</v>
      </c>
      <c r="Y62" s="7">
        <v>0</v>
      </c>
    </row>
    <row r="63" spans="1:25" x14ac:dyDescent="0.25">
      <c r="B63" s="7">
        <v>25.754000000000001</v>
      </c>
      <c r="C63" s="7">
        <v>110.828</v>
      </c>
      <c r="D63" s="7">
        <v>0</v>
      </c>
      <c r="E63" s="7">
        <v>0</v>
      </c>
      <c r="F63" s="7">
        <v>0</v>
      </c>
      <c r="G63" s="7">
        <v>0</v>
      </c>
      <c r="H63" s="7">
        <v>114.79</v>
      </c>
      <c r="I63" s="7">
        <v>0</v>
      </c>
      <c r="J63" s="7">
        <v>0</v>
      </c>
      <c r="K63" s="7">
        <v>3.2970000000000002</v>
      </c>
      <c r="L63" s="7">
        <v>0</v>
      </c>
      <c r="M63" s="7">
        <v>113.589</v>
      </c>
      <c r="N63" s="7">
        <v>66.02</v>
      </c>
      <c r="O63" s="7">
        <v>0</v>
      </c>
      <c r="P63" s="7">
        <v>24.815999999999999</v>
      </c>
      <c r="Q63" s="7">
        <v>11.802</v>
      </c>
      <c r="R63" s="7">
        <v>20.11</v>
      </c>
      <c r="S63" s="7">
        <v>51.213999999999999</v>
      </c>
      <c r="T63" s="7">
        <v>3.6970000000000001</v>
      </c>
      <c r="U63" s="7">
        <v>22.087</v>
      </c>
      <c r="V63" s="7">
        <v>2.198</v>
      </c>
      <c r="W63" s="7">
        <v>0</v>
      </c>
      <c r="X63" s="7">
        <v>121.929</v>
      </c>
      <c r="Y63" s="7">
        <v>2.3969999999999998</v>
      </c>
    </row>
    <row r="64" spans="1:25" x14ac:dyDescent="0.25">
      <c r="B64" s="7">
        <v>62.338000000000001</v>
      </c>
      <c r="C64" s="7">
        <v>115.379</v>
      </c>
      <c r="D64" s="7">
        <v>18.274999999999999</v>
      </c>
      <c r="E64" s="7">
        <v>28.414000000000001</v>
      </c>
      <c r="F64" s="7">
        <v>2.8130000000000002</v>
      </c>
      <c r="G64" s="7">
        <v>26.899000000000001</v>
      </c>
      <c r="H64" s="7">
        <v>137.572</v>
      </c>
      <c r="I64" s="7">
        <v>17.643000000000001</v>
      </c>
      <c r="J64" s="7">
        <v>12.708</v>
      </c>
      <c r="K64" s="7">
        <v>27.131</v>
      </c>
      <c r="L64" s="7">
        <v>14.815</v>
      </c>
      <c r="M64" s="7">
        <v>142.20099999999999</v>
      </c>
      <c r="N64" s="7">
        <v>102.93899999999999</v>
      </c>
      <c r="O64" s="7">
        <v>3.8460000000000001</v>
      </c>
      <c r="P64" s="7">
        <v>49.18</v>
      </c>
      <c r="Q64" s="7">
        <v>29.59</v>
      </c>
      <c r="R64" s="7">
        <v>44.747</v>
      </c>
      <c r="S64" s="7">
        <v>90.685000000000002</v>
      </c>
      <c r="T64" s="7">
        <v>33.274999999999999</v>
      </c>
      <c r="U64" s="7">
        <v>50.856000000000002</v>
      </c>
      <c r="V64" s="7">
        <v>26.291</v>
      </c>
      <c r="W64" s="7">
        <v>6.415</v>
      </c>
      <c r="X64" s="7">
        <v>131.71199999999999</v>
      </c>
      <c r="Y64" s="7">
        <v>33.046999999999997</v>
      </c>
    </row>
    <row r="65" spans="1:25" x14ac:dyDescent="0.25">
      <c r="B65" s="7">
        <v>79.341999999999999</v>
      </c>
      <c r="C65" s="7">
        <v>118.051</v>
      </c>
      <c r="D65" s="7">
        <v>20.035</v>
      </c>
      <c r="E65" s="7">
        <v>47.923000000000002</v>
      </c>
      <c r="F65" s="7">
        <v>16.14</v>
      </c>
      <c r="G65" s="7">
        <v>42.198</v>
      </c>
      <c r="H65" s="7">
        <v>140.24600000000001</v>
      </c>
      <c r="I65" s="7">
        <v>27.588000000000001</v>
      </c>
      <c r="J65" s="7">
        <v>25</v>
      </c>
      <c r="K65" s="7">
        <v>31.768000000000001</v>
      </c>
      <c r="L65" s="7">
        <v>23.754999999999999</v>
      </c>
      <c r="M65" s="7">
        <v>145.083</v>
      </c>
      <c r="N65" s="7">
        <v>103.798</v>
      </c>
      <c r="O65" s="7">
        <v>15.593</v>
      </c>
      <c r="P65" s="7">
        <v>63.874000000000002</v>
      </c>
      <c r="Q65" s="7">
        <v>33.875999999999998</v>
      </c>
      <c r="R65" s="7">
        <v>56.305999999999997</v>
      </c>
      <c r="S65" s="7">
        <v>96.281999999999996</v>
      </c>
      <c r="T65" s="7">
        <v>54.725000000000001</v>
      </c>
      <c r="U65" s="7">
        <v>53.917999999999999</v>
      </c>
      <c r="V65" s="7">
        <v>44.042999999999999</v>
      </c>
      <c r="W65" s="7">
        <v>35.823999999999998</v>
      </c>
      <c r="X65" s="7">
        <v>136.30799999999999</v>
      </c>
      <c r="Y65" s="7">
        <v>60.594999999999999</v>
      </c>
    </row>
    <row r="67" spans="1:25" ht="30" x14ac:dyDescent="0.25">
      <c r="A67" s="5" t="s">
        <v>8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</row>
    <row r="68" spans="1:25" x14ac:dyDescent="0.25"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</row>
    <row r="69" spans="1:25" x14ac:dyDescent="0.25">
      <c r="B69" s="7">
        <v>0</v>
      </c>
      <c r="C69" s="7">
        <v>1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6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</row>
    <row r="70" spans="1:25" x14ac:dyDescent="0.25">
      <c r="B70" s="7">
        <v>0</v>
      </c>
      <c r="C70" s="7">
        <v>3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11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1:25" x14ac:dyDescent="0.25">
      <c r="B71" s="7">
        <v>0</v>
      </c>
      <c r="C71" s="7">
        <v>2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16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</row>
    <row r="72" spans="1:25" x14ac:dyDescent="0.25">
      <c r="B72" s="7">
        <v>0</v>
      </c>
      <c r="C72" s="7">
        <v>4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20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</row>
    <row r="73" spans="1:25" x14ac:dyDescent="0.25">
      <c r="B73" s="7">
        <v>0</v>
      </c>
      <c r="C73" s="7">
        <v>8</v>
      </c>
      <c r="D73" s="7">
        <v>0</v>
      </c>
      <c r="E73" s="7">
        <v>0</v>
      </c>
      <c r="F73" s="7">
        <v>0</v>
      </c>
      <c r="G73" s="7">
        <v>0</v>
      </c>
      <c r="H73" s="7">
        <v>1</v>
      </c>
      <c r="I73" s="7">
        <v>0</v>
      </c>
      <c r="J73" s="7">
        <v>0</v>
      </c>
      <c r="K73" s="7">
        <v>0</v>
      </c>
      <c r="L73" s="7">
        <v>0</v>
      </c>
      <c r="M73" s="7">
        <v>1</v>
      </c>
      <c r="N73" s="7">
        <v>0</v>
      </c>
      <c r="O73" s="7">
        <v>23</v>
      </c>
      <c r="P73" s="7">
        <v>0</v>
      </c>
      <c r="Q73" s="7">
        <v>1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1</v>
      </c>
      <c r="Y73" s="7">
        <v>0</v>
      </c>
    </row>
    <row r="74" spans="1:25" x14ac:dyDescent="0.25">
      <c r="B74" s="7">
        <v>2</v>
      </c>
      <c r="C74" s="7">
        <v>13</v>
      </c>
      <c r="D74" s="7">
        <v>2</v>
      </c>
      <c r="E74" s="7">
        <v>2</v>
      </c>
      <c r="F74" s="7">
        <v>1</v>
      </c>
      <c r="G74" s="7">
        <v>2</v>
      </c>
      <c r="H74" s="7">
        <v>5</v>
      </c>
      <c r="I74" s="7">
        <v>2</v>
      </c>
      <c r="J74" s="7">
        <v>1</v>
      </c>
      <c r="K74" s="7">
        <v>2</v>
      </c>
      <c r="L74" s="7">
        <v>2</v>
      </c>
      <c r="M74" s="7">
        <v>4</v>
      </c>
      <c r="N74" s="7">
        <v>3</v>
      </c>
      <c r="O74" s="7">
        <v>26</v>
      </c>
      <c r="P74" s="7">
        <v>2</v>
      </c>
      <c r="Q74" s="7">
        <v>3</v>
      </c>
      <c r="R74" s="7">
        <v>2</v>
      </c>
      <c r="S74" s="7">
        <v>3</v>
      </c>
      <c r="T74" s="7">
        <v>1</v>
      </c>
      <c r="U74" s="7">
        <v>2</v>
      </c>
      <c r="V74" s="7">
        <v>1</v>
      </c>
      <c r="W74" s="7">
        <v>1</v>
      </c>
      <c r="X74" s="7">
        <v>6</v>
      </c>
      <c r="Y74" s="7">
        <v>2</v>
      </c>
    </row>
    <row r="76" spans="1:25" ht="45" x14ac:dyDescent="0.25">
      <c r="A76" s="5" t="s">
        <v>11</v>
      </c>
      <c r="B76" s="7">
        <v>16312830</v>
      </c>
      <c r="C76" s="7">
        <v>11386630</v>
      </c>
      <c r="D76" s="7">
        <v>14228420</v>
      </c>
      <c r="E76" s="7">
        <v>29957880</v>
      </c>
      <c r="F76" s="7">
        <v>20466850</v>
      </c>
      <c r="G76" s="7">
        <v>22179930</v>
      </c>
      <c r="H76" s="7">
        <v>19367260</v>
      </c>
      <c r="I76" s="7">
        <v>17116590</v>
      </c>
      <c r="J76" s="7">
        <v>11736340</v>
      </c>
      <c r="K76" s="7">
        <v>17272540</v>
      </c>
      <c r="L76" s="7">
        <v>14499800</v>
      </c>
      <c r="M76" s="7">
        <v>20562600</v>
      </c>
      <c r="N76" s="7">
        <v>15798280</v>
      </c>
      <c r="O76" s="7">
        <v>8263050.5</v>
      </c>
      <c r="P76" s="7">
        <v>29630200</v>
      </c>
      <c r="Q76" s="7">
        <v>14343230</v>
      </c>
      <c r="R76" s="7">
        <v>18097770</v>
      </c>
      <c r="S76" s="7">
        <v>16160780</v>
      </c>
      <c r="T76" s="7">
        <v>22160920</v>
      </c>
      <c r="U76" s="7">
        <v>16520420</v>
      </c>
      <c r="V76" s="7">
        <v>10981660</v>
      </c>
      <c r="W76" s="7">
        <v>35523980</v>
      </c>
      <c r="X76" s="7">
        <v>20618100</v>
      </c>
      <c r="Y76" s="7">
        <v>33653110</v>
      </c>
    </row>
    <row r="77" spans="1:25" x14ac:dyDescent="0.25">
      <c r="B77" s="7">
        <v>31996470</v>
      </c>
      <c r="C77" s="7">
        <v>22485780</v>
      </c>
      <c r="D77" s="7">
        <v>27928870</v>
      </c>
      <c r="E77" s="7">
        <v>59769350</v>
      </c>
      <c r="F77" s="7">
        <v>40124700</v>
      </c>
      <c r="G77" s="7">
        <v>44088810</v>
      </c>
      <c r="H77" s="7">
        <v>38252260</v>
      </c>
      <c r="I77" s="7">
        <v>33475750</v>
      </c>
      <c r="J77" s="7">
        <v>23237590</v>
      </c>
      <c r="K77" s="7">
        <v>33713180</v>
      </c>
      <c r="L77" s="7">
        <v>28654330</v>
      </c>
      <c r="M77" s="7">
        <v>40973560</v>
      </c>
      <c r="N77" s="7">
        <v>31537960</v>
      </c>
      <c r="O77" s="7">
        <v>16598730</v>
      </c>
      <c r="P77" s="7">
        <v>58383120</v>
      </c>
      <c r="Q77" s="7">
        <v>28438170</v>
      </c>
      <c r="R77" s="7">
        <v>35603470</v>
      </c>
      <c r="S77" s="7">
        <v>31686360</v>
      </c>
      <c r="T77" s="7">
        <v>43588360</v>
      </c>
      <c r="U77" s="7">
        <v>31728270</v>
      </c>
      <c r="V77" s="7">
        <v>21105480</v>
      </c>
      <c r="W77" s="7">
        <v>70724340</v>
      </c>
      <c r="X77" s="7">
        <v>40900060</v>
      </c>
      <c r="Y77" s="7">
        <v>67198450</v>
      </c>
    </row>
    <row r="78" spans="1:25" x14ac:dyDescent="0.25">
      <c r="B78" s="7">
        <v>47020430</v>
      </c>
      <c r="C78" s="7">
        <v>33265330</v>
      </c>
      <c r="D78" s="7">
        <v>41110480</v>
      </c>
      <c r="E78" s="7">
        <v>89425850</v>
      </c>
      <c r="F78" s="7">
        <v>58953380</v>
      </c>
      <c r="G78" s="7">
        <v>65718290</v>
      </c>
      <c r="H78" s="7">
        <v>56617730</v>
      </c>
      <c r="I78" s="7">
        <v>49075350</v>
      </c>
      <c r="J78" s="7">
        <v>34505710</v>
      </c>
      <c r="K78" s="7">
        <v>49320150</v>
      </c>
      <c r="L78" s="7">
        <v>42448940</v>
      </c>
      <c r="M78" s="7">
        <v>61219690</v>
      </c>
      <c r="N78" s="7">
        <v>47215600</v>
      </c>
      <c r="O78" s="7">
        <v>24999050</v>
      </c>
      <c r="P78" s="7">
        <v>86194480</v>
      </c>
      <c r="Q78" s="7">
        <v>42278540</v>
      </c>
      <c r="R78" s="7">
        <v>52490110</v>
      </c>
      <c r="S78" s="7">
        <v>46552290</v>
      </c>
      <c r="T78" s="7">
        <v>64260860</v>
      </c>
      <c r="U78" s="7">
        <v>45616700</v>
      </c>
      <c r="V78" s="7">
        <v>30361230</v>
      </c>
      <c r="W78" s="7">
        <v>105586400</v>
      </c>
      <c r="X78" s="7">
        <v>60840190</v>
      </c>
      <c r="Y78" s="7">
        <v>100625000</v>
      </c>
    </row>
    <row r="79" spans="1:25" x14ac:dyDescent="0.25">
      <c r="B79" s="7">
        <v>62619560</v>
      </c>
      <c r="C79" s="7">
        <v>44634400</v>
      </c>
      <c r="D79" s="7">
        <v>52600720</v>
      </c>
      <c r="E79" s="7">
        <v>117674200</v>
      </c>
      <c r="F79" s="7">
        <v>77439590</v>
      </c>
      <c r="G79" s="7">
        <v>84046950</v>
      </c>
      <c r="H79" s="7">
        <v>74261380</v>
      </c>
      <c r="I79" s="7">
        <v>65093410</v>
      </c>
      <c r="J79" s="7">
        <v>44477220</v>
      </c>
      <c r="K79" s="7">
        <v>64075780</v>
      </c>
      <c r="L79" s="7">
        <v>56859330</v>
      </c>
      <c r="M79" s="7">
        <v>80562210</v>
      </c>
      <c r="N79" s="7">
        <v>60991340</v>
      </c>
      <c r="O79" s="7">
        <v>33040870</v>
      </c>
      <c r="P79" s="7">
        <v>111635000</v>
      </c>
      <c r="Q79" s="7">
        <v>54857340</v>
      </c>
      <c r="R79" s="7">
        <v>69014810</v>
      </c>
      <c r="S79" s="7">
        <v>60953290</v>
      </c>
      <c r="T79" s="7">
        <v>83018950</v>
      </c>
      <c r="U79" s="7">
        <v>59967840</v>
      </c>
      <c r="V79" s="7">
        <v>40351210</v>
      </c>
      <c r="W79" s="7">
        <v>137696200</v>
      </c>
      <c r="X79" s="7">
        <v>80931340</v>
      </c>
      <c r="Y79" s="7">
        <v>131163800</v>
      </c>
    </row>
    <row r="80" spans="1:25" x14ac:dyDescent="0.25">
      <c r="B80" s="7">
        <v>78230550</v>
      </c>
      <c r="C80" s="7">
        <v>56140950</v>
      </c>
      <c r="D80" s="7">
        <v>63148570</v>
      </c>
      <c r="E80" s="7">
        <v>145318300</v>
      </c>
      <c r="F80" s="7">
        <v>95449200</v>
      </c>
      <c r="G80" s="7">
        <v>100670900</v>
      </c>
      <c r="H80" s="7">
        <v>91428770</v>
      </c>
      <c r="I80" s="7">
        <v>81002700</v>
      </c>
      <c r="J80" s="7">
        <v>53807540</v>
      </c>
      <c r="K80" s="7">
        <v>78113920</v>
      </c>
      <c r="L80" s="7">
        <v>71500780</v>
      </c>
      <c r="M80" s="7">
        <v>99479960</v>
      </c>
      <c r="N80" s="7">
        <v>73952470</v>
      </c>
      <c r="O80" s="7">
        <v>40997450</v>
      </c>
      <c r="P80" s="7">
        <v>135495600</v>
      </c>
      <c r="Q80" s="7">
        <v>66827990</v>
      </c>
      <c r="R80" s="7">
        <v>85144850</v>
      </c>
      <c r="S80" s="7">
        <v>74904090</v>
      </c>
      <c r="T80" s="7">
        <v>100586200</v>
      </c>
      <c r="U80" s="7">
        <v>73943370</v>
      </c>
      <c r="V80" s="7">
        <v>50281370</v>
      </c>
      <c r="W80" s="7">
        <v>168162200</v>
      </c>
      <c r="X80" s="7">
        <v>100982000</v>
      </c>
      <c r="Y80" s="7">
        <v>160175100</v>
      </c>
    </row>
    <row r="81" spans="1:25" x14ac:dyDescent="0.25">
      <c r="B81" s="7">
        <v>93835150</v>
      </c>
      <c r="C81" s="7">
        <v>67783040</v>
      </c>
      <c r="D81" s="7">
        <v>72822890</v>
      </c>
      <c r="E81" s="7">
        <v>172365300</v>
      </c>
      <c r="F81" s="7">
        <v>113029200</v>
      </c>
      <c r="G81" s="7">
        <v>115635300</v>
      </c>
      <c r="H81" s="7">
        <v>108148000</v>
      </c>
      <c r="I81" s="7">
        <v>96829010</v>
      </c>
      <c r="J81" s="7">
        <v>62561060</v>
      </c>
      <c r="K81" s="7">
        <v>91503830</v>
      </c>
      <c r="L81" s="7">
        <v>86309580</v>
      </c>
      <c r="M81" s="7">
        <v>118027700</v>
      </c>
      <c r="N81" s="7">
        <v>86154110</v>
      </c>
      <c r="O81" s="7">
        <v>48890110</v>
      </c>
      <c r="P81" s="7">
        <v>157822300</v>
      </c>
      <c r="Q81" s="7">
        <v>78241320</v>
      </c>
      <c r="R81" s="7">
        <v>100921500</v>
      </c>
      <c r="S81" s="7">
        <v>88443760</v>
      </c>
      <c r="T81" s="7">
        <v>117034200</v>
      </c>
      <c r="U81" s="7">
        <v>87565120</v>
      </c>
      <c r="V81" s="7">
        <v>60143330</v>
      </c>
      <c r="W81" s="7">
        <v>196930600</v>
      </c>
      <c r="X81" s="7">
        <v>121015000</v>
      </c>
      <c r="Y81" s="7">
        <v>187644400</v>
      </c>
    </row>
    <row r="82" spans="1:25" x14ac:dyDescent="0.25">
      <c r="B82" s="7">
        <v>109437200</v>
      </c>
      <c r="C82" s="7">
        <v>79558680</v>
      </c>
      <c r="D82" s="7">
        <v>81704050</v>
      </c>
      <c r="E82" s="7">
        <v>198870900</v>
      </c>
      <c r="F82" s="7">
        <v>130228400</v>
      </c>
      <c r="G82" s="7">
        <v>129002800</v>
      </c>
      <c r="H82" s="7">
        <v>124468300</v>
      </c>
      <c r="I82" s="7">
        <v>112598800</v>
      </c>
      <c r="J82" s="7">
        <v>70801450</v>
      </c>
      <c r="K82" s="7">
        <v>104311600</v>
      </c>
      <c r="L82" s="7">
        <v>101284000</v>
      </c>
      <c r="M82" s="7">
        <v>136259200</v>
      </c>
      <c r="N82" s="7">
        <v>97670810</v>
      </c>
      <c r="O82" s="7">
        <v>56743630</v>
      </c>
      <c r="P82" s="7">
        <v>178675700</v>
      </c>
      <c r="Q82" s="7">
        <v>89161320</v>
      </c>
      <c r="R82" s="7">
        <v>116386500</v>
      </c>
      <c r="S82" s="7">
        <v>101617400</v>
      </c>
      <c r="T82" s="7">
        <v>132444400</v>
      </c>
      <c r="U82" s="7">
        <v>100854900</v>
      </c>
      <c r="V82" s="7">
        <v>69934520</v>
      </c>
      <c r="W82" s="7">
        <v>223958100</v>
      </c>
      <c r="X82" s="7">
        <v>141053300</v>
      </c>
      <c r="Y82" s="7">
        <v>213574100</v>
      </c>
    </row>
    <row r="83" spans="1:25" x14ac:dyDescent="0.25">
      <c r="B83" s="7">
        <v>125039600</v>
      </c>
      <c r="C83" s="7">
        <v>91465820</v>
      </c>
      <c r="D83" s="7">
        <v>89869540</v>
      </c>
      <c r="E83" s="7">
        <v>224889700</v>
      </c>
      <c r="F83" s="7">
        <v>147091800</v>
      </c>
      <c r="G83" s="7">
        <v>140843100</v>
      </c>
      <c r="H83" s="7">
        <v>140434900</v>
      </c>
      <c r="I83" s="7">
        <v>128336000</v>
      </c>
      <c r="J83" s="7">
        <v>78588830</v>
      </c>
      <c r="K83" s="7">
        <v>116599400</v>
      </c>
      <c r="L83" s="7">
        <v>116422100</v>
      </c>
      <c r="M83" s="7">
        <v>154224700</v>
      </c>
      <c r="N83" s="7">
        <v>108574500</v>
      </c>
      <c r="O83" s="7">
        <v>64580770</v>
      </c>
      <c r="P83" s="7">
        <v>198124500</v>
      </c>
      <c r="Q83" s="7">
        <v>99648170</v>
      </c>
      <c r="R83" s="7">
        <v>131577600</v>
      </c>
      <c r="S83" s="7">
        <v>114466100</v>
      </c>
      <c r="T83" s="7">
        <v>146898700</v>
      </c>
      <c r="U83" s="7">
        <v>113832400</v>
      </c>
      <c r="V83" s="7">
        <v>79652360</v>
      </c>
      <c r="W83" s="7">
        <v>249210800</v>
      </c>
      <c r="X83" s="7">
        <v>161117900</v>
      </c>
      <c r="Y83" s="7">
        <v>237976600</v>
      </c>
    </row>
    <row r="85" spans="1:25" ht="45" x14ac:dyDescent="0.25">
      <c r="A85" s="6" t="s">
        <v>46</v>
      </c>
      <c r="B85" s="7">
        <v>0</v>
      </c>
      <c r="C85" s="7">
        <v>63572640</v>
      </c>
      <c r="D85" s="7">
        <v>0</v>
      </c>
      <c r="E85" s="7">
        <v>0</v>
      </c>
      <c r="F85" s="7">
        <v>0</v>
      </c>
      <c r="G85" s="7">
        <v>0</v>
      </c>
      <c r="H85" s="7">
        <v>64432000</v>
      </c>
      <c r="I85" s="7">
        <v>0</v>
      </c>
      <c r="J85" s="7">
        <v>0</v>
      </c>
      <c r="K85" s="7">
        <v>0</v>
      </c>
      <c r="L85" s="7">
        <v>0</v>
      </c>
      <c r="M85" s="7">
        <v>64601950</v>
      </c>
      <c r="N85" s="7">
        <v>0</v>
      </c>
      <c r="O85" s="7">
        <v>63581730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63777970</v>
      </c>
      <c r="Y85" s="7">
        <v>0</v>
      </c>
    </row>
    <row r="86" spans="1:25" x14ac:dyDescent="0.25">
      <c r="B86" s="7">
        <v>0</v>
      </c>
      <c r="C86" s="7">
        <v>127145300</v>
      </c>
      <c r="D86" s="7">
        <v>0</v>
      </c>
      <c r="E86" s="7">
        <v>0</v>
      </c>
      <c r="F86" s="7">
        <v>0</v>
      </c>
      <c r="G86" s="7">
        <v>0</v>
      </c>
      <c r="H86" s="7">
        <v>128864000</v>
      </c>
      <c r="I86" s="7">
        <v>0</v>
      </c>
      <c r="J86" s="7">
        <v>0</v>
      </c>
      <c r="K86" s="7">
        <v>0</v>
      </c>
      <c r="L86" s="7">
        <v>0</v>
      </c>
      <c r="M86" s="7">
        <v>129203900</v>
      </c>
      <c r="N86" s="7">
        <v>0</v>
      </c>
      <c r="O86" s="7">
        <v>127163500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127555900</v>
      </c>
      <c r="Y86" s="7">
        <v>0</v>
      </c>
    </row>
    <row r="87" spans="1:25" x14ac:dyDescent="0.25">
      <c r="B87" s="7">
        <v>0</v>
      </c>
      <c r="C87" s="7">
        <v>182459200</v>
      </c>
      <c r="D87" s="7">
        <v>0</v>
      </c>
      <c r="E87" s="7">
        <v>0</v>
      </c>
      <c r="F87" s="7">
        <v>0</v>
      </c>
      <c r="G87" s="7">
        <v>0</v>
      </c>
      <c r="H87" s="7">
        <v>193278400</v>
      </c>
      <c r="I87" s="7">
        <v>0</v>
      </c>
      <c r="J87" s="7">
        <v>0</v>
      </c>
      <c r="K87" s="7">
        <v>0</v>
      </c>
      <c r="L87" s="7">
        <v>0</v>
      </c>
      <c r="M87" s="7">
        <v>193788400</v>
      </c>
      <c r="N87" s="7">
        <v>63635920</v>
      </c>
      <c r="O87" s="7">
        <v>145877300</v>
      </c>
      <c r="P87" s="7">
        <v>0</v>
      </c>
      <c r="Q87" s="7">
        <v>0</v>
      </c>
      <c r="R87" s="7">
        <v>0</v>
      </c>
      <c r="S87" s="7">
        <v>23446030</v>
      </c>
      <c r="T87" s="7">
        <v>0</v>
      </c>
      <c r="U87" s="7">
        <v>0</v>
      </c>
      <c r="V87" s="7">
        <v>0</v>
      </c>
      <c r="W87" s="7">
        <v>0</v>
      </c>
      <c r="X87" s="7">
        <v>191312700</v>
      </c>
      <c r="Y87" s="7">
        <v>0</v>
      </c>
    </row>
    <row r="88" spans="1:25" x14ac:dyDescent="0.25">
      <c r="B88" s="7">
        <v>7326795.3360000001</v>
      </c>
      <c r="C88" s="7">
        <v>228872600</v>
      </c>
      <c r="D88" s="7">
        <v>0</v>
      </c>
      <c r="E88" s="7">
        <v>0</v>
      </c>
      <c r="F88" s="7">
        <v>0</v>
      </c>
      <c r="G88" s="7">
        <v>0</v>
      </c>
      <c r="H88" s="7">
        <v>257679500</v>
      </c>
      <c r="I88" s="7">
        <v>0</v>
      </c>
      <c r="J88" s="7">
        <v>0</v>
      </c>
      <c r="K88" s="7">
        <v>0</v>
      </c>
      <c r="L88" s="7">
        <v>0</v>
      </c>
      <c r="M88" s="7">
        <v>258360800</v>
      </c>
      <c r="N88" s="7">
        <v>88195970</v>
      </c>
      <c r="O88" s="7">
        <v>163063900</v>
      </c>
      <c r="P88" s="7">
        <v>0</v>
      </c>
      <c r="Q88" s="7">
        <v>0</v>
      </c>
      <c r="R88" s="7">
        <v>0</v>
      </c>
      <c r="S88" s="7">
        <v>45993130</v>
      </c>
      <c r="T88" s="7">
        <v>0</v>
      </c>
      <c r="U88" s="7">
        <v>0</v>
      </c>
      <c r="V88" s="7">
        <v>0</v>
      </c>
      <c r="W88" s="7">
        <v>0</v>
      </c>
      <c r="X88" s="7">
        <v>255058700</v>
      </c>
      <c r="Y88" s="7">
        <v>0</v>
      </c>
    </row>
    <row r="89" spans="1:25" x14ac:dyDescent="0.25">
      <c r="B89" s="7">
        <v>30089720</v>
      </c>
      <c r="C89" s="7">
        <v>299371100</v>
      </c>
      <c r="D89" s="7">
        <v>0</v>
      </c>
      <c r="E89" s="7">
        <v>0</v>
      </c>
      <c r="F89" s="7">
        <v>0</v>
      </c>
      <c r="G89" s="7">
        <v>0</v>
      </c>
      <c r="H89" s="7">
        <v>322102000</v>
      </c>
      <c r="I89" s="7">
        <v>0</v>
      </c>
      <c r="J89" s="7">
        <v>0</v>
      </c>
      <c r="K89" s="7">
        <v>0</v>
      </c>
      <c r="L89" s="7">
        <v>0</v>
      </c>
      <c r="M89" s="7">
        <v>322951700</v>
      </c>
      <c r="N89" s="7">
        <v>154721300</v>
      </c>
      <c r="O89" s="7">
        <v>178365100</v>
      </c>
      <c r="P89" s="7">
        <v>0</v>
      </c>
      <c r="Q89" s="7">
        <v>0</v>
      </c>
      <c r="R89" s="7">
        <v>0</v>
      </c>
      <c r="S89" s="7">
        <v>81187720</v>
      </c>
      <c r="T89" s="7">
        <v>0</v>
      </c>
      <c r="U89" s="7">
        <v>0</v>
      </c>
      <c r="V89" s="7">
        <v>0</v>
      </c>
      <c r="W89" s="7">
        <v>0</v>
      </c>
      <c r="X89" s="7">
        <v>318831800</v>
      </c>
      <c r="Y89" s="7">
        <v>0</v>
      </c>
    </row>
    <row r="90" spans="1:25" x14ac:dyDescent="0.25">
      <c r="B90" s="7">
        <v>76428090</v>
      </c>
      <c r="C90" s="7">
        <v>343378800</v>
      </c>
      <c r="D90" s="7">
        <v>0</v>
      </c>
      <c r="E90" s="7">
        <v>0</v>
      </c>
      <c r="F90" s="7">
        <v>0</v>
      </c>
      <c r="G90" s="7">
        <v>0</v>
      </c>
      <c r="H90" s="7">
        <v>386534000</v>
      </c>
      <c r="I90" s="7">
        <v>0</v>
      </c>
      <c r="J90" s="7">
        <v>0</v>
      </c>
      <c r="K90" s="7">
        <v>0</v>
      </c>
      <c r="L90" s="7">
        <v>0</v>
      </c>
      <c r="M90" s="7">
        <v>387553700</v>
      </c>
      <c r="N90" s="7">
        <v>232304900</v>
      </c>
      <c r="O90" s="7">
        <v>193169100</v>
      </c>
      <c r="P90" s="7">
        <v>0</v>
      </c>
      <c r="Q90" s="7">
        <v>8707354.0869999994</v>
      </c>
      <c r="R90" s="7">
        <v>0</v>
      </c>
      <c r="S90" s="7">
        <v>163083300</v>
      </c>
      <c r="T90" s="7">
        <v>0</v>
      </c>
      <c r="U90" s="7">
        <v>0</v>
      </c>
      <c r="V90" s="7">
        <v>0</v>
      </c>
      <c r="W90" s="7">
        <v>0</v>
      </c>
      <c r="X90" s="7">
        <v>382609800</v>
      </c>
      <c r="Y90" s="7">
        <v>0</v>
      </c>
    </row>
    <row r="91" spans="1:25" x14ac:dyDescent="0.25">
      <c r="B91" s="7">
        <v>174280300</v>
      </c>
      <c r="C91" s="7">
        <v>366340600</v>
      </c>
      <c r="D91" s="7">
        <v>0</v>
      </c>
      <c r="E91" s="7">
        <v>11065060</v>
      </c>
      <c r="F91" s="7">
        <v>0</v>
      </c>
      <c r="G91" s="7">
        <v>0</v>
      </c>
      <c r="H91" s="7">
        <v>440365500</v>
      </c>
      <c r="I91" s="7">
        <v>0</v>
      </c>
      <c r="J91" s="7">
        <v>0</v>
      </c>
      <c r="K91" s="7">
        <v>0</v>
      </c>
      <c r="L91" s="7">
        <v>28369590</v>
      </c>
      <c r="M91" s="7">
        <v>448626300</v>
      </c>
      <c r="N91" s="7">
        <v>318052900</v>
      </c>
      <c r="O91" s="7">
        <v>211046900</v>
      </c>
      <c r="P91" s="7">
        <v>0</v>
      </c>
      <c r="Q91" s="7">
        <v>45130650</v>
      </c>
      <c r="R91" s="7">
        <v>-4.4150500000000002E-8</v>
      </c>
      <c r="S91" s="7">
        <v>274167100</v>
      </c>
      <c r="T91" s="7">
        <v>0</v>
      </c>
      <c r="U91" s="7">
        <v>0</v>
      </c>
      <c r="V91" s="7">
        <v>0</v>
      </c>
      <c r="W91" s="7">
        <v>0</v>
      </c>
      <c r="X91" s="7">
        <v>404462300</v>
      </c>
      <c r="Y91" s="7">
        <v>18511280</v>
      </c>
    </row>
    <row r="92" spans="1:25" x14ac:dyDescent="0.25">
      <c r="B92" s="7">
        <v>217924700</v>
      </c>
      <c r="C92" s="7">
        <v>385081200</v>
      </c>
      <c r="D92" s="7">
        <v>0</v>
      </c>
      <c r="E92" s="7">
        <v>51769500</v>
      </c>
      <c r="F92" s="7">
        <v>0</v>
      </c>
      <c r="G92" s="7">
        <v>4.6893549999999998E-8</v>
      </c>
      <c r="H92" s="7">
        <v>467080900</v>
      </c>
      <c r="I92" s="7">
        <v>-5.9211699999999998E-8</v>
      </c>
      <c r="J92" s="7">
        <v>4.1698509999999998E-8</v>
      </c>
      <c r="K92" s="7">
        <v>0</v>
      </c>
      <c r="L92" s="7">
        <v>41938590</v>
      </c>
      <c r="M92" s="7">
        <v>476831000</v>
      </c>
      <c r="N92" s="7">
        <v>330168000</v>
      </c>
      <c r="O92" s="7">
        <v>235873000</v>
      </c>
      <c r="P92" s="7">
        <v>15402930</v>
      </c>
      <c r="Q92" s="7">
        <v>61460440</v>
      </c>
      <c r="R92" s="7">
        <v>0</v>
      </c>
      <c r="S92" s="7">
        <v>299918800</v>
      </c>
      <c r="T92" s="7">
        <v>0</v>
      </c>
      <c r="U92" s="7">
        <v>8842186.2569999993</v>
      </c>
      <c r="V92" s="7">
        <v>0</v>
      </c>
      <c r="W92" s="7">
        <v>0</v>
      </c>
      <c r="X92" s="7">
        <v>432076800</v>
      </c>
      <c r="Y92" s="7">
        <v>85363920</v>
      </c>
    </row>
    <row r="94" spans="1:25" ht="45" x14ac:dyDescent="0.25">
      <c r="A94" s="6" t="s">
        <v>47</v>
      </c>
      <c r="B94" s="7">
        <v>64027530</v>
      </c>
      <c r="C94" s="7">
        <v>0</v>
      </c>
      <c r="D94" s="7">
        <v>63962980</v>
      </c>
      <c r="E94" s="7">
        <v>63855550</v>
      </c>
      <c r="F94" s="7">
        <v>65358650</v>
      </c>
      <c r="G94" s="7">
        <v>63987560</v>
      </c>
      <c r="H94" s="7">
        <v>0</v>
      </c>
      <c r="I94" s="7">
        <v>64815530</v>
      </c>
      <c r="J94" s="7">
        <v>63745340</v>
      </c>
      <c r="K94" s="7">
        <v>63572910</v>
      </c>
      <c r="L94" s="7">
        <v>64137440</v>
      </c>
      <c r="M94" s="7">
        <v>0</v>
      </c>
      <c r="N94" s="7">
        <v>64513720</v>
      </c>
      <c r="O94" s="7">
        <v>0</v>
      </c>
      <c r="P94" s="7">
        <v>63572780</v>
      </c>
      <c r="Q94" s="7">
        <v>65948290</v>
      </c>
      <c r="R94" s="7">
        <v>63977160</v>
      </c>
      <c r="S94" s="7">
        <v>64452640</v>
      </c>
      <c r="T94" s="7">
        <v>63566720</v>
      </c>
      <c r="U94" s="7">
        <v>63663710</v>
      </c>
      <c r="V94" s="7">
        <v>63575310</v>
      </c>
      <c r="W94" s="7">
        <v>63564560</v>
      </c>
      <c r="X94" s="7">
        <v>0</v>
      </c>
      <c r="Y94" s="7">
        <v>64271770</v>
      </c>
    </row>
    <row r="95" spans="1:25" x14ac:dyDescent="0.25">
      <c r="B95" s="7">
        <v>128055100</v>
      </c>
      <c r="C95" s="7">
        <v>0</v>
      </c>
      <c r="D95" s="7">
        <v>127926000</v>
      </c>
      <c r="E95" s="7">
        <v>127711100</v>
      </c>
      <c r="F95" s="7">
        <v>130717300</v>
      </c>
      <c r="G95" s="7">
        <v>127975100</v>
      </c>
      <c r="H95" s="7">
        <v>0</v>
      </c>
      <c r="I95" s="7">
        <v>129631100</v>
      </c>
      <c r="J95" s="7">
        <v>127490700</v>
      </c>
      <c r="K95" s="7">
        <v>127145800</v>
      </c>
      <c r="L95" s="7">
        <v>128274900</v>
      </c>
      <c r="M95" s="7">
        <v>0</v>
      </c>
      <c r="N95" s="7">
        <v>129027400</v>
      </c>
      <c r="O95" s="7">
        <v>0</v>
      </c>
      <c r="P95" s="7">
        <v>127145600</v>
      </c>
      <c r="Q95" s="7">
        <v>131896600</v>
      </c>
      <c r="R95" s="7">
        <v>127954300</v>
      </c>
      <c r="S95" s="7">
        <v>128905300</v>
      </c>
      <c r="T95" s="7">
        <v>127133400</v>
      </c>
      <c r="U95" s="7">
        <v>127327400</v>
      </c>
      <c r="V95" s="7">
        <v>127150600</v>
      </c>
      <c r="W95" s="7">
        <v>127129100</v>
      </c>
      <c r="X95" s="7">
        <v>0</v>
      </c>
      <c r="Y95" s="7">
        <v>128543500</v>
      </c>
    </row>
    <row r="96" spans="1:25" x14ac:dyDescent="0.25">
      <c r="B96" s="7">
        <v>192082600</v>
      </c>
      <c r="C96" s="7">
        <v>0</v>
      </c>
      <c r="D96" s="7">
        <v>191888900</v>
      </c>
      <c r="E96" s="7">
        <v>191566600</v>
      </c>
      <c r="F96" s="7">
        <v>196076000</v>
      </c>
      <c r="G96" s="7">
        <v>191962700</v>
      </c>
      <c r="H96" s="7">
        <v>0</v>
      </c>
      <c r="I96" s="7">
        <v>194446600</v>
      </c>
      <c r="J96" s="7">
        <v>191236000</v>
      </c>
      <c r="K96" s="7">
        <v>190718700</v>
      </c>
      <c r="L96" s="7">
        <v>192412300</v>
      </c>
      <c r="M96" s="7">
        <v>0</v>
      </c>
      <c r="N96" s="7">
        <v>129905200</v>
      </c>
      <c r="O96" s="7">
        <v>0</v>
      </c>
      <c r="P96" s="7">
        <v>190718300</v>
      </c>
      <c r="Q96" s="7">
        <v>197844900</v>
      </c>
      <c r="R96" s="7">
        <v>191931500</v>
      </c>
      <c r="S96" s="7">
        <v>169911900</v>
      </c>
      <c r="T96" s="7">
        <v>190700200</v>
      </c>
      <c r="U96" s="7">
        <v>190991100</v>
      </c>
      <c r="V96" s="7">
        <v>190725900</v>
      </c>
      <c r="W96" s="7">
        <v>190693700</v>
      </c>
      <c r="X96" s="7">
        <v>0</v>
      </c>
      <c r="Y96" s="7">
        <v>192815300</v>
      </c>
    </row>
    <row r="97" spans="1:25" x14ac:dyDescent="0.25">
      <c r="B97" s="7">
        <v>248783300</v>
      </c>
      <c r="C97" s="7">
        <v>0</v>
      </c>
      <c r="D97" s="7">
        <v>255851900</v>
      </c>
      <c r="E97" s="7">
        <v>255422200</v>
      </c>
      <c r="F97" s="7">
        <v>261434600</v>
      </c>
      <c r="G97" s="7">
        <v>255950200</v>
      </c>
      <c r="H97" s="7">
        <v>0</v>
      </c>
      <c r="I97" s="7">
        <v>259262100</v>
      </c>
      <c r="J97" s="7">
        <v>254981400</v>
      </c>
      <c r="K97" s="7">
        <v>254291600</v>
      </c>
      <c r="L97" s="7">
        <v>256549700</v>
      </c>
      <c r="M97" s="7">
        <v>0</v>
      </c>
      <c r="N97" s="7">
        <v>169856900</v>
      </c>
      <c r="O97" s="7">
        <v>0</v>
      </c>
      <c r="P97" s="7">
        <v>254291100</v>
      </c>
      <c r="Q97" s="7">
        <v>263793100</v>
      </c>
      <c r="R97" s="7">
        <v>255908600</v>
      </c>
      <c r="S97" s="7">
        <v>211817400</v>
      </c>
      <c r="T97" s="7">
        <v>254266900</v>
      </c>
      <c r="U97" s="7">
        <v>254654800</v>
      </c>
      <c r="V97" s="7">
        <v>254301300</v>
      </c>
      <c r="W97" s="7">
        <v>254258200</v>
      </c>
      <c r="X97" s="7">
        <v>0</v>
      </c>
      <c r="Y97" s="7">
        <v>257087100</v>
      </c>
    </row>
    <row r="98" spans="1:25" x14ac:dyDescent="0.25">
      <c r="B98" s="7">
        <v>290047900</v>
      </c>
      <c r="C98" s="7">
        <v>0</v>
      </c>
      <c r="D98" s="7">
        <v>319814900</v>
      </c>
      <c r="E98" s="7">
        <v>319277700</v>
      </c>
      <c r="F98" s="7">
        <v>326793300</v>
      </c>
      <c r="G98" s="7">
        <v>319937800</v>
      </c>
      <c r="H98" s="7">
        <v>-4.0046900000000002E-8</v>
      </c>
      <c r="I98" s="7">
        <v>324077700</v>
      </c>
      <c r="J98" s="7">
        <v>318726700</v>
      </c>
      <c r="K98" s="7">
        <v>317864500</v>
      </c>
      <c r="L98" s="7">
        <v>320687200</v>
      </c>
      <c r="M98" s="7">
        <v>0</v>
      </c>
      <c r="N98" s="7">
        <v>167817800</v>
      </c>
      <c r="O98" s="7">
        <v>0</v>
      </c>
      <c r="P98" s="7">
        <v>317861800</v>
      </c>
      <c r="Q98" s="7">
        <v>329741400</v>
      </c>
      <c r="R98" s="7">
        <v>319885800</v>
      </c>
      <c r="S98" s="7">
        <v>241058200</v>
      </c>
      <c r="T98" s="7">
        <v>317833600</v>
      </c>
      <c r="U98" s="7">
        <v>318318600</v>
      </c>
      <c r="V98" s="7">
        <v>317876600</v>
      </c>
      <c r="W98" s="7">
        <v>317822800</v>
      </c>
      <c r="X98" s="7">
        <v>0</v>
      </c>
      <c r="Y98" s="7">
        <v>321358800</v>
      </c>
    </row>
    <row r="99" spans="1:25" x14ac:dyDescent="0.25">
      <c r="B99" s="7">
        <v>307713700</v>
      </c>
      <c r="C99" s="7">
        <v>0</v>
      </c>
      <c r="D99" s="7">
        <v>383777900</v>
      </c>
      <c r="E99" s="7">
        <v>383133300</v>
      </c>
      <c r="F99" s="7">
        <v>392151900</v>
      </c>
      <c r="G99" s="7">
        <v>383925300</v>
      </c>
      <c r="H99" s="7">
        <v>0</v>
      </c>
      <c r="I99" s="7">
        <v>388893200</v>
      </c>
      <c r="J99" s="7">
        <v>382472000</v>
      </c>
      <c r="K99" s="7">
        <v>381437400</v>
      </c>
      <c r="L99" s="7">
        <v>384824600</v>
      </c>
      <c r="M99" s="7">
        <v>0</v>
      </c>
      <c r="N99" s="7">
        <v>154719300</v>
      </c>
      <c r="O99" s="7">
        <v>0</v>
      </c>
      <c r="P99" s="7">
        <v>381414100</v>
      </c>
      <c r="Q99" s="7">
        <v>386978400</v>
      </c>
      <c r="R99" s="7">
        <v>383844600</v>
      </c>
      <c r="S99" s="7">
        <v>223585900</v>
      </c>
      <c r="T99" s="7">
        <v>381397000</v>
      </c>
      <c r="U99" s="7">
        <v>382065300</v>
      </c>
      <c r="V99" s="7">
        <v>381451900</v>
      </c>
      <c r="W99" s="7">
        <v>381387400</v>
      </c>
      <c r="X99" s="7">
        <v>0</v>
      </c>
      <c r="Y99" s="7">
        <v>385631100</v>
      </c>
    </row>
    <row r="100" spans="1:25" x14ac:dyDescent="0.25">
      <c r="B100" s="7">
        <v>273855700</v>
      </c>
      <c r="C100" s="7">
        <v>0</v>
      </c>
      <c r="D100" s="7">
        <v>447740800</v>
      </c>
      <c r="E100" s="7">
        <v>435904700</v>
      </c>
      <c r="F100" s="7">
        <v>457508000</v>
      </c>
      <c r="G100" s="7">
        <v>447888400</v>
      </c>
      <c r="H100" s="7">
        <v>-2.1216700000000001E-8</v>
      </c>
      <c r="I100" s="7">
        <v>453692700</v>
      </c>
      <c r="J100" s="7">
        <v>446205800</v>
      </c>
      <c r="K100" s="7">
        <v>445010400</v>
      </c>
      <c r="L100" s="7">
        <v>420579000</v>
      </c>
      <c r="M100" s="7">
        <v>0</v>
      </c>
      <c r="N100" s="7">
        <v>133485100</v>
      </c>
      <c r="O100" s="7">
        <v>0</v>
      </c>
      <c r="P100" s="7">
        <v>444964700</v>
      </c>
      <c r="Q100" s="7">
        <v>393956300</v>
      </c>
      <c r="R100" s="7">
        <v>447799400</v>
      </c>
      <c r="S100" s="7">
        <v>176943400</v>
      </c>
      <c r="T100" s="7">
        <v>444936800</v>
      </c>
      <c r="U100" s="7">
        <v>445886000</v>
      </c>
      <c r="V100" s="7">
        <v>445153200</v>
      </c>
      <c r="W100" s="7">
        <v>444965100</v>
      </c>
      <c r="X100" s="7">
        <v>31894180</v>
      </c>
      <c r="Y100" s="7">
        <v>431383400</v>
      </c>
    </row>
    <row r="101" spans="1:25" x14ac:dyDescent="0.25">
      <c r="B101" s="7">
        <v>262947600</v>
      </c>
      <c r="C101" s="7">
        <v>0</v>
      </c>
      <c r="D101" s="7">
        <v>462980000</v>
      </c>
      <c r="E101" s="7">
        <v>442792600</v>
      </c>
      <c r="F101" s="7">
        <v>500361800</v>
      </c>
      <c r="G101" s="7">
        <v>482248300</v>
      </c>
      <c r="H101" s="7">
        <v>0</v>
      </c>
      <c r="I101" s="7">
        <v>484051200</v>
      </c>
      <c r="J101" s="7">
        <v>471095700</v>
      </c>
      <c r="K101" s="7">
        <v>469601000</v>
      </c>
      <c r="L101" s="7">
        <v>435316600</v>
      </c>
      <c r="M101" s="7">
        <v>0</v>
      </c>
      <c r="N101" s="7">
        <v>140208100</v>
      </c>
      <c r="O101" s="7">
        <v>0</v>
      </c>
      <c r="P101" s="7">
        <v>473087900</v>
      </c>
      <c r="Q101" s="7">
        <v>398390300</v>
      </c>
      <c r="R101" s="7">
        <v>484359900</v>
      </c>
      <c r="S101" s="7">
        <v>171186700</v>
      </c>
      <c r="T101" s="7">
        <v>492246400</v>
      </c>
      <c r="U101" s="7">
        <v>459290000</v>
      </c>
      <c r="V101" s="7">
        <v>493990000</v>
      </c>
      <c r="W101" s="7">
        <v>500721200</v>
      </c>
      <c r="X101" s="7">
        <v>31032250</v>
      </c>
      <c r="Y101" s="7">
        <v>413105000</v>
      </c>
    </row>
    <row r="103" spans="1:25" ht="45" x14ac:dyDescent="0.25">
      <c r="A103" s="6" t="s">
        <v>49</v>
      </c>
      <c r="B103" s="7">
        <v>448192700</v>
      </c>
      <c r="C103" s="7">
        <v>445008500</v>
      </c>
      <c r="D103" s="7">
        <v>447740800</v>
      </c>
      <c r="E103" s="7">
        <v>446988800</v>
      </c>
      <c r="F103" s="7">
        <v>457510600</v>
      </c>
      <c r="G103" s="7">
        <v>447912900</v>
      </c>
      <c r="H103" s="7">
        <v>451024000</v>
      </c>
      <c r="I103" s="7">
        <v>453708700</v>
      </c>
      <c r="J103" s="7">
        <v>446217400</v>
      </c>
      <c r="K103" s="7">
        <v>445010400</v>
      </c>
      <c r="L103" s="7">
        <v>448962100</v>
      </c>
      <c r="M103" s="7">
        <v>452213700</v>
      </c>
      <c r="N103" s="7">
        <v>451596000</v>
      </c>
      <c r="O103" s="7">
        <v>445072100</v>
      </c>
      <c r="P103" s="7">
        <v>445009400</v>
      </c>
      <c r="Q103" s="7">
        <v>461638000</v>
      </c>
      <c r="R103" s="7">
        <v>447840100</v>
      </c>
      <c r="S103" s="7">
        <v>451168500</v>
      </c>
      <c r="T103" s="7">
        <v>444967000</v>
      </c>
      <c r="U103" s="7">
        <v>445646000</v>
      </c>
      <c r="V103" s="7">
        <v>445027200</v>
      </c>
      <c r="W103" s="7">
        <v>444951900</v>
      </c>
      <c r="X103" s="7">
        <v>446445800</v>
      </c>
      <c r="Y103" s="7">
        <v>449902400</v>
      </c>
    </row>
    <row r="104" spans="1:25" x14ac:dyDescent="0.25">
      <c r="B104" s="7">
        <v>384165200</v>
      </c>
      <c r="C104" s="7">
        <v>381435900</v>
      </c>
      <c r="D104" s="7">
        <v>383777900</v>
      </c>
      <c r="E104" s="7">
        <v>383133300</v>
      </c>
      <c r="F104" s="7">
        <v>392151900</v>
      </c>
      <c r="G104" s="7">
        <v>383925300</v>
      </c>
      <c r="H104" s="7">
        <v>386592000</v>
      </c>
      <c r="I104" s="7">
        <v>388893200</v>
      </c>
      <c r="J104" s="7">
        <v>382472000</v>
      </c>
      <c r="K104" s="7">
        <v>381437400</v>
      </c>
      <c r="L104" s="7">
        <v>384824600</v>
      </c>
      <c r="M104" s="7">
        <v>387611700</v>
      </c>
      <c r="N104" s="7">
        <v>387082300</v>
      </c>
      <c r="O104" s="7">
        <v>381490400</v>
      </c>
      <c r="P104" s="7">
        <v>381436700</v>
      </c>
      <c r="Q104" s="7">
        <v>395689700</v>
      </c>
      <c r="R104" s="7">
        <v>383862900</v>
      </c>
      <c r="S104" s="7">
        <v>386715800</v>
      </c>
      <c r="T104" s="7">
        <v>381400300</v>
      </c>
      <c r="U104" s="7">
        <v>381982300</v>
      </c>
      <c r="V104" s="7">
        <v>381451900</v>
      </c>
      <c r="W104" s="7">
        <v>381387400</v>
      </c>
      <c r="X104" s="7">
        <v>382667800</v>
      </c>
      <c r="Y104" s="7">
        <v>385630600</v>
      </c>
    </row>
    <row r="105" spans="1:25" x14ac:dyDescent="0.25">
      <c r="B105" s="7">
        <v>320137700</v>
      </c>
      <c r="C105" s="7">
        <v>328372700</v>
      </c>
      <c r="D105" s="7">
        <v>319814900</v>
      </c>
      <c r="E105" s="7">
        <v>319277700</v>
      </c>
      <c r="F105" s="7">
        <v>326793300</v>
      </c>
      <c r="G105" s="7">
        <v>319937800</v>
      </c>
      <c r="H105" s="7">
        <v>322160000</v>
      </c>
      <c r="I105" s="7">
        <v>324077700</v>
      </c>
      <c r="J105" s="7">
        <v>318726700</v>
      </c>
      <c r="K105" s="7">
        <v>317864500</v>
      </c>
      <c r="L105" s="7">
        <v>320687200</v>
      </c>
      <c r="M105" s="7">
        <v>323009800</v>
      </c>
      <c r="N105" s="7">
        <v>322568600</v>
      </c>
      <c r="O105" s="7">
        <v>371485800</v>
      </c>
      <c r="P105" s="7">
        <v>317863900</v>
      </c>
      <c r="Q105" s="7">
        <v>329741400</v>
      </c>
      <c r="R105" s="7">
        <v>319885800</v>
      </c>
      <c r="S105" s="7">
        <v>322263200</v>
      </c>
      <c r="T105" s="7">
        <v>317833600</v>
      </c>
      <c r="U105" s="7">
        <v>318318600</v>
      </c>
      <c r="V105" s="7">
        <v>317876600</v>
      </c>
      <c r="W105" s="7">
        <v>317822800</v>
      </c>
      <c r="X105" s="7">
        <v>318889900</v>
      </c>
      <c r="Y105" s="7">
        <v>321358800</v>
      </c>
    </row>
    <row r="106" spans="1:25" x14ac:dyDescent="0.25">
      <c r="B106" s="7">
        <v>256110100</v>
      </c>
      <c r="C106" s="7">
        <v>286725200</v>
      </c>
      <c r="D106" s="7">
        <v>255851900</v>
      </c>
      <c r="E106" s="7">
        <v>255422200</v>
      </c>
      <c r="F106" s="7">
        <v>261434600</v>
      </c>
      <c r="G106" s="7">
        <v>255950200</v>
      </c>
      <c r="H106" s="7">
        <v>257728000</v>
      </c>
      <c r="I106" s="7">
        <v>259262100</v>
      </c>
      <c r="J106" s="7">
        <v>254981400</v>
      </c>
      <c r="K106" s="7">
        <v>254291600</v>
      </c>
      <c r="L106" s="7">
        <v>256549700</v>
      </c>
      <c r="M106" s="7">
        <v>258407800</v>
      </c>
      <c r="N106" s="7">
        <v>258054900</v>
      </c>
      <c r="O106" s="7">
        <v>363120400</v>
      </c>
      <c r="P106" s="7">
        <v>254291100</v>
      </c>
      <c r="Q106" s="7">
        <v>263793100</v>
      </c>
      <c r="R106" s="7">
        <v>255908600</v>
      </c>
      <c r="S106" s="7">
        <v>257810500</v>
      </c>
      <c r="T106" s="7">
        <v>254266900</v>
      </c>
      <c r="U106" s="7">
        <v>254654800</v>
      </c>
      <c r="V106" s="7">
        <v>254301300</v>
      </c>
      <c r="W106" s="7">
        <v>254258200</v>
      </c>
      <c r="X106" s="7">
        <v>255111900</v>
      </c>
      <c r="Y106" s="7">
        <v>257087100</v>
      </c>
    </row>
    <row r="107" spans="1:25" x14ac:dyDescent="0.25">
      <c r="B107" s="7">
        <v>192082600</v>
      </c>
      <c r="C107" s="7">
        <v>214318200</v>
      </c>
      <c r="D107" s="7">
        <v>191888900</v>
      </c>
      <c r="E107" s="7">
        <v>191566600</v>
      </c>
      <c r="F107" s="7">
        <v>196076000</v>
      </c>
      <c r="G107" s="7">
        <v>191962700</v>
      </c>
      <c r="H107" s="7">
        <v>193296000</v>
      </c>
      <c r="I107" s="7">
        <v>194446600</v>
      </c>
      <c r="J107" s="7">
        <v>191236000</v>
      </c>
      <c r="K107" s="7">
        <v>190718700</v>
      </c>
      <c r="L107" s="7">
        <v>192412300</v>
      </c>
      <c r="M107" s="7">
        <v>193805900</v>
      </c>
      <c r="N107" s="7">
        <v>193541100</v>
      </c>
      <c r="O107" s="7">
        <v>356858600</v>
      </c>
      <c r="P107" s="7">
        <v>190718300</v>
      </c>
      <c r="Q107" s="7">
        <v>197844900</v>
      </c>
      <c r="R107" s="7">
        <v>191931500</v>
      </c>
      <c r="S107" s="7">
        <v>193357900</v>
      </c>
      <c r="T107" s="7">
        <v>190700200</v>
      </c>
      <c r="U107" s="7">
        <v>190991100</v>
      </c>
      <c r="V107" s="7">
        <v>190725900</v>
      </c>
      <c r="W107" s="7">
        <v>190693700</v>
      </c>
      <c r="X107" s="7">
        <v>191333900</v>
      </c>
      <c r="Y107" s="7">
        <v>192815300</v>
      </c>
    </row>
    <row r="108" spans="1:25" x14ac:dyDescent="0.25">
      <c r="B108" s="7">
        <v>128055100</v>
      </c>
      <c r="C108" s="7">
        <v>175877900</v>
      </c>
      <c r="D108" s="7">
        <v>127926000</v>
      </c>
      <c r="E108" s="7">
        <v>127711100</v>
      </c>
      <c r="F108" s="7">
        <v>130717300</v>
      </c>
      <c r="G108" s="7">
        <v>127975100</v>
      </c>
      <c r="H108" s="7">
        <v>128864000</v>
      </c>
      <c r="I108" s="7">
        <v>129631100</v>
      </c>
      <c r="J108" s="7">
        <v>127490700</v>
      </c>
      <c r="K108" s="7">
        <v>127145800</v>
      </c>
      <c r="L108" s="7">
        <v>128274900</v>
      </c>
      <c r="M108" s="7">
        <v>129203900</v>
      </c>
      <c r="N108" s="7">
        <v>129027400</v>
      </c>
      <c r="O108" s="7">
        <v>351076300</v>
      </c>
      <c r="P108" s="7">
        <v>127145600</v>
      </c>
      <c r="Q108" s="7">
        <v>131896600</v>
      </c>
      <c r="R108" s="7">
        <v>127954300</v>
      </c>
      <c r="S108" s="7">
        <v>128905300</v>
      </c>
      <c r="T108" s="7">
        <v>127133400</v>
      </c>
      <c r="U108" s="7">
        <v>127327400</v>
      </c>
      <c r="V108" s="7">
        <v>127150600</v>
      </c>
      <c r="W108" s="7">
        <v>127129100</v>
      </c>
      <c r="X108" s="7">
        <v>127555900</v>
      </c>
      <c r="Y108" s="7">
        <v>128543500</v>
      </c>
    </row>
    <row r="109" spans="1:25" x14ac:dyDescent="0.25">
      <c r="B109" s="7">
        <v>64027530</v>
      </c>
      <c r="C109" s="7">
        <v>164560900</v>
      </c>
      <c r="D109" s="7">
        <v>63962980</v>
      </c>
      <c r="E109" s="7">
        <v>63855550</v>
      </c>
      <c r="F109" s="7">
        <v>65358650</v>
      </c>
      <c r="G109" s="7">
        <v>63987560</v>
      </c>
      <c r="H109" s="7">
        <v>80546290</v>
      </c>
      <c r="I109" s="7">
        <v>64815530</v>
      </c>
      <c r="J109" s="7">
        <v>63745340</v>
      </c>
      <c r="K109" s="7">
        <v>63572910</v>
      </c>
      <c r="L109" s="7">
        <v>64137440</v>
      </c>
      <c r="M109" s="7">
        <v>70234350</v>
      </c>
      <c r="N109" s="7">
        <v>64513720</v>
      </c>
      <c r="O109" s="7">
        <v>341560600</v>
      </c>
      <c r="P109" s="7">
        <v>63572780</v>
      </c>
      <c r="Q109" s="7">
        <v>95592870</v>
      </c>
      <c r="R109" s="7">
        <v>63977160</v>
      </c>
      <c r="S109" s="7">
        <v>64452640</v>
      </c>
      <c r="T109" s="7">
        <v>63566720</v>
      </c>
      <c r="U109" s="7">
        <v>63663710</v>
      </c>
      <c r="V109" s="7">
        <v>63575310</v>
      </c>
      <c r="W109" s="7">
        <v>63564560</v>
      </c>
      <c r="X109" s="7">
        <v>80270280</v>
      </c>
      <c r="Y109" s="7">
        <v>64271770</v>
      </c>
    </row>
    <row r="110" spans="1:25" x14ac:dyDescent="0.25">
      <c r="B110" s="7">
        <v>44872380</v>
      </c>
      <c r="C110" s="7">
        <v>158851400</v>
      </c>
      <c r="D110" s="7">
        <v>62293350</v>
      </c>
      <c r="E110" s="7">
        <v>35769820</v>
      </c>
      <c r="F110" s="7">
        <v>34569360</v>
      </c>
      <c r="G110" s="7">
        <v>44954880</v>
      </c>
      <c r="H110" s="7">
        <v>72963370</v>
      </c>
      <c r="I110" s="7">
        <v>49723270</v>
      </c>
      <c r="J110" s="7">
        <v>48024960</v>
      </c>
      <c r="K110" s="7">
        <v>54672970</v>
      </c>
      <c r="L110" s="7">
        <v>49855790</v>
      </c>
      <c r="M110" s="7">
        <v>63376120</v>
      </c>
      <c r="N110" s="7">
        <v>61793400</v>
      </c>
      <c r="O110" s="7">
        <v>323749000</v>
      </c>
      <c r="P110" s="7">
        <v>38762390</v>
      </c>
      <c r="Q110" s="7">
        <v>88440770</v>
      </c>
      <c r="R110" s="7">
        <v>40235610</v>
      </c>
      <c r="S110" s="7">
        <v>61342150</v>
      </c>
      <c r="T110" s="7">
        <v>25303360</v>
      </c>
      <c r="U110" s="7">
        <v>57349510</v>
      </c>
      <c r="V110" s="7">
        <v>18443010</v>
      </c>
      <c r="W110" s="7">
        <v>20293520</v>
      </c>
      <c r="X110" s="7">
        <v>77334470</v>
      </c>
      <c r="Y110" s="7">
        <v>36742130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B6A-271E-47BC-9EBA-76AB39DE5BEB}">
  <dimension ref="A2:BH145"/>
  <sheetViews>
    <sheetView topLeftCell="A103" zoomScaleNormal="100" workbookViewId="0">
      <selection activeCell="L132" sqref="A1:XFD1048576"/>
    </sheetView>
  </sheetViews>
  <sheetFormatPr defaultRowHeight="15" x14ac:dyDescent="0.25"/>
  <cols>
    <col min="2" max="2" width="11" bestFit="1" customWidth="1"/>
  </cols>
  <sheetData>
    <row r="2" spans="1:60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G11" s="1"/>
      <c r="M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H20" s="1"/>
      <c r="I20" s="1"/>
      <c r="J20" s="1"/>
      <c r="L20" s="1"/>
      <c r="O20" s="1"/>
      <c r="P20" s="1"/>
      <c r="R20" s="1"/>
      <c r="S20" s="1"/>
      <c r="T20" s="1"/>
      <c r="U20" s="1"/>
      <c r="W20" s="1"/>
      <c r="X20" s="1"/>
      <c r="Z20" s="1"/>
      <c r="AA20" s="1"/>
      <c r="AB20" s="1"/>
      <c r="AD20" s="1"/>
      <c r="AE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D21" s="1"/>
      <c r="AE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D22" s="1"/>
      <c r="AE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D23" s="1"/>
      <c r="AE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D24" s="1"/>
      <c r="AE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D25" s="1"/>
      <c r="AE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D26" s="1"/>
      <c r="AE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D27" s="1"/>
      <c r="AE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M29" s="1"/>
      <c r="AN29" s="1"/>
      <c r="AP29" s="1"/>
      <c r="AQ29" s="1"/>
      <c r="AR29" s="1"/>
      <c r="AT29" s="1"/>
      <c r="AU29" s="1"/>
      <c r="AV29" s="1"/>
      <c r="AY29" s="1"/>
      <c r="BA29" s="1"/>
      <c r="BB29" s="1"/>
      <c r="BC29" s="1"/>
      <c r="BD29" s="1"/>
      <c r="BE29" s="1"/>
      <c r="BF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D30" s="1"/>
      <c r="AE30" s="1"/>
      <c r="AF30" s="1"/>
      <c r="AG30" s="1"/>
      <c r="AH30" s="1"/>
      <c r="AI30" s="1"/>
      <c r="AJ30" s="1"/>
      <c r="AM30" s="1"/>
      <c r="AN30" s="1"/>
      <c r="AP30" s="1"/>
      <c r="AQ30" s="1"/>
      <c r="AR30" s="1"/>
      <c r="AT30" s="1"/>
      <c r="AU30" s="1"/>
      <c r="AV30" s="1"/>
      <c r="AY30" s="1"/>
      <c r="BA30" s="1"/>
      <c r="BB30" s="1"/>
      <c r="BC30" s="1"/>
      <c r="BD30" s="1"/>
      <c r="BE30" s="1"/>
      <c r="BF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D31" s="1"/>
      <c r="AE31" s="1"/>
      <c r="AF31" s="1"/>
      <c r="AG31" s="1"/>
      <c r="AI31" s="1"/>
      <c r="AJ31" s="1"/>
      <c r="AM31" s="1"/>
      <c r="AN31" s="1"/>
      <c r="AP31" s="1"/>
      <c r="AQ31" s="1"/>
      <c r="AR31" s="1"/>
      <c r="AT31" s="1"/>
      <c r="AU31" s="1"/>
      <c r="AV31" s="1"/>
      <c r="AY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D32" s="1"/>
      <c r="AE32" s="1"/>
      <c r="AF32" s="1"/>
      <c r="AG32" s="1"/>
      <c r="AI32" s="1"/>
      <c r="AJ32" s="1"/>
      <c r="AM32" s="1"/>
      <c r="AN32" s="1"/>
      <c r="AP32" s="1"/>
      <c r="AQ32" s="1"/>
      <c r="AR32" s="1"/>
      <c r="AS32" s="1"/>
      <c r="AT32" s="1"/>
      <c r="AU32" s="1"/>
      <c r="AV32" s="1"/>
      <c r="AY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D33" s="1"/>
      <c r="AE33" s="1"/>
      <c r="AF33" s="1"/>
      <c r="AG33" s="1"/>
      <c r="AH33" s="1"/>
      <c r="AI33" s="1"/>
      <c r="AJ33" s="1"/>
      <c r="AM33" s="1"/>
      <c r="AN33" s="1"/>
      <c r="AP33" s="1"/>
      <c r="AQ33" s="1"/>
      <c r="AR33" s="1"/>
      <c r="AS33" s="1"/>
      <c r="AT33" s="1"/>
      <c r="AU33" s="1"/>
      <c r="AV33" s="1"/>
      <c r="AY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D34" s="1"/>
      <c r="AE34" s="1"/>
      <c r="AF34" s="1"/>
      <c r="AG34" s="1"/>
      <c r="AH34" s="1"/>
      <c r="AI34" s="1"/>
      <c r="AJ34" s="1"/>
      <c r="AM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D35" s="1"/>
      <c r="AE35" s="1"/>
      <c r="AF35" s="1"/>
      <c r="AG35" s="1"/>
      <c r="AH35" s="1"/>
      <c r="AI35" s="1"/>
      <c r="AJ35" s="1"/>
      <c r="AM35" s="1"/>
      <c r="AN35" s="1"/>
      <c r="AP35" s="1"/>
      <c r="AQ35" s="1"/>
      <c r="AR35" s="1"/>
      <c r="AS35" s="1"/>
      <c r="AT35" s="1"/>
      <c r="AU35" s="1"/>
      <c r="AW35" s="1"/>
      <c r="AY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J36" s="1"/>
      <c r="AN36" s="1"/>
      <c r="AU36" s="1"/>
      <c r="BA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60" x14ac:dyDescent="0.25">
      <c r="A38" s="1"/>
      <c r="B38" s="1"/>
      <c r="C38" s="1"/>
      <c r="D38" s="1"/>
      <c r="G38" s="1"/>
      <c r="M38" s="1"/>
    </row>
    <row r="39" spans="1:60" x14ac:dyDescent="0.25">
      <c r="A39" s="1"/>
      <c r="B39" s="1"/>
      <c r="C39" s="1"/>
      <c r="D39" s="1"/>
      <c r="G39" s="1"/>
      <c r="J39" s="1"/>
      <c r="K39" s="1"/>
    </row>
    <row r="40" spans="1:60" x14ac:dyDescent="0.25">
      <c r="A40" s="1"/>
      <c r="B40" s="1"/>
      <c r="C40" s="1"/>
      <c r="D40" s="1"/>
      <c r="G40" s="1"/>
    </row>
    <row r="41" spans="1:60" x14ac:dyDescent="0.25">
      <c r="C41" s="1"/>
    </row>
    <row r="42" spans="1:60" x14ac:dyDescent="0.25">
      <c r="C42" s="1"/>
    </row>
    <row r="43" spans="1:60" x14ac:dyDescent="0.25">
      <c r="C43" s="1"/>
    </row>
    <row r="44" spans="1:60" x14ac:dyDescent="0.25">
      <c r="C44" s="1"/>
    </row>
    <row r="45" spans="1:60" x14ac:dyDescent="0.25">
      <c r="C45" s="1"/>
    </row>
    <row r="46" spans="1:60" x14ac:dyDescent="0.25">
      <c r="C46" s="1"/>
    </row>
    <row r="47" spans="1:6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:6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:6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:6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:6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:6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:6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:6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6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:6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:6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:6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:6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:6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:6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:6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:6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6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:6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:6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:6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:6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:6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:6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:6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:6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60" x14ac:dyDescent="0.25">
      <c r="B74" s="1"/>
      <c r="C74" s="1"/>
      <c r="D74" s="1"/>
      <c r="G74" s="1"/>
      <c r="H74" s="1"/>
      <c r="L74" s="1"/>
      <c r="M74" s="1"/>
      <c r="O74" s="1"/>
      <c r="P74" s="1"/>
      <c r="Q74" s="1"/>
      <c r="W74" s="1"/>
      <c r="AD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V74" s="1"/>
      <c r="AW74" s="1"/>
      <c r="AX74" s="1"/>
      <c r="AY74" s="1"/>
      <c r="AZ74" s="1"/>
      <c r="BA74" s="1"/>
      <c r="BC74" s="1"/>
      <c r="BD74" s="1"/>
      <c r="BE74" s="1"/>
      <c r="BG74" s="1"/>
    </row>
    <row r="75" spans="2:60" x14ac:dyDescent="0.25">
      <c r="C75" s="1"/>
      <c r="D75" s="1"/>
      <c r="E75" s="1"/>
      <c r="G75" s="1"/>
      <c r="H75" s="1"/>
      <c r="L75" s="1"/>
      <c r="M75" s="1"/>
      <c r="N75" s="1"/>
      <c r="O75" s="1"/>
      <c r="P75" s="1"/>
      <c r="Q75" s="1"/>
      <c r="T75" s="1"/>
      <c r="W75" s="1"/>
      <c r="Y75" s="1"/>
      <c r="Z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V75" s="1"/>
      <c r="AW75" s="1"/>
      <c r="AX75" s="1"/>
      <c r="AY75" s="1"/>
      <c r="AZ75" s="1"/>
      <c r="BA75" s="1"/>
      <c r="BC75" s="1"/>
      <c r="BD75" s="1"/>
      <c r="BE75" s="1"/>
      <c r="BF75" s="1"/>
      <c r="BG75" s="1"/>
    </row>
    <row r="76" spans="2:60" x14ac:dyDescent="0.25">
      <c r="C76" s="1"/>
      <c r="D76" s="1"/>
      <c r="E76" s="1"/>
      <c r="F76" s="1"/>
      <c r="G76" s="1"/>
      <c r="H76" s="1"/>
      <c r="L76" s="1"/>
      <c r="M76" s="1"/>
      <c r="N76" s="1"/>
      <c r="O76" s="1"/>
      <c r="P76" s="1"/>
      <c r="Q76" s="1"/>
      <c r="R76" s="1"/>
      <c r="T76" s="1"/>
      <c r="W76" s="1"/>
      <c r="Y76" s="1"/>
      <c r="Z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V76" s="1"/>
      <c r="AW76" s="1"/>
      <c r="AX76" s="1"/>
      <c r="AY76" s="1"/>
      <c r="AZ76" s="1"/>
      <c r="BA76" s="1"/>
      <c r="BC76" s="1"/>
      <c r="BD76" s="1"/>
      <c r="BE76" s="1"/>
      <c r="BF76" s="1"/>
      <c r="BG76" s="1"/>
    </row>
    <row r="77" spans="2:60" x14ac:dyDescent="0.25">
      <c r="C77" s="1"/>
      <c r="D77" s="1"/>
      <c r="E77" s="1"/>
      <c r="F77" s="1"/>
      <c r="H77" s="1"/>
      <c r="L77" s="1"/>
      <c r="M77" s="1"/>
      <c r="N77" s="1"/>
      <c r="O77" s="1"/>
      <c r="P77" s="1"/>
      <c r="Q77" s="1"/>
      <c r="R77" s="1"/>
      <c r="T77" s="1"/>
      <c r="U77" s="1"/>
      <c r="W77" s="1"/>
      <c r="Y77" s="1"/>
      <c r="Z77" s="1"/>
      <c r="AA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V77" s="1"/>
      <c r="AW77" s="1"/>
      <c r="AX77" s="1"/>
      <c r="AY77" s="1"/>
      <c r="AZ77" s="1"/>
      <c r="BA77" s="1"/>
      <c r="BC77" s="1"/>
      <c r="BD77" s="1"/>
      <c r="BE77" s="1"/>
      <c r="BF77" s="1"/>
      <c r="BG77" s="1"/>
    </row>
    <row r="78" spans="2:60" x14ac:dyDescent="0.25">
      <c r="C78" s="1"/>
      <c r="D78" s="1"/>
      <c r="E78" s="1"/>
      <c r="F78" s="1"/>
      <c r="H78" s="1"/>
      <c r="L78" s="1"/>
      <c r="M78" s="1"/>
      <c r="N78" s="1"/>
      <c r="O78" s="1"/>
      <c r="P78" s="1"/>
      <c r="Q78" s="1"/>
      <c r="R78" s="1"/>
      <c r="T78" s="1"/>
      <c r="U78" s="1"/>
      <c r="W78" s="1"/>
      <c r="Y78" s="1"/>
      <c r="Z78" s="1"/>
      <c r="AA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V78" s="1"/>
      <c r="AW78" s="1"/>
      <c r="AX78" s="1"/>
      <c r="AY78" s="1"/>
      <c r="AZ78" s="1"/>
      <c r="BA78" s="1"/>
      <c r="BC78" s="1"/>
      <c r="BD78" s="1"/>
      <c r="BE78" s="1"/>
      <c r="BF78" s="1"/>
      <c r="BG78" s="1"/>
    </row>
    <row r="79" spans="2:60" x14ac:dyDescent="0.25">
      <c r="C79" s="1"/>
      <c r="D79" s="1"/>
      <c r="E79" s="1"/>
      <c r="F79" s="1"/>
      <c r="H79" s="1"/>
      <c r="L79" s="1"/>
      <c r="M79" s="1"/>
      <c r="N79" s="1"/>
      <c r="O79" s="1"/>
      <c r="P79" s="1"/>
      <c r="Q79" s="1"/>
      <c r="R79" s="1"/>
      <c r="T79" s="1"/>
      <c r="U79" s="1"/>
      <c r="W79" s="1"/>
      <c r="Y79" s="1"/>
      <c r="Z79" s="1"/>
      <c r="AA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2:60" x14ac:dyDescent="0.25">
      <c r="C80" s="1"/>
      <c r="D80" s="1"/>
      <c r="E80" s="1"/>
      <c r="F80" s="1"/>
      <c r="H80" s="1"/>
      <c r="L80" s="1"/>
      <c r="M80" s="1"/>
      <c r="N80" s="1"/>
      <c r="O80" s="1"/>
      <c r="P80" s="1"/>
      <c r="Q80" s="1"/>
      <c r="R80" s="1"/>
      <c r="T80" s="1"/>
      <c r="U80" s="1"/>
      <c r="W80" s="1"/>
      <c r="Y80" s="1"/>
      <c r="Z80" s="1"/>
      <c r="AA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V80" s="1"/>
      <c r="AW80" s="1"/>
      <c r="AX80" s="1"/>
      <c r="AY80" s="1"/>
      <c r="AZ80" s="1"/>
      <c r="BA80" s="1"/>
      <c r="BC80" s="1"/>
      <c r="BD80" s="1"/>
      <c r="BE80" s="1"/>
      <c r="BF80" s="1"/>
      <c r="BG80" s="1"/>
    </row>
    <row r="81" spans="2:59" x14ac:dyDescent="0.25">
      <c r="C81" s="1"/>
      <c r="D81" s="1"/>
      <c r="E81" s="1"/>
      <c r="F81" s="1"/>
      <c r="H81" s="1"/>
      <c r="L81" s="1"/>
      <c r="M81" s="1"/>
      <c r="N81" s="1"/>
      <c r="O81" s="1"/>
      <c r="P81" s="1"/>
      <c r="Q81" s="1"/>
      <c r="R81" s="1"/>
      <c r="T81" s="1"/>
      <c r="U81" s="1"/>
      <c r="W81" s="1"/>
      <c r="Y81" s="1"/>
      <c r="Z81" s="1"/>
      <c r="AA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V81" s="1"/>
      <c r="AW81" s="1"/>
      <c r="AX81" s="1"/>
      <c r="AY81" s="1"/>
      <c r="AZ81" s="1"/>
      <c r="BA81" s="1"/>
      <c r="BC81" s="1"/>
      <c r="BD81" s="1"/>
      <c r="BE81" s="1"/>
      <c r="BF81" s="1"/>
      <c r="BG81" s="1"/>
    </row>
    <row r="93" spans="2:5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5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5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5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2" spans="2:25" x14ac:dyDescent="0.25">
      <c r="C102" s="1"/>
      <c r="H102" s="1"/>
      <c r="M102" s="1"/>
      <c r="O102" s="1"/>
      <c r="X102" s="1"/>
    </row>
    <row r="103" spans="2:25" x14ac:dyDescent="0.25">
      <c r="C103" s="1"/>
      <c r="H103" s="1"/>
      <c r="M103" s="1"/>
      <c r="O103" s="1"/>
      <c r="X103" s="1"/>
    </row>
    <row r="104" spans="2:25" x14ac:dyDescent="0.25">
      <c r="C104" s="1"/>
      <c r="H104" s="1"/>
      <c r="M104" s="1"/>
      <c r="N104" s="1"/>
      <c r="O104" s="1"/>
      <c r="S104" s="1"/>
      <c r="X104" s="1"/>
    </row>
    <row r="105" spans="2:25" x14ac:dyDescent="0.25">
      <c r="C105" s="1"/>
      <c r="H105" s="1"/>
      <c r="M105" s="1"/>
      <c r="N105" s="1"/>
      <c r="O105" s="1"/>
      <c r="S105" s="1"/>
      <c r="X105" s="1"/>
    </row>
    <row r="106" spans="2:25" x14ac:dyDescent="0.25">
      <c r="B106" s="1"/>
      <c r="C106" s="1"/>
      <c r="H106" s="1"/>
      <c r="M106" s="1"/>
      <c r="N106" s="1"/>
      <c r="O106" s="1"/>
      <c r="S106" s="1"/>
      <c r="X106" s="1"/>
    </row>
    <row r="107" spans="2:25" x14ac:dyDescent="0.25">
      <c r="B107" s="1"/>
      <c r="C107" s="1"/>
      <c r="H107" s="1"/>
      <c r="M107" s="1"/>
      <c r="N107" s="1"/>
      <c r="O107" s="1"/>
      <c r="S107" s="1"/>
      <c r="X107" s="1"/>
    </row>
    <row r="108" spans="2:25" x14ac:dyDescent="0.25">
      <c r="B108" s="1"/>
      <c r="C108" s="1"/>
      <c r="E108" s="1"/>
      <c r="H108" s="1"/>
      <c r="L108" s="1"/>
      <c r="M108" s="1"/>
      <c r="N108" s="1"/>
      <c r="O108" s="1"/>
      <c r="Q108" s="1"/>
      <c r="R108" s="1"/>
      <c r="S108" s="1"/>
      <c r="X108" s="1"/>
      <c r="Y108" s="1"/>
    </row>
    <row r="109" spans="2:25" x14ac:dyDescent="0.25">
      <c r="B109" s="1"/>
      <c r="C109" s="1"/>
      <c r="E109" s="1"/>
      <c r="G109" s="1"/>
      <c r="H109" s="1"/>
      <c r="I109" s="1"/>
      <c r="J109" s="1"/>
      <c r="L109" s="1"/>
      <c r="M109" s="1"/>
      <c r="N109" s="1"/>
      <c r="O109" s="1"/>
      <c r="P109" s="1"/>
      <c r="Q109" s="1"/>
      <c r="S109" s="1"/>
      <c r="X109" s="1"/>
      <c r="Y109" s="1"/>
    </row>
    <row r="111" spans="2:25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20" spans="2:25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2:25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2:25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2:25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2:25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2:25" x14ac:dyDescent="0.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2:25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2:25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9" spans="2:25" x14ac:dyDescent="0.25">
      <c r="C129" s="1"/>
      <c r="E129" s="1"/>
      <c r="J129" s="1"/>
      <c r="L129" s="1"/>
      <c r="N129" s="1"/>
      <c r="O129" s="1"/>
      <c r="R129" s="1"/>
      <c r="X129" s="1"/>
      <c r="Y129" s="1"/>
    </row>
    <row r="130" spans="2:25" x14ac:dyDescent="0.25">
      <c r="C130" s="1"/>
      <c r="E130" s="1"/>
      <c r="J130" s="1"/>
      <c r="L130" s="1"/>
      <c r="N130" s="1"/>
      <c r="O130" s="1"/>
      <c r="R130" s="1"/>
      <c r="X130" s="1"/>
    </row>
    <row r="131" spans="2:25" x14ac:dyDescent="0.25">
      <c r="B131" s="1"/>
      <c r="C131" s="1"/>
      <c r="E131" s="1"/>
      <c r="H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X131" s="1"/>
      <c r="Y131" s="1"/>
    </row>
    <row r="132" spans="2:25" x14ac:dyDescent="0.25">
      <c r="B132" s="1"/>
      <c r="C132" s="1"/>
      <c r="E132" s="1"/>
      <c r="H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X132" s="1"/>
      <c r="Y132" s="1"/>
    </row>
    <row r="133" spans="2:25" x14ac:dyDescent="0.25">
      <c r="B133" s="1"/>
      <c r="C133" s="1"/>
      <c r="E133" s="1"/>
      <c r="F133" s="1"/>
      <c r="H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X133" s="1"/>
      <c r="Y133" s="1"/>
    </row>
    <row r="134" spans="2:25" x14ac:dyDescent="0.25">
      <c r="B134" s="1"/>
      <c r="C134" s="1"/>
      <c r="E134" s="1"/>
      <c r="F134" s="1"/>
      <c r="H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X134" s="1"/>
      <c r="Y134" s="1"/>
    </row>
    <row r="135" spans="2:25" x14ac:dyDescent="0.25">
      <c r="B135" s="1"/>
      <c r="C135" s="1"/>
      <c r="E135" s="1"/>
      <c r="F135" s="1"/>
      <c r="H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</row>
    <row r="136" spans="2:25" x14ac:dyDescent="0.25">
      <c r="B136" s="1"/>
      <c r="C136" s="1"/>
      <c r="E136" s="1"/>
      <c r="F136" s="1"/>
      <c r="H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X136" s="1"/>
      <c r="Y136" s="1"/>
    </row>
    <row r="138" spans="2:2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70F-5493-4331-9440-08247E3EF477}">
  <dimension ref="A1:AA155"/>
  <sheetViews>
    <sheetView topLeftCell="A124" workbookViewId="0">
      <selection activeCell="M167" sqref="M16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</row>
    <row r="6" spans="1:27" x14ac:dyDescent="0.25">
      <c r="A6" s="2">
        <v>2029</v>
      </c>
    </row>
    <row r="7" spans="1:27" x14ac:dyDescent="0.25">
      <c r="A7" s="2">
        <v>2030</v>
      </c>
    </row>
    <row r="8" spans="1:27" x14ac:dyDescent="0.25">
      <c r="A8" s="2">
        <v>2031</v>
      </c>
    </row>
    <row r="9" spans="1:27" x14ac:dyDescent="0.25">
      <c r="A9" s="2">
        <v>2032</v>
      </c>
    </row>
    <row r="10" spans="1:27" x14ac:dyDescent="0.25">
      <c r="A10" s="2">
        <v>2033</v>
      </c>
    </row>
    <row r="11" spans="1:27" x14ac:dyDescent="0.25">
      <c r="A11" s="2">
        <v>2034</v>
      </c>
    </row>
    <row r="12" spans="1:27" x14ac:dyDescent="0.25">
      <c r="A12" s="2">
        <v>2035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0</v>
      </c>
      <c r="Y16" s="2">
        <f>Y5/'Output-Calculation-sheet'!Y4*'Output-Calculation-sheet'!Y22</f>
        <v>0</v>
      </c>
      <c r="AA16" s="2">
        <f>SUM(B16:Y16)/1000</f>
        <v>0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0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0</v>
      </c>
      <c r="Y17" s="2">
        <f>Y6/'Output-Calculation-sheet'!Y5*'Output-Calculation-sheet'!Y23</f>
        <v>0</v>
      </c>
      <c r="AA17" s="2">
        <f t="shared" ref="AA17:AA23" si="0">SUM(B17:Y17)/1000</f>
        <v>0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0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0</v>
      </c>
      <c r="Y18" s="2">
        <f>Y7/'Output-Calculation-sheet'!Y6*'Output-Calculation-sheet'!Y24</f>
        <v>0</v>
      </c>
      <c r="AA18" s="2">
        <f t="shared" si="0"/>
        <v>0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0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0</v>
      </c>
      <c r="Y19" s="2">
        <f>Y8/'Output-Calculation-sheet'!Y7*'Output-Calculation-sheet'!Y25</f>
        <v>0</v>
      </c>
      <c r="AA19" s="2">
        <f t="shared" si="0"/>
        <v>0</v>
      </c>
    </row>
    <row r="20" spans="1:27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0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0</v>
      </c>
      <c r="Y20" s="2">
        <f>Y9/'Output-Calculation-sheet'!Y8*'Output-Calculation-sheet'!Y26</f>
        <v>0</v>
      </c>
      <c r="AA20" s="2">
        <f t="shared" si="0"/>
        <v>0</v>
      </c>
    </row>
    <row r="21" spans="1:27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0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0</v>
      </c>
      <c r="Y21" s="2">
        <f>Y10/'Output-Calculation-sheet'!Y9*'Output-Calculation-sheet'!Y27</f>
        <v>0</v>
      </c>
      <c r="AA21" s="2">
        <f t="shared" si="0"/>
        <v>0</v>
      </c>
    </row>
    <row r="22" spans="1:27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0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0</v>
      </c>
      <c r="Y22" s="2">
        <f>Y11/'Output-Calculation-sheet'!Y10*'Output-Calculation-sheet'!Y28</f>
        <v>0</v>
      </c>
      <c r="AA22" s="2">
        <f t="shared" si="0"/>
        <v>0</v>
      </c>
    </row>
    <row r="23" spans="1:27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0</v>
      </c>
      <c r="Y23" s="2">
        <f>Y12/'Output-Calculation-sheet'!Y11*'Output-Calculation-sheet'!Y29</f>
        <v>0</v>
      </c>
      <c r="AA23" s="2">
        <f t="shared" si="0"/>
        <v>0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0</v>
      </c>
      <c r="C27" s="2">
        <f>C5/'Output-Calculation-sheet'!C4*'Output-Calculation-sheet'!C13</f>
        <v>0</v>
      </c>
      <c r="D27" s="2">
        <f>D5/'Output-Calculation-sheet'!D4*'Output-Calculation-sheet'!D13</f>
        <v>0</v>
      </c>
      <c r="E27" s="2">
        <f>E5/'Output-Calculation-sheet'!E4*'Output-Calculation-sheet'!E13</f>
        <v>0</v>
      </c>
      <c r="F27" s="2">
        <f>F5/'Output-Calculation-sheet'!F4*'Output-Calculation-sheet'!F13</f>
        <v>0</v>
      </c>
      <c r="G27" s="2">
        <f>G5/'Output-Calculation-sheet'!G4*'Output-Calculation-sheet'!G13</f>
        <v>0</v>
      </c>
      <c r="H27" s="2">
        <f>H5/'Output-Calculation-sheet'!H4*'Output-Calculation-sheet'!H13</f>
        <v>0</v>
      </c>
      <c r="I27" s="2">
        <f>I5/'Output-Calculation-sheet'!I4*'Output-Calculation-sheet'!I13</f>
        <v>0</v>
      </c>
      <c r="J27" s="2">
        <f>J5/'Output-Calculation-sheet'!J4*'Output-Calculation-sheet'!J13</f>
        <v>0</v>
      </c>
      <c r="K27" s="2">
        <f>K5/'Output-Calculation-sheet'!K4*'Output-Calculation-sheet'!K13</f>
        <v>0</v>
      </c>
      <c r="L27" s="2">
        <f>L5/'Output-Calculation-sheet'!L4*'Output-Calculation-sheet'!L13</f>
        <v>0</v>
      </c>
      <c r="M27" s="2">
        <f>M5/'Output-Calculation-sheet'!M4*'Output-Calculation-sheet'!M13</f>
        <v>0</v>
      </c>
      <c r="N27" s="2">
        <f>N5/'Output-Calculation-sheet'!N4*'Output-Calculation-sheet'!N13</f>
        <v>0</v>
      </c>
      <c r="O27" s="2">
        <f>O5/'Output-Calculation-sheet'!O4*'Output-Calculation-sheet'!O13</f>
        <v>0</v>
      </c>
      <c r="P27" s="2">
        <f>P5/'Output-Calculation-sheet'!P4*'Output-Calculation-sheet'!P13</f>
        <v>0</v>
      </c>
      <c r="Q27" s="2">
        <f>Q5/'Output-Calculation-sheet'!Q4*'Output-Calculation-sheet'!Q13</f>
        <v>0</v>
      </c>
      <c r="R27" s="2">
        <f>R5/'Output-Calculation-sheet'!R4*'Output-Calculation-sheet'!R13</f>
        <v>0</v>
      </c>
      <c r="S27" s="2">
        <f>S5/'Output-Calculation-sheet'!S4*'Output-Calculation-sheet'!S13</f>
        <v>0</v>
      </c>
      <c r="T27" s="2">
        <f>T5/'Output-Calculation-sheet'!T4*'Output-Calculation-sheet'!T13</f>
        <v>0</v>
      </c>
      <c r="U27" s="2">
        <f>U5/'Output-Calculation-sheet'!U4*'Output-Calculation-sheet'!U13</f>
        <v>0</v>
      </c>
      <c r="V27" s="2">
        <f>V5/'Output-Calculation-sheet'!V4*'Output-Calculation-sheet'!V13</f>
        <v>0</v>
      </c>
      <c r="W27" s="2">
        <f>W5/'Output-Calculation-sheet'!W4*'Output-Calculation-sheet'!W13</f>
        <v>0</v>
      </c>
      <c r="X27" s="2">
        <f>X5/'Output-Calculation-sheet'!X4*'Output-Calculation-sheet'!X13</f>
        <v>0</v>
      </c>
      <c r="Y27" s="2">
        <f>Y5/'Output-Calculation-sheet'!Y4*'Output-Calculation-sheet'!Y13</f>
        <v>0</v>
      </c>
      <c r="AA27" s="2">
        <f>SUM(B27:Y27)/1000</f>
        <v>0</v>
      </c>
    </row>
    <row r="28" spans="1:27" x14ac:dyDescent="0.25">
      <c r="A28" s="2">
        <v>2029</v>
      </c>
      <c r="B28" s="2">
        <f>B6/'Output-Calculation-sheet'!B5*'Output-Calculation-sheet'!B14</f>
        <v>0</v>
      </c>
      <c r="C28" s="2">
        <f>C6/'Output-Calculation-sheet'!C5*'Output-Calculation-sheet'!C14</f>
        <v>0</v>
      </c>
      <c r="D28" s="2">
        <f>D6/'Output-Calculation-sheet'!D5*'Output-Calculation-sheet'!D14</f>
        <v>0</v>
      </c>
      <c r="E28" s="2">
        <f>E6/'Output-Calculation-sheet'!E5*'Output-Calculation-sheet'!E14</f>
        <v>0</v>
      </c>
      <c r="F28" s="2">
        <f>F6/'Output-Calculation-sheet'!F5*'Output-Calculation-sheet'!F14</f>
        <v>0</v>
      </c>
      <c r="G28" s="2">
        <f>G6/'Output-Calculation-sheet'!G5*'Output-Calculation-sheet'!G14</f>
        <v>0</v>
      </c>
      <c r="H28" s="2">
        <f>H6/'Output-Calculation-sheet'!H5*'Output-Calculation-sheet'!H14</f>
        <v>0</v>
      </c>
      <c r="I28" s="2">
        <f>I6/'Output-Calculation-sheet'!I5*'Output-Calculation-sheet'!I14</f>
        <v>0</v>
      </c>
      <c r="J28" s="2">
        <f>J6/'Output-Calculation-sheet'!J5*'Output-Calculation-sheet'!J14</f>
        <v>0</v>
      </c>
      <c r="K28" s="2">
        <f>K6/'Output-Calculation-sheet'!K5*'Output-Calculation-sheet'!K14</f>
        <v>0</v>
      </c>
      <c r="L28" s="2">
        <f>L6/'Output-Calculation-sheet'!L5*'Output-Calculation-sheet'!L14</f>
        <v>0</v>
      </c>
      <c r="M28" s="2">
        <f>M6/'Output-Calculation-sheet'!M5*'Output-Calculation-sheet'!M14</f>
        <v>0</v>
      </c>
      <c r="N28" s="2">
        <f>N6/'Output-Calculation-sheet'!N5*'Output-Calculation-sheet'!N14</f>
        <v>0</v>
      </c>
      <c r="O28" s="2">
        <f>O6/'Output-Calculation-sheet'!O5*'Output-Calculation-sheet'!O14</f>
        <v>0</v>
      </c>
      <c r="P28" s="2">
        <f>P6/'Output-Calculation-sheet'!P5*'Output-Calculation-sheet'!P14</f>
        <v>0</v>
      </c>
      <c r="Q28" s="2">
        <f>Q6/'Output-Calculation-sheet'!Q5*'Output-Calculation-sheet'!Q14</f>
        <v>0</v>
      </c>
      <c r="R28" s="2">
        <f>R6/'Output-Calculation-sheet'!R5*'Output-Calculation-sheet'!R14</f>
        <v>0</v>
      </c>
      <c r="S28" s="2">
        <f>S6/'Output-Calculation-sheet'!S5*'Output-Calculation-sheet'!S14</f>
        <v>0</v>
      </c>
      <c r="T28" s="2">
        <f>T6/'Output-Calculation-sheet'!T5*'Output-Calculation-sheet'!T14</f>
        <v>0</v>
      </c>
      <c r="U28" s="2">
        <f>U6/'Output-Calculation-sheet'!U5*'Output-Calculation-sheet'!U14</f>
        <v>0</v>
      </c>
      <c r="V28" s="2">
        <f>V6/'Output-Calculation-sheet'!V5*'Output-Calculation-sheet'!V14</f>
        <v>0</v>
      </c>
      <c r="W28" s="2">
        <f>W6/'Output-Calculation-sheet'!W5*'Output-Calculation-sheet'!W14</f>
        <v>0</v>
      </c>
      <c r="X28" s="2">
        <f>X6/'Output-Calculation-sheet'!X5*'Output-Calculation-sheet'!X14</f>
        <v>0</v>
      </c>
      <c r="Y28" s="2">
        <f>Y6/'Output-Calculation-sheet'!Y5*'Output-Calculation-sheet'!Y14</f>
        <v>0</v>
      </c>
      <c r="AA28" s="2">
        <f t="shared" ref="AA28:AA34" si="1">SUM(B28:Y28)/1000</f>
        <v>0</v>
      </c>
    </row>
    <row r="29" spans="1:27" x14ac:dyDescent="0.25">
      <c r="A29" s="2">
        <v>2030</v>
      </c>
      <c r="B29" s="2">
        <f>B7/'Output-Calculation-sheet'!B6*'Output-Calculation-sheet'!B15</f>
        <v>0</v>
      </c>
      <c r="C29" s="2">
        <f>C7/'Output-Calculation-sheet'!C6*'Output-Calculation-sheet'!C15</f>
        <v>0</v>
      </c>
      <c r="D29" s="2">
        <f>D7/'Output-Calculation-sheet'!D6*'Output-Calculation-sheet'!D15</f>
        <v>0</v>
      </c>
      <c r="E29" s="2">
        <f>E7/'Output-Calculation-sheet'!E6*'Output-Calculation-sheet'!E15</f>
        <v>0</v>
      </c>
      <c r="F29" s="2">
        <f>F7/'Output-Calculation-sheet'!F6*'Output-Calculation-sheet'!F15</f>
        <v>0</v>
      </c>
      <c r="G29" s="2">
        <f>G7/'Output-Calculation-sheet'!G6*'Output-Calculation-sheet'!G15</f>
        <v>0</v>
      </c>
      <c r="H29" s="2">
        <f>H7/'Output-Calculation-sheet'!H6*'Output-Calculation-sheet'!H15</f>
        <v>0</v>
      </c>
      <c r="I29" s="2">
        <f>I7/'Output-Calculation-sheet'!I6*'Output-Calculation-sheet'!I15</f>
        <v>0</v>
      </c>
      <c r="J29" s="2">
        <f>J7/'Output-Calculation-sheet'!J6*'Output-Calculation-sheet'!J15</f>
        <v>0</v>
      </c>
      <c r="K29" s="2">
        <f>K7/'Output-Calculation-sheet'!K6*'Output-Calculation-sheet'!K15</f>
        <v>0</v>
      </c>
      <c r="L29" s="2">
        <f>L7/'Output-Calculation-sheet'!L6*'Output-Calculation-sheet'!L15</f>
        <v>0</v>
      </c>
      <c r="M29" s="2">
        <f>M7/'Output-Calculation-sheet'!M6*'Output-Calculation-sheet'!M15</f>
        <v>0</v>
      </c>
      <c r="N29" s="2">
        <f>N7/'Output-Calculation-sheet'!N6*'Output-Calculation-sheet'!N15</f>
        <v>0</v>
      </c>
      <c r="O29" s="2">
        <f>O7/'Output-Calculation-sheet'!O6*'Output-Calculation-sheet'!O15</f>
        <v>0</v>
      </c>
      <c r="P29" s="2">
        <f>P7/'Output-Calculation-sheet'!P6*'Output-Calculation-sheet'!P15</f>
        <v>0</v>
      </c>
      <c r="Q29" s="2">
        <f>Q7/'Output-Calculation-sheet'!Q6*'Output-Calculation-sheet'!Q15</f>
        <v>0</v>
      </c>
      <c r="R29" s="2">
        <f>R7/'Output-Calculation-sheet'!R6*'Output-Calculation-sheet'!R15</f>
        <v>0</v>
      </c>
      <c r="S29" s="2">
        <f>S7/'Output-Calculation-sheet'!S6*'Output-Calculation-sheet'!S15</f>
        <v>0</v>
      </c>
      <c r="T29" s="2">
        <f>T7/'Output-Calculation-sheet'!T6*'Output-Calculation-sheet'!T15</f>
        <v>0</v>
      </c>
      <c r="U29" s="2">
        <f>U7/'Output-Calculation-sheet'!U6*'Output-Calculation-sheet'!U15</f>
        <v>0</v>
      </c>
      <c r="V29" s="2">
        <f>V7/'Output-Calculation-sheet'!V6*'Output-Calculation-sheet'!V15</f>
        <v>0</v>
      </c>
      <c r="W29" s="2">
        <f>W7/'Output-Calculation-sheet'!W6*'Output-Calculation-sheet'!W15</f>
        <v>0</v>
      </c>
      <c r="X29" s="2">
        <f>X7/'Output-Calculation-sheet'!X6*'Output-Calculation-sheet'!X15</f>
        <v>0</v>
      </c>
      <c r="Y29" s="2">
        <f>Y7/'Output-Calculation-sheet'!Y6*'Output-Calculation-sheet'!Y15</f>
        <v>0</v>
      </c>
      <c r="AA29" s="2">
        <f t="shared" si="1"/>
        <v>0</v>
      </c>
    </row>
    <row r="30" spans="1:27" x14ac:dyDescent="0.25">
      <c r="A30" s="2">
        <v>2031</v>
      </c>
      <c r="B30" s="2">
        <f>B8/'Output-Calculation-sheet'!B7*'Output-Calculation-sheet'!B16</f>
        <v>0</v>
      </c>
      <c r="C30" s="2">
        <f>C8/'Output-Calculation-sheet'!C7*'Output-Calculation-sheet'!C16</f>
        <v>0</v>
      </c>
      <c r="D30" s="2">
        <f>D8/'Output-Calculation-sheet'!D7*'Output-Calculation-sheet'!D16</f>
        <v>0</v>
      </c>
      <c r="E30" s="2">
        <f>E8/'Output-Calculation-sheet'!E7*'Output-Calculation-sheet'!E16</f>
        <v>0</v>
      </c>
      <c r="F30" s="2">
        <f>F8/'Output-Calculation-sheet'!F7*'Output-Calculation-sheet'!F16</f>
        <v>0</v>
      </c>
      <c r="G30" s="2">
        <f>G8/'Output-Calculation-sheet'!G7*'Output-Calculation-sheet'!G16</f>
        <v>0</v>
      </c>
      <c r="H30" s="2">
        <f>H8/'Output-Calculation-sheet'!H7*'Output-Calculation-sheet'!H16</f>
        <v>0</v>
      </c>
      <c r="I30" s="2">
        <f>I8/'Output-Calculation-sheet'!I7*'Output-Calculation-sheet'!I16</f>
        <v>0</v>
      </c>
      <c r="J30" s="2">
        <f>J8/'Output-Calculation-sheet'!J7*'Output-Calculation-sheet'!J16</f>
        <v>0</v>
      </c>
      <c r="K30" s="2">
        <f>K8/'Output-Calculation-sheet'!K7*'Output-Calculation-sheet'!K16</f>
        <v>0</v>
      </c>
      <c r="L30" s="2">
        <f>L8/'Output-Calculation-sheet'!L7*'Output-Calculation-sheet'!L16</f>
        <v>0</v>
      </c>
      <c r="M30" s="2">
        <f>M8/'Output-Calculation-sheet'!M7*'Output-Calculation-sheet'!M16</f>
        <v>0</v>
      </c>
      <c r="N30" s="2">
        <f>N8/'Output-Calculation-sheet'!N7*'Output-Calculation-sheet'!N16</f>
        <v>0</v>
      </c>
      <c r="O30" s="2">
        <f>O8/'Output-Calculation-sheet'!O7*'Output-Calculation-sheet'!O16</f>
        <v>0</v>
      </c>
      <c r="P30" s="2">
        <f>P8/'Output-Calculation-sheet'!P7*'Output-Calculation-sheet'!P16</f>
        <v>0</v>
      </c>
      <c r="Q30" s="2">
        <f>Q8/'Output-Calculation-sheet'!Q7*'Output-Calculation-sheet'!Q16</f>
        <v>0</v>
      </c>
      <c r="R30" s="2">
        <f>R8/'Output-Calculation-sheet'!R7*'Output-Calculation-sheet'!R16</f>
        <v>0</v>
      </c>
      <c r="S30" s="2">
        <f>S8/'Output-Calculation-sheet'!S7*'Output-Calculation-sheet'!S16</f>
        <v>0</v>
      </c>
      <c r="T30" s="2">
        <f>T8/'Output-Calculation-sheet'!T7*'Output-Calculation-sheet'!T16</f>
        <v>0</v>
      </c>
      <c r="U30" s="2">
        <f>U8/'Output-Calculation-sheet'!U7*'Output-Calculation-sheet'!U16</f>
        <v>0</v>
      </c>
      <c r="V30" s="2">
        <f>V8/'Output-Calculation-sheet'!V7*'Output-Calculation-sheet'!V16</f>
        <v>0</v>
      </c>
      <c r="W30" s="2">
        <f>W8/'Output-Calculation-sheet'!W7*'Output-Calculation-sheet'!W16</f>
        <v>0</v>
      </c>
      <c r="X30" s="2">
        <f>X8/'Output-Calculation-sheet'!X7*'Output-Calculation-sheet'!X16</f>
        <v>0</v>
      </c>
      <c r="Y30" s="2">
        <f>Y8/'Output-Calculation-sheet'!Y7*'Output-Calculation-sheet'!Y16</f>
        <v>0</v>
      </c>
      <c r="AA30" s="2">
        <f t="shared" si="1"/>
        <v>0</v>
      </c>
    </row>
    <row r="31" spans="1:27" x14ac:dyDescent="0.25">
      <c r="A31" s="2">
        <v>2032</v>
      </c>
      <c r="B31" s="2">
        <f>B9/'Output-Calculation-sheet'!B8*'Output-Calculation-sheet'!B17</f>
        <v>0</v>
      </c>
      <c r="C31" s="2">
        <f>C9/'Output-Calculation-sheet'!C8*'Output-Calculation-sheet'!C17</f>
        <v>0</v>
      </c>
      <c r="D31" s="2">
        <f>D9/'Output-Calculation-sheet'!D8*'Output-Calculation-sheet'!D17</f>
        <v>0</v>
      </c>
      <c r="E31" s="2">
        <f>E9/'Output-Calculation-sheet'!E8*'Output-Calculation-sheet'!E17</f>
        <v>0</v>
      </c>
      <c r="F31" s="2">
        <f>F9/'Output-Calculation-sheet'!F8*'Output-Calculation-sheet'!F17</f>
        <v>0</v>
      </c>
      <c r="G31" s="2">
        <f>G9/'Output-Calculation-sheet'!G8*'Output-Calculation-sheet'!G17</f>
        <v>0</v>
      </c>
      <c r="H31" s="2">
        <f>H9/'Output-Calculation-sheet'!H8*'Output-Calculation-sheet'!H17</f>
        <v>0</v>
      </c>
      <c r="I31" s="2">
        <f>I9/'Output-Calculation-sheet'!I8*'Output-Calculation-sheet'!I17</f>
        <v>0</v>
      </c>
      <c r="J31" s="2">
        <f>J9/'Output-Calculation-sheet'!J8*'Output-Calculation-sheet'!J17</f>
        <v>0</v>
      </c>
      <c r="K31" s="2">
        <f>K9/'Output-Calculation-sheet'!K8*'Output-Calculation-sheet'!K17</f>
        <v>0</v>
      </c>
      <c r="L31" s="2">
        <f>L9/'Output-Calculation-sheet'!L8*'Output-Calculation-sheet'!L17</f>
        <v>0</v>
      </c>
      <c r="M31" s="2">
        <f>M9/'Output-Calculation-sheet'!M8*'Output-Calculation-sheet'!M17</f>
        <v>0</v>
      </c>
      <c r="N31" s="2">
        <f>N9/'Output-Calculation-sheet'!N8*'Output-Calculation-sheet'!N17</f>
        <v>0</v>
      </c>
      <c r="O31" s="2">
        <f>O9/'Output-Calculation-sheet'!O8*'Output-Calculation-sheet'!O17</f>
        <v>0</v>
      </c>
      <c r="P31" s="2">
        <f>P9/'Output-Calculation-sheet'!P8*'Output-Calculation-sheet'!P17</f>
        <v>0</v>
      </c>
      <c r="Q31" s="2">
        <f>Q9/'Output-Calculation-sheet'!Q8*'Output-Calculation-sheet'!Q17</f>
        <v>0</v>
      </c>
      <c r="R31" s="2">
        <f>R9/'Output-Calculation-sheet'!R8*'Output-Calculation-sheet'!R17</f>
        <v>0</v>
      </c>
      <c r="S31" s="2">
        <f>S9/'Output-Calculation-sheet'!S8*'Output-Calculation-sheet'!S17</f>
        <v>0</v>
      </c>
      <c r="T31" s="2">
        <f>T9/'Output-Calculation-sheet'!T8*'Output-Calculation-sheet'!T17</f>
        <v>0</v>
      </c>
      <c r="U31" s="2">
        <f>U9/'Output-Calculation-sheet'!U8*'Output-Calculation-sheet'!U17</f>
        <v>0</v>
      </c>
      <c r="V31" s="2">
        <f>V9/'Output-Calculation-sheet'!V8*'Output-Calculation-sheet'!V17</f>
        <v>0</v>
      </c>
      <c r="W31" s="2">
        <f>W9/'Output-Calculation-sheet'!W8*'Output-Calculation-sheet'!W17</f>
        <v>0</v>
      </c>
      <c r="X31" s="2">
        <f>X9/'Output-Calculation-sheet'!X8*'Output-Calculation-sheet'!X17</f>
        <v>0</v>
      </c>
      <c r="Y31" s="2">
        <f>Y9/'Output-Calculation-sheet'!Y8*'Output-Calculation-sheet'!Y17</f>
        <v>0</v>
      </c>
      <c r="AA31" s="2">
        <f t="shared" si="1"/>
        <v>0</v>
      </c>
    </row>
    <row r="32" spans="1:27" x14ac:dyDescent="0.25">
      <c r="A32" s="2">
        <v>2033</v>
      </c>
      <c r="B32" s="2">
        <f>B10/'Output-Calculation-sheet'!B9*'Output-Calculation-sheet'!B18</f>
        <v>0</v>
      </c>
      <c r="C32" s="2">
        <f>C10/'Output-Calculation-sheet'!C9*'Output-Calculation-sheet'!C18</f>
        <v>0</v>
      </c>
      <c r="D32" s="2">
        <f>D10/'Output-Calculation-sheet'!D9*'Output-Calculation-sheet'!D18</f>
        <v>0</v>
      </c>
      <c r="E32" s="2">
        <f>E10/'Output-Calculation-sheet'!E9*'Output-Calculation-sheet'!E18</f>
        <v>0</v>
      </c>
      <c r="F32" s="2">
        <f>F10/'Output-Calculation-sheet'!F9*'Output-Calculation-sheet'!F18</f>
        <v>0</v>
      </c>
      <c r="G32" s="2">
        <f>G10/'Output-Calculation-sheet'!G9*'Output-Calculation-sheet'!G18</f>
        <v>0</v>
      </c>
      <c r="H32" s="2">
        <f>H10/'Output-Calculation-sheet'!H9*'Output-Calculation-sheet'!H18</f>
        <v>0</v>
      </c>
      <c r="I32" s="2">
        <f>I10/'Output-Calculation-sheet'!I9*'Output-Calculation-sheet'!I18</f>
        <v>0</v>
      </c>
      <c r="J32" s="2">
        <f>J10/'Output-Calculation-sheet'!J9*'Output-Calculation-sheet'!J18</f>
        <v>0</v>
      </c>
      <c r="K32" s="2">
        <f>K10/'Output-Calculation-sheet'!K9*'Output-Calculation-sheet'!K18</f>
        <v>0</v>
      </c>
      <c r="L32" s="2">
        <f>L10/'Output-Calculation-sheet'!L9*'Output-Calculation-sheet'!L18</f>
        <v>0</v>
      </c>
      <c r="M32" s="2">
        <f>M10/'Output-Calculation-sheet'!M9*'Output-Calculation-sheet'!M18</f>
        <v>0</v>
      </c>
      <c r="N32" s="2">
        <f>N10/'Output-Calculation-sheet'!N9*'Output-Calculation-sheet'!N18</f>
        <v>0</v>
      </c>
      <c r="O32" s="2">
        <f>O10/'Output-Calculation-sheet'!O9*'Output-Calculation-sheet'!O18</f>
        <v>0</v>
      </c>
      <c r="P32" s="2">
        <f>P10/'Output-Calculation-sheet'!P9*'Output-Calculation-sheet'!P18</f>
        <v>0</v>
      </c>
      <c r="Q32" s="2">
        <f>Q10/'Output-Calculation-sheet'!Q9*'Output-Calculation-sheet'!Q18</f>
        <v>0</v>
      </c>
      <c r="R32" s="2">
        <f>R10/'Output-Calculation-sheet'!R9*'Output-Calculation-sheet'!R18</f>
        <v>0</v>
      </c>
      <c r="S32" s="2">
        <f>S10/'Output-Calculation-sheet'!S9*'Output-Calculation-sheet'!S18</f>
        <v>0</v>
      </c>
      <c r="T32" s="2">
        <f>T10/'Output-Calculation-sheet'!T9*'Output-Calculation-sheet'!T18</f>
        <v>0</v>
      </c>
      <c r="U32" s="2">
        <f>U10/'Output-Calculation-sheet'!U9*'Output-Calculation-sheet'!U18</f>
        <v>0</v>
      </c>
      <c r="V32" s="2">
        <f>V10/'Output-Calculation-sheet'!V9*'Output-Calculation-sheet'!V18</f>
        <v>0</v>
      </c>
      <c r="W32" s="2">
        <f>W10/'Output-Calculation-sheet'!W9*'Output-Calculation-sheet'!W18</f>
        <v>0</v>
      </c>
      <c r="X32" s="2">
        <f>X10/'Output-Calculation-sheet'!X9*'Output-Calculation-sheet'!X18</f>
        <v>0</v>
      </c>
      <c r="Y32" s="2">
        <f>Y10/'Output-Calculation-sheet'!Y9*'Output-Calculation-sheet'!Y18</f>
        <v>0</v>
      </c>
      <c r="AA32" s="2">
        <f t="shared" si="1"/>
        <v>0</v>
      </c>
    </row>
    <row r="33" spans="1:27" x14ac:dyDescent="0.25">
      <c r="A33" s="2">
        <v>2034</v>
      </c>
      <c r="B33" s="2">
        <f>B11/'Output-Calculation-sheet'!B10*'Output-Calculation-sheet'!B19</f>
        <v>0</v>
      </c>
      <c r="C33" s="2">
        <f>C11/'Output-Calculation-sheet'!C10*'Output-Calculation-sheet'!C19</f>
        <v>0</v>
      </c>
      <c r="D33" s="2">
        <f>D11/'Output-Calculation-sheet'!D10*'Output-Calculation-sheet'!D19</f>
        <v>0</v>
      </c>
      <c r="E33" s="2">
        <f>E11/'Output-Calculation-sheet'!E10*'Output-Calculation-sheet'!E19</f>
        <v>0</v>
      </c>
      <c r="F33" s="2">
        <f>F11/'Output-Calculation-sheet'!F10*'Output-Calculation-sheet'!F19</f>
        <v>0</v>
      </c>
      <c r="G33" s="2">
        <f>G11/'Output-Calculation-sheet'!G10*'Output-Calculation-sheet'!G19</f>
        <v>0</v>
      </c>
      <c r="H33" s="2">
        <f>H11/'Output-Calculation-sheet'!H10*'Output-Calculation-sheet'!H19</f>
        <v>0</v>
      </c>
      <c r="I33" s="2">
        <f>I11/'Output-Calculation-sheet'!I10*'Output-Calculation-sheet'!I19</f>
        <v>0</v>
      </c>
      <c r="J33" s="2">
        <f>J11/'Output-Calculation-sheet'!J10*'Output-Calculation-sheet'!J19</f>
        <v>0</v>
      </c>
      <c r="K33" s="2">
        <f>K11/'Output-Calculation-sheet'!K10*'Output-Calculation-sheet'!K19</f>
        <v>0</v>
      </c>
      <c r="L33" s="2">
        <f>L11/'Output-Calculation-sheet'!L10*'Output-Calculation-sheet'!L19</f>
        <v>0</v>
      </c>
      <c r="M33" s="2">
        <f>M11/'Output-Calculation-sheet'!M10*'Output-Calculation-sheet'!M19</f>
        <v>0</v>
      </c>
      <c r="N33" s="2">
        <f>N11/'Output-Calculation-sheet'!N10*'Output-Calculation-sheet'!N19</f>
        <v>0</v>
      </c>
      <c r="O33" s="2">
        <f>O11/'Output-Calculation-sheet'!O10*'Output-Calculation-sheet'!O19</f>
        <v>0</v>
      </c>
      <c r="P33" s="2">
        <f>P11/'Output-Calculation-sheet'!P10*'Output-Calculation-sheet'!P19</f>
        <v>0</v>
      </c>
      <c r="Q33" s="2">
        <f>Q11/'Output-Calculation-sheet'!Q10*'Output-Calculation-sheet'!Q19</f>
        <v>0</v>
      </c>
      <c r="R33" s="2">
        <f>R11/'Output-Calculation-sheet'!R10*'Output-Calculation-sheet'!R19</f>
        <v>0</v>
      </c>
      <c r="S33" s="2">
        <f>S11/'Output-Calculation-sheet'!S10*'Output-Calculation-sheet'!S19</f>
        <v>0</v>
      </c>
      <c r="T33" s="2">
        <f>T11/'Output-Calculation-sheet'!T10*'Output-Calculation-sheet'!T19</f>
        <v>0</v>
      </c>
      <c r="U33" s="2">
        <f>U11/'Output-Calculation-sheet'!U10*'Output-Calculation-sheet'!U19</f>
        <v>0</v>
      </c>
      <c r="V33" s="2">
        <f>V11/'Output-Calculation-sheet'!V10*'Output-Calculation-sheet'!V19</f>
        <v>0</v>
      </c>
      <c r="W33" s="2">
        <f>W11/'Output-Calculation-sheet'!W10*'Output-Calculation-sheet'!W19</f>
        <v>0</v>
      </c>
      <c r="X33" s="2">
        <f>X11/'Output-Calculation-sheet'!X10*'Output-Calculation-sheet'!X19</f>
        <v>0</v>
      </c>
      <c r="Y33" s="2">
        <f>Y11/'Output-Calculation-sheet'!Y10*'Output-Calculation-sheet'!Y19</f>
        <v>0</v>
      </c>
      <c r="AA33" s="2">
        <f t="shared" si="1"/>
        <v>0</v>
      </c>
    </row>
    <row r="34" spans="1:27" x14ac:dyDescent="0.25">
      <c r="A34" s="2">
        <v>2035</v>
      </c>
      <c r="B34" s="2">
        <f>B12/'Output-Calculation-sheet'!B11*'Output-Calculation-sheet'!B20</f>
        <v>0</v>
      </c>
      <c r="C34" s="2">
        <f>C12/'Output-Calculation-sheet'!C11*'Output-Calculation-sheet'!C20</f>
        <v>0</v>
      </c>
      <c r="D34" s="2">
        <f>D12/'Output-Calculation-sheet'!D11*'Output-Calculation-sheet'!D20</f>
        <v>0</v>
      </c>
      <c r="E34" s="2">
        <f>E12/'Output-Calculation-sheet'!E11*'Output-Calculation-sheet'!E20</f>
        <v>0</v>
      </c>
      <c r="F34" s="2">
        <f>F12/'Output-Calculation-sheet'!F11*'Output-Calculation-sheet'!F20</f>
        <v>0</v>
      </c>
      <c r="G34" s="2">
        <f>G12/'Output-Calculation-sheet'!G11*'Output-Calculation-sheet'!G20</f>
        <v>0</v>
      </c>
      <c r="H34" s="2">
        <f>H12/'Output-Calculation-sheet'!H11*'Output-Calculation-sheet'!H20</f>
        <v>0</v>
      </c>
      <c r="I34" s="2">
        <f>I12/'Output-Calculation-sheet'!I11*'Output-Calculation-sheet'!I20</f>
        <v>0</v>
      </c>
      <c r="J34" s="2">
        <f>J12/'Output-Calculation-sheet'!J11*'Output-Calculation-sheet'!J20</f>
        <v>0</v>
      </c>
      <c r="K34" s="2">
        <f>K12/'Output-Calculation-sheet'!K11*'Output-Calculation-sheet'!K20</f>
        <v>0</v>
      </c>
      <c r="L34" s="2">
        <f>L12/'Output-Calculation-sheet'!L11*'Output-Calculation-sheet'!L20</f>
        <v>0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0</v>
      </c>
      <c r="Q34" s="2">
        <f>Q12/'Output-Calculation-sheet'!Q11*'Output-Calculation-sheet'!Q20</f>
        <v>0</v>
      </c>
      <c r="R34" s="2">
        <f>R12/'Output-Calculation-sheet'!R11*'Output-Calculation-sheet'!R20</f>
        <v>0</v>
      </c>
      <c r="S34" s="2">
        <f>S12/'Output-Calculation-sheet'!S11*'Output-Calculation-sheet'!S20</f>
        <v>0</v>
      </c>
      <c r="T34" s="2">
        <f>T12/'Output-Calculation-sheet'!T11*'Output-Calculation-sheet'!T20</f>
        <v>0</v>
      </c>
      <c r="U34" s="2">
        <f>U12/'Output-Calculation-sheet'!U11*'Output-Calculation-sheet'!U20</f>
        <v>0</v>
      </c>
      <c r="V34" s="2">
        <f>V12/'Output-Calculation-sheet'!V11*'Output-Calculation-sheet'!V20</f>
        <v>0</v>
      </c>
      <c r="W34" s="2">
        <f>W12/'Output-Calculation-sheet'!W11*'Output-Calculation-sheet'!W20</f>
        <v>0</v>
      </c>
      <c r="X34" s="2">
        <f>X12/'Output-Calculation-sheet'!X11*'Output-Calculation-sheet'!X20</f>
        <v>0</v>
      </c>
      <c r="Y34" s="2">
        <f>Y12/'Output-Calculation-sheet'!Y11*'Output-Calculation-sheet'!Y20</f>
        <v>0</v>
      </c>
      <c r="AA34" s="2">
        <f t="shared" si="1"/>
        <v>0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(B6-B5)*'Output-Calculation-sheet'!B50/10^9+B60</f>
        <v>0</v>
      </c>
      <c r="C61" s="2">
        <f>(C6-C5)*'Output-Calculation-sheet'!C50/10^9+C60</f>
        <v>0</v>
      </c>
      <c r="D61" s="2">
        <f>(D6-D5)*'Output-Calculation-sheet'!D50/10^9+D60</f>
        <v>0</v>
      </c>
      <c r="E61" s="2">
        <f>(E6-E5)*'Output-Calculation-sheet'!E50/10^9+E60</f>
        <v>0</v>
      </c>
      <c r="F61" s="2">
        <f>(F6-F5)*'Output-Calculation-sheet'!F50/10^9+F60</f>
        <v>0</v>
      </c>
      <c r="G61" s="2">
        <f>(G6-G5)*'Output-Calculation-sheet'!G50/10^9+G60</f>
        <v>0</v>
      </c>
      <c r="H61" s="2">
        <f>(H6-H5)*'Output-Calculation-sheet'!H50/10^9+H60</f>
        <v>0</v>
      </c>
      <c r="I61" s="2">
        <f>(I6-I5)*'Output-Calculation-sheet'!I50/10^9+I60</f>
        <v>0</v>
      </c>
      <c r="J61" s="2">
        <f>(J6-J5)*'Output-Calculation-sheet'!J50/10^9+J60</f>
        <v>0</v>
      </c>
      <c r="K61" s="2">
        <f>(K6-K5)*'Output-Calculation-sheet'!K50/10^9+K60</f>
        <v>0</v>
      </c>
      <c r="L61" s="2">
        <f>(L6-L5)*'Output-Calculation-sheet'!L50/10^9+L60</f>
        <v>0</v>
      </c>
      <c r="M61" s="2">
        <f>(M6-M5)*'Output-Calculation-sheet'!M50/10^9+M60</f>
        <v>0</v>
      </c>
      <c r="N61" s="2">
        <f>(N6-N5)*'Output-Calculation-sheet'!N50/10^9+N60</f>
        <v>0</v>
      </c>
      <c r="O61" s="2">
        <f>(O6-O5)*'Output-Calculation-sheet'!O50/10^9+O60</f>
        <v>0</v>
      </c>
      <c r="P61" s="2">
        <f>(P6-P5)*'Output-Calculation-sheet'!P50/10^9+P60</f>
        <v>0</v>
      </c>
      <c r="Q61" s="2">
        <f>(Q6-Q5)*'Output-Calculation-sheet'!Q50/10^9+Q60</f>
        <v>0</v>
      </c>
      <c r="R61" s="2">
        <f>(R6-R5)*'Output-Calculation-sheet'!R50/10^9+R60</f>
        <v>0</v>
      </c>
      <c r="S61" s="2">
        <f>(S6-S5)*'Output-Calculation-sheet'!S50/10^9+S60</f>
        <v>0</v>
      </c>
      <c r="T61" s="2">
        <f>(T6-T5)*'Output-Calculation-sheet'!T50/10^9+T60</f>
        <v>0</v>
      </c>
      <c r="U61" s="2">
        <f>(U6-U5)*'Output-Calculation-sheet'!U50/10^9+U60</f>
        <v>0</v>
      </c>
      <c r="V61" s="2">
        <f>(V6-V5)*'Output-Calculation-sheet'!V50/10^9+V60</f>
        <v>0</v>
      </c>
      <c r="W61" s="2">
        <f>(W6-W5)*'Output-Calculation-sheet'!W50/10^9+W60</f>
        <v>0</v>
      </c>
      <c r="X61" s="2">
        <f>(X6-X5)*'Output-Calculation-sheet'!X50/10^9+X60</f>
        <v>0</v>
      </c>
      <c r="Y61" s="2">
        <f>(Y6-Y5)*'Output-Calculation-sheet'!Y50/10^9+Y60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(B7-B6)*'Output-Calculation-sheet'!B51/10^9+B61</f>
        <v>0</v>
      </c>
      <c r="C62" s="2">
        <f>(C7-C6)*'Output-Calculation-sheet'!C51/10^9+C61</f>
        <v>0</v>
      </c>
      <c r="D62" s="2">
        <f>(D7-D6)*'Output-Calculation-sheet'!D51/10^9+D61</f>
        <v>0</v>
      </c>
      <c r="E62" s="2">
        <f>(E7-E6)*'Output-Calculation-sheet'!E51/10^9+E61</f>
        <v>0</v>
      </c>
      <c r="F62" s="2">
        <f>(F7-F6)*'Output-Calculation-sheet'!F51/10^9+F61</f>
        <v>0</v>
      </c>
      <c r="G62" s="2">
        <f>(G7-G6)*'Output-Calculation-sheet'!G51/10^9+G61</f>
        <v>0</v>
      </c>
      <c r="H62" s="2">
        <f>(H7-H6)*'Output-Calculation-sheet'!H51/10^9+H61</f>
        <v>0</v>
      </c>
      <c r="I62" s="2">
        <f>(I7-I6)*'Output-Calculation-sheet'!I51/10^9+I61</f>
        <v>0</v>
      </c>
      <c r="J62" s="2">
        <f>(J7-J6)*'Output-Calculation-sheet'!J51/10^9+J61</f>
        <v>0</v>
      </c>
      <c r="K62" s="2">
        <f>(K7-K6)*'Output-Calculation-sheet'!K51/10^9+K61</f>
        <v>0</v>
      </c>
      <c r="L62" s="2">
        <f>(L7-L6)*'Output-Calculation-sheet'!L51/10^9+L61</f>
        <v>0</v>
      </c>
      <c r="M62" s="2">
        <f>(M7-M6)*'Output-Calculation-sheet'!M51/10^9+M61</f>
        <v>0</v>
      </c>
      <c r="N62" s="2">
        <f>(N7-N6)*'Output-Calculation-sheet'!N51/10^9+N61</f>
        <v>0</v>
      </c>
      <c r="O62" s="2">
        <f>(O7-O6)*'Output-Calculation-sheet'!O51/10^9+O61</f>
        <v>0</v>
      </c>
      <c r="P62" s="2">
        <f>(P7-P6)*'Output-Calculation-sheet'!P51/10^9+P61</f>
        <v>0</v>
      </c>
      <c r="Q62" s="2">
        <f>(Q7-Q6)*'Output-Calculation-sheet'!Q51/10^9+Q61</f>
        <v>0</v>
      </c>
      <c r="R62" s="2">
        <f>(R7-R6)*'Output-Calculation-sheet'!R51/10^9+R61</f>
        <v>0</v>
      </c>
      <c r="S62" s="2">
        <f>(S7-S6)*'Output-Calculation-sheet'!S51/10^9+S61</f>
        <v>0</v>
      </c>
      <c r="T62" s="2">
        <f>(T7-T6)*'Output-Calculation-sheet'!T51/10^9+T61</f>
        <v>0</v>
      </c>
      <c r="U62" s="2">
        <f>(U7-U6)*'Output-Calculation-sheet'!U51/10^9+U61</f>
        <v>0</v>
      </c>
      <c r="V62" s="2">
        <f>(V7-V6)*'Output-Calculation-sheet'!V51/10^9+V61</f>
        <v>0</v>
      </c>
      <c r="W62" s="2">
        <f>(W7-W6)*'Output-Calculation-sheet'!W51/10^9+W61</f>
        <v>0</v>
      </c>
      <c r="X62" s="2">
        <f>(X7-X6)*'Output-Calculation-sheet'!X51/10^9+X61</f>
        <v>0</v>
      </c>
      <c r="Y62" s="2">
        <f>(Y7-Y6)*'Output-Calculation-sheet'!Y51/10^9+Y61</f>
        <v>0</v>
      </c>
      <c r="AA62" s="2">
        <f t="shared" si="4"/>
        <v>0</v>
      </c>
    </row>
    <row r="63" spans="1:27" x14ac:dyDescent="0.25">
      <c r="A63" s="2">
        <v>2031</v>
      </c>
      <c r="B63" s="2">
        <f>(B8-B7)*'Output-Calculation-sheet'!B52/10^9+B62</f>
        <v>0</v>
      </c>
      <c r="C63" s="2">
        <f>(C8-C7)*'Output-Calculation-sheet'!C52/10^9+C62</f>
        <v>0</v>
      </c>
      <c r="D63" s="2">
        <f>(D8-D7)*'Output-Calculation-sheet'!D52/10^9+D62</f>
        <v>0</v>
      </c>
      <c r="E63" s="2">
        <f>(E8-E7)*'Output-Calculation-sheet'!E52/10^9+E62</f>
        <v>0</v>
      </c>
      <c r="F63" s="2">
        <f>(F8-F7)*'Output-Calculation-sheet'!F52/10^9+F62</f>
        <v>0</v>
      </c>
      <c r="G63" s="2">
        <f>(G8-G7)*'Output-Calculation-sheet'!G52/10^9+G62</f>
        <v>0</v>
      </c>
      <c r="H63" s="2">
        <f>(H8-H7)*'Output-Calculation-sheet'!H52/10^9+H62</f>
        <v>0</v>
      </c>
      <c r="I63" s="2">
        <f>(I8-I7)*'Output-Calculation-sheet'!I52/10^9+I62</f>
        <v>0</v>
      </c>
      <c r="J63" s="2">
        <f>(J8-J7)*'Output-Calculation-sheet'!J52/10^9+J62</f>
        <v>0</v>
      </c>
      <c r="K63" s="2">
        <f>(K8-K7)*'Output-Calculation-sheet'!K52/10^9+K62</f>
        <v>0</v>
      </c>
      <c r="L63" s="2">
        <f>(L8-L7)*'Output-Calculation-sheet'!L52/10^9+L62</f>
        <v>0</v>
      </c>
      <c r="M63" s="2">
        <f>(M8-M7)*'Output-Calculation-sheet'!M52/10^9+M62</f>
        <v>0</v>
      </c>
      <c r="N63" s="2">
        <f>(N8-N7)*'Output-Calculation-sheet'!N52/10^9+N62</f>
        <v>0</v>
      </c>
      <c r="O63" s="2">
        <f>(O8-O7)*'Output-Calculation-sheet'!O52/10^9+O62</f>
        <v>0</v>
      </c>
      <c r="P63" s="2">
        <f>(P8-P7)*'Output-Calculation-sheet'!P52/10^9+P62</f>
        <v>0</v>
      </c>
      <c r="Q63" s="2">
        <f>(Q8-Q7)*'Output-Calculation-sheet'!Q52/10^9+Q62</f>
        <v>0</v>
      </c>
      <c r="R63" s="2">
        <f>(R8-R7)*'Output-Calculation-sheet'!R52/10^9+R62</f>
        <v>0</v>
      </c>
      <c r="S63" s="2">
        <f>(S8-S7)*'Output-Calculation-sheet'!S52/10^9+S62</f>
        <v>0</v>
      </c>
      <c r="T63" s="2">
        <f>(T8-T7)*'Output-Calculation-sheet'!T52/10^9+T62</f>
        <v>0</v>
      </c>
      <c r="U63" s="2">
        <f>(U8-U7)*'Output-Calculation-sheet'!U52/10^9+U62</f>
        <v>0</v>
      </c>
      <c r="V63" s="2">
        <f>(V8-V7)*'Output-Calculation-sheet'!V52/10^9+V62</f>
        <v>0</v>
      </c>
      <c r="W63" s="2">
        <f>(W8-W7)*'Output-Calculation-sheet'!W52/10^9+W62</f>
        <v>0</v>
      </c>
      <c r="X63" s="2">
        <f>(X8-X7)*'Output-Calculation-sheet'!X52/10^9+X62</f>
        <v>0</v>
      </c>
      <c r="Y63" s="2">
        <f>(Y8-Y7)*'Output-Calculation-sheet'!Y52/10^9+Y62</f>
        <v>0</v>
      </c>
      <c r="AA63" s="2">
        <f t="shared" si="4"/>
        <v>0</v>
      </c>
    </row>
    <row r="64" spans="1:27" x14ac:dyDescent="0.25">
      <c r="A64" s="2">
        <v>2032</v>
      </c>
      <c r="B64" s="2">
        <f>(B9-B8)*'Output-Calculation-sheet'!B53/10^9+B63</f>
        <v>0</v>
      </c>
      <c r="C64" s="2">
        <f>(C9-C8)*'Output-Calculation-sheet'!C53/10^9+C63</f>
        <v>0</v>
      </c>
      <c r="D64" s="2">
        <f>(D9-D8)*'Output-Calculation-sheet'!D53/10^9+D63</f>
        <v>0</v>
      </c>
      <c r="E64" s="2">
        <f>(E9-E8)*'Output-Calculation-sheet'!E53/10^9+E63</f>
        <v>0</v>
      </c>
      <c r="F64" s="2">
        <f>(F9-F8)*'Output-Calculation-sheet'!F53/10^9+F63</f>
        <v>0</v>
      </c>
      <c r="G64" s="2">
        <f>(G9-G8)*'Output-Calculation-sheet'!G53/10^9+G63</f>
        <v>0</v>
      </c>
      <c r="H64" s="2">
        <f>(H9-H8)*'Output-Calculation-sheet'!H53/10^9+H63</f>
        <v>0</v>
      </c>
      <c r="I64" s="2">
        <f>(I9-I8)*'Output-Calculation-sheet'!I53/10^9+I63</f>
        <v>0</v>
      </c>
      <c r="J64" s="2">
        <f>(J9-J8)*'Output-Calculation-sheet'!J53/10^9+J63</f>
        <v>0</v>
      </c>
      <c r="K64" s="2">
        <f>(K9-K8)*'Output-Calculation-sheet'!K53/10^9+K63</f>
        <v>0</v>
      </c>
      <c r="L64" s="2">
        <f>(L9-L8)*'Output-Calculation-sheet'!L53/10^9+L63</f>
        <v>0</v>
      </c>
      <c r="M64" s="2">
        <f>(M9-M8)*'Output-Calculation-sheet'!M53/10^9+M63</f>
        <v>0</v>
      </c>
      <c r="N64" s="2">
        <f>(N9-N8)*'Output-Calculation-sheet'!N53/10^9+N63</f>
        <v>0</v>
      </c>
      <c r="O64" s="2">
        <f>(O9-O8)*'Output-Calculation-sheet'!O53/10^9+O63</f>
        <v>0</v>
      </c>
      <c r="P64" s="2">
        <f>(P9-P8)*'Output-Calculation-sheet'!P53/10^9+P63</f>
        <v>0</v>
      </c>
      <c r="Q64" s="2">
        <f>(Q9-Q8)*'Output-Calculation-sheet'!Q53/10^9+Q63</f>
        <v>0</v>
      </c>
      <c r="R64" s="2">
        <f>(R9-R8)*'Output-Calculation-sheet'!R53/10^9+R63</f>
        <v>0</v>
      </c>
      <c r="S64" s="2">
        <f>(S9-S8)*'Output-Calculation-sheet'!S53/10^9+S63</f>
        <v>0</v>
      </c>
      <c r="T64" s="2">
        <f>(T9-T8)*'Output-Calculation-sheet'!T53/10^9+T63</f>
        <v>0</v>
      </c>
      <c r="U64" s="2">
        <f>(U9-U8)*'Output-Calculation-sheet'!U53/10^9+U63</f>
        <v>0</v>
      </c>
      <c r="V64" s="2">
        <f>(V9-V8)*'Output-Calculation-sheet'!V53/10^9+V63</f>
        <v>0</v>
      </c>
      <c r="W64" s="2">
        <f>(W9-W8)*'Output-Calculation-sheet'!W53/10^9+W63</f>
        <v>0</v>
      </c>
      <c r="X64" s="2">
        <f>(X9-X8)*'Output-Calculation-sheet'!X53/10^9+X63</f>
        <v>0</v>
      </c>
      <c r="Y64" s="2">
        <f>(Y9-Y8)*'Output-Calculation-sheet'!Y53/10^9+Y63</f>
        <v>0</v>
      </c>
      <c r="AA64" s="2">
        <f t="shared" si="4"/>
        <v>0</v>
      </c>
    </row>
    <row r="65" spans="1:27" x14ac:dyDescent="0.25">
      <c r="A65" s="2">
        <v>2033</v>
      </c>
      <c r="B65" s="2">
        <f>(B10-B9)*'Output-Calculation-sheet'!B54/10^9+B64</f>
        <v>0</v>
      </c>
      <c r="C65" s="2">
        <f>(C10-C9)*'Output-Calculation-sheet'!C54/10^9+C64</f>
        <v>0</v>
      </c>
      <c r="D65" s="2">
        <f>(D10-D9)*'Output-Calculation-sheet'!D54/10^9+D64</f>
        <v>0</v>
      </c>
      <c r="E65" s="2">
        <f>(E10-E9)*'Output-Calculation-sheet'!E54/10^9+E64</f>
        <v>0</v>
      </c>
      <c r="F65" s="2">
        <f>(F10-F9)*'Output-Calculation-sheet'!F54/10^9+F64</f>
        <v>0</v>
      </c>
      <c r="G65" s="2">
        <f>(G10-G9)*'Output-Calculation-sheet'!G54/10^9+G64</f>
        <v>0</v>
      </c>
      <c r="H65" s="2">
        <f>(H10-H9)*'Output-Calculation-sheet'!H54/10^9+H64</f>
        <v>0</v>
      </c>
      <c r="I65" s="2">
        <f>(I10-I9)*'Output-Calculation-sheet'!I54/10^9+I64</f>
        <v>0</v>
      </c>
      <c r="J65" s="2">
        <f>(J10-J9)*'Output-Calculation-sheet'!J54/10^9+J64</f>
        <v>0</v>
      </c>
      <c r="K65" s="2">
        <f>(K10-K9)*'Output-Calculation-sheet'!K54/10^9+K64</f>
        <v>0</v>
      </c>
      <c r="L65" s="2">
        <f>(L10-L9)*'Output-Calculation-sheet'!L54/10^9+L64</f>
        <v>0</v>
      </c>
      <c r="M65" s="2">
        <f>(M10-M9)*'Output-Calculation-sheet'!M54/10^9+M64</f>
        <v>0</v>
      </c>
      <c r="N65" s="2">
        <f>(N10-N9)*'Output-Calculation-sheet'!N54/10^9+N64</f>
        <v>0</v>
      </c>
      <c r="O65" s="2">
        <f>(O10-O9)*'Output-Calculation-sheet'!O54/10^9+O64</f>
        <v>0</v>
      </c>
      <c r="P65" s="2">
        <f>(P10-P9)*'Output-Calculation-sheet'!P54/10^9+P64</f>
        <v>0</v>
      </c>
      <c r="Q65" s="2">
        <f>(Q10-Q9)*'Output-Calculation-sheet'!Q54/10^9+Q64</f>
        <v>0</v>
      </c>
      <c r="R65" s="2">
        <f>(R10-R9)*'Output-Calculation-sheet'!R54/10^9+R64</f>
        <v>0</v>
      </c>
      <c r="S65" s="2">
        <f>(S10-S9)*'Output-Calculation-sheet'!S54/10^9+S64</f>
        <v>0</v>
      </c>
      <c r="T65" s="2">
        <f>(T10-T9)*'Output-Calculation-sheet'!T54/10^9+T64</f>
        <v>0</v>
      </c>
      <c r="U65" s="2">
        <f>(U10-U9)*'Output-Calculation-sheet'!U54/10^9+U64</f>
        <v>0</v>
      </c>
      <c r="V65" s="2">
        <f>(V10-V9)*'Output-Calculation-sheet'!V54/10^9+V64</f>
        <v>0</v>
      </c>
      <c r="W65" s="2">
        <f>(W10-W9)*'Output-Calculation-sheet'!W54/10^9+W64</f>
        <v>0</v>
      </c>
      <c r="X65" s="2">
        <f>(X10-X9)*'Output-Calculation-sheet'!X54/10^9+X64</f>
        <v>0</v>
      </c>
      <c r="Y65" s="2">
        <f>(Y10-Y9)*'Output-Calculation-sheet'!Y54/10^9+Y64</f>
        <v>0</v>
      </c>
      <c r="AA65" s="2">
        <f t="shared" si="4"/>
        <v>0</v>
      </c>
    </row>
    <row r="66" spans="1:27" x14ac:dyDescent="0.25">
      <c r="A66" s="2">
        <v>2034</v>
      </c>
      <c r="B66" s="2">
        <f>(B11-B10)*'Output-Calculation-sheet'!B55/10^9+B65</f>
        <v>0</v>
      </c>
      <c r="C66" s="2">
        <f>(C11-C10)*'Output-Calculation-sheet'!C55/10^9+C65</f>
        <v>0</v>
      </c>
      <c r="D66" s="2">
        <f>(D11-D10)*'Output-Calculation-sheet'!D55/10^9+D65</f>
        <v>0</v>
      </c>
      <c r="E66" s="2">
        <f>(E11-E10)*'Output-Calculation-sheet'!E55/10^9+E65</f>
        <v>0</v>
      </c>
      <c r="F66" s="2">
        <f>(F11-F10)*'Output-Calculation-sheet'!F55/10^9+F65</f>
        <v>0</v>
      </c>
      <c r="G66" s="2">
        <f>(G11-G10)*'Output-Calculation-sheet'!G55/10^9+G65</f>
        <v>0</v>
      </c>
      <c r="H66" s="2">
        <f>(H11-H10)*'Output-Calculation-sheet'!H55/10^9+H65</f>
        <v>0</v>
      </c>
      <c r="I66" s="2">
        <f>(I11-I10)*'Output-Calculation-sheet'!I55/10^9+I65</f>
        <v>0</v>
      </c>
      <c r="J66" s="2">
        <f>(J11-J10)*'Output-Calculation-sheet'!J55/10^9+J65</f>
        <v>0</v>
      </c>
      <c r="K66" s="2">
        <f>(K11-K10)*'Output-Calculation-sheet'!K55/10^9+K65</f>
        <v>0</v>
      </c>
      <c r="L66" s="2">
        <f>(L11-L10)*'Output-Calculation-sheet'!L55/10^9+L65</f>
        <v>0</v>
      </c>
      <c r="M66" s="2">
        <f>(M11-M10)*'Output-Calculation-sheet'!M55/10^9+M65</f>
        <v>0</v>
      </c>
      <c r="N66" s="2">
        <f>(N11-N10)*'Output-Calculation-sheet'!N55/10^9+N65</f>
        <v>0</v>
      </c>
      <c r="O66" s="2">
        <f>(O11-O10)*'Output-Calculation-sheet'!O55/10^9+O65</f>
        <v>0</v>
      </c>
      <c r="P66" s="2">
        <f>(P11-P10)*'Output-Calculation-sheet'!P55/10^9+P65</f>
        <v>0</v>
      </c>
      <c r="Q66" s="2">
        <f>(Q11-Q10)*'Output-Calculation-sheet'!Q55/10^9+Q65</f>
        <v>0</v>
      </c>
      <c r="R66" s="2">
        <f>(R11-R10)*'Output-Calculation-sheet'!R55/10^9+R65</f>
        <v>0</v>
      </c>
      <c r="S66" s="2">
        <f>(S11-S10)*'Output-Calculation-sheet'!S55/10^9+S65</f>
        <v>0</v>
      </c>
      <c r="T66" s="2">
        <f>(T11-T10)*'Output-Calculation-sheet'!T55/10^9+T65</f>
        <v>0</v>
      </c>
      <c r="U66" s="2">
        <f>(U11-U10)*'Output-Calculation-sheet'!U55/10^9+U65</f>
        <v>0</v>
      </c>
      <c r="V66" s="2">
        <f>(V11-V10)*'Output-Calculation-sheet'!V55/10^9+V65</f>
        <v>0</v>
      </c>
      <c r="W66" s="2">
        <f>(W11-W10)*'Output-Calculation-sheet'!W55/10^9+W65</f>
        <v>0</v>
      </c>
      <c r="X66" s="2">
        <f>(X11-X10)*'Output-Calculation-sheet'!X55/10^9+X65</f>
        <v>0</v>
      </c>
      <c r="Y66" s="2">
        <f>(Y11-Y10)*'Output-Calculation-sheet'!Y55/10^9+Y65</f>
        <v>0</v>
      </c>
      <c r="AA66" s="2">
        <f t="shared" si="4"/>
        <v>0</v>
      </c>
    </row>
    <row r="67" spans="1:27" x14ac:dyDescent="0.25">
      <c r="A67" s="2">
        <v>2035</v>
      </c>
      <c r="B67" s="2">
        <f>(B12-B11)*'Output-Calculation-sheet'!B56/10^9+B66</f>
        <v>0</v>
      </c>
      <c r="C67" s="2">
        <f>(C12-C11)*'Output-Calculation-sheet'!C56/10^9+C66</f>
        <v>0</v>
      </c>
      <c r="D67" s="2">
        <f>(D12-D11)*'Output-Calculation-sheet'!D56/10^9+D66</f>
        <v>0</v>
      </c>
      <c r="E67" s="2">
        <f>(E12-E11)*'Output-Calculation-sheet'!E56/10^9+E66</f>
        <v>0</v>
      </c>
      <c r="F67" s="2">
        <f>(F12-F11)*'Output-Calculation-sheet'!F56/10^9+F66</f>
        <v>0</v>
      </c>
      <c r="G67" s="2">
        <f>(G12-G11)*'Output-Calculation-sheet'!G56/10^9+G66</f>
        <v>0</v>
      </c>
      <c r="H67" s="2">
        <f>(H12-H11)*'Output-Calculation-sheet'!H56/10^9+H66</f>
        <v>0</v>
      </c>
      <c r="I67" s="2">
        <f>(I12-I11)*'Output-Calculation-sheet'!I56/10^9+I66</f>
        <v>0</v>
      </c>
      <c r="J67" s="2">
        <f>(J12-J11)*'Output-Calculation-sheet'!J56/10^9+J66</f>
        <v>0</v>
      </c>
      <c r="K67" s="2">
        <f>(K12-K11)*'Output-Calculation-sheet'!K56/10^9+K66</f>
        <v>0</v>
      </c>
      <c r="L67" s="2">
        <f>(L12-L11)*'Output-Calculation-sheet'!L56/10^9+L66</f>
        <v>0</v>
      </c>
      <c r="M67" s="2">
        <f>(M12-M11)*'Output-Calculation-sheet'!M56/10^9+M66</f>
        <v>0</v>
      </c>
      <c r="N67" s="2">
        <f>(N12-N11)*'Output-Calculation-sheet'!N56/10^9+N66</f>
        <v>0</v>
      </c>
      <c r="O67" s="2">
        <f>(O12-O11)*'Output-Calculation-sheet'!O56/10^9+O66</f>
        <v>0</v>
      </c>
      <c r="P67" s="2">
        <f>(P12-P11)*'Output-Calculation-sheet'!P56/10^9+P66</f>
        <v>0</v>
      </c>
      <c r="Q67" s="2">
        <f>(Q12-Q11)*'Output-Calculation-sheet'!Q56/10^9+Q66</f>
        <v>0</v>
      </c>
      <c r="R67" s="2">
        <f>(R12-R11)*'Output-Calculation-sheet'!R56/10^9+R66</f>
        <v>0</v>
      </c>
      <c r="S67" s="2">
        <f>(S12-S11)*'Output-Calculation-sheet'!S56/10^9+S66</f>
        <v>0</v>
      </c>
      <c r="T67" s="2">
        <f>(T12-T11)*'Output-Calculation-sheet'!T56/10^9+T66</f>
        <v>0</v>
      </c>
      <c r="U67" s="2">
        <f>(U12-U11)*'Output-Calculation-sheet'!U56/10^9+U66</f>
        <v>0</v>
      </c>
      <c r="V67" s="2">
        <f>(V12-V11)*'Output-Calculation-sheet'!V56/10^9+V66</f>
        <v>0</v>
      </c>
      <c r="W67" s="2">
        <f>(W12-W11)*'Output-Calculation-sheet'!W56/10^9+W66</f>
        <v>0</v>
      </c>
      <c r="X67" s="2">
        <f>(X12-X11)*'Output-Calculation-sheet'!X56/10^9+X66</f>
        <v>0</v>
      </c>
      <c r="Y67" s="2">
        <f>(Y12-Y11)*'Output-Calculation-sheet'!Y56/10^9+Y66</f>
        <v>0</v>
      </c>
      <c r="AA67" s="2">
        <f t="shared" si="4"/>
        <v>0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5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5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5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5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5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5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5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6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6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6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6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6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6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6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0</v>
      </c>
      <c r="C93" s="2">
        <f>C5/'Output-Calculation-sheet'!C4*'Output-Calculation-sheet'!C76</f>
        <v>0</v>
      </c>
      <c r="D93" s="2">
        <f>D5/'Output-Calculation-sheet'!D4*'Output-Calculation-sheet'!D76</f>
        <v>0</v>
      </c>
      <c r="E93" s="2">
        <f>E5/'Output-Calculation-sheet'!E4*'Output-Calculation-sheet'!E76</f>
        <v>0</v>
      </c>
      <c r="F93" s="2">
        <f>F5/'Output-Calculation-sheet'!F4*'Output-Calculation-sheet'!F76</f>
        <v>0</v>
      </c>
      <c r="G93" s="2">
        <f>G5/'Output-Calculation-sheet'!G4*'Output-Calculation-sheet'!G76</f>
        <v>0</v>
      </c>
      <c r="H93" s="2">
        <f>H5/'Output-Calculation-sheet'!H4*'Output-Calculation-sheet'!H76</f>
        <v>0</v>
      </c>
      <c r="I93" s="2">
        <f>I5/'Output-Calculation-sheet'!I4*'Output-Calculation-sheet'!I76</f>
        <v>0</v>
      </c>
      <c r="J93" s="2">
        <f>J5/'Output-Calculation-sheet'!J4*'Output-Calculation-sheet'!J76</f>
        <v>0</v>
      </c>
      <c r="K93" s="2">
        <f>K5/'Output-Calculation-sheet'!K4*'Output-Calculation-sheet'!K76</f>
        <v>0</v>
      </c>
      <c r="L93" s="2">
        <f>L5/'Output-Calculation-sheet'!L4*'Output-Calculation-sheet'!L76</f>
        <v>0</v>
      </c>
      <c r="M93" s="2">
        <f>M5/'Output-Calculation-sheet'!M4*'Output-Calculation-sheet'!M76</f>
        <v>0</v>
      </c>
      <c r="N93" s="2">
        <f>N5/'Output-Calculation-sheet'!N4*'Output-Calculation-sheet'!N76</f>
        <v>0</v>
      </c>
      <c r="O93" s="2">
        <f>O5/'Output-Calculation-sheet'!O4*'Output-Calculation-sheet'!O76</f>
        <v>0</v>
      </c>
      <c r="P93" s="2">
        <f>P5/'Output-Calculation-sheet'!P4*'Output-Calculation-sheet'!P76</f>
        <v>0</v>
      </c>
      <c r="Q93" s="2">
        <f>Q5/'Output-Calculation-sheet'!Q4*'Output-Calculation-sheet'!Q76</f>
        <v>0</v>
      </c>
      <c r="R93" s="2">
        <f>R5/'Output-Calculation-sheet'!R4*'Output-Calculation-sheet'!R76</f>
        <v>0</v>
      </c>
      <c r="S93" s="2">
        <f>S5/'Output-Calculation-sheet'!S4*'Output-Calculation-sheet'!S76</f>
        <v>0</v>
      </c>
      <c r="T93" s="2">
        <f>T5/'Output-Calculation-sheet'!T4*'Output-Calculation-sheet'!T76</f>
        <v>0</v>
      </c>
      <c r="U93" s="2">
        <f>U5/'Output-Calculation-sheet'!U4*'Output-Calculation-sheet'!U76</f>
        <v>0</v>
      </c>
      <c r="V93" s="2">
        <f>V5/'Output-Calculation-sheet'!V4*'Output-Calculation-sheet'!V76</f>
        <v>0</v>
      </c>
      <c r="W93" s="2">
        <f>W5/'Output-Calculation-sheet'!W4*'Output-Calculation-sheet'!W76</f>
        <v>0</v>
      </c>
      <c r="X93" s="2">
        <f>X5/'Output-Calculation-sheet'!X4*'Output-Calculation-sheet'!X76</f>
        <v>0</v>
      </c>
      <c r="Y93" s="2">
        <f>Y5/'Output-Calculation-sheet'!Y4*'Output-Calculation-sheet'!Y76</f>
        <v>0</v>
      </c>
      <c r="AA93" s="2">
        <f>SUM(B93:Y93)/10^9</f>
        <v>0</v>
      </c>
    </row>
    <row r="94" spans="1:27" x14ac:dyDescent="0.25">
      <c r="A94" s="2">
        <v>2029</v>
      </c>
      <c r="B94" s="2">
        <f>B6/'Output-Calculation-sheet'!B5*'Output-Calculation-sheet'!B77</f>
        <v>0</v>
      </c>
      <c r="C94" s="2">
        <f>C6/'Output-Calculation-sheet'!C5*'Output-Calculation-sheet'!C77</f>
        <v>0</v>
      </c>
      <c r="D94" s="2">
        <f>D6/'Output-Calculation-sheet'!D5*'Output-Calculation-sheet'!D77</f>
        <v>0</v>
      </c>
      <c r="E94" s="2">
        <f>E6/'Output-Calculation-sheet'!E5*'Output-Calculation-sheet'!E77</f>
        <v>0</v>
      </c>
      <c r="F94" s="2">
        <f>F6/'Output-Calculation-sheet'!F5*'Output-Calculation-sheet'!F77</f>
        <v>0</v>
      </c>
      <c r="G94" s="2">
        <f>G6/'Output-Calculation-sheet'!G5*'Output-Calculation-sheet'!G77</f>
        <v>0</v>
      </c>
      <c r="H94" s="2">
        <f>H6/'Output-Calculation-sheet'!H5*'Output-Calculation-sheet'!H77</f>
        <v>0</v>
      </c>
      <c r="I94" s="2">
        <f>I6/'Output-Calculation-sheet'!I5*'Output-Calculation-sheet'!I77</f>
        <v>0</v>
      </c>
      <c r="J94" s="2">
        <f>J6/'Output-Calculation-sheet'!J5*'Output-Calculation-sheet'!J77</f>
        <v>0</v>
      </c>
      <c r="K94" s="2">
        <f>K6/'Output-Calculation-sheet'!K5*'Output-Calculation-sheet'!K77</f>
        <v>0</v>
      </c>
      <c r="L94" s="2">
        <f>L6/'Output-Calculation-sheet'!L5*'Output-Calculation-sheet'!L77</f>
        <v>0</v>
      </c>
      <c r="M94" s="2">
        <f>M6/'Output-Calculation-sheet'!M5*'Output-Calculation-sheet'!M77</f>
        <v>0</v>
      </c>
      <c r="N94" s="2">
        <f>N6/'Output-Calculation-sheet'!N5*'Output-Calculation-sheet'!N77</f>
        <v>0</v>
      </c>
      <c r="O94" s="2">
        <f>O6/'Output-Calculation-sheet'!O5*'Output-Calculation-sheet'!O77</f>
        <v>0</v>
      </c>
      <c r="P94" s="2">
        <f>P6/'Output-Calculation-sheet'!P5*'Output-Calculation-sheet'!P77</f>
        <v>0</v>
      </c>
      <c r="Q94" s="2">
        <f>Q6/'Output-Calculation-sheet'!Q5*'Output-Calculation-sheet'!Q77</f>
        <v>0</v>
      </c>
      <c r="R94" s="2">
        <f>R6/'Output-Calculation-sheet'!R5*'Output-Calculation-sheet'!R77</f>
        <v>0</v>
      </c>
      <c r="S94" s="2">
        <f>S6/'Output-Calculation-sheet'!S5*'Output-Calculation-sheet'!S77</f>
        <v>0</v>
      </c>
      <c r="T94" s="2">
        <f>T6/'Output-Calculation-sheet'!T5*'Output-Calculation-sheet'!T77</f>
        <v>0</v>
      </c>
      <c r="U94" s="2">
        <f>U6/'Output-Calculation-sheet'!U5*'Output-Calculation-sheet'!U77</f>
        <v>0</v>
      </c>
      <c r="V94" s="2">
        <f>V6/'Output-Calculation-sheet'!V5*'Output-Calculation-sheet'!V77</f>
        <v>0</v>
      </c>
      <c r="W94" s="2">
        <f>W6/'Output-Calculation-sheet'!W5*'Output-Calculation-sheet'!W77</f>
        <v>0</v>
      </c>
      <c r="X94" s="2">
        <f>X6/'Output-Calculation-sheet'!X5*'Output-Calculation-sheet'!X77</f>
        <v>0</v>
      </c>
      <c r="Y94" s="2">
        <f>Y6/'Output-Calculation-sheet'!Y5*'Output-Calculation-sheet'!Y77</f>
        <v>0</v>
      </c>
      <c r="AA94" s="2">
        <f t="shared" ref="AA94:AA100" si="7">SUM(B94:Y94)/10^9</f>
        <v>0</v>
      </c>
    </row>
    <row r="95" spans="1:27" x14ac:dyDescent="0.25">
      <c r="A95" s="2">
        <v>2030</v>
      </c>
      <c r="B95" s="2">
        <f>B7/'Output-Calculation-sheet'!B6*'Output-Calculation-sheet'!B78</f>
        <v>0</v>
      </c>
      <c r="C95" s="2">
        <f>C7/'Output-Calculation-sheet'!C6*'Output-Calculation-sheet'!C78</f>
        <v>0</v>
      </c>
      <c r="D95" s="2">
        <f>D7/'Output-Calculation-sheet'!D6*'Output-Calculation-sheet'!D78</f>
        <v>0</v>
      </c>
      <c r="E95" s="2">
        <f>E7/'Output-Calculation-sheet'!E6*'Output-Calculation-sheet'!E78</f>
        <v>0</v>
      </c>
      <c r="F95" s="2">
        <f>F7/'Output-Calculation-sheet'!F6*'Output-Calculation-sheet'!F78</f>
        <v>0</v>
      </c>
      <c r="G95" s="2">
        <f>G7/'Output-Calculation-sheet'!G6*'Output-Calculation-sheet'!G78</f>
        <v>0</v>
      </c>
      <c r="H95" s="2">
        <f>H7/'Output-Calculation-sheet'!H6*'Output-Calculation-sheet'!H78</f>
        <v>0</v>
      </c>
      <c r="I95" s="2">
        <f>I7/'Output-Calculation-sheet'!I6*'Output-Calculation-sheet'!I78</f>
        <v>0</v>
      </c>
      <c r="J95" s="2">
        <f>J7/'Output-Calculation-sheet'!J6*'Output-Calculation-sheet'!J78</f>
        <v>0</v>
      </c>
      <c r="K95" s="2">
        <f>K7/'Output-Calculation-sheet'!K6*'Output-Calculation-sheet'!K78</f>
        <v>0</v>
      </c>
      <c r="L95" s="2">
        <f>L7/'Output-Calculation-sheet'!L6*'Output-Calculation-sheet'!L78</f>
        <v>0</v>
      </c>
      <c r="M95" s="2">
        <f>M7/'Output-Calculation-sheet'!M6*'Output-Calculation-sheet'!M78</f>
        <v>0</v>
      </c>
      <c r="N95" s="2">
        <f>N7/'Output-Calculation-sheet'!N6*'Output-Calculation-sheet'!N78</f>
        <v>0</v>
      </c>
      <c r="O95" s="2">
        <f>O7/'Output-Calculation-sheet'!O6*'Output-Calculation-sheet'!O78</f>
        <v>0</v>
      </c>
      <c r="P95" s="2">
        <f>P7/'Output-Calculation-sheet'!P6*'Output-Calculation-sheet'!P78</f>
        <v>0</v>
      </c>
      <c r="Q95" s="2">
        <f>Q7/'Output-Calculation-sheet'!Q6*'Output-Calculation-sheet'!Q78</f>
        <v>0</v>
      </c>
      <c r="R95" s="2">
        <f>R7/'Output-Calculation-sheet'!R6*'Output-Calculation-sheet'!R78</f>
        <v>0</v>
      </c>
      <c r="S95" s="2">
        <f>S7/'Output-Calculation-sheet'!S6*'Output-Calculation-sheet'!S78</f>
        <v>0</v>
      </c>
      <c r="T95" s="2">
        <f>T7/'Output-Calculation-sheet'!T6*'Output-Calculation-sheet'!T78</f>
        <v>0</v>
      </c>
      <c r="U95" s="2">
        <f>U7/'Output-Calculation-sheet'!U6*'Output-Calculation-sheet'!U78</f>
        <v>0</v>
      </c>
      <c r="V95" s="2">
        <f>V7/'Output-Calculation-sheet'!V6*'Output-Calculation-sheet'!V78</f>
        <v>0</v>
      </c>
      <c r="W95" s="2">
        <f>W7/'Output-Calculation-sheet'!W6*'Output-Calculation-sheet'!W78</f>
        <v>0</v>
      </c>
      <c r="X95" s="2">
        <f>X7/'Output-Calculation-sheet'!X6*'Output-Calculation-sheet'!X78</f>
        <v>0</v>
      </c>
      <c r="Y95" s="2">
        <f>Y7/'Output-Calculation-sheet'!Y6*'Output-Calculation-sheet'!Y78</f>
        <v>0</v>
      </c>
      <c r="AA95" s="2">
        <f t="shared" si="7"/>
        <v>0</v>
      </c>
    </row>
    <row r="96" spans="1:27" x14ac:dyDescent="0.25">
      <c r="A96" s="2">
        <v>2031</v>
      </c>
      <c r="B96" s="2">
        <f>B8/'Output-Calculation-sheet'!B7*'Output-Calculation-sheet'!B79</f>
        <v>0</v>
      </c>
      <c r="C96" s="2">
        <f>C8/'Output-Calculation-sheet'!C7*'Output-Calculation-sheet'!C79</f>
        <v>0</v>
      </c>
      <c r="D96" s="2">
        <f>D8/'Output-Calculation-sheet'!D7*'Output-Calculation-sheet'!D79</f>
        <v>0</v>
      </c>
      <c r="E96" s="2">
        <f>E8/'Output-Calculation-sheet'!E7*'Output-Calculation-sheet'!E79</f>
        <v>0</v>
      </c>
      <c r="F96" s="2">
        <f>F8/'Output-Calculation-sheet'!F7*'Output-Calculation-sheet'!F79</f>
        <v>0</v>
      </c>
      <c r="G96" s="2">
        <f>G8/'Output-Calculation-sheet'!G7*'Output-Calculation-sheet'!G79</f>
        <v>0</v>
      </c>
      <c r="H96" s="2">
        <f>H8/'Output-Calculation-sheet'!H7*'Output-Calculation-sheet'!H79</f>
        <v>0</v>
      </c>
      <c r="I96" s="2">
        <f>I8/'Output-Calculation-sheet'!I7*'Output-Calculation-sheet'!I79</f>
        <v>0</v>
      </c>
      <c r="J96" s="2">
        <f>J8/'Output-Calculation-sheet'!J7*'Output-Calculation-sheet'!J79</f>
        <v>0</v>
      </c>
      <c r="K96" s="2">
        <f>K8/'Output-Calculation-sheet'!K7*'Output-Calculation-sheet'!K79</f>
        <v>0</v>
      </c>
      <c r="L96" s="2">
        <f>L8/'Output-Calculation-sheet'!L7*'Output-Calculation-sheet'!L79</f>
        <v>0</v>
      </c>
      <c r="M96" s="2">
        <f>M8/'Output-Calculation-sheet'!M7*'Output-Calculation-sheet'!M79</f>
        <v>0</v>
      </c>
      <c r="N96" s="2">
        <f>N8/'Output-Calculation-sheet'!N7*'Output-Calculation-sheet'!N79</f>
        <v>0</v>
      </c>
      <c r="O96" s="2">
        <f>O8/'Output-Calculation-sheet'!O7*'Output-Calculation-sheet'!O79</f>
        <v>0</v>
      </c>
      <c r="P96" s="2">
        <f>P8/'Output-Calculation-sheet'!P7*'Output-Calculation-sheet'!P79</f>
        <v>0</v>
      </c>
      <c r="Q96" s="2">
        <f>Q8/'Output-Calculation-sheet'!Q7*'Output-Calculation-sheet'!Q79</f>
        <v>0</v>
      </c>
      <c r="R96" s="2">
        <f>R8/'Output-Calculation-sheet'!R7*'Output-Calculation-sheet'!R79</f>
        <v>0</v>
      </c>
      <c r="S96" s="2">
        <f>S8/'Output-Calculation-sheet'!S7*'Output-Calculation-sheet'!S79</f>
        <v>0</v>
      </c>
      <c r="T96" s="2">
        <f>T8/'Output-Calculation-sheet'!T7*'Output-Calculation-sheet'!T79</f>
        <v>0</v>
      </c>
      <c r="U96" s="2">
        <f>U8/'Output-Calculation-sheet'!U7*'Output-Calculation-sheet'!U79</f>
        <v>0</v>
      </c>
      <c r="V96" s="2">
        <f>V8/'Output-Calculation-sheet'!V7*'Output-Calculation-sheet'!V79</f>
        <v>0</v>
      </c>
      <c r="W96" s="2">
        <f>W8/'Output-Calculation-sheet'!W7*'Output-Calculation-sheet'!W79</f>
        <v>0</v>
      </c>
      <c r="X96" s="2">
        <f>X8/'Output-Calculation-sheet'!X7*'Output-Calculation-sheet'!X79</f>
        <v>0</v>
      </c>
      <c r="Y96" s="2">
        <f>Y8/'Output-Calculation-sheet'!Y7*'Output-Calculation-sheet'!Y79</f>
        <v>0</v>
      </c>
      <c r="AA96" s="2">
        <f t="shared" si="7"/>
        <v>0</v>
      </c>
    </row>
    <row r="97" spans="1:27" x14ac:dyDescent="0.25">
      <c r="A97" s="2">
        <v>2032</v>
      </c>
      <c r="B97" s="2">
        <f>B9/'Output-Calculation-sheet'!B8*'Output-Calculation-sheet'!B80</f>
        <v>0</v>
      </c>
      <c r="C97" s="2">
        <f>C9/'Output-Calculation-sheet'!C8*'Output-Calculation-sheet'!C80</f>
        <v>0</v>
      </c>
      <c r="D97" s="2">
        <f>D9/'Output-Calculation-sheet'!D8*'Output-Calculation-sheet'!D80</f>
        <v>0</v>
      </c>
      <c r="E97" s="2">
        <f>E9/'Output-Calculation-sheet'!E8*'Output-Calculation-sheet'!E80</f>
        <v>0</v>
      </c>
      <c r="F97" s="2">
        <f>F9/'Output-Calculation-sheet'!F8*'Output-Calculation-sheet'!F80</f>
        <v>0</v>
      </c>
      <c r="G97" s="2">
        <f>G9/'Output-Calculation-sheet'!G8*'Output-Calculation-sheet'!G80</f>
        <v>0</v>
      </c>
      <c r="H97" s="2">
        <f>H9/'Output-Calculation-sheet'!H8*'Output-Calculation-sheet'!H80</f>
        <v>0</v>
      </c>
      <c r="I97" s="2">
        <f>I9/'Output-Calculation-sheet'!I8*'Output-Calculation-sheet'!I80</f>
        <v>0</v>
      </c>
      <c r="J97" s="2">
        <f>J9/'Output-Calculation-sheet'!J8*'Output-Calculation-sheet'!J80</f>
        <v>0</v>
      </c>
      <c r="K97" s="2">
        <f>K9/'Output-Calculation-sheet'!K8*'Output-Calculation-sheet'!K80</f>
        <v>0</v>
      </c>
      <c r="L97" s="2">
        <f>L9/'Output-Calculation-sheet'!L8*'Output-Calculation-sheet'!L80</f>
        <v>0</v>
      </c>
      <c r="M97" s="2">
        <f>M9/'Output-Calculation-sheet'!M8*'Output-Calculation-sheet'!M80</f>
        <v>0</v>
      </c>
      <c r="N97" s="2">
        <f>N9/'Output-Calculation-sheet'!N8*'Output-Calculation-sheet'!N80</f>
        <v>0</v>
      </c>
      <c r="O97" s="2">
        <f>O9/'Output-Calculation-sheet'!O8*'Output-Calculation-sheet'!O80</f>
        <v>0</v>
      </c>
      <c r="P97" s="2">
        <f>P9/'Output-Calculation-sheet'!P8*'Output-Calculation-sheet'!P80</f>
        <v>0</v>
      </c>
      <c r="Q97" s="2">
        <f>Q9/'Output-Calculation-sheet'!Q8*'Output-Calculation-sheet'!Q80</f>
        <v>0</v>
      </c>
      <c r="R97" s="2">
        <f>R9/'Output-Calculation-sheet'!R8*'Output-Calculation-sheet'!R80</f>
        <v>0</v>
      </c>
      <c r="S97" s="2">
        <f>S9/'Output-Calculation-sheet'!S8*'Output-Calculation-sheet'!S80</f>
        <v>0</v>
      </c>
      <c r="T97" s="2">
        <f>T9/'Output-Calculation-sheet'!T8*'Output-Calculation-sheet'!T80</f>
        <v>0</v>
      </c>
      <c r="U97" s="2">
        <f>U9/'Output-Calculation-sheet'!U8*'Output-Calculation-sheet'!U80</f>
        <v>0</v>
      </c>
      <c r="V97" s="2">
        <f>V9/'Output-Calculation-sheet'!V8*'Output-Calculation-sheet'!V80</f>
        <v>0</v>
      </c>
      <c r="W97" s="2">
        <f>W9/'Output-Calculation-sheet'!W8*'Output-Calculation-sheet'!W80</f>
        <v>0</v>
      </c>
      <c r="X97" s="2">
        <f>X9/'Output-Calculation-sheet'!X8*'Output-Calculation-sheet'!X80</f>
        <v>0</v>
      </c>
      <c r="Y97" s="2">
        <f>Y9/'Output-Calculation-sheet'!Y8*'Output-Calculation-sheet'!Y80</f>
        <v>0</v>
      </c>
      <c r="AA97" s="2">
        <f t="shared" si="7"/>
        <v>0</v>
      </c>
    </row>
    <row r="98" spans="1:27" x14ac:dyDescent="0.25">
      <c r="A98" s="2">
        <v>2033</v>
      </c>
      <c r="B98" s="2">
        <f>B10/'Output-Calculation-sheet'!B9*'Output-Calculation-sheet'!B81</f>
        <v>0</v>
      </c>
      <c r="C98" s="2">
        <f>C10/'Output-Calculation-sheet'!C9*'Output-Calculation-sheet'!C81</f>
        <v>0</v>
      </c>
      <c r="D98" s="2">
        <f>D10/'Output-Calculation-sheet'!D9*'Output-Calculation-sheet'!D81</f>
        <v>0</v>
      </c>
      <c r="E98" s="2">
        <f>E10/'Output-Calculation-sheet'!E9*'Output-Calculation-sheet'!E81</f>
        <v>0</v>
      </c>
      <c r="F98" s="2">
        <f>F10/'Output-Calculation-sheet'!F9*'Output-Calculation-sheet'!F81</f>
        <v>0</v>
      </c>
      <c r="G98" s="2">
        <f>G10/'Output-Calculation-sheet'!G9*'Output-Calculation-sheet'!G81</f>
        <v>0</v>
      </c>
      <c r="H98" s="2">
        <f>H10/'Output-Calculation-sheet'!H9*'Output-Calculation-sheet'!H81</f>
        <v>0</v>
      </c>
      <c r="I98" s="2">
        <f>I10/'Output-Calculation-sheet'!I9*'Output-Calculation-sheet'!I81</f>
        <v>0</v>
      </c>
      <c r="J98" s="2">
        <f>J10/'Output-Calculation-sheet'!J9*'Output-Calculation-sheet'!J81</f>
        <v>0</v>
      </c>
      <c r="K98" s="2">
        <f>K10/'Output-Calculation-sheet'!K9*'Output-Calculation-sheet'!K81</f>
        <v>0</v>
      </c>
      <c r="L98" s="2">
        <f>L10/'Output-Calculation-sheet'!L9*'Output-Calculation-sheet'!L81</f>
        <v>0</v>
      </c>
      <c r="M98" s="2">
        <f>M10/'Output-Calculation-sheet'!M9*'Output-Calculation-sheet'!M81</f>
        <v>0</v>
      </c>
      <c r="N98" s="2">
        <f>N10/'Output-Calculation-sheet'!N9*'Output-Calculation-sheet'!N81</f>
        <v>0</v>
      </c>
      <c r="O98" s="2">
        <f>O10/'Output-Calculation-sheet'!O9*'Output-Calculation-sheet'!O81</f>
        <v>0</v>
      </c>
      <c r="P98" s="2">
        <f>P10/'Output-Calculation-sheet'!P9*'Output-Calculation-sheet'!P81</f>
        <v>0</v>
      </c>
      <c r="Q98" s="2">
        <f>Q10/'Output-Calculation-sheet'!Q9*'Output-Calculation-sheet'!Q81</f>
        <v>0</v>
      </c>
      <c r="R98" s="2">
        <f>R10/'Output-Calculation-sheet'!R9*'Output-Calculation-sheet'!R81</f>
        <v>0</v>
      </c>
      <c r="S98" s="2">
        <f>S10/'Output-Calculation-sheet'!S9*'Output-Calculation-sheet'!S81</f>
        <v>0</v>
      </c>
      <c r="T98" s="2">
        <f>T10/'Output-Calculation-sheet'!T9*'Output-Calculation-sheet'!T81</f>
        <v>0</v>
      </c>
      <c r="U98" s="2">
        <f>U10/'Output-Calculation-sheet'!U9*'Output-Calculation-sheet'!U81</f>
        <v>0</v>
      </c>
      <c r="V98" s="2">
        <f>V10/'Output-Calculation-sheet'!V9*'Output-Calculation-sheet'!V81</f>
        <v>0</v>
      </c>
      <c r="W98" s="2">
        <f>W10/'Output-Calculation-sheet'!W9*'Output-Calculation-sheet'!W81</f>
        <v>0</v>
      </c>
      <c r="X98" s="2">
        <f>X10/'Output-Calculation-sheet'!X9*'Output-Calculation-sheet'!X81</f>
        <v>0</v>
      </c>
      <c r="Y98" s="2">
        <f>Y10/'Output-Calculation-sheet'!Y9*'Output-Calculation-sheet'!Y81</f>
        <v>0</v>
      </c>
      <c r="AA98" s="2">
        <f t="shared" si="7"/>
        <v>0</v>
      </c>
    </row>
    <row r="99" spans="1:27" x14ac:dyDescent="0.25">
      <c r="A99" s="2">
        <v>2034</v>
      </c>
      <c r="B99" s="2">
        <f>B11/'Output-Calculation-sheet'!B10*'Output-Calculation-sheet'!B82</f>
        <v>0</v>
      </c>
      <c r="C99" s="2">
        <f>C11/'Output-Calculation-sheet'!C10*'Output-Calculation-sheet'!C82</f>
        <v>0</v>
      </c>
      <c r="D99" s="2">
        <f>D11/'Output-Calculation-sheet'!D10*'Output-Calculation-sheet'!D82</f>
        <v>0</v>
      </c>
      <c r="E99" s="2">
        <f>E11/'Output-Calculation-sheet'!E10*'Output-Calculation-sheet'!E82</f>
        <v>0</v>
      </c>
      <c r="F99" s="2">
        <f>F11/'Output-Calculation-sheet'!F10*'Output-Calculation-sheet'!F82</f>
        <v>0</v>
      </c>
      <c r="G99" s="2">
        <f>G11/'Output-Calculation-sheet'!G10*'Output-Calculation-sheet'!G82</f>
        <v>0</v>
      </c>
      <c r="H99" s="2">
        <f>H11/'Output-Calculation-sheet'!H10*'Output-Calculation-sheet'!H82</f>
        <v>0</v>
      </c>
      <c r="I99" s="2">
        <f>I11/'Output-Calculation-sheet'!I10*'Output-Calculation-sheet'!I82</f>
        <v>0</v>
      </c>
      <c r="J99" s="2">
        <f>J11/'Output-Calculation-sheet'!J10*'Output-Calculation-sheet'!J82</f>
        <v>0</v>
      </c>
      <c r="K99" s="2">
        <f>K11/'Output-Calculation-sheet'!K10*'Output-Calculation-sheet'!K82</f>
        <v>0</v>
      </c>
      <c r="L99" s="2">
        <f>L11/'Output-Calculation-sheet'!L10*'Output-Calculation-sheet'!L82</f>
        <v>0</v>
      </c>
      <c r="M99" s="2">
        <f>M11/'Output-Calculation-sheet'!M10*'Output-Calculation-sheet'!M82</f>
        <v>0</v>
      </c>
      <c r="N99" s="2">
        <f>N11/'Output-Calculation-sheet'!N10*'Output-Calculation-sheet'!N82</f>
        <v>0</v>
      </c>
      <c r="O99" s="2">
        <f>O11/'Output-Calculation-sheet'!O10*'Output-Calculation-sheet'!O82</f>
        <v>0</v>
      </c>
      <c r="P99" s="2">
        <f>P11/'Output-Calculation-sheet'!P10*'Output-Calculation-sheet'!P82</f>
        <v>0</v>
      </c>
      <c r="Q99" s="2">
        <f>Q11/'Output-Calculation-sheet'!Q10*'Output-Calculation-sheet'!Q82</f>
        <v>0</v>
      </c>
      <c r="R99" s="2">
        <f>R11/'Output-Calculation-sheet'!R10*'Output-Calculation-sheet'!R82</f>
        <v>0</v>
      </c>
      <c r="S99" s="2">
        <f>S11/'Output-Calculation-sheet'!S10*'Output-Calculation-sheet'!S82</f>
        <v>0</v>
      </c>
      <c r="T99" s="2">
        <f>T11/'Output-Calculation-sheet'!T10*'Output-Calculation-sheet'!T82</f>
        <v>0</v>
      </c>
      <c r="U99" s="2">
        <f>U11/'Output-Calculation-sheet'!U10*'Output-Calculation-sheet'!U82</f>
        <v>0</v>
      </c>
      <c r="V99" s="2">
        <f>V11/'Output-Calculation-sheet'!V10*'Output-Calculation-sheet'!V82</f>
        <v>0</v>
      </c>
      <c r="W99" s="2">
        <f>W11/'Output-Calculation-sheet'!W10*'Output-Calculation-sheet'!W82</f>
        <v>0</v>
      </c>
      <c r="X99" s="2">
        <f>X11/'Output-Calculation-sheet'!X10*'Output-Calculation-sheet'!X82</f>
        <v>0</v>
      </c>
      <c r="Y99" s="2">
        <f>Y11/'Output-Calculation-sheet'!Y10*'Output-Calculation-sheet'!Y82</f>
        <v>0</v>
      </c>
      <c r="AA99" s="2">
        <f t="shared" si="7"/>
        <v>0</v>
      </c>
    </row>
    <row r="100" spans="1:27" x14ac:dyDescent="0.25">
      <c r="A100" s="2">
        <v>2035</v>
      </c>
      <c r="B100" s="2">
        <f>B12/'Output-Calculation-sheet'!B11*'Output-Calculation-sheet'!B83</f>
        <v>0</v>
      </c>
      <c r="C100" s="2">
        <f>C12/'Output-Calculation-sheet'!C11*'Output-Calculation-sheet'!C83</f>
        <v>0</v>
      </c>
      <c r="D100" s="2">
        <f>D12/'Output-Calculation-sheet'!D11*'Output-Calculation-sheet'!D83</f>
        <v>0</v>
      </c>
      <c r="E100" s="2">
        <f>E12/'Output-Calculation-sheet'!E11*'Output-Calculation-sheet'!E83</f>
        <v>0</v>
      </c>
      <c r="F100" s="2">
        <f>F12/'Output-Calculation-sheet'!F11*'Output-Calculation-sheet'!F83</f>
        <v>0</v>
      </c>
      <c r="G100" s="2">
        <f>G12/'Output-Calculation-sheet'!G11*'Output-Calculation-sheet'!G83</f>
        <v>0</v>
      </c>
      <c r="H100" s="2">
        <f>H12/'Output-Calculation-sheet'!H11*'Output-Calculation-sheet'!H83</f>
        <v>0</v>
      </c>
      <c r="I100" s="2">
        <f>I12/'Output-Calculation-sheet'!I11*'Output-Calculation-sheet'!I83</f>
        <v>0</v>
      </c>
      <c r="J100" s="2">
        <f>J12/'Output-Calculation-sheet'!J11*'Output-Calculation-sheet'!J83</f>
        <v>0</v>
      </c>
      <c r="K100" s="2">
        <f>K12/'Output-Calculation-sheet'!K11*'Output-Calculation-sheet'!K83</f>
        <v>0</v>
      </c>
      <c r="L100" s="2">
        <f>L12/'Output-Calculation-sheet'!L11*'Output-Calculation-sheet'!L83</f>
        <v>0</v>
      </c>
      <c r="M100" s="2">
        <f>M12/'Output-Calculation-sheet'!M11*'Output-Calculation-sheet'!M83</f>
        <v>0</v>
      </c>
      <c r="N100" s="2">
        <f>N12/'Output-Calculation-sheet'!N11*'Output-Calculation-sheet'!N83</f>
        <v>0</v>
      </c>
      <c r="O100" s="2">
        <f>O12/'Output-Calculation-sheet'!O11*'Output-Calculation-sheet'!O83</f>
        <v>0</v>
      </c>
      <c r="P100" s="2">
        <f>P12/'Output-Calculation-sheet'!P11*'Output-Calculation-sheet'!P83</f>
        <v>0</v>
      </c>
      <c r="Q100" s="2">
        <f>Q12/'Output-Calculation-sheet'!Q11*'Output-Calculation-sheet'!Q83</f>
        <v>0</v>
      </c>
      <c r="R100" s="2">
        <f>R12/'Output-Calculation-sheet'!R11*'Output-Calculation-sheet'!R83</f>
        <v>0</v>
      </c>
      <c r="S100" s="2">
        <f>S12/'Output-Calculation-sheet'!S11*'Output-Calculation-sheet'!S83</f>
        <v>0</v>
      </c>
      <c r="T100" s="2">
        <f>T12/'Output-Calculation-sheet'!T11*'Output-Calculation-sheet'!T83</f>
        <v>0</v>
      </c>
      <c r="U100" s="2">
        <f>U12/'Output-Calculation-sheet'!U11*'Output-Calculation-sheet'!U83</f>
        <v>0</v>
      </c>
      <c r="V100" s="2">
        <f>V12/'Output-Calculation-sheet'!V11*'Output-Calculation-sheet'!V83</f>
        <v>0</v>
      </c>
      <c r="W100" s="2">
        <f>W12/'Output-Calculation-sheet'!W11*'Output-Calculation-sheet'!W83</f>
        <v>0</v>
      </c>
      <c r="X100" s="2">
        <f>X12/'Output-Calculation-sheet'!X11*'Output-Calculation-sheet'!X83</f>
        <v>0</v>
      </c>
      <c r="Y100" s="2">
        <f>Y12/'Output-Calculation-sheet'!Y11*'Output-Calculation-sheet'!Y83</f>
        <v>0</v>
      </c>
      <c r="AA100" s="2">
        <f t="shared" si="7"/>
        <v>0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B5/'Output-Calculation-sheet'!B4*'Output-Calculation-sheet'!#REF!</f>
        <v>#REF!</v>
      </c>
      <c r="C104" s="2" t="e">
        <f>C5/'Output-Calculation-sheet'!C4*'Output-Calculation-sheet'!#REF!</f>
        <v>#REF!</v>
      </c>
      <c r="D104" s="2" t="e">
        <f>D5/'Output-Calculation-sheet'!D4*'Output-Calculation-sheet'!#REF!</f>
        <v>#REF!</v>
      </c>
      <c r="E104" s="2" t="e">
        <f>E5/'Output-Calculation-sheet'!E4*'Output-Calculation-sheet'!#REF!</f>
        <v>#REF!</v>
      </c>
      <c r="F104" s="2" t="e">
        <f>F5/'Output-Calculation-sheet'!F4*'Output-Calculation-sheet'!#REF!</f>
        <v>#REF!</v>
      </c>
      <c r="G104" s="2" t="e">
        <f>G5/'Output-Calculation-sheet'!G4*'Output-Calculation-sheet'!#REF!</f>
        <v>#REF!</v>
      </c>
      <c r="H104" s="2" t="e">
        <f>H5/'Output-Calculation-sheet'!H4*'Output-Calculation-sheet'!#REF!</f>
        <v>#REF!</v>
      </c>
      <c r="I104" s="2" t="e">
        <f>I5/'Output-Calculation-sheet'!I4*'Output-Calculation-sheet'!#REF!</f>
        <v>#REF!</v>
      </c>
      <c r="J104" s="2" t="e">
        <f>J5/'Output-Calculation-sheet'!J4*'Output-Calculation-sheet'!#REF!</f>
        <v>#REF!</v>
      </c>
      <c r="K104" s="2" t="e">
        <f>K5/'Output-Calculation-sheet'!K4*'Output-Calculation-sheet'!#REF!</f>
        <v>#REF!</v>
      </c>
      <c r="L104" s="2" t="e">
        <f>L5/'Output-Calculation-sheet'!L4*'Output-Calculation-sheet'!#REF!</f>
        <v>#REF!</v>
      </c>
      <c r="M104" s="2" t="e">
        <f>M5/'Output-Calculation-sheet'!M4*'Output-Calculation-sheet'!#REF!</f>
        <v>#REF!</v>
      </c>
      <c r="N104" s="2" t="e">
        <f>N5/'Output-Calculation-sheet'!N4*'Output-Calculation-sheet'!#REF!</f>
        <v>#REF!</v>
      </c>
      <c r="O104" s="2" t="e">
        <f>O5/'Output-Calculation-sheet'!O4*'Output-Calculation-sheet'!#REF!</f>
        <v>#REF!</v>
      </c>
      <c r="P104" s="2" t="e">
        <f>P5/'Output-Calculation-sheet'!P4*'Output-Calculation-sheet'!#REF!</f>
        <v>#REF!</v>
      </c>
      <c r="Q104" s="2" t="e">
        <f>Q5/'Output-Calculation-sheet'!Q4*'Output-Calculation-sheet'!#REF!</f>
        <v>#REF!</v>
      </c>
      <c r="R104" s="2" t="e">
        <f>R5/'Output-Calculation-sheet'!R4*'Output-Calculation-sheet'!#REF!</f>
        <v>#REF!</v>
      </c>
      <c r="S104" s="2" t="e">
        <f>S5/'Output-Calculation-sheet'!S4*'Output-Calculation-sheet'!#REF!</f>
        <v>#REF!</v>
      </c>
      <c r="T104" s="2" t="e">
        <f>T5/'Output-Calculation-sheet'!T4*'Output-Calculation-sheet'!#REF!</f>
        <v>#REF!</v>
      </c>
      <c r="U104" s="2" t="e">
        <f>U5/'Output-Calculation-sheet'!U4*'Output-Calculation-sheet'!#REF!</f>
        <v>#REF!</v>
      </c>
      <c r="V104" s="2" t="e">
        <f>V5/'Output-Calculation-sheet'!V4*'Output-Calculation-sheet'!#REF!</f>
        <v>#REF!</v>
      </c>
      <c r="W104" s="2" t="e">
        <f>W5/'Output-Calculation-sheet'!W4*'Output-Calculation-sheet'!#REF!</f>
        <v>#REF!</v>
      </c>
      <c r="X104" s="2" t="e">
        <f>X5/'Output-Calculation-sheet'!X4*'Output-Calculation-sheet'!#REF!</f>
        <v>#REF!</v>
      </c>
      <c r="Y104" s="2" t="e">
        <f>Y5/'Output-Calculation-sheet'!Y4*'Output-Calculation-sheet'!#REF!</f>
        <v>#REF!</v>
      </c>
      <c r="AA104" s="2" t="e">
        <f>SUM(B104:Y104)/1000</f>
        <v>#REF!</v>
      </c>
    </row>
    <row r="105" spans="1:27" x14ac:dyDescent="0.25">
      <c r="A105" s="2">
        <v>2029</v>
      </c>
      <c r="B105" s="2" t="e">
        <f>B6/'Output-Calculation-sheet'!B5*'Output-Calculation-sheet'!#REF!</f>
        <v>#REF!</v>
      </c>
      <c r="C105" s="2" t="e">
        <f>C6/'Output-Calculation-sheet'!C5*'Output-Calculation-sheet'!#REF!</f>
        <v>#REF!</v>
      </c>
      <c r="D105" s="2" t="e">
        <f>D6/'Output-Calculation-sheet'!D5*'Output-Calculation-sheet'!#REF!</f>
        <v>#REF!</v>
      </c>
      <c r="E105" s="2" t="e">
        <f>E6/'Output-Calculation-sheet'!E5*'Output-Calculation-sheet'!#REF!</f>
        <v>#REF!</v>
      </c>
      <c r="F105" s="2" t="e">
        <f>F6/'Output-Calculation-sheet'!F5*'Output-Calculation-sheet'!#REF!</f>
        <v>#REF!</v>
      </c>
      <c r="G105" s="2" t="e">
        <f>G6/'Output-Calculation-sheet'!G5*'Output-Calculation-sheet'!#REF!</f>
        <v>#REF!</v>
      </c>
      <c r="H105" s="2" t="e">
        <f>H6/'Output-Calculation-sheet'!H5*'Output-Calculation-sheet'!#REF!</f>
        <v>#REF!</v>
      </c>
      <c r="I105" s="2" t="e">
        <f>I6/'Output-Calculation-sheet'!I5*'Output-Calculation-sheet'!#REF!</f>
        <v>#REF!</v>
      </c>
      <c r="J105" s="2" t="e">
        <f>J6/'Output-Calculation-sheet'!J5*'Output-Calculation-sheet'!#REF!</f>
        <v>#REF!</v>
      </c>
      <c r="K105" s="2" t="e">
        <f>K6/'Output-Calculation-sheet'!K5*'Output-Calculation-sheet'!#REF!</f>
        <v>#REF!</v>
      </c>
      <c r="L105" s="2" t="e">
        <f>L6/'Output-Calculation-sheet'!L5*'Output-Calculation-sheet'!#REF!</f>
        <v>#REF!</v>
      </c>
      <c r="M105" s="2" t="e">
        <f>M6/'Output-Calculation-sheet'!M5*'Output-Calculation-sheet'!#REF!</f>
        <v>#REF!</v>
      </c>
      <c r="N105" s="2" t="e">
        <f>N6/'Output-Calculation-sheet'!N5*'Output-Calculation-sheet'!#REF!</f>
        <v>#REF!</v>
      </c>
      <c r="O105" s="2" t="e">
        <f>O6/'Output-Calculation-sheet'!O5*'Output-Calculation-sheet'!#REF!</f>
        <v>#REF!</v>
      </c>
      <c r="P105" s="2" t="e">
        <f>P6/'Output-Calculation-sheet'!P5*'Output-Calculation-sheet'!#REF!</f>
        <v>#REF!</v>
      </c>
      <c r="Q105" s="2" t="e">
        <f>Q6/'Output-Calculation-sheet'!Q5*'Output-Calculation-sheet'!#REF!</f>
        <v>#REF!</v>
      </c>
      <c r="R105" s="2" t="e">
        <f>R6/'Output-Calculation-sheet'!R5*'Output-Calculation-sheet'!#REF!</f>
        <v>#REF!</v>
      </c>
      <c r="S105" s="2" t="e">
        <f>S6/'Output-Calculation-sheet'!S5*'Output-Calculation-sheet'!#REF!</f>
        <v>#REF!</v>
      </c>
      <c r="T105" s="2" t="e">
        <f>T6/'Output-Calculation-sheet'!T5*'Output-Calculation-sheet'!#REF!</f>
        <v>#REF!</v>
      </c>
      <c r="U105" s="2" t="e">
        <f>U6/'Output-Calculation-sheet'!U5*'Output-Calculation-sheet'!#REF!</f>
        <v>#REF!</v>
      </c>
      <c r="V105" s="2" t="e">
        <f>V6/'Output-Calculation-sheet'!V5*'Output-Calculation-sheet'!#REF!</f>
        <v>#REF!</v>
      </c>
      <c r="W105" s="2" t="e">
        <f>W6/'Output-Calculation-sheet'!W5*'Output-Calculation-sheet'!#REF!</f>
        <v>#REF!</v>
      </c>
      <c r="X105" s="2" t="e">
        <f>X6/'Output-Calculation-sheet'!X5*'Output-Calculation-sheet'!#REF!</f>
        <v>#REF!</v>
      </c>
      <c r="Y105" s="2" t="e">
        <f>Y6/'Output-Calculation-sheet'!Y5*'Output-Calculation-sheet'!#REF!</f>
        <v>#REF!</v>
      </c>
      <c r="AA105" s="2" t="e">
        <f t="shared" ref="AA105:AA111" si="8">SUM(B105:Y105)/1000</f>
        <v>#REF!</v>
      </c>
    </row>
    <row r="106" spans="1:27" x14ac:dyDescent="0.25">
      <c r="A106" s="2">
        <v>2030</v>
      </c>
      <c r="B106" s="2" t="e">
        <f>B7/'Output-Calculation-sheet'!B6*'Output-Calculation-sheet'!#REF!</f>
        <v>#REF!</v>
      </c>
      <c r="C106" s="2" t="e">
        <f>C7/'Output-Calculation-sheet'!C6*'Output-Calculation-sheet'!#REF!</f>
        <v>#REF!</v>
      </c>
      <c r="D106" s="2" t="e">
        <f>D7/'Output-Calculation-sheet'!D6*'Output-Calculation-sheet'!#REF!</f>
        <v>#REF!</v>
      </c>
      <c r="E106" s="2" t="e">
        <f>E7/'Output-Calculation-sheet'!E6*'Output-Calculation-sheet'!#REF!</f>
        <v>#REF!</v>
      </c>
      <c r="F106" s="2" t="e">
        <f>F7/'Output-Calculation-sheet'!F6*'Output-Calculation-sheet'!#REF!</f>
        <v>#REF!</v>
      </c>
      <c r="G106" s="2" t="e">
        <f>G7/'Output-Calculation-sheet'!G6*'Output-Calculation-sheet'!#REF!</f>
        <v>#REF!</v>
      </c>
      <c r="H106" s="2" t="e">
        <f>H7/'Output-Calculation-sheet'!H6*'Output-Calculation-sheet'!#REF!</f>
        <v>#REF!</v>
      </c>
      <c r="I106" s="2" t="e">
        <f>I7/'Output-Calculation-sheet'!I6*'Output-Calculation-sheet'!#REF!</f>
        <v>#REF!</v>
      </c>
      <c r="J106" s="2" t="e">
        <f>J7/'Output-Calculation-sheet'!J6*'Output-Calculation-sheet'!#REF!</f>
        <v>#REF!</v>
      </c>
      <c r="K106" s="2" t="e">
        <f>K7/'Output-Calculation-sheet'!K6*'Output-Calculation-sheet'!#REF!</f>
        <v>#REF!</v>
      </c>
      <c r="L106" s="2" t="e">
        <f>L7/'Output-Calculation-sheet'!L6*'Output-Calculation-sheet'!#REF!</f>
        <v>#REF!</v>
      </c>
      <c r="M106" s="2" t="e">
        <f>M7/'Output-Calculation-sheet'!M6*'Output-Calculation-sheet'!#REF!</f>
        <v>#REF!</v>
      </c>
      <c r="N106" s="2" t="e">
        <f>N7/'Output-Calculation-sheet'!N6*'Output-Calculation-sheet'!#REF!</f>
        <v>#REF!</v>
      </c>
      <c r="O106" s="2" t="e">
        <f>O7/'Output-Calculation-sheet'!O6*'Output-Calculation-sheet'!#REF!</f>
        <v>#REF!</v>
      </c>
      <c r="P106" s="2" t="e">
        <f>P7/'Output-Calculation-sheet'!P6*'Output-Calculation-sheet'!#REF!</f>
        <v>#REF!</v>
      </c>
      <c r="Q106" s="2" t="e">
        <f>Q7/'Output-Calculation-sheet'!Q6*'Output-Calculation-sheet'!#REF!</f>
        <v>#REF!</v>
      </c>
      <c r="R106" s="2" t="e">
        <f>R7/'Output-Calculation-sheet'!R6*'Output-Calculation-sheet'!#REF!</f>
        <v>#REF!</v>
      </c>
      <c r="S106" s="2" t="e">
        <f>S7/'Output-Calculation-sheet'!S6*'Output-Calculation-sheet'!#REF!</f>
        <v>#REF!</v>
      </c>
      <c r="T106" s="2" t="e">
        <f>T7/'Output-Calculation-sheet'!T6*'Output-Calculation-sheet'!#REF!</f>
        <v>#REF!</v>
      </c>
      <c r="U106" s="2" t="e">
        <f>U7/'Output-Calculation-sheet'!U6*'Output-Calculation-sheet'!#REF!</f>
        <v>#REF!</v>
      </c>
      <c r="V106" s="2" t="e">
        <f>V7/'Output-Calculation-sheet'!V6*'Output-Calculation-sheet'!#REF!</f>
        <v>#REF!</v>
      </c>
      <c r="W106" s="2" t="e">
        <f>W7/'Output-Calculation-sheet'!W6*'Output-Calculation-sheet'!#REF!</f>
        <v>#REF!</v>
      </c>
      <c r="X106" s="2" t="e">
        <f>X7/'Output-Calculation-sheet'!X6*'Output-Calculation-sheet'!#REF!</f>
        <v>#REF!</v>
      </c>
      <c r="Y106" s="2" t="e">
        <f>Y7/'Output-Calculation-sheet'!Y6*'Output-Calculation-sheet'!#REF!</f>
        <v>#REF!</v>
      </c>
      <c r="AA106" s="2" t="e">
        <f t="shared" si="8"/>
        <v>#REF!</v>
      </c>
    </row>
    <row r="107" spans="1:27" x14ac:dyDescent="0.25">
      <c r="A107" s="2">
        <v>2031</v>
      </c>
      <c r="B107" s="2" t="e">
        <f>B8/'Output-Calculation-sheet'!B7*'Output-Calculation-sheet'!#REF!</f>
        <v>#REF!</v>
      </c>
      <c r="C107" s="2" t="e">
        <f>C8/'Output-Calculation-sheet'!C7*'Output-Calculation-sheet'!#REF!</f>
        <v>#REF!</v>
      </c>
      <c r="D107" s="2" t="e">
        <f>D8/'Output-Calculation-sheet'!D7*'Output-Calculation-sheet'!#REF!</f>
        <v>#REF!</v>
      </c>
      <c r="E107" s="2" t="e">
        <f>E8/'Output-Calculation-sheet'!E7*'Output-Calculation-sheet'!#REF!</f>
        <v>#REF!</v>
      </c>
      <c r="F107" s="2" t="e">
        <f>F8/'Output-Calculation-sheet'!F7*'Output-Calculation-sheet'!#REF!</f>
        <v>#REF!</v>
      </c>
      <c r="G107" s="2" t="e">
        <f>G8/'Output-Calculation-sheet'!G7*'Output-Calculation-sheet'!#REF!</f>
        <v>#REF!</v>
      </c>
      <c r="H107" s="2" t="e">
        <f>H8/'Output-Calculation-sheet'!H7*'Output-Calculation-sheet'!#REF!</f>
        <v>#REF!</v>
      </c>
      <c r="I107" s="2" t="e">
        <f>I8/'Output-Calculation-sheet'!I7*'Output-Calculation-sheet'!#REF!</f>
        <v>#REF!</v>
      </c>
      <c r="J107" s="2" t="e">
        <f>J8/'Output-Calculation-sheet'!J7*'Output-Calculation-sheet'!#REF!</f>
        <v>#REF!</v>
      </c>
      <c r="K107" s="2" t="e">
        <f>K8/'Output-Calculation-sheet'!K7*'Output-Calculation-sheet'!#REF!</f>
        <v>#REF!</v>
      </c>
      <c r="L107" s="2" t="e">
        <f>L8/'Output-Calculation-sheet'!L7*'Output-Calculation-sheet'!#REF!</f>
        <v>#REF!</v>
      </c>
      <c r="M107" s="2" t="e">
        <f>M8/'Output-Calculation-sheet'!M7*'Output-Calculation-sheet'!#REF!</f>
        <v>#REF!</v>
      </c>
      <c r="N107" s="2" t="e">
        <f>N8/'Output-Calculation-sheet'!N7*'Output-Calculation-sheet'!#REF!</f>
        <v>#REF!</v>
      </c>
      <c r="O107" s="2" t="e">
        <f>O8/'Output-Calculation-sheet'!O7*'Output-Calculation-sheet'!#REF!</f>
        <v>#REF!</v>
      </c>
      <c r="P107" s="2" t="e">
        <f>P8/'Output-Calculation-sheet'!P7*'Output-Calculation-sheet'!#REF!</f>
        <v>#REF!</v>
      </c>
      <c r="Q107" s="2" t="e">
        <f>Q8/'Output-Calculation-sheet'!Q7*'Output-Calculation-sheet'!#REF!</f>
        <v>#REF!</v>
      </c>
      <c r="R107" s="2" t="e">
        <f>R8/'Output-Calculation-sheet'!R7*'Output-Calculation-sheet'!#REF!</f>
        <v>#REF!</v>
      </c>
      <c r="S107" s="2" t="e">
        <f>S8/'Output-Calculation-sheet'!S7*'Output-Calculation-sheet'!#REF!</f>
        <v>#REF!</v>
      </c>
      <c r="T107" s="2" t="e">
        <f>T8/'Output-Calculation-sheet'!T7*'Output-Calculation-sheet'!#REF!</f>
        <v>#REF!</v>
      </c>
      <c r="U107" s="2" t="e">
        <f>U8/'Output-Calculation-sheet'!U7*'Output-Calculation-sheet'!#REF!</f>
        <v>#REF!</v>
      </c>
      <c r="V107" s="2" t="e">
        <f>V8/'Output-Calculation-sheet'!V7*'Output-Calculation-sheet'!#REF!</f>
        <v>#REF!</v>
      </c>
      <c r="W107" s="2" t="e">
        <f>W8/'Output-Calculation-sheet'!W7*'Output-Calculation-sheet'!#REF!</f>
        <v>#REF!</v>
      </c>
      <c r="X107" s="2" t="e">
        <f>X8/'Output-Calculation-sheet'!X7*'Output-Calculation-sheet'!#REF!</f>
        <v>#REF!</v>
      </c>
      <c r="Y107" s="2" t="e">
        <f>Y8/'Output-Calculation-sheet'!Y7*'Output-Calculation-sheet'!#REF!</f>
        <v>#REF!</v>
      </c>
      <c r="AA107" s="2" t="e">
        <f t="shared" si="8"/>
        <v>#REF!</v>
      </c>
    </row>
    <row r="108" spans="1:27" x14ac:dyDescent="0.25">
      <c r="A108" s="2">
        <v>2032</v>
      </c>
      <c r="B108" s="2" t="e">
        <f>B9/'Output-Calculation-sheet'!B8*'Output-Calculation-sheet'!#REF!</f>
        <v>#REF!</v>
      </c>
      <c r="C108" s="2" t="e">
        <f>C9/'Output-Calculation-sheet'!C8*'Output-Calculation-sheet'!#REF!</f>
        <v>#REF!</v>
      </c>
      <c r="D108" s="2" t="e">
        <f>D9/'Output-Calculation-sheet'!D8*'Output-Calculation-sheet'!#REF!</f>
        <v>#REF!</v>
      </c>
      <c r="E108" s="2" t="e">
        <f>E9/'Output-Calculation-sheet'!E8*'Output-Calculation-sheet'!#REF!</f>
        <v>#REF!</v>
      </c>
      <c r="F108" s="2" t="e">
        <f>F9/'Output-Calculation-sheet'!F8*'Output-Calculation-sheet'!#REF!</f>
        <v>#REF!</v>
      </c>
      <c r="G108" s="2" t="e">
        <f>G9/'Output-Calculation-sheet'!G8*'Output-Calculation-sheet'!#REF!</f>
        <v>#REF!</v>
      </c>
      <c r="H108" s="2" t="e">
        <f>H9/'Output-Calculation-sheet'!H8*'Output-Calculation-sheet'!#REF!</f>
        <v>#REF!</v>
      </c>
      <c r="I108" s="2" t="e">
        <f>I9/'Output-Calculation-sheet'!I8*'Output-Calculation-sheet'!#REF!</f>
        <v>#REF!</v>
      </c>
      <c r="J108" s="2" t="e">
        <f>J9/'Output-Calculation-sheet'!J8*'Output-Calculation-sheet'!#REF!</f>
        <v>#REF!</v>
      </c>
      <c r="K108" s="2" t="e">
        <f>K9/'Output-Calculation-sheet'!K8*'Output-Calculation-sheet'!#REF!</f>
        <v>#REF!</v>
      </c>
      <c r="L108" s="2" t="e">
        <f>L9/'Output-Calculation-sheet'!L8*'Output-Calculation-sheet'!#REF!</f>
        <v>#REF!</v>
      </c>
      <c r="M108" s="2" t="e">
        <f>M9/'Output-Calculation-sheet'!M8*'Output-Calculation-sheet'!#REF!</f>
        <v>#REF!</v>
      </c>
      <c r="N108" s="2" t="e">
        <f>N9/'Output-Calculation-sheet'!N8*'Output-Calculation-sheet'!#REF!</f>
        <v>#REF!</v>
      </c>
      <c r="O108" s="2" t="e">
        <f>O9/'Output-Calculation-sheet'!O8*'Output-Calculation-sheet'!#REF!</f>
        <v>#REF!</v>
      </c>
      <c r="P108" s="2" t="e">
        <f>P9/'Output-Calculation-sheet'!P8*'Output-Calculation-sheet'!#REF!</f>
        <v>#REF!</v>
      </c>
      <c r="Q108" s="2" t="e">
        <f>Q9/'Output-Calculation-sheet'!Q8*'Output-Calculation-sheet'!#REF!</f>
        <v>#REF!</v>
      </c>
      <c r="R108" s="2" t="e">
        <f>R9/'Output-Calculation-sheet'!R8*'Output-Calculation-sheet'!#REF!</f>
        <v>#REF!</v>
      </c>
      <c r="S108" s="2" t="e">
        <f>S9/'Output-Calculation-sheet'!S8*'Output-Calculation-sheet'!#REF!</f>
        <v>#REF!</v>
      </c>
      <c r="T108" s="2" t="e">
        <f>T9/'Output-Calculation-sheet'!T8*'Output-Calculation-sheet'!#REF!</f>
        <v>#REF!</v>
      </c>
      <c r="U108" s="2" t="e">
        <f>U9/'Output-Calculation-sheet'!U8*'Output-Calculation-sheet'!#REF!</f>
        <v>#REF!</v>
      </c>
      <c r="V108" s="2" t="e">
        <f>V9/'Output-Calculation-sheet'!V8*'Output-Calculation-sheet'!#REF!</f>
        <v>#REF!</v>
      </c>
      <c r="W108" s="2" t="e">
        <f>W9/'Output-Calculation-sheet'!W8*'Output-Calculation-sheet'!#REF!</f>
        <v>#REF!</v>
      </c>
      <c r="X108" s="2" t="e">
        <f>X9/'Output-Calculation-sheet'!X8*'Output-Calculation-sheet'!#REF!</f>
        <v>#REF!</v>
      </c>
      <c r="Y108" s="2" t="e">
        <f>Y9/'Output-Calculation-sheet'!Y8*'Output-Calculation-sheet'!#REF!</f>
        <v>#REF!</v>
      </c>
      <c r="AA108" s="2" t="e">
        <f t="shared" si="8"/>
        <v>#REF!</v>
      </c>
    </row>
    <row r="109" spans="1:27" x14ac:dyDescent="0.25">
      <c r="A109" s="2">
        <v>2033</v>
      </c>
      <c r="B109" s="2" t="e">
        <f>B10/'Output-Calculation-sheet'!B9*'Output-Calculation-sheet'!#REF!</f>
        <v>#REF!</v>
      </c>
      <c r="C109" s="2" t="e">
        <f>C10/'Output-Calculation-sheet'!C9*'Output-Calculation-sheet'!#REF!</f>
        <v>#REF!</v>
      </c>
      <c r="D109" s="2" t="e">
        <f>D10/'Output-Calculation-sheet'!D9*'Output-Calculation-sheet'!#REF!</f>
        <v>#REF!</v>
      </c>
      <c r="E109" s="2" t="e">
        <f>E10/'Output-Calculation-sheet'!E9*'Output-Calculation-sheet'!#REF!</f>
        <v>#REF!</v>
      </c>
      <c r="F109" s="2" t="e">
        <f>F10/'Output-Calculation-sheet'!F9*'Output-Calculation-sheet'!#REF!</f>
        <v>#REF!</v>
      </c>
      <c r="G109" s="2" t="e">
        <f>G10/'Output-Calculation-sheet'!G9*'Output-Calculation-sheet'!#REF!</f>
        <v>#REF!</v>
      </c>
      <c r="H109" s="2" t="e">
        <f>H10/'Output-Calculation-sheet'!H9*'Output-Calculation-sheet'!#REF!</f>
        <v>#REF!</v>
      </c>
      <c r="I109" s="2" t="e">
        <f>I10/'Output-Calculation-sheet'!I9*'Output-Calculation-sheet'!#REF!</f>
        <v>#REF!</v>
      </c>
      <c r="J109" s="2" t="e">
        <f>J10/'Output-Calculation-sheet'!J9*'Output-Calculation-sheet'!#REF!</f>
        <v>#REF!</v>
      </c>
      <c r="K109" s="2" t="e">
        <f>K10/'Output-Calculation-sheet'!K9*'Output-Calculation-sheet'!#REF!</f>
        <v>#REF!</v>
      </c>
      <c r="L109" s="2" t="e">
        <f>L10/'Output-Calculation-sheet'!L9*'Output-Calculation-sheet'!#REF!</f>
        <v>#REF!</v>
      </c>
      <c r="M109" s="2" t="e">
        <f>M10/'Output-Calculation-sheet'!M9*'Output-Calculation-sheet'!#REF!</f>
        <v>#REF!</v>
      </c>
      <c r="N109" s="2" t="e">
        <f>N10/'Output-Calculation-sheet'!N9*'Output-Calculation-sheet'!#REF!</f>
        <v>#REF!</v>
      </c>
      <c r="O109" s="2" t="e">
        <f>O10/'Output-Calculation-sheet'!O9*'Output-Calculation-sheet'!#REF!</f>
        <v>#REF!</v>
      </c>
      <c r="P109" s="2" t="e">
        <f>P10/'Output-Calculation-sheet'!P9*'Output-Calculation-sheet'!#REF!</f>
        <v>#REF!</v>
      </c>
      <c r="Q109" s="2" t="e">
        <f>Q10/'Output-Calculation-sheet'!Q9*'Output-Calculation-sheet'!#REF!</f>
        <v>#REF!</v>
      </c>
      <c r="R109" s="2" t="e">
        <f>R10/'Output-Calculation-sheet'!R9*'Output-Calculation-sheet'!#REF!</f>
        <v>#REF!</v>
      </c>
      <c r="S109" s="2" t="e">
        <f>S10/'Output-Calculation-sheet'!S9*'Output-Calculation-sheet'!#REF!</f>
        <v>#REF!</v>
      </c>
      <c r="T109" s="2" t="e">
        <f>T10/'Output-Calculation-sheet'!T9*'Output-Calculation-sheet'!#REF!</f>
        <v>#REF!</v>
      </c>
      <c r="U109" s="2" t="e">
        <f>U10/'Output-Calculation-sheet'!U9*'Output-Calculation-sheet'!#REF!</f>
        <v>#REF!</v>
      </c>
      <c r="V109" s="2" t="e">
        <f>V10/'Output-Calculation-sheet'!V9*'Output-Calculation-sheet'!#REF!</f>
        <v>#REF!</v>
      </c>
      <c r="W109" s="2" t="e">
        <f>W10/'Output-Calculation-sheet'!W9*'Output-Calculation-sheet'!#REF!</f>
        <v>#REF!</v>
      </c>
      <c r="X109" s="2" t="e">
        <f>X10/'Output-Calculation-sheet'!X9*'Output-Calculation-sheet'!#REF!</f>
        <v>#REF!</v>
      </c>
      <c r="Y109" s="2" t="e">
        <f>Y10/'Output-Calculation-sheet'!Y9*'Output-Calculation-sheet'!#REF!</f>
        <v>#REF!</v>
      </c>
      <c r="AA109" s="2" t="e">
        <f t="shared" si="8"/>
        <v>#REF!</v>
      </c>
    </row>
    <row r="110" spans="1:27" x14ac:dyDescent="0.25">
      <c r="A110" s="2">
        <v>2034</v>
      </c>
      <c r="B110" s="2" t="e">
        <f>B11/'Output-Calculation-sheet'!B10*'Output-Calculation-sheet'!#REF!</f>
        <v>#REF!</v>
      </c>
      <c r="C110" s="2" t="e">
        <f>C11/'Output-Calculation-sheet'!C10*'Output-Calculation-sheet'!#REF!</f>
        <v>#REF!</v>
      </c>
      <c r="D110" s="2" t="e">
        <f>D11/'Output-Calculation-sheet'!D10*'Output-Calculation-sheet'!#REF!</f>
        <v>#REF!</v>
      </c>
      <c r="E110" s="2" t="e">
        <f>E11/'Output-Calculation-sheet'!E10*'Output-Calculation-sheet'!#REF!</f>
        <v>#REF!</v>
      </c>
      <c r="F110" s="2" t="e">
        <f>F11/'Output-Calculation-sheet'!F10*'Output-Calculation-sheet'!#REF!</f>
        <v>#REF!</v>
      </c>
      <c r="G110" s="2" t="e">
        <f>G11/'Output-Calculation-sheet'!G10*'Output-Calculation-sheet'!#REF!</f>
        <v>#REF!</v>
      </c>
      <c r="H110" s="2" t="e">
        <f>H11/'Output-Calculation-sheet'!H10*'Output-Calculation-sheet'!#REF!</f>
        <v>#REF!</v>
      </c>
      <c r="I110" s="2" t="e">
        <f>I11/'Output-Calculation-sheet'!I10*'Output-Calculation-sheet'!#REF!</f>
        <v>#REF!</v>
      </c>
      <c r="J110" s="2" t="e">
        <f>J11/'Output-Calculation-sheet'!J10*'Output-Calculation-sheet'!#REF!</f>
        <v>#REF!</v>
      </c>
      <c r="K110" s="2" t="e">
        <f>K11/'Output-Calculation-sheet'!K10*'Output-Calculation-sheet'!#REF!</f>
        <v>#REF!</v>
      </c>
      <c r="L110" s="2" t="e">
        <f>L11/'Output-Calculation-sheet'!L10*'Output-Calculation-sheet'!#REF!</f>
        <v>#REF!</v>
      </c>
      <c r="M110" s="2" t="e">
        <f>M11/'Output-Calculation-sheet'!M10*'Output-Calculation-sheet'!#REF!</f>
        <v>#REF!</v>
      </c>
      <c r="N110" s="2" t="e">
        <f>N11/'Output-Calculation-sheet'!N10*'Output-Calculation-sheet'!#REF!</f>
        <v>#REF!</v>
      </c>
      <c r="O110" s="2" t="e">
        <f>O11/'Output-Calculation-sheet'!O10*'Output-Calculation-sheet'!#REF!</f>
        <v>#REF!</v>
      </c>
      <c r="P110" s="2" t="e">
        <f>P11/'Output-Calculation-sheet'!P10*'Output-Calculation-sheet'!#REF!</f>
        <v>#REF!</v>
      </c>
      <c r="Q110" s="2" t="e">
        <f>Q11/'Output-Calculation-sheet'!Q10*'Output-Calculation-sheet'!#REF!</f>
        <v>#REF!</v>
      </c>
      <c r="R110" s="2" t="e">
        <f>R11/'Output-Calculation-sheet'!R10*'Output-Calculation-sheet'!#REF!</f>
        <v>#REF!</v>
      </c>
      <c r="S110" s="2" t="e">
        <f>S11/'Output-Calculation-sheet'!S10*'Output-Calculation-sheet'!#REF!</f>
        <v>#REF!</v>
      </c>
      <c r="T110" s="2" t="e">
        <f>T11/'Output-Calculation-sheet'!T10*'Output-Calculation-sheet'!#REF!</f>
        <v>#REF!</v>
      </c>
      <c r="U110" s="2" t="e">
        <f>U11/'Output-Calculation-sheet'!U10*'Output-Calculation-sheet'!#REF!</f>
        <v>#REF!</v>
      </c>
      <c r="V110" s="2" t="e">
        <f>V11/'Output-Calculation-sheet'!V10*'Output-Calculation-sheet'!#REF!</f>
        <v>#REF!</v>
      </c>
      <c r="W110" s="2" t="e">
        <f>W11/'Output-Calculation-sheet'!W10*'Output-Calculation-sheet'!#REF!</f>
        <v>#REF!</v>
      </c>
      <c r="X110" s="2" t="e">
        <f>X11/'Output-Calculation-sheet'!X10*'Output-Calculation-sheet'!#REF!</f>
        <v>#REF!</v>
      </c>
      <c r="Y110" s="2" t="e">
        <f>Y11/'Output-Calculation-sheet'!Y10*'Output-Calculation-sheet'!#REF!</f>
        <v>#REF!</v>
      </c>
      <c r="AA110" s="2" t="e">
        <f t="shared" si="8"/>
        <v>#REF!</v>
      </c>
    </row>
    <row r="111" spans="1:27" x14ac:dyDescent="0.25">
      <c r="A111" s="2">
        <v>2035</v>
      </c>
      <c r="B111" s="2" t="e">
        <f>B12/'Output-Calculation-sheet'!B11*'Output-Calculation-sheet'!#REF!</f>
        <v>#REF!</v>
      </c>
      <c r="C111" s="2" t="e">
        <f>C12/'Output-Calculation-sheet'!C11*'Output-Calculation-sheet'!#REF!</f>
        <v>#REF!</v>
      </c>
      <c r="D111" s="2" t="e">
        <f>D12/'Output-Calculation-sheet'!D11*'Output-Calculation-sheet'!#REF!</f>
        <v>#REF!</v>
      </c>
      <c r="E111" s="2" t="e">
        <f>E12/'Output-Calculation-sheet'!E11*'Output-Calculation-sheet'!#REF!</f>
        <v>#REF!</v>
      </c>
      <c r="F111" s="2" t="e">
        <f>F12/'Output-Calculation-sheet'!F11*'Output-Calculation-sheet'!#REF!</f>
        <v>#REF!</v>
      </c>
      <c r="G111" s="2" t="e">
        <f>G12/'Output-Calculation-sheet'!G11*'Output-Calculation-sheet'!#REF!</f>
        <v>#REF!</v>
      </c>
      <c r="H111" s="2" t="e">
        <f>H12/'Output-Calculation-sheet'!H11*'Output-Calculation-sheet'!#REF!</f>
        <v>#REF!</v>
      </c>
      <c r="I111" s="2" t="e">
        <f>I12/'Output-Calculation-sheet'!I11*'Output-Calculation-sheet'!#REF!</f>
        <v>#REF!</v>
      </c>
      <c r="J111" s="2" t="e">
        <f>J12/'Output-Calculation-sheet'!J11*'Output-Calculation-sheet'!#REF!</f>
        <v>#REF!</v>
      </c>
      <c r="K111" s="2" t="e">
        <f>K12/'Output-Calculation-sheet'!K11*'Output-Calculation-sheet'!#REF!</f>
        <v>#REF!</v>
      </c>
      <c r="L111" s="2" t="e">
        <f>L12/'Output-Calculation-sheet'!L11*'Output-Calculation-sheet'!#REF!</f>
        <v>#REF!</v>
      </c>
      <c r="M111" s="2" t="e">
        <f>M12/'Output-Calculation-sheet'!M11*'Output-Calculation-sheet'!#REF!</f>
        <v>#REF!</v>
      </c>
      <c r="N111" s="2" t="e">
        <f>N12/'Output-Calculation-sheet'!N11*'Output-Calculation-sheet'!#REF!</f>
        <v>#REF!</v>
      </c>
      <c r="O111" s="2" t="e">
        <f>O12/'Output-Calculation-sheet'!O11*'Output-Calculation-sheet'!#REF!</f>
        <v>#REF!</v>
      </c>
      <c r="P111" s="2" t="e">
        <f>P12/'Output-Calculation-sheet'!P11*'Output-Calculation-sheet'!#REF!</f>
        <v>#REF!</v>
      </c>
      <c r="Q111" s="2" t="e">
        <f>Q12/'Output-Calculation-sheet'!Q11*'Output-Calculation-sheet'!#REF!</f>
        <v>#REF!</v>
      </c>
      <c r="R111" s="2" t="e">
        <f>R12/'Output-Calculation-sheet'!R11*'Output-Calculation-sheet'!#REF!</f>
        <v>#REF!</v>
      </c>
      <c r="S111" s="2" t="e">
        <f>S12/'Output-Calculation-sheet'!S11*'Output-Calculation-sheet'!#REF!</f>
        <v>#REF!</v>
      </c>
      <c r="T111" s="2" t="e">
        <f>T12/'Output-Calculation-sheet'!T11*'Output-Calculation-sheet'!#REF!</f>
        <v>#REF!</v>
      </c>
      <c r="U111" s="2" t="e">
        <f>U12/'Output-Calculation-sheet'!U11*'Output-Calculation-sheet'!#REF!</f>
        <v>#REF!</v>
      </c>
      <c r="V111" s="2" t="e">
        <f>V12/'Output-Calculation-sheet'!V11*'Output-Calculation-sheet'!#REF!</f>
        <v>#REF!</v>
      </c>
      <c r="W111" s="2" t="e">
        <f>W12/'Output-Calculation-sheet'!W11*'Output-Calculation-sheet'!#REF!</f>
        <v>#REF!</v>
      </c>
      <c r="X111" s="2" t="e">
        <f>X12/'Output-Calculation-sheet'!X11*'Output-Calculation-sheet'!#REF!</f>
        <v>#REF!</v>
      </c>
      <c r="Y111" s="2" t="e">
        <f>Y12/'Output-Calculation-sheet'!Y11*'Output-Calculation-sheet'!#REF!</f>
        <v>#REF!</v>
      </c>
      <c r="AA111" s="2" t="e">
        <f t="shared" si="8"/>
        <v>#REF!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B5/'Output-Calculation-sheet'!B4*'Output-Calculation-sheet'!#REF!</f>
        <v>#REF!</v>
      </c>
      <c r="C115" s="2" t="e">
        <f>C5/'Output-Calculation-sheet'!C4*'Output-Calculation-sheet'!#REF!</f>
        <v>#REF!</v>
      </c>
      <c r="D115" s="2" t="e">
        <f>D5/'Output-Calculation-sheet'!D4*'Output-Calculation-sheet'!#REF!</f>
        <v>#REF!</v>
      </c>
      <c r="E115" s="2" t="e">
        <f>E5/'Output-Calculation-sheet'!E4*'Output-Calculation-sheet'!#REF!</f>
        <v>#REF!</v>
      </c>
      <c r="F115" s="2" t="e">
        <f>F5/'Output-Calculation-sheet'!F4*'Output-Calculation-sheet'!#REF!</f>
        <v>#REF!</v>
      </c>
      <c r="G115" s="2" t="e">
        <f>G5/'Output-Calculation-sheet'!G4*'Output-Calculation-sheet'!#REF!</f>
        <v>#REF!</v>
      </c>
      <c r="H115" s="2" t="e">
        <f>H5/'Output-Calculation-sheet'!H4*'Output-Calculation-sheet'!#REF!</f>
        <v>#REF!</v>
      </c>
      <c r="I115" s="2" t="e">
        <f>I5/'Output-Calculation-sheet'!I4*'Output-Calculation-sheet'!#REF!</f>
        <v>#REF!</v>
      </c>
      <c r="J115" s="2" t="e">
        <f>J5/'Output-Calculation-sheet'!J4*'Output-Calculation-sheet'!#REF!</f>
        <v>#REF!</v>
      </c>
      <c r="K115" s="2" t="e">
        <f>K5/'Output-Calculation-sheet'!K4*'Output-Calculation-sheet'!#REF!</f>
        <v>#REF!</v>
      </c>
      <c r="L115" s="2" t="e">
        <f>L5/'Output-Calculation-sheet'!L4*'Output-Calculation-sheet'!#REF!</f>
        <v>#REF!</v>
      </c>
      <c r="M115" s="2" t="e">
        <f>M5/'Output-Calculation-sheet'!M4*'Output-Calculation-sheet'!#REF!</f>
        <v>#REF!</v>
      </c>
      <c r="N115" s="2" t="e">
        <f>N5/'Output-Calculation-sheet'!N4*'Output-Calculation-sheet'!#REF!</f>
        <v>#REF!</v>
      </c>
      <c r="O115" s="2" t="e">
        <f>O5/'Output-Calculation-sheet'!O4*'Output-Calculation-sheet'!#REF!</f>
        <v>#REF!</v>
      </c>
      <c r="P115" s="2" t="e">
        <f>P5/'Output-Calculation-sheet'!P4*'Output-Calculation-sheet'!#REF!</f>
        <v>#REF!</v>
      </c>
      <c r="Q115" s="2" t="e">
        <f>Q5/'Output-Calculation-sheet'!Q4*'Output-Calculation-sheet'!#REF!</f>
        <v>#REF!</v>
      </c>
      <c r="R115" s="2" t="e">
        <f>R5/'Output-Calculation-sheet'!R4*'Output-Calculation-sheet'!#REF!</f>
        <v>#REF!</v>
      </c>
      <c r="S115" s="2" t="e">
        <f>S5/'Output-Calculation-sheet'!S4*'Output-Calculation-sheet'!#REF!</f>
        <v>#REF!</v>
      </c>
      <c r="T115" s="2" t="e">
        <f>T5/'Output-Calculation-sheet'!T4*'Output-Calculation-sheet'!#REF!</f>
        <v>#REF!</v>
      </c>
      <c r="U115" s="2" t="e">
        <f>U5/'Output-Calculation-sheet'!U4*'Output-Calculation-sheet'!#REF!</f>
        <v>#REF!</v>
      </c>
      <c r="V115" s="2" t="e">
        <f>V5/'Output-Calculation-sheet'!V4*'Output-Calculation-sheet'!#REF!</f>
        <v>#REF!</v>
      </c>
      <c r="W115" s="2" t="e">
        <f>W5/'Output-Calculation-sheet'!W4*'Output-Calculation-sheet'!#REF!</f>
        <v>#REF!</v>
      </c>
      <c r="X115" s="2" t="e">
        <f>X5/'Output-Calculation-sheet'!X4*'Output-Calculation-sheet'!#REF!</f>
        <v>#REF!</v>
      </c>
      <c r="Y115" s="2" t="e">
        <f>Y5/'Output-Calculation-sheet'!Y4*'Output-Calculation-sheet'!#REF!</f>
        <v>#REF!</v>
      </c>
      <c r="AA115" s="2" t="e">
        <f>SUM(B115:Y115)/10^6</f>
        <v>#REF!</v>
      </c>
    </row>
    <row r="116" spans="1:27" x14ac:dyDescent="0.25">
      <c r="A116" s="2">
        <v>2029</v>
      </c>
      <c r="B116" s="2" t="e">
        <f>B6/'Output-Calculation-sheet'!B5*'Output-Calculation-sheet'!#REF!</f>
        <v>#REF!</v>
      </c>
      <c r="C116" s="2" t="e">
        <f>C6/'Output-Calculation-sheet'!C5*'Output-Calculation-sheet'!#REF!</f>
        <v>#REF!</v>
      </c>
      <c r="D116" s="2" t="e">
        <f>D6/'Output-Calculation-sheet'!D5*'Output-Calculation-sheet'!#REF!</f>
        <v>#REF!</v>
      </c>
      <c r="E116" s="2" t="e">
        <f>E6/'Output-Calculation-sheet'!E5*'Output-Calculation-sheet'!#REF!</f>
        <v>#REF!</v>
      </c>
      <c r="F116" s="2" t="e">
        <f>F6/'Output-Calculation-sheet'!F5*'Output-Calculation-sheet'!#REF!</f>
        <v>#REF!</v>
      </c>
      <c r="G116" s="2" t="e">
        <f>G6/'Output-Calculation-sheet'!G5*'Output-Calculation-sheet'!#REF!</f>
        <v>#REF!</v>
      </c>
      <c r="H116" s="2" t="e">
        <f>H6/'Output-Calculation-sheet'!H5*'Output-Calculation-sheet'!#REF!</f>
        <v>#REF!</v>
      </c>
      <c r="I116" s="2" t="e">
        <f>I6/'Output-Calculation-sheet'!I5*'Output-Calculation-sheet'!#REF!</f>
        <v>#REF!</v>
      </c>
      <c r="J116" s="2" t="e">
        <f>J6/'Output-Calculation-sheet'!J5*'Output-Calculation-sheet'!#REF!</f>
        <v>#REF!</v>
      </c>
      <c r="K116" s="2" t="e">
        <f>K6/'Output-Calculation-sheet'!K5*'Output-Calculation-sheet'!#REF!</f>
        <v>#REF!</v>
      </c>
      <c r="L116" s="2" t="e">
        <f>L6/'Output-Calculation-sheet'!L5*'Output-Calculation-sheet'!#REF!</f>
        <v>#REF!</v>
      </c>
      <c r="M116" s="2" t="e">
        <f>M6/'Output-Calculation-sheet'!M5*'Output-Calculation-sheet'!#REF!</f>
        <v>#REF!</v>
      </c>
      <c r="N116" s="2" t="e">
        <f>N6/'Output-Calculation-sheet'!N5*'Output-Calculation-sheet'!#REF!</f>
        <v>#REF!</v>
      </c>
      <c r="O116" s="2" t="e">
        <f>O6/'Output-Calculation-sheet'!O5*'Output-Calculation-sheet'!#REF!</f>
        <v>#REF!</v>
      </c>
      <c r="P116" s="2" t="e">
        <f>P6/'Output-Calculation-sheet'!P5*'Output-Calculation-sheet'!#REF!</f>
        <v>#REF!</v>
      </c>
      <c r="Q116" s="2" t="e">
        <f>Q6/'Output-Calculation-sheet'!Q5*'Output-Calculation-sheet'!#REF!</f>
        <v>#REF!</v>
      </c>
      <c r="R116" s="2" t="e">
        <f>R6/'Output-Calculation-sheet'!R5*'Output-Calculation-sheet'!#REF!</f>
        <v>#REF!</v>
      </c>
      <c r="S116" s="2" t="e">
        <f>S6/'Output-Calculation-sheet'!S5*'Output-Calculation-sheet'!#REF!</f>
        <v>#REF!</v>
      </c>
      <c r="T116" s="2" t="e">
        <f>T6/'Output-Calculation-sheet'!T5*'Output-Calculation-sheet'!#REF!</f>
        <v>#REF!</v>
      </c>
      <c r="U116" s="2" t="e">
        <f>U6/'Output-Calculation-sheet'!U5*'Output-Calculation-sheet'!#REF!</f>
        <v>#REF!</v>
      </c>
      <c r="V116" s="2" t="e">
        <f>V6/'Output-Calculation-sheet'!V5*'Output-Calculation-sheet'!#REF!</f>
        <v>#REF!</v>
      </c>
      <c r="W116" s="2" t="e">
        <f>W6/'Output-Calculation-sheet'!W5*'Output-Calculation-sheet'!#REF!</f>
        <v>#REF!</v>
      </c>
      <c r="X116" s="2" t="e">
        <f>X6/'Output-Calculation-sheet'!X5*'Output-Calculation-sheet'!#REF!</f>
        <v>#REF!</v>
      </c>
      <c r="Y116" s="2" t="e">
        <f>Y6/'Output-Calculation-sheet'!Y5*'Output-Calculation-sheet'!#REF!</f>
        <v>#REF!</v>
      </c>
      <c r="AA116" s="2" t="e">
        <f t="shared" ref="AA116:AA122" si="9">SUM(B116:Y116)/10^6</f>
        <v>#REF!</v>
      </c>
    </row>
    <row r="117" spans="1:27" x14ac:dyDescent="0.25">
      <c r="A117" s="2">
        <v>2030</v>
      </c>
      <c r="B117" s="2" t="e">
        <f>B7/'Output-Calculation-sheet'!B6*'Output-Calculation-sheet'!#REF!</f>
        <v>#REF!</v>
      </c>
      <c r="C117" s="2" t="e">
        <f>C7/'Output-Calculation-sheet'!C6*'Output-Calculation-sheet'!#REF!</f>
        <v>#REF!</v>
      </c>
      <c r="D117" s="2" t="e">
        <f>D7/'Output-Calculation-sheet'!D6*'Output-Calculation-sheet'!#REF!</f>
        <v>#REF!</v>
      </c>
      <c r="E117" s="2" t="e">
        <f>E7/'Output-Calculation-sheet'!E6*'Output-Calculation-sheet'!#REF!</f>
        <v>#REF!</v>
      </c>
      <c r="F117" s="2" t="e">
        <f>F7/'Output-Calculation-sheet'!F6*'Output-Calculation-sheet'!#REF!</f>
        <v>#REF!</v>
      </c>
      <c r="G117" s="2" t="e">
        <f>G7/'Output-Calculation-sheet'!G6*'Output-Calculation-sheet'!#REF!</f>
        <v>#REF!</v>
      </c>
      <c r="H117" s="2" t="e">
        <f>H7/'Output-Calculation-sheet'!H6*'Output-Calculation-sheet'!#REF!</f>
        <v>#REF!</v>
      </c>
      <c r="I117" s="2" t="e">
        <f>I7/'Output-Calculation-sheet'!I6*'Output-Calculation-sheet'!#REF!</f>
        <v>#REF!</v>
      </c>
      <c r="J117" s="2" t="e">
        <f>J7/'Output-Calculation-sheet'!J6*'Output-Calculation-sheet'!#REF!</f>
        <v>#REF!</v>
      </c>
      <c r="K117" s="2" t="e">
        <f>K7/'Output-Calculation-sheet'!K6*'Output-Calculation-sheet'!#REF!</f>
        <v>#REF!</v>
      </c>
      <c r="L117" s="2" t="e">
        <f>L7/'Output-Calculation-sheet'!L6*'Output-Calculation-sheet'!#REF!</f>
        <v>#REF!</v>
      </c>
      <c r="M117" s="2" t="e">
        <f>M7/'Output-Calculation-sheet'!M6*'Output-Calculation-sheet'!#REF!</f>
        <v>#REF!</v>
      </c>
      <c r="N117" s="2" t="e">
        <f>N7/'Output-Calculation-sheet'!N6*'Output-Calculation-sheet'!#REF!</f>
        <v>#REF!</v>
      </c>
      <c r="O117" s="2" t="e">
        <f>O7/'Output-Calculation-sheet'!O6*'Output-Calculation-sheet'!#REF!</f>
        <v>#REF!</v>
      </c>
      <c r="P117" s="2" t="e">
        <f>P7/'Output-Calculation-sheet'!P6*'Output-Calculation-sheet'!#REF!</f>
        <v>#REF!</v>
      </c>
      <c r="Q117" s="2" t="e">
        <f>Q7/'Output-Calculation-sheet'!Q6*'Output-Calculation-sheet'!#REF!</f>
        <v>#REF!</v>
      </c>
      <c r="R117" s="2" t="e">
        <f>R7/'Output-Calculation-sheet'!R6*'Output-Calculation-sheet'!#REF!</f>
        <v>#REF!</v>
      </c>
      <c r="S117" s="2" t="e">
        <f>S7/'Output-Calculation-sheet'!S6*'Output-Calculation-sheet'!#REF!</f>
        <v>#REF!</v>
      </c>
      <c r="T117" s="2" t="e">
        <f>T7/'Output-Calculation-sheet'!T6*'Output-Calculation-sheet'!#REF!</f>
        <v>#REF!</v>
      </c>
      <c r="U117" s="2" t="e">
        <f>U7/'Output-Calculation-sheet'!U6*'Output-Calculation-sheet'!#REF!</f>
        <v>#REF!</v>
      </c>
      <c r="V117" s="2" t="e">
        <f>V7/'Output-Calculation-sheet'!V6*'Output-Calculation-sheet'!#REF!</f>
        <v>#REF!</v>
      </c>
      <c r="W117" s="2" t="e">
        <f>W7/'Output-Calculation-sheet'!W6*'Output-Calculation-sheet'!#REF!</f>
        <v>#REF!</v>
      </c>
      <c r="X117" s="2" t="e">
        <f>X7/'Output-Calculation-sheet'!X6*'Output-Calculation-sheet'!#REF!</f>
        <v>#REF!</v>
      </c>
      <c r="Y117" s="2" t="e">
        <f>Y7/'Output-Calculation-sheet'!Y6*'Output-Calculation-sheet'!#REF!</f>
        <v>#REF!</v>
      </c>
      <c r="AA117" s="2" t="e">
        <f t="shared" si="9"/>
        <v>#REF!</v>
      </c>
    </row>
    <row r="118" spans="1:27" x14ac:dyDescent="0.25">
      <c r="A118" s="2">
        <v>2031</v>
      </c>
      <c r="B118" s="2" t="e">
        <f>B8/'Output-Calculation-sheet'!B7*'Output-Calculation-sheet'!#REF!</f>
        <v>#REF!</v>
      </c>
      <c r="C118" s="2" t="e">
        <f>C8/'Output-Calculation-sheet'!C7*'Output-Calculation-sheet'!#REF!</f>
        <v>#REF!</v>
      </c>
      <c r="D118" s="2" t="e">
        <f>D8/'Output-Calculation-sheet'!D7*'Output-Calculation-sheet'!#REF!</f>
        <v>#REF!</v>
      </c>
      <c r="E118" s="2" t="e">
        <f>E8/'Output-Calculation-sheet'!E7*'Output-Calculation-sheet'!#REF!</f>
        <v>#REF!</v>
      </c>
      <c r="F118" s="2" t="e">
        <f>F8/'Output-Calculation-sheet'!F7*'Output-Calculation-sheet'!#REF!</f>
        <v>#REF!</v>
      </c>
      <c r="G118" s="2" t="e">
        <f>G8/'Output-Calculation-sheet'!G7*'Output-Calculation-sheet'!#REF!</f>
        <v>#REF!</v>
      </c>
      <c r="H118" s="2" t="e">
        <f>H8/'Output-Calculation-sheet'!H7*'Output-Calculation-sheet'!#REF!</f>
        <v>#REF!</v>
      </c>
      <c r="I118" s="2" t="e">
        <f>I8/'Output-Calculation-sheet'!I7*'Output-Calculation-sheet'!#REF!</f>
        <v>#REF!</v>
      </c>
      <c r="J118" s="2" t="e">
        <f>J8/'Output-Calculation-sheet'!J7*'Output-Calculation-sheet'!#REF!</f>
        <v>#REF!</v>
      </c>
      <c r="K118" s="2" t="e">
        <f>K8/'Output-Calculation-sheet'!K7*'Output-Calculation-sheet'!#REF!</f>
        <v>#REF!</v>
      </c>
      <c r="L118" s="2" t="e">
        <f>L8/'Output-Calculation-sheet'!L7*'Output-Calculation-sheet'!#REF!</f>
        <v>#REF!</v>
      </c>
      <c r="M118" s="2" t="e">
        <f>M8/'Output-Calculation-sheet'!M7*'Output-Calculation-sheet'!#REF!</f>
        <v>#REF!</v>
      </c>
      <c r="N118" s="2" t="e">
        <f>N8/'Output-Calculation-sheet'!N7*'Output-Calculation-sheet'!#REF!</f>
        <v>#REF!</v>
      </c>
      <c r="O118" s="2" t="e">
        <f>O8/'Output-Calculation-sheet'!O7*'Output-Calculation-sheet'!#REF!</f>
        <v>#REF!</v>
      </c>
      <c r="P118" s="2" t="e">
        <f>P8/'Output-Calculation-sheet'!P7*'Output-Calculation-sheet'!#REF!</f>
        <v>#REF!</v>
      </c>
      <c r="Q118" s="2" t="e">
        <f>Q8/'Output-Calculation-sheet'!Q7*'Output-Calculation-sheet'!#REF!</f>
        <v>#REF!</v>
      </c>
      <c r="R118" s="2" t="e">
        <f>R8/'Output-Calculation-sheet'!R7*'Output-Calculation-sheet'!#REF!</f>
        <v>#REF!</v>
      </c>
      <c r="S118" s="2" t="e">
        <f>S8/'Output-Calculation-sheet'!S7*'Output-Calculation-sheet'!#REF!</f>
        <v>#REF!</v>
      </c>
      <c r="T118" s="2" t="e">
        <f>T8/'Output-Calculation-sheet'!T7*'Output-Calculation-sheet'!#REF!</f>
        <v>#REF!</v>
      </c>
      <c r="U118" s="2" t="e">
        <f>U8/'Output-Calculation-sheet'!U7*'Output-Calculation-sheet'!#REF!</f>
        <v>#REF!</v>
      </c>
      <c r="V118" s="2" t="e">
        <f>V8/'Output-Calculation-sheet'!V7*'Output-Calculation-sheet'!#REF!</f>
        <v>#REF!</v>
      </c>
      <c r="W118" s="2" t="e">
        <f>W8/'Output-Calculation-sheet'!W7*'Output-Calculation-sheet'!#REF!</f>
        <v>#REF!</v>
      </c>
      <c r="X118" s="2" t="e">
        <f>X8/'Output-Calculation-sheet'!X7*'Output-Calculation-sheet'!#REF!</f>
        <v>#REF!</v>
      </c>
      <c r="Y118" s="2" t="e">
        <f>Y8/'Output-Calculation-sheet'!Y7*'Output-Calculation-sheet'!#REF!</f>
        <v>#REF!</v>
      </c>
      <c r="AA118" s="2" t="e">
        <f t="shared" si="9"/>
        <v>#REF!</v>
      </c>
    </row>
    <row r="119" spans="1:27" x14ac:dyDescent="0.25">
      <c r="A119" s="2">
        <v>2032</v>
      </c>
      <c r="B119" s="2" t="e">
        <f>B9/'Output-Calculation-sheet'!B8*'Output-Calculation-sheet'!#REF!</f>
        <v>#REF!</v>
      </c>
      <c r="C119" s="2" t="e">
        <f>C9/'Output-Calculation-sheet'!C8*'Output-Calculation-sheet'!#REF!</f>
        <v>#REF!</v>
      </c>
      <c r="D119" s="2" t="e">
        <f>D9/'Output-Calculation-sheet'!D8*'Output-Calculation-sheet'!#REF!</f>
        <v>#REF!</v>
      </c>
      <c r="E119" s="2" t="e">
        <f>E9/'Output-Calculation-sheet'!E8*'Output-Calculation-sheet'!#REF!</f>
        <v>#REF!</v>
      </c>
      <c r="F119" s="2" t="e">
        <f>F9/'Output-Calculation-sheet'!F8*'Output-Calculation-sheet'!#REF!</f>
        <v>#REF!</v>
      </c>
      <c r="G119" s="2" t="e">
        <f>G9/'Output-Calculation-sheet'!G8*'Output-Calculation-sheet'!#REF!</f>
        <v>#REF!</v>
      </c>
      <c r="H119" s="2" t="e">
        <f>H9/'Output-Calculation-sheet'!H8*'Output-Calculation-sheet'!#REF!</f>
        <v>#REF!</v>
      </c>
      <c r="I119" s="2" t="e">
        <f>I9/'Output-Calculation-sheet'!I8*'Output-Calculation-sheet'!#REF!</f>
        <v>#REF!</v>
      </c>
      <c r="J119" s="2" t="e">
        <f>J9/'Output-Calculation-sheet'!J8*'Output-Calculation-sheet'!#REF!</f>
        <v>#REF!</v>
      </c>
      <c r="K119" s="2" t="e">
        <f>K9/'Output-Calculation-sheet'!K8*'Output-Calculation-sheet'!#REF!</f>
        <v>#REF!</v>
      </c>
      <c r="L119" s="2" t="e">
        <f>L9/'Output-Calculation-sheet'!L8*'Output-Calculation-sheet'!#REF!</f>
        <v>#REF!</v>
      </c>
      <c r="M119" s="2" t="e">
        <f>M9/'Output-Calculation-sheet'!M8*'Output-Calculation-sheet'!#REF!</f>
        <v>#REF!</v>
      </c>
      <c r="N119" s="2" t="e">
        <f>N9/'Output-Calculation-sheet'!N8*'Output-Calculation-sheet'!#REF!</f>
        <v>#REF!</v>
      </c>
      <c r="O119" s="2" t="e">
        <f>O9/'Output-Calculation-sheet'!O8*'Output-Calculation-sheet'!#REF!</f>
        <v>#REF!</v>
      </c>
      <c r="P119" s="2" t="e">
        <f>P9/'Output-Calculation-sheet'!P8*'Output-Calculation-sheet'!#REF!</f>
        <v>#REF!</v>
      </c>
      <c r="Q119" s="2" t="e">
        <f>Q9/'Output-Calculation-sheet'!Q8*'Output-Calculation-sheet'!#REF!</f>
        <v>#REF!</v>
      </c>
      <c r="R119" s="2" t="e">
        <f>R9/'Output-Calculation-sheet'!R8*'Output-Calculation-sheet'!#REF!</f>
        <v>#REF!</v>
      </c>
      <c r="S119" s="2" t="e">
        <f>S9/'Output-Calculation-sheet'!S8*'Output-Calculation-sheet'!#REF!</f>
        <v>#REF!</v>
      </c>
      <c r="T119" s="2" t="e">
        <f>T9/'Output-Calculation-sheet'!T8*'Output-Calculation-sheet'!#REF!</f>
        <v>#REF!</v>
      </c>
      <c r="U119" s="2" t="e">
        <f>U9/'Output-Calculation-sheet'!U8*'Output-Calculation-sheet'!#REF!</f>
        <v>#REF!</v>
      </c>
      <c r="V119" s="2" t="e">
        <f>V9/'Output-Calculation-sheet'!V8*'Output-Calculation-sheet'!#REF!</f>
        <v>#REF!</v>
      </c>
      <c r="W119" s="2" t="e">
        <f>W9/'Output-Calculation-sheet'!W8*'Output-Calculation-sheet'!#REF!</f>
        <v>#REF!</v>
      </c>
      <c r="X119" s="2" t="e">
        <f>X9/'Output-Calculation-sheet'!X8*'Output-Calculation-sheet'!#REF!</f>
        <v>#REF!</v>
      </c>
      <c r="Y119" s="2" t="e">
        <f>Y9/'Output-Calculation-sheet'!Y8*'Output-Calculation-sheet'!#REF!</f>
        <v>#REF!</v>
      </c>
      <c r="AA119" s="2" t="e">
        <f t="shared" si="9"/>
        <v>#REF!</v>
      </c>
    </row>
    <row r="120" spans="1:27" x14ac:dyDescent="0.25">
      <c r="A120" s="2">
        <v>2033</v>
      </c>
      <c r="B120" s="2" t="e">
        <f>B10/'Output-Calculation-sheet'!B9*'Output-Calculation-sheet'!#REF!</f>
        <v>#REF!</v>
      </c>
      <c r="C120" s="2" t="e">
        <f>C10/'Output-Calculation-sheet'!C9*'Output-Calculation-sheet'!#REF!</f>
        <v>#REF!</v>
      </c>
      <c r="D120" s="2" t="e">
        <f>D10/'Output-Calculation-sheet'!D9*'Output-Calculation-sheet'!#REF!</f>
        <v>#REF!</v>
      </c>
      <c r="E120" s="2" t="e">
        <f>E10/'Output-Calculation-sheet'!E9*'Output-Calculation-sheet'!#REF!</f>
        <v>#REF!</v>
      </c>
      <c r="F120" s="2" t="e">
        <f>F10/'Output-Calculation-sheet'!F9*'Output-Calculation-sheet'!#REF!</f>
        <v>#REF!</v>
      </c>
      <c r="G120" s="2" t="e">
        <f>G10/'Output-Calculation-sheet'!G9*'Output-Calculation-sheet'!#REF!</f>
        <v>#REF!</v>
      </c>
      <c r="H120" s="2" t="e">
        <f>H10/'Output-Calculation-sheet'!H9*'Output-Calculation-sheet'!#REF!</f>
        <v>#REF!</v>
      </c>
      <c r="I120" s="2" t="e">
        <f>I10/'Output-Calculation-sheet'!I9*'Output-Calculation-sheet'!#REF!</f>
        <v>#REF!</v>
      </c>
      <c r="J120" s="2" t="e">
        <f>J10/'Output-Calculation-sheet'!J9*'Output-Calculation-sheet'!#REF!</f>
        <v>#REF!</v>
      </c>
      <c r="K120" s="2" t="e">
        <f>K10/'Output-Calculation-sheet'!K9*'Output-Calculation-sheet'!#REF!</f>
        <v>#REF!</v>
      </c>
      <c r="L120" s="2" t="e">
        <f>L10/'Output-Calculation-sheet'!L9*'Output-Calculation-sheet'!#REF!</f>
        <v>#REF!</v>
      </c>
      <c r="M120" s="2" t="e">
        <f>M10/'Output-Calculation-sheet'!M9*'Output-Calculation-sheet'!#REF!</f>
        <v>#REF!</v>
      </c>
      <c r="N120" s="2" t="e">
        <f>N10/'Output-Calculation-sheet'!N9*'Output-Calculation-sheet'!#REF!</f>
        <v>#REF!</v>
      </c>
      <c r="O120" s="2" t="e">
        <f>O10/'Output-Calculation-sheet'!O9*'Output-Calculation-sheet'!#REF!</f>
        <v>#REF!</v>
      </c>
      <c r="P120" s="2" t="e">
        <f>P10/'Output-Calculation-sheet'!P9*'Output-Calculation-sheet'!#REF!</f>
        <v>#REF!</v>
      </c>
      <c r="Q120" s="2" t="e">
        <f>Q10/'Output-Calculation-sheet'!Q9*'Output-Calculation-sheet'!#REF!</f>
        <v>#REF!</v>
      </c>
      <c r="R120" s="2" t="e">
        <f>R10/'Output-Calculation-sheet'!R9*'Output-Calculation-sheet'!#REF!</f>
        <v>#REF!</v>
      </c>
      <c r="S120" s="2" t="e">
        <f>S10/'Output-Calculation-sheet'!S9*'Output-Calculation-sheet'!#REF!</f>
        <v>#REF!</v>
      </c>
      <c r="T120" s="2" t="e">
        <f>T10/'Output-Calculation-sheet'!T9*'Output-Calculation-sheet'!#REF!</f>
        <v>#REF!</v>
      </c>
      <c r="U120" s="2" t="e">
        <f>U10/'Output-Calculation-sheet'!U9*'Output-Calculation-sheet'!#REF!</f>
        <v>#REF!</v>
      </c>
      <c r="V120" s="2" t="e">
        <f>V10/'Output-Calculation-sheet'!V9*'Output-Calculation-sheet'!#REF!</f>
        <v>#REF!</v>
      </c>
      <c r="W120" s="2" t="e">
        <f>W10/'Output-Calculation-sheet'!W9*'Output-Calculation-sheet'!#REF!</f>
        <v>#REF!</v>
      </c>
      <c r="X120" s="2" t="e">
        <f>X10/'Output-Calculation-sheet'!X9*'Output-Calculation-sheet'!#REF!</f>
        <v>#REF!</v>
      </c>
      <c r="Y120" s="2" t="e">
        <f>Y10/'Output-Calculation-sheet'!Y9*'Output-Calculation-sheet'!#REF!</f>
        <v>#REF!</v>
      </c>
      <c r="AA120" s="2" t="e">
        <f t="shared" si="9"/>
        <v>#REF!</v>
      </c>
    </row>
    <row r="121" spans="1:27" x14ac:dyDescent="0.25">
      <c r="A121" s="2">
        <v>2034</v>
      </c>
      <c r="B121" s="2" t="e">
        <f>B11/'Output-Calculation-sheet'!B10*'Output-Calculation-sheet'!#REF!</f>
        <v>#REF!</v>
      </c>
      <c r="C121" s="2" t="e">
        <f>C11/'Output-Calculation-sheet'!C10*'Output-Calculation-sheet'!#REF!</f>
        <v>#REF!</v>
      </c>
      <c r="D121" s="2" t="e">
        <f>D11/'Output-Calculation-sheet'!D10*'Output-Calculation-sheet'!#REF!</f>
        <v>#REF!</v>
      </c>
      <c r="E121" s="2" t="e">
        <f>E11/'Output-Calculation-sheet'!E10*'Output-Calculation-sheet'!#REF!</f>
        <v>#REF!</v>
      </c>
      <c r="F121" s="2" t="e">
        <f>F11/'Output-Calculation-sheet'!F10*'Output-Calculation-sheet'!#REF!</f>
        <v>#REF!</v>
      </c>
      <c r="G121" s="2" t="e">
        <f>G11/'Output-Calculation-sheet'!G10*'Output-Calculation-sheet'!#REF!</f>
        <v>#REF!</v>
      </c>
      <c r="H121" s="2" t="e">
        <f>H11/'Output-Calculation-sheet'!H10*'Output-Calculation-sheet'!#REF!</f>
        <v>#REF!</v>
      </c>
      <c r="I121" s="2" t="e">
        <f>I11/'Output-Calculation-sheet'!I10*'Output-Calculation-sheet'!#REF!</f>
        <v>#REF!</v>
      </c>
      <c r="J121" s="2" t="e">
        <f>J11/'Output-Calculation-sheet'!J10*'Output-Calculation-sheet'!#REF!</f>
        <v>#REF!</v>
      </c>
      <c r="K121" s="2" t="e">
        <f>K11/'Output-Calculation-sheet'!K10*'Output-Calculation-sheet'!#REF!</f>
        <v>#REF!</v>
      </c>
      <c r="L121" s="2" t="e">
        <f>L11/'Output-Calculation-sheet'!L10*'Output-Calculation-sheet'!#REF!</f>
        <v>#REF!</v>
      </c>
      <c r="M121" s="2" t="e">
        <f>M11/'Output-Calculation-sheet'!M10*'Output-Calculation-sheet'!#REF!</f>
        <v>#REF!</v>
      </c>
      <c r="N121" s="2" t="e">
        <f>N11/'Output-Calculation-sheet'!N10*'Output-Calculation-sheet'!#REF!</f>
        <v>#REF!</v>
      </c>
      <c r="O121" s="2" t="e">
        <f>O11/'Output-Calculation-sheet'!O10*'Output-Calculation-sheet'!#REF!</f>
        <v>#REF!</v>
      </c>
      <c r="P121" s="2" t="e">
        <f>P11/'Output-Calculation-sheet'!P10*'Output-Calculation-sheet'!#REF!</f>
        <v>#REF!</v>
      </c>
      <c r="Q121" s="2" t="e">
        <f>Q11/'Output-Calculation-sheet'!Q10*'Output-Calculation-sheet'!#REF!</f>
        <v>#REF!</v>
      </c>
      <c r="R121" s="2" t="e">
        <f>R11/'Output-Calculation-sheet'!R10*'Output-Calculation-sheet'!#REF!</f>
        <v>#REF!</v>
      </c>
      <c r="S121" s="2" t="e">
        <f>S11/'Output-Calculation-sheet'!S10*'Output-Calculation-sheet'!#REF!</f>
        <v>#REF!</v>
      </c>
      <c r="T121" s="2" t="e">
        <f>T11/'Output-Calculation-sheet'!T10*'Output-Calculation-sheet'!#REF!</f>
        <v>#REF!</v>
      </c>
      <c r="U121" s="2" t="e">
        <f>U11/'Output-Calculation-sheet'!U10*'Output-Calculation-sheet'!#REF!</f>
        <v>#REF!</v>
      </c>
      <c r="V121" s="2" t="e">
        <f>V11/'Output-Calculation-sheet'!V10*'Output-Calculation-sheet'!#REF!</f>
        <v>#REF!</v>
      </c>
      <c r="W121" s="2" t="e">
        <f>W11/'Output-Calculation-sheet'!W10*'Output-Calculation-sheet'!#REF!</f>
        <v>#REF!</v>
      </c>
      <c r="X121" s="2" t="e">
        <f>X11/'Output-Calculation-sheet'!X10*'Output-Calculation-sheet'!#REF!</f>
        <v>#REF!</v>
      </c>
      <c r="Y121" s="2" t="e">
        <f>Y11/'Output-Calculation-sheet'!Y10*'Output-Calculation-sheet'!#REF!</f>
        <v>#REF!</v>
      </c>
      <c r="AA121" s="2" t="e">
        <f t="shared" si="9"/>
        <v>#REF!</v>
      </c>
    </row>
    <row r="122" spans="1:27" x14ac:dyDescent="0.25">
      <c r="A122" s="2">
        <v>2035</v>
      </c>
      <c r="B122" s="2" t="e">
        <f>B12/'Output-Calculation-sheet'!B11*'Output-Calculation-sheet'!#REF!</f>
        <v>#REF!</v>
      </c>
      <c r="C122" s="2" t="e">
        <f>C12/'Output-Calculation-sheet'!C11*'Output-Calculation-sheet'!#REF!</f>
        <v>#REF!</v>
      </c>
      <c r="D122" s="2" t="e">
        <f>D12/'Output-Calculation-sheet'!D11*'Output-Calculation-sheet'!#REF!</f>
        <v>#REF!</v>
      </c>
      <c r="E122" s="2" t="e">
        <f>E12/'Output-Calculation-sheet'!E11*'Output-Calculation-sheet'!#REF!</f>
        <v>#REF!</v>
      </c>
      <c r="F122" s="2" t="e">
        <f>F12/'Output-Calculation-sheet'!F11*'Output-Calculation-sheet'!#REF!</f>
        <v>#REF!</v>
      </c>
      <c r="G122" s="2" t="e">
        <f>G12/'Output-Calculation-sheet'!G11*'Output-Calculation-sheet'!#REF!</f>
        <v>#REF!</v>
      </c>
      <c r="H122" s="2" t="e">
        <f>H12/'Output-Calculation-sheet'!H11*'Output-Calculation-sheet'!#REF!</f>
        <v>#REF!</v>
      </c>
      <c r="I122" s="2" t="e">
        <f>I12/'Output-Calculation-sheet'!I11*'Output-Calculation-sheet'!#REF!</f>
        <v>#REF!</v>
      </c>
      <c r="J122" s="2" t="e">
        <f>J12/'Output-Calculation-sheet'!J11*'Output-Calculation-sheet'!#REF!</f>
        <v>#REF!</v>
      </c>
      <c r="K122" s="2" t="e">
        <f>K12/'Output-Calculation-sheet'!K11*'Output-Calculation-sheet'!#REF!</f>
        <v>#REF!</v>
      </c>
      <c r="L122" s="2" t="e">
        <f>L12/'Output-Calculation-sheet'!L11*'Output-Calculation-sheet'!#REF!</f>
        <v>#REF!</v>
      </c>
      <c r="M122" s="2" t="e">
        <f>M12/'Output-Calculation-sheet'!M11*'Output-Calculation-sheet'!#REF!</f>
        <v>#REF!</v>
      </c>
      <c r="N122" s="2" t="e">
        <f>N12/'Output-Calculation-sheet'!N11*'Output-Calculation-sheet'!#REF!</f>
        <v>#REF!</v>
      </c>
      <c r="O122" s="2" t="e">
        <f>O12/'Output-Calculation-sheet'!O11*'Output-Calculation-sheet'!#REF!</f>
        <v>#REF!</v>
      </c>
      <c r="P122" s="2" t="e">
        <f>P12/'Output-Calculation-sheet'!P11*'Output-Calculation-sheet'!#REF!</f>
        <v>#REF!</v>
      </c>
      <c r="Q122" s="2" t="e">
        <f>Q12/'Output-Calculation-sheet'!Q11*'Output-Calculation-sheet'!#REF!</f>
        <v>#REF!</v>
      </c>
      <c r="R122" s="2" t="e">
        <f>R12/'Output-Calculation-sheet'!R11*'Output-Calculation-sheet'!#REF!</f>
        <v>#REF!</v>
      </c>
      <c r="S122" s="2" t="e">
        <f>S12/'Output-Calculation-sheet'!S11*'Output-Calculation-sheet'!#REF!</f>
        <v>#REF!</v>
      </c>
      <c r="T122" s="2" t="e">
        <f>T12/'Output-Calculation-sheet'!T11*'Output-Calculation-sheet'!#REF!</f>
        <v>#REF!</v>
      </c>
      <c r="U122" s="2" t="e">
        <f>U12/'Output-Calculation-sheet'!U11*'Output-Calculation-sheet'!#REF!</f>
        <v>#REF!</v>
      </c>
      <c r="V122" s="2" t="e">
        <f>V12/'Output-Calculation-sheet'!V11*'Output-Calculation-sheet'!#REF!</f>
        <v>#REF!</v>
      </c>
      <c r="W122" s="2" t="e">
        <f>W12/'Output-Calculation-sheet'!W11*'Output-Calculation-sheet'!#REF!</f>
        <v>#REF!</v>
      </c>
      <c r="X122" s="2" t="e">
        <f>X12/'Output-Calculation-sheet'!X11*'Output-Calculation-sheet'!#REF!</f>
        <v>#REF!</v>
      </c>
      <c r="Y122" s="2" t="e">
        <f>Y12/'Output-Calculation-sheet'!Y11*'Output-Calculation-sheet'!#REF!</f>
        <v>#REF!</v>
      </c>
      <c r="AA122" s="2" t="e">
        <f t="shared" si="9"/>
        <v>#REF!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B5/'Output-Calculation-sheet'!B4*'Output-Calculation-sheet'!#REF!</f>
        <v>#REF!</v>
      </c>
      <c r="C126" s="2" t="e">
        <f>C5/'Output-Calculation-sheet'!C4*'Output-Calculation-sheet'!#REF!</f>
        <v>#REF!</v>
      </c>
      <c r="D126" s="2" t="e">
        <f>D5/'Output-Calculation-sheet'!D4*'Output-Calculation-sheet'!#REF!</f>
        <v>#REF!</v>
      </c>
      <c r="E126" s="2" t="e">
        <f>E5/'Output-Calculation-sheet'!E4*'Output-Calculation-sheet'!#REF!</f>
        <v>#REF!</v>
      </c>
      <c r="F126" s="2" t="e">
        <f>F5/'Output-Calculation-sheet'!F4*'Output-Calculation-sheet'!#REF!</f>
        <v>#REF!</v>
      </c>
      <c r="G126" s="2" t="e">
        <f>G5/'Output-Calculation-sheet'!G4*'Output-Calculation-sheet'!#REF!</f>
        <v>#REF!</v>
      </c>
      <c r="H126" s="2" t="e">
        <f>H5/'Output-Calculation-sheet'!H4*'Output-Calculation-sheet'!#REF!</f>
        <v>#REF!</v>
      </c>
      <c r="I126" s="2" t="e">
        <f>I5/'Output-Calculation-sheet'!I4*'Output-Calculation-sheet'!#REF!</f>
        <v>#REF!</v>
      </c>
      <c r="J126" s="2" t="e">
        <f>J5/'Output-Calculation-sheet'!J4*'Output-Calculation-sheet'!#REF!</f>
        <v>#REF!</v>
      </c>
      <c r="K126" s="2" t="e">
        <f>K5/'Output-Calculation-sheet'!K4*'Output-Calculation-sheet'!#REF!</f>
        <v>#REF!</v>
      </c>
      <c r="L126" s="2" t="e">
        <f>L5/'Output-Calculation-sheet'!L4*'Output-Calculation-sheet'!#REF!</f>
        <v>#REF!</v>
      </c>
      <c r="M126" s="2" t="e">
        <f>M5/'Output-Calculation-sheet'!M4*'Output-Calculation-sheet'!#REF!</f>
        <v>#REF!</v>
      </c>
      <c r="N126" s="2" t="e">
        <f>N5/'Output-Calculation-sheet'!N4*'Output-Calculation-sheet'!#REF!</f>
        <v>#REF!</v>
      </c>
      <c r="O126" s="2" t="e">
        <f>O5/'Output-Calculation-sheet'!O4*'Output-Calculation-sheet'!#REF!</f>
        <v>#REF!</v>
      </c>
      <c r="P126" s="2" t="e">
        <f>P5/'Output-Calculation-sheet'!P4*'Output-Calculation-sheet'!#REF!</f>
        <v>#REF!</v>
      </c>
      <c r="Q126" s="2" t="e">
        <f>Q5/'Output-Calculation-sheet'!Q4*'Output-Calculation-sheet'!#REF!</f>
        <v>#REF!</v>
      </c>
      <c r="R126" s="2" t="e">
        <f>R5/'Output-Calculation-sheet'!R4*'Output-Calculation-sheet'!#REF!</f>
        <v>#REF!</v>
      </c>
      <c r="S126" s="2" t="e">
        <f>S5/'Output-Calculation-sheet'!S4*'Output-Calculation-sheet'!#REF!</f>
        <v>#REF!</v>
      </c>
      <c r="T126" s="2" t="e">
        <f>T5/'Output-Calculation-sheet'!T4*'Output-Calculation-sheet'!#REF!</f>
        <v>#REF!</v>
      </c>
      <c r="U126" s="2" t="e">
        <f>U5/'Output-Calculation-sheet'!U4*'Output-Calculation-sheet'!#REF!</f>
        <v>#REF!</v>
      </c>
      <c r="V126" s="2" t="e">
        <f>V5/'Output-Calculation-sheet'!V4*'Output-Calculation-sheet'!#REF!</f>
        <v>#REF!</v>
      </c>
      <c r="W126" s="2" t="e">
        <f>W5/'Output-Calculation-sheet'!W4*'Output-Calculation-sheet'!#REF!</f>
        <v>#REF!</v>
      </c>
      <c r="X126" s="2" t="e">
        <f>X5/'Output-Calculation-sheet'!X4*'Output-Calculation-sheet'!#REF!</f>
        <v>#REF!</v>
      </c>
      <c r="Y126" s="2" t="e">
        <f>Y5/'Output-Calculation-sheet'!Y4*'Output-Calculation-sheet'!#REF!</f>
        <v>#REF!</v>
      </c>
      <c r="AA126" s="2" t="e">
        <f>SUM(B126:Y126)/10^6</f>
        <v>#REF!</v>
      </c>
    </row>
    <row r="127" spans="1:27" x14ac:dyDescent="0.25">
      <c r="A127" s="2">
        <v>2029</v>
      </c>
      <c r="B127" s="2" t="e">
        <f>B6/'Output-Calculation-sheet'!B5*'Output-Calculation-sheet'!#REF!</f>
        <v>#REF!</v>
      </c>
      <c r="C127" s="2" t="e">
        <f>C6/'Output-Calculation-sheet'!C5*'Output-Calculation-sheet'!#REF!</f>
        <v>#REF!</v>
      </c>
      <c r="D127" s="2" t="e">
        <f>D6/'Output-Calculation-sheet'!D5*'Output-Calculation-sheet'!#REF!</f>
        <v>#REF!</v>
      </c>
      <c r="E127" s="2" t="e">
        <f>E6/'Output-Calculation-sheet'!E5*'Output-Calculation-sheet'!#REF!</f>
        <v>#REF!</v>
      </c>
      <c r="F127" s="2" t="e">
        <f>F6/'Output-Calculation-sheet'!F5*'Output-Calculation-sheet'!#REF!</f>
        <v>#REF!</v>
      </c>
      <c r="G127" s="2" t="e">
        <f>G6/'Output-Calculation-sheet'!G5*'Output-Calculation-sheet'!#REF!</f>
        <v>#REF!</v>
      </c>
      <c r="H127" s="2" t="e">
        <f>H6/'Output-Calculation-sheet'!H5*'Output-Calculation-sheet'!#REF!</f>
        <v>#REF!</v>
      </c>
      <c r="I127" s="2" t="e">
        <f>I6/'Output-Calculation-sheet'!I5*'Output-Calculation-sheet'!#REF!</f>
        <v>#REF!</v>
      </c>
      <c r="J127" s="2" t="e">
        <f>J6/'Output-Calculation-sheet'!J5*'Output-Calculation-sheet'!#REF!</f>
        <v>#REF!</v>
      </c>
      <c r="K127" s="2" t="e">
        <f>K6/'Output-Calculation-sheet'!K5*'Output-Calculation-sheet'!#REF!</f>
        <v>#REF!</v>
      </c>
      <c r="L127" s="2" t="e">
        <f>L6/'Output-Calculation-sheet'!L5*'Output-Calculation-sheet'!#REF!</f>
        <v>#REF!</v>
      </c>
      <c r="M127" s="2" t="e">
        <f>M6/'Output-Calculation-sheet'!M5*'Output-Calculation-sheet'!#REF!</f>
        <v>#REF!</v>
      </c>
      <c r="N127" s="2" t="e">
        <f>N6/'Output-Calculation-sheet'!N5*'Output-Calculation-sheet'!#REF!</f>
        <v>#REF!</v>
      </c>
      <c r="O127" s="2" t="e">
        <f>O6/'Output-Calculation-sheet'!O5*'Output-Calculation-sheet'!#REF!</f>
        <v>#REF!</v>
      </c>
      <c r="P127" s="2" t="e">
        <f>P6/'Output-Calculation-sheet'!P5*'Output-Calculation-sheet'!#REF!</f>
        <v>#REF!</v>
      </c>
      <c r="Q127" s="2" t="e">
        <f>Q6/'Output-Calculation-sheet'!Q5*'Output-Calculation-sheet'!#REF!</f>
        <v>#REF!</v>
      </c>
      <c r="R127" s="2" t="e">
        <f>R6/'Output-Calculation-sheet'!R5*'Output-Calculation-sheet'!#REF!</f>
        <v>#REF!</v>
      </c>
      <c r="S127" s="2" t="e">
        <f>S6/'Output-Calculation-sheet'!S5*'Output-Calculation-sheet'!#REF!</f>
        <v>#REF!</v>
      </c>
      <c r="T127" s="2" t="e">
        <f>T6/'Output-Calculation-sheet'!T5*'Output-Calculation-sheet'!#REF!</f>
        <v>#REF!</v>
      </c>
      <c r="U127" s="2" t="e">
        <f>U6/'Output-Calculation-sheet'!U5*'Output-Calculation-sheet'!#REF!</f>
        <v>#REF!</v>
      </c>
      <c r="V127" s="2" t="e">
        <f>V6/'Output-Calculation-sheet'!V5*'Output-Calculation-sheet'!#REF!</f>
        <v>#REF!</v>
      </c>
      <c r="W127" s="2" t="e">
        <f>W6/'Output-Calculation-sheet'!W5*'Output-Calculation-sheet'!#REF!</f>
        <v>#REF!</v>
      </c>
      <c r="X127" s="2" t="e">
        <f>X6/'Output-Calculation-sheet'!X5*'Output-Calculation-sheet'!#REF!</f>
        <v>#REF!</v>
      </c>
      <c r="Y127" s="2" t="e">
        <f>Y6/'Output-Calculation-sheet'!Y5*'Output-Calculation-sheet'!#REF!</f>
        <v>#REF!</v>
      </c>
      <c r="AA127" s="2" t="e">
        <f t="shared" ref="AA127:AA133" si="10">SUM(B127:Y127)/10^6</f>
        <v>#REF!</v>
      </c>
    </row>
    <row r="128" spans="1:27" x14ac:dyDescent="0.25">
      <c r="A128" s="2">
        <v>2030</v>
      </c>
      <c r="B128" s="2" t="e">
        <f>B7/'Output-Calculation-sheet'!B6*'Output-Calculation-sheet'!#REF!</f>
        <v>#REF!</v>
      </c>
      <c r="C128" s="2" t="e">
        <f>C7/'Output-Calculation-sheet'!C6*'Output-Calculation-sheet'!#REF!</f>
        <v>#REF!</v>
      </c>
      <c r="D128" s="2" t="e">
        <f>D7/'Output-Calculation-sheet'!D6*'Output-Calculation-sheet'!#REF!</f>
        <v>#REF!</v>
      </c>
      <c r="E128" s="2" t="e">
        <f>E7/'Output-Calculation-sheet'!E6*'Output-Calculation-sheet'!#REF!</f>
        <v>#REF!</v>
      </c>
      <c r="F128" s="2" t="e">
        <f>F7/'Output-Calculation-sheet'!F6*'Output-Calculation-sheet'!#REF!</f>
        <v>#REF!</v>
      </c>
      <c r="G128" s="2" t="e">
        <f>G7/'Output-Calculation-sheet'!G6*'Output-Calculation-sheet'!#REF!</f>
        <v>#REF!</v>
      </c>
      <c r="H128" s="2" t="e">
        <f>H7/'Output-Calculation-sheet'!H6*'Output-Calculation-sheet'!#REF!</f>
        <v>#REF!</v>
      </c>
      <c r="I128" s="2" t="e">
        <f>I7/'Output-Calculation-sheet'!I6*'Output-Calculation-sheet'!#REF!</f>
        <v>#REF!</v>
      </c>
      <c r="J128" s="2" t="e">
        <f>J7/'Output-Calculation-sheet'!J6*'Output-Calculation-sheet'!#REF!</f>
        <v>#REF!</v>
      </c>
      <c r="K128" s="2" t="e">
        <f>K7/'Output-Calculation-sheet'!K6*'Output-Calculation-sheet'!#REF!</f>
        <v>#REF!</v>
      </c>
      <c r="L128" s="2" t="e">
        <f>L7/'Output-Calculation-sheet'!L6*'Output-Calculation-sheet'!#REF!</f>
        <v>#REF!</v>
      </c>
      <c r="M128" s="2" t="e">
        <f>M7/'Output-Calculation-sheet'!M6*'Output-Calculation-sheet'!#REF!</f>
        <v>#REF!</v>
      </c>
      <c r="N128" s="2" t="e">
        <f>N7/'Output-Calculation-sheet'!N6*'Output-Calculation-sheet'!#REF!</f>
        <v>#REF!</v>
      </c>
      <c r="O128" s="2" t="e">
        <f>O7/'Output-Calculation-sheet'!O6*'Output-Calculation-sheet'!#REF!</f>
        <v>#REF!</v>
      </c>
      <c r="P128" s="2" t="e">
        <f>P7/'Output-Calculation-sheet'!P6*'Output-Calculation-sheet'!#REF!</f>
        <v>#REF!</v>
      </c>
      <c r="Q128" s="2" t="e">
        <f>Q7/'Output-Calculation-sheet'!Q6*'Output-Calculation-sheet'!#REF!</f>
        <v>#REF!</v>
      </c>
      <c r="R128" s="2" t="e">
        <f>R7/'Output-Calculation-sheet'!R6*'Output-Calculation-sheet'!#REF!</f>
        <v>#REF!</v>
      </c>
      <c r="S128" s="2" t="e">
        <f>S7/'Output-Calculation-sheet'!S6*'Output-Calculation-sheet'!#REF!</f>
        <v>#REF!</v>
      </c>
      <c r="T128" s="2" t="e">
        <f>T7/'Output-Calculation-sheet'!T6*'Output-Calculation-sheet'!#REF!</f>
        <v>#REF!</v>
      </c>
      <c r="U128" s="2" t="e">
        <f>U7/'Output-Calculation-sheet'!U6*'Output-Calculation-sheet'!#REF!</f>
        <v>#REF!</v>
      </c>
      <c r="V128" s="2" t="e">
        <f>V7/'Output-Calculation-sheet'!V6*'Output-Calculation-sheet'!#REF!</f>
        <v>#REF!</v>
      </c>
      <c r="W128" s="2" t="e">
        <f>W7/'Output-Calculation-sheet'!W6*'Output-Calculation-sheet'!#REF!</f>
        <v>#REF!</v>
      </c>
      <c r="X128" s="2" t="e">
        <f>X7/'Output-Calculation-sheet'!X6*'Output-Calculation-sheet'!#REF!</f>
        <v>#REF!</v>
      </c>
      <c r="Y128" s="2" t="e">
        <f>Y7/'Output-Calculation-sheet'!Y6*'Output-Calculation-sheet'!#REF!</f>
        <v>#REF!</v>
      </c>
      <c r="AA128" s="2" t="e">
        <f t="shared" si="10"/>
        <v>#REF!</v>
      </c>
    </row>
    <row r="129" spans="1:27" x14ac:dyDescent="0.25">
      <c r="A129" s="2">
        <v>2031</v>
      </c>
      <c r="B129" s="2" t="e">
        <f>B8/'Output-Calculation-sheet'!B7*'Output-Calculation-sheet'!#REF!</f>
        <v>#REF!</v>
      </c>
      <c r="C129" s="2" t="e">
        <f>C8/'Output-Calculation-sheet'!C7*'Output-Calculation-sheet'!#REF!</f>
        <v>#REF!</v>
      </c>
      <c r="D129" s="2" t="e">
        <f>D8/'Output-Calculation-sheet'!D7*'Output-Calculation-sheet'!#REF!</f>
        <v>#REF!</v>
      </c>
      <c r="E129" s="2" t="e">
        <f>E8/'Output-Calculation-sheet'!E7*'Output-Calculation-sheet'!#REF!</f>
        <v>#REF!</v>
      </c>
      <c r="F129" s="2" t="e">
        <f>F8/'Output-Calculation-sheet'!F7*'Output-Calculation-sheet'!#REF!</f>
        <v>#REF!</v>
      </c>
      <c r="G129" s="2" t="e">
        <f>G8/'Output-Calculation-sheet'!G7*'Output-Calculation-sheet'!#REF!</f>
        <v>#REF!</v>
      </c>
      <c r="H129" s="2" t="e">
        <f>H8/'Output-Calculation-sheet'!H7*'Output-Calculation-sheet'!#REF!</f>
        <v>#REF!</v>
      </c>
      <c r="I129" s="2" t="e">
        <f>I8/'Output-Calculation-sheet'!I7*'Output-Calculation-sheet'!#REF!</f>
        <v>#REF!</v>
      </c>
      <c r="J129" s="2" t="e">
        <f>J8/'Output-Calculation-sheet'!J7*'Output-Calculation-sheet'!#REF!</f>
        <v>#REF!</v>
      </c>
      <c r="K129" s="2" t="e">
        <f>K8/'Output-Calculation-sheet'!K7*'Output-Calculation-sheet'!#REF!</f>
        <v>#REF!</v>
      </c>
      <c r="L129" s="2" t="e">
        <f>L8/'Output-Calculation-sheet'!L7*'Output-Calculation-sheet'!#REF!</f>
        <v>#REF!</v>
      </c>
      <c r="M129" s="2" t="e">
        <f>M8/'Output-Calculation-sheet'!M7*'Output-Calculation-sheet'!#REF!</f>
        <v>#REF!</v>
      </c>
      <c r="N129" s="2" t="e">
        <f>N8/'Output-Calculation-sheet'!N7*'Output-Calculation-sheet'!#REF!</f>
        <v>#REF!</v>
      </c>
      <c r="O129" s="2" t="e">
        <f>O8/'Output-Calculation-sheet'!O7*'Output-Calculation-sheet'!#REF!</f>
        <v>#REF!</v>
      </c>
      <c r="P129" s="2" t="e">
        <f>P8/'Output-Calculation-sheet'!P7*'Output-Calculation-sheet'!#REF!</f>
        <v>#REF!</v>
      </c>
      <c r="Q129" s="2" t="e">
        <f>Q8/'Output-Calculation-sheet'!Q7*'Output-Calculation-sheet'!#REF!</f>
        <v>#REF!</v>
      </c>
      <c r="R129" s="2" t="e">
        <f>R8/'Output-Calculation-sheet'!R7*'Output-Calculation-sheet'!#REF!</f>
        <v>#REF!</v>
      </c>
      <c r="S129" s="2" t="e">
        <f>S8/'Output-Calculation-sheet'!S7*'Output-Calculation-sheet'!#REF!</f>
        <v>#REF!</v>
      </c>
      <c r="T129" s="2" t="e">
        <f>T8/'Output-Calculation-sheet'!T7*'Output-Calculation-sheet'!#REF!</f>
        <v>#REF!</v>
      </c>
      <c r="U129" s="2" t="e">
        <f>U8/'Output-Calculation-sheet'!U7*'Output-Calculation-sheet'!#REF!</f>
        <v>#REF!</v>
      </c>
      <c r="V129" s="2" t="e">
        <f>V8/'Output-Calculation-sheet'!V7*'Output-Calculation-sheet'!#REF!</f>
        <v>#REF!</v>
      </c>
      <c r="W129" s="2" t="e">
        <f>W8/'Output-Calculation-sheet'!W7*'Output-Calculation-sheet'!#REF!</f>
        <v>#REF!</v>
      </c>
      <c r="X129" s="2" t="e">
        <f>X8/'Output-Calculation-sheet'!X7*'Output-Calculation-sheet'!#REF!</f>
        <v>#REF!</v>
      </c>
      <c r="Y129" s="2" t="e">
        <f>Y8/'Output-Calculation-sheet'!Y7*'Output-Calculation-sheet'!#REF!</f>
        <v>#REF!</v>
      </c>
      <c r="AA129" s="2" t="e">
        <f t="shared" si="10"/>
        <v>#REF!</v>
      </c>
    </row>
    <row r="130" spans="1:27" x14ac:dyDescent="0.25">
      <c r="A130" s="2">
        <v>2032</v>
      </c>
      <c r="B130" s="2" t="e">
        <f>B9/'Output-Calculation-sheet'!B8*'Output-Calculation-sheet'!#REF!</f>
        <v>#REF!</v>
      </c>
      <c r="C130" s="2" t="e">
        <f>C9/'Output-Calculation-sheet'!C8*'Output-Calculation-sheet'!#REF!</f>
        <v>#REF!</v>
      </c>
      <c r="D130" s="2" t="e">
        <f>D9/'Output-Calculation-sheet'!D8*'Output-Calculation-sheet'!#REF!</f>
        <v>#REF!</v>
      </c>
      <c r="E130" s="2" t="e">
        <f>E9/'Output-Calculation-sheet'!E8*'Output-Calculation-sheet'!#REF!</f>
        <v>#REF!</v>
      </c>
      <c r="F130" s="2" t="e">
        <f>F9/'Output-Calculation-sheet'!F8*'Output-Calculation-sheet'!#REF!</f>
        <v>#REF!</v>
      </c>
      <c r="G130" s="2" t="e">
        <f>G9/'Output-Calculation-sheet'!G8*'Output-Calculation-sheet'!#REF!</f>
        <v>#REF!</v>
      </c>
      <c r="H130" s="2" t="e">
        <f>H9/'Output-Calculation-sheet'!H8*'Output-Calculation-sheet'!#REF!</f>
        <v>#REF!</v>
      </c>
      <c r="I130" s="2" t="e">
        <f>I9/'Output-Calculation-sheet'!I8*'Output-Calculation-sheet'!#REF!</f>
        <v>#REF!</v>
      </c>
      <c r="J130" s="2" t="e">
        <f>J9/'Output-Calculation-sheet'!J8*'Output-Calculation-sheet'!#REF!</f>
        <v>#REF!</v>
      </c>
      <c r="K130" s="2" t="e">
        <f>K9/'Output-Calculation-sheet'!K8*'Output-Calculation-sheet'!#REF!</f>
        <v>#REF!</v>
      </c>
      <c r="L130" s="2" t="e">
        <f>L9/'Output-Calculation-sheet'!L8*'Output-Calculation-sheet'!#REF!</f>
        <v>#REF!</v>
      </c>
      <c r="M130" s="2" t="e">
        <f>M9/'Output-Calculation-sheet'!M8*'Output-Calculation-sheet'!#REF!</f>
        <v>#REF!</v>
      </c>
      <c r="N130" s="2" t="e">
        <f>N9/'Output-Calculation-sheet'!N8*'Output-Calculation-sheet'!#REF!</f>
        <v>#REF!</v>
      </c>
      <c r="O130" s="2" t="e">
        <f>O9/'Output-Calculation-sheet'!O8*'Output-Calculation-sheet'!#REF!</f>
        <v>#REF!</v>
      </c>
      <c r="P130" s="2" t="e">
        <f>P9/'Output-Calculation-sheet'!P8*'Output-Calculation-sheet'!#REF!</f>
        <v>#REF!</v>
      </c>
      <c r="Q130" s="2" t="e">
        <f>Q9/'Output-Calculation-sheet'!Q8*'Output-Calculation-sheet'!#REF!</f>
        <v>#REF!</v>
      </c>
      <c r="R130" s="2" t="e">
        <f>R9/'Output-Calculation-sheet'!R8*'Output-Calculation-sheet'!#REF!</f>
        <v>#REF!</v>
      </c>
      <c r="S130" s="2" t="e">
        <f>S9/'Output-Calculation-sheet'!S8*'Output-Calculation-sheet'!#REF!</f>
        <v>#REF!</v>
      </c>
      <c r="T130" s="2" t="e">
        <f>T9/'Output-Calculation-sheet'!T8*'Output-Calculation-sheet'!#REF!</f>
        <v>#REF!</v>
      </c>
      <c r="U130" s="2" t="e">
        <f>U9/'Output-Calculation-sheet'!U8*'Output-Calculation-sheet'!#REF!</f>
        <v>#REF!</v>
      </c>
      <c r="V130" s="2" t="e">
        <f>V9/'Output-Calculation-sheet'!V8*'Output-Calculation-sheet'!#REF!</f>
        <v>#REF!</v>
      </c>
      <c r="W130" s="2" t="e">
        <f>W9/'Output-Calculation-sheet'!W8*'Output-Calculation-sheet'!#REF!</f>
        <v>#REF!</v>
      </c>
      <c r="X130" s="2" t="e">
        <f>X9/'Output-Calculation-sheet'!X8*'Output-Calculation-sheet'!#REF!</f>
        <v>#REF!</v>
      </c>
      <c r="Y130" s="2" t="e">
        <f>Y9/'Output-Calculation-sheet'!Y8*'Output-Calculation-sheet'!#REF!</f>
        <v>#REF!</v>
      </c>
      <c r="AA130" s="2" t="e">
        <f t="shared" si="10"/>
        <v>#REF!</v>
      </c>
    </row>
    <row r="131" spans="1:27" x14ac:dyDescent="0.25">
      <c r="A131" s="2">
        <v>2033</v>
      </c>
      <c r="B131" s="2" t="e">
        <f>B10/'Output-Calculation-sheet'!B9*'Output-Calculation-sheet'!#REF!</f>
        <v>#REF!</v>
      </c>
      <c r="C131" s="2" t="e">
        <f>C10/'Output-Calculation-sheet'!C9*'Output-Calculation-sheet'!#REF!</f>
        <v>#REF!</v>
      </c>
      <c r="D131" s="2" t="e">
        <f>D10/'Output-Calculation-sheet'!D9*'Output-Calculation-sheet'!#REF!</f>
        <v>#REF!</v>
      </c>
      <c r="E131" s="2" t="e">
        <f>E10/'Output-Calculation-sheet'!E9*'Output-Calculation-sheet'!#REF!</f>
        <v>#REF!</v>
      </c>
      <c r="F131" s="2" t="e">
        <f>F10/'Output-Calculation-sheet'!F9*'Output-Calculation-sheet'!#REF!</f>
        <v>#REF!</v>
      </c>
      <c r="G131" s="2" t="e">
        <f>G10/'Output-Calculation-sheet'!G9*'Output-Calculation-sheet'!#REF!</f>
        <v>#REF!</v>
      </c>
      <c r="H131" s="2" t="e">
        <f>H10/'Output-Calculation-sheet'!H9*'Output-Calculation-sheet'!#REF!</f>
        <v>#REF!</v>
      </c>
      <c r="I131" s="2" t="e">
        <f>I10/'Output-Calculation-sheet'!I9*'Output-Calculation-sheet'!#REF!</f>
        <v>#REF!</v>
      </c>
      <c r="J131" s="2" t="e">
        <f>J10/'Output-Calculation-sheet'!J9*'Output-Calculation-sheet'!#REF!</f>
        <v>#REF!</v>
      </c>
      <c r="K131" s="2" t="e">
        <f>K10/'Output-Calculation-sheet'!K9*'Output-Calculation-sheet'!#REF!</f>
        <v>#REF!</v>
      </c>
      <c r="L131" s="2" t="e">
        <f>L10/'Output-Calculation-sheet'!L9*'Output-Calculation-sheet'!#REF!</f>
        <v>#REF!</v>
      </c>
      <c r="M131" s="2" t="e">
        <f>M10/'Output-Calculation-sheet'!M9*'Output-Calculation-sheet'!#REF!</f>
        <v>#REF!</v>
      </c>
      <c r="N131" s="2" t="e">
        <f>N10/'Output-Calculation-sheet'!N9*'Output-Calculation-sheet'!#REF!</f>
        <v>#REF!</v>
      </c>
      <c r="O131" s="2" t="e">
        <f>O10/'Output-Calculation-sheet'!O9*'Output-Calculation-sheet'!#REF!</f>
        <v>#REF!</v>
      </c>
      <c r="P131" s="2" t="e">
        <f>P10/'Output-Calculation-sheet'!P9*'Output-Calculation-sheet'!#REF!</f>
        <v>#REF!</v>
      </c>
      <c r="Q131" s="2" t="e">
        <f>Q10/'Output-Calculation-sheet'!Q9*'Output-Calculation-sheet'!#REF!</f>
        <v>#REF!</v>
      </c>
      <c r="R131" s="2" t="e">
        <f>R10/'Output-Calculation-sheet'!R9*'Output-Calculation-sheet'!#REF!</f>
        <v>#REF!</v>
      </c>
      <c r="S131" s="2" t="e">
        <f>S10/'Output-Calculation-sheet'!S9*'Output-Calculation-sheet'!#REF!</f>
        <v>#REF!</v>
      </c>
      <c r="T131" s="2" t="e">
        <f>T10/'Output-Calculation-sheet'!T9*'Output-Calculation-sheet'!#REF!</f>
        <v>#REF!</v>
      </c>
      <c r="U131" s="2" t="e">
        <f>U10/'Output-Calculation-sheet'!U9*'Output-Calculation-sheet'!#REF!</f>
        <v>#REF!</v>
      </c>
      <c r="V131" s="2" t="e">
        <f>V10/'Output-Calculation-sheet'!V9*'Output-Calculation-sheet'!#REF!</f>
        <v>#REF!</v>
      </c>
      <c r="W131" s="2" t="e">
        <f>W10/'Output-Calculation-sheet'!W9*'Output-Calculation-sheet'!#REF!</f>
        <v>#REF!</v>
      </c>
      <c r="X131" s="2" t="e">
        <f>X10/'Output-Calculation-sheet'!X9*'Output-Calculation-sheet'!#REF!</f>
        <v>#REF!</v>
      </c>
      <c r="Y131" s="2" t="e">
        <f>Y10/'Output-Calculation-sheet'!Y9*'Output-Calculation-sheet'!#REF!</f>
        <v>#REF!</v>
      </c>
      <c r="AA131" s="2" t="e">
        <f t="shared" si="10"/>
        <v>#REF!</v>
      </c>
    </row>
    <row r="132" spans="1:27" x14ac:dyDescent="0.25">
      <c r="A132" s="2">
        <v>2034</v>
      </c>
      <c r="B132" s="2" t="e">
        <f>B11/'Output-Calculation-sheet'!B10*'Output-Calculation-sheet'!#REF!</f>
        <v>#REF!</v>
      </c>
      <c r="C132" s="2" t="e">
        <f>C11/'Output-Calculation-sheet'!C10*'Output-Calculation-sheet'!#REF!</f>
        <v>#REF!</v>
      </c>
      <c r="D132" s="2" t="e">
        <f>D11/'Output-Calculation-sheet'!D10*'Output-Calculation-sheet'!#REF!</f>
        <v>#REF!</v>
      </c>
      <c r="E132" s="2" t="e">
        <f>E11/'Output-Calculation-sheet'!E10*'Output-Calculation-sheet'!#REF!</f>
        <v>#REF!</v>
      </c>
      <c r="F132" s="2" t="e">
        <f>F11/'Output-Calculation-sheet'!F10*'Output-Calculation-sheet'!#REF!</f>
        <v>#REF!</v>
      </c>
      <c r="G132" s="2" t="e">
        <f>G11/'Output-Calculation-sheet'!G10*'Output-Calculation-sheet'!#REF!</f>
        <v>#REF!</v>
      </c>
      <c r="H132" s="2" t="e">
        <f>H11/'Output-Calculation-sheet'!H10*'Output-Calculation-sheet'!#REF!</f>
        <v>#REF!</v>
      </c>
      <c r="I132" s="2" t="e">
        <f>I11/'Output-Calculation-sheet'!I10*'Output-Calculation-sheet'!#REF!</f>
        <v>#REF!</v>
      </c>
      <c r="J132" s="2" t="e">
        <f>J11/'Output-Calculation-sheet'!J10*'Output-Calculation-sheet'!#REF!</f>
        <v>#REF!</v>
      </c>
      <c r="K132" s="2" t="e">
        <f>K11/'Output-Calculation-sheet'!K10*'Output-Calculation-sheet'!#REF!</f>
        <v>#REF!</v>
      </c>
      <c r="L132" s="2" t="e">
        <f>L11/'Output-Calculation-sheet'!L10*'Output-Calculation-sheet'!#REF!</f>
        <v>#REF!</v>
      </c>
      <c r="M132" s="2" t="e">
        <f>M11/'Output-Calculation-sheet'!M10*'Output-Calculation-sheet'!#REF!</f>
        <v>#REF!</v>
      </c>
      <c r="N132" s="2" t="e">
        <f>N11/'Output-Calculation-sheet'!N10*'Output-Calculation-sheet'!#REF!</f>
        <v>#REF!</v>
      </c>
      <c r="O132" s="2" t="e">
        <f>O11/'Output-Calculation-sheet'!O10*'Output-Calculation-sheet'!#REF!</f>
        <v>#REF!</v>
      </c>
      <c r="P132" s="2" t="e">
        <f>P11/'Output-Calculation-sheet'!P10*'Output-Calculation-sheet'!#REF!</f>
        <v>#REF!</v>
      </c>
      <c r="Q132" s="2" t="e">
        <f>Q11/'Output-Calculation-sheet'!Q10*'Output-Calculation-sheet'!#REF!</f>
        <v>#REF!</v>
      </c>
      <c r="R132" s="2" t="e">
        <f>R11/'Output-Calculation-sheet'!R10*'Output-Calculation-sheet'!#REF!</f>
        <v>#REF!</v>
      </c>
      <c r="S132" s="2" t="e">
        <f>S11/'Output-Calculation-sheet'!S10*'Output-Calculation-sheet'!#REF!</f>
        <v>#REF!</v>
      </c>
      <c r="T132" s="2" t="e">
        <f>T11/'Output-Calculation-sheet'!T10*'Output-Calculation-sheet'!#REF!</f>
        <v>#REF!</v>
      </c>
      <c r="U132" s="2" t="e">
        <f>U11/'Output-Calculation-sheet'!U10*'Output-Calculation-sheet'!#REF!</f>
        <v>#REF!</v>
      </c>
      <c r="V132" s="2" t="e">
        <f>V11/'Output-Calculation-sheet'!V10*'Output-Calculation-sheet'!#REF!</f>
        <v>#REF!</v>
      </c>
      <c r="W132" s="2" t="e">
        <f>W11/'Output-Calculation-sheet'!W10*'Output-Calculation-sheet'!#REF!</f>
        <v>#REF!</v>
      </c>
      <c r="X132" s="2" t="e">
        <f>X11/'Output-Calculation-sheet'!X10*'Output-Calculation-sheet'!#REF!</f>
        <v>#REF!</v>
      </c>
      <c r="Y132" s="2" t="e">
        <f>Y11/'Output-Calculation-sheet'!Y10*'Output-Calculation-sheet'!#REF!</f>
        <v>#REF!</v>
      </c>
      <c r="AA132" s="2" t="e">
        <f t="shared" si="10"/>
        <v>#REF!</v>
      </c>
    </row>
    <row r="133" spans="1:27" x14ac:dyDescent="0.25">
      <c r="A133" s="2">
        <v>2035</v>
      </c>
      <c r="B133" s="2" t="e">
        <f>B12/'Output-Calculation-sheet'!B11*'Output-Calculation-sheet'!#REF!</f>
        <v>#REF!</v>
      </c>
      <c r="C133" s="2" t="e">
        <f>C12/'Output-Calculation-sheet'!C11*'Output-Calculation-sheet'!#REF!</f>
        <v>#REF!</v>
      </c>
      <c r="D133" s="2" t="e">
        <f>D12/'Output-Calculation-sheet'!D11*'Output-Calculation-sheet'!#REF!</f>
        <v>#REF!</v>
      </c>
      <c r="E133" s="2" t="e">
        <f>E12/'Output-Calculation-sheet'!E11*'Output-Calculation-sheet'!#REF!</f>
        <v>#REF!</v>
      </c>
      <c r="F133" s="2" t="e">
        <f>F12/'Output-Calculation-sheet'!F11*'Output-Calculation-sheet'!#REF!</f>
        <v>#REF!</v>
      </c>
      <c r="G133" s="2" t="e">
        <f>G12/'Output-Calculation-sheet'!G11*'Output-Calculation-sheet'!#REF!</f>
        <v>#REF!</v>
      </c>
      <c r="H133" s="2" t="e">
        <f>H12/'Output-Calculation-sheet'!H11*'Output-Calculation-sheet'!#REF!</f>
        <v>#REF!</v>
      </c>
      <c r="I133" s="2" t="e">
        <f>I12/'Output-Calculation-sheet'!I11*'Output-Calculation-sheet'!#REF!</f>
        <v>#REF!</v>
      </c>
      <c r="J133" s="2" t="e">
        <f>J12/'Output-Calculation-sheet'!J11*'Output-Calculation-sheet'!#REF!</f>
        <v>#REF!</v>
      </c>
      <c r="K133" s="2" t="e">
        <f>K12/'Output-Calculation-sheet'!K11*'Output-Calculation-sheet'!#REF!</f>
        <v>#REF!</v>
      </c>
      <c r="L133" s="2" t="e">
        <f>L12/'Output-Calculation-sheet'!L11*'Output-Calculation-sheet'!#REF!</f>
        <v>#REF!</v>
      </c>
      <c r="M133" s="2" t="e">
        <f>M12/'Output-Calculation-sheet'!M11*'Output-Calculation-sheet'!#REF!</f>
        <v>#REF!</v>
      </c>
      <c r="N133" s="2" t="e">
        <f>N12/'Output-Calculation-sheet'!N11*'Output-Calculation-sheet'!#REF!</f>
        <v>#REF!</v>
      </c>
      <c r="O133" s="2" t="e">
        <f>O12/'Output-Calculation-sheet'!O11*'Output-Calculation-sheet'!#REF!</f>
        <v>#REF!</v>
      </c>
      <c r="P133" s="2" t="e">
        <f>P12/'Output-Calculation-sheet'!P11*'Output-Calculation-sheet'!#REF!</f>
        <v>#REF!</v>
      </c>
      <c r="Q133" s="2" t="e">
        <f>Q12/'Output-Calculation-sheet'!Q11*'Output-Calculation-sheet'!#REF!</f>
        <v>#REF!</v>
      </c>
      <c r="R133" s="2" t="e">
        <f>R12/'Output-Calculation-sheet'!R11*'Output-Calculation-sheet'!#REF!</f>
        <v>#REF!</v>
      </c>
      <c r="S133" s="2" t="e">
        <f>S12/'Output-Calculation-sheet'!S11*'Output-Calculation-sheet'!#REF!</f>
        <v>#REF!</v>
      </c>
      <c r="T133" s="2" t="e">
        <f>T12/'Output-Calculation-sheet'!T11*'Output-Calculation-sheet'!#REF!</f>
        <v>#REF!</v>
      </c>
      <c r="U133" s="2" t="e">
        <f>U12/'Output-Calculation-sheet'!U11*'Output-Calculation-sheet'!#REF!</f>
        <v>#REF!</v>
      </c>
      <c r="V133" s="2" t="e">
        <f>V12/'Output-Calculation-sheet'!V11*'Output-Calculation-sheet'!#REF!</f>
        <v>#REF!</v>
      </c>
      <c r="W133" s="2" t="e">
        <f>W12/'Output-Calculation-sheet'!W11*'Output-Calculation-sheet'!#REF!</f>
        <v>#REF!</v>
      </c>
      <c r="X133" s="2" t="e">
        <f>X12/'Output-Calculation-sheet'!X11*'Output-Calculation-sheet'!#REF!</f>
        <v>#REF!</v>
      </c>
      <c r="Y133" s="2" t="e">
        <f>Y12/'Output-Calculation-sheet'!Y11*'Output-Calculation-sheet'!#REF!</f>
        <v>#REF!</v>
      </c>
      <c r="AA133" s="2" t="e">
        <f t="shared" si="10"/>
        <v>#REF!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B5/'Output-Calculation-sheet'!B4*'Output-Calculation-sheet'!#REF!</f>
        <v>#REF!</v>
      </c>
      <c r="C137" s="2" t="e">
        <f>C5/'Output-Calculation-sheet'!C4*'Output-Calculation-sheet'!#REF!</f>
        <v>#REF!</v>
      </c>
      <c r="D137" s="2" t="e">
        <f>D5/'Output-Calculation-sheet'!D4*'Output-Calculation-sheet'!#REF!</f>
        <v>#REF!</v>
      </c>
      <c r="E137" s="2" t="e">
        <f>E5/'Output-Calculation-sheet'!E4*'Output-Calculation-sheet'!#REF!</f>
        <v>#REF!</v>
      </c>
      <c r="F137" s="2" t="e">
        <f>F5/'Output-Calculation-sheet'!F4*'Output-Calculation-sheet'!#REF!</f>
        <v>#REF!</v>
      </c>
      <c r="G137" s="2" t="e">
        <f>G5/'Output-Calculation-sheet'!G4*'Output-Calculation-sheet'!#REF!</f>
        <v>#REF!</v>
      </c>
      <c r="H137" s="2" t="e">
        <f>H5/'Output-Calculation-sheet'!H4*'Output-Calculation-sheet'!#REF!</f>
        <v>#REF!</v>
      </c>
      <c r="I137" s="2" t="e">
        <f>I5/'Output-Calculation-sheet'!I4*'Output-Calculation-sheet'!#REF!</f>
        <v>#REF!</v>
      </c>
      <c r="J137" s="2" t="e">
        <f>J5/'Output-Calculation-sheet'!J4*'Output-Calculation-sheet'!#REF!</f>
        <v>#REF!</v>
      </c>
      <c r="K137" s="2" t="e">
        <f>K5/'Output-Calculation-sheet'!K4*'Output-Calculation-sheet'!#REF!</f>
        <v>#REF!</v>
      </c>
      <c r="L137" s="2" t="e">
        <f>L5/'Output-Calculation-sheet'!L4*'Output-Calculation-sheet'!#REF!</f>
        <v>#REF!</v>
      </c>
      <c r="M137" s="2" t="e">
        <f>M5/'Output-Calculation-sheet'!M4*'Output-Calculation-sheet'!#REF!</f>
        <v>#REF!</v>
      </c>
      <c r="N137" s="2" t="e">
        <f>N5/'Output-Calculation-sheet'!N4*'Output-Calculation-sheet'!#REF!</f>
        <v>#REF!</v>
      </c>
      <c r="O137" s="2" t="e">
        <f>O5/'Output-Calculation-sheet'!O4*'Output-Calculation-sheet'!#REF!</f>
        <v>#REF!</v>
      </c>
      <c r="P137" s="2" t="e">
        <f>P5/'Output-Calculation-sheet'!P4*'Output-Calculation-sheet'!#REF!</f>
        <v>#REF!</v>
      </c>
      <c r="Q137" s="2" t="e">
        <f>Q5/'Output-Calculation-sheet'!Q4*'Output-Calculation-sheet'!#REF!</f>
        <v>#REF!</v>
      </c>
      <c r="R137" s="2" t="e">
        <f>R5/'Output-Calculation-sheet'!R4*'Output-Calculation-sheet'!#REF!</f>
        <v>#REF!</v>
      </c>
      <c r="S137" s="2" t="e">
        <f>S5/'Output-Calculation-sheet'!S4*'Output-Calculation-sheet'!#REF!</f>
        <v>#REF!</v>
      </c>
      <c r="T137" s="2" t="e">
        <f>T5/'Output-Calculation-sheet'!T4*'Output-Calculation-sheet'!#REF!</f>
        <v>#REF!</v>
      </c>
      <c r="U137" s="2" t="e">
        <f>U5/'Output-Calculation-sheet'!U4*'Output-Calculation-sheet'!#REF!</f>
        <v>#REF!</v>
      </c>
      <c r="V137" s="2" t="e">
        <f>V5/'Output-Calculation-sheet'!V4*'Output-Calculation-sheet'!#REF!</f>
        <v>#REF!</v>
      </c>
      <c r="W137" s="2" t="e">
        <f>W5/'Output-Calculation-sheet'!W4*'Output-Calculation-sheet'!#REF!</f>
        <v>#REF!</v>
      </c>
      <c r="X137" s="2" t="e">
        <f>X5/'Output-Calculation-sheet'!X4*'Output-Calculation-sheet'!#REF!</f>
        <v>#REF!</v>
      </c>
      <c r="Y137" s="2" t="e">
        <f>Y5/'Output-Calculation-sheet'!Y4*'Output-Calculation-sheet'!#REF!</f>
        <v>#REF!</v>
      </c>
      <c r="AA137" s="2" t="e">
        <f>SUM(B137:Y137)/10^6</f>
        <v>#REF!</v>
      </c>
    </row>
    <row r="138" spans="1:27" x14ac:dyDescent="0.25">
      <c r="A138" s="2">
        <v>2029</v>
      </c>
      <c r="B138" s="2" t="e">
        <f>B6/'Output-Calculation-sheet'!B5*'Output-Calculation-sheet'!#REF!</f>
        <v>#REF!</v>
      </c>
      <c r="C138" s="2" t="e">
        <f>C6/'Output-Calculation-sheet'!C5*'Output-Calculation-sheet'!#REF!</f>
        <v>#REF!</v>
      </c>
      <c r="D138" s="2" t="e">
        <f>D6/'Output-Calculation-sheet'!D5*'Output-Calculation-sheet'!#REF!</f>
        <v>#REF!</v>
      </c>
      <c r="E138" s="2" t="e">
        <f>E6/'Output-Calculation-sheet'!E5*'Output-Calculation-sheet'!#REF!</f>
        <v>#REF!</v>
      </c>
      <c r="F138" s="2" t="e">
        <f>F6/'Output-Calculation-sheet'!F5*'Output-Calculation-sheet'!#REF!</f>
        <v>#REF!</v>
      </c>
      <c r="G138" s="2" t="e">
        <f>G6/'Output-Calculation-sheet'!G5*'Output-Calculation-sheet'!#REF!</f>
        <v>#REF!</v>
      </c>
      <c r="H138" s="2" t="e">
        <f>H6/'Output-Calculation-sheet'!H5*'Output-Calculation-sheet'!#REF!</f>
        <v>#REF!</v>
      </c>
      <c r="I138" s="2" t="e">
        <f>I6/'Output-Calculation-sheet'!I5*'Output-Calculation-sheet'!#REF!</f>
        <v>#REF!</v>
      </c>
      <c r="J138" s="2" t="e">
        <f>J6/'Output-Calculation-sheet'!J5*'Output-Calculation-sheet'!#REF!</f>
        <v>#REF!</v>
      </c>
      <c r="K138" s="2" t="e">
        <f>K6/'Output-Calculation-sheet'!K5*'Output-Calculation-sheet'!#REF!</f>
        <v>#REF!</v>
      </c>
      <c r="L138" s="2" t="e">
        <f>L6/'Output-Calculation-sheet'!L5*'Output-Calculation-sheet'!#REF!</f>
        <v>#REF!</v>
      </c>
      <c r="M138" s="2" t="e">
        <f>M6/'Output-Calculation-sheet'!M5*'Output-Calculation-sheet'!#REF!</f>
        <v>#REF!</v>
      </c>
      <c r="N138" s="2" t="e">
        <f>N6/'Output-Calculation-sheet'!N5*'Output-Calculation-sheet'!#REF!</f>
        <v>#REF!</v>
      </c>
      <c r="O138" s="2" t="e">
        <f>O6/'Output-Calculation-sheet'!O5*'Output-Calculation-sheet'!#REF!</f>
        <v>#REF!</v>
      </c>
      <c r="P138" s="2" t="e">
        <f>P6/'Output-Calculation-sheet'!P5*'Output-Calculation-sheet'!#REF!</f>
        <v>#REF!</v>
      </c>
      <c r="Q138" s="2" t="e">
        <f>Q6/'Output-Calculation-sheet'!Q5*'Output-Calculation-sheet'!#REF!</f>
        <v>#REF!</v>
      </c>
      <c r="R138" s="2" t="e">
        <f>R6/'Output-Calculation-sheet'!R5*'Output-Calculation-sheet'!#REF!</f>
        <v>#REF!</v>
      </c>
      <c r="S138" s="2" t="e">
        <f>S6/'Output-Calculation-sheet'!S5*'Output-Calculation-sheet'!#REF!</f>
        <v>#REF!</v>
      </c>
      <c r="T138" s="2" t="e">
        <f>T6/'Output-Calculation-sheet'!T5*'Output-Calculation-sheet'!#REF!</f>
        <v>#REF!</v>
      </c>
      <c r="U138" s="2" t="e">
        <f>U6/'Output-Calculation-sheet'!U5*'Output-Calculation-sheet'!#REF!</f>
        <v>#REF!</v>
      </c>
      <c r="V138" s="2" t="e">
        <f>V6/'Output-Calculation-sheet'!V5*'Output-Calculation-sheet'!#REF!</f>
        <v>#REF!</v>
      </c>
      <c r="W138" s="2" t="e">
        <f>W6/'Output-Calculation-sheet'!W5*'Output-Calculation-sheet'!#REF!</f>
        <v>#REF!</v>
      </c>
      <c r="X138" s="2" t="e">
        <f>X6/'Output-Calculation-sheet'!X5*'Output-Calculation-sheet'!#REF!</f>
        <v>#REF!</v>
      </c>
      <c r="Y138" s="2" t="e">
        <f>Y6/'Output-Calculation-sheet'!Y5*'Output-Calculation-sheet'!#REF!</f>
        <v>#REF!</v>
      </c>
      <c r="AA138" s="2" t="e">
        <f t="shared" ref="AA138:AA144" si="11">SUM(B138:Y138)/10^6</f>
        <v>#REF!</v>
      </c>
    </row>
    <row r="139" spans="1:27" x14ac:dyDescent="0.25">
      <c r="A139" s="2">
        <v>2030</v>
      </c>
      <c r="B139" s="2" t="e">
        <f>B7/'Output-Calculation-sheet'!B6*'Output-Calculation-sheet'!#REF!</f>
        <v>#REF!</v>
      </c>
      <c r="C139" s="2" t="e">
        <f>C7/'Output-Calculation-sheet'!C6*'Output-Calculation-sheet'!#REF!</f>
        <v>#REF!</v>
      </c>
      <c r="D139" s="2" t="e">
        <f>D7/'Output-Calculation-sheet'!D6*'Output-Calculation-sheet'!#REF!</f>
        <v>#REF!</v>
      </c>
      <c r="E139" s="2" t="e">
        <f>E7/'Output-Calculation-sheet'!E6*'Output-Calculation-sheet'!#REF!</f>
        <v>#REF!</v>
      </c>
      <c r="F139" s="2" t="e">
        <f>F7/'Output-Calculation-sheet'!F6*'Output-Calculation-sheet'!#REF!</f>
        <v>#REF!</v>
      </c>
      <c r="G139" s="2" t="e">
        <f>G7/'Output-Calculation-sheet'!G6*'Output-Calculation-sheet'!#REF!</f>
        <v>#REF!</v>
      </c>
      <c r="H139" s="2" t="e">
        <f>H7/'Output-Calculation-sheet'!H6*'Output-Calculation-sheet'!#REF!</f>
        <v>#REF!</v>
      </c>
      <c r="I139" s="2" t="e">
        <f>I7/'Output-Calculation-sheet'!I6*'Output-Calculation-sheet'!#REF!</f>
        <v>#REF!</v>
      </c>
      <c r="J139" s="2" t="e">
        <f>J7/'Output-Calculation-sheet'!J6*'Output-Calculation-sheet'!#REF!</f>
        <v>#REF!</v>
      </c>
      <c r="K139" s="2" t="e">
        <f>K7/'Output-Calculation-sheet'!K6*'Output-Calculation-sheet'!#REF!</f>
        <v>#REF!</v>
      </c>
      <c r="L139" s="2" t="e">
        <f>L7/'Output-Calculation-sheet'!L6*'Output-Calculation-sheet'!#REF!</f>
        <v>#REF!</v>
      </c>
      <c r="M139" s="2" t="e">
        <f>M7/'Output-Calculation-sheet'!M6*'Output-Calculation-sheet'!#REF!</f>
        <v>#REF!</v>
      </c>
      <c r="N139" s="2" t="e">
        <f>N7/'Output-Calculation-sheet'!N6*'Output-Calculation-sheet'!#REF!</f>
        <v>#REF!</v>
      </c>
      <c r="O139" s="2" t="e">
        <f>O7/'Output-Calculation-sheet'!O6*'Output-Calculation-sheet'!#REF!</f>
        <v>#REF!</v>
      </c>
      <c r="P139" s="2" t="e">
        <f>P7/'Output-Calculation-sheet'!P6*'Output-Calculation-sheet'!#REF!</f>
        <v>#REF!</v>
      </c>
      <c r="Q139" s="2" t="e">
        <f>Q7/'Output-Calculation-sheet'!Q6*'Output-Calculation-sheet'!#REF!</f>
        <v>#REF!</v>
      </c>
      <c r="R139" s="2" t="e">
        <f>R7/'Output-Calculation-sheet'!R6*'Output-Calculation-sheet'!#REF!</f>
        <v>#REF!</v>
      </c>
      <c r="S139" s="2" t="e">
        <f>S7/'Output-Calculation-sheet'!S6*'Output-Calculation-sheet'!#REF!</f>
        <v>#REF!</v>
      </c>
      <c r="T139" s="2" t="e">
        <f>T7/'Output-Calculation-sheet'!T6*'Output-Calculation-sheet'!#REF!</f>
        <v>#REF!</v>
      </c>
      <c r="U139" s="2" t="e">
        <f>U7/'Output-Calculation-sheet'!U6*'Output-Calculation-sheet'!#REF!</f>
        <v>#REF!</v>
      </c>
      <c r="V139" s="2" t="e">
        <f>V7/'Output-Calculation-sheet'!V6*'Output-Calculation-sheet'!#REF!</f>
        <v>#REF!</v>
      </c>
      <c r="W139" s="2" t="e">
        <f>W7/'Output-Calculation-sheet'!W6*'Output-Calculation-sheet'!#REF!</f>
        <v>#REF!</v>
      </c>
      <c r="X139" s="2" t="e">
        <f>X7/'Output-Calculation-sheet'!X6*'Output-Calculation-sheet'!#REF!</f>
        <v>#REF!</v>
      </c>
      <c r="Y139" s="2" t="e">
        <f>Y7/'Output-Calculation-sheet'!Y6*'Output-Calculation-sheet'!#REF!</f>
        <v>#REF!</v>
      </c>
      <c r="AA139" s="2" t="e">
        <f t="shared" si="11"/>
        <v>#REF!</v>
      </c>
    </row>
    <row r="140" spans="1:27" x14ac:dyDescent="0.25">
      <c r="A140" s="2">
        <v>2031</v>
      </c>
      <c r="B140" s="2" t="e">
        <f>B8/'Output-Calculation-sheet'!B7*'Output-Calculation-sheet'!#REF!</f>
        <v>#REF!</v>
      </c>
      <c r="C140" s="2" t="e">
        <f>C8/'Output-Calculation-sheet'!C7*'Output-Calculation-sheet'!#REF!</f>
        <v>#REF!</v>
      </c>
      <c r="D140" s="2" t="e">
        <f>D8/'Output-Calculation-sheet'!D7*'Output-Calculation-sheet'!#REF!</f>
        <v>#REF!</v>
      </c>
      <c r="E140" s="2" t="e">
        <f>E8/'Output-Calculation-sheet'!E7*'Output-Calculation-sheet'!#REF!</f>
        <v>#REF!</v>
      </c>
      <c r="F140" s="2" t="e">
        <f>F8/'Output-Calculation-sheet'!F7*'Output-Calculation-sheet'!#REF!</f>
        <v>#REF!</v>
      </c>
      <c r="G140" s="2" t="e">
        <f>G8/'Output-Calculation-sheet'!G7*'Output-Calculation-sheet'!#REF!</f>
        <v>#REF!</v>
      </c>
      <c r="H140" s="2" t="e">
        <f>H8/'Output-Calculation-sheet'!H7*'Output-Calculation-sheet'!#REF!</f>
        <v>#REF!</v>
      </c>
      <c r="I140" s="2" t="e">
        <f>I8/'Output-Calculation-sheet'!I7*'Output-Calculation-sheet'!#REF!</f>
        <v>#REF!</v>
      </c>
      <c r="J140" s="2" t="e">
        <f>J8/'Output-Calculation-sheet'!J7*'Output-Calculation-sheet'!#REF!</f>
        <v>#REF!</v>
      </c>
      <c r="K140" s="2" t="e">
        <f>K8/'Output-Calculation-sheet'!K7*'Output-Calculation-sheet'!#REF!</f>
        <v>#REF!</v>
      </c>
      <c r="L140" s="2" t="e">
        <f>L8/'Output-Calculation-sheet'!L7*'Output-Calculation-sheet'!#REF!</f>
        <v>#REF!</v>
      </c>
      <c r="M140" s="2" t="e">
        <f>M8/'Output-Calculation-sheet'!M7*'Output-Calculation-sheet'!#REF!</f>
        <v>#REF!</v>
      </c>
      <c r="N140" s="2" t="e">
        <f>N8/'Output-Calculation-sheet'!N7*'Output-Calculation-sheet'!#REF!</f>
        <v>#REF!</v>
      </c>
      <c r="O140" s="2" t="e">
        <f>O8/'Output-Calculation-sheet'!O7*'Output-Calculation-sheet'!#REF!</f>
        <v>#REF!</v>
      </c>
      <c r="P140" s="2" t="e">
        <f>P8/'Output-Calculation-sheet'!P7*'Output-Calculation-sheet'!#REF!</f>
        <v>#REF!</v>
      </c>
      <c r="Q140" s="2" t="e">
        <f>Q8/'Output-Calculation-sheet'!Q7*'Output-Calculation-sheet'!#REF!</f>
        <v>#REF!</v>
      </c>
      <c r="R140" s="2" t="e">
        <f>R8/'Output-Calculation-sheet'!R7*'Output-Calculation-sheet'!#REF!</f>
        <v>#REF!</v>
      </c>
      <c r="S140" s="2" t="e">
        <f>S8/'Output-Calculation-sheet'!S7*'Output-Calculation-sheet'!#REF!</f>
        <v>#REF!</v>
      </c>
      <c r="T140" s="2" t="e">
        <f>T8/'Output-Calculation-sheet'!T7*'Output-Calculation-sheet'!#REF!</f>
        <v>#REF!</v>
      </c>
      <c r="U140" s="2" t="e">
        <f>U8/'Output-Calculation-sheet'!U7*'Output-Calculation-sheet'!#REF!</f>
        <v>#REF!</v>
      </c>
      <c r="V140" s="2" t="e">
        <f>V8/'Output-Calculation-sheet'!V7*'Output-Calculation-sheet'!#REF!</f>
        <v>#REF!</v>
      </c>
      <c r="W140" s="2" t="e">
        <f>W8/'Output-Calculation-sheet'!W7*'Output-Calculation-sheet'!#REF!</f>
        <v>#REF!</v>
      </c>
      <c r="X140" s="2" t="e">
        <f>X8/'Output-Calculation-sheet'!X7*'Output-Calculation-sheet'!#REF!</f>
        <v>#REF!</v>
      </c>
      <c r="Y140" s="2" t="e">
        <f>Y8/'Output-Calculation-sheet'!Y7*'Output-Calculation-sheet'!#REF!</f>
        <v>#REF!</v>
      </c>
      <c r="AA140" s="2" t="e">
        <f t="shared" si="11"/>
        <v>#REF!</v>
      </c>
    </row>
    <row r="141" spans="1:27" x14ac:dyDescent="0.25">
      <c r="A141" s="2">
        <v>2032</v>
      </c>
      <c r="B141" s="2" t="e">
        <f>B9/'Output-Calculation-sheet'!B8*'Output-Calculation-sheet'!#REF!</f>
        <v>#REF!</v>
      </c>
      <c r="C141" s="2" t="e">
        <f>C9/'Output-Calculation-sheet'!C8*'Output-Calculation-sheet'!#REF!</f>
        <v>#REF!</v>
      </c>
      <c r="D141" s="2" t="e">
        <f>D9/'Output-Calculation-sheet'!D8*'Output-Calculation-sheet'!#REF!</f>
        <v>#REF!</v>
      </c>
      <c r="E141" s="2" t="e">
        <f>E9/'Output-Calculation-sheet'!E8*'Output-Calculation-sheet'!#REF!</f>
        <v>#REF!</v>
      </c>
      <c r="F141" s="2" t="e">
        <f>F9/'Output-Calculation-sheet'!F8*'Output-Calculation-sheet'!#REF!</f>
        <v>#REF!</v>
      </c>
      <c r="G141" s="2" t="e">
        <f>G9/'Output-Calculation-sheet'!G8*'Output-Calculation-sheet'!#REF!</f>
        <v>#REF!</v>
      </c>
      <c r="H141" s="2" t="e">
        <f>H9/'Output-Calculation-sheet'!H8*'Output-Calculation-sheet'!#REF!</f>
        <v>#REF!</v>
      </c>
      <c r="I141" s="2" t="e">
        <f>I9/'Output-Calculation-sheet'!I8*'Output-Calculation-sheet'!#REF!</f>
        <v>#REF!</v>
      </c>
      <c r="J141" s="2" t="e">
        <f>J9/'Output-Calculation-sheet'!J8*'Output-Calculation-sheet'!#REF!</f>
        <v>#REF!</v>
      </c>
      <c r="K141" s="2" t="e">
        <f>K9/'Output-Calculation-sheet'!K8*'Output-Calculation-sheet'!#REF!</f>
        <v>#REF!</v>
      </c>
      <c r="L141" s="2" t="e">
        <f>L9/'Output-Calculation-sheet'!L8*'Output-Calculation-sheet'!#REF!</f>
        <v>#REF!</v>
      </c>
      <c r="M141" s="2" t="e">
        <f>M9/'Output-Calculation-sheet'!M8*'Output-Calculation-sheet'!#REF!</f>
        <v>#REF!</v>
      </c>
      <c r="N141" s="2" t="e">
        <f>N9/'Output-Calculation-sheet'!N8*'Output-Calculation-sheet'!#REF!</f>
        <v>#REF!</v>
      </c>
      <c r="O141" s="2" t="e">
        <f>O9/'Output-Calculation-sheet'!O8*'Output-Calculation-sheet'!#REF!</f>
        <v>#REF!</v>
      </c>
      <c r="P141" s="2" t="e">
        <f>P9/'Output-Calculation-sheet'!P8*'Output-Calculation-sheet'!#REF!</f>
        <v>#REF!</v>
      </c>
      <c r="Q141" s="2" t="e">
        <f>Q9/'Output-Calculation-sheet'!Q8*'Output-Calculation-sheet'!#REF!</f>
        <v>#REF!</v>
      </c>
      <c r="R141" s="2" t="e">
        <f>R9/'Output-Calculation-sheet'!R8*'Output-Calculation-sheet'!#REF!</f>
        <v>#REF!</v>
      </c>
      <c r="S141" s="2" t="e">
        <f>S9/'Output-Calculation-sheet'!S8*'Output-Calculation-sheet'!#REF!</f>
        <v>#REF!</v>
      </c>
      <c r="T141" s="2" t="e">
        <f>T9/'Output-Calculation-sheet'!T8*'Output-Calculation-sheet'!#REF!</f>
        <v>#REF!</v>
      </c>
      <c r="U141" s="2" t="e">
        <f>U9/'Output-Calculation-sheet'!U8*'Output-Calculation-sheet'!#REF!</f>
        <v>#REF!</v>
      </c>
      <c r="V141" s="2" t="e">
        <f>V9/'Output-Calculation-sheet'!V8*'Output-Calculation-sheet'!#REF!</f>
        <v>#REF!</v>
      </c>
      <c r="W141" s="2" t="e">
        <f>W9/'Output-Calculation-sheet'!W8*'Output-Calculation-sheet'!#REF!</f>
        <v>#REF!</v>
      </c>
      <c r="X141" s="2" t="e">
        <f>X9/'Output-Calculation-sheet'!X8*'Output-Calculation-sheet'!#REF!</f>
        <v>#REF!</v>
      </c>
      <c r="Y141" s="2" t="e">
        <f>Y9/'Output-Calculation-sheet'!Y8*'Output-Calculation-sheet'!#REF!</f>
        <v>#REF!</v>
      </c>
      <c r="AA141" s="2" t="e">
        <f t="shared" si="11"/>
        <v>#REF!</v>
      </c>
    </row>
    <row r="142" spans="1:27" x14ac:dyDescent="0.25">
      <c r="A142" s="2">
        <v>2033</v>
      </c>
      <c r="B142" s="2" t="e">
        <f>B10/'Output-Calculation-sheet'!B9*'Output-Calculation-sheet'!#REF!</f>
        <v>#REF!</v>
      </c>
      <c r="C142" s="2" t="e">
        <f>C10/'Output-Calculation-sheet'!C9*'Output-Calculation-sheet'!#REF!</f>
        <v>#REF!</v>
      </c>
      <c r="D142" s="2" t="e">
        <f>D10/'Output-Calculation-sheet'!D9*'Output-Calculation-sheet'!#REF!</f>
        <v>#REF!</v>
      </c>
      <c r="E142" s="2" t="e">
        <f>E10/'Output-Calculation-sheet'!E9*'Output-Calculation-sheet'!#REF!</f>
        <v>#REF!</v>
      </c>
      <c r="F142" s="2" t="e">
        <f>F10/'Output-Calculation-sheet'!F9*'Output-Calculation-sheet'!#REF!</f>
        <v>#REF!</v>
      </c>
      <c r="G142" s="2" t="e">
        <f>G10/'Output-Calculation-sheet'!G9*'Output-Calculation-sheet'!#REF!</f>
        <v>#REF!</v>
      </c>
      <c r="H142" s="2" t="e">
        <f>H10/'Output-Calculation-sheet'!H9*'Output-Calculation-sheet'!#REF!</f>
        <v>#REF!</v>
      </c>
      <c r="I142" s="2" t="e">
        <f>I10/'Output-Calculation-sheet'!I9*'Output-Calculation-sheet'!#REF!</f>
        <v>#REF!</v>
      </c>
      <c r="J142" s="2" t="e">
        <f>J10/'Output-Calculation-sheet'!J9*'Output-Calculation-sheet'!#REF!</f>
        <v>#REF!</v>
      </c>
      <c r="K142" s="2" t="e">
        <f>K10/'Output-Calculation-sheet'!K9*'Output-Calculation-sheet'!#REF!</f>
        <v>#REF!</v>
      </c>
      <c r="L142" s="2" t="e">
        <f>L10/'Output-Calculation-sheet'!L9*'Output-Calculation-sheet'!#REF!</f>
        <v>#REF!</v>
      </c>
      <c r="M142" s="2" t="e">
        <f>M10/'Output-Calculation-sheet'!M9*'Output-Calculation-sheet'!#REF!</f>
        <v>#REF!</v>
      </c>
      <c r="N142" s="2" t="e">
        <f>N10/'Output-Calculation-sheet'!N9*'Output-Calculation-sheet'!#REF!</f>
        <v>#REF!</v>
      </c>
      <c r="O142" s="2" t="e">
        <f>O10/'Output-Calculation-sheet'!O9*'Output-Calculation-sheet'!#REF!</f>
        <v>#REF!</v>
      </c>
      <c r="P142" s="2" t="e">
        <f>P10/'Output-Calculation-sheet'!P9*'Output-Calculation-sheet'!#REF!</f>
        <v>#REF!</v>
      </c>
      <c r="Q142" s="2" t="e">
        <f>Q10/'Output-Calculation-sheet'!Q9*'Output-Calculation-sheet'!#REF!</f>
        <v>#REF!</v>
      </c>
      <c r="R142" s="2" t="e">
        <f>R10/'Output-Calculation-sheet'!R9*'Output-Calculation-sheet'!#REF!</f>
        <v>#REF!</v>
      </c>
      <c r="S142" s="2" t="e">
        <f>S10/'Output-Calculation-sheet'!S9*'Output-Calculation-sheet'!#REF!</f>
        <v>#REF!</v>
      </c>
      <c r="T142" s="2" t="e">
        <f>T10/'Output-Calculation-sheet'!T9*'Output-Calculation-sheet'!#REF!</f>
        <v>#REF!</v>
      </c>
      <c r="U142" s="2" t="e">
        <f>U10/'Output-Calculation-sheet'!U9*'Output-Calculation-sheet'!#REF!</f>
        <v>#REF!</v>
      </c>
      <c r="V142" s="2" t="e">
        <f>V10/'Output-Calculation-sheet'!V9*'Output-Calculation-sheet'!#REF!</f>
        <v>#REF!</v>
      </c>
      <c r="W142" s="2" t="e">
        <f>W10/'Output-Calculation-sheet'!W9*'Output-Calculation-sheet'!#REF!</f>
        <v>#REF!</v>
      </c>
      <c r="X142" s="2" t="e">
        <f>X10/'Output-Calculation-sheet'!X9*'Output-Calculation-sheet'!#REF!</f>
        <v>#REF!</v>
      </c>
      <c r="Y142" s="2" t="e">
        <f>Y10/'Output-Calculation-sheet'!Y9*'Output-Calculation-sheet'!#REF!</f>
        <v>#REF!</v>
      </c>
      <c r="AA142" s="2" t="e">
        <f t="shared" si="11"/>
        <v>#REF!</v>
      </c>
    </row>
    <row r="143" spans="1:27" x14ac:dyDescent="0.25">
      <c r="A143" s="2">
        <v>2034</v>
      </c>
      <c r="B143" s="2" t="e">
        <f>B11/'Output-Calculation-sheet'!B10*'Output-Calculation-sheet'!#REF!</f>
        <v>#REF!</v>
      </c>
      <c r="C143" s="2" t="e">
        <f>C11/'Output-Calculation-sheet'!C10*'Output-Calculation-sheet'!#REF!</f>
        <v>#REF!</v>
      </c>
      <c r="D143" s="2" t="e">
        <f>D11/'Output-Calculation-sheet'!D10*'Output-Calculation-sheet'!#REF!</f>
        <v>#REF!</v>
      </c>
      <c r="E143" s="2" t="e">
        <f>E11/'Output-Calculation-sheet'!E10*'Output-Calculation-sheet'!#REF!</f>
        <v>#REF!</v>
      </c>
      <c r="F143" s="2" t="e">
        <f>F11/'Output-Calculation-sheet'!F10*'Output-Calculation-sheet'!#REF!</f>
        <v>#REF!</v>
      </c>
      <c r="G143" s="2" t="e">
        <f>G11/'Output-Calculation-sheet'!G10*'Output-Calculation-sheet'!#REF!</f>
        <v>#REF!</v>
      </c>
      <c r="H143" s="2" t="e">
        <f>H11/'Output-Calculation-sheet'!H10*'Output-Calculation-sheet'!#REF!</f>
        <v>#REF!</v>
      </c>
      <c r="I143" s="2" t="e">
        <f>I11/'Output-Calculation-sheet'!I10*'Output-Calculation-sheet'!#REF!</f>
        <v>#REF!</v>
      </c>
      <c r="J143" s="2" t="e">
        <f>J11/'Output-Calculation-sheet'!J10*'Output-Calculation-sheet'!#REF!</f>
        <v>#REF!</v>
      </c>
      <c r="K143" s="2" t="e">
        <f>K11/'Output-Calculation-sheet'!K10*'Output-Calculation-sheet'!#REF!</f>
        <v>#REF!</v>
      </c>
      <c r="L143" s="2" t="e">
        <f>L11/'Output-Calculation-sheet'!L10*'Output-Calculation-sheet'!#REF!</f>
        <v>#REF!</v>
      </c>
      <c r="M143" s="2" t="e">
        <f>M11/'Output-Calculation-sheet'!M10*'Output-Calculation-sheet'!#REF!</f>
        <v>#REF!</v>
      </c>
      <c r="N143" s="2" t="e">
        <f>N11/'Output-Calculation-sheet'!N10*'Output-Calculation-sheet'!#REF!</f>
        <v>#REF!</v>
      </c>
      <c r="O143" s="2" t="e">
        <f>O11/'Output-Calculation-sheet'!O10*'Output-Calculation-sheet'!#REF!</f>
        <v>#REF!</v>
      </c>
      <c r="P143" s="2" t="e">
        <f>P11/'Output-Calculation-sheet'!P10*'Output-Calculation-sheet'!#REF!</f>
        <v>#REF!</v>
      </c>
      <c r="Q143" s="2" t="e">
        <f>Q11/'Output-Calculation-sheet'!Q10*'Output-Calculation-sheet'!#REF!</f>
        <v>#REF!</v>
      </c>
      <c r="R143" s="2" t="e">
        <f>R11/'Output-Calculation-sheet'!R10*'Output-Calculation-sheet'!#REF!</f>
        <v>#REF!</v>
      </c>
      <c r="S143" s="2" t="e">
        <f>S11/'Output-Calculation-sheet'!S10*'Output-Calculation-sheet'!#REF!</f>
        <v>#REF!</v>
      </c>
      <c r="T143" s="2" t="e">
        <f>T11/'Output-Calculation-sheet'!T10*'Output-Calculation-sheet'!#REF!</f>
        <v>#REF!</v>
      </c>
      <c r="U143" s="2" t="e">
        <f>U11/'Output-Calculation-sheet'!U10*'Output-Calculation-sheet'!#REF!</f>
        <v>#REF!</v>
      </c>
      <c r="V143" s="2" t="e">
        <f>V11/'Output-Calculation-sheet'!V10*'Output-Calculation-sheet'!#REF!</f>
        <v>#REF!</v>
      </c>
      <c r="W143" s="2" t="e">
        <f>W11/'Output-Calculation-sheet'!W10*'Output-Calculation-sheet'!#REF!</f>
        <v>#REF!</v>
      </c>
      <c r="X143" s="2" t="e">
        <f>X11/'Output-Calculation-sheet'!X10*'Output-Calculation-sheet'!#REF!</f>
        <v>#REF!</v>
      </c>
      <c r="Y143" s="2" t="e">
        <f>Y11/'Output-Calculation-sheet'!Y10*'Output-Calculation-sheet'!#REF!</f>
        <v>#REF!</v>
      </c>
      <c r="AA143" s="2" t="e">
        <f t="shared" si="11"/>
        <v>#REF!</v>
      </c>
    </row>
    <row r="144" spans="1:27" x14ac:dyDescent="0.25">
      <c r="A144" s="2">
        <v>2035</v>
      </c>
      <c r="B144" s="2" t="e">
        <f>B12/'Output-Calculation-sheet'!B11*'Output-Calculation-sheet'!#REF!</f>
        <v>#REF!</v>
      </c>
      <c r="C144" s="2" t="e">
        <f>C12/'Output-Calculation-sheet'!C11*'Output-Calculation-sheet'!#REF!</f>
        <v>#REF!</v>
      </c>
      <c r="D144" s="2" t="e">
        <f>D12/'Output-Calculation-sheet'!D11*'Output-Calculation-sheet'!#REF!</f>
        <v>#REF!</v>
      </c>
      <c r="E144" s="2" t="e">
        <f>E12/'Output-Calculation-sheet'!E11*'Output-Calculation-sheet'!#REF!</f>
        <v>#REF!</v>
      </c>
      <c r="F144" s="2" t="e">
        <f>F12/'Output-Calculation-sheet'!F11*'Output-Calculation-sheet'!#REF!</f>
        <v>#REF!</v>
      </c>
      <c r="G144" s="2" t="e">
        <f>G12/'Output-Calculation-sheet'!G11*'Output-Calculation-sheet'!#REF!</f>
        <v>#REF!</v>
      </c>
      <c r="H144" s="2" t="e">
        <f>H12/'Output-Calculation-sheet'!H11*'Output-Calculation-sheet'!#REF!</f>
        <v>#REF!</v>
      </c>
      <c r="I144" s="2" t="e">
        <f>I12/'Output-Calculation-sheet'!I11*'Output-Calculation-sheet'!#REF!</f>
        <v>#REF!</v>
      </c>
      <c r="J144" s="2" t="e">
        <f>J12/'Output-Calculation-sheet'!J11*'Output-Calculation-sheet'!#REF!</f>
        <v>#REF!</v>
      </c>
      <c r="K144" s="2" t="e">
        <f>K12/'Output-Calculation-sheet'!K11*'Output-Calculation-sheet'!#REF!</f>
        <v>#REF!</v>
      </c>
      <c r="L144" s="2" t="e">
        <f>L12/'Output-Calculation-sheet'!L11*'Output-Calculation-sheet'!#REF!</f>
        <v>#REF!</v>
      </c>
      <c r="M144" s="2" t="e">
        <f>M12/'Output-Calculation-sheet'!M11*'Output-Calculation-sheet'!#REF!</f>
        <v>#REF!</v>
      </c>
      <c r="N144" s="2" t="e">
        <f>N12/'Output-Calculation-sheet'!N11*'Output-Calculation-sheet'!#REF!</f>
        <v>#REF!</v>
      </c>
      <c r="O144" s="2" t="e">
        <f>O12/'Output-Calculation-sheet'!O11*'Output-Calculation-sheet'!#REF!</f>
        <v>#REF!</v>
      </c>
      <c r="P144" s="2" t="e">
        <f>P12/'Output-Calculation-sheet'!P11*'Output-Calculation-sheet'!#REF!</f>
        <v>#REF!</v>
      </c>
      <c r="Q144" s="2" t="e">
        <f>Q12/'Output-Calculation-sheet'!Q11*'Output-Calculation-sheet'!#REF!</f>
        <v>#REF!</v>
      </c>
      <c r="R144" s="2" t="e">
        <f>R12/'Output-Calculation-sheet'!R11*'Output-Calculation-sheet'!#REF!</f>
        <v>#REF!</v>
      </c>
      <c r="S144" s="2" t="e">
        <f>S12/'Output-Calculation-sheet'!S11*'Output-Calculation-sheet'!#REF!</f>
        <v>#REF!</v>
      </c>
      <c r="T144" s="2" t="e">
        <f>T12/'Output-Calculation-sheet'!T11*'Output-Calculation-sheet'!#REF!</f>
        <v>#REF!</v>
      </c>
      <c r="U144" s="2" t="e">
        <f>U12/'Output-Calculation-sheet'!U11*'Output-Calculation-sheet'!#REF!</f>
        <v>#REF!</v>
      </c>
      <c r="V144" s="2" t="e">
        <f>V12/'Output-Calculation-sheet'!V11*'Output-Calculation-sheet'!#REF!</f>
        <v>#REF!</v>
      </c>
      <c r="W144" s="2" t="e">
        <f>W12/'Output-Calculation-sheet'!W11*'Output-Calculation-sheet'!#REF!</f>
        <v>#REF!</v>
      </c>
      <c r="X144" s="2" t="e">
        <f>X12/'Output-Calculation-sheet'!X11*'Output-Calculation-sheet'!#REF!</f>
        <v>#REF!</v>
      </c>
      <c r="Y144" s="2" t="e">
        <f>Y12/'Output-Calculation-sheet'!Y11*'Output-Calculation-sheet'!#REF!</f>
        <v>#REF!</v>
      </c>
      <c r="AA144" s="2" t="e">
        <f t="shared" si="11"/>
        <v>#REF!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B5/'Output-Calculation-sheet'!B4*'Output-Calculation-sheet'!#REF!</f>
        <v>#REF!</v>
      </c>
      <c r="C148" s="2" t="e">
        <f>C5/'Output-Calculation-sheet'!C4*'Output-Calculation-sheet'!#REF!</f>
        <v>#REF!</v>
      </c>
      <c r="D148" s="2" t="e">
        <f>D5/'Output-Calculation-sheet'!D4*'Output-Calculation-sheet'!#REF!</f>
        <v>#REF!</v>
      </c>
      <c r="E148" s="2" t="e">
        <f>E5/'Output-Calculation-sheet'!E4*'Output-Calculation-sheet'!#REF!</f>
        <v>#REF!</v>
      </c>
      <c r="F148" s="2" t="e">
        <f>F5/'Output-Calculation-sheet'!F4*'Output-Calculation-sheet'!#REF!</f>
        <v>#REF!</v>
      </c>
      <c r="G148" s="2" t="e">
        <f>G5/'Output-Calculation-sheet'!G4*'Output-Calculation-sheet'!#REF!</f>
        <v>#REF!</v>
      </c>
      <c r="H148" s="2" t="e">
        <f>H5/'Output-Calculation-sheet'!H4*'Output-Calculation-sheet'!#REF!</f>
        <v>#REF!</v>
      </c>
      <c r="I148" s="2" t="e">
        <f>I5/'Output-Calculation-sheet'!I4*'Output-Calculation-sheet'!#REF!</f>
        <v>#REF!</v>
      </c>
      <c r="J148" s="2" t="e">
        <f>J5/'Output-Calculation-sheet'!J4*'Output-Calculation-sheet'!#REF!</f>
        <v>#REF!</v>
      </c>
      <c r="K148" s="2" t="e">
        <f>K5/'Output-Calculation-sheet'!K4*'Output-Calculation-sheet'!#REF!</f>
        <v>#REF!</v>
      </c>
      <c r="L148" s="2" t="e">
        <f>L5/'Output-Calculation-sheet'!L4*'Output-Calculation-sheet'!#REF!</f>
        <v>#REF!</v>
      </c>
      <c r="M148" s="2" t="e">
        <f>M5/'Output-Calculation-sheet'!M4*'Output-Calculation-sheet'!#REF!</f>
        <v>#REF!</v>
      </c>
      <c r="N148" s="2" t="e">
        <f>N5/'Output-Calculation-sheet'!N4*'Output-Calculation-sheet'!#REF!</f>
        <v>#REF!</v>
      </c>
      <c r="O148" s="2" t="e">
        <f>O5/'Output-Calculation-sheet'!O4*'Output-Calculation-sheet'!#REF!</f>
        <v>#REF!</v>
      </c>
      <c r="P148" s="2" t="e">
        <f>P5/'Output-Calculation-sheet'!P4*'Output-Calculation-sheet'!#REF!</f>
        <v>#REF!</v>
      </c>
      <c r="Q148" s="2" t="e">
        <f>Q5/'Output-Calculation-sheet'!Q4*'Output-Calculation-sheet'!#REF!</f>
        <v>#REF!</v>
      </c>
      <c r="R148" s="2" t="e">
        <f>R5/'Output-Calculation-sheet'!R4*'Output-Calculation-sheet'!#REF!</f>
        <v>#REF!</v>
      </c>
      <c r="S148" s="2" t="e">
        <f>S5/'Output-Calculation-sheet'!S4*'Output-Calculation-sheet'!#REF!</f>
        <v>#REF!</v>
      </c>
      <c r="T148" s="2" t="e">
        <f>T5/'Output-Calculation-sheet'!T4*'Output-Calculation-sheet'!#REF!</f>
        <v>#REF!</v>
      </c>
      <c r="U148" s="2" t="e">
        <f>U5/'Output-Calculation-sheet'!U4*'Output-Calculation-sheet'!#REF!</f>
        <v>#REF!</v>
      </c>
      <c r="V148" s="2" t="e">
        <f>V5/'Output-Calculation-sheet'!V4*'Output-Calculation-sheet'!#REF!</f>
        <v>#REF!</v>
      </c>
      <c r="W148" s="2" t="e">
        <f>W5/'Output-Calculation-sheet'!W4*'Output-Calculation-sheet'!#REF!</f>
        <v>#REF!</v>
      </c>
      <c r="X148" s="2" t="e">
        <f>X5/'Output-Calculation-sheet'!X4*'Output-Calculation-sheet'!#REF!</f>
        <v>#REF!</v>
      </c>
      <c r="Y148" s="2" t="e">
        <f>Y5/'Output-Calculation-sheet'!Y4*'Output-Calculation-sheet'!#REF!</f>
        <v>#REF!</v>
      </c>
      <c r="AA148" s="2" t="e">
        <f>SUM(B148:Y148)/10^6</f>
        <v>#REF!</v>
      </c>
    </row>
    <row r="149" spans="1:27" x14ac:dyDescent="0.25">
      <c r="A149" s="2">
        <v>2029</v>
      </c>
      <c r="B149" s="2" t="e">
        <f>B6/'Output-Calculation-sheet'!B5*'Output-Calculation-sheet'!#REF!</f>
        <v>#REF!</v>
      </c>
      <c r="C149" s="2" t="e">
        <f>C6/'Output-Calculation-sheet'!C5*'Output-Calculation-sheet'!#REF!</f>
        <v>#REF!</v>
      </c>
      <c r="D149" s="2" t="e">
        <f>D6/'Output-Calculation-sheet'!D5*'Output-Calculation-sheet'!#REF!</f>
        <v>#REF!</v>
      </c>
      <c r="E149" s="2" t="e">
        <f>E6/'Output-Calculation-sheet'!E5*'Output-Calculation-sheet'!#REF!</f>
        <v>#REF!</v>
      </c>
      <c r="F149" s="2" t="e">
        <f>F6/'Output-Calculation-sheet'!F5*'Output-Calculation-sheet'!#REF!</f>
        <v>#REF!</v>
      </c>
      <c r="G149" s="2" t="e">
        <f>G6/'Output-Calculation-sheet'!G5*'Output-Calculation-sheet'!#REF!</f>
        <v>#REF!</v>
      </c>
      <c r="H149" s="2" t="e">
        <f>H6/'Output-Calculation-sheet'!H5*'Output-Calculation-sheet'!#REF!</f>
        <v>#REF!</v>
      </c>
      <c r="I149" s="2" t="e">
        <f>I6/'Output-Calculation-sheet'!I5*'Output-Calculation-sheet'!#REF!</f>
        <v>#REF!</v>
      </c>
      <c r="J149" s="2" t="e">
        <f>J6/'Output-Calculation-sheet'!J5*'Output-Calculation-sheet'!#REF!</f>
        <v>#REF!</v>
      </c>
      <c r="K149" s="2" t="e">
        <f>K6/'Output-Calculation-sheet'!K5*'Output-Calculation-sheet'!#REF!</f>
        <v>#REF!</v>
      </c>
      <c r="L149" s="2" t="e">
        <f>L6/'Output-Calculation-sheet'!L5*'Output-Calculation-sheet'!#REF!</f>
        <v>#REF!</v>
      </c>
      <c r="M149" s="2" t="e">
        <f>M6/'Output-Calculation-sheet'!M5*'Output-Calculation-sheet'!#REF!</f>
        <v>#REF!</v>
      </c>
      <c r="N149" s="2" t="e">
        <f>N6/'Output-Calculation-sheet'!N5*'Output-Calculation-sheet'!#REF!</f>
        <v>#REF!</v>
      </c>
      <c r="O149" s="2" t="e">
        <f>O6/'Output-Calculation-sheet'!O5*'Output-Calculation-sheet'!#REF!</f>
        <v>#REF!</v>
      </c>
      <c r="P149" s="2" t="e">
        <f>P6/'Output-Calculation-sheet'!P5*'Output-Calculation-sheet'!#REF!</f>
        <v>#REF!</v>
      </c>
      <c r="Q149" s="2" t="e">
        <f>Q6/'Output-Calculation-sheet'!Q5*'Output-Calculation-sheet'!#REF!</f>
        <v>#REF!</v>
      </c>
      <c r="R149" s="2" t="e">
        <f>R6/'Output-Calculation-sheet'!R5*'Output-Calculation-sheet'!#REF!</f>
        <v>#REF!</v>
      </c>
      <c r="S149" s="2" t="e">
        <f>S6/'Output-Calculation-sheet'!S5*'Output-Calculation-sheet'!#REF!</f>
        <v>#REF!</v>
      </c>
      <c r="T149" s="2" t="e">
        <f>T6/'Output-Calculation-sheet'!T5*'Output-Calculation-sheet'!#REF!</f>
        <v>#REF!</v>
      </c>
      <c r="U149" s="2" t="e">
        <f>U6/'Output-Calculation-sheet'!U5*'Output-Calculation-sheet'!#REF!</f>
        <v>#REF!</v>
      </c>
      <c r="V149" s="2" t="e">
        <f>V6/'Output-Calculation-sheet'!V5*'Output-Calculation-sheet'!#REF!</f>
        <v>#REF!</v>
      </c>
      <c r="W149" s="2" t="e">
        <f>W6/'Output-Calculation-sheet'!W5*'Output-Calculation-sheet'!#REF!</f>
        <v>#REF!</v>
      </c>
      <c r="X149" s="2" t="e">
        <f>X6/'Output-Calculation-sheet'!X5*'Output-Calculation-sheet'!#REF!</f>
        <v>#REF!</v>
      </c>
      <c r="Y149" s="2" t="e">
        <f>Y6/'Output-Calculation-sheet'!Y5*'Output-Calculation-sheet'!#REF!</f>
        <v>#REF!</v>
      </c>
      <c r="AA149" s="2" t="e">
        <f t="shared" ref="AA149:AA155" si="12">SUM(B149:Y149)/10^6</f>
        <v>#REF!</v>
      </c>
    </row>
    <row r="150" spans="1:27" x14ac:dyDescent="0.25">
      <c r="A150" s="2">
        <v>2030</v>
      </c>
      <c r="B150" s="2" t="e">
        <f>B7/'Output-Calculation-sheet'!B6*'Output-Calculation-sheet'!#REF!</f>
        <v>#REF!</v>
      </c>
      <c r="C150" s="2" t="e">
        <f>C7/'Output-Calculation-sheet'!C6*'Output-Calculation-sheet'!#REF!</f>
        <v>#REF!</v>
      </c>
      <c r="D150" s="2" t="e">
        <f>D7/'Output-Calculation-sheet'!D6*'Output-Calculation-sheet'!#REF!</f>
        <v>#REF!</v>
      </c>
      <c r="E150" s="2" t="e">
        <f>E7/'Output-Calculation-sheet'!E6*'Output-Calculation-sheet'!#REF!</f>
        <v>#REF!</v>
      </c>
      <c r="F150" s="2" t="e">
        <f>F7/'Output-Calculation-sheet'!F6*'Output-Calculation-sheet'!#REF!</f>
        <v>#REF!</v>
      </c>
      <c r="G150" s="2" t="e">
        <f>G7/'Output-Calculation-sheet'!G6*'Output-Calculation-sheet'!#REF!</f>
        <v>#REF!</v>
      </c>
      <c r="H150" s="2" t="e">
        <f>H7/'Output-Calculation-sheet'!H6*'Output-Calculation-sheet'!#REF!</f>
        <v>#REF!</v>
      </c>
      <c r="I150" s="2" t="e">
        <f>I7/'Output-Calculation-sheet'!I6*'Output-Calculation-sheet'!#REF!</f>
        <v>#REF!</v>
      </c>
      <c r="J150" s="2" t="e">
        <f>J7/'Output-Calculation-sheet'!J6*'Output-Calculation-sheet'!#REF!</f>
        <v>#REF!</v>
      </c>
      <c r="K150" s="2" t="e">
        <f>K7/'Output-Calculation-sheet'!K6*'Output-Calculation-sheet'!#REF!</f>
        <v>#REF!</v>
      </c>
      <c r="L150" s="2" t="e">
        <f>L7/'Output-Calculation-sheet'!L6*'Output-Calculation-sheet'!#REF!</f>
        <v>#REF!</v>
      </c>
      <c r="M150" s="2" t="e">
        <f>M7/'Output-Calculation-sheet'!M6*'Output-Calculation-sheet'!#REF!</f>
        <v>#REF!</v>
      </c>
      <c r="N150" s="2" t="e">
        <f>N7/'Output-Calculation-sheet'!N6*'Output-Calculation-sheet'!#REF!</f>
        <v>#REF!</v>
      </c>
      <c r="O150" s="2" t="e">
        <f>O7/'Output-Calculation-sheet'!O6*'Output-Calculation-sheet'!#REF!</f>
        <v>#REF!</v>
      </c>
      <c r="P150" s="2" t="e">
        <f>P7/'Output-Calculation-sheet'!P6*'Output-Calculation-sheet'!#REF!</f>
        <v>#REF!</v>
      </c>
      <c r="Q150" s="2" t="e">
        <f>Q7/'Output-Calculation-sheet'!Q6*'Output-Calculation-sheet'!#REF!</f>
        <v>#REF!</v>
      </c>
      <c r="R150" s="2" t="e">
        <f>R7/'Output-Calculation-sheet'!R6*'Output-Calculation-sheet'!#REF!</f>
        <v>#REF!</v>
      </c>
      <c r="S150" s="2" t="e">
        <f>S7/'Output-Calculation-sheet'!S6*'Output-Calculation-sheet'!#REF!</f>
        <v>#REF!</v>
      </c>
      <c r="T150" s="2" t="e">
        <f>T7/'Output-Calculation-sheet'!T6*'Output-Calculation-sheet'!#REF!</f>
        <v>#REF!</v>
      </c>
      <c r="U150" s="2" t="e">
        <f>U7/'Output-Calculation-sheet'!U6*'Output-Calculation-sheet'!#REF!</f>
        <v>#REF!</v>
      </c>
      <c r="V150" s="2" t="e">
        <f>V7/'Output-Calculation-sheet'!V6*'Output-Calculation-sheet'!#REF!</f>
        <v>#REF!</v>
      </c>
      <c r="W150" s="2" t="e">
        <f>W7/'Output-Calculation-sheet'!W6*'Output-Calculation-sheet'!#REF!</f>
        <v>#REF!</v>
      </c>
      <c r="X150" s="2" t="e">
        <f>X7/'Output-Calculation-sheet'!X6*'Output-Calculation-sheet'!#REF!</f>
        <v>#REF!</v>
      </c>
      <c r="Y150" s="2" t="e">
        <f>Y7/'Output-Calculation-sheet'!Y6*'Output-Calculation-sheet'!#REF!</f>
        <v>#REF!</v>
      </c>
      <c r="AA150" s="2" t="e">
        <f t="shared" si="12"/>
        <v>#REF!</v>
      </c>
    </row>
    <row r="151" spans="1:27" x14ac:dyDescent="0.25">
      <c r="A151" s="2">
        <v>2031</v>
      </c>
      <c r="B151" s="2" t="e">
        <f>B8/'Output-Calculation-sheet'!B7*'Output-Calculation-sheet'!#REF!</f>
        <v>#REF!</v>
      </c>
      <c r="C151" s="2" t="e">
        <f>C8/'Output-Calculation-sheet'!C7*'Output-Calculation-sheet'!#REF!</f>
        <v>#REF!</v>
      </c>
      <c r="D151" s="2" t="e">
        <f>D8/'Output-Calculation-sheet'!D7*'Output-Calculation-sheet'!#REF!</f>
        <v>#REF!</v>
      </c>
      <c r="E151" s="2" t="e">
        <f>E8/'Output-Calculation-sheet'!E7*'Output-Calculation-sheet'!#REF!</f>
        <v>#REF!</v>
      </c>
      <c r="F151" s="2" t="e">
        <f>F8/'Output-Calculation-sheet'!F7*'Output-Calculation-sheet'!#REF!</f>
        <v>#REF!</v>
      </c>
      <c r="G151" s="2" t="e">
        <f>G8/'Output-Calculation-sheet'!G7*'Output-Calculation-sheet'!#REF!</f>
        <v>#REF!</v>
      </c>
      <c r="H151" s="2" t="e">
        <f>H8/'Output-Calculation-sheet'!H7*'Output-Calculation-sheet'!#REF!</f>
        <v>#REF!</v>
      </c>
      <c r="I151" s="2" t="e">
        <f>I8/'Output-Calculation-sheet'!I7*'Output-Calculation-sheet'!#REF!</f>
        <v>#REF!</v>
      </c>
      <c r="J151" s="2" t="e">
        <f>J8/'Output-Calculation-sheet'!J7*'Output-Calculation-sheet'!#REF!</f>
        <v>#REF!</v>
      </c>
      <c r="K151" s="2" t="e">
        <f>K8/'Output-Calculation-sheet'!K7*'Output-Calculation-sheet'!#REF!</f>
        <v>#REF!</v>
      </c>
      <c r="L151" s="2" t="e">
        <f>L8/'Output-Calculation-sheet'!L7*'Output-Calculation-sheet'!#REF!</f>
        <v>#REF!</v>
      </c>
      <c r="M151" s="2" t="e">
        <f>M8/'Output-Calculation-sheet'!M7*'Output-Calculation-sheet'!#REF!</f>
        <v>#REF!</v>
      </c>
      <c r="N151" s="2" t="e">
        <f>N8/'Output-Calculation-sheet'!N7*'Output-Calculation-sheet'!#REF!</f>
        <v>#REF!</v>
      </c>
      <c r="O151" s="2" t="e">
        <f>O8/'Output-Calculation-sheet'!O7*'Output-Calculation-sheet'!#REF!</f>
        <v>#REF!</v>
      </c>
      <c r="P151" s="2" t="e">
        <f>P8/'Output-Calculation-sheet'!P7*'Output-Calculation-sheet'!#REF!</f>
        <v>#REF!</v>
      </c>
      <c r="Q151" s="2" t="e">
        <f>Q8/'Output-Calculation-sheet'!Q7*'Output-Calculation-sheet'!#REF!</f>
        <v>#REF!</v>
      </c>
      <c r="R151" s="2" t="e">
        <f>R8/'Output-Calculation-sheet'!R7*'Output-Calculation-sheet'!#REF!</f>
        <v>#REF!</v>
      </c>
      <c r="S151" s="2" t="e">
        <f>S8/'Output-Calculation-sheet'!S7*'Output-Calculation-sheet'!#REF!</f>
        <v>#REF!</v>
      </c>
      <c r="T151" s="2" t="e">
        <f>T8/'Output-Calculation-sheet'!T7*'Output-Calculation-sheet'!#REF!</f>
        <v>#REF!</v>
      </c>
      <c r="U151" s="2" t="e">
        <f>U8/'Output-Calculation-sheet'!U7*'Output-Calculation-sheet'!#REF!</f>
        <v>#REF!</v>
      </c>
      <c r="V151" s="2" t="e">
        <f>V8/'Output-Calculation-sheet'!V7*'Output-Calculation-sheet'!#REF!</f>
        <v>#REF!</v>
      </c>
      <c r="W151" s="2" t="e">
        <f>W8/'Output-Calculation-sheet'!W7*'Output-Calculation-sheet'!#REF!</f>
        <v>#REF!</v>
      </c>
      <c r="X151" s="2" t="e">
        <f>X8/'Output-Calculation-sheet'!X7*'Output-Calculation-sheet'!#REF!</f>
        <v>#REF!</v>
      </c>
      <c r="Y151" s="2" t="e">
        <f>Y8/'Output-Calculation-sheet'!Y7*'Output-Calculation-sheet'!#REF!</f>
        <v>#REF!</v>
      </c>
      <c r="AA151" s="2" t="e">
        <f t="shared" si="12"/>
        <v>#REF!</v>
      </c>
    </row>
    <row r="152" spans="1:27" x14ac:dyDescent="0.25">
      <c r="A152" s="2">
        <v>2032</v>
      </c>
      <c r="B152" s="2" t="e">
        <f>B9/'Output-Calculation-sheet'!B8*'Output-Calculation-sheet'!#REF!</f>
        <v>#REF!</v>
      </c>
      <c r="C152" s="2" t="e">
        <f>C9/'Output-Calculation-sheet'!C8*'Output-Calculation-sheet'!#REF!</f>
        <v>#REF!</v>
      </c>
      <c r="D152" s="2" t="e">
        <f>D9/'Output-Calculation-sheet'!D8*'Output-Calculation-sheet'!#REF!</f>
        <v>#REF!</v>
      </c>
      <c r="E152" s="2" t="e">
        <f>E9/'Output-Calculation-sheet'!E8*'Output-Calculation-sheet'!#REF!</f>
        <v>#REF!</v>
      </c>
      <c r="F152" s="2" t="e">
        <f>F9/'Output-Calculation-sheet'!F8*'Output-Calculation-sheet'!#REF!</f>
        <v>#REF!</v>
      </c>
      <c r="G152" s="2" t="e">
        <f>G9/'Output-Calculation-sheet'!G8*'Output-Calculation-sheet'!#REF!</f>
        <v>#REF!</v>
      </c>
      <c r="H152" s="2" t="e">
        <f>H9/'Output-Calculation-sheet'!H8*'Output-Calculation-sheet'!#REF!</f>
        <v>#REF!</v>
      </c>
      <c r="I152" s="2" t="e">
        <f>I9/'Output-Calculation-sheet'!I8*'Output-Calculation-sheet'!#REF!</f>
        <v>#REF!</v>
      </c>
      <c r="J152" s="2" t="e">
        <f>J9/'Output-Calculation-sheet'!J8*'Output-Calculation-sheet'!#REF!</f>
        <v>#REF!</v>
      </c>
      <c r="K152" s="2" t="e">
        <f>K9/'Output-Calculation-sheet'!K8*'Output-Calculation-sheet'!#REF!</f>
        <v>#REF!</v>
      </c>
      <c r="L152" s="2" t="e">
        <f>L9/'Output-Calculation-sheet'!L8*'Output-Calculation-sheet'!#REF!</f>
        <v>#REF!</v>
      </c>
      <c r="M152" s="2" t="e">
        <f>M9/'Output-Calculation-sheet'!M8*'Output-Calculation-sheet'!#REF!</f>
        <v>#REF!</v>
      </c>
      <c r="N152" s="2" t="e">
        <f>N9/'Output-Calculation-sheet'!N8*'Output-Calculation-sheet'!#REF!</f>
        <v>#REF!</v>
      </c>
      <c r="O152" s="2" t="e">
        <f>O9/'Output-Calculation-sheet'!O8*'Output-Calculation-sheet'!#REF!</f>
        <v>#REF!</v>
      </c>
      <c r="P152" s="2" t="e">
        <f>P9/'Output-Calculation-sheet'!P8*'Output-Calculation-sheet'!#REF!</f>
        <v>#REF!</v>
      </c>
      <c r="Q152" s="2" t="e">
        <f>Q9/'Output-Calculation-sheet'!Q8*'Output-Calculation-sheet'!#REF!</f>
        <v>#REF!</v>
      </c>
      <c r="R152" s="2" t="e">
        <f>R9/'Output-Calculation-sheet'!R8*'Output-Calculation-sheet'!#REF!</f>
        <v>#REF!</v>
      </c>
      <c r="S152" s="2" t="e">
        <f>S9/'Output-Calculation-sheet'!S8*'Output-Calculation-sheet'!#REF!</f>
        <v>#REF!</v>
      </c>
      <c r="T152" s="2" t="e">
        <f>T9/'Output-Calculation-sheet'!T8*'Output-Calculation-sheet'!#REF!</f>
        <v>#REF!</v>
      </c>
      <c r="U152" s="2" t="e">
        <f>U9/'Output-Calculation-sheet'!U8*'Output-Calculation-sheet'!#REF!</f>
        <v>#REF!</v>
      </c>
      <c r="V152" s="2" t="e">
        <f>V9/'Output-Calculation-sheet'!V8*'Output-Calculation-sheet'!#REF!</f>
        <v>#REF!</v>
      </c>
      <c r="W152" s="2" t="e">
        <f>W9/'Output-Calculation-sheet'!W8*'Output-Calculation-sheet'!#REF!</f>
        <v>#REF!</v>
      </c>
      <c r="X152" s="2" t="e">
        <f>X9/'Output-Calculation-sheet'!X8*'Output-Calculation-sheet'!#REF!</f>
        <v>#REF!</v>
      </c>
      <c r="Y152" s="2" t="e">
        <f>Y9/'Output-Calculation-sheet'!Y8*'Output-Calculation-sheet'!#REF!</f>
        <v>#REF!</v>
      </c>
      <c r="AA152" s="2" t="e">
        <f t="shared" si="12"/>
        <v>#REF!</v>
      </c>
    </row>
    <row r="153" spans="1:27" x14ac:dyDescent="0.25">
      <c r="A153" s="2">
        <v>2033</v>
      </c>
      <c r="B153" s="2" t="e">
        <f>B10/'Output-Calculation-sheet'!B9*'Output-Calculation-sheet'!#REF!</f>
        <v>#REF!</v>
      </c>
      <c r="C153" s="2" t="e">
        <f>C10/'Output-Calculation-sheet'!C9*'Output-Calculation-sheet'!#REF!</f>
        <v>#REF!</v>
      </c>
      <c r="D153" s="2" t="e">
        <f>D10/'Output-Calculation-sheet'!D9*'Output-Calculation-sheet'!#REF!</f>
        <v>#REF!</v>
      </c>
      <c r="E153" s="2" t="e">
        <f>E10/'Output-Calculation-sheet'!E9*'Output-Calculation-sheet'!#REF!</f>
        <v>#REF!</v>
      </c>
      <c r="F153" s="2" t="e">
        <f>F10/'Output-Calculation-sheet'!F9*'Output-Calculation-sheet'!#REF!</f>
        <v>#REF!</v>
      </c>
      <c r="G153" s="2" t="e">
        <f>G10/'Output-Calculation-sheet'!G9*'Output-Calculation-sheet'!#REF!</f>
        <v>#REF!</v>
      </c>
      <c r="H153" s="2" t="e">
        <f>H10/'Output-Calculation-sheet'!H9*'Output-Calculation-sheet'!#REF!</f>
        <v>#REF!</v>
      </c>
      <c r="I153" s="2" t="e">
        <f>I10/'Output-Calculation-sheet'!I9*'Output-Calculation-sheet'!#REF!</f>
        <v>#REF!</v>
      </c>
      <c r="J153" s="2" t="e">
        <f>J10/'Output-Calculation-sheet'!J9*'Output-Calculation-sheet'!#REF!</f>
        <v>#REF!</v>
      </c>
      <c r="K153" s="2" t="e">
        <f>K10/'Output-Calculation-sheet'!K9*'Output-Calculation-sheet'!#REF!</f>
        <v>#REF!</v>
      </c>
      <c r="L153" s="2" t="e">
        <f>L10/'Output-Calculation-sheet'!L9*'Output-Calculation-sheet'!#REF!</f>
        <v>#REF!</v>
      </c>
      <c r="M153" s="2" t="e">
        <f>M10/'Output-Calculation-sheet'!M9*'Output-Calculation-sheet'!#REF!</f>
        <v>#REF!</v>
      </c>
      <c r="N153" s="2" t="e">
        <f>N10/'Output-Calculation-sheet'!N9*'Output-Calculation-sheet'!#REF!</f>
        <v>#REF!</v>
      </c>
      <c r="O153" s="2" t="e">
        <f>O10/'Output-Calculation-sheet'!O9*'Output-Calculation-sheet'!#REF!</f>
        <v>#REF!</v>
      </c>
      <c r="P153" s="2" t="e">
        <f>P10/'Output-Calculation-sheet'!P9*'Output-Calculation-sheet'!#REF!</f>
        <v>#REF!</v>
      </c>
      <c r="Q153" s="2" t="e">
        <f>Q10/'Output-Calculation-sheet'!Q9*'Output-Calculation-sheet'!#REF!</f>
        <v>#REF!</v>
      </c>
      <c r="R153" s="2" t="e">
        <f>R10/'Output-Calculation-sheet'!R9*'Output-Calculation-sheet'!#REF!</f>
        <v>#REF!</v>
      </c>
      <c r="S153" s="2" t="e">
        <f>S10/'Output-Calculation-sheet'!S9*'Output-Calculation-sheet'!#REF!</f>
        <v>#REF!</v>
      </c>
      <c r="T153" s="2" t="e">
        <f>T10/'Output-Calculation-sheet'!T9*'Output-Calculation-sheet'!#REF!</f>
        <v>#REF!</v>
      </c>
      <c r="U153" s="2" t="e">
        <f>U10/'Output-Calculation-sheet'!U9*'Output-Calculation-sheet'!#REF!</f>
        <v>#REF!</v>
      </c>
      <c r="V153" s="2" t="e">
        <f>V10/'Output-Calculation-sheet'!V9*'Output-Calculation-sheet'!#REF!</f>
        <v>#REF!</v>
      </c>
      <c r="W153" s="2" t="e">
        <f>W10/'Output-Calculation-sheet'!W9*'Output-Calculation-sheet'!#REF!</f>
        <v>#REF!</v>
      </c>
      <c r="X153" s="2" t="e">
        <f>X10/'Output-Calculation-sheet'!X9*'Output-Calculation-sheet'!#REF!</f>
        <v>#REF!</v>
      </c>
      <c r="Y153" s="2" t="e">
        <f>Y10/'Output-Calculation-sheet'!Y9*'Output-Calculation-sheet'!#REF!</f>
        <v>#REF!</v>
      </c>
      <c r="AA153" s="2" t="e">
        <f t="shared" si="12"/>
        <v>#REF!</v>
      </c>
    </row>
    <row r="154" spans="1:27" x14ac:dyDescent="0.25">
      <c r="A154" s="2">
        <v>2034</v>
      </c>
      <c r="B154" s="2" t="e">
        <f>B11/'Output-Calculation-sheet'!B10*'Output-Calculation-sheet'!#REF!</f>
        <v>#REF!</v>
      </c>
      <c r="C154" s="2" t="e">
        <f>C11/'Output-Calculation-sheet'!C10*'Output-Calculation-sheet'!#REF!</f>
        <v>#REF!</v>
      </c>
      <c r="D154" s="2" t="e">
        <f>D11/'Output-Calculation-sheet'!D10*'Output-Calculation-sheet'!#REF!</f>
        <v>#REF!</v>
      </c>
      <c r="E154" s="2" t="e">
        <f>E11/'Output-Calculation-sheet'!E10*'Output-Calculation-sheet'!#REF!</f>
        <v>#REF!</v>
      </c>
      <c r="F154" s="2" t="e">
        <f>F11/'Output-Calculation-sheet'!F10*'Output-Calculation-sheet'!#REF!</f>
        <v>#REF!</v>
      </c>
      <c r="G154" s="2" t="e">
        <f>G11/'Output-Calculation-sheet'!G10*'Output-Calculation-sheet'!#REF!</f>
        <v>#REF!</v>
      </c>
      <c r="H154" s="2" t="e">
        <f>H11/'Output-Calculation-sheet'!H10*'Output-Calculation-sheet'!#REF!</f>
        <v>#REF!</v>
      </c>
      <c r="I154" s="2" t="e">
        <f>I11/'Output-Calculation-sheet'!I10*'Output-Calculation-sheet'!#REF!</f>
        <v>#REF!</v>
      </c>
      <c r="J154" s="2" t="e">
        <f>J11/'Output-Calculation-sheet'!J10*'Output-Calculation-sheet'!#REF!</f>
        <v>#REF!</v>
      </c>
      <c r="K154" s="2" t="e">
        <f>K11/'Output-Calculation-sheet'!K10*'Output-Calculation-sheet'!#REF!</f>
        <v>#REF!</v>
      </c>
      <c r="L154" s="2" t="e">
        <f>L11/'Output-Calculation-sheet'!L10*'Output-Calculation-sheet'!#REF!</f>
        <v>#REF!</v>
      </c>
      <c r="M154" s="2" t="e">
        <f>M11/'Output-Calculation-sheet'!M10*'Output-Calculation-sheet'!#REF!</f>
        <v>#REF!</v>
      </c>
      <c r="N154" s="2" t="e">
        <f>N11/'Output-Calculation-sheet'!N10*'Output-Calculation-sheet'!#REF!</f>
        <v>#REF!</v>
      </c>
      <c r="O154" s="2" t="e">
        <f>O11/'Output-Calculation-sheet'!O10*'Output-Calculation-sheet'!#REF!</f>
        <v>#REF!</v>
      </c>
      <c r="P154" s="2" t="e">
        <f>P11/'Output-Calculation-sheet'!P10*'Output-Calculation-sheet'!#REF!</f>
        <v>#REF!</v>
      </c>
      <c r="Q154" s="2" t="e">
        <f>Q11/'Output-Calculation-sheet'!Q10*'Output-Calculation-sheet'!#REF!</f>
        <v>#REF!</v>
      </c>
      <c r="R154" s="2" t="e">
        <f>R11/'Output-Calculation-sheet'!R10*'Output-Calculation-sheet'!#REF!</f>
        <v>#REF!</v>
      </c>
      <c r="S154" s="2" t="e">
        <f>S11/'Output-Calculation-sheet'!S10*'Output-Calculation-sheet'!#REF!</f>
        <v>#REF!</v>
      </c>
      <c r="T154" s="2" t="e">
        <f>T11/'Output-Calculation-sheet'!T10*'Output-Calculation-sheet'!#REF!</f>
        <v>#REF!</v>
      </c>
      <c r="U154" s="2" t="e">
        <f>U11/'Output-Calculation-sheet'!U10*'Output-Calculation-sheet'!#REF!</f>
        <v>#REF!</v>
      </c>
      <c r="V154" s="2" t="e">
        <f>V11/'Output-Calculation-sheet'!V10*'Output-Calculation-sheet'!#REF!</f>
        <v>#REF!</v>
      </c>
      <c r="W154" s="2" t="e">
        <f>W11/'Output-Calculation-sheet'!W10*'Output-Calculation-sheet'!#REF!</f>
        <v>#REF!</v>
      </c>
      <c r="X154" s="2" t="e">
        <f>X11/'Output-Calculation-sheet'!X10*'Output-Calculation-sheet'!#REF!</f>
        <v>#REF!</v>
      </c>
      <c r="Y154" s="2" t="e">
        <f>Y11/'Output-Calculation-sheet'!Y10*'Output-Calculation-sheet'!#REF!</f>
        <v>#REF!</v>
      </c>
      <c r="AA154" s="2" t="e">
        <f t="shared" si="12"/>
        <v>#REF!</v>
      </c>
    </row>
    <row r="155" spans="1:27" x14ac:dyDescent="0.25">
      <c r="A155" s="2">
        <v>2035</v>
      </c>
      <c r="B155" s="2" t="e">
        <f>B12/'Output-Calculation-sheet'!B11*'Output-Calculation-sheet'!#REF!</f>
        <v>#REF!</v>
      </c>
      <c r="C155" s="2" t="e">
        <f>C12/'Output-Calculation-sheet'!C11*'Output-Calculation-sheet'!#REF!</f>
        <v>#REF!</v>
      </c>
      <c r="D155" s="2" t="e">
        <f>D12/'Output-Calculation-sheet'!D11*'Output-Calculation-sheet'!#REF!</f>
        <v>#REF!</v>
      </c>
      <c r="E155" s="2" t="e">
        <f>E12/'Output-Calculation-sheet'!E11*'Output-Calculation-sheet'!#REF!</f>
        <v>#REF!</v>
      </c>
      <c r="F155" s="2" t="e">
        <f>F12/'Output-Calculation-sheet'!F11*'Output-Calculation-sheet'!#REF!</f>
        <v>#REF!</v>
      </c>
      <c r="G155" s="2" t="e">
        <f>G12/'Output-Calculation-sheet'!G11*'Output-Calculation-sheet'!#REF!</f>
        <v>#REF!</v>
      </c>
      <c r="H155" s="2" t="e">
        <f>H12/'Output-Calculation-sheet'!H11*'Output-Calculation-sheet'!#REF!</f>
        <v>#REF!</v>
      </c>
      <c r="I155" s="2" t="e">
        <f>I12/'Output-Calculation-sheet'!I11*'Output-Calculation-sheet'!#REF!</f>
        <v>#REF!</v>
      </c>
      <c r="J155" s="2" t="e">
        <f>J12/'Output-Calculation-sheet'!J11*'Output-Calculation-sheet'!#REF!</f>
        <v>#REF!</v>
      </c>
      <c r="K155" s="2" t="e">
        <f>K12/'Output-Calculation-sheet'!K11*'Output-Calculation-sheet'!#REF!</f>
        <v>#REF!</v>
      </c>
      <c r="L155" s="2" t="e">
        <f>L12/'Output-Calculation-sheet'!L11*'Output-Calculation-sheet'!#REF!</f>
        <v>#REF!</v>
      </c>
      <c r="M155" s="2" t="e">
        <f>M12/'Output-Calculation-sheet'!M11*'Output-Calculation-sheet'!#REF!</f>
        <v>#REF!</v>
      </c>
      <c r="N155" s="2" t="e">
        <f>N12/'Output-Calculation-sheet'!N11*'Output-Calculation-sheet'!#REF!</f>
        <v>#REF!</v>
      </c>
      <c r="O155" s="2" t="e">
        <f>O12/'Output-Calculation-sheet'!O11*'Output-Calculation-sheet'!#REF!</f>
        <v>#REF!</v>
      </c>
      <c r="P155" s="2" t="e">
        <f>P12/'Output-Calculation-sheet'!P11*'Output-Calculation-sheet'!#REF!</f>
        <v>#REF!</v>
      </c>
      <c r="Q155" s="2" t="e">
        <f>Q12/'Output-Calculation-sheet'!Q11*'Output-Calculation-sheet'!#REF!</f>
        <v>#REF!</v>
      </c>
      <c r="R155" s="2" t="e">
        <f>R12/'Output-Calculation-sheet'!R11*'Output-Calculation-sheet'!#REF!</f>
        <v>#REF!</v>
      </c>
      <c r="S155" s="2" t="e">
        <f>S12/'Output-Calculation-sheet'!S11*'Output-Calculation-sheet'!#REF!</f>
        <v>#REF!</v>
      </c>
      <c r="T155" s="2" t="e">
        <f>T12/'Output-Calculation-sheet'!T11*'Output-Calculation-sheet'!#REF!</f>
        <v>#REF!</v>
      </c>
      <c r="U155" s="2" t="e">
        <f>U12/'Output-Calculation-sheet'!U11*'Output-Calculation-sheet'!#REF!</f>
        <v>#REF!</v>
      </c>
      <c r="V155" s="2" t="e">
        <f>V12/'Output-Calculation-sheet'!V11*'Output-Calculation-sheet'!#REF!</f>
        <v>#REF!</v>
      </c>
      <c r="W155" s="2" t="e">
        <f>W12/'Output-Calculation-sheet'!W11*'Output-Calculation-sheet'!#REF!</f>
        <v>#REF!</v>
      </c>
      <c r="X155" s="2" t="e">
        <f>X12/'Output-Calculation-sheet'!X11*'Output-Calculation-sheet'!#REF!</f>
        <v>#REF!</v>
      </c>
      <c r="Y155" s="2" t="e">
        <f>Y12/'Output-Calculation-sheet'!Y11*'Output-Calculation-sheet'!#REF!</f>
        <v>#REF!</v>
      </c>
      <c r="AA155" s="2" t="e">
        <f t="shared" si="12"/>
        <v>#REF!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Low</vt:lpstr>
      <vt:lpstr>Peak 2035-Fast-Medium</vt:lpstr>
      <vt:lpstr>Peak 2035-Nominal-Medium</vt:lpstr>
      <vt:lpstr>Peak 2035-No Change-Medium</vt:lpstr>
      <vt:lpstr>Peak 2033-Fast-Medium</vt:lpstr>
      <vt:lpstr>Peak 2033-Nominal-Medium</vt:lpstr>
      <vt:lpstr>Peak 2033-No Change-Medium</vt:lpstr>
      <vt:lpstr>Peak 2031-Fast-Medium</vt:lpstr>
      <vt:lpstr>Peak 2031-Nominal-Medium</vt:lpstr>
      <vt:lpstr>Peak 2031-No Change-Medium</vt:lpstr>
      <vt:lpstr>Peak 2035-Fast-High</vt:lpstr>
      <vt:lpstr>Peak 2035-Nominal-High</vt:lpstr>
      <vt:lpstr>Peak 2035-No Change-High</vt:lpstr>
      <vt:lpstr>Peak 2033-Fast-High</vt:lpstr>
      <vt:lpstr>Peak 2033-Nominal-High</vt:lpstr>
      <vt:lpstr>Peak 2033-No Change-High</vt:lpstr>
      <vt:lpstr>Peak 2031-Fast-High</vt:lpstr>
      <vt:lpstr>Peak 2031-Nominal-High</vt:lpstr>
      <vt:lpstr>Peak 2031-No Change-High</vt:lpstr>
      <vt:lpstr>Output-Calculation-sheet</vt:lpstr>
      <vt:lpstr>Rough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2026-03-02T20:15:45Z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