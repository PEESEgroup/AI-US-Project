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LC\SSP1-19\NOAK\"/>
    </mc:Choice>
  </mc:AlternateContent>
  <xr:revisionPtr revIDLastSave="0" documentId="13_ncr:1_{25CD27E5-DD87-43C7-8A7C-68B0C8664991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<sst xmlns="http://schemas.openxmlformats.org/spreadsheetml/2006/main" count="1079" uniqueCount="55">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</sst>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3889.2453601553857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1178.0991866502491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818.35446895156792</v>
      </c>
      <c r="N19" s="2">
        <f>N8/'Output-Calculation-sheet'!N7*'Output-Calculation-sheet'!N25</f>
        <v>680.77421254423825</v>
      </c>
      <c r="O19" s="2">
        <f>O8/'Output-Calculation-sheet'!O7*'Output-Calculation-sheet'!O25</f>
        <v>427.25940405498068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88.568717886911315</v>
      </c>
      <c r="Y19" s="2">
        <f>Y8/'Output-Calculation-sheet'!Y7*'Output-Calculation-sheet'!Y25</f>
        <v>0</v>
      </c>
      <c r="AA19" s="2">
        <f t="shared" si="0"/>
        <v>8.2237654399564146</v>
      </c>
    </row>
    <row r="20" spans="1:27" x14ac:dyDescent="0.25">
      <c r="A20" s="2">
        <v>2032</v>
      </c>
      <c r="B20" s="2">
        <f>B9/'Output-Calculation-sheet'!B8*'Output-Calculation-sheet'!B26</f>
        <v>3743.0711409735013</v>
      </c>
      <c r="C20" s="2">
        <f>C9/'Output-Calculation-sheet'!C8*'Output-Calculation-sheet'!C26</f>
        <v>2052.6088317160475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1232.1912167934631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861.06372617706279</v>
      </c>
      <c r="N20" s="2">
        <f>N9/'Output-Calculation-sheet'!N8*'Output-Calculation-sheet'!N26</f>
        <v>596.74062609824898</v>
      </c>
      <c r="O20" s="2">
        <f>O9/'Output-Calculation-sheet'!O8*'Output-Calculation-sheet'!O26</f>
        <v>401.04172655159897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283.06583225245538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93.696309183930339</v>
      </c>
      <c r="Y20" s="2">
        <f>Y9/'Output-Calculation-sheet'!Y8*'Output-Calculation-sheet'!Y26</f>
        <v>0</v>
      </c>
      <c r="AA20" s="2">
        <f t="shared" si="0"/>
        <v>9.2634794097463082</v>
      </c>
    </row>
    <row r="21" spans="1:27" x14ac:dyDescent="0.25">
      <c r="A21" s="2">
        <v>2033</v>
      </c>
      <c r="B21" s="2">
        <f>B10/'Output-Calculation-sheet'!B9*'Output-Calculation-sheet'!B27</f>
        <v>3304.8246611419254</v>
      </c>
      <c r="C21" s="2">
        <f>C10/'Output-Calculation-sheet'!C9*'Output-Calculation-sheet'!C27</f>
        <v>2031.2850976054201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666.01124245075641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471.40825155034173</v>
      </c>
      <c r="N21" s="2">
        <f>N10/'Output-Calculation-sheet'!N9*'Output-Calculation-sheet'!N27</f>
        <v>477.39385970358813</v>
      </c>
      <c r="O21" s="2">
        <f>O10/'Output-Calculation-sheet'!O9*'Output-Calculation-sheet'!O27</f>
        <v>397.68207282920827</v>
      </c>
      <c r="P21" s="2">
        <f>P10/'Output-Calculation-sheet'!P9*'Output-Calculation-sheet'!P27</f>
        <v>0</v>
      </c>
      <c r="Q21" s="2">
        <f>Q10/'Output-Calculation-sheet'!Q9*'Output-Calculation-sheet'!Q27</f>
        <v>5.5632499749763928</v>
      </c>
      <c r="R21" s="2">
        <f>R10/'Output-Calculation-sheet'!R9*'Output-Calculation-sheet'!R27</f>
        <v>0</v>
      </c>
      <c r="S21" s="2">
        <f>S10/'Output-Calculation-sheet'!S9*'Output-Calculation-sheet'!S27</f>
        <v>227.31728078138784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47.072139900692072</v>
      </c>
      <c r="Y21" s="2">
        <f>Y10/'Output-Calculation-sheet'!Y9*'Output-Calculation-sheet'!Y27</f>
        <v>0</v>
      </c>
      <c r="AA21" s="2">
        <f t="shared" si="0"/>
        <v>7.6285578559382969</v>
      </c>
    </row>
    <row r="22" spans="1:27" x14ac:dyDescent="0.25">
      <c r="A22" s="2">
        <v>2034</v>
      </c>
      <c r="B22" s="2">
        <f>B11/'Output-Calculation-sheet'!B10*'Output-Calculation-sheet'!B28</f>
        <v>2756.2852610374152</v>
      </c>
      <c r="C22" s="2">
        <f>C11/'Output-Calculation-sheet'!C10*'Output-Calculation-sheet'!C28</f>
        <v>278.02506125673557</v>
      </c>
      <c r="D22" s="2">
        <f>D11/'Output-Calculation-sheet'!D10*'Output-Calculation-sheet'!D28</f>
        <v>0</v>
      </c>
      <c r="E22" s="2">
        <f>E11/'Output-Calculation-sheet'!E10*'Output-Calculation-sheet'!E28</f>
        <v>923.19343506968573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732.06176862722566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559.8848925470777</v>
      </c>
      <c r="M22" s="2">
        <f>M11/'Output-Calculation-sheet'!M10*'Output-Calculation-sheet'!M28</f>
        <v>521.00557034494841</v>
      </c>
      <c r="N22" s="2">
        <f>N11/'Output-Calculation-sheet'!N10*'Output-Calculation-sheet'!N28</f>
        <v>348.29519620706571</v>
      </c>
      <c r="O22" s="2">
        <f>O11/'Output-Calculation-sheet'!O10*'Output-Calculation-sheet'!O28</f>
        <v>54.535262812987703</v>
      </c>
      <c r="P22" s="2">
        <f>P11/'Output-Calculation-sheet'!P10*'Output-Calculation-sheet'!P28</f>
        <v>0</v>
      </c>
      <c r="Q22" s="2">
        <f>Q11/'Output-Calculation-sheet'!Q10*'Output-Calculation-sheet'!Q28</f>
        <v>179.27898540020433</v>
      </c>
      <c r="R22" s="2">
        <f>R11/'Output-Calculation-sheet'!R10*'Output-Calculation-sheet'!R28</f>
        <v>0</v>
      </c>
      <c r="S22" s="2">
        <f>S11/'Output-Calculation-sheet'!S10*'Output-Calculation-sheet'!S28</f>
        <v>130.41277117030009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51.192424816994581</v>
      </c>
      <c r="Y22" s="2">
        <f>Y11/'Output-Calculation-sheet'!Y10*'Output-Calculation-sheet'!Y28</f>
        <v>20.867478276216001</v>
      </c>
      <c r="AA22" s="2">
        <f t="shared" si="0"/>
        <v>6.5550381075668565</v>
      </c>
    </row>
    <row r="23" spans="1:27" x14ac:dyDescent="0.25">
      <c r="A23" s="2">
        <v>2035</v>
      </c>
      <c r="B23" s="2">
        <f>B12/'Output-Calculation-sheet'!B11*'Output-Calculation-sheet'!B29</f>
        <v>1240.8809128998726</v>
      </c>
      <c r="C23" s="2">
        <f>C12/'Output-Calculation-sheet'!C11*'Output-Calculation-sheet'!C29</f>
        <v>107.86890770106699</v>
      </c>
      <c r="D23" s="2">
        <f>D12/'Output-Calculation-sheet'!D11*'Output-Calculation-sheet'!D29</f>
        <v>0</v>
      </c>
      <c r="E23" s="2">
        <f>E12/'Output-Calculation-sheet'!E11*'Output-Calculation-sheet'!E29</f>
        <v>1712.9279286443186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182.90802073183016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1149.4520942116403</v>
      </c>
      <c r="M23" s="2">
        <f>M12/'Output-Calculation-sheet'!M11*'Output-Calculation-sheet'!M29</f>
        <v>167.79141500259749</v>
      </c>
      <c r="N23" s="2">
        <f>N12/'Output-Calculation-sheet'!N11*'Output-Calculation-sheet'!N29</f>
        <v>139.47142681083591</v>
      </c>
      <c r="O23" s="2">
        <f>O12/'Output-Calculation-sheet'!O11*'Output-Calculation-sheet'!O29</f>
        <v>19.12634503746812</v>
      </c>
      <c r="P23" s="2">
        <f>P12/'Output-Calculation-sheet'!P11*'Output-Calculation-sheet'!P29</f>
        <v>67.733335178460536</v>
      </c>
      <c r="Q23" s="2">
        <f>Q12/'Output-Calculation-sheet'!Q11*'Output-Calculation-sheet'!Q29</f>
        <v>254.73785906847624</v>
      </c>
      <c r="R23" s="2">
        <f>R12/'Output-Calculation-sheet'!R11*'Output-Calculation-sheet'!R29</f>
        <v>0</v>
      </c>
      <c r="S23" s="2">
        <f>S12/'Output-Calculation-sheet'!S11*'Output-Calculation-sheet'!S29</f>
        <v>58.264435167090831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5.3880648827232234</v>
      </c>
      <c r="Y23" s="2">
        <f>Y12/'Output-Calculation-sheet'!Y11*'Output-Calculation-sheet'!Y29</f>
        <v>46.80778023055359</v>
      </c>
      <c r="AA23" s="2">
        <f t="shared" si="0"/>
        <v>5.1533585255669347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776.06820184809783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30.42765828781345</v>
      </c>
    </row>
    <row r="31" spans="1:27" x14ac:dyDescent="0.25">
      <c r="A31" s="2">
        <v>2032</v>
      </c>
      <c r="B31" s="2">
        <f>B9/'Output-Calculation-sheet'!B8*'Output-Calculation-sheet'!B17</f>
        <v>15737.42103418192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615.34974840394977</v>
      </c>
      <c r="O31" s="2">
        <f>O9/'Output-Calculation-sheet'!O8*'Output-Calculation-sheet'!O17</f>
        <v>0</v>
      </c>
      <c r="P31" s="2">
        <f>P9/'Output-Calculation-sheet'!P8*'Output-Calculation-sheet'!P17</f>
        <v>1537.97116503646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509.30515847453813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36.056303407143865</v>
      </c>
    </row>
    <row r="32" spans="1:27" x14ac:dyDescent="0.25">
      <c r="A32" s="2">
        <v>2033</v>
      </c>
      <c r="B32" s="2">
        <f>B10/'Output-Calculation-sheet'!B9*'Output-Calculation-sheet'!B18</f>
        <v>11954.424542903938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1871.7251131574606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483.85762162562304</v>
      </c>
      <c r="O32" s="2">
        <f>O10/'Output-Calculation-sheet'!O9*'Output-Calculation-sheet'!O18</f>
        <v>0</v>
      </c>
      <c r="P32" s="2">
        <f>P10/'Output-Calculation-sheet'!P9*'Output-Calculation-sheet'!P18</f>
        <v>1926.2559936910068</v>
      </c>
      <c r="Q32" s="2">
        <f>Q10/'Output-Calculation-sheet'!Q9*'Output-Calculation-sheet'!Q18</f>
        <v>1783.5366861331674</v>
      </c>
      <c r="R32" s="2">
        <f>R10/'Output-Calculation-sheet'!R9*'Output-Calculation-sheet'!R18</f>
        <v>1383.1862259628961</v>
      </c>
      <c r="S32" s="2">
        <f>S10/'Output-Calculation-sheet'!S9*'Output-Calculation-sheet'!S18</f>
        <v>440.16741644148362</v>
      </c>
      <c r="T32" s="2">
        <f>T10/'Output-Calculation-sheet'!T9*'Output-Calculation-sheet'!T18</f>
        <v>403.86787511573198</v>
      </c>
      <c r="U32" s="2">
        <f>U10/'Output-Calculation-sheet'!U9*'Output-Calculation-sheet'!U18</f>
        <v>446.45806785720185</v>
      </c>
      <c r="V32" s="2">
        <f>V10/'Output-Calculation-sheet'!V9*'Output-Calculation-sheet'!V18</f>
        <v>329.53277744124631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190.78199999996474</v>
      </c>
      <c r="AA32" s="2">
        <f t="shared" si="1"/>
        <v>38.004324335486928</v>
      </c>
    </row>
    <row r="33" spans="1:27" x14ac:dyDescent="0.25">
      <c r="A33" s="2">
        <v>2034</v>
      </c>
      <c r="B33" s="2">
        <f>B11/'Output-Calculation-sheet'!B10*'Output-Calculation-sheet'!B19</f>
        <v>8331.5197460393611</v>
      </c>
      <c r="C33" s="2">
        <f>C11/'Output-Calculation-sheet'!C10*'Output-Calculation-sheet'!C19</f>
        <v>0</v>
      </c>
      <c r="D33" s="2">
        <f>D11/'Output-Calculation-sheet'!D10*'Output-Calculation-sheet'!D19</f>
        <v>5540.8199053387098</v>
      </c>
      <c r="E33" s="2">
        <f>E11/'Output-Calculation-sheet'!E10*'Output-Calculation-sheet'!E19</f>
        <v>6869.2176903474847</v>
      </c>
      <c r="F33" s="2">
        <f>F11/'Output-Calculation-sheet'!F10*'Output-Calculation-sheet'!F19</f>
        <v>3145.2957267910983</v>
      </c>
      <c r="G33" s="2">
        <f>G11/'Output-Calculation-sheet'!G10*'Output-Calculation-sheet'!G19</f>
        <v>1873.6971345375086</v>
      </c>
      <c r="H33" s="2">
        <f>H11/'Output-Calculation-sheet'!H10*'Output-Calculation-sheet'!H19</f>
        <v>0</v>
      </c>
      <c r="I33" s="2">
        <f>I11/'Output-Calculation-sheet'!I10*'Output-Calculation-sheet'!I19</f>
        <v>2058.2099898727147</v>
      </c>
      <c r="J33" s="2">
        <f>J11/'Output-Calculation-sheet'!J10*'Output-Calculation-sheet'!J19</f>
        <v>1740.4559093436658</v>
      </c>
      <c r="K33" s="2">
        <f>K11/'Output-Calculation-sheet'!K10*'Output-Calculation-sheet'!K19</f>
        <v>2414.0533775517165</v>
      </c>
      <c r="L33" s="2">
        <f>L11/'Output-Calculation-sheet'!L10*'Output-Calculation-sheet'!L19</f>
        <v>1963.3996954520503</v>
      </c>
      <c r="M33" s="2">
        <f>M11/'Output-Calculation-sheet'!M10*'Output-Calculation-sheet'!M19</f>
        <v>0</v>
      </c>
      <c r="N33" s="2">
        <f>N11/'Output-Calculation-sheet'!N10*'Output-Calculation-sheet'!N19</f>
        <v>372.6840792210586</v>
      </c>
      <c r="O33" s="2">
        <f>O11/'Output-Calculation-sheet'!O10*'Output-Calculation-sheet'!O19</f>
        <v>0</v>
      </c>
      <c r="P33" s="2">
        <f>P11/'Output-Calculation-sheet'!P10*'Output-Calculation-sheet'!P19</f>
        <v>1844.8469161144649</v>
      </c>
      <c r="Q33" s="2">
        <f>Q11/'Output-Calculation-sheet'!Q10*'Output-Calculation-sheet'!Q19</f>
        <v>1175.4835800378321</v>
      </c>
      <c r="R33" s="2">
        <f>R11/'Output-Calculation-sheet'!R10*'Output-Calculation-sheet'!R19</f>
        <v>1743.9787840244328</v>
      </c>
      <c r="S33" s="2">
        <f>S11/'Output-Calculation-sheet'!S10*'Output-Calculation-sheet'!S19</f>
        <v>236.9149171728144</v>
      </c>
      <c r="T33" s="2">
        <f>T11/'Output-Calculation-sheet'!T10*'Output-Calculation-sheet'!T19</f>
        <v>511.6090208861259</v>
      </c>
      <c r="U33" s="2">
        <f>U11/'Output-Calculation-sheet'!U10*'Output-Calculation-sheet'!U19</f>
        <v>553.33353461548529</v>
      </c>
      <c r="V33" s="2">
        <f>V11/'Output-Calculation-sheet'!V10*'Output-Calculation-sheet'!V19</f>
        <v>401.30475601539206</v>
      </c>
      <c r="W33" s="2">
        <f>W11/'Output-Calculation-sheet'!W10*'Output-Calculation-sheet'!W19</f>
        <v>249.87089781067928</v>
      </c>
      <c r="X33" s="2">
        <f>X11/'Output-Calculation-sheet'!X10*'Output-Calculation-sheet'!X19</f>
        <v>0</v>
      </c>
      <c r="Y33" s="2">
        <f>Y11/'Output-Calculation-sheet'!Y10*'Output-Calculation-sheet'!Y19</f>
        <v>204.57293198433422</v>
      </c>
      <c r="AA33" s="2">
        <f t="shared" si="1"/>
        <v>41.23126859315694</v>
      </c>
    </row>
    <row r="34" spans="1:27" x14ac:dyDescent="0.25">
      <c r="A34" s="2">
        <v>2035</v>
      </c>
      <c r="B34" s="2">
        <f>B12/'Output-Calculation-sheet'!B11*'Output-Calculation-sheet'!B20</f>
        <v>2123.3581777922213</v>
      </c>
      <c r="C34" s="2">
        <f>C12/'Output-Calculation-sheet'!C11*'Output-Calculation-sheet'!C20</f>
        <v>0</v>
      </c>
      <c r="D34" s="2">
        <f>D12/'Output-Calculation-sheet'!D11*'Output-Calculation-sheet'!D20</f>
        <v>5559.9741304120116</v>
      </c>
      <c r="E34" s="2">
        <f>E12/'Output-Calculation-sheet'!E11*'Output-Calculation-sheet'!E20</f>
        <v>3629.423932596233</v>
      </c>
      <c r="F34" s="2">
        <f>F12/'Output-Calculation-sheet'!F11*'Output-Calculation-sheet'!F20</f>
        <v>3455.137753874706</v>
      </c>
      <c r="G34" s="2">
        <f>G12/'Output-Calculation-sheet'!G11*'Output-Calculation-sheet'!G20</f>
        <v>1864.1686568708699</v>
      </c>
      <c r="H34" s="2">
        <f>H12/'Output-Calculation-sheet'!H11*'Output-Calculation-sheet'!H20</f>
        <v>0</v>
      </c>
      <c r="I34" s="2">
        <f>I12/'Output-Calculation-sheet'!I11*'Output-Calculation-sheet'!I20</f>
        <v>2072.442745729305</v>
      </c>
      <c r="J34" s="2">
        <f>J12/'Output-Calculation-sheet'!J11*'Output-Calculation-sheet'!J20</f>
        <v>1921.9106079330409</v>
      </c>
      <c r="K34" s="2">
        <f>K12/'Output-Calculation-sheet'!K11*'Output-Calculation-sheet'!K20</f>
        <v>2562.0974439441202</v>
      </c>
      <c r="L34" s="2">
        <f>L12/'Output-Calculation-sheet'!L11*'Output-Calculation-sheet'!L20</f>
        <v>2039.8533111155898</v>
      </c>
      <c r="M34" s="2">
        <f>M12/'Output-Calculation-sheet'!M11*'Output-Calculation-sheet'!M20</f>
        <v>0</v>
      </c>
      <c r="N34" s="2">
        <f>N12/'Output-Calculation-sheet'!N11*'Output-Calculation-sheet'!N20</f>
        <v>1.5059385896588793E-2</v>
      </c>
      <c r="O34" s="2">
        <f>O12/'Output-Calculation-sheet'!O11*'Output-Calculation-sheet'!O20</f>
        <v>0</v>
      </c>
      <c r="P34" s="2">
        <f>P12/'Output-Calculation-sheet'!P11*'Output-Calculation-sheet'!P20</f>
        <v>1048.8096972293699</v>
      </c>
      <c r="Q34" s="2">
        <f>Q12/'Output-Calculation-sheet'!Q11*'Output-Calculation-sheet'!Q20</f>
        <v>705.26383411401241</v>
      </c>
      <c r="R34" s="2">
        <f>R12/'Output-Calculation-sheet'!R11*'Output-Calculation-sheet'!R20</f>
        <v>1957.3097765157088</v>
      </c>
      <c r="S34" s="2">
        <f>S12/'Output-Calculation-sheet'!S11*'Output-Calculation-sheet'!S20</f>
        <v>2.3188700112007408</v>
      </c>
      <c r="T34" s="2">
        <f>T12/'Output-Calculation-sheet'!T11*'Output-Calculation-sheet'!T20</f>
        <v>593.29332927397718</v>
      </c>
      <c r="U34" s="2">
        <f>U12/'Output-Calculation-sheet'!U11*'Output-Calculation-sheet'!U20</f>
        <v>546.46783604512052</v>
      </c>
      <c r="V34" s="2">
        <f>V12/'Output-Calculation-sheet'!V11*'Output-Calculation-sheet'!V20</f>
        <v>537.88355218709546</v>
      </c>
      <c r="W34" s="2">
        <f>W12/'Output-Calculation-sheet'!W11*'Output-Calculation-sheet'!W20</f>
        <v>291.69926516422117</v>
      </c>
      <c r="X34" s="2">
        <f>X12/'Output-Calculation-sheet'!X11*'Output-Calculation-sheet'!X20</f>
        <v>0</v>
      </c>
      <c r="Y34" s="2">
        <f>Y12/'Output-Calculation-sheet'!Y11*'Output-Calculation-sheet'!Y20</f>
        <v>133.24626719153184</v>
      </c>
      <c r="AA34" s="2">
        <f t="shared" si="1"/>
        <v>31.044674247386233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1.248008944804474E-2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2.2856331250791376E-3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1.4765722573123877E-2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3.4785462900984637E-2</v>
      </c>
      <c r="E45" s="2">
        <f>E12/'Output-Calculation-sheet'!E11*'Output-Calculation-sheet'!E38*0.0114</f>
        <v>8.2935590869256906E-2</v>
      </c>
      <c r="F45" s="2">
        <f>F12/'Output-Calculation-sheet'!F11*'Output-Calculation-sheet'!F38*0.0114</f>
        <v>3.4773853945546926E-2</v>
      </c>
      <c r="G45" s="2">
        <f>G12/'Output-Calculation-sheet'!G11*'Output-Calculation-sheet'!G38*0.0114</f>
        <v>2.4956663877585959E-2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2.2446976965062905E-2</v>
      </c>
      <c r="J45" s="2">
        <f>J12/'Output-Calculation-sheet'!J11*'Output-Calculation-sheet'!J38*0.0114</f>
        <v>1.1107535775614718E-2</v>
      </c>
      <c r="K45" s="2">
        <f>K12/'Output-Calculation-sheet'!K11*'Output-Calculation-sheet'!K38*0.0114</f>
        <v>2.2061805315729186E-2</v>
      </c>
      <c r="L45" s="2">
        <f>L12/'Output-Calculation-sheet'!L11*'Output-Calculation-sheet'!L38*0.0114</f>
        <v>8.7712659830694109E-3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2.2657056005940378E-2</v>
      </c>
      <c r="Q45" s="2">
        <f>Q12/'Output-Calculation-sheet'!Q11*'Output-Calculation-sheet'!Q38*0.0114</f>
        <v>7.162635053314134E-3</v>
      </c>
      <c r="R45" s="2">
        <f>R12/'Output-Calculation-sheet'!R11*'Output-Calculation-sheet'!R38*0.0114</f>
        <v>1.4206205263519876E-2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2.6278803937436917E-3</v>
      </c>
      <c r="U45" s="2">
        <f>U12/'Output-Calculation-sheet'!U11*'Output-Calculation-sheet'!U38*0.0114</f>
        <v>6.8559337520228882E-3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3.0518454010361545E-3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3.5222625985393071E-3</v>
      </c>
      <c r="AA45" s="2">
        <f t="shared" si="2"/>
        <v>0.46749976886322869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0.10034113892750149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122.63551267470004</v>
      </c>
      <c r="R54" s="2">
        <f>R10/'Output-Calculation-sheet'!R9*'Output-Calculation-sheet'!R45</f>
        <v>918.0465769191743</v>
      </c>
      <c r="S54" s="2">
        <f>S10/'Output-Calculation-sheet'!S9*'Output-Calculation-sheet'!S45</f>
        <v>0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11.442799046017123</v>
      </c>
      <c r="AA54" s="2">
        <f t="shared" si="3"/>
        <v>3.0208537824579595</v>
      </c>
    </row>
    <row r="55" spans="1:27" x14ac:dyDescent="0.25">
      <c r="A55" s="2">
        <v>2034</v>
      </c>
      <c r="B55" s="2">
        <f>B11/'Output-Calculation-sheet'!B10*'Output-Calculation-sheet'!B46</f>
        <v>1088.7981511719361</v>
      </c>
      <c r="C55" s="2">
        <f>C11/'Output-Calculation-sheet'!C10*'Output-Calculation-sheet'!C46</f>
        <v>0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181.52067755017811</v>
      </c>
      <c r="G55" s="2">
        <f>G11/'Output-Calculation-sheet'!G10*'Output-Calculation-sheet'!G46</f>
        <v>2046.0778226662824</v>
      </c>
      <c r="H55" s="2">
        <f>H11/'Output-Calculation-sheet'!H10*'Output-Calculation-sheet'!H46</f>
        <v>371.18075212017158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841.95285841787029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275.1114205238452</v>
      </c>
      <c r="N55" s="2">
        <f>N11/'Output-Calculation-sheet'!N10*'Output-Calculation-sheet'!N46</f>
        <v>93.955114684107414</v>
      </c>
      <c r="O55" s="2">
        <f>O11/'Output-Calculation-sheet'!O10*'Output-Calculation-sheet'!O46</f>
        <v>0</v>
      </c>
      <c r="P55" s="2">
        <f>P11/'Output-Calculation-sheet'!P10*'Output-Calculation-sheet'!P46</f>
        <v>2043.3977242327383</v>
      </c>
      <c r="Q55" s="2">
        <f>Q11/'Output-Calculation-sheet'!Q10*'Output-Calculation-sheet'!Q46</f>
        <v>437.98770000575684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0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778.91970973091657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51.67448429003143</v>
      </c>
      <c r="X55" s="2">
        <f>X11/'Output-Calculation-sheet'!X10*'Output-Calculation-sheet'!X46</f>
        <v>26.257657203134166</v>
      </c>
      <c r="Y55" s="2">
        <f>Y11/'Output-Calculation-sheet'!Y10*'Output-Calculation-sheet'!Y46</f>
        <v>182.6272268867736</v>
      </c>
      <c r="AA55" s="2">
        <f t="shared" si="3"/>
        <v>27.047777658448577</v>
      </c>
    </row>
    <row r="56" spans="1:27" x14ac:dyDescent="0.25">
      <c r="A56" s="2">
        <v>2035</v>
      </c>
      <c r="B56" s="2">
        <f>B12/'Output-Calculation-sheet'!B11*'Output-Calculation-sheet'!B47</f>
        <v>1952.3030458664709</v>
      </c>
      <c r="C56" s="2">
        <f>C12/'Output-Calculation-sheet'!C11*'Output-Calculation-sheet'!C47</f>
        <v>223.90161266387847</v>
      </c>
      <c r="D56" s="2">
        <f>D12/'Output-Calculation-sheet'!D11*'Output-Calculation-sheet'!D47</f>
        <v>5510.7496490507237</v>
      </c>
      <c r="E56" s="2">
        <f>E12/'Output-Calculation-sheet'!E11*'Output-Calculation-sheet'!E47</f>
        <v>7221.7014505452353</v>
      </c>
      <c r="F56" s="2">
        <f>F12/'Output-Calculation-sheet'!F11*'Output-Calculation-sheet'!F47</f>
        <v>762.58451634971323</v>
      </c>
      <c r="G56" s="2">
        <f>G12/'Output-Calculation-sheet'!G11*'Output-Calculation-sheet'!G47</f>
        <v>2039.2221405238001</v>
      </c>
      <c r="H56" s="2">
        <f>H12/'Output-Calculation-sheet'!H11*'Output-Calculation-sheet'!H47</f>
        <v>86.950101162410931</v>
      </c>
      <c r="I56" s="2">
        <f>I12/'Output-Calculation-sheet'!I11*'Output-Calculation-sheet'!I47</f>
        <v>1299.5618242931155</v>
      </c>
      <c r="J56" s="2">
        <f>J12/'Output-Calculation-sheet'!J11*'Output-Calculation-sheet'!J47</f>
        <v>2169.8668572187698</v>
      </c>
      <c r="K56" s="2">
        <f>K12/'Output-Calculation-sheet'!K11*'Output-Calculation-sheet'!K47</f>
        <v>2898.0310052898644</v>
      </c>
      <c r="L56" s="2">
        <f>L12/'Output-Calculation-sheet'!L11*'Output-Calculation-sheet'!L47</f>
        <v>3138.4205214859762</v>
      </c>
      <c r="M56" s="2">
        <f>M12/'Output-Calculation-sheet'!M11*'Output-Calculation-sheet'!M47</f>
        <v>66.396853296732431</v>
      </c>
      <c r="N56" s="2">
        <f>N12/'Output-Calculation-sheet'!N11*'Output-Calculation-sheet'!N47</f>
        <v>62.388884428724992</v>
      </c>
      <c r="O56" s="2">
        <f>O12/'Output-Calculation-sheet'!O11*'Output-Calculation-sheet'!O47</f>
        <v>40.821071596009773</v>
      </c>
      <c r="P56" s="2">
        <f>P12/'Output-Calculation-sheet'!P11*'Output-Calculation-sheet'!P47</f>
        <v>1482.6459456518878</v>
      </c>
      <c r="Q56" s="2">
        <f>Q12/'Output-Calculation-sheet'!Q11*'Output-Calculation-sheet'!Q47</f>
        <v>569.86929766279991</v>
      </c>
      <c r="R56" s="2">
        <f>R12/'Output-Calculation-sheet'!R11*'Output-Calculation-sheet'!R47</f>
        <v>3195.150025935523</v>
      </c>
      <c r="S56" s="2">
        <f>S12/'Output-Calculation-sheet'!S11*'Output-Calculation-sheet'!S47</f>
        <v>26.719828173736598</v>
      </c>
      <c r="T56" s="2">
        <f>T12/'Output-Calculation-sheet'!T11*'Output-Calculation-sheet'!T47</f>
        <v>1074.8952873707749</v>
      </c>
      <c r="U56" s="2">
        <f>U12/'Output-Calculation-sheet'!U11*'Output-Calculation-sheet'!U47</f>
        <v>753.55131502497181</v>
      </c>
      <c r="V56" s="2">
        <f>V12/'Output-Calculation-sheet'!V11*'Output-Calculation-sheet'!V47</f>
        <v>744.59606390206761</v>
      </c>
      <c r="W56" s="2">
        <f>W12/'Output-Calculation-sheet'!W11*'Output-Calculation-sheet'!W47</f>
        <v>263.55629801053453</v>
      </c>
      <c r="X56" s="2">
        <f>X12/'Output-Calculation-sheet'!X11*'Output-Calculation-sheet'!X47</f>
        <v>6.8036175448484588</v>
      </c>
      <c r="Y56" s="2">
        <f>Y12/'Output-Calculation-sheet'!Y11*'Output-Calculation-sheet'!Y47</f>
        <v>210.33160210137135</v>
      </c>
      <c r="AA56" s="2">
        <f t="shared" si="3"/>
        <v>35.801018815149952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5.6116038644282495</v>
      </c>
      <c r="C63" s="2">
        <f>C8*'Output-Calculation-sheet'!C52/10^9</f>
        <v>2.9980073917848906</v>
      </c>
      <c r="D63" s="2">
        <f>D8*'Output-Calculation-sheet'!D52/10^9</f>
        <v>1.9243392230108394</v>
      </c>
      <c r="E63" s="2">
        <f>E8*'Output-Calculation-sheet'!E52/10^9</f>
        <v>1.9133093691004135</v>
      </c>
      <c r="F63" s="2">
        <f>F8*'Output-Calculation-sheet'!F52/10^9</f>
        <v>0.81028635964155082</v>
      </c>
      <c r="G63" s="2">
        <f>G8*'Output-Calculation-sheet'!G52/10^9</f>
        <v>0.58255928697040749</v>
      </c>
      <c r="H63" s="2">
        <f>H8*'Output-Calculation-sheet'!H52/10^9</f>
        <v>0.94747671526102983</v>
      </c>
      <c r="I63" s="2">
        <f>I8*'Output-Calculation-sheet'!I52/10^9</f>
        <v>0.54191538528642691</v>
      </c>
      <c r="J63" s="2">
        <f>J8*'Output-Calculation-sheet'!J52/10^9</f>
        <v>0.7457123022257055</v>
      </c>
      <c r="K63" s="2">
        <f>K8*'Output-Calculation-sheet'!K52/10^9</f>
        <v>0.6551745826890556</v>
      </c>
      <c r="L63" s="2">
        <f>L8*'Output-Calculation-sheet'!L52/10^9</f>
        <v>0.88124133691699424</v>
      </c>
      <c r="M63" s="2">
        <f>M8*'Output-Calculation-sheet'!M52/10^9</f>
        <v>0.77620415714348534</v>
      </c>
      <c r="N63" s="2">
        <f>N8*'Output-Calculation-sheet'!N52/10^9</f>
        <v>0.68488765024270037</v>
      </c>
      <c r="O63" s="2">
        <f>O8*'Output-Calculation-sheet'!O52/10^9</f>
        <v>0.61336643161907056</v>
      </c>
      <c r="P63" s="2">
        <f>P8*'Output-Calculation-sheet'!P52/10^9</f>
        <v>0.45270796330726731</v>
      </c>
      <c r="Q63" s="2">
        <f>Q8*'Output-Calculation-sheet'!Q52/10^9</f>
        <v>0.51233275024873171</v>
      </c>
      <c r="R63" s="2">
        <f>R8*'Output-Calculation-sheet'!R52/10^9</f>
        <v>0.45997311154048232</v>
      </c>
      <c r="S63" s="2">
        <f>S8*'Output-Calculation-sheet'!S52/10^9</f>
        <v>0.34085637330813484</v>
      </c>
      <c r="T63" s="2">
        <f>T8*'Output-Calculation-sheet'!T52/10^9</f>
        <v>0.1748752063107154</v>
      </c>
      <c r="U63" s="2">
        <f>U8*'Output-Calculation-sheet'!U52/10^9</f>
        <v>0.12010241779043568</v>
      </c>
      <c r="V63" s="2">
        <f>V8*'Output-Calculation-sheet'!V52/10^9</f>
        <v>0.21315340915134098</v>
      </c>
      <c r="W63" s="2">
        <f>W8*'Output-Calculation-sheet'!W52/10^9</f>
        <v>7.7151547774583801E-2</v>
      </c>
      <c r="X63" s="2">
        <f>X8*'Output-Calculation-sheet'!X52/10^9</f>
        <v>7.9495524767183121E-2</v>
      </c>
      <c r="Y63" s="2">
        <f>Y8*'Output-Calculation-sheet'!Y52/10^9</f>
        <v>5.0339238755217168E-2</v>
      </c>
      <c r="AA63" s="2">
        <f t="shared" si="4"/>
        <v>22.167071599274912</v>
      </c>
    </row>
    <row r="64" spans="1:27" x14ac:dyDescent="0.25">
      <c r="A64" s="2">
        <v>2032</v>
      </c>
      <c r="B64" s="2">
        <f>B9*'Output-Calculation-sheet'!B53/10^9</f>
        <v>5.3665122488082</v>
      </c>
      <c r="C64" s="2">
        <f>C9*'Output-Calculation-sheet'!C53/10^9</f>
        <v>2.8449538863859747</v>
      </c>
      <c r="D64" s="2">
        <f>D9*'Output-Calculation-sheet'!D53/10^9</f>
        <v>1.5893860347804516</v>
      </c>
      <c r="E64" s="2">
        <f>E9*'Output-Calculation-sheet'!E53/10^9</f>
        <v>1.6276012292636879</v>
      </c>
      <c r="F64" s="2">
        <f>F9*'Output-Calculation-sheet'!F53/10^9</f>
        <v>0.68651199260575502</v>
      </c>
      <c r="G64" s="2">
        <f>G9*'Output-Calculation-sheet'!G53/10^9</f>
        <v>0.48863823517908089</v>
      </c>
      <c r="H64" s="2">
        <f>H9*'Output-Calculation-sheet'!H53/10^9</f>
        <v>0.89286767122173571</v>
      </c>
      <c r="I64" s="2">
        <f>I9*'Output-Calculation-sheet'!I53/10^9</f>
        <v>0.45679688864056084</v>
      </c>
      <c r="J64" s="2">
        <f>J9*'Output-Calculation-sheet'!J53/10^9</f>
        <v>0.60470626626943702</v>
      </c>
      <c r="K64" s="2">
        <f>K9*'Output-Calculation-sheet'!K53/10^9</f>
        <v>0.56108514268735565</v>
      </c>
      <c r="L64" s="2">
        <f>L9*'Output-Calculation-sheet'!L53/10^9</f>
        <v>0.72183435902377358</v>
      </c>
      <c r="M64" s="2">
        <f>M9*'Output-Calculation-sheet'!M53/10^9</f>
        <v>0.70838606854373598</v>
      </c>
      <c r="N64" s="2">
        <f>N9*'Output-Calculation-sheet'!N53/10^9</f>
        <v>0.63777634639967939</v>
      </c>
      <c r="O64" s="2">
        <f>O9*'Output-Calculation-sheet'!O53/10^9</f>
        <v>0.57612446707563547</v>
      </c>
      <c r="P64" s="2">
        <f>P9*'Output-Calculation-sheet'!P53/10^9</f>
        <v>0.42779260669125913</v>
      </c>
      <c r="Q64" s="2">
        <f>Q9*'Output-Calculation-sheet'!Q53/10^9</f>
        <v>0.47277155562732137</v>
      </c>
      <c r="R64" s="2">
        <f>R9*'Output-Calculation-sheet'!R53/10^9</f>
        <v>0.40527686902422283</v>
      </c>
      <c r="S64" s="2">
        <f>S9*'Output-Calculation-sheet'!S53/10^9</f>
        <v>0.32611495591436751</v>
      </c>
      <c r="T64" s="2">
        <f>T9*'Output-Calculation-sheet'!T53/10^9</f>
        <v>0.14568590656576547</v>
      </c>
      <c r="U64" s="2">
        <f>U9*'Output-Calculation-sheet'!U53/10^9</f>
        <v>0.10965474438459225</v>
      </c>
      <c r="V64" s="2">
        <f>V9*'Output-Calculation-sheet'!V53/10^9</f>
        <v>0.17291931951029449</v>
      </c>
      <c r="W64" s="2">
        <f>W9*'Output-Calculation-sheet'!W53/10^9</f>
        <v>6.425359128216096E-2</v>
      </c>
      <c r="X64" s="2">
        <f>X9*'Output-Calculation-sheet'!X53/10^9</f>
        <v>7.3665823143765963E-2</v>
      </c>
      <c r="Y64" s="2">
        <f>Y9*'Output-Calculation-sheet'!Y53/10^9</f>
        <v>4.5018186377112836E-2</v>
      </c>
      <c r="AA64" s="2">
        <f t="shared" si="4"/>
        <v>20.006334395405933</v>
      </c>
    </row>
    <row r="65" spans="1:27" x14ac:dyDescent="0.25">
      <c r="A65" s="2">
        <v>2033</v>
      </c>
      <c r="B65" s="2">
        <f>B10*'Output-Calculation-sheet'!B54/10^9</f>
        <v>5.1903077722380448</v>
      </c>
      <c r="C65" s="2">
        <f>C10*'Output-Calculation-sheet'!C54/10^9</f>
        <v>2.6829631044341888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0.84254096736173589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0.49089668024634886</v>
      </c>
      <c r="L65" s="2">
        <f>L10*'Output-Calculation-sheet'!L54/10^9</f>
        <v>0.57979646202074064</v>
      </c>
      <c r="M65" s="2">
        <f>M10*'Output-Calculation-sheet'!M54/10^9</f>
        <v>0.64249114496564286</v>
      </c>
      <c r="N65" s="2">
        <f>N10*'Output-Calculation-sheet'!N54/10^9</f>
        <v>0.58956435591379164</v>
      </c>
      <c r="O65" s="2">
        <f>O10*'Output-Calculation-sheet'!O54/10^9</f>
        <v>0.53767766999504241</v>
      </c>
      <c r="P65" s="2">
        <f>P10*'Output-Calculation-sheet'!P54/10^9</f>
        <v>0.41531412049808442</v>
      </c>
      <c r="Q65" s="2">
        <f>Q10*'Output-Calculation-sheet'!Q54/10^9</f>
        <v>0.45241681634289721</v>
      </c>
      <c r="R65" s="2">
        <f>R10*'Output-Calculation-sheet'!R54/10^9</f>
        <v>0.36563873738615371</v>
      </c>
      <c r="S65" s="2">
        <f>S10*'Output-Calculation-sheet'!S54/10^9</f>
        <v>0.31099434546402033</v>
      </c>
      <c r="T65" s="2">
        <f>T10*'Output-Calculation-sheet'!T54/10^9</f>
        <v>0.12225086350533329</v>
      </c>
      <c r="U65" s="2">
        <f>U10*'Output-Calculation-sheet'!U54/10^9</f>
        <v>0.10555927214722166</v>
      </c>
      <c r="V65" s="2">
        <f>V10*'Output-Calculation-sheet'!V54/10^9</f>
        <v>0.13529204539210307</v>
      </c>
      <c r="W65" s="2">
        <f>W10*'Output-Calculation-sheet'!W54/10^9</f>
        <v>5.1508793106956323E-2</v>
      </c>
      <c r="X65" s="2">
        <f>X10*'Output-Calculation-sheet'!X54/10^9</f>
        <v>6.7365650241867664E-2</v>
      </c>
      <c r="Y65" s="2">
        <f>Y10*'Output-Calculation-sheet'!Y54/10^9</f>
        <v>4.2395365179310772E-2</v>
      </c>
      <c r="AA65" s="2">
        <f t="shared" si="4"/>
        <v>18.118860347057694</v>
      </c>
    </row>
    <row r="66" spans="1:27" x14ac:dyDescent="0.25">
      <c r="A66" s="2">
        <v>2034</v>
      </c>
      <c r="B66" s="2">
        <f>B11*'Output-Calculation-sheet'!B55/10^9</f>
        <v>5.0646895349432608</v>
      </c>
      <c r="C66" s="2">
        <f>C11*'Output-Calculation-sheet'!C55/10^9</f>
        <v>2.5477314396682864</v>
      </c>
      <c r="D66" s="2">
        <f>D11*'Output-Calculation-sheet'!D55/10^9</f>
        <v>1.143017045465643</v>
      </c>
      <c r="E66" s="2">
        <f>E11*'Output-Calculation-sheet'!E55/10^9</f>
        <v>1.3841125769295499</v>
      </c>
      <c r="F66" s="2">
        <f>F11*'Output-Calculation-sheet'!F55/10^9</f>
        <v>0.53193504030035099</v>
      </c>
      <c r="G66" s="2">
        <f>G11*'Output-Calculation-sheet'!G55/10^9</f>
        <v>0.38024064497634036</v>
      </c>
      <c r="H66" s="2">
        <f>H11*'Output-Calculation-sheet'!H55/10^9</f>
        <v>0.79341674581448851</v>
      </c>
      <c r="I66" s="2">
        <f>I11*'Output-Calculation-sheet'!I55/10^9</f>
        <v>0.37180685394132756</v>
      </c>
      <c r="J66" s="2">
        <f>J11*'Output-Calculation-sheet'!J55/10^9</f>
        <v>0.38234221525927997</v>
      </c>
      <c r="K66" s="2">
        <f>K11*'Output-Calculation-sheet'!K55/10^9</f>
        <v>0.45730824778104601</v>
      </c>
      <c r="L66" s="2">
        <f>L11*'Output-Calculation-sheet'!L55/10^9</f>
        <v>0.48429680078124998</v>
      </c>
      <c r="M66" s="2">
        <f>M11*'Output-Calculation-sheet'!M55/10^9</f>
        <v>0.57834598677221472</v>
      </c>
      <c r="N66" s="2">
        <f>N11*'Output-Calculation-sheet'!N55/10^9</f>
        <v>0.54636978224454069</v>
      </c>
      <c r="O66" s="2">
        <f>O11*'Output-Calculation-sheet'!O55/10^9</f>
        <v>0.50216644386030895</v>
      </c>
      <c r="P66" s="2">
        <f>P11*'Output-Calculation-sheet'!P55/10^9</f>
        <v>0.41930413433185132</v>
      </c>
      <c r="Q66" s="2">
        <f>Q11*'Output-Calculation-sheet'!Q55/10^9</f>
        <v>0.44355557791172218</v>
      </c>
      <c r="R66" s="2">
        <f>R11*'Output-Calculation-sheet'!R55/10^9</f>
        <v>0.34259793347209211</v>
      </c>
      <c r="S66" s="2">
        <f>S11*'Output-Calculation-sheet'!S55/10^9</f>
        <v>0.29882787257599014</v>
      </c>
      <c r="T66" s="2">
        <f>T11*'Output-Calculation-sheet'!T55/10^9</f>
        <v>0.10737843437210667</v>
      </c>
      <c r="U66" s="2">
        <f>U11*'Output-Calculation-sheet'!U55/10^9</f>
        <v>0.10906464023203112</v>
      </c>
      <c r="V66" s="2">
        <f>V11*'Output-Calculation-sheet'!V55/10^9</f>
        <v>0.10186340551894774</v>
      </c>
      <c r="W66" s="2">
        <f>W11*'Output-Calculation-sheet'!W55/10^9</f>
        <v>4.6124412869212664E-2</v>
      </c>
      <c r="X66" s="2">
        <f>X11*'Output-Calculation-sheet'!X55/10^9</f>
        <v>6.1791561255902412E-2</v>
      </c>
      <c r="Y66" s="2">
        <f>Y11*'Output-Calculation-sheet'!Y55/10^9</f>
        <v>4.5093749226234887E-2</v>
      </c>
      <c r="AA66" s="2">
        <f t="shared" si="4"/>
        <v>17.143381080503978</v>
      </c>
    </row>
    <row r="67" spans="1:27" x14ac:dyDescent="0.25">
      <c r="A67" s="2">
        <v>2035</v>
      </c>
      <c r="B67" s="2">
        <f>B12*'Output-Calculation-sheet'!B56/10^9</f>
        <v>5.115296576072339</v>
      </c>
      <c r="C67" s="2">
        <f>C12*'Output-Calculation-sheet'!C56/10^9</f>
        <v>2.4008734298959031</v>
      </c>
      <c r="D67" s="2">
        <f>D12*'Output-Calculation-sheet'!D56/10^9</f>
        <v>1.180326966205308</v>
      </c>
      <c r="E67" s="2">
        <f>E12*'Output-Calculation-sheet'!E56/10^9</f>
        <v>1.577883197164806</v>
      </c>
      <c r="F67" s="2">
        <f>F12*'Output-Calculation-sheet'!F56/10^9</f>
        <v>0.58531625362920214</v>
      </c>
      <c r="G67" s="2">
        <f>G12*'Output-Calculation-sheet'!G56/10^9</f>
        <v>0.41002334243883093</v>
      </c>
      <c r="H67" s="2">
        <f>H12*'Output-Calculation-sheet'!H56/10^9</f>
        <v>0.75586731212811653</v>
      </c>
      <c r="I67" s="2">
        <f>I12*'Output-Calculation-sheet'!I56/10^9</f>
        <v>0.39830141241347466</v>
      </c>
      <c r="J67" s="2">
        <f>J12*'Output-Calculation-sheet'!J56/10^9</f>
        <v>0.39433471972136619</v>
      </c>
      <c r="K67" s="2">
        <f>K12*'Output-Calculation-sheet'!K56/10^9</f>
        <v>0.47518040164452319</v>
      </c>
      <c r="L67" s="2">
        <f>L12*'Output-Calculation-sheet'!L56/10^9</f>
        <v>0.47732459178999542</v>
      </c>
      <c r="M67" s="2">
        <f>M12*'Output-Calculation-sheet'!M56/10^9</f>
        <v>0.52581275781757031</v>
      </c>
      <c r="N67" s="2">
        <f>N12*'Output-Calculation-sheet'!N56/10^9</f>
        <v>0.51292048461655138</v>
      </c>
      <c r="O67" s="2">
        <f>O12*'Output-Calculation-sheet'!O56/10^9</f>
        <v>0.46670628541188675</v>
      </c>
      <c r="P67" s="2">
        <f>P12*'Output-Calculation-sheet'!P56/10^9</f>
        <v>0.44607757973574269</v>
      </c>
      <c r="Q67" s="2">
        <f>Q12*'Output-Calculation-sheet'!Q56/10^9</f>
        <v>0.45275373716695744</v>
      </c>
      <c r="R67" s="2">
        <f>R12*'Output-Calculation-sheet'!R56/10^9</f>
        <v>0.36043214696231002</v>
      </c>
      <c r="S67" s="2">
        <f>S12*'Output-Calculation-sheet'!S56/10^9</f>
        <v>0.29306027311862026</v>
      </c>
      <c r="T67" s="2">
        <f>T12*'Output-Calculation-sheet'!T56/10^9</f>
        <v>0.1092353124749299</v>
      </c>
      <c r="U67" s="2">
        <f>U12*'Output-Calculation-sheet'!U56/10^9</f>
        <v>0.11421442655759326</v>
      </c>
      <c r="V67" s="2">
        <f>V12*'Output-Calculation-sheet'!V56/10^9</f>
        <v>8.7613647965652672E-2</v>
      </c>
      <c r="W67" s="2">
        <f>W12*'Output-Calculation-sheet'!W56/10^9</f>
        <v>5.2898378349679781E-2</v>
      </c>
      <c r="X67" s="2">
        <f>X12*'Output-Calculation-sheet'!X56/10^9</f>
        <v>5.6210391816234717E-2</v>
      </c>
      <c r="Y67" s="2">
        <f>Y12*'Output-Calculation-sheet'!Y56/10^9</f>
        <v>5.0810497658755276E-2</v>
      </c>
      <c r="AA67" s="2">
        <f t="shared" si="4"/>
        <v>17.299474122756351</v>
      </c>
    </row>
    <row r="68" spans="1:27" x14ac:dyDescent="0.25">
      <c r="B68" s="2">
        <f>SUM(B60:B67)</f>
        <v>26.348409996490098</v>
      </c>
      <c r="C68" s="2">
        <f t="shared" ref="C68:Y68" si="5">SUM(C60:C67)</f>
        <v>13.474529252169242</v>
      </c>
      <c r="D68" s="2">
        <f t="shared" si="5"/>
        <v>7.0966139215509489</v>
      </c>
      <c r="E68" s="2">
        <f t="shared" si="5"/>
        <v>7.921132182846315</v>
      </c>
      <c r="F68" s="2">
        <f t="shared" si="5"/>
        <v>3.1898244573196277</v>
      </c>
      <c r="G68" s="2">
        <f t="shared" si="5"/>
        <v>2.2567833293127859</v>
      </c>
      <c r="H68" s="2">
        <f t="shared" si="5"/>
        <v>4.2321694117871065</v>
      </c>
      <c r="I68" s="2">
        <f t="shared" si="5"/>
        <v>2.153756201861373</v>
      </c>
      <c r="J68" s="2">
        <f t="shared" si="5"/>
        <v>2.5871789291469605</v>
      </c>
      <c r="K68" s="2">
        <f t="shared" si="5"/>
        <v>2.6396450550483297</v>
      </c>
      <c r="L68" s="2">
        <f t="shared" si="5"/>
        <v>3.1444935505327538</v>
      </c>
      <c r="M68" s="2">
        <f t="shared" si="5"/>
        <v>3.2312401152426489</v>
      </c>
      <c r="N68" s="2">
        <f t="shared" si="5"/>
        <v>2.9715186194172629</v>
      </c>
      <c r="O68" s="2">
        <f t="shared" si="5"/>
        <v>2.6960412979619441</v>
      </c>
      <c r="P68" s="2">
        <f t="shared" si="5"/>
        <v>2.1611964045642047</v>
      </c>
      <c r="Q68" s="2">
        <f t="shared" si="5"/>
        <v>2.33383043729763</v>
      </c>
      <c r="R68" s="2">
        <f t="shared" si="5"/>
        <v>1.933918798385261</v>
      </c>
      <c r="S68" s="2">
        <f t="shared" si="5"/>
        <v>1.569853820381133</v>
      </c>
      <c r="T68" s="2">
        <f t="shared" si="5"/>
        <v>0.65942572322885074</v>
      </c>
      <c r="U68" s="2">
        <f t="shared" si="5"/>
        <v>0.55859550111187395</v>
      </c>
      <c r="V68" s="2">
        <f t="shared" si="5"/>
        <v>0.7108418275383388</v>
      </c>
      <c r="W68" s="2">
        <f t="shared" si="5"/>
        <v>0.29193672338259358</v>
      </c>
      <c r="X68" s="2">
        <f t="shared" si="5"/>
        <v>0.33852895122495391</v>
      </c>
      <c r="Y68" s="2">
        <f t="shared" si="5"/>
        <v>0.23365703719663095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36.754759835887647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3.6754759835887649E-2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326.30926198934947</v>
      </c>
      <c r="Q76" s="2">
        <f>Q10/'Output-Calculation-sheet'!Q9*'Output-Calculation-sheet'!Q63</f>
        <v>38.761626606115193</v>
      </c>
      <c r="R76" s="2">
        <f>R10/'Output-Calculation-sheet'!R9*'Output-Calculation-sheet'!R63</f>
        <v>248.72887872341482</v>
      </c>
      <c r="S76" s="2">
        <f>S10/'Output-Calculation-sheet'!S9*'Output-Calculation-sheet'!S63</f>
        <v>0</v>
      </c>
      <c r="T76" s="2">
        <f>T10/'Output-Calculation-sheet'!T9*'Output-Calculation-sheet'!T63</f>
        <v>16.33953413678439</v>
      </c>
      <c r="U76" s="2">
        <f>U10/'Output-Calculation-sheet'!U9*'Output-Calculation-sheet'!U63</f>
        <v>88.254538270196051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4.1914663640721646</v>
      </c>
      <c r="AA76" s="2">
        <f t="shared" si="6"/>
        <v>0.79120249215181715</v>
      </c>
    </row>
    <row r="77" spans="1:27" x14ac:dyDescent="0.25">
      <c r="A77" s="2">
        <v>2034</v>
      </c>
      <c r="B77" s="2">
        <f>B11/'Output-Calculation-sheet'!B10*'Output-Calculation-sheet'!B64</f>
        <v>329.55742439672161</v>
      </c>
      <c r="C77" s="2">
        <f>C11/'Output-Calculation-sheet'!C10*'Output-Calculation-sheet'!C64</f>
        <v>0</v>
      </c>
      <c r="D77" s="2">
        <f>D11/'Output-Calculation-sheet'!D10*'Output-Calculation-sheet'!D64</f>
        <v>1108.4728218274142</v>
      </c>
      <c r="E77" s="2">
        <f>E11/'Output-Calculation-sheet'!E10*'Output-Calculation-sheet'!E64</f>
        <v>1374.4751015083507</v>
      </c>
      <c r="F77" s="2">
        <f>F11/'Output-Calculation-sheet'!F10*'Output-Calculation-sheet'!F64</f>
        <v>86.110968815652555</v>
      </c>
      <c r="G77" s="2">
        <f>G11/'Output-Calculation-sheet'!G10*'Output-Calculation-sheet'!G64</f>
        <v>555.32894860796125</v>
      </c>
      <c r="H77" s="2">
        <f>H11/'Output-Calculation-sheet'!H10*'Output-Calculation-sheet'!H64</f>
        <v>90.882016381972065</v>
      </c>
      <c r="I77" s="2">
        <f>I11/'Output-Calculation-sheet'!I10*'Output-Calculation-sheet'!I64</f>
        <v>343.60330847037744</v>
      </c>
      <c r="J77" s="2">
        <f>J11/'Output-Calculation-sheet'!J10*'Output-Calculation-sheet'!J64</f>
        <v>241.46993593280015</v>
      </c>
      <c r="K77" s="2">
        <f>K11/'Output-Calculation-sheet'!K10*'Output-Calculation-sheet'!K64</f>
        <v>526.82011146673449</v>
      </c>
      <c r="L77" s="2">
        <f>L11/'Output-Calculation-sheet'!L10*'Output-Calculation-sheet'!L64</f>
        <v>217.83506036076739</v>
      </c>
      <c r="M77" s="2">
        <f>M11/'Output-Calculation-sheet'!M10*'Output-Calculation-sheet'!M64</f>
        <v>65.454625929195814</v>
      </c>
      <c r="N77" s="2">
        <f>N11/'Output-Calculation-sheet'!N10*'Output-Calculation-sheet'!N64</f>
        <v>21.647688751987893</v>
      </c>
      <c r="O77" s="2">
        <f>O11/'Output-Calculation-sheet'!O10*'Output-Calculation-sheet'!O64</f>
        <v>0</v>
      </c>
      <c r="P77" s="2">
        <f>P11/'Output-Calculation-sheet'!P10*'Output-Calculation-sheet'!P64</f>
        <v>445.74428826210521</v>
      </c>
      <c r="Q77" s="2">
        <f>Q11/'Output-Calculation-sheet'!Q10*'Output-Calculation-sheet'!Q64</f>
        <v>107.51435513986365</v>
      </c>
      <c r="R77" s="2">
        <f>R11/'Output-Calculation-sheet'!R10*'Output-Calculation-sheet'!R64</f>
        <v>554.23345564320186</v>
      </c>
      <c r="S77" s="2">
        <f>S11/'Output-Calculation-sheet'!S10*'Output-Calculation-sheet'!S64</f>
        <v>0</v>
      </c>
      <c r="T77" s="2">
        <f>T11/'Output-Calculation-sheet'!T10*'Output-Calculation-sheet'!T64</f>
        <v>153.67588267885642</v>
      </c>
      <c r="U77" s="2">
        <f>U11/'Output-Calculation-sheet'!U10*'Output-Calculation-sheet'!U64</f>
        <v>168.54880196148275</v>
      </c>
      <c r="V77" s="2">
        <f>V11/'Output-Calculation-sheet'!V10*'Output-Calculation-sheet'!V64</f>
        <v>79.422656339509928</v>
      </c>
      <c r="W77" s="2">
        <f>W11/'Output-Calculation-sheet'!W10*'Output-Calculation-sheet'!W64</f>
        <v>17.426751275789744</v>
      </c>
      <c r="X77" s="2">
        <f>X11/'Output-Calculation-sheet'!X10*'Output-Calculation-sheet'!X64</f>
        <v>6.5251078688117765</v>
      </c>
      <c r="Y77" s="2">
        <f>Y11/'Output-Calculation-sheet'!Y10*'Output-Calculation-sheet'!Y64</f>
        <v>36.778914045466188</v>
      </c>
      <c r="AA77" s="2">
        <f t="shared" si="6"/>
        <v>6.5315282256650216</v>
      </c>
    </row>
    <row r="78" spans="1:27" x14ac:dyDescent="0.25">
      <c r="A78" s="2">
        <v>2035</v>
      </c>
      <c r="B78" s="2">
        <f>B12/'Output-Calculation-sheet'!B11*'Output-Calculation-sheet'!B65</f>
        <v>393.55961809740188</v>
      </c>
      <c r="C78" s="2">
        <f>C12/'Output-Calculation-sheet'!C11*'Output-Calculation-sheet'!C65</f>
        <v>40.233397475601542</v>
      </c>
      <c r="D78" s="2">
        <f>D12/'Output-Calculation-sheet'!D11*'Output-Calculation-sheet'!D65</f>
        <v>1250.9615298292779</v>
      </c>
      <c r="E78" s="2">
        <f>E12/'Output-Calculation-sheet'!E11*'Output-Calculation-sheet'!E65</f>
        <v>1167.9974463223168</v>
      </c>
      <c r="F78" s="2">
        <f>F12/'Output-Calculation-sheet'!F11*'Output-Calculation-sheet'!F65</f>
        <v>276.31182331608971</v>
      </c>
      <c r="G78" s="2">
        <f>G12/'Output-Calculation-sheet'!G11*'Output-Calculation-sheet'!G65</f>
        <v>547.02927497678627</v>
      </c>
      <c r="H78" s="2">
        <f>H12/'Output-Calculation-sheet'!H11*'Output-Calculation-sheet'!H65</f>
        <v>15.807952538161246</v>
      </c>
      <c r="I78" s="2">
        <f>I12/'Output-Calculation-sheet'!I11*'Output-Calculation-sheet'!I65</f>
        <v>362.77859035062448</v>
      </c>
      <c r="J78" s="2">
        <f>J12/'Output-Calculation-sheet'!J11*'Output-Calculation-sheet'!J65</f>
        <v>529.33936083935419</v>
      </c>
      <c r="K78" s="2">
        <f>K12/'Output-Calculation-sheet'!K11*'Output-Calculation-sheet'!K65</f>
        <v>660.79267699681611</v>
      </c>
      <c r="L78" s="2">
        <f>L12/'Output-Calculation-sheet'!L11*'Output-Calculation-sheet'!L65</f>
        <v>557.50012706529822</v>
      </c>
      <c r="M78" s="2">
        <f>M12/'Output-Calculation-sheet'!M11*'Output-Calculation-sheet'!M65</f>
        <v>13.213703441800268</v>
      </c>
      <c r="N78" s="2">
        <f>N12/'Output-Calculation-sheet'!N11*'Output-Calculation-sheet'!N65</f>
        <v>10.725868326441837</v>
      </c>
      <c r="O78" s="2">
        <f>O12/'Output-Calculation-sheet'!O11*'Output-Calculation-sheet'!O65</f>
        <v>7.3116562009508659</v>
      </c>
      <c r="P78" s="2">
        <f>P12/'Output-Calculation-sheet'!P11*'Output-Calculation-sheet'!P65</f>
        <v>305.87091856721281</v>
      </c>
      <c r="Q78" s="2">
        <f>Q12/'Output-Calculation-sheet'!Q11*'Output-Calculation-sheet'!Q65</f>
        <v>115.77959752757971</v>
      </c>
      <c r="R78" s="2">
        <f>R12/'Output-Calculation-sheet'!R11*'Output-Calculation-sheet'!R65</f>
        <v>701.66317034059341</v>
      </c>
      <c r="S78" s="2">
        <f>S12/'Output-Calculation-sheet'!S11*'Output-Calculation-sheet'!S65</f>
        <v>4.1740482350172528</v>
      </c>
      <c r="T78" s="2">
        <f>T12/'Output-Calculation-sheet'!T11*'Output-Calculation-sheet'!T65</f>
        <v>241.69745508798397</v>
      </c>
      <c r="U78" s="2">
        <f>U12/'Output-Calculation-sheet'!U11*'Output-Calculation-sheet'!U65</f>
        <v>165.60407745061696</v>
      </c>
      <c r="V78" s="2">
        <f>V12/'Output-Calculation-sheet'!V11*'Output-Calculation-sheet'!V65</f>
        <v>136.52664250034445</v>
      </c>
      <c r="W78" s="2">
        <f>W12/'Output-Calculation-sheet'!W11*'Output-Calculation-sheet'!W65</f>
        <v>64.558576990076645</v>
      </c>
      <c r="X78" s="2">
        <f>X12/'Output-Calculation-sheet'!X11*'Output-Calculation-sheet'!X65</f>
        <v>1.4156327046845865</v>
      </c>
      <c r="Y78" s="2">
        <f>Y12/'Output-Calculation-sheet'!Y11*'Output-Calculation-sheet'!Y65</f>
        <v>36.380724299864561</v>
      </c>
      <c r="AA78" s="2">
        <f t="shared" si="6"/>
        <v>7.607233869480897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1.0947446884249772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0.80197653511548683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1.896721223540464E-3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18.308138368939282</v>
      </c>
      <c r="E89" s="2">
        <f>E12/'Output-Calculation-sheet'!E11*'Output-Calculation-sheet'!E74</f>
        <v>41.225293706940562</v>
      </c>
      <c r="F89" s="2">
        <f>F12/'Output-Calculation-sheet'!F11*'Output-Calculation-sheet'!F74</f>
        <v>18.302028392393119</v>
      </c>
      <c r="G89" s="2">
        <f>G12/'Output-Calculation-sheet'!G11*'Output-Calculation-sheet'!G74</f>
        <v>13.135086251361031</v>
      </c>
      <c r="H89" s="2">
        <f>H12/'Output-Calculation-sheet'!H11*'Output-Calculation-sheet'!H74</f>
        <v>2.1207341746929496</v>
      </c>
      <c r="I89" s="2">
        <f>I12/'Output-Calculation-sheet'!I11*'Output-Calculation-sheet'!I74</f>
        <v>11.814198402664687</v>
      </c>
      <c r="J89" s="2">
        <f>J12/'Output-Calculation-sheet'!J11*'Output-Calculation-sheet'!J74</f>
        <v>5.846071460849851</v>
      </c>
      <c r="K89" s="2">
        <f>K12/'Output-Calculation-sheet'!K11*'Output-Calculation-sheet'!K74</f>
        <v>8.7086073614720458</v>
      </c>
      <c r="L89" s="2">
        <f>L12/'Output-Calculation-sheet'!L11*'Output-Calculation-sheet'!L74</f>
        <v>4.6164557805628483</v>
      </c>
      <c r="M89" s="2">
        <f>M12/'Output-Calculation-sheet'!M11*'Output-Calculation-sheet'!M74</f>
        <v>1.4592715010270865</v>
      </c>
      <c r="N89" s="2">
        <f>N12/'Output-Calculation-sheet'!N11*'Output-Calculation-sheet'!N74</f>
        <v>0.71711361412327579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13.912227372068653</v>
      </c>
      <c r="Q89" s="2">
        <f>Q12/'Output-Calculation-sheet'!Q11*'Output-Calculation-sheet'!Q74</f>
        <v>3.1415066023307601</v>
      </c>
      <c r="R89" s="2">
        <f>R12/'Output-Calculation-sheet'!R11*'Output-Calculation-sheet'!R74</f>
        <v>7.4769501386946713</v>
      </c>
      <c r="S89" s="2">
        <f>S12/'Output-Calculation-sheet'!S11*'Output-Calculation-sheet'!S74</f>
        <v>0.82214855919189533</v>
      </c>
      <c r="T89" s="2">
        <f>T12/'Output-Calculation-sheet'!T11*'Output-Calculation-sheet'!T74</f>
        <v>1.6136107680882317</v>
      </c>
      <c r="U89" s="2">
        <f>U12/'Output-Calculation-sheet'!U11*'Output-Calculation-sheet'!U74</f>
        <v>4.0093179836391162</v>
      </c>
      <c r="V89" s="2">
        <f>V12/'Output-Calculation-sheet'!V11*'Output-Calculation-sheet'!V74</f>
        <v>0.30915344152047647</v>
      </c>
      <c r="W89" s="2">
        <f>W12/'Output-Calculation-sheet'!W11*'Output-Calculation-sheet'!W74</f>
        <v>1.8739401585309718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1.9310650211290061</v>
      </c>
      <c r="AA89" s="2">
        <f t="shared" si="7"/>
        <v>0.18005206399095222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6405822766.2025089</v>
      </c>
      <c r="C96" s="2">
        <f>C8/'Output-Calculation-sheet'!C7*'Output-Calculation-sheet'!C79</f>
        <v>1546901415.4723721</v>
      </c>
      <c r="D96" s="2">
        <f>D8/'Output-Calculation-sheet'!D7*'Output-Calculation-sheet'!D79</f>
        <v>1255847598.4843476</v>
      </c>
      <c r="E96" s="2">
        <f>E8/'Output-Calculation-sheet'!E7*'Output-Calculation-sheet'!E79</f>
        <v>4705210744.2907181</v>
      </c>
      <c r="F96" s="2">
        <f>F8/'Output-Calculation-sheet'!F7*'Output-Calculation-sheet'!F79</f>
        <v>1372581485.0371218</v>
      </c>
      <c r="G96" s="2">
        <f>G8/'Output-Calculation-sheet'!G7*'Output-Calculation-sheet'!G79</f>
        <v>881001678.33538306</v>
      </c>
      <c r="H96" s="2">
        <f>H8/'Output-Calculation-sheet'!H7*'Output-Calculation-sheet'!H79</f>
        <v>1085364862.5231018</v>
      </c>
      <c r="I96" s="2">
        <f>I8/'Output-Calculation-sheet'!I7*'Output-Calculation-sheet'!I79</f>
        <v>633524415.7059015</v>
      </c>
      <c r="J96" s="2">
        <f>J8/'Output-Calculation-sheet'!J7*'Output-Calculation-sheet'!J79</f>
        <v>480085963.18299347</v>
      </c>
      <c r="K96" s="2">
        <f>K8/'Output-Calculation-sheet'!K7*'Output-Calculation-sheet'!K79</f>
        <v>602090800.85098076</v>
      </c>
      <c r="L96" s="2">
        <f>L8/'Output-Calculation-sheet'!L7*'Output-Calculation-sheet'!L79</f>
        <v>546595755.94687021</v>
      </c>
      <c r="M96" s="2">
        <f>M8/'Output-Calculation-sheet'!M7*'Output-Calculation-sheet'!M79</f>
        <v>837461786.74419558</v>
      </c>
      <c r="N96" s="2">
        <f>N8/'Output-Calculation-sheet'!N7*'Output-Calculation-sheet'!N79</f>
        <v>544406016.72018492</v>
      </c>
      <c r="O96" s="2">
        <f>O8/'Output-Calculation-sheet'!O7*'Output-Calculation-sheet'!O79</f>
        <v>204272583.9523153</v>
      </c>
      <c r="P96" s="2">
        <f>P8/'Output-Calculation-sheet'!P7*'Output-Calculation-sheet'!P79</f>
        <v>1036831359.8210155</v>
      </c>
      <c r="Q96" s="2">
        <f>Q8/'Output-Calculation-sheet'!Q7*'Output-Calculation-sheet'!Q79</f>
        <v>440204715.84523785</v>
      </c>
      <c r="R96" s="2">
        <f>R8/'Output-Calculation-sheet'!R7*'Output-Calculation-sheet'!R79</f>
        <v>584276117.35961044</v>
      </c>
      <c r="S96" s="2">
        <f>S8/'Output-Calculation-sheet'!S7*'Output-Calculation-sheet'!S79</f>
        <v>329508033.48860097</v>
      </c>
      <c r="T96" s="2">
        <f>T8/'Output-Calculation-sheet'!T7*'Output-Calculation-sheet'!T79</f>
        <v>198785289.32142934</v>
      </c>
      <c r="U96" s="2">
        <f>U8/'Output-Calculation-sheet'!U7*'Output-Calculation-sheet'!U79</f>
        <v>156468957.76305959</v>
      </c>
      <c r="V96" s="2">
        <f>V8/'Output-Calculation-sheet'!V7*'Output-Calculation-sheet'!V79</f>
        <v>71813803.695311189</v>
      </c>
      <c r="W96" s="2">
        <f>W8/'Output-Calculation-sheet'!W7*'Output-Calculation-sheet'!W79</f>
        <v>221108210.50268465</v>
      </c>
      <c r="X96" s="2">
        <f>X8/'Output-Calculation-sheet'!X7*'Output-Calculation-sheet'!X79</f>
        <v>99724157.219843835</v>
      </c>
      <c r="Y96" s="2">
        <f>Y8/'Output-Calculation-sheet'!Y7*'Output-Calculation-sheet'!Y79</f>
        <v>137238787.09397408</v>
      </c>
      <c r="AA96" s="2">
        <f t="shared" si="8"/>
        <v>24.37712730555976</v>
      </c>
    </row>
    <row r="97" spans="1:27" x14ac:dyDescent="0.25">
      <c r="A97" s="2">
        <v>2032</v>
      </c>
      <c r="B97" s="2">
        <f>B9/'Output-Calculation-sheet'!B8*'Output-Calculation-sheet'!B80</f>
        <v>7364613241.8059368</v>
      </c>
      <c r="C97" s="2">
        <f>C9/'Output-Calculation-sheet'!C8*'Output-Calculation-sheet'!C80</f>
        <v>1739391372.8093138</v>
      </c>
      <c r="D97" s="2">
        <f>D9/'Output-Calculation-sheet'!D8*'Output-Calculation-sheet'!D80</f>
        <v>1328700310.9453161</v>
      </c>
      <c r="E97" s="2">
        <f>E9/'Output-Calculation-sheet'!E8*'Output-Calculation-sheet'!E80</f>
        <v>5593639684.7537203</v>
      </c>
      <c r="F97" s="2">
        <f>F9/'Output-Calculation-sheet'!F8*'Output-Calculation-sheet'!F80</f>
        <v>1533967997.3063486</v>
      </c>
      <c r="G97" s="2">
        <f>G9/'Output-Calculation-sheet'!G8*'Output-Calculation-sheet'!G80</f>
        <v>939933838.50592637</v>
      </c>
      <c r="H97" s="2">
        <f>H9/'Output-Calculation-sheet'!H8*'Output-Calculation-sheet'!H80</f>
        <v>1230710676.6707561</v>
      </c>
      <c r="I97" s="2">
        <f>I9/'Output-Calculation-sheet'!I8*'Output-Calculation-sheet'!I80</f>
        <v>708886698.59043849</v>
      </c>
      <c r="J97" s="2">
        <f>J9/'Output-Calculation-sheet'!J8*'Output-Calculation-sheet'!J80</f>
        <v>529733813.71804565</v>
      </c>
      <c r="K97" s="2">
        <f>K9/'Output-Calculation-sheet'!K8*'Output-Calculation-sheet'!K80</f>
        <v>653341688.54693675</v>
      </c>
      <c r="L97" s="2">
        <f>L9/'Output-Calculation-sheet'!L8*'Output-Calculation-sheet'!L80</f>
        <v>630193406.13866901</v>
      </c>
      <c r="M97" s="2">
        <f>M9/'Output-Calculation-sheet'!M8*'Output-Calculation-sheet'!M80</f>
        <v>970947358.92858243</v>
      </c>
      <c r="N97" s="2">
        <f>N9/'Output-Calculation-sheet'!N8*'Output-Calculation-sheet'!N80</f>
        <v>610051064.99191642</v>
      </c>
      <c r="O97" s="2">
        <f>O9/'Output-Calculation-sheet'!O8*'Output-Calculation-sheet'!O80</f>
        <v>226766635.92859665</v>
      </c>
      <c r="P97" s="2">
        <f>P9/'Output-Calculation-sheet'!P8*'Output-Calculation-sheet'!P80</f>
        <v>1143698269.1584692</v>
      </c>
      <c r="Q97" s="2">
        <f>Q9/'Output-Calculation-sheet'!Q8*'Output-Calculation-sheet'!Q80</f>
        <v>494689172.18492413</v>
      </c>
      <c r="R97" s="2">
        <f>R9/'Output-Calculation-sheet'!R8*'Output-Calculation-sheet'!R80</f>
        <v>662887198.4021796</v>
      </c>
      <c r="S97" s="2">
        <f>S9/'Output-Calculation-sheet'!S8*'Output-Calculation-sheet'!S80</f>
        <v>368937445.90220922</v>
      </c>
      <c r="T97" s="2">
        <f>T9/'Output-Calculation-sheet'!T8*'Output-Calculation-sheet'!T80</f>
        <v>215124917.80976704</v>
      </c>
      <c r="U97" s="2">
        <f>U9/'Output-Calculation-sheet'!U8*'Output-Calculation-sheet'!U80</f>
        <v>171179850.18147087</v>
      </c>
      <c r="V97" s="2">
        <f>V9/'Output-Calculation-sheet'!V8*'Output-Calculation-sheet'!V80</f>
        <v>78958067.107006326</v>
      </c>
      <c r="W97" s="2">
        <f>W9/'Output-Calculation-sheet'!W8*'Output-Calculation-sheet'!W80</f>
        <v>244334951.35836017</v>
      </c>
      <c r="X97" s="2">
        <f>X9/'Output-Calculation-sheet'!X8*'Output-Calculation-sheet'!X80</f>
        <v>118338823.23500052</v>
      </c>
      <c r="Y97" s="2">
        <f>Y9/'Output-Calculation-sheet'!Y8*'Output-Calculation-sheet'!Y80</f>
        <v>155344145.04229</v>
      </c>
      <c r="AA97" s="2">
        <f t="shared" si="8"/>
        <v>27.714370630022181</v>
      </c>
    </row>
    <row r="98" spans="1:27" x14ac:dyDescent="0.25">
      <c r="A98" s="2">
        <v>2033</v>
      </c>
      <c r="B98" s="2">
        <f>B10/'Output-Calculation-sheet'!B9*'Output-Calculation-sheet'!B81</f>
        <v>8044789908.3304119</v>
      </c>
      <c r="C98" s="2">
        <f>C10/'Output-Calculation-sheet'!C9*'Output-Calculation-sheet'!C81</f>
        <v>1862860620.3204279</v>
      </c>
      <c r="D98" s="2">
        <f>D10/'Output-Calculation-sheet'!D9*'Output-Calculation-sheet'!D81</f>
        <v>1340129891.1115234</v>
      </c>
      <c r="E98" s="2">
        <f>E10/'Output-Calculation-sheet'!E9*'Output-Calculation-sheet'!E81</f>
        <v>6325930455.1323442</v>
      </c>
      <c r="F98" s="2">
        <f>F10/'Output-Calculation-sheet'!F9*'Output-Calculation-sheet'!F81</f>
        <v>1629880143.708195</v>
      </c>
      <c r="G98" s="2">
        <f>G10/'Output-Calculation-sheet'!G9*'Output-Calculation-sheet'!G81</f>
        <v>952211234.27585769</v>
      </c>
      <c r="H98" s="2">
        <f>H10/'Output-Calculation-sheet'!H9*'Output-Calculation-sheet'!H81</f>
        <v>1325625562.2735949</v>
      </c>
      <c r="I98" s="2">
        <f>I10/'Output-Calculation-sheet'!I9*'Output-Calculation-sheet'!I81</f>
        <v>755462115.96183372</v>
      </c>
      <c r="J98" s="2">
        <f>J10/'Output-Calculation-sheet'!J9*'Output-Calculation-sheet'!J81</f>
        <v>557297950.0253073</v>
      </c>
      <c r="K98" s="2">
        <f>K10/'Output-Calculation-sheet'!K9*'Output-Calculation-sheet'!K81</f>
        <v>674860560.86874688</v>
      </c>
      <c r="L98" s="2">
        <f>L10/'Output-Calculation-sheet'!L9*'Output-Calculation-sheet'!L81</f>
        <v>691666067.52110744</v>
      </c>
      <c r="M98" s="2">
        <f>M10/'Output-Calculation-sheet'!M9*'Output-Calculation-sheet'!M81</f>
        <v>1071837518.9265208</v>
      </c>
      <c r="N98" s="2">
        <f>N10/'Output-Calculation-sheet'!N9*'Output-Calculation-sheet'!N81</f>
        <v>651370982.5793339</v>
      </c>
      <c r="O98" s="2">
        <f>O10/'Output-Calculation-sheet'!O9*'Output-Calculation-sheet'!O81</f>
        <v>240244848.29552016</v>
      </c>
      <c r="P98" s="2">
        <f>P10/'Output-Calculation-sheet'!P9*'Output-Calculation-sheet'!P81</f>
        <v>1191865031.6434932</v>
      </c>
      <c r="Q98" s="2">
        <f>Q10/'Output-Calculation-sheet'!Q9*'Output-Calculation-sheet'!Q81</f>
        <v>529584229.62391114</v>
      </c>
      <c r="R98" s="2">
        <f>R10/'Output-Calculation-sheet'!R9*'Output-Calculation-sheet'!R81</f>
        <v>714820876.35610116</v>
      </c>
      <c r="S98" s="2">
        <f>S10/'Output-Calculation-sheet'!S9*'Output-Calculation-sheet'!S81</f>
        <v>392578738.31275237</v>
      </c>
      <c r="T98" s="2">
        <f>T10/'Output-Calculation-sheet'!T9*'Output-Calculation-sheet'!T81</f>
        <v>221184015.38607487</v>
      </c>
      <c r="U98" s="2">
        <f>U10/'Output-Calculation-sheet'!U9*'Output-Calculation-sheet'!U81</f>
        <v>177728127.61570546</v>
      </c>
      <c r="V98" s="2">
        <f>V10/'Output-Calculation-sheet'!V9*'Output-Calculation-sheet'!V81</f>
        <v>82545128.525739491</v>
      </c>
      <c r="W98" s="2">
        <f>W10/'Output-Calculation-sheet'!W9*'Output-Calculation-sheet'!W81</f>
        <v>255271161.20245281</v>
      </c>
      <c r="X98" s="2">
        <f>X10/'Output-Calculation-sheet'!X9*'Output-Calculation-sheet'!X81</f>
        <v>133821851.68563044</v>
      </c>
      <c r="Y98" s="2">
        <f>Y10/'Output-Calculation-sheet'!Y9*'Output-Calculation-sheet'!Y81</f>
        <v>166605298.52097484</v>
      </c>
      <c r="AA98" s="2">
        <f t="shared" si="8"/>
        <v>29.990172318203555</v>
      </c>
    </row>
    <row r="99" spans="1:27" x14ac:dyDescent="0.25">
      <c r="A99" s="2">
        <v>2034</v>
      </c>
      <c r="B99" s="2">
        <f>B11/'Output-Calculation-sheet'!B10*'Output-Calculation-sheet'!B82</f>
        <v>8509618088.9537249</v>
      </c>
      <c r="C99" s="2">
        <f>C11/'Output-Calculation-sheet'!C10*'Output-Calculation-sheet'!C82</f>
        <v>1937072029.5596576</v>
      </c>
      <c r="D99" s="2">
        <f>D11/'Output-Calculation-sheet'!D10*'Output-Calculation-sheet'!D82</f>
        <v>1313966368.9906011</v>
      </c>
      <c r="E99" s="2">
        <f>E11/'Output-Calculation-sheet'!E10*'Output-Calculation-sheet'!E82</f>
        <v>6934896407.4141436</v>
      </c>
      <c r="F99" s="2">
        <f>F11/'Output-Calculation-sheet'!F10*'Output-Calculation-sheet'!F82</f>
        <v>1678634583.711024</v>
      </c>
      <c r="G99" s="2">
        <f>G11/'Output-Calculation-sheet'!G10*'Output-Calculation-sheet'!G82</f>
        <v>934263108.73810101</v>
      </c>
      <c r="H99" s="2">
        <f>H11/'Output-Calculation-sheet'!H10*'Output-Calculation-sheet'!H82</f>
        <v>1382468013.8537521</v>
      </c>
      <c r="I99" s="2">
        <f>I11/'Output-Calculation-sheet'!I10*'Output-Calculation-sheet'!I82</f>
        <v>781723275.50352776</v>
      </c>
      <c r="J99" s="2">
        <f>J11/'Output-Calculation-sheet'!J10*'Output-Calculation-sheet'!J82</f>
        <v>569870822.35951293</v>
      </c>
      <c r="K99" s="2">
        <f>K11/'Output-Calculation-sheet'!K10*'Output-Calculation-sheet'!K82</f>
        <v>676639609.98932886</v>
      </c>
      <c r="L99" s="2">
        <f>L11/'Output-Calculation-sheet'!L10*'Output-Calculation-sheet'!L82</f>
        <v>736582769.81193578</v>
      </c>
      <c r="M99" s="2">
        <f>M11/'Output-Calculation-sheet'!M10*'Output-Calculation-sheet'!M82</f>
        <v>1148223851.9520326</v>
      </c>
      <c r="N99" s="2">
        <f>N11/'Output-Calculation-sheet'!N10*'Output-Calculation-sheet'!N82</f>
        <v>675580809.50591791</v>
      </c>
      <c r="O99" s="2">
        <f>O11/'Output-Calculation-sheet'!O10*'Output-Calculation-sheet'!O82</f>
        <v>247598807.35473266</v>
      </c>
      <c r="P99" s="2">
        <f>P11/'Output-Calculation-sheet'!P10*'Output-Calculation-sheet'!P82</f>
        <v>1196806915.7336442</v>
      </c>
      <c r="Q99" s="2">
        <f>Q11/'Output-Calculation-sheet'!Q10*'Output-Calculation-sheet'!Q82</f>
        <v>550517045.73017704</v>
      </c>
      <c r="R99" s="2">
        <f>R11/'Output-Calculation-sheet'!R10*'Output-Calculation-sheet'!R82</f>
        <v>746763373.10812676</v>
      </c>
      <c r="S99" s="2">
        <f>S11/'Output-Calculation-sheet'!S10*'Output-Calculation-sheet'!S82</f>
        <v>404682089.02951324</v>
      </c>
      <c r="T99" s="2">
        <f>T11/'Output-Calculation-sheet'!T10*'Output-Calculation-sheet'!T82</f>
        <v>220365411.01660964</v>
      </c>
      <c r="U99" s="2">
        <f>U11/'Output-Calculation-sheet'!U10*'Output-Calculation-sheet'!U82</f>
        <v>178591974.16014737</v>
      </c>
      <c r="V99" s="2">
        <f>V11/'Output-Calculation-sheet'!V10*'Output-Calculation-sheet'!V82</f>
        <v>83656181.44720386</v>
      </c>
      <c r="W99" s="2">
        <f>W11/'Output-Calculation-sheet'!W10*'Output-Calculation-sheet'!W82</f>
        <v>257159008.17138812</v>
      </c>
      <c r="X99" s="2">
        <f>X11/'Output-Calculation-sheet'!X10*'Output-Calculation-sheet'!X82</f>
        <v>146976355.6023812</v>
      </c>
      <c r="Y99" s="2">
        <f>Y11/'Output-Calculation-sheet'!Y10*'Output-Calculation-sheet'!Y82</f>
        <v>172605673.69158199</v>
      </c>
      <c r="AA99" s="2">
        <f t="shared" si="8"/>
        <v>31.48526257538877</v>
      </c>
    </row>
    <row r="100" spans="1:27" x14ac:dyDescent="0.25">
      <c r="A100" s="2">
        <v>2035</v>
      </c>
      <c r="B100" s="2">
        <f>B12/'Output-Calculation-sheet'!B11*'Output-Calculation-sheet'!B83</f>
        <v>8776959368.3801098</v>
      </c>
      <c r="C100" s="2">
        <f>C12/'Output-Calculation-sheet'!C11*'Output-Calculation-sheet'!C83</f>
        <v>1969578781.8474045</v>
      </c>
      <c r="D100" s="2">
        <f>D12/'Output-Calculation-sheet'!D11*'Output-Calculation-sheet'!D83</f>
        <v>1261673316.4533048</v>
      </c>
      <c r="E100" s="2">
        <f>E12/'Output-Calculation-sheet'!E11*'Output-Calculation-sheet'!E83</f>
        <v>7419364608.7836313</v>
      </c>
      <c r="F100" s="2">
        <f>F12/'Output-Calculation-sheet'!F11*'Output-Calculation-sheet'!F83</f>
        <v>1687994553.4613845</v>
      </c>
      <c r="G100" s="2">
        <f>G12/'Output-Calculation-sheet'!G11*'Output-Calculation-sheet'!G83</f>
        <v>894583547.72874701</v>
      </c>
      <c r="H100" s="2">
        <f>H12/'Output-Calculation-sheet'!H11*'Output-Calculation-sheet'!H83</f>
        <v>1405754096.5053179</v>
      </c>
      <c r="I100" s="2">
        <f>I12/'Output-Calculation-sheet'!I11*'Output-Calculation-sheet'!I83</f>
        <v>791085813.56146896</v>
      </c>
      <c r="J100" s="2">
        <f>J12/'Output-Calculation-sheet'!J11*'Output-Calculation-sheet'!J83</f>
        <v>570466278.69738412</v>
      </c>
      <c r="K100" s="2">
        <f>K12/'Output-Calculation-sheet'!K11*'Output-Calculation-sheet'!K83</f>
        <v>663398969.6554966</v>
      </c>
      <c r="L100" s="2">
        <f>L12/'Output-Calculation-sheet'!L11*'Output-Calculation-sheet'!L83</f>
        <v>766457534.9343828</v>
      </c>
      <c r="M100" s="2">
        <f>M12/'Output-Calculation-sheet'!M11*'Output-Calculation-sheet'!M83</f>
        <v>1201982964.8664978</v>
      </c>
      <c r="N100" s="2">
        <f>N12/'Output-Calculation-sheet'!N11*'Output-Calculation-sheet'!N83</f>
        <v>685518663.9554255</v>
      </c>
      <c r="O100" s="2">
        <f>O12/'Output-Calculation-sheet'!O11*'Output-Calculation-sheet'!O83</f>
        <v>249987104.81754234</v>
      </c>
      <c r="P100" s="2">
        <f>P12/'Output-Calculation-sheet'!P11*'Output-Calculation-sheet'!P83</f>
        <v>1167077542.1193254</v>
      </c>
      <c r="Q100" s="2">
        <f>Q12/'Output-Calculation-sheet'!Q11*'Output-Calculation-sheet'!Q83</f>
        <v>559613598.03896296</v>
      </c>
      <c r="R100" s="2">
        <f>R12/'Output-Calculation-sheet'!R11*'Output-Calculation-sheet'!R83</f>
        <v>761116139.36842406</v>
      </c>
      <c r="S100" s="2">
        <f>S12/'Output-Calculation-sheet'!S11*'Output-Calculation-sheet'!S83</f>
        <v>407005589.69879085</v>
      </c>
      <c r="T100" s="2">
        <f>T12/'Output-Calculation-sheet'!T11*'Output-Calculation-sheet'!T83</f>
        <v>214370242.13135532</v>
      </c>
      <c r="U100" s="2">
        <f>U12/'Output-Calculation-sheet'!U11*'Output-Calculation-sheet'!U83</f>
        <v>175002981.27353269</v>
      </c>
      <c r="V100" s="2">
        <f>V12/'Output-Calculation-sheet'!V11*'Output-Calculation-sheet'!V83</f>
        <v>82788277.393128768</v>
      </c>
      <c r="W100" s="2">
        <f>W12/'Output-Calculation-sheet'!W11*'Output-Calculation-sheet'!W83</f>
        <v>251734011.10896805</v>
      </c>
      <c r="X100" s="2">
        <f>X12/'Output-Calculation-sheet'!X11*'Output-Calculation-sheet'!X83</f>
        <v>157864898.19103426</v>
      </c>
      <c r="Y100" s="2">
        <f>Y12/'Output-Calculation-sheet'!Y11*'Output-Calculation-sheet'!Y83</f>
        <v>174015143.64540994</v>
      </c>
      <c r="AA100" s="2">
        <f t="shared" si="8"/>
        <v>32.295394026617025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1326.2611634814132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408.26432005662258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280.92558428785111</v>
      </c>
      <c r="N107" s="2">
        <f>N8/'Output-Calculation-sheet'!N7*'Output-Calculation-sheet'!N88</f>
        <v>110.44171610646126</v>
      </c>
      <c r="O107" s="2">
        <f>O8/'Output-Calculation-sheet'!O7*'Output-Calculation-sheet'!O88</f>
        <v>309.18683937196005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30.818120874412635</v>
      </c>
      <c r="Y107" s="2">
        <f>Y8/'Output-Calculation-sheet'!Y7*'Output-Calculation-sheet'!Y88</f>
        <v>0</v>
      </c>
      <c r="AA107" s="2">
        <f t="shared" si="9"/>
        <v>2.4658977441787209</v>
      </c>
    </row>
    <row r="108" spans="1:27" x14ac:dyDescent="0.25">
      <c r="A108" s="2">
        <v>2032</v>
      </c>
      <c r="B108" s="2">
        <f>B9/'Output-Calculation-sheet'!B8*'Output-Calculation-sheet'!B89</f>
        <v>560.54487186186645</v>
      </c>
      <c r="C108" s="2">
        <f>C9/'Output-Calculation-sheet'!C8*'Output-Calculation-sheet'!C89</f>
        <v>2128.3805617807416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573.28385498499074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394.47508394099685</v>
      </c>
      <c r="N108" s="2">
        <f>N9/'Output-Calculation-sheet'!N8*'Output-Calculation-sheet'!N89</f>
        <v>276.93216681592492</v>
      </c>
      <c r="O108" s="2">
        <f>O9/'Output-Calculation-sheet'!O8*'Output-Calculation-sheet'!O89</f>
        <v>413.48521505264767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126.997662550282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43.274737150251966</v>
      </c>
      <c r="Y108" s="2">
        <f>Y9/'Output-Calculation-sheet'!Y8*'Output-Calculation-sheet'!Y89</f>
        <v>0</v>
      </c>
      <c r="AA108" s="2">
        <f t="shared" si="9"/>
        <v>4.5173741541377019</v>
      </c>
    </row>
    <row r="109" spans="1:27" x14ac:dyDescent="0.25">
      <c r="A109" s="2">
        <v>2033</v>
      </c>
      <c r="B109" s="2">
        <f>B10/'Output-Calculation-sheet'!B9*'Output-Calculation-sheet'!B90</f>
        <v>2796.8511173042616</v>
      </c>
      <c r="C109" s="2">
        <f>C10/'Output-Calculation-sheet'!C9*'Output-Calculation-sheet'!C90</f>
        <v>2654.9005490376085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817.26073062832575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562.3549180967774</v>
      </c>
      <c r="N109" s="2">
        <f>N10/'Output-Calculation-sheet'!N9*'Output-Calculation-sheet'!N90</f>
        <v>442.16294769278119</v>
      </c>
      <c r="O109" s="2">
        <f>O10/'Output-Calculation-sheet'!O9*'Output-Calculation-sheet'!O90</f>
        <v>515.77342143349995</v>
      </c>
      <c r="P109" s="2">
        <f>P10/'Output-Calculation-sheet'!P9*'Output-Calculation-sheet'!P90</f>
        <v>0</v>
      </c>
      <c r="Q109" s="2">
        <f>Q10/'Output-Calculation-sheet'!Q9*'Output-Calculation-sheet'!Q90</f>
        <v>96.850610009763102</v>
      </c>
      <c r="R109" s="2">
        <f>R10/'Output-Calculation-sheet'!R9*'Output-Calculation-sheet'!R90</f>
        <v>0</v>
      </c>
      <c r="S109" s="2">
        <f>S10/'Output-Calculation-sheet'!S9*'Output-Calculation-sheet'!S90</f>
        <v>221.78018260456113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61.691504119001614</v>
      </c>
      <c r="Y109" s="2">
        <f>Y10/'Output-Calculation-sheet'!Y9*'Output-Calculation-sheet'!Y90</f>
        <v>0</v>
      </c>
      <c r="AA109" s="2">
        <f t="shared" si="9"/>
        <v>8.1696259809265808</v>
      </c>
    </row>
    <row r="110" spans="1:27" x14ac:dyDescent="0.25">
      <c r="A110" s="2">
        <v>2034</v>
      </c>
      <c r="B110" s="2">
        <f>B11/'Output-Calculation-sheet'!B10*'Output-Calculation-sheet'!B91</f>
        <v>5030.2474584143447</v>
      </c>
      <c r="C110" s="2">
        <f>C11/'Output-Calculation-sheet'!C10*'Output-Calculation-sheet'!C91</f>
        <v>3448.5704801426541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979.91718559725291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674.27838876401324</v>
      </c>
      <c r="N110" s="2">
        <f>N11/'Output-Calculation-sheet'!N10*'Output-Calculation-sheet'!N91</f>
        <v>607.48077967510665</v>
      </c>
      <c r="O110" s="2">
        <f>O11/'Output-Calculation-sheet'!O10*'Output-Calculation-sheet'!O91</f>
        <v>669.96144026657043</v>
      </c>
      <c r="P110" s="2">
        <f>P11/'Output-Calculation-sheet'!P10*'Output-Calculation-sheet'!P91</f>
        <v>153.05605521976736</v>
      </c>
      <c r="Q110" s="2">
        <f>Q11/'Output-Calculation-sheet'!Q10*'Output-Calculation-sheet'!Q91</f>
        <v>338.70210947360539</v>
      </c>
      <c r="R110" s="2">
        <f>R11/'Output-Calculation-sheet'!R10*'Output-Calculation-sheet'!R91</f>
        <v>0</v>
      </c>
      <c r="S110" s="2">
        <f>S11/'Output-Calculation-sheet'!S10*'Output-Calculation-sheet'!S91</f>
        <v>348.22895417852288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73.969741633219428</v>
      </c>
      <c r="Y110" s="2">
        <f>Y11/'Output-Calculation-sheet'!Y10*'Output-Calculation-sheet'!Y91</f>
        <v>11.89703593086427</v>
      </c>
      <c r="AA110" s="2">
        <f t="shared" si="9"/>
        <v>12.33630962929592</v>
      </c>
    </row>
    <row r="111" spans="1:27" x14ac:dyDescent="0.25">
      <c r="A111" s="2">
        <v>2035</v>
      </c>
      <c r="B111" s="2">
        <f>B12/'Output-Calculation-sheet'!B11*'Output-Calculation-sheet'!B92</f>
        <v>7823.7274477474184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1307.0843122377037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459.10350327826558</v>
      </c>
      <c r="Q111" s="2">
        <f>Q12/'Output-Calculation-sheet'!Q11*'Output-Calculation-sheet'!Q92</f>
        <v>532.17121843483085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35.686081590464035</v>
      </c>
      <c r="AA111" s="2">
        <f t="shared" si="9"/>
        <v>18.372215008084794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6234729615.6867876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1918298305.3149858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1332423479.1856971</v>
      </c>
      <c r="N118" s="2">
        <f>N8/'Output-Calculation-sheet'!N7*'Output-Calculation-sheet'!N97</f>
        <v>1045572523.8458887</v>
      </c>
      <c r="O118" s="2">
        <f>O8/'Output-Calculation-sheet'!O7*'Output-Calculation-sheet'!O97</f>
        <v>695735973.67404962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378483879.22121352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143609961.81567949</v>
      </c>
      <c r="Y118" s="2">
        <f>Y8/'Output-Calculation-sheet'!Y7*'Output-Calculation-sheet'!Y97</f>
        <v>0</v>
      </c>
      <c r="AA118" s="2">
        <f t="shared" si="10"/>
        <v>12812.417291002082</v>
      </c>
    </row>
    <row r="119" spans="1:27" x14ac:dyDescent="0.25">
      <c r="A119" s="2">
        <v>2032</v>
      </c>
      <c r="B119" s="2">
        <f>B9/'Output-Calculation-sheet'!B8*'Output-Calculation-sheet'!B98</f>
        <v>4205236747.9218445</v>
      </c>
      <c r="C119" s="2">
        <f>C9/'Output-Calculation-sheet'!C8*'Output-Calculation-sheet'!C98</f>
        <v>3342407106.6388516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1998098447.0534108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1394680198.7707095</v>
      </c>
      <c r="N119" s="2">
        <f>N9/'Output-Calculation-sheet'!N8*'Output-Calculation-sheet'!N98</f>
        <v>941863562.64486611</v>
      </c>
      <c r="O119" s="2">
        <f>O9/'Output-Calculation-sheet'!O8*'Output-Calculation-sheet'!O98</f>
        <v>653044586.81572139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391001434.28499126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149235781.25405174</v>
      </c>
      <c r="Y119" s="2">
        <f>Y9/'Output-Calculation-sheet'!Y8*'Output-Calculation-sheet'!Y98</f>
        <v>0</v>
      </c>
      <c r="AA119" s="2">
        <f t="shared" si="10"/>
        <v>13075.56786538445</v>
      </c>
    </row>
    <row r="120" spans="1:27" x14ac:dyDescent="0.25">
      <c r="A120" s="2">
        <v>2033</v>
      </c>
      <c r="B120" s="2">
        <f>B10/'Output-Calculation-sheet'!B9*'Output-Calculation-sheet'!B99</f>
        <v>4023643003.572876</v>
      </c>
      <c r="C120" s="2">
        <f>C10/'Output-Calculation-sheet'!C9*'Output-Calculation-sheet'!C99</f>
        <v>3307684392.9044638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1084511357.8092217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767626148.49910069</v>
      </c>
      <c r="N120" s="2">
        <f>N10/'Output-Calculation-sheet'!N9*'Output-Calculation-sheet'!N99</f>
        <v>765394829.41109931</v>
      </c>
      <c r="O120" s="2">
        <f>O10/'Output-Calculation-sheet'!O9*'Output-Calculation-sheet'!O99</f>
        <v>647573357.74388182</v>
      </c>
      <c r="P120" s="2">
        <f>P10/'Output-Calculation-sheet'!P9*'Output-Calculation-sheet'!P99</f>
        <v>0</v>
      </c>
      <c r="Q120" s="2">
        <f>Q10/'Output-Calculation-sheet'!Q9*'Output-Calculation-sheet'!Q99</f>
        <v>4678675.7511934396</v>
      </c>
      <c r="R120" s="2">
        <f>R10/'Output-Calculation-sheet'!R9*'Output-Calculation-sheet'!R99</f>
        <v>0</v>
      </c>
      <c r="S120" s="2">
        <f>S10/'Output-Calculation-sheet'!S9*'Output-Calculation-sheet'!S99</f>
        <v>320572514.69187647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-5.2955999802714047E-9</v>
      </c>
      <c r="W120" s="2">
        <f>W10/'Output-Calculation-sheet'!W9*'Output-Calculation-sheet'!W99</f>
        <v>0</v>
      </c>
      <c r="X120" s="2">
        <f>X10/'Output-Calculation-sheet'!X9*'Output-Calculation-sheet'!X99</f>
        <v>76650876.655727014</v>
      </c>
      <c r="Y120" s="2">
        <f>Y10/'Output-Calculation-sheet'!Y9*'Output-Calculation-sheet'!Y99</f>
        <v>0</v>
      </c>
      <c r="AA120" s="2">
        <f t="shared" si="10"/>
        <v>10998.335157039442</v>
      </c>
    </row>
    <row r="121" spans="1:27" x14ac:dyDescent="0.25">
      <c r="A121" s="2">
        <v>2034</v>
      </c>
      <c r="B121" s="2">
        <f>B11/'Output-Calculation-sheet'!B10*'Output-Calculation-sheet'!B100</f>
        <v>3771434927.6677794</v>
      </c>
      <c r="C121" s="2">
        <f>C11/'Output-Calculation-sheet'!C10*'Output-Calculation-sheet'!C100</f>
        <v>452724956.41027993</v>
      </c>
      <c r="D121" s="2">
        <f>D11/'Output-Calculation-sheet'!D10*'Output-Calculation-sheet'!D100</f>
        <v>0</v>
      </c>
      <c r="E121" s="2">
        <f>E11/'Output-Calculation-sheet'!E10*'Output-Calculation-sheet'!E100</f>
        <v>523669411.09578854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1192067135.2461889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435115991.05159771</v>
      </c>
      <c r="M121" s="2">
        <f>M11/'Output-Calculation-sheet'!M10*'Output-Calculation-sheet'!M100</f>
        <v>848389620.2453562</v>
      </c>
      <c r="N121" s="2">
        <f>N11/'Output-Calculation-sheet'!N10*'Output-Calculation-sheet'!N100</f>
        <v>565602403.08778274</v>
      </c>
      <c r="O121" s="2">
        <f>O11/'Output-Calculation-sheet'!O10*'Output-Calculation-sheet'!O100</f>
        <v>88803489.301156119</v>
      </c>
      <c r="P121" s="2">
        <f>P11/'Output-Calculation-sheet'!P10*'Output-Calculation-sheet'!P100</f>
        <v>0</v>
      </c>
      <c r="Q121" s="2">
        <f>Q11/'Output-Calculation-sheet'!Q10*'Output-Calculation-sheet'!Q100</f>
        <v>192185797.97447729</v>
      </c>
      <c r="R121" s="2">
        <f>R11/'Output-Calculation-sheet'!R10*'Output-Calculation-sheet'!R100</f>
        <v>0</v>
      </c>
      <c r="S121" s="2">
        <f>S11/'Output-Calculation-sheet'!S10*'Output-Calculation-sheet'!S100</f>
        <v>211474551.39970699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83360216.344323218</v>
      </c>
      <c r="Y121" s="2">
        <f>Y11/'Output-Calculation-sheet'!Y10*'Output-Calculation-sheet'!Y100</f>
        <v>12097856.352307657</v>
      </c>
      <c r="AA121" s="2">
        <f t="shared" si="10"/>
        <v>8376.9263561767457</v>
      </c>
    </row>
    <row r="122" spans="1:27" x14ac:dyDescent="0.25">
      <c r="A122" s="2">
        <v>2035</v>
      </c>
      <c r="B122" s="2">
        <f>B12/'Output-Calculation-sheet'!B11*'Output-Calculation-sheet'!B101</f>
        <v>2020616959.9178736</v>
      </c>
      <c r="C122" s="2">
        <f>C12/'Output-Calculation-sheet'!C11*'Output-Calculation-sheet'!C101</f>
        <v>175652503.00850812</v>
      </c>
      <c r="D122" s="2">
        <f>D12/'Output-Calculation-sheet'!D11*'Output-Calculation-sheet'!D101</f>
        <v>0</v>
      </c>
      <c r="E122" s="2">
        <f>E12/'Output-Calculation-sheet'!E11*'Output-Calculation-sheet'!E101</f>
        <v>1573434387.3315992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297841315.3660233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1092118021.6449399</v>
      </c>
      <c r="M122" s="2">
        <f>M12/'Output-Calculation-sheet'!M11*'Output-Calculation-sheet'!M101</f>
        <v>273226626.53123146</v>
      </c>
      <c r="N122" s="2">
        <f>N12/'Output-Calculation-sheet'!N11*'Output-Calculation-sheet'!N101</f>
        <v>227110526.99509415</v>
      </c>
      <c r="O122" s="2">
        <f>O12/'Output-Calculation-sheet'!O11*'Output-Calculation-sheet'!O101</f>
        <v>31144235.814807154</v>
      </c>
      <c r="P122" s="2">
        <f>P12/'Output-Calculation-sheet'!P11*'Output-Calculation-sheet'!P101</f>
        <v>70683456.117058575</v>
      </c>
      <c r="Q122" s="2">
        <f>Q12/'Output-Calculation-sheet'!Q11*'Output-Calculation-sheet'!Q101</f>
        <v>349200260.90488416</v>
      </c>
      <c r="R122" s="2">
        <f>R12/'Output-Calculation-sheet'!R11*'Output-Calculation-sheet'!R101</f>
        <v>0</v>
      </c>
      <c r="S122" s="2">
        <f>S12/'Output-Calculation-sheet'!S11*'Output-Calculation-sheet'!S101</f>
        <v>94876313.697596356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8773737.0751822591</v>
      </c>
      <c r="Y122" s="2">
        <f>Y12/'Output-Calculation-sheet'!Y11*'Output-Calculation-sheet'!Y101</f>
        <v>40470171.592149794</v>
      </c>
      <c r="AA122" s="2">
        <f t="shared" si="10"/>
        <v>6255.1485159969479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1735038642.8785057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1741221255.4702296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114047.02898027157</v>
      </c>
    </row>
    <row r="130" spans="1:27" x14ac:dyDescent="0.25">
      <c r="A130" s="2">
        <v>2032</v>
      </c>
      <c r="B130" s="2">
        <f>B9/'Output-Calculation-sheet'!B8*'Output-Calculation-sheet'!B107</f>
        <v>38054983681.704391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1384446481.3894658</v>
      </c>
      <c r="O130" s="2">
        <f>O9/'Output-Calculation-sheet'!O8*'Output-Calculation-sheet'!O107</f>
        <v>0</v>
      </c>
      <c r="P130" s="2">
        <f>P9/'Output-Calculation-sheet'!P8*'Output-Calculation-sheet'!P107</f>
        <v>4224447006.237102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1230025964.7089992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134019.96195084107</v>
      </c>
    </row>
    <row r="131" spans="1:27" x14ac:dyDescent="0.25">
      <c r="A131" s="2">
        <v>2033</v>
      </c>
      <c r="B131" s="2">
        <f>B10/'Output-Calculation-sheet'!B9*'Output-Calculation-sheet'!B108</f>
        <v>30015152381.55724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1099683656.0097091</v>
      </c>
      <c r="O131" s="2">
        <f>O10/'Output-Calculation-sheet'!O9*'Output-Calculation-sheet'!O108</f>
        <v>0</v>
      </c>
      <c r="P131" s="2">
        <f>P10/'Output-Calculation-sheet'!P9*'Output-Calculation-sheet'!P108</f>
        <v>5058456347.6155167</v>
      </c>
      <c r="Q131" s="2">
        <f>Q10/'Output-Calculation-sheet'!Q9*'Output-Calculation-sheet'!Q108</f>
        <v>4267179389.3241177</v>
      </c>
      <c r="R131" s="2">
        <f>R10/'Output-Calculation-sheet'!R9*'Output-Calculation-sheet'!R108</f>
        <v>4787872346.5791445</v>
      </c>
      <c r="S131" s="2">
        <f>S10/'Output-Calculation-sheet'!S9*'Output-Calculation-sheet'!S108</f>
        <v>1066688614.4450656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143257.40791240704</v>
      </c>
    </row>
    <row r="132" spans="1:27" x14ac:dyDescent="0.25">
      <c r="A132" s="2">
        <v>2034</v>
      </c>
      <c r="B132" s="2">
        <f>B11/'Output-Calculation-sheet'!B10*'Output-Calculation-sheet'!B109</f>
        <v>21919858587.097607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21162085248.442898</v>
      </c>
      <c r="F132" s="2">
        <f>F11/'Output-Calculation-sheet'!F10*'Output-Calculation-sheet'!F109</f>
        <v>13957506242.794434</v>
      </c>
      <c r="G132" s="2">
        <f>G11/'Output-Calculation-sheet'!G10*'Output-Calculation-sheet'!G109</f>
        <v>9779612661.4467888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8696400493.9465294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6474370725.9007082</v>
      </c>
      <c r="M132" s="2">
        <f>M11/'Output-Calculation-sheet'!M10*'Output-Calculation-sheet'!M109</f>
        <v>0</v>
      </c>
      <c r="N132" s="2">
        <f>N11/'Output-Calculation-sheet'!N10*'Output-Calculation-sheet'!N109</f>
        <v>851339486.80116773</v>
      </c>
      <c r="O132" s="2">
        <f>O11/'Output-Calculation-sheet'!O10*'Output-Calculation-sheet'!O109</f>
        <v>0</v>
      </c>
      <c r="P132" s="2">
        <f>P11/'Output-Calculation-sheet'!P10*'Output-Calculation-sheet'!P109</f>
        <v>4837078881.4740791</v>
      </c>
      <c r="Q132" s="2">
        <f>Q11/'Output-Calculation-sheet'!Q10*'Output-Calculation-sheet'!Q109</f>
        <v>3114677577.9572949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584282960.57205772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1737950718.1183434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609025647.03871691</v>
      </c>
      <c r="AA132" s="2">
        <f t="shared" si="11"/>
        <v>148800.29733913767</v>
      </c>
    </row>
    <row r="133" spans="1:27" x14ac:dyDescent="0.25">
      <c r="A133" s="2">
        <v>2035</v>
      </c>
      <c r="B133" s="2">
        <f>B12/'Output-Calculation-sheet'!B11*'Output-Calculation-sheet'!B110</f>
        <v>5811898028.8255863</v>
      </c>
      <c r="C133" s="2">
        <f>C12/'Output-Calculation-sheet'!C11*'Output-Calculation-sheet'!C110</f>
        <v>0</v>
      </c>
      <c r="D133" s="2">
        <f>D12/'Output-Calculation-sheet'!D11*'Output-Calculation-sheet'!D110</f>
        <v>27641236735.805988</v>
      </c>
      <c r="E133" s="2">
        <f>E12/'Output-Calculation-sheet'!E11*'Output-Calculation-sheet'!E110</f>
        <v>14709041718.617058</v>
      </c>
      <c r="F133" s="2">
        <f>F12/'Output-Calculation-sheet'!F11*'Output-Calculation-sheet'!F110</f>
        <v>14621970910.928162</v>
      </c>
      <c r="G133" s="2">
        <f>G12/'Output-Calculation-sheet'!G11*'Output-Calculation-sheet'!G110</f>
        <v>9906345226.9613705</v>
      </c>
      <c r="H133" s="2">
        <f>H12/'Output-Calculation-sheet'!H11*'Output-Calculation-sheet'!H110</f>
        <v>0</v>
      </c>
      <c r="I133" s="2">
        <f>I12/'Output-Calculation-sheet'!I11*'Output-Calculation-sheet'!I110</f>
        <v>9089965346.5438366</v>
      </c>
      <c r="J133" s="2">
        <f>J12/'Output-Calculation-sheet'!J11*'Output-Calculation-sheet'!J110</f>
        <v>9105613884.9779987</v>
      </c>
      <c r="K133" s="2">
        <f>K12/'Output-Calculation-sheet'!K11*'Output-Calculation-sheet'!K110</f>
        <v>8934288985.9985142</v>
      </c>
      <c r="L133" s="2">
        <f>L12/'Output-Calculation-sheet'!L11*'Output-Calculation-sheet'!L110</f>
        <v>6421102208.477354</v>
      </c>
      <c r="M133" s="2">
        <f>M12/'Output-Calculation-sheet'!M11*'Output-Calculation-sheet'!M110</f>
        <v>0</v>
      </c>
      <c r="N133" s="2">
        <f>N12/'Output-Calculation-sheet'!N11*'Output-Calculation-sheet'!N110</f>
        <v>34493.331926801657</v>
      </c>
      <c r="O133" s="2">
        <f>O12/'Output-Calculation-sheet'!O11*'Output-Calculation-sheet'!O110</f>
        <v>0</v>
      </c>
      <c r="P133" s="2">
        <f>P12/'Output-Calculation-sheet'!P11*'Output-Calculation-sheet'!P110</f>
        <v>3208419326.9099765</v>
      </c>
      <c r="Q133" s="2">
        <f>Q12/'Output-Calculation-sheet'!Q11*'Output-Calculation-sheet'!Q110</f>
        <v>2040481421.1670029</v>
      </c>
      <c r="R133" s="2">
        <f>R12/'Output-Calculation-sheet'!R11*'Output-Calculation-sheet'!R110</f>
        <v>5942703024.1641188</v>
      </c>
      <c r="S133" s="2">
        <f>S12/'Output-Calculation-sheet'!S11*'Output-Calculation-sheet'!S110</f>
        <v>5718955.8140803352</v>
      </c>
      <c r="T133" s="2">
        <f>T12/'Output-Calculation-sheet'!T11*'Output-Calculation-sheet'!T110</f>
        <v>2220222840.6420093</v>
      </c>
      <c r="U133" s="2">
        <f>U12/'Output-Calculation-sheet'!U11*'Output-Calculation-sheet'!U110</f>
        <v>1754751786.9905579</v>
      </c>
      <c r="V133" s="2">
        <f>V12/'Output-Calculation-sheet'!V11*'Output-Calculation-sheet'!V110</f>
        <v>1528180859.5047693</v>
      </c>
      <c r="W133" s="2">
        <f>W12/'Output-Calculation-sheet'!W11*'Output-Calculation-sheet'!W110</f>
        <v>1286908727.4994805</v>
      </c>
      <c r="X133" s="2">
        <f>X12/'Output-Calculation-sheet'!X11*'Output-Calculation-sheet'!X110</f>
        <v>0</v>
      </c>
      <c r="Y133" s="2">
        <f>Y12/'Output-Calculation-sheet'!Y11*'Output-Calculation-sheet'!Y110</f>
        <v>487596775.81130528</v>
      </c>
      <c r="AA133" s="2">
        <f t="shared" si="11"/>
        <v>124716.48125897114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11285049450.203428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3547735288.4280391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2438660271.4396625</v>
      </c>
      <c r="N140" s="2">
        <f>N8/'Output-Calculation-sheet'!N7*'Output-Calculation-sheet'!N115</f>
        <v>920690911.93550801</v>
      </c>
      <c r="O140" s="2">
        <f>O8/'Output-Calculation-sheet'!O7*'Output-Calculation-sheet'!O115</f>
        <v>2708356919.729003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264809226.27268773</v>
      </c>
      <c r="Y140" s="2">
        <f>Y8/'Output-Calculation-sheet'!Y7*'Output-Calculation-sheet'!Y115</f>
        <v>0</v>
      </c>
      <c r="AA140" s="2">
        <f t="shared" si="12"/>
        <v>21165.302068008328</v>
      </c>
    </row>
    <row r="141" spans="1:27" x14ac:dyDescent="0.25">
      <c r="A141" s="2">
        <v>2032</v>
      </c>
      <c r="B141" s="2">
        <f>B9/'Output-Calculation-sheet'!B8*'Output-Calculation-sheet'!B116</f>
        <v>4350562737.8243284</v>
      </c>
      <c r="C141" s="2">
        <f>C9/'Output-Calculation-sheet'!C8*'Output-Calculation-sheet'!C116</f>
        <v>18622980944.093273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4854930373.798708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3333308604.3836656</v>
      </c>
      <c r="N141" s="2">
        <f>N9/'Output-Calculation-sheet'!N8*'Output-Calculation-sheet'!N116</f>
        <v>2314189766.0840764</v>
      </c>
      <c r="O141" s="2">
        <f>O9/'Output-Calculation-sheet'!O8*'Output-Calculation-sheet'!O116</f>
        <v>3614830053.3434782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1036548736.7843035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362818928.89931655</v>
      </c>
      <c r="Y141" s="2">
        <f>Y9/'Output-Calculation-sheet'!Y8*'Output-Calculation-sheet'!Y116</f>
        <v>0</v>
      </c>
      <c r="AA141" s="2">
        <f t="shared" si="12"/>
        <v>38490.170145211145</v>
      </c>
    </row>
    <row r="142" spans="1:27" x14ac:dyDescent="0.25">
      <c r="A142" s="2">
        <v>2033</v>
      </c>
      <c r="B142" s="2">
        <f>B10/'Output-Calculation-sheet'!B9*'Output-Calculation-sheet'!B117</f>
        <v>21776936608.683079</v>
      </c>
      <c r="C142" s="2">
        <f>C10/'Output-Calculation-sheet'!C9*'Output-Calculation-sheet'!C117</f>
        <v>22995545230.709721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7121890210.3743029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4894071145.1853848</v>
      </c>
      <c r="N142" s="2">
        <f>N10/'Output-Calculation-sheet'!N9*'Output-Calculation-sheet'!N117</f>
        <v>3691851734.3097577</v>
      </c>
      <c r="O142" s="2">
        <f>O10/'Output-Calculation-sheet'!O9*'Output-Calculation-sheet'!O117</f>
        <v>4463143487.3617296</v>
      </c>
      <c r="P142" s="2">
        <f>P10/'Output-Calculation-sheet'!P9*'Output-Calculation-sheet'!P117</f>
        <v>0</v>
      </c>
      <c r="Q142" s="2">
        <f>Q10/'Output-Calculation-sheet'!Q9*'Output-Calculation-sheet'!Q117</f>
        <v>705092565.67315543</v>
      </c>
      <c r="R142" s="2">
        <f>R10/'Output-Calculation-sheet'!R9*'Output-Calculation-sheet'!R117</f>
        <v>0</v>
      </c>
      <c r="S142" s="2">
        <f>S10/'Output-Calculation-sheet'!S9*'Output-Calculation-sheet'!S117</f>
        <v>1795147226.1755848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536527165.61880416</v>
      </c>
      <c r="Y142" s="2">
        <f>Y10/'Output-Calculation-sheet'!Y9*'Output-Calculation-sheet'!Y117</f>
        <v>0</v>
      </c>
      <c r="AA142" s="2">
        <f t="shared" si="12"/>
        <v>67980.205374091529</v>
      </c>
    </row>
    <row r="143" spans="1:27" x14ac:dyDescent="0.25">
      <c r="A143" s="2">
        <v>2034</v>
      </c>
      <c r="B143" s="2">
        <f>B11/'Output-Calculation-sheet'!B10*'Output-Calculation-sheet'!B118</f>
        <v>39373931711.965767</v>
      </c>
      <c r="C143" s="2">
        <f>C11/'Output-Calculation-sheet'!C10*'Output-Calculation-sheet'!C118</f>
        <v>30209477406.049648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8374217432.7146683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5751505628.0580835</v>
      </c>
      <c r="N143" s="2">
        <f>N11/'Output-Calculation-sheet'!N10*'Output-Calculation-sheet'!N118</f>
        <v>5060863563.8748093</v>
      </c>
      <c r="O143" s="2">
        <f>O11/'Output-Calculation-sheet'!O10*'Output-Calculation-sheet'!O118</f>
        <v>5868862216.735157</v>
      </c>
      <c r="P143" s="2">
        <f>P11/'Output-Calculation-sheet'!P10*'Output-Calculation-sheet'!P118</f>
        <v>1059605745.1257982</v>
      </c>
      <c r="Q143" s="2">
        <f>Q11/'Output-Calculation-sheet'!Q10*'Output-Calculation-sheet'!Q118</f>
        <v>2494811243.8929062</v>
      </c>
      <c r="R143" s="2">
        <f>R11/'Output-Calculation-sheet'!R10*'Output-Calculation-sheet'!R118</f>
        <v>0</v>
      </c>
      <c r="S143" s="2">
        <f>S11/'Output-Calculation-sheet'!S10*'Output-Calculation-sheet'!S118</f>
        <v>2914039913.8637662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631427809.43905139</v>
      </c>
      <c r="Y143" s="2">
        <f>Y11/'Output-Calculation-sheet'!Y10*'Output-Calculation-sheet'!Y118</f>
        <v>73994016.69010669</v>
      </c>
      <c r="AA143" s="2">
        <f t="shared" si="12"/>
        <v>101812.73668840974</v>
      </c>
    </row>
    <row r="144" spans="1:27" x14ac:dyDescent="0.25">
      <c r="A144" s="2">
        <v>2035</v>
      </c>
      <c r="B144" s="2">
        <f>B12/'Output-Calculation-sheet'!B11*'Output-Calculation-sheet'!B119</f>
        <v>65779541650.214546</v>
      </c>
      <c r="C144" s="2">
        <f>C12/'Output-Calculation-sheet'!C11*'Output-Calculation-sheet'!C119</f>
        <v>34813945057.07724</v>
      </c>
      <c r="D144" s="2">
        <f>D12/'Output-Calculation-sheet'!D11*'Output-Calculation-sheet'!D119</f>
        <v>0</v>
      </c>
      <c r="E144" s="2">
        <f>E12/'Output-Calculation-sheet'!E11*'Output-Calculation-sheet'!E119</f>
        <v>7936783270.0994415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10566848565.989553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7218257294.4004631</v>
      </c>
      <c r="N144" s="2">
        <f>N12/'Output-Calculation-sheet'!N11*'Output-Calculation-sheet'!N119</f>
        <v>7124366708.4332523</v>
      </c>
      <c r="O144" s="2">
        <f>O12/'Output-Calculation-sheet'!O11*'Output-Calculation-sheet'!O119</f>
        <v>6764653841.5643349</v>
      </c>
      <c r="P144" s="2">
        <f>P12/'Output-Calculation-sheet'!P11*'Output-Calculation-sheet'!P119</f>
        <v>3275853880.4434466</v>
      </c>
      <c r="Q144" s="2">
        <f>Q12/'Output-Calculation-sheet'!Q11*'Output-Calculation-sheet'!Q119</f>
        <v>3984970338.2918668</v>
      </c>
      <c r="R144" s="2">
        <f>R12/'Output-Calculation-sheet'!R11*'Output-Calculation-sheet'!R119</f>
        <v>0</v>
      </c>
      <c r="S144" s="2">
        <f>S12/'Output-Calculation-sheet'!S11*'Output-Calculation-sheet'!S119</f>
        <v>4105838679.8038969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806452798.23072565</v>
      </c>
      <c r="Y144" s="2">
        <f>Y12/'Output-Calculation-sheet'!Y11*'Output-Calculation-sheet'!Y119</f>
        <v>227424694.48499769</v>
      </c>
      <c r="AA144" s="2">
        <f t="shared" si="12"/>
        <v>152604.93677903374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1431490344.0738771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312149116.38619161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37096.67394640432</v>
      </c>
    </row>
    <row r="155" spans="1:27" x14ac:dyDescent="0.25">
      <c r="A155" s="2">
        <v>2035</v>
      </c>
      <c r="B155" s="2">
        <f>B12/'Output-Calculation-sheet'!B11*'Output-Calculation-sheet'!B128</f>
        <v>864255527.87652361</v>
      </c>
      <c r="C155" s="2">
        <f>C12/'Output-Calculation-sheet'!C11*'Output-Calculation-sheet'!C128</f>
        <v>51658890.091427572</v>
      </c>
      <c r="D155" s="2">
        <f>D12/'Output-Calculation-sheet'!D11*'Output-Calculation-sheet'!D128</f>
        <v>3775788070.5873771</v>
      </c>
      <c r="E155" s="2">
        <f>E12/'Output-Calculation-sheet'!E11*'Output-Calculation-sheet'!E128</f>
        <v>884227259.61996222</v>
      </c>
      <c r="F155" s="2">
        <f>F12/'Output-Calculation-sheet'!F11*'Output-Calculation-sheet'!F128</f>
        <v>1527868581.8873045</v>
      </c>
      <c r="G155" s="2">
        <f>G12/'Output-Calculation-sheet'!G11*'Output-Calculation-sheet'!G128</f>
        <v>1442397753.5681043</v>
      </c>
      <c r="H155" s="2">
        <f>H12/'Output-Calculation-sheet'!H11*'Output-Calculation-sheet'!H128</f>
        <v>79413976.839601681</v>
      </c>
      <c r="I155" s="2">
        <f>I12/'Output-Calculation-sheet'!I11*'Output-Calculation-sheet'!I128</f>
        <v>1238655693.4612448</v>
      </c>
      <c r="J155" s="2">
        <f>J12/'Output-Calculation-sheet'!J11*'Output-Calculation-sheet'!J128</f>
        <v>895340459.40780687</v>
      </c>
      <c r="K155" s="2">
        <f>K12/'Output-Calculation-sheet'!K11*'Output-Calculation-sheet'!K128</f>
        <v>990886633.29517305</v>
      </c>
      <c r="L155" s="2">
        <f>L12/'Output-Calculation-sheet'!L11*'Output-Calculation-sheet'!L128</f>
        <v>434542981.69603771</v>
      </c>
      <c r="M155" s="2">
        <f>M12/'Output-Calculation-sheet'!M11*'Output-Calculation-sheet'!M128</f>
        <v>62626701.33575137</v>
      </c>
      <c r="N155" s="2">
        <f>N12/'Output-Calculation-sheet'!N11*'Output-Calculation-sheet'!N128</f>
        <v>57239958.481366888</v>
      </c>
      <c r="O155" s="2">
        <f>O12/'Output-Calculation-sheet'!O11*'Output-Calculation-sheet'!O128</f>
        <v>12535133.906334177</v>
      </c>
      <c r="P155" s="2">
        <f>P12/'Output-Calculation-sheet'!P11*'Output-Calculation-sheet'!P128</f>
        <v>233507991.61153847</v>
      </c>
      <c r="Q155" s="2">
        <f>Q12/'Output-Calculation-sheet'!Q11*'Output-Calculation-sheet'!Q128</f>
        <v>284714366.38844454</v>
      </c>
      <c r="R155" s="2">
        <f>R12/'Output-Calculation-sheet'!R11*'Output-Calculation-sheet'!R128</f>
        <v>510231999.79003233</v>
      </c>
      <c r="S155" s="2">
        <f>S12/'Output-Calculation-sheet'!S11*'Output-Calculation-sheet'!S128</f>
        <v>37158631.986824907</v>
      </c>
      <c r="T155" s="2">
        <f>T12/'Output-Calculation-sheet'!T11*'Output-Calculation-sheet'!T128</f>
        <v>139927646.33738402</v>
      </c>
      <c r="U155" s="2">
        <f>U12/'Output-Calculation-sheet'!U11*'Output-Calculation-sheet'!U128</f>
        <v>322239511.03773236</v>
      </c>
      <c r="V155" s="2">
        <f>V12/'Output-Calculation-sheet'!V11*'Output-Calculation-sheet'!V128</f>
        <v>48064781.148431897</v>
      </c>
      <c r="W155" s="2">
        <f>W12/'Output-Calculation-sheet'!W11*'Output-Calculation-sheet'!W128</f>
        <v>96903761.252261028</v>
      </c>
      <c r="X155" s="2">
        <f>X12/'Output-Calculation-sheet'!X11*'Output-Calculation-sheet'!X128</f>
        <v>2059029.2044098803</v>
      </c>
      <c r="Y155" s="2">
        <f>Y12/'Output-Calculation-sheet'!Y11*'Output-Calculation-sheet'!Y128</f>
        <v>53278864.083217815</v>
      </c>
      <c r="AA155" s="2">
        <f t="shared" si="13"/>
        <v>14045.524204894289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4927.6882959322702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1492.6560388753207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1036.8581473130296</v>
      </c>
      <c r="N19" s="2">
        <f>N8/'Output-Calculation-sheet'!N7*'Output-Calculation-sheet'!N25</f>
        <v>862.54345218084245</v>
      </c>
      <c r="O19" s="2">
        <f>O8/'Output-Calculation-sheet'!O7*'Output-Calculation-sheet'!O25</f>
        <v>541.33924957735462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112.21689405052682</v>
      </c>
      <c r="Y19" s="2">
        <f>Y8/'Output-Calculation-sheet'!Y7*'Output-Calculation-sheet'!Y25</f>
        <v>0</v>
      </c>
      <c r="AA19" s="2">
        <f t="shared" si="0"/>
        <v>10.419541313111308</v>
      </c>
    </row>
    <row r="20" spans="1:27" x14ac:dyDescent="0.25">
      <c r="A20" s="2">
        <v>2032</v>
      </c>
      <c r="B20" s="2">
        <f>B9/'Output-Calculation-sheet'!B8*'Output-Calculation-sheet'!B26</f>
        <v>4987.9685146047777</v>
      </c>
      <c r="C20" s="2">
        <f>C9/'Output-Calculation-sheet'!C8*'Output-Calculation-sheet'!C26</f>
        <v>2735.2801589382943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1642.0021853337932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1147.4424592748785</v>
      </c>
      <c r="N20" s="2">
        <f>N9/'Output-Calculation-sheet'!N8*'Output-Calculation-sheet'!N26</f>
        <v>795.2088919126104</v>
      </c>
      <c r="O20" s="2">
        <f>O9/'Output-Calculation-sheet'!O8*'Output-Calculation-sheet'!O26</f>
        <v>534.42305255300414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377.20989146587016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124.85849788646262</v>
      </c>
      <c r="Y20" s="2">
        <f>Y9/'Output-Calculation-sheet'!Y8*'Output-Calculation-sheet'!Y26</f>
        <v>0</v>
      </c>
      <c r="AA20" s="2">
        <f t="shared" si="0"/>
        <v>12.344393651969691</v>
      </c>
    </row>
    <row r="21" spans="1:27" x14ac:dyDescent="0.25">
      <c r="A21" s="2">
        <v>2033</v>
      </c>
      <c r="B21" s="2">
        <f>B10/'Output-Calculation-sheet'!B9*'Output-Calculation-sheet'!B27</f>
        <v>4443.3678774504497</v>
      </c>
      <c r="C21" s="2">
        <f>C10/'Output-Calculation-sheet'!C9*'Output-Calculation-sheet'!C27</f>
        <v>2731.0819417345515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895.45838710366183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633.81283331990812</v>
      </c>
      <c r="N21" s="2">
        <f>N10/'Output-Calculation-sheet'!N9*'Output-Calculation-sheet'!N27</f>
        <v>641.86053984662931</v>
      </c>
      <c r="O21" s="2">
        <f>O10/'Output-Calculation-sheet'!O9*'Output-Calculation-sheet'!O27</f>
        <v>534.68729177197599</v>
      </c>
      <c r="P21" s="2">
        <f>P10/'Output-Calculation-sheet'!P9*'Output-Calculation-sheet'!P27</f>
        <v>0</v>
      </c>
      <c r="Q21" s="2">
        <f>Q10/'Output-Calculation-sheet'!Q9*'Output-Calculation-sheet'!Q27</f>
        <v>7.4798419788164194</v>
      </c>
      <c r="R21" s="2">
        <f>R10/'Output-Calculation-sheet'!R9*'Output-Calculation-sheet'!R27</f>
        <v>0</v>
      </c>
      <c r="S21" s="2">
        <f>S10/'Output-Calculation-sheet'!S9*'Output-Calculation-sheet'!S27</f>
        <v>305.63022458940253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63.288935360739387</v>
      </c>
      <c r="Y21" s="2">
        <f>Y10/'Output-Calculation-sheet'!Y9*'Output-Calculation-sheet'!Y27</f>
        <v>0</v>
      </c>
      <c r="AA21" s="2">
        <f t="shared" si="0"/>
        <v>10.256667873156134</v>
      </c>
    </row>
    <row r="22" spans="1:27" x14ac:dyDescent="0.25">
      <c r="A22" s="2">
        <v>2034</v>
      </c>
      <c r="B22" s="2">
        <f>B11/'Output-Calculation-sheet'!B10*'Output-Calculation-sheet'!B28</f>
        <v>3567.1428325066286</v>
      </c>
      <c r="C22" s="2">
        <f>C11/'Output-Calculation-sheet'!C10*'Output-Calculation-sheet'!C28</f>
        <v>359.81584291674591</v>
      </c>
      <c r="D22" s="2">
        <f>D11/'Output-Calculation-sheet'!D10*'Output-Calculation-sheet'!D28</f>
        <v>0</v>
      </c>
      <c r="E22" s="2">
        <f>E11/'Output-Calculation-sheet'!E10*'Output-Calculation-sheet'!E28</f>
        <v>1194.7830260814574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947.42330477356404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724.59458739998013</v>
      </c>
      <c r="M22" s="2">
        <f>M11/'Output-Calculation-sheet'!M10*'Output-Calculation-sheet'!M28</f>
        <v>674.27755473049444</v>
      </c>
      <c r="N22" s="2">
        <f>N11/'Output-Calculation-sheet'!N10*'Output-Calculation-sheet'!N28</f>
        <v>450.75839221333024</v>
      </c>
      <c r="O22" s="2">
        <f>O11/'Output-Calculation-sheet'!O10*'Output-Calculation-sheet'!O28</f>
        <v>70.578714987212507</v>
      </c>
      <c r="P22" s="2">
        <f>P11/'Output-Calculation-sheet'!P10*'Output-Calculation-sheet'!P28</f>
        <v>0</v>
      </c>
      <c r="Q22" s="2">
        <f>Q11/'Output-Calculation-sheet'!Q10*'Output-Calculation-sheet'!Q28</f>
        <v>232.02016018788206</v>
      </c>
      <c r="R22" s="2">
        <f>R11/'Output-Calculation-sheet'!R10*'Output-Calculation-sheet'!R28</f>
        <v>0</v>
      </c>
      <c r="S22" s="2">
        <f>S11/'Output-Calculation-sheet'!S10*'Output-Calculation-sheet'!S28</f>
        <v>168.77824241325797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66.25246444769121</v>
      </c>
      <c r="Y22" s="2">
        <f>Y11/'Output-Calculation-sheet'!Y10*'Output-Calculation-sheet'!Y28</f>
        <v>27.006375797792007</v>
      </c>
      <c r="AA22" s="2">
        <f t="shared" si="0"/>
        <v>8.4834314984560351</v>
      </c>
    </row>
    <row r="23" spans="1:27" x14ac:dyDescent="0.25">
      <c r="A23" s="2">
        <v>2035</v>
      </c>
      <c r="B23" s="2">
        <f>B12/'Output-Calculation-sheet'!B11*'Output-Calculation-sheet'!B29</f>
        <v>1469.8639027644656</v>
      </c>
      <c r="C23" s="2">
        <f>C12/'Output-Calculation-sheet'!C11*'Output-Calculation-sheet'!C29</f>
        <v>127.77423845605077</v>
      </c>
      <c r="D23" s="2">
        <f>D12/'Output-Calculation-sheet'!D11*'Output-Calculation-sheet'!D29</f>
        <v>0</v>
      </c>
      <c r="E23" s="2">
        <f>E12/'Output-Calculation-sheet'!E11*'Output-Calculation-sheet'!E29</f>
        <v>2029.0189849624601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216.6605146432012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1361.5634858065062</v>
      </c>
      <c r="M23" s="2">
        <f>M12/'Output-Calculation-sheet'!M11*'Output-Calculation-sheet'!M29</f>
        <v>198.75440224938885</v>
      </c>
      <c r="N23" s="2">
        <f>N12/'Output-Calculation-sheet'!N11*'Output-Calculation-sheet'!N29</f>
        <v>165.20845280569296</v>
      </c>
      <c r="O23" s="2">
        <f>O12/'Output-Calculation-sheet'!O11*'Output-Calculation-sheet'!O29</f>
        <v>22.655779350085886</v>
      </c>
      <c r="P23" s="2">
        <f>P12/'Output-Calculation-sheet'!P11*'Output-Calculation-sheet'!P29</f>
        <v>80.23234410141913</v>
      </c>
      <c r="Q23" s="2">
        <f>Q12/'Output-Calculation-sheet'!Q11*'Output-Calculation-sheet'!Q29</f>
        <v>301.74530031027075</v>
      </c>
      <c r="R23" s="2">
        <f>R12/'Output-Calculation-sheet'!R11*'Output-Calculation-sheet'!R29</f>
        <v>0</v>
      </c>
      <c r="S23" s="2">
        <f>S12/'Output-Calculation-sheet'!S11*'Output-Calculation-sheet'!S29</f>
        <v>69.016123285295251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6.3823385423503298</v>
      </c>
      <c r="Y23" s="2">
        <f>Y12/'Output-Calculation-sheet'!Y11*'Output-Calculation-sheet'!Y29</f>
        <v>55.445341945536477</v>
      </c>
      <c r="AA23" s="2">
        <f t="shared" si="0"/>
        <v>6.1043212092227233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983.28129005964433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38.551955902184169</v>
      </c>
    </row>
    <row r="31" spans="1:27" x14ac:dyDescent="0.25">
      <c r="A31" s="2">
        <v>2032</v>
      </c>
      <c r="B31" s="2">
        <f>B9/'Output-Calculation-sheet'!B8*'Output-Calculation-sheet'!B17</f>
        <v>20971.485088889498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820.00716922270283</v>
      </c>
      <c r="O31" s="2">
        <f>O9/'Output-Calculation-sheet'!O8*'Output-Calculation-sheet'!O17</f>
        <v>0</v>
      </c>
      <c r="P31" s="2">
        <f>P9/'Output-Calculation-sheet'!P8*'Output-Calculation-sheet'!P17</f>
        <v>2049.4806159566388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678.69351105522514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48.048166699042646</v>
      </c>
    </row>
    <row r="32" spans="1:27" x14ac:dyDescent="0.25">
      <c r="A32" s="2">
        <v>2033</v>
      </c>
      <c r="B32" s="2">
        <f>B10/'Output-Calculation-sheet'!B9*'Output-Calculation-sheet'!B18</f>
        <v>16072.836369173865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2516.5520401156327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650.55112861811745</v>
      </c>
      <c r="O32" s="2">
        <f>O10/'Output-Calculation-sheet'!O9*'Output-Calculation-sheet'!O18</f>
        <v>0</v>
      </c>
      <c r="P32" s="2">
        <f>P10/'Output-Calculation-sheet'!P9*'Output-Calculation-sheet'!P18</f>
        <v>2589.8693224939734</v>
      </c>
      <c r="Q32" s="2">
        <f>Q10/'Output-Calculation-sheet'!Q9*'Output-Calculation-sheet'!Q18</f>
        <v>2397.9818695374374</v>
      </c>
      <c r="R32" s="2">
        <f>R10/'Output-Calculation-sheet'!R9*'Output-Calculation-sheet'!R18</f>
        <v>1859.7069058579962</v>
      </c>
      <c r="S32" s="2">
        <f>S10/'Output-Calculation-sheet'!S9*'Output-Calculation-sheet'!S18</f>
        <v>591.80923633045052</v>
      </c>
      <c r="T32" s="2">
        <f>T10/'Output-Calculation-sheet'!T9*'Output-Calculation-sheet'!T18</f>
        <v>543.00416119605643</v>
      </c>
      <c r="U32" s="2">
        <f>U10/'Output-Calculation-sheet'!U9*'Output-Calculation-sheet'!U18</f>
        <v>600.26707639606616</v>
      </c>
      <c r="V32" s="2">
        <f>V10/'Output-Calculation-sheet'!V9*'Output-Calculation-sheet'!V18</f>
        <v>443.05992238133467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256.50819553697039</v>
      </c>
      <c r="AA32" s="2">
        <f t="shared" si="1"/>
        <v>51.097171944414683</v>
      </c>
    </row>
    <row r="33" spans="1:27" x14ac:dyDescent="0.25">
      <c r="A33" s="2">
        <v>2034</v>
      </c>
      <c r="B33" s="2">
        <f>B11/'Output-Calculation-sheet'!B10*'Output-Calculation-sheet'!B19</f>
        <v>10782.527253650733</v>
      </c>
      <c r="C33" s="2">
        <f>C11/'Output-Calculation-sheet'!C10*'Output-Calculation-sheet'!C19</f>
        <v>0</v>
      </c>
      <c r="D33" s="2">
        <f>D11/'Output-Calculation-sheet'!D10*'Output-Calculation-sheet'!D19</f>
        <v>7170.845590960309</v>
      </c>
      <c r="E33" s="2">
        <f>E11/'Output-Calculation-sheet'!E10*'Output-Calculation-sheet'!E19</f>
        <v>8890.037978082175</v>
      </c>
      <c r="F33" s="2">
        <f>F11/'Output-Calculation-sheet'!F10*'Output-Calculation-sheet'!F19</f>
        <v>4070.5943127648898</v>
      </c>
      <c r="G33" s="2">
        <f>G11/'Output-Calculation-sheet'!G10*'Output-Calculation-sheet'!G19</f>
        <v>2424.9105846315929</v>
      </c>
      <c r="H33" s="2">
        <f>H11/'Output-Calculation-sheet'!H10*'Output-Calculation-sheet'!H19</f>
        <v>0</v>
      </c>
      <c r="I33" s="2">
        <f>I11/'Output-Calculation-sheet'!I10*'Output-Calculation-sheet'!I19</f>
        <v>2663.704340386244</v>
      </c>
      <c r="J33" s="2">
        <f>J11/'Output-Calculation-sheet'!J10*'Output-Calculation-sheet'!J19</f>
        <v>2252.4717996613722</v>
      </c>
      <c r="K33" s="2">
        <f>K11/'Output-Calculation-sheet'!K10*'Output-Calculation-sheet'!K19</f>
        <v>3124.2314882099308</v>
      </c>
      <c r="L33" s="2">
        <f>L11/'Output-Calculation-sheet'!L10*'Output-Calculation-sheet'!L19</f>
        <v>2541.0022866578788</v>
      </c>
      <c r="M33" s="2">
        <f>M11/'Output-Calculation-sheet'!M10*'Output-Calculation-sheet'!M19</f>
        <v>0</v>
      </c>
      <c r="N33" s="2">
        <f>N11/'Output-Calculation-sheet'!N10*'Output-Calculation-sheet'!N19</f>
        <v>482.32211693588039</v>
      </c>
      <c r="O33" s="2">
        <f>O11/'Output-Calculation-sheet'!O10*'Output-Calculation-sheet'!O19</f>
        <v>0</v>
      </c>
      <c r="P33" s="2">
        <f>P11/'Output-Calculation-sheet'!P10*'Output-Calculation-sheet'!P19</f>
        <v>2387.5730668794295</v>
      </c>
      <c r="Q33" s="2">
        <f>Q11/'Output-Calculation-sheet'!Q10*'Output-Calculation-sheet'!Q19</f>
        <v>1521.2931283037706</v>
      </c>
      <c r="R33" s="2">
        <f>R11/'Output-Calculation-sheet'!R10*'Output-Calculation-sheet'!R19</f>
        <v>2257.0310509641886</v>
      </c>
      <c r="S33" s="2">
        <f>S11/'Output-Calculation-sheet'!S10*'Output-Calculation-sheet'!S19</f>
        <v>306.61171419855958</v>
      </c>
      <c r="T33" s="2">
        <f>T11/'Output-Calculation-sheet'!T10*'Output-Calculation-sheet'!T19</f>
        <v>662.11668207839557</v>
      </c>
      <c r="U33" s="2">
        <f>U11/'Output-Calculation-sheet'!U10*'Output-Calculation-sheet'!U19</f>
        <v>716.11591872978988</v>
      </c>
      <c r="V33" s="2">
        <f>V11/'Output-Calculation-sheet'!V10*'Output-Calculation-sheet'!V19</f>
        <v>519.36256537261761</v>
      </c>
      <c r="W33" s="2">
        <f>W11/'Output-Calculation-sheet'!W10*'Output-Calculation-sheet'!W19</f>
        <v>323.37914902243546</v>
      </c>
      <c r="X33" s="2">
        <f>X11/'Output-Calculation-sheet'!X10*'Output-Calculation-sheet'!X19</f>
        <v>0</v>
      </c>
      <c r="Y33" s="2">
        <f>Y11/'Output-Calculation-sheet'!Y10*'Output-Calculation-sheet'!Y19</f>
        <v>264.75520453863425</v>
      </c>
      <c r="AA33" s="2">
        <f t="shared" si="1"/>
        <v>53.360886232028811</v>
      </c>
    </row>
    <row r="34" spans="1:27" x14ac:dyDescent="0.25">
      <c r="A34" s="2">
        <v>2035</v>
      </c>
      <c r="B34" s="2">
        <f>B12/'Output-Calculation-sheet'!B11*'Output-Calculation-sheet'!B20</f>
        <v>2515.1869979874191</v>
      </c>
      <c r="C34" s="2">
        <f>C12/'Output-Calculation-sheet'!C11*'Output-Calculation-sheet'!C20</f>
        <v>0</v>
      </c>
      <c r="D34" s="2">
        <f>D12/'Output-Calculation-sheet'!D11*'Output-Calculation-sheet'!D20</f>
        <v>6585.9706516867845</v>
      </c>
      <c r="E34" s="2">
        <f>E12/'Output-Calculation-sheet'!E11*'Output-Calculation-sheet'!E20</f>
        <v>4299.1709928760256</v>
      </c>
      <c r="F34" s="2">
        <f>F12/'Output-Calculation-sheet'!F11*'Output-Calculation-sheet'!F20</f>
        <v>4092.7233312266439</v>
      </c>
      <c r="G34" s="2">
        <f>G12/'Output-Calculation-sheet'!G11*'Output-Calculation-sheet'!G20</f>
        <v>2208.1685590569696</v>
      </c>
      <c r="H34" s="2">
        <f>H12/'Output-Calculation-sheet'!H11*'Output-Calculation-sheet'!H20</f>
        <v>0</v>
      </c>
      <c r="I34" s="2">
        <f>I12/'Output-Calculation-sheet'!I11*'Output-Calculation-sheet'!I20</f>
        <v>2454.8760085081444</v>
      </c>
      <c r="J34" s="2">
        <f>J12/'Output-Calculation-sheet'!J11*'Output-Calculation-sheet'!J20</f>
        <v>2276.5657828833355</v>
      </c>
      <c r="K34" s="2">
        <f>K12/'Output-Calculation-sheet'!K11*'Output-Calculation-sheet'!K20</f>
        <v>3034.887964726428</v>
      </c>
      <c r="L34" s="2">
        <f>L12/'Output-Calculation-sheet'!L11*'Output-Calculation-sheet'!L20</f>
        <v>2416.2727605636996</v>
      </c>
      <c r="M34" s="2">
        <f>M12/'Output-Calculation-sheet'!M11*'Output-Calculation-sheet'!M20</f>
        <v>0</v>
      </c>
      <c r="N34" s="2">
        <f>N12/'Output-Calculation-sheet'!N11*'Output-Calculation-sheet'!N20</f>
        <v>1.7838333636277199E-2</v>
      </c>
      <c r="O34" s="2">
        <f>O12/'Output-Calculation-sheet'!O11*'Output-Calculation-sheet'!O20</f>
        <v>0</v>
      </c>
      <c r="P34" s="2">
        <f>P12/'Output-Calculation-sheet'!P11*'Output-Calculation-sheet'!P20</f>
        <v>1242.3492849318834</v>
      </c>
      <c r="Q34" s="2">
        <f>Q12/'Output-Calculation-sheet'!Q11*'Output-Calculation-sheet'!Q20</f>
        <v>835.40800806330105</v>
      </c>
      <c r="R34" s="2">
        <f>R12/'Output-Calculation-sheet'!R11*'Output-Calculation-sheet'!R20</f>
        <v>2318.4972523310698</v>
      </c>
      <c r="S34" s="2">
        <f>S12/'Output-Calculation-sheet'!S11*'Output-Calculation-sheet'!S20</f>
        <v>2.7467771397189904</v>
      </c>
      <c r="T34" s="2">
        <f>T12/'Output-Calculation-sheet'!T11*'Output-Calculation-sheet'!T20</f>
        <v>702.77529405526309</v>
      </c>
      <c r="U34" s="2">
        <f>U12/'Output-Calculation-sheet'!U11*'Output-Calculation-sheet'!U20</f>
        <v>647.30897048566862</v>
      </c>
      <c r="V34" s="2">
        <f>V12/'Output-Calculation-sheet'!V11*'Output-Calculation-sheet'!V20</f>
        <v>637.14060634788223</v>
      </c>
      <c r="W34" s="2">
        <f>W12/'Output-Calculation-sheet'!W11*'Output-Calculation-sheet'!W20</f>
        <v>345.52729103216183</v>
      </c>
      <c r="X34" s="2">
        <f>X12/'Output-Calculation-sheet'!X11*'Output-Calculation-sheet'!X20</f>
        <v>0</v>
      </c>
      <c r="Y34" s="2">
        <f>Y12/'Output-Calculation-sheet'!Y11*'Output-Calculation-sheet'!Y20</f>
        <v>157.83454825269391</v>
      </c>
      <c r="AA34" s="2">
        <f t="shared" si="1"/>
        <v>36.773428920488719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1.6151543620299497E-2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2.9580319334570854E-3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1.9109575553756582E-2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4.1204515056664032E-2</v>
      </c>
      <c r="E45" s="2">
        <f>E12/'Output-Calculation-sheet'!E11*'Output-Calculation-sheet'!E38*0.0114</f>
        <v>9.8239911667494115E-2</v>
      </c>
      <c r="F45" s="2">
        <f>F12/'Output-Calculation-sheet'!F11*'Output-Calculation-sheet'!F38*0.0114</f>
        <v>4.1190763870414572E-2</v>
      </c>
      <c r="G45" s="2">
        <f>G12/'Output-Calculation-sheet'!G11*'Output-Calculation-sheet'!G38*0.0114</f>
        <v>2.9561982125555854E-2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2.6589176144249171E-2</v>
      </c>
      <c r="J45" s="2">
        <f>J12/'Output-Calculation-sheet'!J11*'Output-Calculation-sheet'!J38*0.0114</f>
        <v>1.3157238309908935E-2</v>
      </c>
      <c r="K45" s="2">
        <f>K12/'Output-Calculation-sheet'!K11*'Output-Calculation-sheet'!K38*0.0114</f>
        <v>2.6132927766311896E-2</v>
      </c>
      <c r="L45" s="2">
        <f>L12/'Output-Calculation-sheet'!L11*'Output-Calculation-sheet'!L38*0.0114</f>
        <v>1.0389850561832208E-2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2.6838021618221009E-2</v>
      </c>
      <c r="Q45" s="2">
        <f>Q12/'Output-Calculation-sheet'!Q11*'Output-Calculation-sheet'!Q38*0.0114</f>
        <v>8.4843747728686348E-3</v>
      </c>
      <c r="R45" s="2">
        <f>R12/'Output-Calculation-sheet'!R11*'Output-Calculation-sheet'!R38*0.0114</f>
        <v>1.6827713356725102E-2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3.1128100137502892E-3</v>
      </c>
      <c r="U45" s="2">
        <f>U12/'Output-Calculation-sheet'!U11*'Output-Calculation-sheet'!U38*0.0114</f>
        <v>8.1210770808722507E-3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3.6150103891256728E-3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4.1722348984733317E-3</v>
      </c>
      <c r="AA45" s="2">
        <f t="shared" si="2"/>
        <v>0.5537687199950011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0.13371331263551436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164.88460161306824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0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15.3849510707853</v>
      </c>
      <c r="AA54" s="2">
        <f t="shared" si="3"/>
        <v>4.0615663569910474</v>
      </c>
    </row>
    <row r="55" spans="1:27" x14ac:dyDescent="0.25">
      <c r="A55" s="2">
        <v>2034</v>
      </c>
      <c r="B55" s="2">
        <f>B11/'Output-Calculation-sheet'!B10*'Output-Calculation-sheet'!B46</f>
        <v>1409.1061530901241</v>
      </c>
      <c r="C55" s="2">
        <f>C11/'Output-Calculation-sheet'!C10*'Output-Calculation-sheet'!C46</f>
        <v>0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234.9213243737891</v>
      </c>
      <c r="G55" s="2">
        <f>G11/'Output-Calculation-sheet'!G10*'Output-Calculation-sheet'!G46</f>
        <v>2648.0030724859434</v>
      </c>
      <c r="H55" s="2">
        <f>H11/'Output-Calculation-sheet'!H10*'Output-Calculation-sheet'!H46</f>
        <v>480.37653366529247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1089.6426965195037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356.04505300477672</v>
      </c>
      <c r="N55" s="2">
        <f>N11/'Output-Calculation-sheet'!N10*'Output-Calculation-sheet'!N46</f>
        <v>121.59529300556041</v>
      </c>
      <c r="O55" s="2">
        <f>O11/'Output-Calculation-sheet'!O10*'Output-Calculation-sheet'!O46</f>
        <v>0</v>
      </c>
      <c r="P55" s="2">
        <f>P11/'Output-Calculation-sheet'!P10*'Output-Calculation-sheet'!P46</f>
        <v>2644.5345294970257</v>
      </c>
      <c r="Q55" s="2">
        <f>Q11/'Output-Calculation-sheet'!Q10*'Output-Calculation-sheet'!Q46</f>
        <v>566.83707847189726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0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1008.0661457439278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66.876338550416733</v>
      </c>
      <c r="X55" s="2">
        <f>X11/'Output-Calculation-sheet'!X10*'Output-Calculation-sheet'!X46</f>
        <v>33.982264105465759</v>
      </c>
      <c r="Y55" s="2">
        <f>Y11/'Output-Calculation-sheet'!Y10*'Output-Calculation-sheet'!Y46</f>
        <v>236.35340384344673</v>
      </c>
      <c r="AA55" s="2">
        <f t="shared" si="3"/>
        <v>35.004826087287213</v>
      </c>
    </row>
    <row r="56" spans="1:27" x14ac:dyDescent="0.25">
      <c r="A56" s="2">
        <v>2035</v>
      </c>
      <c r="B56" s="2">
        <f>B12/'Output-Calculation-sheet'!B11*'Output-Calculation-sheet'!B47</f>
        <v>2312.5666166224573</v>
      </c>
      <c r="C56" s="2">
        <f>C12/'Output-Calculation-sheet'!C11*'Output-Calculation-sheet'!C47</f>
        <v>265.21876096577677</v>
      </c>
      <c r="D56" s="2">
        <f>D12/'Output-Calculation-sheet'!D11*'Output-Calculation-sheet'!D47</f>
        <v>6527.6626484504595</v>
      </c>
      <c r="E56" s="2">
        <f>E12/'Output-Calculation-sheet'!E11*'Output-Calculation-sheet'!E47</f>
        <v>8554.3408463683463</v>
      </c>
      <c r="F56" s="2">
        <f>F12/'Output-Calculation-sheet'!F11*'Output-Calculation-sheet'!F47</f>
        <v>903.30622522838962</v>
      </c>
      <c r="G56" s="2">
        <f>G12/'Output-Calculation-sheet'!G11*'Output-Calculation-sheet'!G47</f>
        <v>2415.5251184171298</v>
      </c>
      <c r="H56" s="2">
        <f>H12/'Output-Calculation-sheet'!H11*'Output-Calculation-sheet'!H47</f>
        <v>102.99523001097131</v>
      </c>
      <c r="I56" s="2">
        <f>I12/'Output-Calculation-sheet'!I11*'Output-Calculation-sheet'!I47</f>
        <v>1539.3733557196888</v>
      </c>
      <c r="J56" s="2">
        <f>J12/'Output-Calculation-sheet'!J11*'Output-Calculation-sheet'!J47</f>
        <v>2570.2780452778243</v>
      </c>
      <c r="K56" s="2">
        <f>K12/'Output-Calculation-sheet'!K11*'Output-Calculation-sheet'!K47</f>
        <v>3432.8122219343913</v>
      </c>
      <c r="L56" s="2">
        <f>L12/'Output-Calculation-sheet'!L11*'Output-Calculation-sheet'!L47</f>
        <v>3717.5614422555764</v>
      </c>
      <c r="M56" s="2">
        <f>M12/'Output-Calculation-sheet'!M11*'Output-Calculation-sheet'!M47</f>
        <v>78.649237733814488</v>
      </c>
      <c r="N56" s="2">
        <f>N12/'Output-Calculation-sheet'!N11*'Output-Calculation-sheet'!N47</f>
        <v>73.90166792171982</v>
      </c>
      <c r="O56" s="2">
        <f>O12/'Output-Calculation-sheet'!O11*'Output-Calculation-sheet'!O47</f>
        <v>48.353890359163053</v>
      </c>
      <c r="P56" s="2">
        <f>P12/'Output-Calculation-sheet'!P11*'Output-Calculation-sheet'!P47</f>
        <v>1756.2424672976204</v>
      </c>
      <c r="Q56" s="2">
        <f>Q12/'Output-Calculation-sheet'!Q11*'Output-Calculation-sheet'!Q47</f>
        <v>675.02876482384659</v>
      </c>
      <c r="R56" s="2">
        <f>R12/'Output-Calculation-sheet'!R11*'Output-Calculation-sheet'!R47</f>
        <v>3784.7593900564175</v>
      </c>
      <c r="S56" s="2">
        <f>S12/'Output-Calculation-sheet'!S11*'Output-Calculation-sheet'!S47</f>
        <v>31.650507725888026</v>
      </c>
      <c r="T56" s="2">
        <f>T12/'Output-Calculation-sheet'!T11*'Output-Calculation-sheet'!T47</f>
        <v>1273.2485170278594</v>
      </c>
      <c r="U56" s="2">
        <f>U12/'Output-Calculation-sheet'!U11*'Output-Calculation-sheet'!U47</f>
        <v>892.60610371341488</v>
      </c>
      <c r="V56" s="2">
        <f>V12/'Output-Calculation-sheet'!V11*'Output-Calculation-sheet'!V47</f>
        <v>881.99831675424036</v>
      </c>
      <c r="W56" s="2">
        <f>W12/'Output-Calculation-sheet'!W11*'Output-Calculation-sheet'!W47</f>
        <v>312.19102878019515</v>
      </c>
      <c r="X56" s="2">
        <f>X12/'Output-Calculation-sheet'!X11*'Output-Calculation-sheet'!X47</f>
        <v>8.0591068275982778</v>
      </c>
      <c r="Y56" s="2">
        <f>Y12/'Output-Calculation-sheet'!Y11*'Output-Calculation-sheet'!Y47</f>
        <v>249.14464097681756</v>
      </c>
      <c r="AA56" s="2">
        <f t="shared" si="3"/>
        <v>42.407474151249602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7.1099229088098976</v>
      </c>
      <c r="C63" s="2">
        <f>C8*'Output-Calculation-sheet'!C52/10^9</f>
        <v>3.7984864845417228</v>
      </c>
      <c r="D63" s="2">
        <f>D8*'Output-Calculation-sheet'!D52/10^9</f>
        <v>2.4381449326341955</v>
      </c>
      <c r="E63" s="2">
        <f>E8*'Output-Calculation-sheet'!E52/10^9</f>
        <v>2.424170066821647</v>
      </c>
      <c r="F63" s="2">
        <f>F8*'Output-Calculation-sheet'!F52/10^9</f>
        <v>1.0266358228938559</v>
      </c>
      <c r="G63" s="2">
        <f>G8*'Output-Calculation-sheet'!G52/10^9</f>
        <v>0.7381047772146816</v>
      </c>
      <c r="H63" s="2">
        <f>H8*'Output-Calculation-sheet'!H52/10^9</f>
        <v>1.2004565122817541</v>
      </c>
      <c r="I63" s="2">
        <f>I8*'Output-Calculation-sheet'!I52/10^9</f>
        <v>0.68660880303907179</v>
      </c>
      <c r="J63" s="2">
        <f>J8*'Output-Calculation-sheet'!J52/10^9</f>
        <v>0.94482025265269076</v>
      </c>
      <c r="K63" s="2">
        <f>K8*'Output-Calculation-sheet'!K52/10^9</f>
        <v>0.83010862620921932</v>
      </c>
      <c r="L63" s="2">
        <f>L8*'Output-Calculation-sheet'!L52/10^9</f>
        <v>1.1165360422629866</v>
      </c>
      <c r="M63" s="2">
        <f>M8*'Output-Calculation-sheet'!M52/10^9</f>
        <v>0.98345354592313783</v>
      </c>
      <c r="N63" s="2">
        <f>N8*'Output-Calculation-sheet'!N52/10^9</f>
        <v>0.86775519300090431</v>
      </c>
      <c r="O63" s="2">
        <f>O8*'Output-Calculation-sheet'!O52/10^9</f>
        <v>0.77713754374351907</v>
      </c>
      <c r="P63" s="2">
        <f>P8*'Output-Calculation-sheet'!P52/10^9</f>
        <v>0.57358266853481055</v>
      </c>
      <c r="Q63" s="2">
        <f>Q8*'Output-Calculation-sheet'!Q52/10^9</f>
        <v>0.6491274947288489</v>
      </c>
      <c r="R63" s="2">
        <f>R8*'Output-Calculation-sheet'!R52/10^9</f>
        <v>0.58278763829161606</v>
      </c>
      <c r="S63" s="2">
        <f>S8*'Output-Calculation-sheet'!S52/10^9</f>
        <v>0.43186628916549269</v>
      </c>
      <c r="T63" s="2">
        <f>T8*'Output-Calculation-sheet'!T52/10^9</f>
        <v>0.22156753498103413</v>
      </c>
      <c r="U63" s="2">
        <f>U8*'Output-Calculation-sheet'!U52/10^9</f>
        <v>0.1521702087819557</v>
      </c>
      <c r="V63" s="2">
        <f>V8*'Output-Calculation-sheet'!V52/10^9</f>
        <v>0.27006615994809879</v>
      </c>
      <c r="W63" s="2">
        <f>W8*'Output-Calculation-sheet'!W52/10^9</f>
        <v>9.775129717367248E-2</v>
      </c>
      <c r="X63" s="2">
        <f>X8*'Output-Calculation-sheet'!X52/10^9</f>
        <v>0.1007211247167475</v>
      </c>
      <c r="Y63" s="2">
        <f>Y8*'Output-Calculation-sheet'!Y52/10^9</f>
        <v>6.3780002203387143E-2</v>
      </c>
      <c r="AA63" s="2">
        <f t="shared" si="4"/>
        <v>28.085761930554941</v>
      </c>
    </row>
    <row r="64" spans="1:27" x14ac:dyDescent="0.25">
      <c r="A64" s="2">
        <v>2032</v>
      </c>
      <c r="B64" s="2">
        <f>B9*'Output-Calculation-sheet'!B53/10^9</f>
        <v>7.1513452782878018</v>
      </c>
      <c r="C64" s="2">
        <f>C9*'Output-Calculation-sheet'!C53/10^9</f>
        <v>3.7911489994029477</v>
      </c>
      <c r="D64" s="2">
        <f>D9*'Output-Calculation-sheet'!D53/10^9</f>
        <v>2.1179954108421128</v>
      </c>
      <c r="E64" s="2">
        <f>E9*'Output-Calculation-sheet'!E53/10^9</f>
        <v>2.1689204880535242</v>
      </c>
      <c r="F64" s="2">
        <f>F9*'Output-Calculation-sheet'!F53/10^9</f>
        <v>0.91483706161286016</v>
      </c>
      <c r="G64" s="2">
        <f>G9*'Output-Calculation-sheet'!G53/10^9</f>
        <v>0.65115303458309426</v>
      </c>
      <c r="H64" s="2">
        <f>H9*'Output-Calculation-sheet'!H53/10^9</f>
        <v>1.1898239878508463</v>
      </c>
      <c r="I64" s="2">
        <f>I9*'Output-Calculation-sheet'!I53/10^9</f>
        <v>0.60872166525692895</v>
      </c>
      <c r="J64" s="2">
        <f>J9*'Output-Calculation-sheet'!J53/10^9</f>
        <v>0.80582380166883361</v>
      </c>
      <c r="K64" s="2">
        <f>K9*'Output-Calculation-sheet'!K53/10^9</f>
        <v>0.74769485279117009</v>
      </c>
      <c r="L64" s="2">
        <f>L9*'Output-Calculation-sheet'!L53/10^9</f>
        <v>0.96190719330920471</v>
      </c>
      <c r="M64" s="2">
        <f>M9*'Output-Calculation-sheet'!M53/10^9</f>
        <v>0.94398617418792785</v>
      </c>
      <c r="N64" s="2">
        <f>N9*'Output-Calculation-sheet'!N53/10^9</f>
        <v>0.84989256559358362</v>
      </c>
      <c r="O64" s="2">
        <f>O9*'Output-Calculation-sheet'!O53/10^9</f>
        <v>0.76773606325829413</v>
      </c>
      <c r="P64" s="2">
        <f>P9*'Output-Calculation-sheet'!P53/10^9</f>
        <v>0.57007093175411605</v>
      </c>
      <c r="Q64" s="2">
        <f>Q9*'Output-Calculation-sheet'!Q53/10^9</f>
        <v>0.63000930125428645</v>
      </c>
      <c r="R64" s="2">
        <f>R9*'Output-Calculation-sheet'!R53/10^9</f>
        <v>0.540066749002444</v>
      </c>
      <c r="S64" s="2">
        <f>S9*'Output-Calculation-sheet'!S53/10^9</f>
        <v>0.43457660059849401</v>
      </c>
      <c r="T64" s="2">
        <f>T9*'Output-Calculation-sheet'!T53/10^9</f>
        <v>0.19413916743850529</v>
      </c>
      <c r="U64" s="2">
        <f>U9*'Output-Calculation-sheet'!U53/10^9</f>
        <v>0.14612450361419765</v>
      </c>
      <c r="V64" s="2">
        <f>V9*'Output-Calculation-sheet'!V53/10^9</f>
        <v>0.23043006365620627</v>
      </c>
      <c r="W64" s="2">
        <f>W9*'Output-Calculation-sheet'!W53/10^9</f>
        <v>8.5623510266050765E-2</v>
      </c>
      <c r="X64" s="2">
        <f>X9*'Output-Calculation-sheet'!X53/10^9</f>
        <v>9.8166129524319884E-2</v>
      </c>
      <c r="Y64" s="2">
        <f>Y9*'Output-Calculation-sheet'!Y53/10^9</f>
        <v>5.9990656810024613E-2</v>
      </c>
      <c r="AA64" s="2">
        <f t="shared" si="4"/>
        <v>26.660184190617773</v>
      </c>
    </row>
    <row r="65" spans="1:27" x14ac:dyDescent="0.25">
      <c r="A65" s="2">
        <v>2033</v>
      </c>
      <c r="B65" s="2">
        <f>B10*'Output-Calculation-sheet'!B54/10^9</f>
        <v>6.9784176753495588</v>
      </c>
      <c r="C65" s="2">
        <f>C10*'Output-Calculation-sheet'!C54/10^9</f>
        <v>3.6072691585726586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1.1328042645740808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0.66001520921839252</v>
      </c>
      <c r="L65" s="2">
        <f>L10*'Output-Calculation-sheet'!L54/10^9</f>
        <v>0.77954180295671094</v>
      </c>
      <c r="M65" s="2">
        <f>M10*'Output-Calculation-sheet'!M54/10^9</f>
        <v>0.8638353945532049</v>
      </c>
      <c r="N65" s="2">
        <f>N10*'Output-Calculation-sheet'!N54/10^9</f>
        <v>0.79267482827725266</v>
      </c>
      <c r="O65" s="2">
        <f>O10*'Output-Calculation-sheet'!O54/10^9</f>
        <v>0.72291269045809603</v>
      </c>
      <c r="P65" s="2">
        <f>P10*'Output-Calculation-sheet'!P54/10^9</f>
        <v>0.55839374589849777</v>
      </c>
      <c r="Q65" s="2">
        <f>Q10*'Output-Calculation-sheet'!Q54/10^9</f>
        <v>0.60827866984683554</v>
      </c>
      <c r="R65" s="2">
        <f>R10*'Output-Calculation-sheet'!R54/10^9</f>
        <v>0.49160472552628554</v>
      </c>
      <c r="S65" s="2">
        <f>S10*'Output-Calculation-sheet'!S54/10^9</f>
        <v>0.41813482601708635</v>
      </c>
      <c r="T65" s="2">
        <f>T10*'Output-Calculation-sheet'!T54/10^9</f>
        <v>0.16436743718272845</v>
      </c>
      <c r="U65" s="2">
        <f>U10*'Output-Calculation-sheet'!U54/10^9</f>
        <v>0.14192543542202521</v>
      </c>
      <c r="V65" s="2">
        <f>V10*'Output-Calculation-sheet'!V54/10^9</f>
        <v>0.18190142903439874</v>
      </c>
      <c r="W65" s="2">
        <f>W10*'Output-Calculation-sheet'!W54/10^9</f>
        <v>6.9254057375197575E-2</v>
      </c>
      <c r="X65" s="2">
        <f>X10*'Output-Calculation-sheet'!X54/10^9</f>
        <v>9.0573751112365639E-2</v>
      </c>
      <c r="Y65" s="2">
        <f>Y10*'Output-Calculation-sheet'!Y54/10^9</f>
        <v>5.700096770805381E-2</v>
      </c>
      <c r="AA65" s="2">
        <f t="shared" si="4"/>
        <v>24.360978356506351</v>
      </c>
    </row>
    <row r="66" spans="1:27" x14ac:dyDescent="0.25">
      <c r="A66" s="2">
        <v>2034</v>
      </c>
      <c r="B66" s="2">
        <f>B11*'Output-Calculation-sheet'!B55/10^9</f>
        <v>6.5546448434892026</v>
      </c>
      <c r="C66" s="2">
        <f>C11*'Output-Calculation-sheet'!C55/10^9</f>
        <v>3.2972356209400182</v>
      </c>
      <c r="D66" s="2">
        <f>D11*'Output-Calculation-sheet'!D55/10^9</f>
        <v>1.479275428709091</v>
      </c>
      <c r="E66" s="2">
        <f>E11*'Output-Calculation-sheet'!E55/10^9</f>
        <v>1.7912976308984081</v>
      </c>
      <c r="F66" s="2">
        <f>F11*'Output-Calculation-sheet'!F55/10^9</f>
        <v>0.68842230997975207</v>
      </c>
      <c r="G66" s="2">
        <f>G11*'Output-Calculation-sheet'!G55/10^9</f>
        <v>0.49210171041749728</v>
      </c>
      <c r="H66" s="2">
        <f>H11*'Output-Calculation-sheet'!H55/10^9</f>
        <v>1.0268279912934841</v>
      </c>
      <c r="I66" s="2">
        <f>I11*'Output-Calculation-sheet'!I55/10^9</f>
        <v>0.48118682520344608</v>
      </c>
      <c r="J66" s="2">
        <f>J11*'Output-Calculation-sheet'!J55/10^9</f>
        <v>0.49482153099549325</v>
      </c>
      <c r="K66" s="2">
        <f>K11*'Output-Calculation-sheet'!K55/10^9</f>
        <v>0.59184144013611206</v>
      </c>
      <c r="L66" s="2">
        <f>L11*'Output-Calculation-sheet'!L55/10^9</f>
        <v>0.62676961856353952</v>
      </c>
      <c r="M66" s="2">
        <f>M11*'Output-Calculation-sheet'!M55/10^9</f>
        <v>0.7484866572362644</v>
      </c>
      <c r="N66" s="2">
        <f>N11*'Output-Calculation-sheet'!N55/10^9</f>
        <v>0.70710353539323456</v>
      </c>
      <c r="O66" s="2">
        <f>O11*'Output-Calculation-sheet'!O55/10^9</f>
        <v>0.64989624124298051</v>
      </c>
      <c r="P66" s="2">
        <f>P11*'Output-Calculation-sheet'!P55/10^9</f>
        <v>0.54265708944048086</v>
      </c>
      <c r="Q66" s="2">
        <f>Q11*'Output-Calculation-sheet'!Q55/10^9</f>
        <v>0.57404294211935603</v>
      </c>
      <c r="R66" s="2">
        <f>R11*'Output-Calculation-sheet'!R55/10^9</f>
        <v>0.44338508067070731</v>
      </c>
      <c r="S66" s="2">
        <f>S11*'Output-Calculation-sheet'!S55/10^9</f>
        <v>0.38673852771372391</v>
      </c>
      <c r="T66" s="2">
        <f>T11*'Output-Calculation-sheet'!T55/10^9</f>
        <v>0.13896755098275879</v>
      </c>
      <c r="U66" s="2">
        <f>U11*'Output-Calculation-sheet'!U55/10^9</f>
        <v>0.14114981318630748</v>
      </c>
      <c r="V66" s="2">
        <f>V11*'Output-Calculation-sheet'!V55/10^9</f>
        <v>0.13183008378271702</v>
      </c>
      <c r="W66" s="2">
        <f>W11*'Output-Calculation-sheet'!W55/10^9</f>
        <v>5.9693519787593199E-2</v>
      </c>
      <c r="X66" s="2">
        <f>X11*'Output-Calculation-sheet'!X55/10^9</f>
        <v>7.996970703983837E-2</v>
      </c>
      <c r="Y66" s="2">
        <f>Y11*'Output-Calculation-sheet'!Y55/10^9</f>
        <v>5.8359650438602244E-2</v>
      </c>
      <c r="AA66" s="2">
        <f t="shared" si="4"/>
        <v>22.186705349660606</v>
      </c>
    </row>
    <row r="67" spans="1:27" x14ac:dyDescent="0.25">
      <c r="A67" s="2">
        <v>2035</v>
      </c>
      <c r="B67" s="2">
        <f>B12*'Output-Calculation-sheet'!B56/10^9</f>
        <v>6.0592355889594467</v>
      </c>
      <c r="C67" s="2">
        <f>C12*'Output-Calculation-sheet'!C56/10^9</f>
        <v>2.8439128630509085</v>
      </c>
      <c r="D67" s="2">
        <f>D12*'Output-Calculation-sheet'!D56/10^9</f>
        <v>1.3981357784207187</v>
      </c>
      <c r="E67" s="2">
        <f>E12*'Output-Calculation-sheet'!E56/10^9</f>
        <v>1.8690540971180833</v>
      </c>
      <c r="F67" s="2">
        <f>F12*'Output-Calculation-sheet'!F56/10^9</f>
        <v>0.69332618784532452</v>
      </c>
      <c r="G67" s="2">
        <f>G12*'Output-Calculation-sheet'!G56/10^9</f>
        <v>0.48568601876004636</v>
      </c>
      <c r="H67" s="2">
        <f>H12*'Output-Calculation-sheet'!H56/10^9</f>
        <v>0.89534947779986418</v>
      </c>
      <c r="I67" s="2">
        <f>I12*'Output-Calculation-sheet'!I56/10^9</f>
        <v>0.47180101042775013</v>
      </c>
      <c r="J67" s="2">
        <f>J12*'Output-Calculation-sheet'!J56/10^9</f>
        <v>0.46710233359190106</v>
      </c>
      <c r="K67" s="2">
        <f>K12*'Output-Calculation-sheet'!K56/10^9</f>
        <v>0.56286667996702722</v>
      </c>
      <c r="L67" s="2">
        <f>L12*'Output-Calculation-sheet'!L56/10^9</f>
        <v>0.56540654311000016</v>
      </c>
      <c r="M67" s="2">
        <f>M12*'Output-Calculation-sheet'!M56/10^9</f>
        <v>0.62284235682448963</v>
      </c>
      <c r="N67" s="2">
        <f>N12*'Output-Calculation-sheet'!N56/10^9</f>
        <v>0.60757103883921193</v>
      </c>
      <c r="O67" s="2">
        <f>O12*'Output-Calculation-sheet'!O56/10^9</f>
        <v>0.55282881297375197</v>
      </c>
      <c r="P67" s="2">
        <f>P12*'Output-Calculation-sheet'!P56/10^9</f>
        <v>0.52839343845964415</v>
      </c>
      <c r="Q67" s="2">
        <f>Q12*'Output-Calculation-sheet'!Q56/10^9</f>
        <v>0.53630156462654821</v>
      </c>
      <c r="R67" s="2">
        <f>R12*'Output-Calculation-sheet'!R56/10^9</f>
        <v>0.42694363069677205</v>
      </c>
      <c r="S67" s="2">
        <f>S12*'Output-Calculation-sheet'!S56/10^9</f>
        <v>0.34713944933256752</v>
      </c>
      <c r="T67" s="2">
        <f>T12*'Output-Calculation-sheet'!T56/10^9</f>
        <v>0.12939278946508556</v>
      </c>
      <c r="U67" s="2">
        <f>U12*'Output-Calculation-sheet'!U56/10^9</f>
        <v>0.13529071245009616</v>
      </c>
      <c r="V67" s="2">
        <f>V12*'Output-Calculation-sheet'!V56/10^9</f>
        <v>0.10378122283569817</v>
      </c>
      <c r="W67" s="2">
        <f>W12*'Output-Calculation-sheet'!W56/10^9</f>
        <v>6.2659854013924723E-2</v>
      </c>
      <c r="X67" s="2">
        <f>X12*'Output-Calculation-sheet'!X56/10^9</f>
        <v>6.6583041959963923E-2</v>
      </c>
      <c r="Y67" s="2">
        <f>Y12*'Output-Calculation-sheet'!Y56/10^9</f>
        <v>6.0186691255947389E-2</v>
      </c>
      <c r="AA67" s="2">
        <f t="shared" si="4"/>
        <v>20.491791182784773</v>
      </c>
    </row>
    <row r="68" spans="1:27" x14ac:dyDescent="0.25">
      <c r="B68" s="2">
        <f>SUM(B60:B67)</f>
        <v>33.853566294895906</v>
      </c>
      <c r="C68" s="2">
        <f t="shared" ref="C68:Y68" si="5">SUM(C60:C67)</f>
        <v>17.338053126508257</v>
      </c>
      <c r="D68" s="2">
        <f t="shared" si="5"/>
        <v>9.1270211960945549</v>
      </c>
      <c r="E68" s="2">
        <f t="shared" si="5"/>
        <v>10.160260239966304</v>
      </c>
      <c r="F68" s="2">
        <f t="shared" si="5"/>
        <v>4.0973560378123874</v>
      </c>
      <c r="G68" s="2">
        <f t="shared" si="5"/>
        <v>2.8985594502539835</v>
      </c>
      <c r="H68" s="2">
        <f t="shared" si="5"/>
        <v>5.4452622338000287</v>
      </c>
      <c r="I68" s="2">
        <f t="shared" si="5"/>
        <v>2.7658679257449101</v>
      </c>
      <c r="J68" s="2">
        <f t="shared" si="5"/>
        <v>3.3311544171917857</v>
      </c>
      <c r="K68" s="2">
        <f t="shared" si="5"/>
        <v>3.3925268083219211</v>
      </c>
      <c r="L68" s="2">
        <f t="shared" si="5"/>
        <v>4.0501612002024414</v>
      </c>
      <c r="M68" s="2">
        <f t="shared" si="5"/>
        <v>4.1626041287250244</v>
      </c>
      <c r="N68" s="2">
        <f t="shared" si="5"/>
        <v>3.8249971611041875</v>
      </c>
      <c r="O68" s="2">
        <f t="shared" si="5"/>
        <v>3.4705113516766417</v>
      </c>
      <c r="P68" s="2">
        <f t="shared" si="5"/>
        <v>2.7730978740875494</v>
      </c>
      <c r="Q68" s="2">
        <f t="shared" si="5"/>
        <v>2.9977599725758752</v>
      </c>
      <c r="R68" s="2">
        <f t="shared" si="5"/>
        <v>2.484787824187825</v>
      </c>
      <c r="S68" s="2">
        <f t="shared" si="5"/>
        <v>2.0184556928273643</v>
      </c>
      <c r="T68" s="2">
        <f t="shared" si="5"/>
        <v>0.84843448005011235</v>
      </c>
      <c r="U68" s="2">
        <f t="shared" si="5"/>
        <v>0.71666067345458218</v>
      </c>
      <c r="V68" s="2">
        <f t="shared" si="5"/>
        <v>0.91800895925711901</v>
      </c>
      <c r="W68" s="2">
        <f t="shared" si="5"/>
        <v>0.3749822386164387</v>
      </c>
      <c r="X68" s="2">
        <f t="shared" si="5"/>
        <v>0.43601375435323531</v>
      </c>
      <c r="Y68" s="2">
        <f t="shared" si="5"/>
        <v>0.29931796841601521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48.978920762800897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4.8978920762800894E-2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438.7258755013786</v>
      </c>
      <c r="Q76" s="2">
        <f>Q10/'Output-Calculation-sheet'!Q9*'Output-Calculation-sheet'!Q63</f>
        <v>52.115371978563324</v>
      </c>
      <c r="R76" s="2">
        <f>R10/'Output-Calculation-sheet'!R9*'Output-Calculation-sheet'!R63</f>
        <v>334.41831964907004</v>
      </c>
      <c r="S76" s="2">
        <f>S10/'Output-Calculation-sheet'!S9*'Output-Calculation-sheet'!S63</f>
        <v>0</v>
      </c>
      <c r="T76" s="2">
        <f>T10/'Output-Calculation-sheet'!T9*'Output-Calculation-sheet'!T63</f>
        <v>21.96865751141128</v>
      </c>
      <c r="U76" s="2">
        <f>U10/'Output-Calculation-sheet'!U9*'Output-Calculation-sheet'!U63</f>
        <v>118.65905777086242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5.6354659962798159</v>
      </c>
      <c r="AA76" s="2">
        <f t="shared" si="6"/>
        <v>1.0637792012152829</v>
      </c>
    </row>
    <row r="77" spans="1:27" x14ac:dyDescent="0.25">
      <c r="A77" s="2">
        <v>2034</v>
      </c>
      <c r="B77" s="2">
        <f>B11/'Output-Calculation-sheet'!B10*'Output-Calculation-sheet'!B64</f>
        <v>426.50825041731878</v>
      </c>
      <c r="C77" s="2">
        <f>C11/'Output-Calculation-sheet'!C10*'Output-Calculation-sheet'!C64</f>
        <v>0</v>
      </c>
      <c r="D77" s="2">
        <f>D11/'Output-Calculation-sheet'!D10*'Output-Calculation-sheet'!D64</f>
        <v>1434.5688152473065</v>
      </c>
      <c r="E77" s="2">
        <f>E11/'Output-Calculation-sheet'!E10*'Output-Calculation-sheet'!E64</f>
        <v>1778.8249554978765</v>
      </c>
      <c r="F77" s="2">
        <f>F11/'Output-Calculation-sheet'!F10*'Output-Calculation-sheet'!F64</f>
        <v>111.44351767688354</v>
      </c>
      <c r="G77" s="2">
        <f>G11/'Output-Calculation-sheet'!G10*'Output-Calculation-sheet'!G64</f>
        <v>718.69835343702493</v>
      </c>
      <c r="H77" s="2">
        <f>H11/'Output-Calculation-sheet'!H10*'Output-Calculation-sheet'!H64</f>
        <v>117.61813551137401</v>
      </c>
      <c r="I77" s="2">
        <f>I11/'Output-Calculation-sheet'!I10*'Output-Calculation-sheet'!I64</f>
        <v>444.68622183697585</v>
      </c>
      <c r="J77" s="2">
        <f>J11/'Output-Calculation-sheet'!J10*'Output-Calculation-sheet'!J64</f>
        <v>312.50675080863124</v>
      </c>
      <c r="K77" s="2">
        <f>K11/'Output-Calculation-sheet'!K10*'Output-Calculation-sheet'!K64</f>
        <v>681.8026461933016</v>
      </c>
      <c r="L77" s="2">
        <f>L11/'Output-Calculation-sheet'!L10*'Output-Calculation-sheet'!L64</f>
        <v>281.91885115044056</v>
      </c>
      <c r="M77" s="2">
        <f>M11/'Output-Calculation-sheet'!M10*'Output-Calculation-sheet'!M64</f>
        <v>84.710390117550276</v>
      </c>
      <c r="N77" s="2">
        <f>N11/'Output-Calculation-sheet'!N10*'Output-Calculation-sheet'!N64</f>
        <v>28.016112433487251</v>
      </c>
      <c r="O77" s="2">
        <f>O11/'Output-Calculation-sheet'!O10*'Output-Calculation-sheet'!O64</f>
        <v>0</v>
      </c>
      <c r="P77" s="2">
        <f>P11/'Output-Calculation-sheet'!P10*'Output-Calculation-sheet'!P64</f>
        <v>576.87553805895891</v>
      </c>
      <c r="Q77" s="2">
        <f>Q11/'Output-Calculation-sheet'!Q10*'Output-Calculation-sheet'!Q64</f>
        <v>139.14345759131888</v>
      </c>
      <c r="R77" s="2">
        <f>R11/'Output-Calculation-sheet'!R10*'Output-Calculation-sheet'!R64</f>
        <v>717.2805829571173</v>
      </c>
      <c r="S77" s="2">
        <f>S11/'Output-Calculation-sheet'!S10*'Output-Calculation-sheet'!S64</f>
        <v>0</v>
      </c>
      <c r="T77" s="2">
        <f>T11/'Output-Calculation-sheet'!T10*'Output-Calculation-sheet'!T64</f>
        <v>198.88501062501993</v>
      </c>
      <c r="U77" s="2">
        <f>U11/'Output-Calculation-sheet'!U10*'Output-Calculation-sheet'!U64</f>
        <v>218.1333185441726</v>
      </c>
      <c r="V77" s="2">
        <f>V11/'Output-Calculation-sheet'!V10*'Output-Calculation-sheet'!V64</f>
        <v>102.78760449979205</v>
      </c>
      <c r="W77" s="2">
        <f>W11/'Output-Calculation-sheet'!W10*'Output-Calculation-sheet'!W64</f>
        <v>22.553438784457253</v>
      </c>
      <c r="X77" s="2">
        <f>X11/'Output-Calculation-sheet'!X10*'Output-Calculation-sheet'!X64</f>
        <v>8.4446962346719783</v>
      </c>
      <c r="Y77" s="2">
        <f>Y11/'Output-Calculation-sheet'!Y10*'Output-Calculation-sheet'!Y64</f>
        <v>47.598716097796938</v>
      </c>
      <c r="AA77" s="2">
        <f t="shared" si="6"/>
        <v>8.453005363721477</v>
      </c>
    </row>
    <row r="78" spans="1:27" x14ac:dyDescent="0.25">
      <c r="A78" s="2">
        <v>2035</v>
      </c>
      <c r="B78" s="2">
        <f>B12/'Output-Calculation-sheet'!B11*'Output-Calculation-sheet'!B65</f>
        <v>466.18420044455752</v>
      </c>
      <c r="C78" s="2">
        <f>C12/'Output-Calculation-sheet'!C11*'Output-Calculation-sheet'!C65</f>
        <v>47.657771201234965</v>
      </c>
      <c r="D78" s="2">
        <f>D12/'Output-Calculation-sheet'!D11*'Output-Calculation-sheet'!D65</f>
        <v>1481.8047222162716</v>
      </c>
      <c r="E78" s="2">
        <f>E12/'Output-Calculation-sheet'!E11*'Output-Calculation-sheet'!E65</f>
        <v>1383.5310600903567</v>
      </c>
      <c r="F78" s="2">
        <f>F12/'Output-Calculation-sheet'!F11*'Output-Calculation-sheet'!F65</f>
        <v>327.3003644243538</v>
      </c>
      <c r="G78" s="2">
        <f>G12/'Output-Calculation-sheet'!G11*'Output-Calculation-sheet'!G65</f>
        <v>647.97401320707968</v>
      </c>
      <c r="H78" s="2">
        <f>H12/'Output-Calculation-sheet'!H11*'Output-Calculation-sheet'!H65</f>
        <v>18.725035231750734</v>
      </c>
      <c r="I78" s="2">
        <f>I12/'Output-Calculation-sheet'!I11*'Output-Calculation-sheet'!I65</f>
        <v>429.723069400768</v>
      </c>
      <c r="J78" s="2">
        <f>J12/'Output-Calculation-sheet'!J11*'Output-Calculation-sheet'!J65</f>
        <v>627.01973309582434</v>
      </c>
      <c r="K78" s="2">
        <f>K12/'Output-Calculation-sheet'!K11*'Output-Calculation-sheet'!K65</f>
        <v>782.73047238586366</v>
      </c>
      <c r="L78" s="2">
        <f>L12/'Output-Calculation-sheet'!L11*'Output-Calculation-sheet'!L65</f>
        <v>660.37707892925471</v>
      </c>
      <c r="M78" s="2">
        <f>M12/'Output-Calculation-sheet'!M11*'Output-Calculation-sheet'!M65</f>
        <v>15.652062586366819</v>
      </c>
      <c r="N78" s="2">
        <f>N12/'Output-Calculation-sheet'!N11*'Output-Calculation-sheet'!N65</f>
        <v>12.705140771323716</v>
      </c>
      <c r="O78" s="2">
        <f>O12/'Output-Calculation-sheet'!O11*'Output-Calculation-sheet'!O65</f>
        <v>8.6608951813805817</v>
      </c>
      <c r="P78" s="2">
        <f>P12/'Output-Calculation-sheet'!P11*'Output-Calculation-sheet'!P65</f>
        <v>362.31407658345785</v>
      </c>
      <c r="Q78" s="2">
        <f>Q12/'Output-Calculation-sheet'!Q11*'Output-Calculation-sheet'!Q65</f>
        <v>137.14470849961359</v>
      </c>
      <c r="R78" s="2">
        <f>R12/'Output-Calculation-sheet'!R11*'Output-Calculation-sheet'!R65</f>
        <v>831.14290441675382</v>
      </c>
      <c r="S78" s="2">
        <f>S12/'Output-Calculation-sheet'!S11*'Output-Calculation-sheet'!S65</f>
        <v>4.9442962376718009</v>
      </c>
      <c r="T78" s="2">
        <f>T12/'Output-Calculation-sheet'!T11*'Output-Calculation-sheet'!T65</f>
        <v>286.298516586603</v>
      </c>
      <c r="U78" s="2">
        <f>U12/'Output-Calculation-sheet'!U11*'Output-Calculation-sheet'!U65</f>
        <v>196.16342959649833</v>
      </c>
      <c r="V78" s="2">
        <f>V12/'Output-Calculation-sheet'!V11*'Output-Calculation-sheet'!V65</f>
        <v>161.72025976926116</v>
      </c>
      <c r="W78" s="2">
        <f>W12/'Output-Calculation-sheet'!W11*'Output-Calculation-sheet'!W65</f>
        <v>76.471739507859795</v>
      </c>
      <c r="X78" s="2">
        <f>X12/'Output-Calculation-sheet'!X11*'Output-Calculation-sheet'!X65</f>
        <v>1.6768630982694488</v>
      </c>
      <c r="Y78" s="2">
        <f>Y12/'Output-Calculation-sheet'!Y11*'Output-Calculation-sheet'!Y65</f>
        <v>43.094154200365125</v>
      </c>
      <c r="AA78" s="2">
        <f t="shared" si="6"/>
        <v>9.0110165676627396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1.4168020719560961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1.0379059415638896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2.4547080135199858E-3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21.686586871928437</v>
      </c>
      <c r="E89" s="2">
        <f>E12/'Output-Calculation-sheet'!E11*'Output-Calculation-sheet'!E74</f>
        <v>48.832704630040936</v>
      </c>
      <c r="F89" s="2">
        <f>F12/'Output-Calculation-sheet'!F11*'Output-Calculation-sheet'!F74</f>
        <v>21.679349405481354</v>
      </c>
      <c r="G89" s="2">
        <f>G12/'Output-Calculation-sheet'!G11*'Output-Calculation-sheet'!G74</f>
        <v>15.55893796081887</v>
      </c>
      <c r="H89" s="2">
        <f>H12/'Output-Calculation-sheet'!H11*'Output-Calculation-sheet'!H74</f>
        <v>2.5120787807553979</v>
      </c>
      <c r="I89" s="2">
        <f>I12/'Output-Calculation-sheet'!I11*'Output-Calculation-sheet'!I74</f>
        <v>13.994303233815351</v>
      </c>
      <c r="J89" s="2">
        <f>J12/'Output-Calculation-sheet'!J11*'Output-Calculation-sheet'!J74</f>
        <v>6.9248622683731238</v>
      </c>
      <c r="K89" s="2">
        <f>K12/'Output-Calculation-sheet'!K11*'Output-Calculation-sheet'!K74</f>
        <v>10.315629381438905</v>
      </c>
      <c r="L89" s="2">
        <f>L12/'Output-Calculation-sheet'!L11*'Output-Calculation-sheet'!L74</f>
        <v>5.4683424009643193</v>
      </c>
      <c r="M89" s="2">
        <f>M12/'Output-Calculation-sheet'!M11*'Output-Calculation-sheet'!M74</f>
        <v>1.7285546754684504</v>
      </c>
      <c r="N89" s="2">
        <f>N12/'Output-Calculation-sheet'!N11*'Output-Calculation-sheet'!N74</f>
        <v>0.8494444588703427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16.479486958556759</v>
      </c>
      <c r="Q89" s="2">
        <f>Q12/'Output-Calculation-sheet'!Q11*'Output-Calculation-sheet'!Q74</f>
        <v>3.7212170056441378</v>
      </c>
      <c r="R89" s="2">
        <f>R12/'Output-Calculation-sheet'!R11*'Output-Calculation-sheet'!R74</f>
        <v>8.8566912403816325</v>
      </c>
      <c r="S89" s="2">
        <f>S12/'Output-Calculation-sheet'!S11*'Output-Calculation-sheet'!S74</f>
        <v>0.97386177618117009</v>
      </c>
      <c r="T89" s="2">
        <f>T12/'Output-Calculation-sheet'!T11*'Output-Calculation-sheet'!T74</f>
        <v>1.9113745698466686</v>
      </c>
      <c r="U89" s="2">
        <f>U12/'Output-Calculation-sheet'!U11*'Output-Calculation-sheet'!U74</f>
        <v>4.7491678835510234</v>
      </c>
      <c r="V89" s="2">
        <f>V12/'Output-Calculation-sheet'!V11*'Output-Calculation-sheet'!V74</f>
        <v>0.36620233205490571</v>
      </c>
      <c r="W89" s="2">
        <f>W12/'Output-Calculation-sheet'!W11*'Output-Calculation-sheet'!W74</f>
        <v>2.2197432213929567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2.2874094838121333</v>
      </c>
      <c r="AA89" s="2">
        <f t="shared" si="7"/>
        <v>0.21327754075937927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8116201202.9941559</v>
      </c>
      <c r="C96" s="2">
        <f>C8/'Output-Calculation-sheet'!C7*'Output-Calculation-sheet'!C79</f>
        <v>1959929830.6239347</v>
      </c>
      <c r="D96" s="2">
        <f>D8/'Output-Calculation-sheet'!D7*'Output-Calculation-sheet'!D79</f>
        <v>1591163565.0260761</v>
      </c>
      <c r="E96" s="2">
        <f>E8/'Output-Calculation-sheet'!E7*'Output-Calculation-sheet'!E79</f>
        <v>5961519463.9223785</v>
      </c>
      <c r="F96" s="2">
        <f>F8/'Output-Calculation-sheet'!F7*'Output-Calculation-sheet'!F79</f>
        <v>1739065832.2365479</v>
      </c>
      <c r="G96" s="2">
        <f>G8/'Output-Calculation-sheet'!G7*'Output-Calculation-sheet'!G79</f>
        <v>1116232393.9512284</v>
      </c>
      <c r="H96" s="2">
        <f>H8/'Output-Calculation-sheet'!H7*'Output-Calculation-sheet'!H79</f>
        <v>1375161306.2688196</v>
      </c>
      <c r="I96" s="2">
        <f>I8/'Output-Calculation-sheet'!I7*'Output-Calculation-sheet'!I79</f>
        <v>802677784.34440982</v>
      </c>
      <c r="J96" s="2">
        <f>J8/'Output-Calculation-sheet'!J7*'Output-Calculation-sheet'!J79</f>
        <v>608270695.91816425</v>
      </c>
      <c r="K96" s="2">
        <f>K8/'Output-Calculation-sheet'!K7*'Output-Calculation-sheet'!K79</f>
        <v>762851277.74076164</v>
      </c>
      <c r="L96" s="2">
        <f>L8/'Output-Calculation-sheet'!L7*'Output-Calculation-sheet'!L79</f>
        <v>692538850.02463126</v>
      </c>
      <c r="M96" s="2">
        <f>M8/'Output-Calculation-sheet'!M7*'Output-Calculation-sheet'!M79</f>
        <v>1061067189.8224043</v>
      </c>
      <c r="N96" s="2">
        <f>N8/'Output-Calculation-sheet'!N7*'Output-Calculation-sheet'!N79</f>
        <v>689764442.30301356</v>
      </c>
      <c r="O96" s="2">
        <f>O8/'Output-Calculation-sheet'!O7*'Output-Calculation-sheet'!O79</f>
        <v>258814121.48331264</v>
      </c>
      <c r="P96" s="2">
        <f>P8/'Output-Calculation-sheet'!P7*'Output-Calculation-sheet'!P79</f>
        <v>1313669178.3419476</v>
      </c>
      <c r="Q96" s="2">
        <f>Q8/'Output-Calculation-sheet'!Q7*'Output-Calculation-sheet'!Q79</f>
        <v>557741007.62778926</v>
      </c>
      <c r="R96" s="2">
        <f>R8/'Output-Calculation-sheet'!R7*'Output-Calculation-sheet'!R79</f>
        <v>740280007.68526268</v>
      </c>
      <c r="S96" s="2">
        <f>S8/'Output-Calculation-sheet'!S7*'Output-Calculation-sheet'!S79</f>
        <v>417487900.52488881</v>
      </c>
      <c r="T96" s="2">
        <f>T8/'Output-Calculation-sheet'!T7*'Output-Calculation-sheet'!T79</f>
        <v>251861698.83444473</v>
      </c>
      <c r="U96" s="2">
        <f>U8/'Output-Calculation-sheet'!U7*'Output-Calculation-sheet'!U79</f>
        <v>198246749.80519736</v>
      </c>
      <c r="V96" s="2">
        <f>V8/'Output-Calculation-sheet'!V7*'Output-Calculation-sheet'!V79</f>
        <v>90988355.628358752</v>
      </c>
      <c r="W96" s="2">
        <f>W8/'Output-Calculation-sheet'!W7*'Output-Calculation-sheet'!W79</f>
        <v>280144922.76339108</v>
      </c>
      <c r="X96" s="2">
        <f>X8/'Output-Calculation-sheet'!X7*'Output-Calculation-sheet'!X79</f>
        <v>126350877.05916832</v>
      </c>
      <c r="Y96" s="2">
        <f>Y8/'Output-Calculation-sheet'!Y7*'Output-Calculation-sheet'!Y79</f>
        <v>173882052.24570811</v>
      </c>
      <c r="AA96" s="2">
        <f t="shared" si="8"/>
        <v>30.885910707175992</v>
      </c>
    </row>
    <row r="97" spans="1:27" x14ac:dyDescent="0.25">
      <c r="A97" s="2">
        <v>2032</v>
      </c>
      <c r="B97" s="2">
        <f>B9/'Output-Calculation-sheet'!B8*'Output-Calculation-sheet'!B80</f>
        <v>9813988991.6213303</v>
      </c>
      <c r="C97" s="2">
        <f>C9/'Output-Calculation-sheet'!C8*'Output-Calculation-sheet'!C80</f>
        <v>2317890597.1558876</v>
      </c>
      <c r="D97" s="2">
        <f>D9/'Output-Calculation-sheet'!D8*'Output-Calculation-sheet'!D80</f>
        <v>1770608964.3321941</v>
      </c>
      <c r="E97" s="2">
        <f>E9/'Output-Calculation-sheet'!E8*'Output-Calculation-sheet'!E80</f>
        <v>7454012381.4849167</v>
      </c>
      <c r="F97" s="2">
        <f>F9/'Output-Calculation-sheet'!F8*'Output-Calculation-sheet'!F80</f>
        <v>2044146046.0688531</v>
      </c>
      <c r="G97" s="2">
        <f>G9/'Output-Calculation-sheet'!G8*'Output-Calculation-sheet'!G80</f>
        <v>1252543757.706892</v>
      </c>
      <c r="H97" s="2">
        <f>H9/'Output-Calculation-sheet'!H8*'Output-Calculation-sheet'!H80</f>
        <v>1640029236.5870187</v>
      </c>
      <c r="I97" s="2">
        <f>I9/'Output-Calculation-sheet'!I8*'Output-Calculation-sheet'!I80</f>
        <v>944653307.3564862</v>
      </c>
      <c r="J97" s="2">
        <f>J9/'Output-Calculation-sheet'!J8*'Output-Calculation-sheet'!J80</f>
        <v>705916474.58239686</v>
      </c>
      <c r="K97" s="2">
        <f>K9/'Output-Calculation-sheet'!K8*'Output-Calculation-sheet'!K80</f>
        <v>870634740.56848359</v>
      </c>
      <c r="L97" s="2">
        <f>L9/'Output-Calculation-sheet'!L8*'Output-Calculation-sheet'!L80</f>
        <v>839787636.82105374</v>
      </c>
      <c r="M97" s="2">
        <f>M9/'Output-Calculation-sheet'!M8*'Output-Calculation-sheet'!M80</f>
        <v>1293871976.5862768</v>
      </c>
      <c r="N97" s="2">
        <f>N9/'Output-Calculation-sheet'!N8*'Output-Calculation-sheet'!N80</f>
        <v>812946211.78089285</v>
      </c>
      <c r="O97" s="2">
        <f>O9/'Output-Calculation-sheet'!O8*'Output-Calculation-sheet'!O80</f>
        <v>302186305.72982001</v>
      </c>
      <c r="P97" s="2">
        <f>P9/'Output-Calculation-sheet'!P8*'Output-Calculation-sheet'!P80</f>
        <v>1524077620.1989937</v>
      </c>
      <c r="Q97" s="2">
        <f>Q9/'Output-Calculation-sheet'!Q8*'Output-Calculation-sheet'!Q80</f>
        <v>659216435.49968839</v>
      </c>
      <c r="R97" s="2">
        <f>R9/'Output-Calculation-sheet'!R8*'Output-Calculation-sheet'!R80</f>
        <v>883354964.36882961</v>
      </c>
      <c r="S97" s="2">
        <f>S9/'Output-Calculation-sheet'!S8*'Output-Calculation-sheet'!S80</f>
        <v>491641300.60865211</v>
      </c>
      <c r="T97" s="2">
        <f>T9/'Output-Calculation-sheet'!T8*'Output-Calculation-sheet'!T80</f>
        <v>286672701.72775352</v>
      </c>
      <c r="U97" s="2">
        <f>U9/'Output-Calculation-sheet'!U8*'Output-Calculation-sheet'!U80</f>
        <v>228112069.17586732</v>
      </c>
      <c r="V97" s="2">
        <f>V9/'Output-Calculation-sheet'!V8*'Output-Calculation-sheet'!V80</f>
        <v>105218505.83939697</v>
      </c>
      <c r="W97" s="2">
        <f>W9/'Output-Calculation-sheet'!W8*'Output-Calculation-sheet'!W80</f>
        <v>325597617.16845727</v>
      </c>
      <c r="X97" s="2">
        <f>X9/'Output-Calculation-sheet'!X8*'Output-Calculation-sheet'!X80</f>
        <v>157696795.52444869</v>
      </c>
      <c r="Y97" s="2">
        <f>Y9/'Output-Calculation-sheet'!Y8*'Output-Calculation-sheet'!Y80</f>
        <v>207009611.9513284</v>
      </c>
      <c r="AA97" s="2">
        <f t="shared" si="8"/>
        <v>36.931814250445917</v>
      </c>
    </row>
    <row r="98" spans="1:27" x14ac:dyDescent="0.25">
      <c r="A98" s="2">
        <v>2033</v>
      </c>
      <c r="B98" s="2">
        <f>B10/'Output-Calculation-sheet'!B9*'Output-Calculation-sheet'!B81</f>
        <v>10816295787.130049</v>
      </c>
      <c r="C98" s="2">
        <f>C10/'Output-Calculation-sheet'!C9*'Output-Calculation-sheet'!C81</f>
        <v>2504633646.0219646</v>
      </c>
      <c r="D98" s="2">
        <f>D10/'Output-Calculation-sheet'!D9*'Output-Calculation-sheet'!D81</f>
        <v>1801817258.2017014</v>
      </c>
      <c r="E98" s="2">
        <f>E10/'Output-Calculation-sheet'!E9*'Output-Calculation-sheet'!E81</f>
        <v>8505273066.3200064</v>
      </c>
      <c r="F98" s="2">
        <f>F10/'Output-Calculation-sheet'!F9*'Output-Calculation-sheet'!F81</f>
        <v>2191389201.3093705</v>
      </c>
      <c r="G98" s="2">
        <f>G10/'Output-Calculation-sheet'!G9*'Output-Calculation-sheet'!G81</f>
        <v>1280256971.1722109</v>
      </c>
      <c r="H98" s="2">
        <f>H10/'Output-Calculation-sheet'!H9*'Output-Calculation-sheet'!H81</f>
        <v>1782316051.4961812</v>
      </c>
      <c r="I98" s="2">
        <f>I10/'Output-Calculation-sheet'!I9*'Output-Calculation-sheet'!I81</f>
        <v>1015725928.8714201</v>
      </c>
      <c r="J98" s="2">
        <f>J10/'Output-Calculation-sheet'!J9*'Output-Calculation-sheet'!J81</f>
        <v>749292341.7170943</v>
      </c>
      <c r="K98" s="2">
        <f>K10/'Output-Calculation-sheet'!K9*'Output-Calculation-sheet'!K81</f>
        <v>907356379.04803407</v>
      </c>
      <c r="L98" s="2">
        <f>L10/'Output-Calculation-sheet'!L9*'Output-Calculation-sheet'!L81</f>
        <v>929951540.9945612</v>
      </c>
      <c r="M98" s="2">
        <f>M10/'Output-Calculation-sheet'!M9*'Output-Calculation-sheet'!M81</f>
        <v>1441095637.3699615</v>
      </c>
      <c r="N98" s="2">
        <f>N10/'Output-Calculation-sheet'!N9*'Output-Calculation-sheet'!N81</f>
        <v>875774419.8435868</v>
      </c>
      <c r="O98" s="2">
        <f>O10/'Output-Calculation-sheet'!O9*'Output-Calculation-sheet'!O81</f>
        <v>323011460.84718931</v>
      </c>
      <c r="P98" s="2">
        <f>P10/'Output-Calculation-sheet'!P9*'Output-Calculation-sheet'!P81</f>
        <v>1602473758.4811096</v>
      </c>
      <c r="Q98" s="2">
        <f>Q10/'Output-Calculation-sheet'!Q9*'Output-Calculation-sheet'!Q81</f>
        <v>712030983.66560352</v>
      </c>
      <c r="R98" s="2">
        <f>R10/'Output-Calculation-sheet'!R9*'Output-Calculation-sheet'!R81</f>
        <v>961083399.51511776</v>
      </c>
      <c r="S98" s="2">
        <f>S10/'Output-Calculation-sheet'!S9*'Output-Calculation-sheet'!S81</f>
        <v>527825810.45802653</v>
      </c>
      <c r="T98" s="2">
        <f>T10/'Output-Calculation-sheet'!T9*'Output-Calculation-sheet'!T81</f>
        <v>297383991.51027894</v>
      </c>
      <c r="U98" s="2">
        <f>U10/'Output-Calculation-sheet'!U9*'Output-Calculation-sheet'!U81</f>
        <v>238957141.19192293</v>
      </c>
      <c r="V98" s="2">
        <f>V10/'Output-Calculation-sheet'!V9*'Output-Calculation-sheet'!V81</f>
        <v>110982702.60563707</v>
      </c>
      <c r="W98" s="2">
        <f>W10/'Output-Calculation-sheet'!W9*'Output-Calculation-sheet'!W81</f>
        <v>343214480.0488534</v>
      </c>
      <c r="X98" s="2">
        <f>X10/'Output-Calculation-sheet'!X9*'Output-Calculation-sheet'!X81</f>
        <v>179924739.75167203</v>
      </c>
      <c r="Y98" s="2">
        <f>Y10/'Output-Calculation-sheet'!Y9*'Output-Calculation-sheet'!Y81</f>
        <v>224002392.73370355</v>
      </c>
      <c r="AA98" s="2">
        <f t="shared" si="8"/>
        <v>40.322069090305263</v>
      </c>
    </row>
    <row r="99" spans="1:27" x14ac:dyDescent="0.25">
      <c r="A99" s="2">
        <v>2034</v>
      </c>
      <c r="B99" s="2">
        <f>B11/'Output-Calculation-sheet'!B10*'Output-Calculation-sheet'!B82</f>
        <v>11013019444.132195</v>
      </c>
      <c r="C99" s="2">
        <f>C11/'Output-Calculation-sheet'!C10*'Output-Calculation-sheet'!C82</f>
        <v>2506929418.3621888</v>
      </c>
      <c r="D99" s="2">
        <f>D11/'Output-Calculation-sheet'!D10*'Output-Calculation-sheet'!D82</f>
        <v>1700515466.0716944</v>
      </c>
      <c r="E99" s="2">
        <f>E11/'Output-Calculation-sheet'!E10*'Output-Calculation-sheet'!E82</f>
        <v>8975038383.5715485</v>
      </c>
      <c r="F99" s="2">
        <f>F11/'Output-Calculation-sheet'!F10*'Output-Calculation-sheet'!F82</f>
        <v>2172463572.0138702</v>
      </c>
      <c r="G99" s="2">
        <f>G11/'Output-Calculation-sheet'!G10*'Output-Calculation-sheet'!G82</f>
        <v>1209109230.8624578</v>
      </c>
      <c r="H99" s="2">
        <f>H11/'Output-Calculation-sheet'!H10*'Output-Calculation-sheet'!H82</f>
        <v>1789169262.1582913</v>
      </c>
      <c r="I99" s="2">
        <f>I11/'Output-Calculation-sheet'!I10*'Output-Calculation-sheet'!I82</f>
        <v>1011694478.3017365</v>
      </c>
      <c r="J99" s="2">
        <f>J11/'Output-Calculation-sheet'!J10*'Output-Calculation-sheet'!J82</f>
        <v>737518227.22053134</v>
      </c>
      <c r="K99" s="2">
        <f>K11/'Output-Calculation-sheet'!K10*'Output-Calculation-sheet'!K82</f>
        <v>875696782.58013582</v>
      </c>
      <c r="L99" s="2">
        <f>L11/'Output-Calculation-sheet'!L10*'Output-Calculation-sheet'!L82</f>
        <v>953274316.35054541</v>
      </c>
      <c r="M99" s="2">
        <f>M11/'Output-Calculation-sheet'!M10*'Output-Calculation-sheet'!M82</f>
        <v>1486013999.1686606</v>
      </c>
      <c r="N99" s="2">
        <f>N11/'Output-Calculation-sheet'!N10*'Output-Calculation-sheet'!N82</f>
        <v>874326498.95643306</v>
      </c>
      <c r="O99" s="2">
        <f>O11/'Output-Calculation-sheet'!O10*'Output-Calculation-sheet'!O82</f>
        <v>320438643.80720747</v>
      </c>
      <c r="P99" s="2">
        <f>P11/'Output-Calculation-sheet'!P10*'Output-Calculation-sheet'!P82</f>
        <v>1548889467.9017339</v>
      </c>
      <c r="Q99" s="2">
        <f>Q11/'Output-Calculation-sheet'!Q10*'Output-Calculation-sheet'!Q82</f>
        <v>712470861.27435052</v>
      </c>
      <c r="R99" s="2">
        <f>R11/'Output-Calculation-sheet'!R10*'Output-Calculation-sheet'!R82</f>
        <v>966449899.65897691</v>
      </c>
      <c r="S99" s="2">
        <f>S11/'Output-Calculation-sheet'!S10*'Output-Calculation-sheet'!S82</f>
        <v>523733458.84457105</v>
      </c>
      <c r="T99" s="2">
        <f>T11/'Output-Calculation-sheet'!T10*'Output-Calculation-sheet'!T82</f>
        <v>285193592.82297647</v>
      </c>
      <c r="U99" s="2">
        <f>U11/'Output-Calculation-sheet'!U10*'Output-Calculation-sheet'!U82</f>
        <v>231131040.59802571</v>
      </c>
      <c r="V99" s="2">
        <f>V11/'Output-Calculation-sheet'!V10*'Output-Calculation-sheet'!V82</f>
        <v>108266568.87173927</v>
      </c>
      <c r="W99" s="2">
        <f>W11/'Output-Calculation-sheet'!W10*'Output-Calculation-sheet'!W82</f>
        <v>332811311.57949048</v>
      </c>
      <c r="X99" s="2">
        <f>X11/'Output-Calculation-sheet'!X10*'Output-Calculation-sheet'!X82</f>
        <v>190214583.68124351</v>
      </c>
      <c r="Y99" s="2">
        <f>Y11/'Output-Calculation-sheet'!Y10*'Output-Calculation-sheet'!Y82</f>
        <v>223383660.77797148</v>
      </c>
      <c r="AA99" s="2">
        <f t="shared" si="8"/>
        <v>40.747752169568571</v>
      </c>
    </row>
    <row r="100" spans="1:27" x14ac:dyDescent="0.25">
      <c r="A100" s="2">
        <v>2035</v>
      </c>
      <c r="B100" s="2">
        <f>B12/'Output-Calculation-sheet'!B11*'Output-Calculation-sheet'!B83</f>
        <v>10396594562.377085</v>
      </c>
      <c r="C100" s="2">
        <f>C12/'Output-Calculation-sheet'!C11*'Output-Calculation-sheet'!C83</f>
        <v>2333030289.2022233</v>
      </c>
      <c r="D100" s="2">
        <f>D12/'Output-Calculation-sheet'!D11*'Output-Calculation-sheet'!D83</f>
        <v>1494493182.7519224</v>
      </c>
      <c r="E100" s="2">
        <f>E12/'Output-Calculation-sheet'!E11*'Output-Calculation-sheet'!E83</f>
        <v>8788479302.5092087</v>
      </c>
      <c r="F100" s="2">
        <f>F12/'Output-Calculation-sheet'!F11*'Output-Calculation-sheet'!F83</f>
        <v>1999484589.0550947</v>
      </c>
      <c r="G100" s="2">
        <f>G12/'Output-Calculation-sheet'!G11*'Output-Calculation-sheet'!G83</f>
        <v>1059663381.9925306</v>
      </c>
      <c r="H100" s="2">
        <f>H12/'Output-Calculation-sheet'!H11*'Output-Calculation-sheet'!H83</f>
        <v>1665161564.7690847</v>
      </c>
      <c r="I100" s="2">
        <f>I12/'Output-Calculation-sheet'!I11*'Output-Calculation-sheet'!I83</f>
        <v>937066941.11821628</v>
      </c>
      <c r="J100" s="2">
        <f>J12/'Output-Calculation-sheet'!J11*'Output-Calculation-sheet'!J83</f>
        <v>675735908.32508695</v>
      </c>
      <c r="K100" s="2">
        <f>K12/'Output-Calculation-sheet'!K11*'Output-Calculation-sheet'!K83</f>
        <v>785817711.02351987</v>
      </c>
      <c r="L100" s="2">
        <f>L12/'Output-Calculation-sheet'!L11*'Output-Calculation-sheet'!L83</f>
        <v>907893942.0295434</v>
      </c>
      <c r="M100" s="2">
        <f>M12/'Output-Calculation-sheet'!M11*'Output-Calculation-sheet'!M83</f>
        <v>1423788014.9725816</v>
      </c>
      <c r="N100" s="2">
        <f>N12/'Output-Calculation-sheet'!N11*'Output-Calculation-sheet'!N83</f>
        <v>812019210.17920375</v>
      </c>
      <c r="O100" s="2">
        <f>O12/'Output-Calculation-sheet'!O11*'Output-Calculation-sheet'!O83</f>
        <v>296117876.9920783</v>
      </c>
      <c r="P100" s="2">
        <f>P12/'Output-Calculation-sheet'!P11*'Output-Calculation-sheet'!P83</f>
        <v>1382441403.5665743</v>
      </c>
      <c r="Q100" s="2">
        <f>Q12/'Output-Calculation-sheet'!Q11*'Output-Calculation-sheet'!Q83</f>
        <v>662880554.21156085</v>
      </c>
      <c r="R100" s="2">
        <f>R12/'Output-Calculation-sheet'!R11*'Output-Calculation-sheet'!R83</f>
        <v>901566884.81464827</v>
      </c>
      <c r="S100" s="2">
        <f>S12/'Output-Calculation-sheet'!S11*'Output-Calculation-sheet'!S83</f>
        <v>482111392.23953086</v>
      </c>
      <c r="T100" s="2">
        <f>T12/'Output-Calculation-sheet'!T11*'Output-Calculation-sheet'!T83</f>
        <v>253928541.78036875</v>
      </c>
      <c r="U100" s="2">
        <f>U12/'Output-Calculation-sheet'!U11*'Output-Calculation-sheet'!U83</f>
        <v>207296737.64503106</v>
      </c>
      <c r="V100" s="2">
        <f>V12/'Output-Calculation-sheet'!V11*'Output-Calculation-sheet'!V83</f>
        <v>98065414.051566213</v>
      </c>
      <c r="W100" s="2">
        <f>W12/'Output-Calculation-sheet'!W11*'Output-Calculation-sheet'!W83</f>
        <v>298187144.45568871</v>
      </c>
      <c r="X100" s="2">
        <f>X12/'Output-Calculation-sheet'!X11*'Output-Calculation-sheet'!X83</f>
        <v>186996119.41191337</v>
      </c>
      <c r="Y100" s="2">
        <f>Y12/'Output-Calculation-sheet'!Y11*'Output-Calculation-sheet'!Y83</f>
        <v>206126611.7640737</v>
      </c>
      <c r="AA100" s="2">
        <f t="shared" si="8"/>
        <v>38.254947281238351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1680.3778130304868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517.27240770157755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355.93375720267528</v>
      </c>
      <c r="N107" s="2">
        <f>N8/'Output-Calculation-sheet'!N7*'Output-Calculation-sheet'!N88</f>
        <v>139.93006391829709</v>
      </c>
      <c r="O107" s="2">
        <f>O8/'Output-Calculation-sheet'!O7*'Output-Calculation-sheet'!O88</f>
        <v>391.74087221090809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39.04667344757128</v>
      </c>
      <c r="Y107" s="2">
        <f>Y8/'Output-Calculation-sheet'!Y7*'Output-Calculation-sheet'!Y88</f>
        <v>0</v>
      </c>
      <c r="AA107" s="2">
        <f t="shared" si="9"/>
        <v>3.1243015875115163</v>
      </c>
    </row>
    <row r="108" spans="1:27" x14ac:dyDescent="0.25">
      <c r="A108" s="2">
        <v>2032</v>
      </c>
      <c r="B108" s="2">
        <f>B9/'Output-Calculation-sheet'!B8*'Output-Calculation-sheet'!B89</f>
        <v>746.97489483007212</v>
      </c>
      <c r="C108" s="2">
        <f>C9/'Output-Calculation-sheet'!C8*'Output-Calculation-sheet'!C89</f>
        <v>2836.2525929705071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763.95070008011601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525.67242897286394</v>
      </c>
      <c r="N108" s="2">
        <f>N9/'Output-Calculation-sheet'!N8*'Output-Calculation-sheet'!N89</f>
        <v>369.03624770536811</v>
      </c>
      <c r="O108" s="2">
        <f>O9/'Output-Calculation-sheet'!O8*'Output-Calculation-sheet'!O89</f>
        <v>551.00508546593858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169.23545355444625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57.667358768691557</v>
      </c>
      <c r="Y108" s="2">
        <f>Y9/'Output-Calculation-sheet'!Y8*'Output-Calculation-sheet'!Y89</f>
        <v>0</v>
      </c>
      <c r="AA108" s="2">
        <f t="shared" si="9"/>
        <v>6.0197947623480035</v>
      </c>
    </row>
    <row r="109" spans="1:27" x14ac:dyDescent="0.25">
      <c r="A109" s="2">
        <v>2033</v>
      </c>
      <c r="B109" s="2">
        <f>B10/'Output-Calculation-sheet'!B9*'Output-Calculation-sheet'!B90</f>
        <v>3760.3926643258183</v>
      </c>
      <c r="C109" s="2">
        <f>C10/'Output-Calculation-sheet'!C9*'Output-Calculation-sheet'!C90</f>
        <v>3569.5387885852679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1098.8147482295847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756.09148290914129</v>
      </c>
      <c r="N109" s="2">
        <f>N10/'Output-Calculation-sheet'!N9*'Output-Calculation-sheet'!N90</f>
        <v>594.49224688914092</v>
      </c>
      <c r="O109" s="2">
        <f>O10/'Output-Calculation-sheet'!O9*'Output-Calculation-sheet'!O90</f>
        <v>693.46222200134662</v>
      </c>
      <c r="P109" s="2">
        <f>P10/'Output-Calculation-sheet'!P9*'Output-Calculation-sheet'!P90</f>
        <v>0</v>
      </c>
      <c r="Q109" s="2">
        <f>Q10/'Output-Calculation-sheet'!Q9*'Output-Calculation-sheet'!Q90</f>
        <v>130.21655717134621</v>
      </c>
      <c r="R109" s="2">
        <f>R10/'Output-Calculation-sheet'!R9*'Output-Calculation-sheet'!R90</f>
        <v>0</v>
      </c>
      <c r="S109" s="2">
        <f>S10/'Output-Calculation-sheet'!S9*'Output-Calculation-sheet'!S90</f>
        <v>298.1855439494621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82.944808218435725</v>
      </c>
      <c r="Y109" s="2">
        <f>Y10/'Output-Calculation-sheet'!Y9*'Output-Calculation-sheet'!Y90</f>
        <v>0</v>
      </c>
      <c r="AA109" s="2">
        <f t="shared" si="9"/>
        <v>10.984139062279546</v>
      </c>
    </row>
    <row r="110" spans="1:27" x14ac:dyDescent="0.25">
      <c r="A110" s="2">
        <v>2034</v>
      </c>
      <c r="B110" s="2">
        <f>B11/'Output-Calculation-sheet'!B10*'Output-Calculation-sheet'!B91</f>
        <v>6510.0704272763733</v>
      </c>
      <c r="C110" s="2">
        <f>C11/'Output-Calculation-sheet'!C10*'Output-Calculation-sheet'!C91</f>
        <v>4463.0879265394815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1268.1940488763721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872.64092566687987</v>
      </c>
      <c r="N110" s="2">
        <f>N11/'Output-Calculation-sheet'!N10*'Output-Calculation-sheet'!N91</f>
        <v>786.19246699015014</v>
      </c>
      <c r="O110" s="2">
        <f>O11/'Output-Calculation-sheet'!O10*'Output-Calculation-sheet'!O91</f>
        <v>867.0539960015675</v>
      </c>
      <c r="P110" s="2">
        <f>P11/'Output-Calculation-sheet'!P10*'Output-Calculation-sheet'!P91</f>
        <v>198.0828392716644</v>
      </c>
      <c r="Q110" s="2">
        <f>Q11/'Output-Calculation-sheet'!Q10*'Output-Calculation-sheet'!Q91</f>
        <v>438.34316398328923</v>
      </c>
      <c r="R110" s="2">
        <f>R11/'Output-Calculation-sheet'!R10*'Output-Calculation-sheet'!R91</f>
        <v>0</v>
      </c>
      <c r="S110" s="2">
        <f>S11/'Output-Calculation-sheet'!S10*'Output-Calculation-sheet'!S91</f>
        <v>450.67266277862035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95.730524492226721</v>
      </c>
      <c r="Y110" s="2">
        <f>Y11/'Output-Calculation-sheet'!Y10*'Output-Calculation-sheet'!Y91</f>
        <v>15.396964548177154</v>
      </c>
      <c r="AA110" s="2">
        <f t="shared" si="9"/>
        <v>15.965465946424803</v>
      </c>
    </row>
    <row r="111" spans="1:27" x14ac:dyDescent="0.25">
      <c r="A111" s="2">
        <v>2035</v>
      </c>
      <c r="B111" s="2">
        <f>B12/'Output-Calculation-sheet'!B11*'Output-Calculation-sheet'!B92</f>
        <v>9267.4602703308883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1548.2839879760038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543.82306963237306</v>
      </c>
      <c r="Q111" s="2">
        <f>Q12/'Output-Calculation-sheet'!Q11*'Output-Calculation-sheet'!Q92</f>
        <v>630.37416075611702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42.271327260848224</v>
      </c>
      <c r="AA111" s="2">
        <f t="shared" si="9"/>
        <v>21.762487740344852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7899425546.7324457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2430491067.5087109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1688185489.8828995</v>
      </c>
      <c r="N118" s="2">
        <f>N8/'Output-Calculation-sheet'!N7*'Output-Calculation-sheet'!N97</f>
        <v>1324744265.5811007</v>
      </c>
      <c r="O118" s="2">
        <f>O8/'Output-Calculation-sheet'!O7*'Output-Calculation-sheet'!O97</f>
        <v>881500059.02319396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479540478.71201998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181954354.24782017</v>
      </c>
      <c r="Y118" s="2">
        <f>Y8/'Output-Calculation-sheet'!Y7*'Output-Calculation-sheet'!Y97</f>
        <v>0</v>
      </c>
      <c r="AA118" s="2">
        <f t="shared" si="10"/>
        <v>16233.380226993129</v>
      </c>
    </row>
    <row r="119" spans="1:27" x14ac:dyDescent="0.25">
      <c r="A119" s="2">
        <v>2032</v>
      </c>
      <c r="B119" s="2">
        <f>B9/'Output-Calculation-sheet'!B8*'Output-Calculation-sheet'!B98</f>
        <v>5603844464.9058418</v>
      </c>
      <c r="C119" s="2">
        <f>C9/'Output-Calculation-sheet'!C8*'Output-Calculation-sheet'!C98</f>
        <v>4454048769.847806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2662640320.6408286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1858532915.1937385</v>
      </c>
      <c r="N119" s="2">
        <f>N9/'Output-Calculation-sheet'!N8*'Output-Calculation-sheet'!N98</f>
        <v>1255115283.3029566</v>
      </c>
      <c r="O119" s="2">
        <f>O9/'Output-Calculation-sheet'!O8*'Output-Calculation-sheet'!O98</f>
        <v>870238826.61838102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521043488.06782484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198869684.84228605</v>
      </c>
      <c r="Y119" s="2">
        <f>Y9/'Output-Calculation-sheet'!Y8*'Output-Calculation-sheet'!Y98</f>
        <v>0</v>
      </c>
      <c r="AA119" s="2">
        <f t="shared" si="10"/>
        <v>17424.333753419662</v>
      </c>
    </row>
    <row r="120" spans="1:27" x14ac:dyDescent="0.25">
      <c r="A120" s="2">
        <v>2033</v>
      </c>
      <c r="B120" s="2">
        <f>B10/'Output-Calculation-sheet'!B9*'Output-Calculation-sheet'!B99</f>
        <v>5409825907.7461443</v>
      </c>
      <c r="C120" s="2">
        <f>C10/'Output-Calculation-sheet'!C9*'Output-Calculation-sheet'!C99</f>
        <v>4447212813.7344189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1458135733.093502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1032080585.1628306</v>
      </c>
      <c r="N120" s="2">
        <f>N10/'Output-Calculation-sheet'!N9*'Output-Calculation-sheet'!N99</f>
        <v>1029080555.6373487</v>
      </c>
      <c r="O120" s="2">
        <f>O10/'Output-Calculation-sheet'!O9*'Output-Calculation-sheet'!O99</f>
        <v>870668477.49122477</v>
      </c>
      <c r="P120" s="2">
        <f>P10/'Output-Calculation-sheet'!P9*'Output-Calculation-sheet'!P99</f>
        <v>0</v>
      </c>
      <c r="Q120" s="2">
        <f>Q10/'Output-Calculation-sheet'!Q9*'Output-Calculation-sheet'!Q99</f>
        <v>6290523.6051694117</v>
      </c>
      <c r="R120" s="2">
        <f>R10/'Output-Calculation-sheet'!R9*'Output-Calculation-sheet'!R99</f>
        <v>0</v>
      </c>
      <c r="S120" s="2">
        <f>S10/'Output-Calculation-sheet'!S9*'Output-Calculation-sheet'!S99</f>
        <v>431012764.73869312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-7.1199840405556349E-9</v>
      </c>
      <c r="W120" s="2">
        <f>W10/'Output-Calculation-sheet'!W9*'Output-Calculation-sheet'!W99</f>
        <v>0</v>
      </c>
      <c r="X120" s="2">
        <f>X10/'Output-Calculation-sheet'!X9*'Output-Calculation-sheet'!X99</f>
        <v>103057825.46199882</v>
      </c>
      <c r="Y120" s="2">
        <f>Y10/'Output-Calculation-sheet'!Y9*'Output-Calculation-sheet'!Y99</f>
        <v>0</v>
      </c>
      <c r="AA120" s="2">
        <f t="shared" si="10"/>
        <v>14787.36518667133</v>
      </c>
    </row>
    <row r="121" spans="1:27" x14ac:dyDescent="0.25">
      <c r="A121" s="2">
        <v>2034</v>
      </c>
      <c r="B121" s="2">
        <f>B11/'Output-Calculation-sheet'!B10*'Output-Calculation-sheet'!B100</f>
        <v>4880934227.1894302</v>
      </c>
      <c r="C121" s="2">
        <f>C11/'Output-Calculation-sheet'!C10*'Output-Calculation-sheet'!C100</f>
        <v>585909813.53939176</v>
      </c>
      <c r="D121" s="2">
        <f>D11/'Output-Calculation-sheet'!D10*'Output-Calculation-sheet'!D100</f>
        <v>0</v>
      </c>
      <c r="E121" s="2">
        <f>E11/'Output-Calculation-sheet'!E10*'Output-Calculation-sheet'!E100</f>
        <v>677725057.27154911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1542755315.4493427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563120556.03582025</v>
      </c>
      <c r="M121" s="2">
        <f>M11/'Output-Calculation-sheet'!M10*'Output-Calculation-sheet'!M100</f>
        <v>1097973056.6393511</v>
      </c>
      <c r="N121" s="2">
        <f>N11/'Output-Calculation-sheet'!N10*'Output-Calculation-sheet'!N100</f>
        <v>731994103.34753501</v>
      </c>
      <c r="O121" s="2">
        <f>O11/'Output-Calculation-sheet'!O10*'Output-Calculation-sheet'!O100</f>
        <v>114928137.098179</v>
      </c>
      <c r="P121" s="2">
        <f>P11/'Output-Calculation-sheet'!P10*'Output-Calculation-sheet'!P100</f>
        <v>0</v>
      </c>
      <c r="Q121" s="2">
        <f>Q11/'Output-Calculation-sheet'!Q10*'Output-Calculation-sheet'!Q100</f>
        <v>248723962.44508943</v>
      </c>
      <c r="R121" s="2">
        <f>R11/'Output-Calculation-sheet'!R10*'Output-Calculation-sheet'!R100</f>
        <v>0</v>
      </c>
      <c r="S121" s="2">
        <f>S11/'Output-Calculation-sheet'!S10*'Output-Calculation-sheet'!S100</f>
        <v>273687176.34077245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107883535.29740764</v>
      </c>
      <c r="Y121" s="2">
        <f>Y11/'Output-Calculation-sheet'!Y10*'Output-Calculation-sheet'!Y100</f>
        <v>15656863.3101446</v>
      </c>
      <c r="AA121" s="2">
        <f t="shared" si="10"/>
        <v>10841.291803964012</v>
      </c>
    </row>
    <row r="122" spans="1:27" x14ac:dyDescent="0.25">
      <c r="A122" s="2">
        <v>2035</v>
      </c>
      <c r="B122" s="2">
        <f>B12/'Output-Calculation-sheet'!B11*'Output-Calculation-sheet'!B101</f>
        <v>2393486675.3298259</v>
      </c>
      <c r="C122" s="2">
        <f>C12/'Output-Calculation-sheet'!C11*'Output-Calculation-sheet'!C101</f>
        <v>208066117.31908071</v>
      </c>
      <c r="D122" s="2">
        <f>D12/'Output-Calculation-sheet'!D11*'Output-Calculation-sheet'!D101</f>
        <v>0</v>
      </c>
      <c r="E122" s="2">
        <f>E12/'Output-Calculation-sheet'!E11*'Output-Calculation-sheet'!E101</f>
        <v>1863784336.8081982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352802749.77017903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1293649407.3577297</v>
      </c>
      <c r="M122" s="2">
        <f>M12/'Output-Calculation-sheet'!M11*'Output-Calculation-sheet'!M101</f>
        <v>323645848.23360157</v>
      </c>
      <c r="N122" s="2">
        <f>N12/'Output-Calculation-sheet'!N11*'Output-Calculation-sheet'!N101</f>
        <v>269019824.62425053</v>
      </c>
      <c r="O122" s="2">
        <f>O12/'Output-Calculation-sheet'!O11*'Output-Calculation-sheet'!O101</f>
        <v>36891362.843505286</v>
      </c>
      <c r="P122" s="2">
        <f>P12/'Output-Calculation-sheet'!P11*'Output-Calculation-sheet'!P101</f>
        <v>83726858.547854796</v>
      </c>
      <c r="Q122" s="2">
        <f>Q12/'Output-Calculation-sheet'!Q11*'Output-Calculation-sheet'!Q101</f>
        <v>413639095.42336512</v>
      </c>
      <c r="R122" s="2">
        <f>R12/'Output-Calculation-sheet'!R11*'Output-Calculation-sheet'!R101</f>
        <v>0</v>
      </c>
      <c r="S122" s="2">
        <f>S12/'Output-Calculation-sheet'!S11*'Output-Calculation-sheet'!S101</f>
        <v>112384087.20910631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10392777.651014837</v>
      </c>
      <c r="Y122" s="2">
        <f>Y12/'Output-Calculation-sheet'!Y11*'Output-Calculation-sheet'!Y101</f>
        <v>47938237.862785824</v>
      </c>
      <c r="AA122" s="2">
        <f t="shared" si="10"/>
        <v>7409.4273789804975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2198300395.5196691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2206133788.6037459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144498.00870096812</v>
      </c>
    </row>
    <row r="130" spans="1:27" x14ac:dyDescent="0.25">
      <c r="A130" s="2">
        <v>2032</v>
      </c>
      <c r="B130" s="2">
        <f>B9/'Output-Calculation-sheet'!B8*'Output-Calculation-sheet'!B107</f>
        <v>50711582355.544632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1844895594.8857594</v>
      </c>
      <c r="O130" s="2">
        <f>O9/'Output-Calculation-sheet'!O8*'Output-Calculation-sheet'!O107</f>
        <v>0</v>
      </c>
      <c r="P130" s="2">
        <f>P9/'Output-Calculation-sheet'!P8*'Output-Calculation-sheet'!P107</f>
        <v>5629443808.3393755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1639116798.2233901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178593.27951898481</v>
      </c>
    </row>
    <row r="131" spans="1:27" x14ac:dyDescent="0.25">
      <c r="A131" s="2">
        <v>2033</v>
      </c>
      <c r="B131" s="2">
        <f>B10/'Output-Calculation-sheet'!B9*'Output-Calculation-sheet'!B108</f>
        <v>40355655020.714066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1478535030.8970504</v>
      </c>
      <c r="O131" s="2">
        <f>O10/'Output-Calculation-sheet'!O9*'Output-Calculation-sheet'!O108</f>
        <v>0</v>
      </c>
      <c r="P131" s="2">
        <f>P10/'Output-Calculation-sheet'!P9*'Output-Calculation-sheet'!P108</f>
        <v>6801142193.3391504</v>
      </c>
      <c r="Q131" s="2">
        <f>Q10/'Output-Calculation-sheet'!Q9*'Output-Calculation-sheet'!Q108</f>
        <v>5737262871.6979752</v>
      </c>
      <c r="R131" s="2">
        <f>R10/'Output-Calculation-sheet'!R9*'Output-Calculation-sheet'!R108</f>
        <v>6437339455.9371614</v>
      </c>
      <c r="S131" s="2">
        <f>S10/'Output-Calculation-sheet'!S9*'Output-Calculation-sheet'!S108</f>
        <v>1434172886.8089519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192610.93395038333</v>
      </c>
    </row>
    <row r="132" spans="1:27" x14ac:dyDescent="0.25">
      <c r="A132" s="2">
        <v>2034</v>
      </c>
      <c r="B132" s="2">
        <f>B11/'Output-Calculation-sheet'!B10*'Output-Calculation-sheet'!B109</f>
        <v>28368350530.994873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27387651699.90604</v>
      </c>
      <c r="F132" s="2">
        <f>F11/'Output-Calculation-sheet'!F10*'Output-Calculation-sheet'!F109</f>
        <v>18063594163.294708</v>
      </c>
      <c r="G132" s="2">
        <f>G11/'Output-Calculation-sheet'!G10*'Output-Calculation-sheet'!G109</f>
        <v>12656627274.072788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11254750416.839151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8379032989.2033434</v>
      </c>
      <c r="M132" s="2">
        <f>M11/'Output-Calculation-sheet'!M10*'Output-Calculation-sheet'!M109</f>
        <v>0</v>
      </c>
      <c r="N132" s="2">
        <f>N11/'Output-Calculation-sheet'!N10*'Output-Calculation-sheet'!N109</f>
        <v>1101790729.4652233</v>
      </c>
      <c r="O132" s="2">
        <f>O11/'Output-Calculation-sheet'!O10*'Output-Calculation-sheet'!O109</f>
        <v>0</v>
      </c>
      <c r="P132" s="2">
        <f>P11/'Output-Calculation-sheet'!P10*'Output-Calculation-sheet'!P109</f>
        <v>6260074567.1096258</v>
      </c>
      <c r="Q132" s="2">
        <f>Q11/'Output-Calculation-sheet'!Q10*'Output-Calculation-sheet'!Q109</f>
        <v>4030968766.1275239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756170199.225281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2249229618.9445257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788191811.04251456</v>
      </c>
      <c r="AA132" s="2">
        <f t="shared" si="11"/>
        <v>192575.10158015339</v>
      </c>
    </row>
    <row r="133" spans="1:27" x14ac:dyDescent="0.25">
      <c r="A133" s="2">
        <v>2035</v>
      </c>
      <c r="B133" s="2">
        <f>B12/'Output-Calculation-sheet'!B11*'Output-Calculation-sheet'!B110</f>
        <v>6884382723.8464394</v>
      </c>
      <c r="C133" s="2">
        <f>C12/'Output-Calculation-sheet'!C11*'Output-Calculation-sheet'!C110</f>
        <v>0</v>
      </c>
      <c r="D133" s="2">
        <f>D12/'Output-Calculation-sheet'!D11*'Output-Calculation-sheet'!D110</f>
        <v>32741946212.050953</v>
      </c>
      <c r="E133" s="2">
        <f>E12/'Output-Calculation-sheet'!E11*'Output-Calculation-sheet'!E110</f>
        <v>17423339533.788418</v>
      </c>
      <c r="F133" s="2">
        <f>F12/'Output-Calculation-sheet'!F11*'Output-Calculation-sheet'!F110</f>
        <v>17320201322.960945</v>
      </c>
      <c r="G133" s="2">
        <f>G12/'Output-Calculation-sheet'!G11*'Output-Calculation-sheet'!G110</f>
        <v>11734388937.779167</v>
      </c>
      <c r="H133" s="2">
        <f>H12/'Output-Calculation-sheet'!H11*'Output-Calculation-sheet'!H110</f>
        <v>0</v>
      </c>
      <c r="I133" s="2">
        <f>I12/'Output-Calculation-sheet'!I11*'Output-Calculation-sheet'!I110</f>
        <v>10767360349.705679</v>
      </c>
      <c r="J133" s="2">
        <f>J12/'Output-Calculation-sheet'!J11*'Output-Calculation-sheet'!J110</f>
        <v>10785896553.733223</v>
      </c>
      <c r="K133" s="2">
        <f>K12/'Output-Calculation-sheet'!K11*'Output-Calculation-sheet'!K110</f>
        <v>10582956624.496811</v>
      </c>
      <c r="L133" s="2">
        <f>L12/'Output-Calculation-sheet'!L11*'Output-Calculation-sheet'!L110</f>
        <v>7606004938.9796877</v>
      </c>
      <c r="M133" s="2">
        <f>M12/'Output-Calculation-sheet'!M11*'Output-Calculation-sheet'!M110</f>
        <v>0</v>
      </c>
      <c r="N133" s="2">
        <f>N12/'Output-Calculation-sheet'!N11*'Output-Calculation-sheet'!N110</f>
        <v>40858.476392222401</v>
      </c>
      <c r="O133" s="2">
        <f>O12/'Output-Calculation-sheet'!O11*'Output-Calculation-sheet'!O110</f>
        <v>0</v>
      </c>
      <c r="P133" s="2">
        <f>P12/'Output-Calculation-sheet'!P11*'Output-Calculation-sheet'!P110</f>
        <v>3800477309.7330818</v>
      </c>
      <c r="Q133" s="2">
        <f>Q12/'Output-Calculation-sheet'!Q11*'Output-Calculation-sheet'!Q110</f>
        <v>2417016777.4003987</v>
      </c>
      <c r="R133" s="2">
        <f>R12/'Output-Calculation-sheet'!R11*'Output-Calculation-sheet'!R110</f>
        <v>7039325505.9866457</v>
      </c>
      <c r="S133" s="2">
        <f>S12/'Output-Calculation-sheet'!S11*'Output-Calculation-sheet'!S110</f>
        <v>6774289.6399115995</v>
      </c>
      <c r="T133" s="2">
        <f>T12/'Output-Calculation-sheet'!T11*'Output-Calculation-sheet'!T110</f>
        <v>2629926349.6014462</v>
      </c>
      <c r="U133" s="2">
        <f>U12/'Output-Calculation-sheet'!U11*'Output-Calculation-sheet'!U110</f>
        <v>2078560708.9251628</v>
      </c>
      <c r="V133" s="2">
        <f>V12/'Output-Calculation-sheet'!V11*'Output-Calculation-sheet'!V110</f>
        <v>1810180057.5144193</v>
      </c>
      <c r="W133" s="2">
        <f>W12/'Output-Calculation-sheet'!W11*'Output-Calculation-sheet'!W110</f>
        <v>1524385349.9877884</v>
      </c>
      <c r="X133" s="2">
        <f>X12/'Output-Calculation-sheet'!X11*'Output-Calculation-sheet'!X110</f>
        <v>0</v>
      </c>
      <c r="Y133" s="2">
        <f>Y12/'Output-Calculation-sheet'!Y11*'Output-Calculation-sheet'!Y110</f>
        <v>577574280.02859974</v>
      </c>
      <c r="AA133" s="2">
        <f t="shared" si="11"/>
        <v>147730.7386846352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14298199507.927832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4494993768.4451685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3089791608.5315142</v>
      </c>
      <c r="N140" s="2">
        <f>N8/'Output-Calculation-sheet'!N7*'Output-Calculation-sheet'!N115</f>
        <v>1166518800.1238756</v>
      </c>
      <c r="O140" s="2">
        <f>O8/'Output-Calculation-sheet'!O7*'Output-Calculation-sheet'!O115</f>
        <v>3431498262.1776724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335514271.8243596</v>
      </c>
      <c r="Y140" s="2">
        <f>Y8/'Output-Calculation-sheet'!Y7*'Output-Calculation-sheet'!Y115</f>
        <v>0</v>
      </c>
      <c r="AA140" s="2">
        <f t="shared" si="12"/>
        <v>26816.516219030422</v>
      </c>
    </row>
    <row r="141" spans="1:27" x14ac:dyDescent="0.25">
      <c r="A141" s="2">
        <v>2032</v>
      </c>
      <c r="B141" s="2">
        <f>B9/'Output-Calculation-sheet'!B8*'Output-Calculation-sheet'!B116</f>
        <v>5797504012.0227671</v>
      </c>
      <c r="C141" s="2">
        <f>C9/'Output-Calculation-sheet'!C8*'Output-Calculation-sheet'!C116</f>
        <v>24816745153.570038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6469617844.0274525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4441924222.632515</v>
      </c>
      <c r="N141" s="2">
        <f>N9/'Output-Calculation-sheet'!N8*'Output-Calculation-sheet'!N116</f>
        <v>3083859551.5034294</v>
      </c>
      <c r="O141" s="2">
        <f>O9/'Output-Calculation-sheet'!O8*'Output-Calculation-sheet'!O116</f>
        <v>4817076088.7635574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1381291529.9250159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483487843.45620131</v>
      </c>
      <c r="Y141" s="2">
        <f>Y9/'Output-Calculation-sheet'!Y8*'Output-Calculation-sheet'!Y116</f>
        <v>0</v>
      </c>
      <c r="AA141" s="2">
        <f t="shared" si="12"/>
        <v>51291.506245900971</v>
      </c>
    </row>
    <row r="142" spans="1:27" x14ac:dyDescent="0.25">
      <c r="A142" s="2">
        <v>2033</v>
      </c>
      <c r="B142" s="2">
        <f>B10/'Output-Calculation-sheet'!B9*'Output-Calculation-sheet'!B117</f>
        <v>29279296337.271442</v>
      </c>
      <c r="C142" s="2">
        <f>C10/'Output-Calculation-sheet'!C9*'Output-Calculation-sheet'!C117</f>
        <v>30917727104.859074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9575448452.5577068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6580124740.7055645</v>
      </c>
      <c r="N142" s="2">
        <f>N10/'Output-Calculation-sheet'!N9*'Output-Calculation-sheet'!N117</f>
        <v>4963729421.842761</v>
      </c>
      <c r="O142" s="2">
        <f>O10/'Output-Calculation-sheet'!O9*'Output-Calculation-sheet'!O117</f>
        <v>6000738446.8448296</v>
      </c>
      <c r="P142" s="2">
        <f>P10/'Output-Calculation-sheet'!P9*'Output-Calculation-sheet'!P117</f>
        <v>0</v>
      </c>
      <c r="Q142" s="2">
        <f>Q10/'Output-Calculation-sheet'!Q9*'Output-Calculation-sheet'!Q117</f>
        <v>948003594.19330609</v>
      </c>
      <c r="R142" s="2">
        <f>R10/'Output-Calculation-sheet'!R9*'Output-Calculation-sheet'!R117</f>
        <v>0</v>
      </c>
      <c r="S142" s="2">
        <f>S10/'Output-Calculation-sheet'!S9*'Output-Calculation-sheet'!S117</f>
        <v>2413592349.9574485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721365826.49028814</v>
      </c>
      <c r="Y142" s="2">
        <f>Y10/'Output-Calculation-sheet'!Y9*'Output-Calculation-sheet'!Y117</f>
        <v>0</v>
      </c>
      <c r="AA142" s="2">
        <f t="shared" si="12"/>
        <v>91400.026274722433</v>
      </c>
    </row>
    <row r="143" spans="1:27" x14ac:dyDescent="0.25">
      <c r="A143" s="2">
        <v>2034</v>
      </c>
      <c r="B143" s="2">
        <f>B11/'Output-Calculation-sheet'!B10*'Output-Calculation-sheet'!B118</f>
        <v>50957148840.639374</v>
      </c>
      <c r="C143" s="2">
        <f>C11/'Output-Calculation-sheet'!C10*'Output-Calculation-sheet'!C118</f>
        <v>39096650236.485855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10837785956.057718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7443511877.1149664</v>
      </c>
      <c r="N143" s="2">
        <f>N11/'Output-Calculation-sheet'!N10*'Output-Calculation-sheet'!N118</f>
        <v>6549693329.4107695</v>
      </c>
      <c r="O143" s="2">
        <f>O11/'Output-Calculation-sheet'!O10*'Output-Calculation-sheet'!O118</f>
        <v>7595393004.973732</v>
      </c>
      <c r="P143" s="2">
        <f>P11/'Output-Calculation-sheet'!P10*'Output-Calculation-sheet'!P118</f>
        <v>1371325781.2747951</v>
      </c>
      <c r="Q143" s="2">
        <f>Q11/'Output-Calculation-sheet'!Q10*'Output-Calculation-sheet'!Q118</f>
        <v>3228747101.364964</v>
      </c>
      <c r="R143" s="2">
        <f>R11/'Output-Calculation-sheet'!R10*'Output-Calculation-sheet'!R118</f>
        <v>0</v>
      </c>
      <c r="S143" s="2">
        <f>S11/'Output-Calculation-sheet'!S10*'Output-Calculation-sheet'!S118</f>
        <v>3771306525.9671097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817184351.89763844</v>
      </c>
      <c r="Y143" s="2">
        <f>Y11/'Output-Calculation-sheet'!Y10*'Output-Calculation-sheet'!Y118</f>
        <v>95761940.904892042</v>
      </c>
      <c r="AA143" s="2">
        <f t="shared" si="12"/>
        <v>131764.50894609181</v>
      </c>
    </row>
    <row r="144" spans="1:27" x14ac:dyDescent="0.25">
      <c r="A144" s="2">
        <v>2035</v>
      </c>
      <c r="B144" s="2">
        <f>B12/'Output-Calculation-sheet'!B11*'Output-Calculation-sheet'!B119</f>
        <v>77918011959.817932</v>
      </c>
      <c r="C144" s="2">
        <f>C12/'Output-Calculation-sheet'!C11*'Output-Calculation-sheet'!C119</f>
        <v>41238253099.274094</v>
      </c>
      <c r="D144" s="2">
        <f>D12/'Output-Calculation-sheet'!D11*'Output-Calculation-sheet'!D119</f>
        <v>0</v>
      </c>
      <c r="E144" s="2">
        <f>E12/'Output-Calculation-sheet'!E11*'Output-Calculation-sheet'!E119</f>
        <v>9401378578.3208523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12516776679.906734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8550261131.1111803</v>
      </c>
      <c r="N144" s="2">
        <f>N12/'Output-Calculation-sheet'!N11*'Output-Calculation-sheet'!N119</f>
        <v>8439044670.5403624</v>
      </c>
      <c r="O144" s="2">
        <f>O12/'Output-Calculation-sheet'!O11*'Output-Calculation-sheet'!O119</f>
        <v>8012953050.5677967</v>
      </c>
      <c r="P144" s="2">
        <f>P12/'Output-Calculation-sheet'!P11*'Output-Calculation-sheet'!P119</f>
        <v>3880355737.2336292</v>
      </c>
      <c r="Q144" s="2">
        <f>Q12/'Output-Calculation-sheet'!Q11*'Output-Calculation-sheet'!Q119</f>
        <v>4720327303.732934</v>
      </c>
      <c r="R144" s="2">
        <f>R12/'Output-Calculation-sheet'!R11*'Output-Calculation-sheet'!R119</f>
        <v>0</v>
      </c>
      <c r="S144" s="2">
        <f>S12/'Output-Calculation-sheet'!S11*'Output-Calculation-sheet'!S119</f>
        <v>4863499795.4109297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955269635.53059912</v>
      </c>
      <c r="Y144" s="2">
        <f>Y12/'Output-Calculation-sheet'!Y11*'Output-Calculation-sheet'!Y119</f>
        <v>269391966.26010841</v>
      </c>
      <c r="AA144" s="2">
        <f t="shared" si="12"/>
        <v>180765.52360770717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1852613222.8939352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403978680.62871957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48009.956171207523</v>
      </c>
    </row>
    <row r="155" spans="1:27" x14ac:dyDescent="0.25">
      <c r="A155" s="2">
        <v>2035</v>
      </c>
      <c r="B155" s="2">
        <f>B12/'Output-Calculation-sheet'!B11*'Output-Calculation-sheet'!B128</f>
        <v>1023738853.5710796</v>
      </c>
      <c r="C155" s="2">
        <f>C12/'Output-Calculation-sheet'!C11*'Output-Calculation-sheet'!C128</f>
        <v>61191639.756000742</v>
      </c>
      <c r="D155" s="2">
        <f>D12/'Output-Calculation-sheet'!D11*'Output-Calculation-sheet'!D128</f>
        <v>4472544086.8255968</v>
      </c>
      <c r="E155" s="2">
        <f>E12/'Output-Calculation-sheet'!E11*'Output-Calculation-sheet'!E128</f>
        <v>1047396021.039933</v>
      </c>
      <c r="F155" s="2">
        <f>F12/'Output-Calculation-sheet'!F11*'Output-Calculation-sheet'!F128</f>
        <v>1809810154.4940879</v>
      </c>
      <c r="G155" s="2">
        <f>G12/'Output-Calculation-sheet'!G11*'Output-Calculation-sheet'!G128</f>
        <v>1708567171.4005857</v>
      </c>
      <c r="H155" s="2">
        <f>H12/'Output-Calculation-sheet'!H11*'Output-Calculation-sheet'!H128</f>
        <v>94068445.020011872</v>
      </c>
      <c r="I155" s="2">
        <f>I12/'Output-Calculation-sheet'!I11*'Output-Calculation-sheet'!I128</f>
        <v>1467228057.781626</v>
      </c>
      <c r="J155" s="2">
        <f>J12/'Output-Calculation-sheet'!J11*'Output-Calculation-sheet'!J128</f>
        <v>1060559968.5570148</v>
      </c>
      <c r="K155" s="2">
        <f>K12/'Output-Calculation-sheet'!K11*'Output-Calculation-sheet'!K128</f>
        <v>1173737527.003051</v>
      </c>
      <c r="L155" s="2">
        <f>L12/'Output-Calculation-sheet'!L11*'Output-Calculation-sheet'!L128</f>
        <v>514730330.97269058</v>
      </c>
      <c r="M155" s="2">
        <f>M12/'Output-Calculation-sheet'!M11*'Output-Calculation-sheet'!M128</f>
        <v>74183369.802594334</v>
      </c>
      <c r="N155" s="2">
        <f>N12/'Output-Calculation-sheet'!N11*'Output-Calculation-sheet'!N128</f>
        <v>67802597.245918632</v>
      </c>
      <c r="O155" s="2">
        <f>O12/'Output-Calculation-sheet'!O11*'Output-Calculation-sheet'!O128</f>
        <v>14848274.84547363</v>
      </c>
      <c r="P155" s="2">
        <f>P12/'Output-Calculation-sheet'!P11*'Output-Calculation-sheet'!P128</f>
        <v>276597830.06471556</v>
      </c>
      <c r="Q155" s="2">
        <f>Q12/'Output-Calculation-sheet'!Q11*'Output-Calculation-sheet'!Q128</f>
        <v>337253450.67548752</v>
      </c>
      <c r="R155" s="2">
        <f>R12/'Output-Calculation-sheet'!R11*'Output-Calculation-sheet'!R128</f>
        <v>604386440.89870918</v>
      </c>
      <c r="S155" s="2">
        <f>S12/'Output-Calculation-sheet'!S11*'Output-Calculation-sheet'!S128</f>
        <v>44015611.220824823</v>
      </c>
      <c r="T155" s="2">
        <f>T12/'Output-Calculation-sheet'!T11*'Output-Calculation-sheet'!T128</f>
        <v>165748859.71085054</v>
      </c>
      <c r="U155" s="2">
        <f>U12/'Output-Calculation-sheet'!U11*'Output-Calculation-sheet'!U128</f>
        <v>381703208.09588718</v>
      </c>
      <c r="V155" s="2">
        <f>V12/'Output-Calculation-sheet'!V11*'Output-Calculation-sheet'!V128</f>
        <v>56934300.519823313</v>
      </c>
      <c r="W155" s="2">
        <f>W12/'Output-Calculation-sheet'!W11*'Output-Calculation-sheet'!W128</f>
        <v>114785664.94663909</v>
      </c>
      <c r="X155" s="2">
        <f>X12/'Output-Calculation-sheet'!X11*'Output-Calculation-sheet'!X128</f>
        <v>2438987.2314396128</v>
      </c>
      <c r="Y155" s="2">
        <f>Y12/'Output-Calculation-sheet'!Y11*'Output-Calculation-sheet'!Y128</f>
        <v>63110551.771808222</v>
      </c>
      <c r="AA155" s="2">
        <f t="shared" si="13"/>
        <v>16637.381403451851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5006.6781210898826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1516.5830067455383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1053.4787691646818</v>
      </c>
      <c r="N19" s="2">
        <f>N8/'Output-Calculation-sheet'!N7*'Output-Calculation-sheet'!N25</f>
        <v>876.36984548880605</v>
      </c>
      <c r="O19" s="2">
        <f>O8/'Output-Calculation-sheet'!O7*'Output-Calculation-sheet'!O25</f>
        <v>550.01680588917873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114.01570767437123</v>
      </c>
      <c r="Y19" s="2">
        <f>Y8/'Output-Calculation-sheet'!Y7*'Output-Calculation-sheet'!Y25</f>
        <v>0</v>
      </c>
      <c r="AA19" s="2">
        <f t="shared" si="0"/>
        <v>10.586564407332709</v>
      </c>
    </row>
    <row r="20" spans="1:27" x14ac:dyDescent="0.25">
      <c r="A20" s="2">
        <v>2032</v>
      </c>
      <c r="B20" s="2">
        <f>B9/'Output-Calculation-sheet'!B8*'Output-Calculation-sheet'!B26</f>
        <v>5272.5976585277222</v>
      </c>
      <c r="C20" s="2">
        <f>C9/'Output-Calculation-sheet'!C8*'Output-Calculation-sheet'!C26</f>
        <v>2891.3638326319947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1735.6999853424995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1212.9191285697975</v>
      </c>
      <c r="N20" s="2">
        <f>N9/'Output-Calculation-sheet'!N8*'Output-Calculation-sheet'!N26</f>
        <v>840.58600796341864</v>
      </c>
      <c r="O20" s="2">
        <f>O9/'Output-Calculation-sheet'!O8*'Output-Calculation-sheet'!O26</f>
        <v>564.91890983347082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398.7346721802698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131.98331578795342</v>
      </c>
      <c r="Y20" s="2">
        <f>Y9/'Output-Calculation-sheet'!Y8*'Output-Calculation-sheet'!Y26</f>
        <v>0</v>
      </c>
      <c r="AA20" s="2">
        <f t="shared" si="0"/>
        <v>13.048803510837127</v>
      </c>
    </row>
    <row r="21" spans="1:27" x14ac:dyDescent="0.25">
      <c r="A21" s="2">
        <v>2033</v>
      </c>
      <c r="B21" s="2">
        <f>B10/'Output-Calculation-sheet'!B9*'Output-Calculation-sheet'!B27</f>
        <v>5011.1095167515477</v>
      </c>
      <c r="C21" s="2">
        <f>C10/'Output-Calculation-sheet'!C9*'Output-Calculation-sheet'!C27</f>
        <v>3080.0399801933636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1009.8736294697424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714.79688571522581</v>
      </c>
      <c r="N21" s="2">
        <f>N10/'Output-Calculation-sheet'!N9*'Output-Calculation-sheet'!N27</f>
        <v>723.87287039088937</v>
      </c>
      <c r="O21" s="2">
        <f>O10/'Output-Calculation-sheet'!O9*'Output-Calculation-sheet'!O27</f>
        <v>603.0057942944967</v>
      </c>
      <c r="P21" s="2">
        <f>P10/'Output-Calculation-sheet'!P9*'Output-Calculation-sheet'!P27</f>
        <v>0</v>
      </c>
      <c r="Q21" s="2">
        <f>Q10/'Output-Calculation-sheet'!Q9*'Output-Calculation-sheet'!Q27</f>
        <v>8.4355624736954216</v>
      </c>
      <c r="R21" s="2">
        <f>R10/'Output-Calculation-sheet'!R9*'Output-Calculation-sheet'!R27</f>
        <v>0</v>
      </c>
      <c r="S21" s="2">
        <f>S10/'Output-Calculation-sheet'!S9*'Output-Calculation-sheet'!S27</f>
        <v>344.68145993926811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71.375541039660718</v>
      </c>
      <c r="Y21" s="2">
        <f>Y10/'Output-Calculation-sheet'!Y9*'Output-Calculation-sheet'!Y27</f>
        <v>0</v>
      </c>
      <c r="AA21" s="2">
        <f t="shared" si="0"/>
        <v>11.567191240267888</v>
      </c>
    </row>
    <row r="22" spans="1:27" x14ac:dyDescent="0.25">
      <c r="A22" s="2">
        <v>2034</v>
      </c>
      <c r="B22" s="2">
        <f>B11/'Output-Calculation-sheet'!B10*'Output-Calculation-sheet'!B28</f>
        <v>4434.062772143684</v>
      </c>
      <c r="C22" s="2">
        <f>C11/'Output-Calculation-sheet'!C10*'Output-Calculation-sheet'!C28</f>
        <v>447.26160650638269</v>
      </c>
      <c r="D22" s="2">
        <f>D11/'Output-Calculation-sheet'!D10*'Output-Calculation-sheet'!D28</f>
        <v>0</v>
      </c>
      <c r="E22" s="2">
        <f>E11/'Output-Calculation-sheet'!E10*'Output-Calculation-sheet'!E28</f>
        <v>1485.1502127864746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1177.6748513896225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900.69224467509287</v>
      </c>
      <c r="M22" s="2">
        <f>M11/'Output-Calculation-sheet'!M10*'Output-Calculation-sheet'!M28</f>
        <v>838.14670281134738</v>
      </c>
      <c r="N22" s="2">
        <f>N11/'Output-Calculation-sheet'!N10*'Output-Calculation-sheet'!N28</f>
        <v>560.30585260865212</v>
      </c>
      <c r="O22" s="2">
        <f>O11/'Output-Calculation-sheet'!O10*'Output-Calculation-sheet'!O28</f>
        <v>87.731405027767977</v>
      </c>
      <c r="P22" s="2">
        <f>P11/'Output-Calculation-sheet'!P10*'Output-Calculation-sheet'!P28</f>
        <v>0</v>
      </c>
      <c r="Q22" s="2">
        <f>Q11/'Output-Calculation-sheet'!Q10*'Output-Calculation-sheet'!Q28</f>
        <v>288.40783870517754</v>
      </c>
      <c r="R22" s="2">
        <f>R11/'Output-Calculation-sheet'!R10*'Output-Calculation-sheet'!R28</f>
        <v>0</v>
      </c>
      <c r="S22" s="2">
        <f>S11/'Output-Calculation-sheet'!S10*'Output-Calculation-sheet'!S28</f>
        <v>209.7962869926877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82.353749194800329</v>
      </c>
      <c r="Y22" s="2">
        <f>Y11/'Output-Calculation-sheet'!Y10*'Output-Calculation-sheet'!Y28</f>
        <v>33.569714238598323</v>
      </c>
      <c r="AA22" s="2">
        <f t="shared" si="0"/>
        <v>10.545153237080287</v>
      </c>
    </row>
    <row r="23" spans="1:27" x14ac:dyDescent="0.25">
      <c r="A23" s="2">
        <v>2035</v>
      </c>
      <c r="B23" s="2">
        <f>B12/'Output-Calculation-sheet'!B11*'Output-Calculation-sheet'!B29</f>
        <v>2095.3155487850595</v>
      </c>
      <c r="C23" s="2">
        <f>C12/'Output-Calculation-sheet'!C11*'Output-Calculation-sheet'!C29</f>
        <v>182.14431150231079</v>
      </c>
      <c r="D23" s="2">
        <f>D12/'Output-Calculation-sheet'!D11*'Output-Calculation-sheet'!D29</f>
        <v>0</v>
      </c>
      <c r="E23" s="2">
        <f>E12/'Output-Calculation-sheet'!E11*'Output-Calculation-sheet'!E29</f>
        <v>2892.4004596452637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308.85318313202913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1940.9314951559249</v>
      </c>
      <c r="M23" s="2">
        <f>M12/'Output-Calculation-sheet'!M11*'Output-Calculation-sheet'!M29</f>
        <v>283.3277207769882</v>
      </c>
      <c r="N23" s="2">
        <f>N12/'Output-Calculation-sheet'!N11*'Output-Calculation-sheet'!N29</f>
        <v>235.50740942983836</v>
      </c>
      <c r="O23" s="2">
        <f>O12/'Output-Calculation-sheet'!O11*'Output-Calculation-sheet'!O29</f>
        <v>32.296191948653693</v>
      </c>
      <c r="P23" s="2">
        <f>P12/'Output-Calculation-sheet'!P11*'Output-Calculation-sheet'!P29</f>
        <v>114.37254686981413</v>
      </c>
      <c r="Q23" s="2">
        <f>Q12/'Output-Calculation-sheet'!Q11*'Output-Calculation-sheet'!Q29</f>
        <v>430.14296651806478</v>
      </c>
      <c r="R23" s="2">
        <f>R12/'Output-Calculation-sheet'!R11*'Output-Calculation-sheet'!R29</f>
        <v>0</v>
      </c>
      <c r="S23" s="2">
        <f>S12/'Output-Calculation-sheet'!S11*'Output-Calculation-sheet'!S29</f>
        <v>98.383636719404819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9.0981302148078811</v>
      </c>
      <c r="Y23" s="2">
        <f>Y12/'Output-Calculation-sheet'!Y11*'Output-Calculation-sheet'!Y29</f>
        <v>79.038261207509393</v>
      </c>
      <c r="AA23" s="2">
        <f t="shared" si="0"/>
        <v>8.7018118619056679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999.0430859603058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39.169935789165116</v>
      </c>
    </row>
    <row r="31" spans="1:27" x14ac:dyDescent="0.25">
      <c r="A31" s="2">
        <v>2032</v>
      </c>
      <c r="B31" s="2">
        <f>B9/'Output-Calculation-sheet'!B8*'Output-Calculation-sheet'!B17</f>
        <v>22168.183871202556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866.79935283475754</v>
      </c>
      <c r="O31" s="2">
        <f>O9/'Output-Calculation-sheet'!O8*'Output-Calculation-sheet'!O17</f>
        <v>0</v>
      </c>
      <c r="P31" s="2">
        <f>P9/'Output-Calculation-sheet'!P8*'Output-Calculation-sheet'!P17</f>
        <v>2166.4304145566862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717.4218936566964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50.78994594535753</v>
      </c>
    </row>
    <row r="32" spans="1:27" x14ac:dyDescent="0.25">
      <c r="A32" s="2">
        <v>2033</v>
      </c>
      <c r="B32" s="2">
        <f>B10/'Output-Calculation-sheet'!B9*'Output-Calculation-sheet'!B18</f>
        <v>18126.507980467286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2838.0989882971039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733.67388018798204</v>
      </c>
      <c r="O32" s="2">
        <f>O10/'Output-Calculation-sheet'!O9*'Output-Calculation-sheet'!O18</f>
        <v>0</v>
      </c>
      <c r="P32" s="2">
        <f>P10/'Output-Calculation-sheet'!P9*'Output-Calculation-sheet'!P18</f>
        <v>2920.7842265221402</v>
      </c>
      <c r="Q32" s="2">
        <f>Q10/'Output-Calculation-sheet'!Q9*'Output-Calculation-sheet'!Q18</f>
        <v>2704.3787727816202</v>
      </c>
      <c r="R32" s="2">
        <f>R10/'Output-Calculation-sheet'!R9*'Output-Calculation-sheet'!R18</f>
        <v>2097.3268996266002</v>
      </c>
      <c r="S32" s="2">
        <f>S10/'Output-Calculation-sheet'!S9*'Output-Calculation-sheet'!S18</f>
        <v>667.42637073269384</v>
      </c>
      <c r="T32" s="2">
        <f>T10/'Output-Calculation-sheet'!T9*'Output-Calculation-sheet'!T18</f>
        <v>612.38533356966991</v>
      </c>
      <c r="U32" s="2">
        <f>U10/'Output-Calculation-sheet'!U9*'Output-Calculation-sheet'!U18</f>
        <v>676.96489286565929</v>
      </c>
      <c r="V32" s="2">
        <f>V10/'Output-Calculation-sheet'!V9*'Output-Calculation-sheet'!V18</f>
        <v>499.67093762451293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289.28297076262362</v>
      </c>
      <c r="AA32" s="2">
        <f t="shared" si="1"/>
        <v>57.62600164375025</v>
      </c>
    </row>
    <row r="33" spans="1:27" x14ac:dyDescent="0.25">
      <c r="A33" s="2">
        <v>2034</v>
      </c>
      <c r="B33" s="2">
        <f>B11/'Output-Calculation-sheet'!B10*'Output-Calculation-sheet'!B19</f>
        <v>13402.996439994262</v>
      </c>
      <c r="C33" s="2">
        <f>C11/'Output-Calculation-sheet'!C10*'Output-Calculation-sheet'!C19</f>
        <v>0</v>
      </c>
      <c r="D33" s="2">
        <f>D11/'Output-Calculation-sheet'!D10*'Output-Calculation-sheet'!D19</f>
        <v>8913.5706005146913</v>
      </c>
      <c r="E33" s="2">
        <f>E11/'Output-Calculation-sheet'!E10*'Output-Calculation-sheet'!E19</f>
        <v>11050.576972231302</v>
      </c>
      <c r="F33" s="2">
        <f>F11/'Output-Calculation-sheet'!F10*'Output-Calculation-sheet'!F19</f>
        <v>5059.8676728757155</v>
      </c>
      <c r="G33" s="2">
        <f>G11/'Output-Calculation-sheet'!G10*'Output-Calculation-sheet'!G19</f>
        <v>3014.2347121930516</v>
      </c>
      <c r="H33" s="2">
        <f>H11/'Output-Calculation-sheet'!H10*'Output-Calculation-sheet'!H19</f>
        <v>0</v>
      </c>
      <c r="I33" s="2">
        <f>I11/'Output-Calculation-sheet'!I10*'Output-Calculation-sheet'!I19</f>
        <v>3311.062328111092</v>
      </c>
      <c r="J33" s="2">
        <f>J11/'Output-Calculation-sheet'!J10*'Output-Calculation-sheet'!J19</f>
        <v>2799.8882638415967</v>
      </c>
      <c r="K33" s="2">
        <f>K11/'Output-Calculation-sheet'!K10*'Output-Calculation-sheet'!K19</f>
        <v>3883.5110293848811</v>
      </c>
      <c r="L33" s="2">
        <f>L11/'Output-Calculation-sheet'!L10*'Output-Calculation-sheet'!L19</f>
        <v>3158.540089992523</v>
      </c>
      <c r="M33" s="2">
        <f>M11/'Output-Calculation-sheet'!M10*'Output-Calculation-sheet'!M19</f>
        <v>0</v>
      </c>
      <c r="N33" s="2">
        <f>N11/'Output-Calculation-sheet'!N10*'Output-Calculation-sheet'!N19</f>
        <v>599.54048472572504</v>
      </c>
      <c r="O33" s="2">
        <f>O11/'Output-Calculation-sheet'!O10*'Output-Calculation-sheet'!O19</f>
        <v>0</v>
      </c>
      <c r="P33" s="2">
        <f>P11/'Output-Calculation-sheet'!P10*'Output-Calculation-sheet'!P19</f>
        <v>2967.8230866308691</v>
      </c>
      <c r="Q33" s="2">
        <f>Q11/'Output-Calculation-sheet'!Q10*'Output-Calculation-sheet'!Q19</f>
        <v>1891.0118104213084</v>
      </c>
      <c r="R33" s="2">
        <f>R11/'Output-Calculation-sheet'!R10*'Output-Calculation-sheet'!R19</f>
        <v>2805.5555464315839</v>
      </c>
      <c r="S33" s="2">
        <f>S11/'Output-Calculation-sheet'!S10*'Output-Calculation-sheet'!S19</f>
        <v>381.1273198936214</v>
      </c>
      <c r="T33" s="2">
        <f>T11/'Output-Calculation-sheet'!T10*'Output-Calculation-sheet'!T19</f>
        <v>823.03038276605196</v>
      </c>
      <c r="U33" s="2">
        <f>U11/'Output-Calculation-sheet'!U10*'Output-Calculation-sheet'!U19</f>
        <v>890.15301177271624</v>
      </c>
      <c r="V33" s="2">
        <f>V11/'Output-Calculation-sheet'!V10*'Output-Calculation-sheet'!V19</f>
        <v>645.58284444851563</v>
      </c>
      <c r="W33" s="2">
        <f>W11/'Output-Calculation-sheet'!W10*'Output-Calculation-sheet'!W19</f>
        <v>401.96973132143876</v>
      </c>
      <c r="X33" s="2">
        <f>X11/'Output-Calculation-sheet'!X10*'Output-Calculation-sheet'!X19</f>
        <v>0</v>
      </c>
      <c r="Y33" s="2">
        <f>Y11/'Output-Calculation-sheet'!Y10*'Output-Calculation-sheet'!Y19</f>
        <v>329.09845534587612</v>
      </c>
      <c r="AA33" s="2">
        <f t="shared" si="1"/>
        <v>66.329140782896815</v>
      </c>
    </row>
    <row r="34" spans="1:27" x14ac:dyDescent="0.25">
      <c r="A34" s="2">
        <v>2035</v>
      </c>
      <c r="B34" s="2">
        <f>B12/'Output-Calculation-sheet'!B11*'Output-Calculation-sheet'!B20</f>
        <v>3585.4410840848782</v>
      </c>
      <c r="C34" s="2">
        <f>C12/'Output-Calculation-sheet'!C11*'Output-Calculation-sheet'!C20</f>
        <v>0</v>
      </c>
      <c r="D34" s="2">
        <f>D12/'Output-Calculation-sheet'!D11*'Output-Calculation-sheet'!D20</f>
        <v>9388.4111885239527</v>
      </c>
      <c r="E34" s="2">
        <f>E12/'Output-Calculation-sheet'!E11*'Output-Calculation-sheet'!E20</f>
        <v>6128.5400718506662</v>
      </c>
      <c r="F34" s="2">
        <f>F12/'Output-Calculation-sheet'!F11*'Output-Calculation-sheet'!F20</f>
        <v>5834.2454812761925</v>
      </c>
      <c r="G34" s="2">
        <f>G12/'Output-Calculation-sheet'!G11*'Output-Calculation-sheet'!G20</f>
        <v>3147.78117037124</v>
      </c>
      <c r="H34" s="2">
        <f>H12/'Output-Calculation-sheet'!H11*'Output-Calculation-sheet'!H20</f>
        <v>0</v>
      </c>
      <c r="I34" s="2">
        <f>I12/'Output-Calculation-sheet'!I11*'Output-Calculation-sheet'!I20</f>
        <v>3499.4667610330202</v>
      </c>
      <c r="J34" s="2">
        <f>J12/'Output-Calculation-sheet'!J11*'Output-Calculation-sheet'!J20</f>
        <v>3245.2825555726713</v>
      </c>
      <c r="K34" s="2">
        <f>K12/'Output-Calculation-sheet'!K11*'Output-Calculation-sheet'!K20</f>
        <v>4326.2834942419267</v>
      </c>
      <c r="L34" s="2">
        <f>L12/'Output-Calculation-sheet'!L11*'Output-Calculation-sheet'!L20</f>
        <v>3444.4371861863469</v>
      </c>
      <c r="M34" s="2">
        <f>M12/'Output-Calculation-sheet'!M11*'Output-Calculation-sheet'!M20</f>
        <v>0</v>
      </c>
      <c r="N34" s="2">
        <f>N12/'Output-Calculation-sheet'!N11*'Output-Calculation-sheet'!N20</f>
        <v>2.5428842603869638E-2</v>
      </c>
      <c r="O34" s="2">
        <f>O12/'Output-Calculation-sheet'!O11*'Output-Calculation-sheet'!O20</f>
        <v>0</v>
      </c>
      <c r="P34" s="2">
        <f>P12/'Output-Calculation-sheet'!P11*'Output-Calculation-sheet'!P20</f>
        <v>1770.9896602290428</v>
      </c>
      <c r="Q34" s="2">
        <f>Q12/'Output-Calculation-sheet'!Q11*'Output-Calculation-sheet'!Q20</f>
        <v>1190.8880717340021</v>
      </c>
      <c r="R34" s="2">
        <f>R12/'Output-Calculation-sheet'!R11*'Output-Calculation-sheet'!R20</f>
        <v>3305.0565657732072</v>
      </c>
      <c r="S34" s="2">
        <f>S12/'Output-Calculation-sheet'!S11*'Output-Calculation-sheet'!S20</f>
        <v>3.9155767000441846</v>
      </c>
      <c r="T34" s="2">
        <f>T12/'Output-Calculation-sheet'!T11*'Output-Calculation-sheet'!T20</f>
        <v>1001.8179221671434</v>
      </c>
      <c r="U34" s="2">
        <f>U12/'Output-Calculation-sheet'!U11*'Output-Calculation-sheet'!U20</f>
        <v>922.74975130402254</v>
      </c>
      <c r="V34" s="2">
        <f>V12/'Output-Calculation-sheet'!V11*'Output-Calculation-sheet'!V20</f>
        <v>908.25457835396844</v>
      </c>
      <c r="W34" s="2">
        <f>W12/'Output-Calculation-sheet'!W11*'Output-Calculation-sheet'!W20</f>
        <v>492.55492570952856</v>
      </c>
      <c r="X34" s="2">
        <f>X12/'Output-Calculation-sheet'!X11*'Output-Calculation-sheet'!X20</f>
        <v>0</v>
      </c>
      <c r="Y34" s="2">
        <f>Y12/'Output-Calculation-sheet'!Y11*'Output-Calculation-sheet'!Y20</f>
        <v>224.9957853018515</v>
      </c>
      <c r="AA34" s="2">
        <f t="shared" si="1"/>
        <v>52.421137259256298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2.0076840665530525E-2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3.6769201265029229E-3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2.3753760792033448E-2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5.873772457164083E-2</v>
      </c>
      <c r="E45" s="2">
        <f>E12/'Output-Calculation-sheet'!E11*'Output-Calculation-sheet'!E38*0.0114</f>
        <v>0.14004263526781502</v>
      </c>
      <c r="F45" s="2">
        <f>F12/'Output-Calculation-sheet'!F11*'Output-Calculation-sheet'!F38*0.0114</f>
        <v>5.8718122025916329E-2</v>
      </c>
      <c r="G45" s="2">
        <f>G12/'Output-Calculation-sheet'!G11*'Output-Calculation-sheet'!G38*0.0114</f>
        <v>4.2141099379395301E-2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3.7903314789653413E-2</v>
      </c>
      <c r="J45" s="2">
        <f>J12/'Output-Calculation-sheet'!J11*'Output-Calculation-sheet'!J38*0.0114</f>
        <v>1.8755863014237383E-2</v>
      </c>
      <c r="K45" s="2">
        <f>K12/'Output-Calculation-sheet'!K11*'Output-Calculation-sheet'!K38*0.0114</f>
        <v>3.7252925104865629E-2</v>
      </c>
      <c r="L45" s="2">
        <f>L12/'Output-Calculation-sheet'!L11*'Output-Calculation-sheet'!L38*0.0114</f>
        <v>1.4810905547660548E-2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3.8258048169987027E-2</v>
      </c>
      <c r="Q45" s="2">
        <f>Q12/'Output-Calculation-sheet'!Q11*'Output-Calculation-sheet'!Q38*0.0114</f>
        <v>1.2094617977811554E-2</v>
      </c>
      <c r="R45" s="2">
        <f>R12/'Output-Calculation-sheet'!R11*'Output-Calculation-sheet'!R38*0.0114</f>
        <v>2.3988186512050275E-2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4.4373626768831305E-3</v>
      </c>
      <c r="U45" s="2">
        <f>U12/'Output-Calculation-sheet'!U11*'Output-Calculation-sheet'!U38*0.0114</f>
        <v>1.1576731048657043E-2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5.1532577016882627E-3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5.9475905486983619E-3</v>
      </c>
      <c r="AA45" s="2">
        <f t="shared" si="2"/>
        <v>0.789406561555827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0.14134341406761275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185.9523719614071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0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17.350729638394402</v>
      </c>
      <c r="AA54" s="2">
        <f t="shared" si="3"/>
        <v>4.580524139746454</v>
      </c>
    </row>
    <row r="55" spans="1:27" x14ac:dyDescent="0.25">
      <c r="A55" s="2">
        <v>2034</v>
      </c>
      <c r="B55" s="2">
        <f>B11/'Output-Calculation-sheet'!B10*'Output-Calculation-sheet'!B46</f>
        <v>1751.5601221454335</v>
      </c>
      <c r="C55" s="2">
        <f>C11/'Output-Calculation-sheet'!C10*'Output-Calculation-sheet'!C46</f>
        <v>0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292.0140705598094</v>
      </c>
      <c r="G55" s="2">
        <f>G11/'Output-Calculation-sheet'!G10*'Output-Calculation-sheet'!G46</f>
        <v>3291.5451933225045</v>
      </c>
      <c r="H55" s="2">
        <f>H11/'Output-Calculation-sheet'!H10*'Output-Calculation-sheet'!H46</f>
        <v>597.12206787075513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1354.4577109575027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442.57440446393224</v>
      </c>
      <c r="N55" s="2">
        <f>N11/'Output-Calculation-sheet'!N10*'Output-Calculation-sheet'!N46</f>
        <v>151.14650220075168</v>
      </c>
      <c r="O55" s="2">
        <f>O11/'Output-Calculation-sheet'!O10*'Output-Calculation-sheet'!O46</f>
        <v>0</v>
      </c>
      <c r="P55" s="2">
        <f>P11/'Output-Calculation-sheet'!P10*'Output-Calculation-sheet'!P46</f>
        <v>3287.2336930370138</v>
      </c>
      <c r="Q55" s="2">
        <f>Q11/'Output-Calculation-sheet'!Q10*'Output-Calculation-sheet'!Q46</f>
        <v>704.59505142853209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0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1253.0556746898117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83.129242933988778</v>
      </c>
      <c r="X55" s="2">
        <f>X11/'Output-Calculation-sheet'!X10*'Output-Calculation-sheet'!X46</f>
        <v>42.240947239367465</v>
      </c>
      <c r="Y55" s="2">
        <f>Y11/'Output-Calculation-sheet'!Y10*'Output-Calculation-sheet'!Y46</f>
        <v>293.79418718572481</v>
      </c>
      <c r="AA55" s="2">
        <f t="shared" si="3"/>
        <v>43.512021661867649</v>
      </c>
    </row>
    <row r="56" spans="1:27" x14ac:dyDescent="0.25">
      <c r="A56" s="2">
        <v>2035</v>
      </c>
      <c r="B56" s="2">
        <f>B12/'Output-Calculation-sheet'!B11*'Output-Calculation-sheet'!B47</f>
        <v>3296.6023454939932</v>
      </c>
      <c r="C56" s="2">
        <f>C12/'Output-Calculation-sheet'!C11*'Output-Calculation-sheet'!C47</f>
        <v>378.0737744739007</v>
      </c>
      <c r="D56" s="2">
        <f>D12/'Output-Calculation-sheet'!D11*'Output-Calculation-sheet'!D47</f>
        <v>9305.2921558230992</v>
      </c>
      <c r="E56" s="2">
        <f>E12/'Output-Calculation-sheet'!E11*'Output-Calculation-sheet'!E47</f>
        <v>12194.35578443138</v>
      </c>
      <c r="F56" s="2">
        <f>F12/'Output-Calculation-sheet'!F11*'Output-Calculation-sheet'!F47</f>
        <v>1287.6781146034282</v>
      </c>
      <c r="G56" s="2">
        <f>G12/'Output-Calculation-sheet'!G11*'Output-Calculation-sheet'!G47</f>
        <v>3443.3714098163791</v>
      </c>
      <c r="H56" s="2">
        <f>H12/'Output-Calculation-sheet'!H11*'Output-Calculation-sheet'!H47</f>
        <v>146.82142100829816</v>
      </c>
      <c r="I56" s="2">
        <f>I12/'Output-Calculation-sheet'!I11*'Output-Calculation-sheet'!I47</f>
        <v>2194.4024351904609</v>
      </c>
      <c r="J56" s="2">
        <f>J12/'Output-Calculation-sheet'!J11*'Output-Calculation-sheet'!J47</f>
        <v>3663.9742923426888</v>
      </c>
      <c r="K56" s="2">
        <f>K12/'Output-Calculation-sheet'!K11*'Output-Calculation-sheet'!K47</f>
        <v>4893.5311705733575</v>
      </c>
      <c r="L56" s="2">
        <f>L12/'Output-Calculation-sheet'!L11*'Output-Calculation-sheet'!L47</f>
        <v>5299.445941132225</v>
      </c>
      <c r="M56" s="2">
        <f>M12/'Output-Calculation-sheet'!M11*'Output-Calculation-sheet'!M47</f>
        <v>112.1158022955825</v>
      </c>
      <c r="N56" s="2">
        <f>N12/'Output-Calculation-sheet'!N11*'Output-Calculation-sheet'!N47</f>
        <v>105.34806221603135</v>
      </c>
      <c r="O56" s="2">
        <f>O12/'Output-Calculation-sheet'!O11*'Output-Calculation-sheet'!O47</f>
        <v>68.929278502077437</v>
      </c>
      <c r="P56" s="2">
        <f>P12/'Output-Calculation-sheet'!P11*'Output-Calculation-sheet'!P47</f>
        <v>2503.5529767377475</v>
      </c>
      <c r="Q56" s="2">
        <f>Q12/'Output-Calculation-sheet'!Q11*'Output-Calculation-sheet'!Q47</f>
        <v>962.26478121711216</v>
      </c>
      <c r="R56" s="2">
        <f>R12/'Output-Calculation-sheet'!R11*'Output-Calculation-sheet'!R47</f>
        <v>5395.2377383242892</v>
      </c>
      <c r="S56" s="2">
        <f>S12/'Output-Calculation-sheet'!S11*'Output-Calculation-sheet'!S47</f>
        <v>45.118327513361457</v>
      </c>
      <c r="T56" s="2">
        <f>T12/'Output-Calculation-sheet'!T11*'Output-Calculation-sheet'!T47</f>
        <v>1815.0370317812315</v>
      </c>
      <c r="U56" s="2">
        <f>U12/'Output-Calculation-sheet'!U11*'Output-Calculation-sheet'!U47</f>
        <v>1272.4249126287086</v>
      </c>
      <c r="V56" s="2">
        <f>V12/'Output-Calculation-sheet'!V11*'Output-Calculation-sheet'!V47</f>
        <v>1257.3033351058134</v>
      </c>
      <c r="W56" s="2">
        <f>W12/'Output-Calculation-sheet'!W11*'Output-Calculation-sheet'!W47</f>
        <v>445.03352695720122</v>
      </c>
      <c r="X56" s="2">
        <f>X12/'Output-Calculation-sheet'!X11*'Output-Calculation-sheet'!X47</f>
        <v>11.488391417346357</v>
      </c>
      <c r="Y56" s="2">
        <f>Y12/'Output-Calculation-sheet'!Y11*'Output-Calculation-sheet'!Y47</f>
        <v>355.15984789705351</v>
      </c>
      <c r="AA56" s="2">
        <f t="shared" si="3"/>
        <v>60.452562857482775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7.2238935038888537</v>
      </c>
      <c r="C63" s="2">
        <f>C8*'Output-Calculation-sheet'!C52/10^9</f>
        <v>3.8593754379938288</v>
      </c>
      <c r="D63" s="2">
        <f>D8*'Output-Calculation-sheet'!D52/10^9</f>
        <v>2.477227892101554</v>
      </c>
      <c r="E63" s="2">
        <f>E8*'Output-Calculation-sheet'!E52/10^9</f>
        <v>2.4630290120777079</v>
      </c>
      <c r="F63" s="2">
        <f>F8*'Output-Calculation-sheet'!F52/10^9</f>
        <v>1.0430925829973448</v>
      </c>
      <c r="G63" s="2">
        <f>G8*'Output-Calculation-sheet'!G52/10^9</f>
        <v>0.74993644427615436</v>
      </c>
      <c r="H63" s="2">
        <f>H8*'Output-Calculation-sheet'!H52/10^9</f>
        <v>1.2196995821189289</v>
      </c>
      <c r="I63" s="2">
        <f>I8*'Output-Calculation-sheet'!I52/10^9</f>
        <v>0.69761500027531032</v>
      </c>
      <c r="J63" s="2">
        <f>J8*'Output-Calculation-sheet'!J52/10^9</f>
        <v>0.95996552607106311</v>
      </c>
      <c r="K63" s="2">
        <f>K8*'Output-Calculation-sheet'!K52/10^9</f>
        <v>0.84341509595898412</v>
      </c>
      <c r="L63" s="2">
        <f>L8*'Output-Calculation-sheet'!L52/10^9</f>
        <v>1.1344338843065531</v>
      </c>
      <c r="M63" s="2">
        <f>M8*'Output-Calculation-sheet'!M52/10^9</f>
        <v>0.99921810304969749</v>
      </c>
      <c r="N63" s="2">
        <f>N8*'Output-Calculation-sheet'!N52/10^9</f>
        <v>0.88166512943729258</v>
      </c>
      <c r="O63" s="2">
        <f>O8*'Output-Calculation-sheet'!O52/10^9</f>
        <v>0.78959489798696636</v>
      </c>
      <c r="P63" s="2">
        <f>P8*'Output-Calculation-sheet'!P52/10^9</f>
        <v>0.58277708018994745</v>
      </c>
      <c r="Q63" s="2">
        <f>Q8*'Output-Calculation-sheet'!Q52/10^9</f>
        <v>0.65953287433777397</v>
      </c>
      <c r="R63" s="2">
        <f>R8*'Output-Calculation-sheet'!R52/10^9</f>
        <v>0.5921296037098982</v>
      </c>
      <c r="S63" s="2">
        <f>S8*'Output-Calculation-sheet'!S52/10^9</f>
        <v>0.43878901654271119</v>
      </c>
      <c r="T63" s="2">
        <f>T8*'Output-Calculation-sheet'!T52/10^9</f>
        <v>0.22511921678347335</v>
      </c>
      <c r="U63" s="2">
        <f>U8*'Output-Calculation-sheet'!U52/10^9</f>
        <v>0.15460946578524593</v>
      </c>
      <c r="V63" s="2">
        <f>V8*'Output-Calculation-sheet'!V52/10^9</f>
        <v>0.27439526468731246</v>
      </c>
      <c r="W63" s="2">
        <f>W8*'Output-Calculation-sheet'!W52/10^9</f>
        <v>9.9318230268659879E-2</v>
      </c>
      <c r="X63" s="2">
        <f>X8*'Output-Calculation-sheet'!X52/10^9</f>
        <v>0.1023356635335841</v>
      </c>
      <c r="Y63" s="2">
        <f>Y8*'Output-Calculation-sheet'!Y52/10^9</f>
        <v>6.480238245961327E-2</v>
      </c>
      <c r="AA63" s="2">
        <f t="shared" si="4"/>
        <v>28.53597089083846</v>
      </c>
    </row>
    <row r="64" spans="1:27" x14ac:dyDescent="0.25">
      <c r="A64" s="2">
        <v>2032</v>
      </c>
      <c r="B64" s="2">
        <f>B9*'Output-Calculation-sheet'!B53/10^9</f>
        <v>7.5594234925941972</v>
      </c>
      <c r="C64" s="2">
        <f>C9*'Output-Calculation-sheet'!C53/10^9</f>
        <v>4.0074838641930661</v>
      </c>
      <c r="D64" s="2">
        <f>D9*'Output-Calculation-sheet'!D53/10^9</f>
        <v>2.2388548787508595</v>
      </c>
      <c r="E64" s="2">
        <f>E9*'Output-Calculation-sheet'!E53/10^9</f>
        <v>2.2926859007549161</v>
      </c>
      <c r="F64" s="2">
        <f>F9*'Output-Calculation-sheet'!F53/10^9</f>
        <v>0.96704053661744971</v>
      </c>
      <c r="G64" s="2">
        <f>G9*'Output-Calculation-sheet'!G53/10^9</f>
        <v>0.68830987112958542</v>
      </c>
      <c r="H64" s="2">
        <f>H9*'Output-Calculation-sheet'!H53/10^9</f>
        <v>1.2577190802295126</v>
      </c>
      <c r="I64" s="2">
        <f>I9*'Output-Calculation-sheet'!I53/10^9</f>
        <v>0.64345723464998417</v>
      </c>
      <c r="J64" s="2">
        <f>J9*'Output-Calculation-sheet'!J53/10^9</f>
        <v>0.8518066377974427</v>
      </c>
      <c r="K64" s="2">
        <f>K9*'Output-Calculation-sheet'!K53/10^9</f>
        <v>0.79036066859221576</v>
      </c>
      <c r="L64" s="2">
        <f>L9*'Output-Calculation-sheet'!L53/10^9</f>
        <v>1.0167966378121669</v>
      </c>
      <c r="M64" s="2">
        <f>M9*'Output-Calculation-sheet'!M53/10^9</f>
        <v>0.99785298907408682</v>
      </c>
      <c r="N64" s="2">
        <f>N9*'Output-Calculation-sheet'!N53/10^9</f>
        <v>0.89839010375227091</v>
      </c>
      <c r="O64" s="2">
        <f>O9*'Output-Calculation-sheet'!O53/10^9</f>
        <v>0.81154549345099736</v>
      </c>
      <c r="P64" s="2">
        <f>P9*'Output-Calculation-sheet'!P53/10^9</f>
        <v>0.60260096894369231</v>
      </c>
      <c r="Q64" s="2">
        <f>Q9*'Output-Calculation-sheet'!Q53/10^9</f>
        <v>0.66595960999309556</v>
      </c>
      <c r="R64" s="2">
        <f>R9*'Output-Calculation-sheet'!R53/10^9</f>
        <v>0.57088465332155203</v>
      </c>
      <c r="S64" s="2">
        <f>S9*'Output-Calculation-sheet'!S53/10^9</f>
        <v>0.45937490584743829</v>
      </c>
      <c r="T64" s="2">
        <f>T9*'Output-Calculation-sheet'!T53/10^9</f>
        <v>0.20521735786174886</v>
      </c>
      <c r="U64" s="2">
        <f>U9*'Output-Calculation-sheet'!U53/10^9</f>
        <v>0.15446282657034602</v>
      </c>
      <c r="V64" s="2">
        <f>V9*'Output-Calculation-sheet'!V53/10^9</f>
        <v>0.24357912655837513</v>
      </c>
      <c r="W64" s="2">
        <f>W9*'Output-Calculation-sheet'!W53/10^9</f>
        <v>9.0509456589758577E-2</v>
      </c>
      <c r="X64" s="2">
        <f>X9*'Output-Calculation-sheet'!X53/10^9</f>
        <v>0.10376779708234976</v>
      </c>
      <c r="Y64" s="2">
        <f>Y9*'Output-Calculation-sheet'!Y53/10^9</f>
        <v>6.3413912037321371E-2</v>
      </c>
      <c r="AA64" s="2">
        <f t="shared" si="4"/>
        <v>28.181498004204421</v>
      </c>
    </row>
    <row r="65" spans="1:27" x14ac:dyDescent="0.25">
      <c r="A65" s="2">
        <v>2033</v>
      </c>
      <c r="B65" s="2">
        <f>B10*'Output-Calculation-sheet'!B54/10^9</f>
        <v>7.8700697734882423</v>
      </c>
      <c r="C65" s="2">
        <f>C10*'Output-Calculation-sheet'!C54/10^9</f>
        <v>4.0681801076483977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1.2775458587689754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0.74434721304525464</v>
      </c>
      <c r="L65" s="2">
        <f>L10*'Output-Calculation-sheet'!L54/10^9</f>
        <v>0.87914605660413192</v>
      </c>
      <c r="M65" s="2">
        <f>M10*'Output-Calculation-sheet'!M54/10^9</f>
        <v>0.97421007801771098</v>
      </c>
      <c r="N65" s="2">
        <f>N10*'Output-Calculation-sheet'!N54/10^9</f>
        <v>0.8939571255911245</v>
      </c>
      <c r="O65" s="2">
        <f>O10*'Output-Calculation-sheet'!O54/10^9</f>
        <v>0.8152812827673479</v>
      </c>
      <c r="P65" s="2">
        <f>P10*'Output-Calculation-sheet'!P54/10^9</f>
        <v>0.62974128889189906</v>
      </c>
      <c r="Q65" s="2">
        <f>Q10*'Output-Calculation-sheet'!Q54/10^9</f>
        <v>0.68600015019585603</v>
      </c>
      <c r="R65" s="2">
        <f>R10*'Output-Calculation-sheet'!R54/10^9</f>
        <v>0.5544184471123107</v>
      </c>
      <c r="S65" s="2">
        <f>S10*'Output-Calculation-sheet'!S54/10^9</f>
        <v>0.47156109143538727</v>
      </c>
      <c r="T65" s="2">
        <f>T10*'Output-Calculation-sheet'!T54/10^9</f>
        <v>0.18536912797394589</v>
      </c>
      <c r="U65" s="2">
        <f>U10*'Output-Calculation-sheet'!U54/10^9</f>
        <v>0.1600596483855615</v>
      </c>
      <c r="V65" s="2">
        <f>V10*'Output-Calculation-sheet'!V54/10^9</f>
        <v>0.20514348739182167</v>
      </c>
      <c r="W65" s="2">
        <f>W10*'Output-Calculation-sheet'!W54/10^9</f>
        <v>7.8102843509243139E-2</v>
      </c>
      <c r="X65" s="2">
        <f>X10*'Output-Calculation-sheet'!X54/10^9</f>
        <v>0.1021466146142033</v>
      </c>
      <c r="Y65" s="2">
        <f>Y10*'Output-Calculation-sheet'!Y54/10^9</f>
        <v>6.4284142034571265E-2</v>
      </c>
      <c r="AA65" s="2">
        <f t="shared" si="4"/>
        <v>27.473649233318245</v>
      </c>
    </row>
    <row r="66" spans="1:27" x14ac:dyDescent="0.25">
      <c r="A66" s="2">
        <v>2034</v>
      </c>
      <c r="B66" s="2">
        <f>B11*'Output-Calculation-sheet'!B55/10^9</f>
        <v>8.1476150661216984</v>
      </c>
      <c r="C66" s="2">
        <f>C11*'Output-Calculation-sheet'!C55/10^9</f>
        <v>4.09856022152122</v>
      </c>
      <c r="D66" s="2">
        <f>D11*'Output-Calculation-sheet'!D55/10^9</f>
        <v>1.8387825820747201</v>
      </c>
      <c r="E66" s="2">
        <f>E11*'Output-Calculation-sheet'!E55/10^9</f>
        <v>2.2266352966344396</v>
      </c>
      <c r="F66" s="2">
        <f>F11*'Output-Calculation-sheet'!F55/10^9</f>
        <v>0.85572904689364049</v>
      </c>
      <c r="G66" s="2">
        <f>G11*'Output-Calculation-sheet'!G55/10^9</f>
        <v>0.61169680518151837</v>
      </c>
      <c r="H66" s="2">
        <f>H11*'Output-Calculation-sheet'!H55/10^9</f>
        <v>1.2763771969260098</v>
      </c>
      <c r="I66" s="2">
        <f>I11*'Output-Calculation-sheet'!I55/10^9</f>
        <v>0.59812928392926801</v>
      </c>
      <c r="J66" s="2">
        <f>J11*'Output-Calculation-sheet'!J55/10^9</f>
        <v>0.61507762163268576</v>
      </c>
      <c r="K66" s="2">
        <f>K11*'Output-Calculation-sheet'!K55/10^9</f>
        <v>0.73567620360056429</v>
      </c>
      <c r="L66" s="2">
        <f>L11*'Output-Calculation-sheet'!L55/10^9</f>
        <v>0.77909294998159362</v>
      </c>
      <c r="M66" s="2">
        <f>M11*'Output-Calculation-sheet'!M55/10^9</f>
        <v>0.93039078560401967</v>
      </c>
      <c r="N66" s="2">
        <f>N11*'Output-Calculation-sheet'!N55/10^9</f>
        <v>0.87895035594499116</v>
      </c>
      <c r="O66" s="2">
        <f>O11*'Output-Calculation-sheet'!O55/10^9</f>
        <v>0.80784001772832181</v>
      </c>
      <c r="P66" s="2">
        <f>P11*'Output-Calculation-sheet'!P55/10^9</f>
        <v>0.67453861852710406</v>
      </c>
      <c r="Q66" s="2">
        <f>Q11*'Output-Calculation-sheet'!Q55/10^9</f>
        <v>0.71355215049649634</v>
      </c>
      <c r="R66" s="2">
        <f>R11*'Output-Calculation-sheet'!R55/10^9</f>
        <v>0.55114061091419841</v>
      </c>
      <c r="S66" s="2">
        <f>S11*'Output-Calculation-sheet'!S55/10^9</f>
        <v>0.48072729038553158</v>
      </c>
      <c r="T66" s="2">
        <f>T11*'Output-Calculation-sheet'!T55/10^9</f>
        <v>0.17274072648098407</v>
      </c>
      <c r="U66" s="2">
        <f>U11*'Output-Calculation-sheet'!U55/10^9</f>
        <v>0.1754533421653445</v>
      </c>
      <c r="V66" s="2">
        <f>V11*'Output-Calculation-sheet'!V55/10^9</f>
        <v>0.1638686461956923</v>
      </c>
      <c r="W66" s="2">
        <f>W11*'Output-Calculation-sheet'!W55/10^9</f>
        <v>7.4200789330993944E-2</v>
      </c>
      <c r="X66" s="2">
        <f>X11*'Output-Calculation-sheet'!X55/10^9</f>
        <v>9.9404682552454299E-2</v>
      </c>
      <c r="Y66" s="2">
        <f>Y11*'Output-Calculation-sheet'!Y55/10^9</f>
        <v>7.254275075475107E-2</v>
      </c>
      <c r="AA66" s="2">
        <f t="shared" si="4"/>
        <v>27.578723041578236</v>
      </c>
    </row>
    <row r="67" spans="1:27" x14ac:dyDescent="0.25">
      <c r="A67" s="2">
        <v>2035</v>
      </c>
      <c r="B67" s="2">
        <f>B12*'Output-Calculation-sheet'!B56/10^9</f>
        <v>8.6375415570246599</v>
      </c>
      <c r="C67" s="2">
        <f>C12*'Output-Calculation-sheet'!C56/10^9</f>
        <v>4.0540452963931797</v>
      </c>
      <c r="D67" s="2">
        <f>D12*'Output-Calculation-sheet'!D56/10^9</f>
        <v>1.993065909250423</v>
      </c>
      <c r="E67" s="2">
        <f>E12*'Output-Calculation-sheet'!E56/10^9</f>
        <v>2.6643678396662356</v>
      </c>
      <c r="F67" s="2">
        <f>F12*'Output-Calculation-sheet'!F56/10^9</f>
        <v>0.98834806340908499</v>
      </c>
      <c r="G67" s="2">
        <f>G12*'Output-Calculation-sheet'!G56/10^9</f>
        <v>0.69235353356283513</v>
      </c>
      <c r="H67" s="2">
        <f>H12*'Output-Calculation-sheet'!H56/10^9</f>
        <v>1.2763356382194659</v>
      </c>
      <c r="I67" s="2">
        <f>I12*'Output-Calculation-sheet'!I56/10^9</f>
        <v>0.67256022222363387</v>
      </c>
      <c r="J67" s="2">
        <f>J12*'Output-Calculation-sheet'!J56/10^9</f>
        <v>0.66586217989852192</v>
      </c>
      <c r="K67" s="2">
        <f>K12*'Output-Calculation-sheet'!K56/10^9</f>
        <v>0.8023758554855287</v>
      </c>
      <c r="L67" s="2">
        <f>L12*'Output-Calculation-sheet'!L56/10^9</f>
        <v>0.80599647282652731</v>
      </c>
      <c r="M67" s="2">
        <f>M12*'Output-Calculation-sheet'!M56/10^9</f>
        <v>0.88787218479329488</v>
      </c>
      <c r="N67" s="2">
        <f>N12*'Output-Calculation-sheet'!N56/10^9</f>
        <v>0.86610266588422302</v>
      </c>
      <c r="O67" s="2">
        <f>O12*'Output-Calculation-sheet'!O56/10^9</f>
        <v>0.78806670839504733</v>
      </c>
      <c r="P67" s="2">
        <f>P12*'Output-Calculation-sheet'!P56/10^9</f>
        <v>0.75323367381034745</v>
      </c>
      <c r="Q67" s="2">
        <f>Q12*'Output-Calculation-sheet'!Q56/10^9</f>
        <v>0.76450683977360701</v>
      </c>
      <c r="R67" s="2">
        <f>R12*'Output-Calculation-sheet'!R56/10^9</f>
        <v>0.60861527803437887</v>
      </c>
      <c r="S67" s="2">
        <f>S12*'Output-Calculation-sheet'!S56/10^9</f>
        <v>0.49485308429930669</v>
      </c>
      <c r="T67" s="2">
        <f>T12*'Output-Calculation-sheet'!T56/10^9</f>
        <v>0.18445158300503559</v>
      </c>
      <c r="U67" s="2">
        <f>U12*'Output-Calculation-sheet'!U56/10^9</f>
        <v>0.19285917075025949</v>
      </c>
      <c r="V67" s="2">
        <f>V12*'Output-Calculation-sheet'!V56/10^9</f>
        <v>0.14794186691066108</v>
      </c>
      <c r="W67" s="2">
        <f>W12*'Output-Calculation-sheet'!W56/10^9</f>
        <v>8.9322668685889173E-2</v>
      </c>
      <c r="X67" s="2">
        <f>X12*'Output-Calculation-sheet'!X56/10^9</f>
        <v>9.4915238643340047E-2</v>
      </c>
      <c r="Y67" s="2">
        <f>Y12*'Output-Calculation-sheet'!Y56/10^9</f>
        <v>8.5797133857991259E-2</v>
      </c>
      <c r="AA67" s="2">
        <f t="shared" si="4"/>
        <v>29.211390664803471</v>
      </c>
    </row>
    <row r="68" spans="1:27" x14ac:dyDescent="0.25">
      <c r="B68" s="2">
        <f>SUM(B60:B67)</f>
        <v>39.438543393117655</v>
      </c>
      <c r="C68" s="2">
        <f t="shared" ref="C68:Y68" si="5">SUM(C60:C67)</f>
        <v>20.087644927749693</v>
      </c>
      <c r="D68" s="2">
        <f t="shared" si="5"/>
        <v>10.457780298063874</v>
      </c>
      <c r="E68" s="2">
        <f t="shared" si="5"/>
        <v>11.797175511793847</v>
      </c>
      <c r="F68" s="2">
        <f t="shared" si="5"/>
        <v>4.7272582525700733</v>
      </c>
      <c r="G68" s="2">
        <f t="shared" si="5"/>
        <v>3.3417235939245242</v>
      </c>
      <c r="H68" s="2">
        <f t="shared" si="5"/>
        <v>6.3076773562628929</v>
      </c>
      <c r="I68" s="2">
        <f t="shared" si="5"/>
        <v>3.1954401370182657</v>
      </c>
      <c r="J68" s="2">
        <f t="shared" si="5"/>
        <v>3.79033700432805</v>
      </c>
      <c r="K68" s="2">
        <f t="shared" si="5"/>
        <v>3.9161750366825476</v>
      </c>
      <c r="L68" s="2">
        <f t="shared" si="5"/>
        <v>4.6154660015309732</v>
      </c>
      <c r="M68" s="2">
        <f t="shared" si="5"/>
        <v>4.7895441405388093</v>
      </c>
      <c r="N68" s="2">
        <f t="shared" si="5"/>
        <v>4.4190653806099025</v>
      </c>
      <c r="O68" s="2">
        <f t="shared" si="5"/>
        <v>4.0123284003286805</v>
      </c>
      <c r="P68" s="2">
        <f t="shared" si="5"/>
        <v>3.24289163036299</v>
      </c>
      <c r="Q68" s="2">
        <f t="shared" si="5"/>
        <v>3.489551624796829</v>
      </c>
      <c r="R68" s="2">
        <f t="shared" si="5"/>
        <v>2.8771885930923387</v>
      </c>
      <c r="S68" s="2">
        <f t="shared" si="5"/>
        <v>2.3453053885103747</v>
      </c>
      <c r="T68" s="2">
        <f t="shared" si="5"/>
        <v>0.97289801210518778</v>
      </c>
      <c r="U68" s="2">
        <f t="shared" si="5"/>
        <v>0.83744445365675746</v>
      </c>
      <c r="V68" s="2">
        <f t="shared" si="5"/>
        <v>1.0349283917438625</v>
      </c>
      <c r="W68" s="2">
        <f t="shared" si="5"/>
        <v>0.43145398838454468</v>
      </c>
      <c r="X68" s="2">
        <f t="shared" si="5"/>
        <v>0.50256999642593148</v>
      </c>
      <c r="Y68" s="2">
        <f t="shared" si="5"/>
        <v>0.35084032114424824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51.773811758236604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5.1773811758236601E-2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494.78311735727533</v>
      </c>
      <c r="Q76" s="2">
        <f>Q10/'Output-Calculation-sheet'!Q9*'Output-Calculation-sheet'!Q63</f>
        <v>58.77429996650956</v>
      </c>
      <c r="R76" s="2">
        <f>R10/'Output-Calculation-sheet'!R9*'Output-Calculation-sheet'!R63</f>
        <v>377.14789105669854</v>
      </c>
      <c r="S76" s="2">
        <f>S10/'Output-Calculation-sheet'!S9*'Output-Calculation-sheet'!S63</f>
        <v>0</v>
      </c>
      <c r="T76" s="2">
        <f>T10/'Output-Calculation-sheet'!T9*'Output-Calculation-sheet'!T63</f>
        <v>24.775654810030094</v>
      </c>
      <c r="U76" s="2">
        <f>U10/'Output-Calculation-sheet'!U9*'Output-Calculation-sheet'!U63</f>
        <v>133.82046007532517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6.3555253726799821</v>
      </c>
      <c r="AA76" s="2">
        <f t="shared" si="6"/>
        <v>1.1997012684871284</v>
      </c>
    </row>
    <row r="77" spans="1:27" x14ac:dyDescent="0.25">
      <c r="A77" s="2">
        <v>2034</v>
      </c>
      <c r="B77" s="2">
        <f>B11/'Output-Calculation-sheet'!B10*'Output-Calculation-sheet'!B64</f>
        <v>530.16221777097985</v>
      </c>
      <c r="C77" s="2">
        <f>C11/'Output-Calculation-sheet'!C10*'Output-Calculation-sheet'!C64</f>
        <v>0</v>
      </c>
      <c r="D77" s="2">
        <f>D11/'Output-Calculation-sheet'!D10*'Output-Calculation-sheet'!D64</f>
        <v>1783.2109552216907</v>
      </c>
      <c r="E77" s="2">
        <f>E11/'Output-Calculation-sheet'!E10*'Output-Calculation-sheet'!E64</f>
        <v>2211.131396662016</v>
      </c>
      <c r="F77" s="2">
        <f>F11/'Output-Calculation-sheet'!F10*'Output-Calculation-sheet'!F64</f>
        <v>138.5275488339694</v>
      </c>
      <c r="G77" s="2">
        <f>G11/'Output-Calculation-sheet'!G10*'Output-Calculation-sheet'!G64</f>
        <v>893.36305357213496</v>
      </c>
      <c r="H77" s="2">
        <f>H11/'Output-Calculation-sheet'!H10*'Output-Calculation-sheet'!H64</f>
        <v>146.20277922357781</v>
      </c>
      <c r="I77" s="2">
        <f>I11/'Output-Calculation-sheet'!I10*'Output-Calculation-sheet'!I64</f>
        <v>552.75796740300518</v>
      </c>
      <c r="J77" s="2">
        <f>J11/'Output-Calculation-sheet'!J10*'Output-Calculation-sheet'!J64</f>
        <v>388.45502265195887</v>
      </c>
      <c r="K77" s="2">
        <f>K11/'Output-Calculation-sheet'!K10*'Output-Calculation-sheet'!K64</f>
        <v>847.50061138157503</v>
      </c>
      <c r="L77" s="2">
        <f>L11/'Output-Calculation-sheet'!L10*'Output-Calculation-sheet'!L64</f>
        <v>350.43336960333556</v>
      </c>
      <c r="M77" s="2">
        <f>M11/'Output-Calculation-sheet'!M10*'Output-Calculation-sheet'!M64</f>
        <v>105.29749014004473</v>
      </c>
      <c r="N77" s="2">
        <f>N11/'Output-Calculation-sheet'!N10*'Output-Calculation-sheet'!N64</f>
        <v>34.824846381109069</v>
      </c>
      <c r="O77" s="2">
        <f>O11/'Output-Calculation-sheet'!O10*'Output-Calculation-sheet'!O64</f>
        <v>0</v>
      </c>
      <c r="P77" s="2">
        <f>P11/'Output-Calculation-sheet'!P10*'Output-Calculation-sheet'!P64</f>
        <v>717.07315001741915</v>
      </c>
      <c r="Q77" s="2">
        <f>Q11/'Output-Calculation-sheet'!Q10*'Output-Calculation-sheet'!Q64</f>
        <v>172.95938353538693</v>
      </c>
      <c r="R77" s="2">
        <f>R11/'Output-Calculation-sheet'!R10*'Output-Calculation-sheet'!R64</f>
        <v>891.60072343858508</v>
      </c>
      <c r="S77" s="2">
        <f>S11/'Output-Calculation-sheet'!S10*'Output-Calculation-sheet'!S64</f>
        <v>0</v>
      </c>
      <c r="T77" s="2">
        <f>T11/'Output-Calculation-sheet'!T10*'Output-Calculation-sheet'!T64</f>
        <v>247.21987959481669</v>
      </c>
      <c r="U77" s="2">
        <f>U11/'Output-Calculation-sheet'!U10*'Output-Calculation-sheet'!U64</f>
        <v>271.14608877077478</v>
      </c>
      <c r="V77" s="2">
        <f>V11/'Output-Calculation-sheet'!V10*'Output-Calculation-sheet'!V64</f>
        <v>127.76799583045845</v>
      </c>
      <c r="W77" s="2">
        <f>W11/'Output-Calculation-sheet'!W10*'Output-Calculation-sheet'!W64</f>
        <v>28.034583416922253</v>
      </c>
      <c r="X77" s="2">
        <f>X11/'Output-Calculation-sheet'!X10*'Output-Calculation-sheet'!X64</f>
        <v>10.497004172358544</v>
      </c>
      <c r="Y77" s="2">
        <f>Y11/'Output-Calculation-sheet'!Y10*'Output-Calculation-sheet'!Y64</f>
        <v>59.166594936365087</v>
      </c>
      <c r="AA77" s="2">
        <f t="shared" si="6"/>
        <v>10.507332662558481</v>
      </c>
    </row>
    <row r="78" spans="1:27" x14ac:dyDescent="0.25">
      <c r="A78" s="2">
        <v>2035</v>
      </c>
      <c r="B78" s="2">
        <f>B12/'Output-Calculation-sheet'!B11*'Output-Calculation-sheet'!B65</f>
        <v>664.55336575874639</v>
      </c>
      <c r="C78" s="2">
        <f>C12/'Output-Calculation-sheet'!C11*'Output-Calculation-sheet'!C65</f>
        <v>67.936949013156308</v>
      </c>
      <c r="D78" s="2">
        <f>D12/'Output-Calculation-sheet'!D11*'Output-Calculation-sheet'!D65</f>
        <v>2112.3373863957036</v>
      </c>
      <c r="E78" s="2">
        <f>E12/'Output-Calculation-sheet'!E11*'Output-Calculation-sheet'!E65</f>
        <v>1972.2466392855781</v>
      </c>
      <c r="F78" s="2">
        <f>F12/'Output-Calculation-sheet'!F11*'Output-Calculation-sheet'!F65</f>
        <v>466.57213733294776</v>
      </c>
      <c r="G78" s="2">
        <f>G12/'Output-Calculation-sheet'!G11*'Output-Calculation-sheet'!G65</f>
        <v>923.69778081352877</v>
      </c>
      <c r="H78" s="2">
        <f>H12/'Output-Calculation-sheet'!H11*'Output-Calculation-sheet'!H65</f>
        <v>26.692850541362301</v>
      </c>
      <c r="I78" s="2">
        <f>I12/'Output-Calculation-sheet'!I11*'Output-Calculation-sheet'!I65</f>
        <v>612.57741433994067</v>
      </c>
      <c r="J78" s="2">
        <f>J12/'Output-Calculation-sheet'!J11*'Output-Calculation-sheet'!J65</f>
        <v>893.82710445489852</v>
      </c>
      <c r="K78" s="2">
        <f>K12/'Output-Calculation-sheet'!K11*'Output-Calculation-sheet'!K65</f>
        <v>1115.7953646003532</v>
      </c>
      <c r="L78" s="2">
        <f>L12/'Output-Calculation-sheet'!L11*'Output-Calculation-sheet'!L65</f>
        <v>941.3785582048223</v>
      </c>
      <c r="M78" s="2">
        <f>M12/'Output-Calculation-sheet'!M11*'Output-Calculation-sheet'!M65</f>
        <v>22.312276698604386</v>
      </c>
      <c r="N78" s="2">
        <f>N12/'Output-Calculation-sheet'!N11*'Output-Calculation-sheet'!N65</f>
        <v>18.111390420289435</v>
      </c>
      <c r="O78" s="2">
        <f>O12/'Output-Calculation-sheet'!O11*'Output-Calculation-sheet'!O65</f>
        <v>12.346250769077018</v>
      </c>
      <c r="P78" s="2">
        <f>P12/'Output-Calculation-sheet'!P11*'Output-Calculation-sheet'!P65</f>
        <v>516.48476895120405</v>
      </c>
      <c r="Q78" s="2">
        <f>Q12/'Output-Calculation-sheet'!Q11*'Output-Calculation-sheet'!Q65</f>
        <v>195.50207309151281</v>
      </c>
      <c r="R78" s="2">
        <f>R12/'Output-Calculation-sheet'!R11*'Output-Calculation-sheet'!R65</f>
        <v>1184.8080952334685</v>
      </c>
      <c r="S78" s="2">
        <f>S12/'Output-Calculation-sheet'!S11*'Output-Calculation-sheet'!S65</f>
        <v>7.0481768857026497</v>
      </c>
      <c r="T78" s="2">
        <f>T12/'Output-Calculation-sheet'!T11*'Output-Calculation-sheet'!T65</f>
        <v>408.12331826760533</v>
      </c>
      <c r="U78" s="2">
        <f>U12/'Output-Calculation-sheet'!U11*'Output-Calculation-sheet'!U65</f>
        <v>279.63424597577165</v>
      </c>
      <c r="V78" s="2">
        <f>V12/'Output-Calculation-sheet'!V11*'Output-Calculation-sheet'!V65</f>
        <v>230.53493198301277</v>
      </c>
      <c r="W78" s="2">
        <f>W12/'Output-Calculation-sheet'!W11*'Output-Calculation-sheet'!W65</f>
        <v>109.01174219742394</v>
      </c>
      <c r="X78" s="2">
        <f>X12/'Output-Calculation-sheet'!X11*'Output-Calculation-sheet'!X65</f>
        <v>2.3903963600845604</v>
      </c>
      <c r="Y78" s="2">
        <f>Y12/'Output-Calculation-sheet'!Y11*'Output-Calculation-sheet'!Y65</f>
        <v>61.4314367391028</v>
      </c>
      <c r="AA78" s="2">
        <f t="shared" si="6"/>
        <v>12.845354654313899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1.7611263741693444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1.290147412808043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3.0512737869773875E-3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30.914591879810963</v>
      </c>
      <c r="E89" s="2">
        <f>E12/'Output-Calculation-sheet'!E11*'Output-Calculation-sheet'!E74</f>
        <v>69.611836244235548</v>
      </c>
      <c r="F89" s="2">
        <f>F12/'Output-Calculation-sheet'!F11*'Output-Calculation-sheet'!F74</f>
        <v>30.904274750482276</v>
      </c>
      <c r="G89" s="2">
        <f>G12/'Output-Calculation-sheet'!G11*'Output-Calculation-sheet'!G74</f>
        <v>22.179525989155419</v>
      </c>
      <c r="H89" s="2">
        <f>H12/'Output-Calculation-sheet'!H11*'Output-Calculation-sheet'!H74</f>
        <v>3.5810102684950769</v>
      </c>
      <c r="I89" s="2">
        <f>I12/'Output-Calculation-sheet'!I11*'Output-Calculation-sheet'!I74</f>
        <v>19.949113047186007</v>
      </c>
      <c r="J89" s="2">
        <f>J12/'Output-Calculation-sheet'!J11*'Output-Calculation-sheet'!J74</f>
        <v>9.8715068495986227</v>
      </c>
      <c r="K89" s="2">
        <f>K12/'Output-Calculation-sheet'!K11*'Output-Calculation-sheet'!K74</f>
        <v>14.705102015078538</v>
      </c>
      <c r="L89" s="2">
        <f>L12/'Output-Calculation-sheet'!L11*'Output-Calculation-sheet'!L74</f>
        <v>7.7952134461371294</v>
      </c>
      <c r="M89" s="2">
        <f>M12/'Output-Calculation-sheet'!M11*'Output-Calculation-sheet'!M74</f>
        <v>2.4640835669358792</v>
      </c>
      <c r="N89" s="2">
        <f>N12/'Output-Calculation-sheet'!N11*'Output-Calculation-sheet'!N74</f>
        <v>1.210897266850935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23.491783964027121</v>
      </c>
      <c r="Q89" s="2">
        <f>Q12/'Output-Calculation-sheet'!Q11*'Output-Calculation-sheet'!Q74</f>
        <v>5.3046570078120849</v>
      </c>
      <c r="R89" s="2">
        <f>R12/'Output-Calculation-sheet'!R11*'Output-Calculation-sheet'!R74</f>
        <v>12.625361322131724</v>
      </c>
      <c r="S89" s="2">
        <f>S12/'Output-Calculation-sheet'!S11*'Output-Calculation-sheet'!S74</f>
        <v>1.3882562311803526</v>
      </c>
      <c r="T89" s="2">
        <f>T12/'Output-Calculation-sheet'!T11*'Output-Calculation-sheet'!T74</f>
        <v>2.724696380542273</v>
      </c>
      <c r="U89" s="2">
        <f>U12/'Output-Calculation-sheet'!U11*'Output-Calculation-sheet'!U74</f>
        <v>6.7700181571093836</v>
      </c>
      <c r="V89" s="2">
        <f>V12/'Output-Calculation-sheet'!V11*'Output-Calculation-sheet'!V74</f>
        <v>0.52202754208254654</v>
      </c>
      <c r="W89" s="2">
        <f>W12/'Output-Calculation-sheet'!W11*'Output-Calculation-sheet'!W74</f>
        <v>3.1642810448963012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3.2607404324004179</v>
      </c>
      <c r="AA89" s="2">
        <f t="shared" si="7"/>
        <v>0.30403069734502935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8246302231.1979361</v>
      </c>
      <c r="C96" s="2">
        <f>C8/'Output-Calculation-sheet'!C7*'Output-Calculation-sheet'!C79</f>
        <v>1991347100.8213966</v>
      </c>
      <c r="D96" s="2">
        <f>D8/'Output-Calculation-sheet'!D7*'Output-Calculation-sheet'!D79</f>
        <v>1616669588.1855211</v>
      </c>
      <c r="E96" s="2">
        <f>E8/'Output-Calculation-sheet'!E7*'Output-Calculation-sheet'!E79</f>
        <v>6057081389.0785732</v>
      </c>
      <c r="F96" s="2">
        <f>F8/'Output-Calculation-sheet'!F7*'Output-Calculation-sheet'!F79</f>
        <v>1766942698.1777925</v>
      </c>
      <c r="G96" s="2">
        <f>G8/'Output-Calculation-sheet'!G7*'Output-Calculation-sheet'!G79</f>
        <v>1134125368.5751011</v>
      </c>
      <c r="H96" s="2">
        <f>H8/'Output-Calculation-sheet'!H7*'Output-Calculation-sheet'!H79</f>
        <v>1397204857.8537195</v>
      </c>
      <c r="I96" s="2">
        <f>I8/'Output-Calculation-sheet'!I7*'Output-Calculation-sheet'!I79</f>
        <v>815544543.36721647</v>
      </c>
      <c r="J96" s="2">
        <f>J8/'Output-Calculation-sheet'!J7*'Output-Calculation-sheet'!J79</f>
        <v>618021149.48454309</v>
      </c>
      <c r="K96" s="2">
        <f>K8/'Output-Calculation-sheet'!K7*'Output-Calculation-sheet'!K79</f>
        <v>775079626.09220791</v>
      </c>
      <c r="L96" s="2">
        <f>L8/'Output-Calculation-sheet'!L7*'Output-Calculation-sheet'!L79</f>
        <v>703640104.68870103</v>
      </c>
      <c r="M96" s="2">
        <f>M8/'Output-Calculation-sheet'!M7*'Output-Calculation-sheet'!M79</f>
        <v>1078075877.6230793</v>
      </c>
      <c r="N96" s="2">
        <f>N8/'Output-Calculation-sheet'!N7*'Output-Calculation-sheet'!N79</f>
        <v>700821223.78459167</v>
      </c>
      <c r="O96" s="2">
        <f>O8/'Output-Calculation-sheet'!O7*'Output-Calculation-sheet'!O79</f>
        <v>262962858.37098554</v>
      </c>
      <c r="P96" s="2">
        <f>P8/'Output-Calculation-sheet'!P7*'Output-Calculation-sheet'!P79</f>
        <v>1334727023.8225217</v>
      </c>
      <c r="Q96" s="2">
        <f>Q8/'Output-Calculation-sheet'!Q7*'Output-Calculation-sheet'!Q79</f>
        <v>566681480.73200691</v>
      </c>
      <c r="R96" s="2">
        <f>R8/'Output-Calculation-sheet'!R7*'Output-Calculation-sheet'!R79</f>
        <v>752146543.24170315</v>
      </c>
      <c r="S96" s="2">
        <f>S8/'Output-Calculation-sheet'!S7*'Output-Calculation-sheet'!S79</f>
        <v>424180145.30325729</v>
      </c>
      <c r="T96" s="2">
        <f>T8/'Output-Calculation-sheet'!T7*'Output-Calculation-sheet'!T79</f>
        <v>255898989.82366067</v>
      </c>
      <c r="U96" s="2">
        <f>U8/'Output-Calculation-sheet'!U7*'Output-Calculation-sheet'!U79</f>
        <v>201424604.24012664</v>
      </c>
      <c r="V96" s="2">
        <f>V8/'Output-Calculation-sheet'!V7*'Output-Calculation-sheet'!V79</f>
        <v>92446880.167826012</v>
      </c>
      <c r="W96" s="2">
        <f>W8/'Output-Calculation-sheet'!W7*'Output-Calculation-sheet'!W79</f>
        <v>284635587.98792249</v>
      </c>
      <c r="X96" s="2">
        <f>X8/'Output-Calculation-sheet'!X7*'Output-Calculation-sheet'!X79</f>
        <v>128376255.51008487</v>
      </c>
      <c r="Y96" s="2">
        <f>Y8/'Output-Calculation-sheet'!Y7*'Output-Calculation-sheet'!Y79</f>
        <v>176669345.61332503</v>
      </c>
      <c r="AA96" s="2">
        <f t="shared" si="8"/>
        <v>31.381005473743798</v>
      </c>
    </row>
    <row r="97" spans="1:27" x14ac:dyDescent="0.25">
      <c r="A97" s="2">
        <v>2032</v>
      </c>
      <c r="B97" s="2">
        <f>B9/'Output-Calculation-sheet'!B8*'Output-Calculation-sheet'!B80</f>
        <v>10374006015.982141</v>
      </c>
      <c r="C97" s="2">
        <f>C9/'Output-Calculation-sheet'!C8*'Output-Calculation-sheet'!C80</f>
        <v>2450156711.9967904</v>
      </c>
      <c r="D97" s="2">
        <f>D9/'Output-Calculation-sheet'!D8*'Output-Calculation-sheet'!D80</f>
        <v>1871645470.9309323</v>
      </c>
      <c r="E97" s="2">
        <f>E9/'Output-Calculation-sheet'!E8*'Output-Calculation-sheet'!E80</f>
        <v>7879361730.96877</v>
      </c>
      <c r="F97" s="2">
        <f>F9/'Output-Calculation-sheet'!F8*'Output-Calculation-sheet'!F80</f>
        <v>2160791437.3624167</v>
      </c>
      <c r="G97" s="2">
        <f>G9/'Output-Calculation-sheet'!G8*'Output-Calculation-sheet'!G80</f>
        <v>1324017837.071723</v>
      </c>
      <c r="H97" s="2">
        <f>H9/'Output-Calculation-sheet'!H8*'Output-Calculation-sheet'!H80</f>
        <v>1733614453.945864</v>
      </c>
      <c r="I97" s="2">
        <f>I9/'Output-Calculation-sheet'!I8*'Output-Calculation-sheet'!I80</f>
        <v>998558190.95580852</v>
      </c>
      <c r="J97" s="2">
        <f>J9/'Output-Calculation-sheet'!J8*'Output-Calculation-sheet'!J80</f>
        <v>746198284.95332932</v>
      </c>
      <c r="K97" s="2">
        <f>K9/'Output-Calculation-sheet'!K8*'Output-Calculation-sheet'!K80</f>
        <v>920315892.35442615</v>
      </c>
      <c r="L97" s="2">
        <f>L9/'Output-Calculation-sheet'!L8*'Output-Calculation-sheet'!L80</f>
        <v>887708556.01803243</v>
      </c>
      <c r="M97" s="2">
        <f>M9/'Output-Calculation-sheet'!M8*'Output-Calculation-sheet'!M80</f>
        <v>1367704373.876543</v>
      </c>
      <c r="N97" s="2">
        <f>N9/'Output-Calculation-sheet'!N8*'Output-Calculation-sheet'!N80</f>
        <v>859335474.9923768</v>
      </c>
      <c r="O97" s="2">
        <f>O9/'Output-Calculation-sheet'!O8*'Output-Calculation-sheet'!O80</f>
        <v>319430005.09425575</v>
      </c>
      <c r="P97" s="2">
        <f>P9/'Output-Calculation-sheet'!P8*'Output-Calculation-sheet'!P80</f>
        <v>1611046274.2791467</v>
      </c>
      <c r="Q97" s="2">
        <f>Q9/'Output-Calculation-sheet'!Q8*'Output-Calculation-sheet'!Q80</f>
        <v>696833395.01874387</v>
      </c>
      <c r="R97" s="2">
        <f>R9/'Output-Calculation-sheet'!R8*'Output-Calculation-sheet'!R80</f>
        <v>933761972.06188142</v>
      </c>
      <c r="S97" s="2">
        <f>S9/'Output-Calculation-sheet'!S8*'Output-Calculation-sheet'!S80</f>
        <v>519695896.80340999</v>
      </c>
      <c r="T97" s="2">
        <f>T9/'Output-Calculation-sheet'!T8*'Output-Calculation-sheet'!T80</f>
        <v>303031146.14053136</v>
      </c>
      <c r="U97" s="2">
        <f>U9/'Output-Calculation-sheet'!U8*'Output-Calculation-sheet'!U80</f>
        <v>241128860.03529462</v>
      </c>
      <c r="V97" s="2">
        <f>V9/'Output-Calculation-sheet'!V8*'Output-Calculation-sheet'!V80</f>
        <v>111222604.13196447</v>
      </c>
      <c r="W97" s="2">
        <f>W9/'Output-Calculation-sheet'!W8*'Output-Calculation-sheet'!W80</f>
        <v>344177239.46692556</v>
      </c>
      <c r="X97" s="2">
        <f>X9/'Output-Calculation-sheet'!X8*'Output-Calculation-sheet'!X80</f>
        <v>166695469.7899521</v>
      </c>
      <c r="Y97" s="2">
        <f>Y9/'Output-Calculation-sheet'!Y8*'Output-Calculation-sheet'!Y80</f>
        <v>218822230.34717566</v>
      </c>
      <c r="AA97" s="2">
        <f t="shared" si="8"/>
        <v>39.039259524578455</v>
      </c>
    </row>
    <row r="98" spans="1:27" x14ac:dyDescent="0.25">
      <c r="A98" s="2">
        <v>2033</v>
      </c>
      <c r="B98" s="2">
        <f>B10/'Output-Calculation-sheet'!B9*'Output-Calculation-sheet'!B81</f>
        <v>12198324390.369249</v>
      </c>
      <c r="C98" s="2">
        <f>C10/'Output-Calculation-sheet'!C9*'Output-Calculation-sheet'!C81</f>
        <v>2824657747.3928185</v>
      </c>
      <c r="D98" s="2">
        <f>D10/'Output-Calculation-sheet'!D9*'Output-Calculation-sheet'!D81</f>
        <v>2032040528.5016634</v>
      </c>
      <c r="E98" s="2">
        <f>E10/'Output-Calculation-sheet'!E9*'Output-Calculation-sheet'!E81</f>
        <v>9592015781.8807755</v>
      </c>
      <c r="F98" s="2">
        <f>F10/'Output-Calculation-sheet'!F9*'Output-Calculation-sheet'!F81</f>
        <v>2471389176.9611688</v>
      </c>
      <c r="G98" s="2">
        <f>G10/'Output-Calculation-sheet'!G9*'Output-Calculation-sheet'!G81</f>
        <v>1443839013.3498733</v>
      </c>
      <c r="H98" s="2">
        <f>H10/'Output-Calculation-sheet'!H9*'Output-Calculation-sheet'!H81</f>
        <v>2010047597.6425955</v>
      </c>
      <c r="I98" s="2">
        <f>I10/'Output-Calculation-sheet'!I9*'Output-Calculation-sheet'!I81</f>
        <v>1145508094.0764711</v>
      </c>
      <c r="J98" s="2">
        <f>J10/'Output-Calculation-sheet'!J9*'Output-Calculation-sheet'!J81</f>
        <v>845031536.43043292</v>
      </c>
      <c r="K98" s="2">
        <f>K10/'Output-Calculation-sheet'!K9*'Output-Calculation-sheet'!K81</f>
        <v>1023291861.3846042</v>
      </c>
      <c r="L98" s="2">
        <f>L10/'Output-Calculation-sheet'!L9*'Output-Calculation-sheet'!L81</f>
        <v>1048774070.867505</v>
      </c>
      <c r="M98" s="2">
        <f>M10/'Output-Calculation-sheet'!M9*'Output-Calculation-sheet'!M81</f>
        <v>1625228489.3226879</v>
      </c>
      <c r="N98" s="2">
        <f>N10/'Output-Calculation-sheet'!N9*'Output-Calculation-sheet'!N81</f>
        <v>987674586.22487295</v>
      </c>
      <c r="O98" s="2">
        <f>O10/'Output-Calculation-sheet'!O9*'Output-Calculation-sheet'!O81</f>
        <v>364283545.75042063</v>
      </c>
      <c r="P98" s="2">
        <f>P10/'Output-Calculation-sheet'!P9*'Output-Calculation-sheet'!P81</f>
        <v>1807226347.8838768</v>
      </c>
      <c r="Q98" s="2">
        <f>Q10/'Output-Calculation-sheet'!Q9*'Output-Calculation-sheet'!Q81</f>
        <v>803009189.62307119</v>
      </c>
      <c r="R98" s="2">
        <f>R10/'Output-Calculation-sheet'!R9*'Output-Calculation-sheet'!R81</f>
        <v>1083883734.7101569</v>
      </c>
      <c r="S98" s="2">
        <f>S10/'Output-Calculation-sheet'!S9*'Output-Calculation-sheet'!S81</f>
        <v>595267602.17094159</v>
      </c>
      <c r="T98" s="2">
        <f>T10/'Output-Calculation-sheet'!T9*'Output-Calculation-sheet'!T81</f>
        <v>335381582.41396672</v>
      </c>
      <c r="U98" s="2">
        <f>U10/'Output-Calculation-sheet'!U9*'Output-Calculation-sheet'!U81</f>
        <v>269489368.72849357</v>
      </c>
      <c r="V98" s="2">
        <f>V10/'Output-Calculation-sheet'!V9*'Output-Calculation-sheet'!V81</f>
        <v>125163275.37143397</v>
      </c>
      <c r="W98" s="2">
        <f>W10/'Output-Calculation-sheet'!W9*'Output-Calculation-sheet'!W81</f>
        <v>387067961.66663402</v>
      </c>
      <c r="X98" s="2">
        <f>X10/'Output-Calculation-sheet'!X9*'Output-Calculation-sheet'!X81</f>
        <v>202914230.94726723</v>
      </c>
      <c r="Y98" s="2">
        <f>Y10/'Output-Calculation-sheet'!Y9*'Output-Calculation-sheet'!Y81</f>
        <v>252623809.90318924</v>
      </c>
      <c r="AA98" s="2">
        <f t="shared" si="8"/>
        <v>45.474133523574174</v>
      </c>
    </row>
    <row r="99" spans="1:27" x14ac:dyDescent="0.25">
      <c r="A99" s="2">
        <v>2034</v>
      </c>
      <c r="B99" s="2">
        <f>B11/'Output-Calculation-sheet'!B10*'Output-Calculation-sheet'!B82</f>
        <v>13689504967.707331</v>
      </c>
      <c r="C99" s="2">
        <f>C11/'Output-Calculation-sheet'!C10*'Output-Calculation-sheet'!C82</f>
        <v>3116186519.0972686</v>
      </c>
      <c r="D99" s="2">
        <f>D11/'Output-Calculation-sheet'!D10*'Output-Calculation-sheet'!D82</f>
        <v>2113790413.1146269</v>
      </c>
      <c r="E99" s="2">
        <f>E11/'Output-Calculation-sheet'!E10*'Output-Calculation-sheet'!E82</f>
        <v>11156234959.952724</v>
      </c>
      <c r="F99" s="2">
        <f>F11/'Output-Calculation-sheet'!F10*'Output-Calculation-sheet'!F82</f>
        <v>2700435699.0482502</v>
      </c>
      <c r="G99" s="2">
        <f>G11/'Output-Calculation-sheet'!G10*'Output-Calculation-sheet'!G82</f>
        <v>1502958103.9386499</v>
      </c>
      <c r="H99" s="2">
        <f>H11/'Output-Calculation-sheet'!H10*'Output-Calculation-sheet'!H82</f>
        <v>2223989672.0998831</v>
      </c>
      <c r="I99" s="2">
        <f>I11/'Output-Calculation-sheet'!I10*'Output-Calculation-sheet'!I82</f>
        <v>1257565798.07846</v>
      </c>
      <c r="J99" s="2">
        <f>J11/'Output-Calculation-sheet'!J10*'Output-Calculation-sheet'!J82</f>
        <v>916756706.59870851</v>
      </c>
      <c r="K99" s="2">
        <f>K11/'Output-Calculation-sheet'!K10*'Output-Calculation-sheet'!K82</f>
        <v>1088516688.4657872</v>
      </c>
      <c r="L99" s="2">
        <f>L11/'Output-Calculation-sheet'!L10*'Output-Calculation-sheet'!L82</f>
        <v>1184947829.745424</v>
      </c>
      <c r="M99" s="2">
        <f>M11/'Output-Calculation-sheet'!M10*'Output-Calculation-sheet'!M82</f>
        <v>1847158822.0559068</v>
      </c>
      <c r="N99" s="2">
        <f>N11/'Output-Calculation-sheet'!N10*'Output-Calculation-sheet'!N82</f>
        <v>1086813385.8820579</v>
      </c>
      <c r="O99" s="2">
        <f>O11/'Output-Calculation-sheet'!O10*'Output-Calculation-sheet'!O82</f>
        <v>398314597.4178226</v>
      </c>
      <c r="P99" s="2">
        <f>P11/'Output-Calculation-sheet'!P10*'Output-Calculation-sheet'!P82</f>
        <v>1925314866.9021671</v>
      </c>
      <c r="Q99" s="2">
        <f>Q11/'Output-Calculation-sheet'!Q10*'Output-Calculation-sheet'!Q82</f>
        <v>885622098.84761441</v>
      </c>
      <c r="R99" s="2">
        <f>R11/'Output-Calculation-sheet'!R10*'Output-Calculation-sheet'!R82</f>
        <v>1201325464.7862227</v>
      </c>
      <c r="S99" s="2">
        <f>S11/'Output-Calculation-sheet'!S10*'Output-Calculation-sheet'!S82</f>
        <v>651015992.75095582</v>
      </c>
      <c r="T99" s="2">
        <f>T11/'Output-Calculation-sheet'!T10*'Output-Calculation-sheet'!T82</f>
        <v>354503969.18972117</v>
      </c>
      <c r="U99" s="2">
        <f>U11/'Output-Calculation-sheet'!U10*'Output-Calculation-sheet'!U82</f>
        <v>287302637.07505524</v>
      </c>
      <c r="V99" s="2">
        <f>V11/'Output-Calculation-sheet'!V10*'Output-Calculation-sheet'!V82</f>
        <v>134578508.63924366</v>
      </c>
      <c r="W99" s="2">
        <f>W11/'Output-Calculation-sheet'!W10*'Output-Calculation-sheet'!W82</f>
        <v>413694184.98612607</v>
      </c>
      <c r="X99" s="2">
        <f>X11/'Output-Calculation-sheet'!X10*'Output-Calculation-sheet'!X82</f>
        <v>236442285.55522636</v>
      </c>
      <c r="Y99" s="2">
        <f>Y11/'Output-Calculation-sheet'!Y10*'Output-Calculation-sheet'!Y82</f>
        <v>277672417.58153963</v>
      </c>
      <c r="AA99" s="2">
        <f t="shared" si="8"/>
        <v>50.650646589516789</v>
      </c>
    </row>
    <row r="100" spans="1:27" x14ac:dyDescent="0.25">
      <c r="A100" s="2">
        <v>2035</v>
      </c>
      <c r="B100" s="2">
        <f>B12/'Output-Calculation-sheet'!B11*'Output-Calculation-sheet'!B83</f>
        <v>14820519233.101847</v>
      </c>
      <c r="C100" s="2">
        <f>C12/'Output-Calculation-sheet'!C11*'Output-Calculation-sheet'!C83</f>
        <v>3325773652.6204472</v>
      </c>
      <c r="D100" s="2">
        <f>D12/'Output-Calculation-sheet'!D11*'Output-Calculation-sheet'!D83</f>
        <v>2130424998.861383</v>
      </c>
      <c r="E100" s="2">
        <f>E12/'Output-Calculation-sheet'!E11*'Output-Calculation-sheet'!E83</f>
        <v>12528124065.153006</v>
      </c>
      <c r="F100" s="2">
        <f>F12/'Output-Calculation-sheet'!F11*'Output-Calculation-sheet'!F83</f>
        <v>2850298684.8807511</v>
      </c>
      <c r="G100" s="2">
        <f>G12/'Output-Calculation-sheet'!G11*'Output-Calculation-sheet'!G83</f>
        <v>1510567853.657198</v>
      </c>
      <c r="H100" s="2">
        <f>H12/'Output-Calculation-sheet'!H11*'Output-Calculation-sheet'!H83</f>
        <v>2373715628.5951838</v>
      </c>
      <c r="I100" s="2">
        <f>I12/'Output-Calculation-sheet'!I11*'Output-Calculation-sheet'!I83</f>
        <v>1335804579.1074033</v>
      </c>
      <c r="J100" s="2">
        <f>J12/'Output-Calculation-sheet'!J11*'Output-Calculation-sheet'!J83</f>
        <v>963272826.09159648</v>
      </c>
      <c r="K100" s="2">
        <f>K12/'Output-Calculation-sheet'!K11*'Output-Calculation-sheet'!K83</f>
        <v>1120196274.8534214</v>
      </c>
      <c r="L100" s="2">
        <f>L12/'Output-Calculation-sheet'!L11*'Output-Calculation-sheet'!L83</f>
        <v>1294217981.5453949</v>
      </c>
      <c r="M100" s="2">
        <f>M12/'Output-Calculation-sheet'!M11*'Output-Calculation-sheet'!M83</f>
        <v>2029633600.9987135</v>
      </c>
      <c r="N100" s="2">
        <f>N12/'Output-Calculation-sheet'!N11*'Output-Calculation-sheet'!N83</f>
        <v>1157546949.6193831</v>
      </c>
      <c r="O100" s="2">
        <f>O12/'Output-Calculation-sheet'!O11*'Output-Calculation-sheet'!O83</f>
        <v>422120980.56682956</v>
      </c>
      <c r="P100" s="2">
        <f>P12/'Output-Calculation-sheet'!P11*'Output-Calculation-sheet'!P83</f>
        <v>1970693315.7072372</v>
      </c>
      <c r="Q100" s="2">
        <f>Q12/'Output-Calculation-sheet'!Q11*'Output-Calculation-sheet'!Q83</f>
        <v>944947304.04254901</v>
      </c>
      <c r="R100" s="2">
        <f>R12/'Output-Calculation-sheet'!R11*'Output-Calculation-sheet'!R83</f>
        <v>1285198655.7863986</v>
      </c>
      <c r="S100" s="2">
        <f>S12/'Output-Calculation-sheet'!S11*'Output-Calculation-sheet'!S83</f>
        <v>687257843.74049938</v>
      </c>
      <c r="T100" s="2">
        <f>T12/'Output-Calculation-sheet'!T11*'Output-Calculation-sheet'!T83</f>
        <v>361979378.41186768</v>
      </c>
      <c r="U100" s="2">
        <f>U12/'Output-Calculation-sheet'!U11*'Output-Calculation-sheet'!U83</f>
        <v>295504962.59084767</v>
      </c>
      <c r="V100" s="2">
        <f>V12/'Output-Calculation-sheet'!V11*'Output-Calculation-sheet'!V83</f>
        <v>139793886.00117067</v>
      </c>
      <c r="W100" s="2">
        <f>W12/'Output-Calculation-sheet'!W11*'Output-Calculation-sheet'!W83</f>
        <v>425070755.90517437</v>
      </c>
      <c r="X100" s="2">
        <f>X12/'Output-Calculation-sheet'!X11*'Output-Calculation-sheet'!X83</f>
        <v>266566092.15951011</v>
      </c>
      <c r="Y100" s="2">
        <f>Y12/'Output-Calculation-sheet'!Y11*'Output-Calculation-sheet'!Y83</f>
        <v>293836928.59954101</v>
      </c>
      <c r="AA100" s="2">
        <f t="shared" si="8"/>
        <v>54.533066432597352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1707.3139221507772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525.56417751115225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361.63930178274546</v>
      </c>
      <c r="N107" s="2">
        <f>N8/'Output-Calculation-sheet'!N7*'Output-Calculation-sheet'!N88</f>
        <v>142.1731139286486</v>
      </c>
      <c r="O107" s="2">
        <f>O8/'Output-Calculation-sheet'!O7*'Output-Calculation-sheet'!O88</f>
        <v>398.02039744560562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39.672583554579496</v>
      </c>
      <c r="Y107" s="2">
        <f>Y8/'Output-Calculation-sheet'!Y7*'Output-Calculation-sheet'!Y88</f>
        <v>0</v>
      </c>
      <c r="AA107" s="2">
        <f t="shared" si="9"/>
        <v>3.1743834963735087</v>
      </c>
    </row>
    <row r="108" spans="1:27" x14ac:dyDescent="0.25">
      <c r="A108" s="2">
        <v>2032</v>
      </c>
      <c r="B108" s="2">
        <f>B9/'Output-Calculation-sheet'!B8*'Output-Calculation-sheet'!B89</f>
        <v>789.59962756944094</v>
      </c>
      <c r="C108" s="2">
        <f>C9/'Output-Calculation-sheet'!C8*'Output-Calculation-sheet'!C89</f>
        <v>2998.0980707682738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807.54412556515376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555.66894819794481</v>
      </c>
      <c r="N108" s="2">
        <f>N9/'Output-Calculation-sheet'!N8*'Output-Calculation-sheet'!N89</f>
        <v>390.09461464440579</v>
      </c>
      <c r="O108" s="2">
        <f>O9/'Output-Calculation-sheet'!O8*'Output-Calculation-sheet'!O89</f>
        <v>582.447165606211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178.89255987449886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60.958039315405166</v>
      </c>
      <c r="Y108" s="2">
        <f>Y9/'Output-Calculation-sheet'!Y8*'Output-Calculation-sheet'!Y89</f>
        <v>0</v>
      </c>
      <c r="AA108" s="2">
        <f t="shared" si="9"/>
        <v>6.3633031515413343</v>
      </c>
    </row>
    <row r="109" spans="1:27" x14ac:dyDescent="0.25">
      <c r="A109" s="2">
        <v>2033</v>
      </c>
      <c r="B109" s="2">
        <f>B10/'Output-Calculation-sheet'!B9*'Output-Calculation-sheet'!B90</f>
        <v>4240.8686353780204</v>
      </c>
      <c r="C109" s="2">
        <f>C10/'Output-Calculation-sheet'!C9*'Output-Calculation-sheet'!C90</f>
        <v>4025.6288219279681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1239.2134061066454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852.69942305897678</v>
      </c>
      <c r="N109" s="2">
        <f>N10/'Output-Calculation-sheet'!N9*'Output-Calculation-sheet'!N90</f>
        <v>670.45219711372113</v>
      </c>
      <c r="O109" s="2">
        <f>O10/'Output-Calculation-sheet'!O9*'Output-Calculation-sheet'!O90</f>
        <v>782.06784493669784</v>
      </c>
      <c r="P109" s="2">
        <f>P10/'Output-Calculation-sheet'!P9*'Output-Calculation-sheet'!P90</f>
        <v>0</v>
      </c>
      <c r="Q109" s="2">
        <f>Q10/'Output-Calculation-sheet'!Q9*'Output-Calculation-sheet'!Q90</f>
        <v>146.85469375413689</v>
      </c>
      <c r="R109" s="2">
        <f>R10/'Output-Calculation-sheet'!R9*'Output-Calculation-sheet'!R90</f>
        <v>0</v>
      </c>
      <c r="S109" s="2">
        <f>S10/'Output-Calculation-sheet'!S9*'Output-Calculation-sheet'!S90</f>
        <v>336.28555146783464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93.542900181163404</v>
      </c>
      <c r="Y109" s="2">
        <f>Y10/'Output-Calculation-sheet'!Y9*'Output-Calculation-sheet'!Y90</f>
        <v>0</v>
      </c>
      <c r="AA109" s="2">
        <f t="shared" si="9"/>
        <v>12.387613473925164</v>
      </c>
    </row>
    <row r="110" spans="1:27" x14ac:dyDescent="0.25">
      <c r="A110" s="2">
        <v>2034</v>
      </c>
      <c r="B110" s="2">
        <f>B11/'Output-Calculation-sheet'!B10*'Output-Calculation-sheet'!B91</f>
        <v>8092.2077643119028</v>
      </c>
      <c r="C110" s="2">
        <f>C11/'Output-Calculation-sheet'!C10*'Output-Calculation-sheet'!C91</f>
        <v>5547.7487033975922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1576.4022591787937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1084.7181690309637</v>
      </c>
      <c r="N110" s="2">
        <f>N11/'Output-Calculation-sheet'!N10*'Output-Calculation-sheet'!N91</f>
        <v>977.26020888577614</v>
      </c>
      <c r="O110" s="2">
        <f>O11/'Output-Calculation-sheet'!O10*'Output-Calculation-sheet'!O91</f>
        <v>1077.7734522077974</v>
      </c>
      <c r="P110" s="2">
        <f>P11/'Output-Calculation-sheet'!P10*'Output-Calculation-sheet'!P91</f>
        <v>246.22275716327826</v>
      </c>
      <c r="Q110" s="2">
        <f>Q11/'Output-Calculation-sheet'!Q10*'Output-Calculation-sheet'!Q91</f>
        <v>544.87336114774575</v>
      </c>
      <c r="R110" s="2">
        <f>R11/'Output-Calculation-sheet'!R10*'Output-Calculation-sheet'!R91</f>
        <v>0</v>
      </c>
      <c r="S110" s="2">
        <f>S11/'Output-Calculation-sheet'!S10*'Output-Calculation-sheet'!S91</f>
        <v>560.1992884163077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118.99583917431566</v>
      </c>
      <c r="Y110" s="2">
        <f>Y11/'Output-Calculation-sheet'!Y10*'Output-Calculation-sheet'!Y91</f>
        <v>19.138876830203731</v>
      </c>
      <c r="AA110" s="2">
        <f t="shared" si="9"/>
        <v>19.84554067974468</v>
      </c>
    </row>
    <row r="111" spans="1:27" x14ac:dyDescent="0.25">
      <c r="A111" s="2">
        <v>2035</v>
      </c>
      <c r="B111" s="2">
        <f>B12/'Output-Calculation-sheet'!B11*'Output-Calculation-sheet'!B92</f>
        <v>13210.919436589313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2207.1046903319389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775.22887081289491</v>
      </c>
      <c r="Q111" s="2">
        <f>Q12/'Output-Calculation-sheet'!Q11*'Output-Calculation-sheet'!Q92</f>
        <v>898.60889712336711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60.258483190759719</v>
      </c>
      <c r="AA111" s="2">
        <f t="shared" si="9"/>
        <v>31.022789835730613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8026051705.9594927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2469451337.0996537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1715246754.4498057</v>
      </c>
      <c r="N118" s="2">
        <f>N8/'Output-Calculation-sheet'!N7*'Output-Calculation-sheet'!N97</f>
        <v>1345979642.4216328</v>
      </c>
      <c r="O118" s="2">
        <f>O8/'Output-Calculation-sheet'!O7*'Output-Calculation-sheet'!O97</f>
        <v>895630322.82176781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487227413.49657786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184871044.94852176</v>
      </c>
      <c r="Y118" s="2">
        <f>Y8/'Output-Calculation-sheet'!Y7*'Output-Calculation-sheet'!Y97</f>
        <v>0</v>
      </c>
      <c r="AA118" s="2">
        <f t="shared" si="10"/>
        <v>16493.597957669346</v>
      </c>
    </row>
    <row r="119" spans="1:27" x14ac:dyDescent="0.25">
      <c r="A119" s="2">
        <v>2032</v>
      </c>
      <c r="B119" s="2">
        <f>B9/'Output-Calculation-sheet'!B8*'Output-Calculation-sheet'!B98</f>
        <v>5923617424.1884174</v>
      </c>
      <c r="C119" s="2">
        <f>C9/'Output-Calculation-sheet'!C8*'Output-Calculation-sheet'!C98</f>
        <v>4708210776.8133364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2814578937.0975451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1964586638.4791431</v>
      </c>
      <c r="N119" s="2">
        <f>N9/'Output-Calculation-sheet'!N8*'Output-Calculation-sheet'!N98</f>
        <v>1326736101.9919915</v>
      </c>
      <c r="O119" s="2">
        <f>O9/'Output-Calculation-sheet'!O8*'Output-Calculation-sheet'!O98</f>
        <v>919897386.3112992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550775865.39160597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210217813.44076228</v>
      </c>
      <c r="Y119" s="2">
        <f>Y9/'Output-Calculation-sheet'!Y8*'Output-Calculation-sheet'!Y98</f>
        <v>0</v>
      </c>
      <c r="AA119" s="2">
        <f t="shared" si="10"/>
        <v>18418.620943714101</v>
      </c>
    </row>
    <row r="120" spans="1:27" x14ac:dyDescent="0.25">
      <c r="A120" s="2">
        <v>2033</v>
      </c>
      <c r="B120" s="2">
        <f>B10/'Output-Calculation-sheet'!B9*'Output-Calculation-sheet'!B99</f>
        <v>6101054613.9678926</v>
      </c>
      <c r="C120" s="2">
        <f>C10/'Output-Calculation-sheet'!C9*'Output-Calculation-sheet'!C99</f>
        <v>5015445731.3831758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1644445846.1118777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1163952430.9050734</v>
      </c>
      <c r="N120" s="2">
        <f>N10/'Output-Calculation-sheet'!N9*'Output-Calculation-sheet'!N99</f>
        <v>1160569079.1502097</v>
      </c>
      <c r="O120" s="2">
        <f>O10/'Output-Calculation-sheet'!O9*'Output-Calculation-sheet'!O99</f>
        <v>981916243.22479045</v>
      </c>
      <c r="P120" s="2">
        <f>P10/'Output-Calculation-sheet'!P9*'Output-Calculation-sheet'!P99</f>
        <v>0</v>
      </c>
      <c r="Q120" s="2">
        <f>Q10/'Output-Calculation-sheet'!Q9*'Output-Calculation-sheet'!Q99</f>
        <v>7094281.5388272377</v>
      </c>
      <c r="R120" s="2">
        <f>R10/'Output-Calculation-sheet'!R9*'Output-Calculation-sheet'!R99</f>
        <v>0</v>
      </c>
      <c r="S120" s="2">
        <f>S10/'Output-Calculation-sheet'!S9*'Output-Calculation-sheet'!S99</f>
        <v>486084480.68962455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-8.0297244722441626E-9</v>
      </c>
      <c r="W120" s="2">
        <f>W10/'Output-Calculation-sheet'!W9*'Output-Calculation-sheet'!W99</f>
        <v>0</v>
      </c>
      <c r="X120" s="2">
        <f>X10/'Output-Calculation-sheet'!X9*'Output-Calculation-sheet'!X99</f>
        <v>116225814.33537884</v>
      </c>
      <c r="Y120" s="2">
        <f>Y10/'Output-Calculation-sheet'!Y9*'Output-Calculation-sheet'!Y99</f>
        <v>0</v>
      </c>
      <c r="AA120" s="2">
        <f t="shared" si="10"/>
        <v>16676.788521306851</v>
      </c>
    </row>
    <row r="121" spans="1:27" x14ac:dyDescent="0.25">
      <c r="A121" s="2">
        <v>2034</v>
      </c>
      <c r="B121" s="2">
        <f>B11/'Output-Calculation-sheet'!B10*'Output-Calculation-sheet'!B100</f>
        <v>6067143864.5069561</v>
      </c>
      <c r="C121" s="2">
        <f>C11/'Output-Calculation-sheet'!C10*'Output-Calculation-sheet'!C100</f>
        <v>728303018.41966891</v>
      </c>
      <c r="D121" s="2">
        <f>D11/'Output-Calculation-sheet'!D10*'Output-Calculation-sheet'!D100</f>
        <v>0</v>
      </c>
      <c r="E121" s="2">
        <f>E11/'Output-Calculation-sheet'!E10*'Output-Calculation-sheet'!E100</f>
        <v>842432049.20534635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1917689936.1649003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699975305.44430244</v>
      </c>
      <c r="M121" s="2">
        <f>M11/'Output-Calculation-sheet'!M10*'Output-Calculation-sheet'!M100</f>
        <v>1364812591.9982514</v>
      </c>
      <c r="N121" s="2">
        <f>N11/'Output-Calculation-sheet'!N10*'Output-Calculation-sheet'!N100</f>
        <v>909890059.21056581</v>
      </c>
      <c r="O121" s="2">
        <f>O11/'Output-Calculation-sheet'!O10*'Output-Calculation-sheet'!O100</f>
        <v>142859032.59465685</v>
      </c>
      <c r="P121" s="2">
        <f>P11/'Output-Calculation-sheet'!P10*'Output-Calculation-sheet'!P100</f>
        <v>0</v>
      </c>
      <c r="Q121" s="2">
        <f>Q11/'Output-Calculation-sheet'!Q10*'Output-Calculation-sheet'!Q100</f>
        <v>309171152.99329281</v>
      </c>
      <c r="R121" s="2">
        <f>R11/'Output-Calculation-sheet'!R10*'Output-Calculation-sheet'!R100</f>
        <v>0</v>
      </c>
      <c r="S121" s="2">
        <f>S11/'Output-Calculation-sheet'!S10*'Output-Calculation-sheet'!S100</f>
        <v>340201157.28670871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134102386.71417017</v>
      </c>
      <c r="Y121" s="2">
        <f>Y11/'Output-Calculation-sheet'!Y10*'Output-Calculation-sheet'!Y100</f>
        <v>19461938.585529152</v>
      </c>
      <c r="AA121" s="2">
        <f t="shared" si="10"/>
        <v>13476.042493124345</v>
      </c>
    </row>
    <row r="122" spans="1:27" x14ac:dyDescent="0.25">
      <c r="A122" s="2">
        <v>2035</v>
      </c>
      <c r="B122" s="2">
        <f>B12/'Output-Calculation-sheet'!B11*'Output-Calculation-sheet'!B101</f>
        <v>3411955241.023478</v>
      </c>
      <c r="C122" s="2">
        <f>C12/'Output-Calculation-sheet'!C11*'Output-Calculation-sheet'!C101</f>
        <v>296601726.16938269</v>
      </c>
      <c r="D122" s="2">
        <f>D12/'Output-Calculation-sheet'!D11*'Output-Calculation-sheet'!D101</f>
        <v>0</v>
      </c>
      <c r="E122" s="2">
        <f>E12/'Output-Calculation-sheet'!E11*'Output-Calculation-sheet'!E101</f>
        <v>2656855708.3084235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502926213.68363327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1844118841.7616248</v>
      </c>
      <c r="M122" s="2">
        <f>M12/'Output-Calculation-sheet'!M11*'Output-Calculation-sheet'!M101</f>
        <v>461362563.45106101</v>
      </c>
      <c r="N122" s="2">
        <f>N12/'Output-Calculation-sheet'!N11*'Output-Calculation-sheet'!N101</f>
        <v>383492254.21923131</v>
      </c>
      <c r="O122" s="2">
        <f>O12/'Output-Calculation-sheet'!O11*'Output-Calculation-sheet'!O101</f>
        <v>52589254.036708333</v>
      </c>
      <c r="P122" s="2">
        <f>P12/'Output-Calculation-sheet'!P11*'Output-Calculation-sheet'!P101</f>
        <v>119354035.59220505</v>
      </c>
      <c r="Q122" s="2">
        <f>Q12/'Output-Calculation-sheet'!Q11*'Output-Calculation-sheet'!Q101</f>
        <v>589649440.73794746</v>
      </c>
      <c r="R122" s="2">
        <f>R12/'Output-Calculation-sheet'!R11*'Output-Calculation-sheet'!R101</f>
        <v>0</v>
      </c>
      <c r="S122" s="2">
        <f>S12/'Output-Calculation-sheet'!S11*'Output-Calculation-sheet'!S101</f>
        <v>160205393.79351673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14815078.162190035</v>
      </c>
      <c r="Y122" s="2">
        <f>Y12/'Output-Calculation-sheet'!Y11*'Output-Calculation-sheet'!Y101</f>
        <v>68336758.924644083</v>
      </c>
      <c r="AA122" s="2">
        <f t="shared" si="10"/>
        <v>10562.262509864044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2233538696.6170311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2241497657.3736038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146814.28192229479</v>
      </c>
    </row>
    <row r="130" spans="1:27" x14ac:dyDescent="0.25">
      <c r="A130" s="2">
        <v>2032</v>
      </c>
      <c r="B130" s="2">
        <f>B9/'Output-Calculation-sheet'!B8*'Output-Calculation-sheet'!B107</f>
        <v>53605344461.414749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1950171129.8579667</v>
      </c>
      <c r="O130" s="2">
        <f>O9/'Output-Calculation-sheet'!O8*'Output-Calculation-sheet'!O107</f>
        <v>0</v>
      </c>
      <c r="P130" s="2">
        <f>P9/'Output-Calculation-sheet'!P8*'Output-Calculation-sheet'!P107</f>
        <v>5950677546.5312681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1732649948.9844685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188784.37276888016</v>
      </c>
    </row>
    <row r="131" spans="1:27" x14ac:dyDescent="0.25">
      <c r="A131" s="2">
        <v>2033</v>
      </c>
      <c r="B131" s="2">
        <f>B10/'Output-Calculation-sheet'!B9*'Output-Calculation-sheet'!B108</f>
        <v>45512010822.988121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1667451619.7002366</v>
      </c>
      <c r="O131" s="2">
        <f>O10/'Output-Calculation-sheet'!O9*'Output-Calculation-sheet'!O108</f>
        <v>0</v>
      </c>
      <c r="P131" s="2">
        <f>P10/'Output-Calculation-sheet'!P9*'Output-Calculation-sheet'!P108</f>
        <v>7670143303.4119453</v>
      </c>
      <c r="Q131" s="2">
        <f>Q10/'Output-Calculation-sheet'!Q9*'Output-Calculation-sheet'!Q108</f>
        <v>6470329121.829874</v>
      </c>
      <c r="R131" s="2">
        <f>R10/'Output-Calculation-sheet'!R9*'Output-Calculation-sheet'!R108</f>
        <v>7259856464.713048</v>
      </c>
      <c r="S131" s="2">
        <f>S10/'Output-Calculation-sheet'!S9*'Output-Calculation-sheet'!S108</f>
        <v>1617421199.407661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217221.37594040186</v>
      </c>
    </row>
    <row r="132" spans="1:27" x14ac:dyDescent="0.25">
      <c r="A132" s="2">
        <v>2034</v>
      </c>
      <c r="B132" s="2">
        <f>B11/'Output-Calculation-sheet'!B10*'Output-Calculation-sheet'!B109</f>
        <v>35262688628.651413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34043651325.746407</v>
      </c>
      <c r="F132" s="2">
        <f>F11/'Output-Calculation-sheet'!F10*'Output-Calculation-sheet'!F109</f>
        <v>22453575360.281895</v>
      </c>
      <c r="G132" s="2">
        <f>G11/'Output-Calculation-sheet'!G10*'Output-Calculation-sheet'!G109</f>
        <v>15732557526.279057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13989983630.122097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10415382839.571594</v>
      </c>
      <c r="M132" s="2">
        <f>M11/'Output-Calculation-sheet'!M10*'Output-Calculation-sheet'!M109</f>
        <v>0</v>
      </c>
      <c r="N132" s="2">
        <f>N11/'Output-Calculation-sheet'!N10*'Output-Calculation-sheet'!N109</f>
        <v>1369558070.8725941</v>
      </c>
      <c r="O132" s="2">
        <f>O11/'Output-Calculation-sheet'!O10*'Output-Calculation-sheet'!O109</f>
        <v>0</v>
      </c>
      <c r="P132" s="2">
        <f>P11/'Output-Calculation-sheet'!P10*'Output-Calculation-sheet'!P109</f>
        <v>7781455605.285944</v>
      </c>
      <c r="Q132" s="2">
        <f>Q11/'Output-Calculation-sheet'!Q10*'Output-Calculation-sheet'!Q109</f>
        <v>5010611960.5533905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939941652.80822456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2795858138.4745584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979745451.96337581</v>
      </c>
      <c r="AA132" s="2">
        <f t="shared" si="11"/>
        <v>239376.47827752354</v>
      </c>
    </row>
    <row r="133" spans="1:27" x14ac:dyDescent="0.25">
      <c r="A133" s="2">
        <v>2035</v>
      </c>
      <c r="B133" s="2">
        <f>B12/'Output-Calculation-sheet'!B11*'Output-Calculation-sheet'!B110</f>
        <v>9813802582.6287498</v>
      </c>
      <c r="C133" s="2">
        <f>C12/'Output-Calculation-sheet'!C11*'Output-Calculation-sheet'!C110</f>
        <v>0</v>
      </c>
      <c r="D133" s="2">
        <f>D12/'Output-Calculation-sheet'!D11*'Output-Calculation-sheet'!D110</f>
        <v>46674191308.845154</v>
      </c>
      <c r="E133" s="2">
        <f>E12/'Output-Calculation-sheet'!E11*'Output-Calculation-sheet'!E110</f>
        <v>24837261577.923336</v>
      </c>
      <c r="F133" s="2">
        <f>F12/'Output-Calculation-sheet'!F11*'Output-Calculation-sheet'!F110</f>
        <v>24690236335.37249</v>
      </c>
      <c r="G133" s="2">
        <f>G12/'Output-Calculation-sheet'!G11*'Output-Calculation-sheet'!G110</f>
        <v>16727567464.291964</v>
      </c>
      <c r="H133" s="2">
        <f>H12/'Output-Calculation-sheet'!H11*'Output-Calculation-sheet'!H110</f>
        <v>0</v>
      </c>
      <c r="I133" s="2">
        <f>I12/'Output-Calculation-sheet'!I11*'Output-Calculation-sheet'!I110</f>
        <v>15349052056.913647</v>
      </c>
      <c r="J133" s="2">
        <f>J12/'Output-Calculation-sheet'!J11*'Output-Calculation-sheet'!J110</f>
        <v>15375475725.418821</v>
      </c>
      <c r="K133" s="2">
        <f>K12/'Output-Calculation-sheet'!K11*'Output-Calculation-sheet'!K110</f>
        <v>15086181465.99885</v>
      </c>
      <c r="L133" s="2">
        <f>L12/'Output-Calculation-sheet'!L11*'Output-Calculation-sheet'!L110</f>
        <v>10842487105.647272</v>
      </c>
      <c r="M133" s="2">
        <f>M12/'Output-Calculation-sheet'!M11*'Output-Calculation-sheet'!M110</f>
        <v>0</v>
      </c>
      <c r="N133" s="2">
        <f>N12/'Output-Calculation-sheet'!N11*'Output-Calculation-sheet'!N110</f>
        <v>58244.440674593148</v>
      </c>
      <c r="O133" s="2">
        <f>O12/'Output-Calculation-sheet'!O11*'Output-Calculation-sheet'!O110</f>
        <v>0</v>
      </c>
      <c r="P133" s="2">
        <f>P12/'Output-Calculation-sheet'!P11*'Output-Calculation-sheet'!P110</f>
        <v>5417643895.4053154</v>
      </c>
      <c r="Q133" s="2">
        <f>Q12/'Output-Calculation-sheet'!Q11*'Output-Calculation-sheet'!Q110</f>
        <v>3445497794.6165304</v>
      </c>
      <c r="R133" s="2">
        <f>R12/'Output-Calculation-sheet'!R11*'Output-Calculation-sheet'!R110</f>
        <v>10034676107.027702</v>
      </c>
      <c r="S133" s="2">
        <f>S12/'Output-Calculation-sheet'!S11*'Output-Calculation-sheet'!S110</f>
        <v>9656863.0522759631</v>
      </c>
      <c r="T133" s="2">
        <f>T12/'Output-Calculation-sheet'!T11*'Output-Calculation-sheet'!T110</f>
        <v>3749003946.6344123</v>
      </c>
      <c r="U133" s="2">
        <f>U12/'Output-Calculation-sheet'!U11*'Output-Calculation-sheet'!U110</f>
        <v>2963023014.7930121</v>
      </c>
      <c r="V133" s="2">
        <f>V12/'Output-Calculation-sheet'!V11*'Output-Calculation-sheet'!V110</f>
        <v>2580441912.6675959</v>
      </c>
      <c r="W133" s="2">
        <f>W12/'Output-Calculation-sheet'!W11*'Output-Calculation-sheet'!W110</f>
        <v>2173036782.6315637</v>
      </c>
      <c r="X133" s="2">
        <f>X12/'Output-Calculation-sheet'!X11*'Output-Calculation-sheet'!X110</f>
        <v>0</v>
      </c>
      <c r="Y133" s="2">
        <f>Y12/'Output-Calculation-sheet'!Y11*'Output-Calculation-sheet'!Y110</f>
        <v>823341785.07694542</v>
      </c>
      <c r="AA133" s="2">
        <f t="shared" si="11"/>
        <v>210592.63596938626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14527396691.550869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4567047589.7364101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3139320329.5613804</v>
      </c>
      <c r="N140" s="2">
        <f>N8/'Output-Calculation-sheet'!N7*'Output-Calculation-sheet'!N115</f>
        <v>1185217855.4478326</v>
      </c>
      <c r="O140" s="2">
        <f>O8/'Output-Calculation-sheet'!O7*'Output-Calculation-sheet'!O115</f>
        <v>3486504470.2573957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340892496.27316803</v>
      </c>
      <c r="Y140" s="2">
        <f>Y8/'Output-Calculation-sheet'!Y7*'Output-Calculation-sheet'!Y115</f>
        <v>0</v>
      </c>
      <c r="AA140" s="2">
        <f t="shared" si="12"/>
        <v>27246.379432827052</v>
      </c>
    </row>
    <row r="141" spans="1:27" x14ac:dyDescent="0.25">
      <c r="A141" s="2">
        <v>2032</v>
      </c>
      <c r="B141" s="2">
        <f>B9/'Output-Calculation-sheet'!B8*'Output-Calculation-sheet'!B116</f>
        <v>6128327793.0871964</v>
      </c>
      <c r="C141" s="2">
        <f>C9/'Output-Calculation-sheet'!C8*'Output-Calculation-sheet'!C116</f>
        <v>26232866547.947807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6838794550.5488348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4695394364.867095</v>
      </c>
      <c r="N141" s="2">
        <f>N9/'Output-Calculation-sheet'!N8*'Output-Calculation-sheet'!N116</f>
        <v>3259834259.7544823</v>
      </c>
      <c r="O141" s="2">
        <f>O9/'Output-Calculation-sheet'!O8*'Output-Calculation-sheet'!O116</f>
        <v>5091953574.3254519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1460112361.3956656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511077177.78683168</v>
      </c>
      <c r="Y141" s="2">
        <f>Y9/'Output-Calculation-sheet'!Y8*'Output-Calculation-sheet'!Y116</f>
        <v>0</v>
      </c>
      <c r="AA141" s="2">
        <f t="shared" si="12"/>
        <v>54218.360629713374</v>
      </c>
    </row>
    <row r="142" spans="1:27" x14ac:dyDescent="0.25">
      <c r="A142" s="2">
        <v>2033</v>
      </c>
      <c r="B142" s="2">
        <f>B10/'Output-Calculation-sheet'!B9*'Output-Calculation-sheet'!B117</f>
        <v>33020394566.942055</v>
      </c>
      <c r="C142" s="2">
        <f>C10/'Output-Calculation-sheet'!C9*'Output-Calculation-sheet'!C117</f>
        <v>34868172252.346748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10798930493.981117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7420885827.8198404</v>
      </c>
      <c r="N142" s="2">
        <f>N10/'Output-Calculation-sheet'!N9*'Output-Calculation-sheet'!N117</f>
        <v>5597959122.5402212</v>
      </c>
      <c r="O142" s="2">
        <f>O10/'Output-Calculation-sheet'!O9*'Output-Calculation-sheet'!O117</f>
        <v>6767469713.9357786</v>
      </c>
      <c r="P142" s="2">
        <f>P10/'Output-Calculation-sheet'!P9*'Output-Calculation-sheet'!P117</f>
        <v>0</v>
      </c>
      <c r="Q142" s="2">
        <f>Q10/'Output-Calculation-sheet'!Q9*'Output-Calculation-sheet'!Q117</f>
        <v>1069132685.7911563</v>
      </c>
      <c r="R142" s="2">
        <f>R10/'Output-Calculation-sheet'!R9*'Output-Calculation-sheet'!R117</f>
        <v>0</v>
      </c>
      <c r="S142" s="2">
        <f>S10/'Output-Calculation-sheet'!S9*'Output-Calculation-sheet'!S117</f>
        <v>2721983848.2899456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813536771.62985253</v>
      </c>
      <c r="Y142" s="2">
        <f>Y10/'Output-Calculation-sheet'!Y9*'Output-Calculation-sheet'!Y117</f>
        <v>0</v>
      </c>
      <c r="AA142" s="2">
        <f t="shared" si="12"/>
        <v>103078.46528327672</v>
      </c>
    </row>
    <row r="143" spans="1:27" x14ac:dyDescent="0.25">
      <c r="A143" s="2">
        <v>2034</v>
      </c>
      <c r="B143" s="2">
        <f>B11/'Output-Calculation-sheet'!B10*'Output-Calculation-sheet'!B118</f>
        <v>63341224968.581032</v>
      </c>
      <c r="C143" s="2">
        <f>C11/'Output-Calculation-sheet'!C10*'Output-Calculation-sheet'!C118</f>
        <v>48598278641.762909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13471684621.736515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9252502761.4698124</v>
      </c>
      <c r="N143" s="2">
        <f>N11/'Output-Calculation-sheet'!N10*'Output-Calculation-sheet'!N118</f>
        <v>8141460189.4397631</v>
      </c>
      <c r="O143" s="2">
        <f>O11/'Output-Calculation-sheet'!O10*'Output-Calculation-sheet'!O118</f>
        <v>9441295441.3403053</v>
      </c>
      <c r="P143" s="2">
        <f>P11/'Output-Calculation-sheet'!P10*'Output-Calculation-sheet'!P118</f>
        <v>1704598016.0426121</v>
      </c>
      <c r="Q143" s="2">
        <f>Q11/'Output-Calculation-sheet'!Q10*'Output-Calculation-sheet'!Q118</f>
        <v>4013426990.4659367</v>
      </c>
      <c r="R143" s="2">
        <f>R11/'Output-Calculation-sheet'!R10*'Output-Calculation-sheet'!R118</f>
        <v>0</v>
      </c>
      <c r="S143" s="2">
        <f>S11/'Output-Calculation-sheet'!S10*'Output-Calculation-sheet'!S118</f>
        <v>4687844208.7452412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1015784027.4036599</v>
      </c>
      <c r="Y143" s="2">
        <f>Y11/'Output-Calculation-sheet'!Y10*'Output-Calculation-sheet'!Y118</f>
        <v>119034890.69324119</v>
      </c>
      <c r="AA143" s="2">
        <f t="shared" si="12"/>
        <v>163787.13475768099</v>
      </c>
    </row>
    <row r="144" spans="1:27" x14ac:dyDescent="0.25">
      <c r="A144" s="2">
        <v>2035</v>
      </c>
      <c r="B144" s="2">
        <f>B12/'Output-Calculation-sheet'!B11*'Output-Calculation-sheet'!B119</f>
        <v>111073427738.96826</v>
      </c>
      <c r="C144" s="2">
        <f>C12/'Output-Calculation-sheet'!C11*'Output-Calculation-sheet'!C119</f>
        <v>58785818715.005722</v>
      </c>
      <c r="D144" s="2">
        <f>D12/'Output-Calculation-sheet'!D11*'Output-Calculation-sheet'!D119</f>
        <v>0</v>
      </c>
      <c r="E144" s="2">
        <f>E12/'Output-Calculation-sheet'!E11*'Output-Calculation-sheet'!E119</f>
        <v>13401822221.854404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17842874261.183506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12188540082.176987</v>
      </c>
      <c r="N144" s="2">
        <f>N12/'Output-Calculation-sheet'!N11*'Output-Calculation-sheet'!N119</f>
        <v>12029999159.6626</v>
      </c>
      <c r="O144" s="2">
        <f>O12/'Output-Calculation-sheet'!O11*'Output-Calculation-sheet'!O119</f>
        <v>11422598437.149179</v>
      </c>
      <c r="P144" s="2">
        <f>P12/'Output-Calculation-sheet'!P11*'Output-Calculation-sheet'!P119</f>
        <v>5531511928.2480927</v>
      </c>
      <c r="Q144" s="2">
        <f>Q12/'Output-Calculation-sheet'!Q11*'Output-Calculation-sheet'!Q119</f>
        <v>6728905428.7709532</v>
      </c>
      <c r="R144" s="2">
        <f>R12/'Output-Calculation-sheet'!R11*'Output-Calculation-sheet'!R119</f>
        <v>0</v>
      </c>
      <c r="S144" s="2">
        <f>S12/'Output-Calculation-sheet'!S11*'Output-Calculation-sheet'!S119</f>
        <v>6933000207.4827719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1361752824.0845852</v>
      </c>
      <c r="Y144" s="2">
        <f>Y12/'Output-Calculation-sheet'!Y11*'Output-Calculation-sheet'!Y119</f>
        <v>384022748.33810633</v>
      </c>
      <c r="AA144" s="2">
        <f t="shared" si="12"/>
        <v>257684.27375292519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2302852369.1165829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502157304.21335733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59677.778363983001</v>
      </c>
    </row>
    <row r="155" spans="1:27" x14ac:dyDescent="0.25">
      <c r="A155" s="2">
        <v>2035</v>
      </c>
      <c r="B155" s="2">
        <f>B12/'Output-Calculation-sheet'!B11*'Output-Calculation-sheet'!B128</f>
        <v>1459356838.2409642</v>
      </c>
      <c r="C155" s="2">
        <f>C12/'Output-Calculation-sheet'!C11*'Output-Calculation-sheet'!C128</f>
        <v>87229704.73338303</v>
      </c>
      <c r="D155" s="2">
        <f>D12/'Output-Calculation-sheet'!D11*'Output-Calculation-sheet'!D128</f>
        <v>6375686313.6287537</v>
      </c>
      <c r="E155" s="2">
        <f>E12/'Output-Calculation-sheet'!E11*'Output-Calculation-sheet'!E128</f>
        <v>1493080525.6820071</v>
      </c>
      <c r="F155" s="2">
        <f>F12/'Output-Calculation-sheet'!F11*'Output-Calculation-sheet'!F128</f>
        <v>2579914609.7325525</v>
      </c>
      <c r="G155" s="2">
        <f>G12/'Output-Calculation-sheet'!G11*'Output-Calculation-sheet'!G128</f>
        <v>2435591045.977962</v>
      </c>
      <c r="H155" s="2">
        <f>H12/'Output-Calculation-sheet'!H11*'Output-Calculation-sheet'!H128</f>
        <v>134096139.87373881</v>
      </c>
      <c r="I155" s="2">
        <f>I12/'Output-Calculation-sheet'!I11*'Output-Calculation-sheet'!I128</f>
        <v>2091558107.7278678</v>
      </c>
      <c r="J155" s="2">
        <f>J12/'Output-Calculation-sheet'!J11*'Output-Calculation-sheet'!J128</f>
        <v>1511845952.7831531</v>
      </c>
      <c r="K155" s="2">
        <f>K12/'Output-Calculation-sheet'!K11*'Output-Calculation-sheet'!K128</f>
        <v>1673182453.0805616</v>
      </c>
      <c r="L155" s="2">
        <f>L12/'Output-Calculation-sheet'!L11*'Output-Calculation-sheet'!L128</f>
        <v>733756685.83323467</v>
      </c>
      <c r="M155" s="2">
        <f>M12/'Output-Calculation-sheet'!M11*'Output-Calculation-sheet'!M128</f>
        <v>105749632.95330046</v>
      </c>
      <c r="N155" s="2">
        <f>N12/'Output-Calculation-sheet'!N11*'Output-Calculation-sheet'!N128</f>
        <v>96653735.077232957</v>
      </c>
      <c r="O155" s="2">
        <f>O12/'Output-Calculation-sheet'!O11*'Output-Calculation-sheet'!O128</f>
        <v>21166463.845966291</v>
      </c>
      <c r="P155" s="2">
        <f>P12/'Output-Calculation-sheet'!P11*'Output-Calculation-sheet'!P128</f>
        <v>394294827.57198924</v>
      </c>
      <c r="Q155" s="2">
        <f>Q12/'Output-Calculation-sheet'!Q11*'Output-Calculation-sheet'!Q128</f>
        <v>480760428.05916828</v>
      </c>
      <c r="R155" s="2">
        <f>R12/'Output-Calculation-sheet'!R11*'Output-Calculation-sheet'!R128</f>
        <v>861562968.3184725</v>
      </c>
      <c r="S155" s="2">
        <f>S12/'Output-Calculation-sheet'!S11*'Output-Calculation-sheet'!S128</f>
        <v>62744989.115533769</v>
      </c>
      <c r="T155" s="2">
        <f>T12/'Output-Calculation-sheet'!T11*'Output-Calculation-sheet'!T128</f>
        <v>236277768.50112236</v>
      </c>
      <c r="U155" s="2">
        <f>U12/'Output-Calculation-sheet'!U11*'Output-Calculation-sheet'!U128</f>
        <v>544124299.83499742</v>
      </c>
      <c r="V155" s="2">
        <f>V12/'Output-Calculation-sheet'!V11*'Output-Calculation-sheet'!V128</f>
        <v>81160796.529543191</v>
      </c>
      <c r="W155" s="2">
        <f>W12/'Output-Calculation-sheet'!W11*'Output-Calculation-sheet'!W128</f>
        <v>163628882.97887895</v>
      </c>
      <c r="X155" s="2">
        <f>X12/'Output-Calculation-sheet'!X11*'Output-Calculation-sheet'!X128</f>
        <v>3476817.0438855621</v>
      </c>
      <c r="Y155" s="2">
        <f>Y12/'Output-Calculation-sheet'!Y11*'Output-Calculation-sheet'!Y128</f>
        <v>89965145.869062215</v>
      </c>
      <c r="AA155" s="2">
        <f t="shared" si="13"/>
        <v>23716.865132993331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5015.7430159368232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1519.3288723974354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1055.3861564652025</v>
      </c>
      <c r="N19" s="2">
        <f>N8/'Output-Calculation-sheet'!N7*'Output-Calculation-sheet'!N25</f>
        <v>877.95656632530677</v>
      </c>
      <c r="O19" s="2">
        <f>O8/'Output-Calculation-sheet'!O7*'Output-Calculation-sheet'!O25</f>
        <v>551.01264472460014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114.22214003849984</v>
      </c>
      <c r="Y19" s="2">
        <f>Y8/'Output-Calculation-sheet'!Y7*'Output-Calculation-sheet'!Y25</f>
        <v>0</v>
      </c>
      <c r="AA19" s="2">
        <f t="shared" si="0"/>
        <v>10.605732025226619</v>
      </c>
    </row>
    <row r="20" spans="1:27" x14ac:dyDescent="0.25">
      <c r="A20" s="2">
        <v>2032</v>
      </c>
      <c r="B20" s="2">
        <f>B9/'Output-Calculation-sheet'!B8*'Output-Calculation-sheet'!B26</f>
        <v>5292.5863631096654</v>
      </c>
      <c r="C20" s="2">
        <f>C9/'Output-Calculation-sheet'!C8*'Output-Calculation-sheet'!C26</f>
        <v>2902.3251502276817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1742.2801184186087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1217.5173709757123</v>
      </c>
      <c r="N20" s="2">
        <f>N9/'Output-Calculation-sheet'!N8*'Output-Calculation-sheet'!N26</f>
        <v>843.7727152521345</v>
      </c>
      <c r="O20" s="2">
        <f>O9/'Output-Calculation-sheet'!O8*'Output-Calculation-sheet'!O26</f>
        <v>567.06054815536163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400.24629701587594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132.48367171872763</v>
      </c>
      <c r="Y20" s="2">
        <f>Y9/'Output-Calculation-sheet'!Y8*'Output-Calculation-sheet'!Y26</f>
        <v>0</v>
      </c>
      <c r="AA20" s="2">
        <f t="shared" si="0"/>
        <v>13.098272234873768</v>
      </c>
    </row>
    <row r="21" spans="1:27" x14ac:dyDescent="0.25">
      <c r="A21" s="2">
        <v>2033</v>
      </c>
      <c r="B21" s="2">
        <f>B10/'Output-Calculation-sheet'!B9*'Output-Calculation-sheet'!B27</f>
        <v>5038.1587228611425</v>
      </c>
      <c r="C21" s="2">
        <f>C10/'Output-Calculation-sheet'!C9*'Output-Calculation-sheet'!C27</f>
        <v>3096.6655669963534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1015.3247735440949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718.65525045931565</v>
      </c>
      <c r="N21" s="2">
        <f>N10/'Output-Calculation-sheet'!N9*'Output-Calculation-sheet'!N27</f>
        <v>727.78022591822162</v>
      </c>
      <c r="O21" s="2">
        <f>O10/'Output-Calculation-sheet'!O9*'Output-Calculation-sheet'!O27</f>
        <v>606.26072774997726</v>
      </c>
      <c r="P21" s="2">
        <f>P10/'Output-Calculation-sheet'!P9*'Output-Calculation-sheet'!P27</f>
        <v>0</v>
      </c>
      <c r="Q21" s="2">
        <f>Q10/'Output-Calculation-sheet'!Q9*'Output-Calculation-sheet'!Q27</f>
        <v>8.4810963554113528</v>
      </c>
      <c r="R21" s="2">
        <f>R10/'Output-Calculation-sheet'!R9*'Output-Calculation-sheet'!R27</f>
        <v>0</v>
      </c>
      <c r="S21" s="2">
        <f>S10/'Output-Calculation-sheet'!S9*'Output-Calculation-sheet'!S27</f>
        <v>346.5419979739861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71.760815341551663</v>
      </c>
      <c r="Y21" s="2">
        <f>Y10/'Output-Calculation-sheet'!Y9*'Output-Calculation-sheet'!Y27</f>
        <v>0</v>
      </c>
      <c r="AA21" s="2">
        <f t="shared" si="0"/>
        <v>11.629629177200053</v>
      </c>
    </row>
    <row r="22" spans="1:27" x14ac:dyDescent="0.25">
      <c r="A22" s="2">
        <v>2034</v>
      </c>
      <c r="B22" s="2">
        <f>B11/'Output-Calculation-sheet'!B10*'Output-Calculation-sheet'!B28</f>
        <v>4468.5474643295283</v>
      </c>
      <c r="C22" s="2">
        <f>C11/'Output-Calculation-sheet'!C10*'Output-Calculation-sheet'!C28</f>
        <v>450.74005947818443</v>
      </c>
      <c r="D22" s="2">
        <f>D11/'Output-Calculation-sheet'!D10*'Output-Calculation-sheet'!D28</f>
        <v>0</v>
      </c>
      <c r="E22" s="2">
        <f>E11/'Output-Calculation-sheet'!E10*'Output-Calculation-sheet'!E28</f>
        <v>1496.7005562456227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1186.8338905895898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907.69712854974807</v>
      </c>
      <c r="M22" s="2">
        <f>M11/'Output-Calculation-sheet'!M10*'Output-Calculation-sheet'!M28</f>
        <v>844.6651560986146</v>
      </c>
      <c r="N22" s="2">
        <f>N11/'Output-Calculation-sheet'!N10*'Output-Calculation-sheet'!N28</f>
        <v>564.66347582015089</v>
      </c>
      <c r="O22" s="2">
        <f>O11/'Output-Calculation-sheet'!O10*'Output-Calculation-sheet'!O28</f>
        <v>88.413711673587414</v>
      </c>
      <c r="P22" s="2">
        <f>P11/'Output-Calculation-sheet'!P10*'Output-Calculation-sheet'!P28</f>
        <v>0</v>
      </c>
      <c r="Q22" s="2">
        <f>Q11/'Output-Calculation-sheet'!Q10*'Output-Calculation-sheet'!Q28</f>
        <v>290.65085060032135</v>
      </c>
      <c r="R22" s="2">
        <f>R11/'Output-Calculation-sheet'!R10*'Output-Calculation-sheet'!R28</f>
        <v>0</v>
      </c>
      <c r="S22" s="2">
        <f>S11/'Output-Calculation-sheet'!S10*'Output-Calculation-sheet'!S28</f>
        <v>211.42791936923567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82.994232615372198</v>
      </c>
      <c r="Y22" s="2">
        <f>Y11/'Output-Calculation-sheet'!Y10*'Output-Calculation-sheet'!Y28</f>
        <v>33.830793371162152</v>
      </c>
      <c r="AA22" s="2">
        <f t="shared" si="0"/>
        <v>10.627165238741117</v>
      </c>
    </row>
    <row r="23" spans="1:27" x14ac:dyDescent="0.25">
      <c r="A23" s="2">
        <v>2035</v>
      </c>
      <c r="B23" s="2">
        <f>B12/'Output-Calculation-sheet'!B11*'Output-Calculation-sheet'!B29</f>
        <v>2120.7120317271138</v>
      </c>
      <c r="C23" s="2">
        <f>C12/'Output-Calculation-sheet'!C11*'Output-Calculation-sheet'!C29</f>
        <v>184.35200995743983</v>
      </c>
      <c r="D23" s="2">
        <f>D12/'Output-Calculation-sheet'!D11*'Output-Calculation-sheet'!D29</f>
        <v>0</v>
      </c>
      <c r="E23" s="2">
        <f>E12/'Output-Calculation-sheet'!E11*'Output-Calculation-sheet'!E29</f>
        <v>2927.4580904529785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312.59666921533517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1964.4567506416704</v>
      </c>
      <c r="M23" s="2">
        <f>M12/'Output-Calculation-sheet'!M11*'Output-Calculation-sheet'!M29</f>
        <v>286.76182292541927</v>
      </c>
      <c r="N23" s="2">
        <f>N12/'Output-Calculation-sheet'!N11*'Output-Calculation-sheet'!N29</f>
        <v>238.36190068285288</v>
      </c>
      <c r="O23" s="2">
        <f>O12/'Output-Calculation-sheet'!O11*'Output-Calculation-sheet'!O29</f>
        <v>32.687641192846471</v>
      </c>
      <c r="P23" s="2">
        <f>P12/'Output-Calculation-sheet'!P11*'Output-Calculation-sheet'!P29</f>
        <v>115.7588108324439</v>
      </c>
      <c r="Q23" s="2">
        <f>Q12/'Output-Calculation-sheet'!Q11*'Output-Calculation-sheet'!Q29</f>
        <v>435.35655762521554</v>
      </c>
      <c r="R23" s="2">
        <f>R12/'Output-Calculation-sheet'!R11*'Output-Calculation-sheet'!R29</f>
        <v>0</v>
      </c>
      <c r="S23" s="2">
        <f>S12/'Output-Calculation-sheet'!S11*'Output-Calculation-sheet'!S29</f>
        <v>99.576105487734409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9.2084050175405459</v>
      </c>
      <c r="Y23" s="2">
        <f>Y12/'Output-Calculation-sheet'!Y11*'Output-Calculation-sheet'!Y29</f>
        <v>79.996252405393676</v>
      </c>
      <c r="AA23" s="2">
        <f t="shared" si="0"/>
        <v>8.807283048163983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1000.8519141499282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39.240855337117381</v>
      </c>
    </row>
    <row r="31" spans="1:27" x14ac:dyDescent="0.25">
      <c r="A31" s="2">
        <v>2032</v>
      </c>
      <c r="B31" s="2">
        <f>B9/'Output-Calculation-sheet'!B8*'Output-Calculation-sheet'!B17</f>
        <v>22252.224662330056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870.08543634003149</v>
      </c>
      <c r="O31" s="2">
        <f>O9/'Output-Calculation-sheet'!O8*'Output-Calculation-sheet'!O17</f>
        <v>0</v>
      </c>
      <c r="P31" s="2">
        <f>P9/'Output-Calculation-sheet'!P8*'Output-Calculation-sheet'!P17</f>
        <v>2174.6434701240637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720.14167908726654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50.982493393690262</v>
      </c>
    </row>
    <row r="32" spans="1:27" x14ac:dyDescent="0.25">
      <c r="A32" s="2">
        <v>2033</v>
      </c>
      <c r="B32" s="2">
        <f>B10/'Output-Calculation-sheet'!B9*'Output-Calculation-sheet'!B18</f>
        <v>18224.352110349464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2853.4186144671671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737.63414007375968</v>
      </c>
      <c r="O32" s="2">
        <f>O10/'Output-Calculation-sheet'!O9*'Output-Calculation-sheet'!O18</f>
        <v>0</v>
      </c>
      <c r="P32" s="2">
        <f>P10/'Output-Calculation-sheet'!P9*'Output-Calculation-sheet'!P18</f>
        <v>2936.5501750173275</v>
      </c>
      <c r="Q32" s="2">
        <f>Q10/'Output-Calculation-sheet'!Q9*'Output-Calculation-sheet'!Q18</f>
        <v>2718.9765975904465</v>
      </c>
      <c r="R32" s="2">
        <f>R10/'Output-Calculation-sheet'!R9*'Output-Calculation-sheet'!R18</f>
        <v>2108.6479508623702</v>
      </c>
      <c r="S32" s="2">
        <f>S10/'Output-Calculation-sheet'!S9*'Output-Calculation-sheet'!S18</f>
        <v>671.02903665020722</v>
      </c>
      <c r="T32" s="2">
        <f>T10/'Output-Calculation-sheet'!T9*'Output-Calculation-sheet'!T18</f>
        <v>615.69089634989768</v>
      </c>
      <c r="U32" s="2">
        <f>U10/'Output-Calculation-sheet'!U9*'Output-Calculation-sheet'!U18</f>
        <v>680.61904627317722</v>
      </c>
      <c r="V32" s="2">
        <f>V10/'Output-Calculation-sheet'!V9*'Output-Calculation-sheet'!V18</f>
        <v>502.36808525890376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290.84447618851709</v>
      </c>
      <c r="AA32" s="2">
        <f t="shared" si="1"/>
        <v>57.937058025679825</v>
      </c>
    </row>
    <row r="33" spans="1:27" x14ac:dyDescent="0.25">
      <c r="A33" s="2">
        <v>2034</v>
      </c>
      <c r="B33" s="2">
        <f>B11/'Output-Calculation-sheet'!B10*'Output-Calculation-sheet'!B19</f>
        <v>13507.234523745548</v>
      </c>
      <c r="C33" s="2">
        <f>C11/'Output-Calculation-sheet'!C10*'Output-Calculation-sheet'!C19</f>
        <v>0</v>
      </c>
      <c r="D33" s="2">
        <f>D11/'Output-Calculation-sheet'!D10*'Output-Calculation-sheet'!D19</f>
        <v>8982.8934211943197</v>
      </c>
      <c r="E33" s="2">
        <f>E11/'Output-Calculation-sheet'!E10*'Output-Calculation-sheet'!E19</f>
        <v>11136.519766671971</v>
      </c>
      <c r="F33" s="2">
        <f>F11/'Output-Calculation-sheet'!F10*'Output-Calculation-sheet'!F19</f>
        <v>5099.2193889354012</v>
      </c>
      <c r="G33" s="2">
        <f>G11/'Output-Calculation-sheet'!G10*'Output-Calculation-sheet'!G19</f>
        <v>3037.6770858281025</v>
      </c>
      <c r="H33" s="2">
        <f>H11/'Output-Calculation-sheet'!H10*'Output-Calculation-sheet'!H19</f>
        <v>0</v>
      </c>
      <c r="I33" s="2">
        <f>I11/'Output-Calculation-sheet'!I10*'Output-Calculation-sheet'!I19</f>
        <v>3336.8131961209856</v>
      </c>
      <c r="J33" s="2">
        <f>J11/'Output-Calculation-sheet'!J10*'Output-Calculation-sheet'!J19</f>
        <v>2821.6636174833889</v>
      </c>
      <c r="K33" s="2">
        <f>K11/'Output-Calculation-sheet'!K10*'Output-Calculation-sheet'!K19</f>
        <v>3913.7139582405589</v>
      </c>
      <c r="L33" s="2">
        <f>L11/'Output-Calculation-sheet'!L10*'Output-Calculation-sheet'!L19</f>
        <v>3183.1047586400496</v>
      </c>
      <c r="M33" s="2">
        <f>M11/'Output-Calculation-sheet'!M10*'Output-Calculation-sheet'!M19</f>
        <v>0</v>
      </c>
      <c r="N33" s="2">
        <f>N11/'Output-Calculation-sheet'!N10*'Output-Calculation-sheet'!N19</f>
        <v>604.20324439584192</v>
      </c>
      <c r="O33" s="2">
        <f>O11/'Output-Calculation-sheet'!O10*'Output-Calculation-sheet'!O19</f>
        <v>0</v>
      </c>
      <c r="P33" s="2">
        <f>P11/'Output-Calculation-sheet'!P10*'Output-Calculation-sheet'!P19</f>
        <v>2990.9045067333241</v>
      </c>
      <c r="Q33" s="2">
        <f>Q11/'Output-Calculation-sheet'!Q10*'Output-Calculation-sheet'!Q19</f>
        <v>1905.7186297771036</v>
      </c>
      <c r="R33" s="2">
        <f>R11/'Output-Calculation-sheet'!R10*'Output-Calculation-sheet'!R19</f>
        <v>2827.3749757903179</v>
      </c>
      <c r="S33" s="2">
        <f>S11/'Output-Calculation-sheet'!S10*'Output-Calculation-sheet'!S19</f>
        <v>384.09143181208958</v>
      </c>
      <c r="T33" s="2">
        <f>T11/'Output-Calculation-sheet'!T10*'Output-Calculation-sheet'!T19</f>
        <v>829.43127307089594</v>
      </c>
      <c r="U33" s="2">
        <f>U11/'Output-Calculation-sheet'!U10*'Output-Calculation-sheet'!U19</f>
        <v>897.07592968946994</v>
      </c>
      <c r="V33" s="2">
        <f>V11/'Output-Calculation-sheet'!V10*'Output-Calculation-sheet'!V19</f>
        <v>650.60368578868133</v>
      </c>
      <c r="W33" s="2">
        <f>W11/'Output-Calculation-sheet'!W10*'Output-Calculation-sheet'!W19</f>
        <v>405.09593930832858</v>
      </c>
      <c r="X33" s="2">
        <f>X11/'Output-Calculation-sheet'!X10*'Output-Calculation-sheet'!X19</f>
        <v>0</v>
      </c>
      <c r="Y33" s="2">
        <f>Y11/'Output-Calculation-sheet'!Y10*'Output-Calculation-sheet'!Y19</f>
        <v>331.65792721504698</v>
      </c>
      <c r="AA33" s="2">
        <f t="shared" si="1"/>
        <v>66.844997260441431</v>
      </c>
    </row>
    <row r="34" spans="1:27" x14ac:dyDescent="0.25">
      <c r="A34" s="2">
        <v>2035</v>
      </c>
      <c r="B34" s="2">
        <f>B12/'Output-Calculation-sheet'!B11*'Output-Calculation-sheet'!B20</f>
        <v>3628.8987835156395</v>
      </c>
      <c r="C34" s="2">
        <f>C12/'Output-Calculation-sheet'!C11*'Output-Calculation-sheet'!C20</f>
        <v>0</v>
      </c>
      <c r="D34" s="2">
        <f>D12/'Output-Calculation-sheet'!D11*'Output-Calculation-sheet'!D20</f>
        <v>9502.2043710069393</v>
      </c>
      <c r="E34" s="2">
        <f>E12/'Output-Calculation-sheet'!E11*'Output-Calculation-sheet'!E20</f>
        <v>6202.8216584521215</v>
      </c>
      <c r="F34" s="2">
        <f>F12/'Output-Calculation-sheet'!F11*'Output-Calculation-sheet'!F20</f>
        <v>5904.9600406803365</v>
      </c>
      <c r="G34" s="2">
        <f>G12/'Output-Calculation-sheet'!G11*'Output-Calculation-sheet'!G20</f>
        <v>3185.9341687800029</v>
      </c>
      <c r="H34" s="2">
        <f>H12/'Output-Calculation-sheet'!H11*'Output-Calculation-sheet'!H20</f>
        <v>0</v>
      </c>
      <c r="I34" s="2">
        <f>I12/'Output-Calculation-sheet'!I11*'Output-Calculation-sheet'!I20</f>
        <v>3541.882400030398</v>
      </c>
      <c r="J34" s="2">
        <f>J12/'Output-Calculation-sheet'!J11*'Output-Calculation-sheet'!J20</f>
        <v>3284.6173293314669</v>
      </c>
      <c r="K34" s="2">
        <f>K12/'Output-Calculation-sheet'!K11*'Output-Calculation-sheet'!K20</f>
        <v>4378.7206486493924</v>
      </c>
      <c r="L34" s="2">
        <f>L12/'Output-Calculation-sheet'!L11*'Output-Calculation-sheet'!L20</f>
        <v>3486.1858336846585</v>
      </c>
      <c r="M34" s="2">
        <f>M12/'Output-Calculation-sheet'!M11*'Output-Calculation-sheet'!M20</f>
        <v>0</v>
      </c>
      <c r="N34" s="2">
        <f>N12/'Output-Calculation-sheet'!N11*'Output-Calculation-sheet'!N20</f>
        <v>2.5737055449328555E-2</v>
      </c>
      <c r="O34" s="2">
        <f>O12/'Output-Calculation-sheet'!O11*'Output-Calculation-sheet'!O20</f>
        <v>0</v>
      </c>
      <c r="P34" s="2">
        <f>P12/'Output-Calculation-sheet'!P11*'Output-Calculation-sheet'!P20</f>
        <v>1792.4551186048184</v>
      </c>
      <c r="Q34" s="2">
        <f>Q12/'Output-Calculation-sheet'!Q11*'Output-Calculation-sheet'!Q20</f>
        <v>1205.3223504359496</v>
      </c>
      <c r="R34" s="2">
        <f>R12/'Output-Calculation-sheet'!R11*'Output-Calculation-sheet'!R20</f>
        <v>3345.1158364371659</v>
      </c>
      <c r="S34" s="2">
        <f>S12/'Output-Calculation-sheet'!S11*'Output-Calculation-sheet'!S20</f>
        <v>3.9630358414267963</v>
      </c>
      <c r="T34" s="2">
        <f>T12/'Output-Calculation-sheet'!T11*'Output-Calculation-sheet'!T20</f>
        <v>1013.9605570968153</v>
      </c>
      <c r="U34" s="2">
        <f>U12/'Output-Calculation-sheet'!U11*'Output-Calculation-sheet'!U20</f>
        <v>933.93403251281961</v>
      </c>
      <c r="V34" s="2">
        <f>V12/'Output-Calculation-sheet'!V11*'Output-Calculation-sheet'!V20</f>
        <v>919.26316936050409</v>
      </c>
      <c r="W34" s="2">
        <f>W12/'Output-Calculation-sheet'!W11*'Output-Calculation-sheet'!W20</f>
        <v>498.52498724802098</v>
      </c>
      <c r="X34" s="2">
        <f>X12/'Output-Calculation-sheet'!X11*'Output-Calculation-sheet'!X20</f>
        <v>0</v>
      </c>
      <c r="Y34" s="2">
        <f>Y12/'Output-Calculation-sheet'!Y11*'Output-Calculation-sheet'!Y20</f>
        <v>227.72286935693134</v>
      </c>
      <c r="AA34" s="2">
        <f t="shared" si="1"/>
        <v>53.056512928080863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2.0232982719893083E-2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3.7055163519670669E-3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2.3938499071860148E-2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5.9449661072567252E-2</v>
      </c>
      <c r="E45" s="2">
        <f>E12/'Output-Calculation-sheet'!E11*'Output-Calculation-sheet'!E38*0.0114</f>
        <v>0.14174003611982591</v>
      </c>
      <c r="F45" s="2">
        <f>F12/'Output-Calculation-sheet'!F11*'Output-Calculation-sheet'!F38*0.0114</f>
        <v>5.9429820932214862E-2</v>
      </c>
      <c r="G45" s="2">
        <f>G12/'Output-Calculation-sheet'!G11*'Output-Calculation-sheet'!G38*0.0114</f>
        <v>4.265187481470803E-2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3.8362725730435525E-2</v>
      </c>
      <c r="J45" s="2">
        <f>J12/'Output-Calculation-sheet'!J11*'Output-Calculation-sheet'!J38*0.0114</f>
        <v>1.8983195339137459E-2</v>
      </c>
      <c r="K45" s="2">
        <f>K12/'Output-Calculation-sheet'!K11*'Output-Calculation-sheet'!K38*0.0114</f>
        <v>3.7704452932030327E-2</v>
      </c>
      <c r="L45" s="2">
        <f>L12/'Output-Calculation-sheet'!L11*'Output-Calculation-sheet'!L38*0.0114</f>
        <v>1.4990422618640926E-2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3.8721758692399147E-2</v>
      </c>
      <c r="Q45" s="2">
        <f>Q12/'Output-Calculation-sheet'!Q11*'Output-Calculation-sheet'!Q38*0.0114</f>
        <v>1.2241212011985667E-2</v>
      </c>
      <c r="R45" s="2">
        <f>R12/'Output-Calculation-sheet'!R11*'Output-Calculation-sheet'!R38*0.0114</f>
        <v>2.4278937740387856E-2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4.4911461777007115E-3</v>
      </c>
      <c r="U45" s="2">
        <f>U12/'Output-Calculation-sheet'!U11*'Output-Calculation-sheet'!U38*0.0114</f>
        <v>1.1717047982195979E-2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5.2157182801881551E-3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6.0196789183971054E-3</v>
      </c>
      <c r="AA45" s="2">
        <f t="shared" si="2"/>
        <v>0.79897464321613987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0.14187925464020629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186.95611454953809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0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17.444386234916966</v>
      </c>
      <c r="AA54" s="2">
        <f t="shared" si="3"/>
        <v>4.6052491115579457</v>
      </c>
    </row>
    <row r="55" spans="1:27" x14ac:dyDescent="0.25">
      <c r="A55" s="2">
        <v>2034</v>
      </c>
      <c r="B55" s="2">
        <f>B11/'Output-Calculation-sheet'!B10*'Output-Calculation-sheet'!B46</f>
        <v>1765.182394711499</v>
      </c>
      <c r="C55" s="2">
        <f>C11/'Output-Calculation-sheet'!C10*'Output-Calculation-sheet'!C46</f>
        <v>0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294.28512892200803</v>
      </c>
      <c r="G55" s="2">
        <f>G11/'Output-Calculation-sheet'!G10*'Output-Calculation-sheet'!G46</f>
        <v>3317.1442722351026</v>
      </c>
      <c r="H55" s="2">
        <f>H11/'Output-Calculation-sheet'!H10*'Output-Calculation-sheet'!H46</f>
        <v>601.76601897520516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1364.9916297677073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446.01640402315212</v>
      </c>
      <c r="N55" s="2">
        <f>N11/'Output-Calculation-sheet'!N10*'Output-Calculation-sheet'!N46</f>
        <v>152.32200215896268</v>
      </c>
      <c r="O55" s="2">
        <f>O11/'Output-Calculation-sheet'!O10*'Output-Calculation-sheet'!O46</f>
        <v>0</v>
      </c>
      <c r="P55" s="2">
        <f>P11/'Output-Calculation-sheet'!P10*'Output-Calculation-sheet'!P46</f>
        <v>3312.7992404531387</v>
      </c>
      <c r="Q55" s="2">
        <f>Q11/'Output-Calculation-sheet'!Q10*'Output-Calculation-sheet'!Q46</f>
        <v>710.07484382498353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0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1262.8009673150925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83.775757541817597</v>
      </c>
      <c r="X55" s="2">
        <f>X11/'Output-Calculation-sheet'!X10*'Output-Calculation-sheet'!X46</f>
        <v>42.569464479208854</v>
      </c>
      <c r="Y55" s="2">
        <f>Y11/'Output-Calculation-sheet'!Y10*'Output-Calculation-sheet'!Y46</f>
        <v>296.07908991076948</v>
      </c>
      <c r="AA55" s="2">
        <f t="shared" si="3"/>
        <v>43.850424330142872</v>
      </c>
    </row>
    <row r="56" spans="1:27" x14ac:dyDescent="0.25">
      <c r="A56" s="2">
        <v>2035</v>
      </c>
      <c r="B56" s="2">
        <f>B12/'Output-Calculation-sheet'!B11*'Output-Calculation-sheet'!B47</f>
        <v>3336.5591459303855</v>
      </c>
      <c r="C56" s="2">
        <f>C12/'Output-Calculation-sheet'!C11*'Output-Calculation-sheet'!C47</f>
        <v>382.65625569961963</v>
      </c>
      <c r="D56" s="2">
        <f>D12/'Output-Calculation-sheet'!D11*'Output-Calculation-sheet'!D47</f>
        <v>9418.0778857067053</v>
      </c>
      <c r="E56" s="2">
        <f>E12/'Output-Calculation-sheet'!E11*'Output-Calculation-sheet'!E47</f>
        <v>12342.158700726361</v>
      </c>
      <c r="F56" s="2">
        <f>F12/'Output-Calculation-sheet'!F11*'Output-Calculation-sheet'!F47</f>
        <v>1303.2855467590978</v>
      </c>
      <c r="G56" s="2">
        <f>G12/'Output-Calculation-sheet'!G11*'Output-Calculation-sheet'!G47</f>
        <v>3485.1071394649589</v>
      </c>
      <c r="H56" s="2">
        <f>H12/'Output-Calculation-sheet'!H11*'Output-Calculation-sheet'!H47</f>
        <v>148.60098481496556</v>
      </c>
      <c r="I56" s="2">
        <f>I12/'Output-Calculation-sheet'!I11*'Output-Calculation-sheet'!I47</f>
        <v>2220.999910709425</v>
      </c>
      <c r="J56" s="2">
        <f>J12/'Output-Calculation-sheet'!J11*'Output-Calculation-sheet'!J47</f>
        <v>3708.3838614262386</v>
      </c>
      <c r="K56" s="2">
        <f>K12/'Output-Calculation-sheet'!K11*'Output-Calculation-sheet'!K47</f>
        <v>4952.8437075188958</v>
      </c>
      <c r="L56" s="2">
        <f>L12/'Output-Calculation-sheet'!L11*'Output-Calculation-sheet'!L47</f>
        <v>5363.6784088979239</v>
      </c>
      <c r="M56" s="2">
        <f>M12/'Output-Calculation-sheet'!M11*'Output-Calculation-sheet'!M47</f>
        <v>113.4747131585241</v>
      </c>
      <c r="N56" s="2">
        <f>N12/'Output-Calculation-sheet'!N11*'Output-Calculation-sheet'!N47</f>
        <v>106.62494400436114</v>
      </c>
      <c r="O56" s="2">
        <f>O12/'Output-Calculation-sheet'!O11*'Output-Calculation-sheet'!O47</f>
        <v>69.764742757903321</v>
      </c>
      <c r="P56" s="2">
        <f>P12/'Output-Calculation-sheet'!P11*'Output-Calculation-sheet'!P47</f>
        <v>2533.897542502611</v>
      </c>
      <c r="Q56" s="2">
        <f>Q12/'Output-Calculation-sheet'!Q11*'Output-Calculation-sheet'!Q47</f>
        <v>973.92800832201749</v>
      </c>
      <c r="R56" s="2">
        <f>R12/'Output-Calculation-sheet'!R11*'Output-Calculation-sheet'!R47</f>
        <v>5460.6312602065318</v>
      </c>
      <c r="S56" s="2">
        <f>S12/'Output-Calculation-sheet'!S11*'Output-Calculation-sheet'!S47</f>
        <v>45.665188741843956</v>
      </c>
      <c r="T56" s="2">
        <f>T12/'Output-Calculation-sheet'!T11*'Output-Calculation-sheet'!T47</f>
        <v>1837.0363707560016</v>
      </c>
      <c r="U56" s="2">
        <f>U12/'Output-Calculation-sheet'!U11*'Output-Calculation-sheet'!U47</f>
        <v>1287.8474668150491</v>
      </c>
      <c r="V56" s="2">
        <f>V12/'Output-Calculation-sheet'!V11*'Output-Calculation-sheet'!V47</f>
        <v>1272.5426066902378</v>
      </c>
      <c r="W56" s="2">
        <f>W12/'Output-Calculation-sheet'!W11*'Output-Calculation-sheet'!W47</f>
        <v>450.42760060045953</v>
      </c>
      <c r="X56" s="2">
        <f>X12/'Output-Calculation-sheet'!X11*'Output-Calculation-sheet'!X47</f>
        <v>11.627637621495156</v>
      </c>
      <c r="Y56" s="2">
        <f>Y12/'Output-Calculation-sheet'!Y11*'Output-Calculation-sheet'!Y47</f>
        <v>359.46459857007272</v>
      </c>
      <c r="AA56" s="2">
        <f t="shared" si="3"/>
        <v>61.185284228401684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7.2369728018613779</v>
      </c>
      <c r="C63" s="2">
        <f>C8*'Output-Calculation-sheet'!C52/10^9</f>
        <v>3.8663630716451531</v>
      </c>
      <c r="D63" s="2">
        <f>D8*'Output-Calculation-sheet'!D52/10^9</f>
        <v>2.4817130636685492</v>
      </c>
      <c r="E63" s="2">
        <f>E8*'Output-Calculation-sheet'!E52/10^9</f>
        <v>2.4674884757099709</v>
      </c>
      <c r="F63" s="2">
        <f>F8*'Output-Calculation-sheet'!F52/10^9</f>
        <v>1.0449811654769465</v>
      </c>
      <c r="G63" s="2">
        <f>G8*'Output-Calculation-sheet'!G52/10^9</f>
        <v>0.75129424976011716</v>
      </c>
      <c r="H63" s="2">
        <f>H8*'Output-Calculation-sheet'!H52/10^9</f>
        <v>1.2219079222976579</v>
      </c>
      <c r="I63" s="2">
        <f>I8*'Output-Calculation-sheet'!I52/10^9</f>
        <v>0.69887807460687268</v>
      </c>
      <c r="J63" s="2">
        <f>J8*'Output-Calculation-sheet'!J52/10^9</f>
        <v>0.96170360196491111</v>
      </c>
      <c r="K63" s="2">
        <f>K8*'Output-Calculation-sheet'!K52/10^9</f>
        <v>0.84494215021976937</v>
      </c>
      <c r="L63" s="2">
        <f>L8*'Output-Calculation-sheet'!L52/10^9</f>
        <v>1.1364878457603016</v>
      </c>
      <c r="M63" s="2">
        <f>M8*'Output-Calculation-sheet'!M52/10^9</f>
        <v>1.0010272481183908</v>
      </c>
      <c r="N63" s="2">
        <f>N8*'Output-Calculation-sheet'!N52/10^9</f>
        <v>0.88326143770702081</v>
      </c>
      <c r="O63" s="2">
        <f>O8*'Output-Calculation-sheet'!O52/10^9</f>
        <v>0.79102450751025144</v>
      </c>
      <c r="P63" s="2">
        <f>P8*'Output-Calculation-sheet'!P52/10^9</f>
        <v>0.58383223349186952</v>
      </c>
      <c r="Q63" s="2">
        <f>Q8*'Output-Calculation-sheet'!Q52/10^9</f>
        <v>0.66072699866719464</v>
      </c>
      <c r="R63" s="2">
        <f>R8*'Output-Calculation-sheet'!R52/10^9</f>
        <v>0.59320169032373127</v>
      </c>
      <c r="S63" s="2">
        <f>S8*'Output-Calculation-sheet'!S52/10^9</f>
        <v>0.4395834707094764</v>
      </c>
      <c r="T63" s="2">
        <f>T8*'Output-Calculation-sheet'!T52/10^9</f>
        <v>0.22552680879933945</v>
      </c>
      <c r="U63" s="2">
        <f>U8*'Output-Calculation-sheet'!U52/10^9</f>
        <v>0.15488939561412415</v>
      </c>
      <c r="V63" s="2">
        <f>V8*'Output-Calculation-sheet'!V52/10^9</f>
        <v>0.27489207398096599</v>
      </c>
      <c r="W63" s="2">
        <f>W8*'Output-Calculation-sheet'!W52/10^9</f>
        <v>9.9498051957211633E-2</v>
      </c>
      <c r="X63" s="2">
        <f>X8*'Output-Calculation-sheet'!X52/10^9</f>
        <v>0.10252094846834278</v>
      </c>
      <c r="Y63" s="2">
        <f>Y8*'Output-Calculation-sheet'!Y52/10^9</f>
        <v>6.4919711109192965E-2</v>
      </c>
      <c r="AA63" s="2">
        <f t="shared" si="4"/>
        <v>28.587636999428735</v>
      </c>
    </row>
    <row r="64" spans="1:27" x14ac:dyDescent="0.25">
      <c r="A64" s="2">
        <v>2032</v>
      </c>
      <c r="B64" s="2">
        <f>B9*'Output-Calculation-sheet'!B53/10^9</f>
        <v>7.5880816783290568</v>
      </c>
      <c r="C64" s="2">
        <f>C9*'Output-Calculation-sheet'!C53/10^9</f>
        <v>4.0226764535515018</v>
      </c>
      <c r="D64" s="2">
        <f>D9*'Output-Calculation-sheet'!D53/10^9</f>
        <v>2.2473424994022886</v>
      </c>
      <c r="E64" s="2">
        <f>E9*'Output-Calculation-sheet'!E53/10^9</f>
        <v>2.3013775977394673</v>
      </c>
      <c r="F64" s="2">
        <f>F9*'Output-Calculation-sheet'!F53/10^9</f>
        <v>0.97070663990411854</v>
      </c>
      <c r="G64" s="2">
        <f>G9*'Output-Calculation-sheet'!G53/10^9</f>
        <v>0.69091929129890028</v>
      </c>
      <c r="H64" s="2">
        <f>H9*'Output-Calculation-sheet'!H53/10^9</f>
        <v>1.2624871616895343</v>
      </c>
      <c r="I64" s="2">
        <f>I9*'Output-Calculation-sheet'!I53/10^9</f>
        <v>0.64589661603417348</v>
      </c>
      <c r="J64" s="2">
        <f>J9*'Output-Calculation-sheet'!J53/10^9</f>
        <v>0.85503588310432355</v>
      </c>
      <c r="K64" s="2">
        <f>K9*'Output-Calculation-sheet'!K53/10^9</f>
        <v>0.79335696888683904</v>
      </c>
      <c r="L64" s="2">
        <f>L9*'Output-Calculation-sheet'!L53/10^9</f>
        <v>1.0206513691854717</v>
      </c>
      <c r="M64" s="2">
        <f>M9*'Output-Calculation-sheet'!M53/10^9</f>
        <v>1.0016359040443863</v>
      </c>
      <c r="N64" s="2">
        <f>N9*'Output-Calculation-sheet'!N53/10^9</f>
        <v>0.90179594951298481</v>
      </c>
      <c r="O64" s="2">
        <f>O9*'Output-Calculation-sheet'!O53/10^9</f>
        <v>0.81462210656923195</v>
      </c>
      <c r="P64" s="2">
        <f>P9*'Output-Calculation-sheet'!P53/10^9</f>
        <v>0.6048854620017825</v>
      </c>
      <c r="Q64" s="2">
        <f>Q9*'Output-Calculation-sheet'!Q53/10^9</f>
        <v>0.66848429910646412</v>
      </c>
      <c r="R64" s="2">
        <f>R9*'Output-Calculation-sheet'!R53/10^9</f>
        <v>0.5730489081015756</v>
      </c>
      <c r="S64" s="2">
        <f>S9*'Output-Calculation-sheet'!S53/10^9</f>
        <v>0.46111642110804069</v>
      </c>
      <c r="T64" s="2">
        <f>T9*'Output-Calculation-sheet'!T53/10^9</f>
        <v>0.20599534803036162</v>
      </c>
      <c r="U64" s="2">
        <f>U9*'Output-Calculation-sheet'!U53/10^9</f>
        <v>0.155048403549506</v>
      </c>
      <c r="V64" s="2">
        <f>V9*'Output-Calculation-sheet'!V53/10^9</f>
        <v>0.24450254827920917</v>
      </c>
      <c r="W64" s="2">
        <f>W9*'Output-Calculation-sheet'!W53/10^9</f>
        <v>9.0852582863905226E-2</v>
      </c>
      <c r="X64" s="2">
        <f>X9*'Output-Calculation-sheet'!X53/10^9</f>
        <v>0.10416118644663083</v>
      </c>
      <c r="Y64" s="2">
        <f>Y9*'Output-Calculation-sheet'!Y53/10^9</f>
        <v>6.3654317627922299E-2</v>
      </c>
      <c r="AA64" s="2">
        <f t="shared" si="4"/>
        <v>28.288335596367681</v>
      </c>
    </row>
    <row r="65" spans="1:27" x14ac:dyDescent="0.25">
      <c r="A65" s="2">
        <v>2033</v>
      </c>
      <c r="B65" s="2">
        <f>B10*'Output-Calculation-sheet'!B54/10^9</f>
        <v>7.9125512117183074</v>
      </c>
      <c r="C65" s="2">
        <f>C10*'Output-Calculation-sheet'!C54/10^9</f>
        <v>4.0901395243913123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1.2844418567775566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0.74836508595652451</v>
      </c>
      <c r="L65" s="2">
        <f>L10*'Output-Calculation-sheet'!L54/10^9</f>
        <v>0.88389155314656986</v>
      </c>
      <c r="M65" s="2">
        <f>M10*'Output-Calculation-sheet'!M54/10^9</f>
        <v>0.97946871567195781</v>
      </c>
      <c r="N65" s="2">
        <f>N10*'Output-Calculation-sheet'!N54/10^9</f>
        <v>0.89878257002861295</v>
      </c>
      <c r="O65" s="2">
        <f>O10*'Output-Calculation-sheet'!O54/10^9</f>
        <v>0.81968204698556124</v>
      </c>
      <c r="P65" s="2">
        <f>P10*'Output-Calculation-sheet'!P54/10^9</f>
        <v>0.63314053647609492</v>
      </c>
      <c r="Q65" s="2">
        <f>Q10*'Output-Calculation-sheet'!Q54/10^9</f>
        <v>0.68970307454660718</v>
      </c>
      <c r="R65" s="2">
        <f>R10*'Output-Calculation-sheet'!R54/10^9</f>
        <v>0.55741111346629291</v>
      </c>
      <c r="S65" s="2">
        <f>S10*'Output-Calculation-sheet'!S54/10^9</f>
        <v>0.47410650640044882</v>
      </c>
      <c r="T65" s="2">
        <f>T10*'Output-Calculation-sheet'!T54/10^9</f>
        <v>0.1863697222998455</v>
      </c>
      <c r="U65" s="2">
        <f>U10*'Output-Calculation-sheet'!U54/10^9</f>
        <v>0.16092362599461943</v>
      </c>
      <c r="V65" s="2">
        <f>V10*'Output-Calculation-sheet'!V54/10^9</f>
        <v>0.20625082069873762</v>
      </c>
      <c r="W65" s="2">
        <f>W10*'Output-Calculation-sheet'!W54/10^9</f>
        <v>7.8524430765471456E-2</v>
      </c>
      <c r="X65" s="2">
        <f>X10*'Output-Calculation-sheet'!X54/10^9</f>
        <v>0.1026979864856143</v>
      </c>
      <c r="Y65" s="2">
        <f>Y10*'Output-Calculation-sheet'!Y54/10^9</f>
        <v>6.4631138044468656E-2</v>
      </c>
      <c r="AA65" s="2">
        <f t="shared" si="4"/>
        <v>27.621947808356467</v>
      </c>
    </row>
    <row r="66" spans="1:27" x14ac:dyDescent="0.25">
      <c r="A66" s="2">
        <v>2034</v>
      </c>
      <c r="B66" s="2">
        <f>B11*'Output-Calculation-sheet'!B55/10^9</f>
        <v>8.2109808802840725</v>
      </c>
      <c r="C66" s="2">
        <f>C11*'Output-Calculation-sheet'!C55/10^9</f>
        <v>4.130435635764842</v>
      </c>
      <c r="D66" s="2">
        <f>D11*'Output-Calculation-sheet'!D55/10^9</f>
        <v>1.8530832031073989</v>
      </c>
      <c r="E66" s="2">
        <f>E11*'Output-Calculation-sheet'!E55/10^9</f>
        <v>2.2439523344754377</v>
      </c>
      <c r="F66" s="2">
        <f>F11*'Output-Calculation-sheet'!F55/10^9</f>
        <v>0.8623842419806389</v>
      </c>
      <c r="G66" s="2">
        <f>G11*'Output-Calculation-sheet'!G55/10^9</f>
        <v>0.61645410725903271</v>
      </c>
      <c r="H66" s="2">
        <f>H11*'Output-Calculation-sheet'!H55/10^9</f>
        <v>1.2863038662157509</v>
      </c>
      <c r="I66" s="2">
        <f>I11*'Output-Calculation-sheet'!I55/10^9</f>
        <v>0.60278106837698076</v>
      </c>
      <c r="J66" s="2">
        <f>J11*'Output-Calculation-sheet'!J55/10^9</f>
        <v>0.61986121707153641</v>
      </c>
      <c r="K66" s="2">
        <f>K11*'Output-Calculation-sheet'!K55/10^9</f>
        <v>0.74139772102900381</v>
      </c>
      <c r="L66" s="2">
        <f>L11*'Output-Calculation-sheet'!L55/10^9</f>
        <v>0.78515212910126309</v>
      </c>
      <c r="M66" s="2">
        <f>M11*'Output-Calculation-sheet'!M55/10^9</f>
        <v>0.93762664163557252</v>
      </c>
      <c r="N66" s="2">
        <f>N11*'Output-Calculation-sheet'!N55/10^9</f>
        <v>0.88578614831622704</v>
      </c>
      <c r="O66" s="2">
        <f>O11*'Output-Calculation-sheet'!O55/10^9</f>
        <v>0.81412276918637116</v>
      </c>
      <c r="P66" s="2">
        <f>P11*'Output-Calculation-sheet'!P55/10^9</f>
        <v>0.67978465536120269</v>
      </c>
      <c r="Q66" s="2">
        <f>Q11*'Output-Calculation-sheet'!Q55/10^9</f>
        <v>0.71910160424419833</v>
      </c>
      <c r="R66" s="2">
        <f>R11*'Output-Calculation-sheet'!R55/10^9</f>
        <v>0.55542695400295572</v>
      </c>
      <c r="S66" s="2">
        <f>S11*'Output-Calculation-sheet'!S55/10^9</f>
        <v>0.48446601342265844</v>
      </c>
      <c r="T66" s="2">
        <f>T11*'Output-Calculation-sheet'!T55/10^9</f>
        <v>0.17408416952335126</v>
      </c>
      <c r="U66" s="2">
        <f>U11*'Output-Calculation-sheet'!U55/10^9</f>
        <v>0.17681788182309599</v>
      </c>
      <c r="V66" s="2">
        <f>V11*'Output-Calculation-sheet'!V55/10^9</f>
        <v>0.1651430890967876</v>
      </c>
      <c r="W66" s="2">
        <f>W11*'Output-Calculation-sheet'!W55/10^9</f>
        <v>7.4777865369723306E-2</v>
      </c>
      <c r="X66" s="2">
        <f>X11*'Output-Calculation-sheet'!X55/10^9</f>
        <v>0.10017777487338139</v>
      </c>
      <c r="Y66" s="2">
        <f>Y11*'Output-Calculation-sheet'!Y55/10^9</f>
        <v>7.3106931858773316E-2</v>
      </c>
      <c r="AA66" s="2">
        <f t="shared" si="4"/>
        <v>27.793208903380251</v>
      </c>
    </row>
    <row r="67" spans="1:27" x14ac:dyDescent="0.25">
      <c r="A67" s="2">
        <v>2035</v>
      </c>
      <c r="B67" s="2">
        <f>B12*'Output-Calculation-sheet'!B56/10^9</f>
        <v>8.7422337485857167</v>
      </c>
      <c r="C67" s="2">
        <f>C12*'Output-Calculation-sheet'!C56/10^9</f>
        <v>4.1031827603307063</v>
      </c>
      <c r="D67" s="2">
        <f>D12*'Output-Calculation-sheet'!D56/10^9</f>
        <v>2.0172230651480239</v>
      </c>
      <c r="E67" s="2">
        <f>E12*'Output-Calculation-sheet'!E56/10^9</f>
        <v>2.6966615781585959</v>
      </c>
      <c r="F67" s="2">
        <f>F12*'Output-Calculation-sheet'!F56/10^9</f>
        <v>1.0003274355603275</v>
      </c>
      <c r="G67" s="2">
        <f>G12*'Output-Calculation-sheet'!G56/10^9</f>
        <v>0.70074527423177402</v>
      </c>
      <c r="H67" s="2">
        <f>H12*'Output-Calculation-sheet'!H56/10^9</f>
        <v>1.2918055927488308</v>
      </c>
      <c r="I67" s="2">
        <f>I12*'Output-Calculation-sheet'!I56/10^9</f>
        <v>0.6807120560708606</v>
      </c>
      <c r="J67" s="2">
        <f>J12*'Output-Calculation-sheet'!J56/10^9</f>
        <v>0.67393282944978272</v>
      </c>
      <c r="K67" s="2">
        <f>K12*'Output-Calculation-sheet'!K56/10^9</f>
        <v>0.81210113277790108</v>
      </c>
      <c r="L67" s="2">
        <f>L12*'Output-Calculation-sheet'!L56/10^9</f>
        <v>0.81576563417569203</v>
      </c>
      <c r="M67" s="2">
        <f>M12*'Output-Calculation-sheet'!M56/10^9</f>
        <v>0.89863372894777882</v>
      </c>
      <c r="N67" s="2">
        <f>N12*'Output-Calculation-sheet'!N56/10^9</f>
        <v>0.87660035039429607</v>
      </c>
      <c r="O67" s="2">
        <f>O12*'Output-Calculation-sheet'!O56/10^9</f>
        <v>0.79761855023030714</v>
      </c>
      <c r="P67" s="2">
        <f>P12*'Output-Calculation-sheet'!P56/10^9</f>
        <v>0.7623633183449845</v>
      </c>
      <c r="Q67" s="2">
        <f>Q12*'Output-Calculation-sheet'!Q56/10^9</f>
        <v>0.77377312185062019</v>
      </c>
      <c r="R67" s="2">
        <f>R12*'Output-Calculation-sheet'!R56/10^9</f>
        <v>0.61599206075134771</v>
      </c>
      <c r="S67" s="2">
        <f>S12*'Output-Calculation-sheet'!S56/10^9</f>
        <v>0.50085100090022971</v>
      </c>
      <c r="T67" s="2">
        <f>T12*'Output-Calculation-sheet'!T56/10^9</f>
        <v>0.18668724697657366</v>
      </c>
      <c r="U67" s="2">
        <f>U12*'Output-Calculation-sheet'!U56/10^9</f>
        <v>0.19519673973504448</v>
      </c>
      <c r="V67" s="2">
        <f>V12*'Output-Calculation-sheet'!V56/10^9</f>
        <v>0.14973501119462862</v>
      </c>
      <c r="W67" s="2">
        <f>W12*'Output-Calculation-sheet'!W56/10^9</f>
        <v>9.0405313079443786E-2</v>
      </c>
      <c r="X67" s="2">
        <f>X12*'Output-Calculation-sheet'!X56/10^9</f>
        <v>9.6065668343794611E-2</v>
      </c>
      <c r="Y67" s="2">
        <f>Y12*'Output-Calculation-sheet'!Y56/10^9</f>
        <v>8.683704665192106E-2</v>
      </c>
      <c r="AA67" s="2">
        <f t="shared" si="4"/>
        <v>29.565450264639182</v>
      </c>
    </row>
    <row r="68" spans="1:27" x14ac:dyDescent="0.25">
      <c r="B68" s="2">
        <f>SUM(B60:B67)</f>
        <v>39.690820320778528</v>
      </c>
      <c r="C68" s="2">
        <f t="shared" ref="C68:Y68" si="5">SUM(C60:C67)</f>
        <v>20.212797445683517</v>
      </c>
      <c r="D68" s="2">
        <f t="shared" si="5"/>
        <v>10.519519941487889</v>
      </c>
      <c r="E68" s="2">
        <f t="shared" si="5"/>
        <v>11.871545290668641</v>
      </c>
      <c r="F68" s="2">
        <f t="shared" si="5"/>
        <v>4.7561600858583244</v>
      </c>
      <c r="G68" s="2">
        <f t="shared" si="5"/>
        <v>3.3620754776680033</v>
      </c>
      <c r="H68" s="2">
        <f t="shared" si="5"/>
        <v>6.3469463997293305</v>
      </c>
      <c r="I68" s="2">
        <f t="shared" si="5"/>
        <v>3.2150968181311814</v>
      </c>
      <c r="J68" s="2">
        <f t="shared" si="5"/>
        <v>3.8119242442488512</v>
      </c>
      <c r="K68" s="2">
        <f t="shared" si="5"/>
        <v>3.9401630588700378</v>
      </c>
      <c r="L68" s="2">
        <f t="shared" si="5"/>
        <v>4.6419485313692981</v>
      </c>
      <c r="M68" s="2">
        <f t="shared" si="5"/>
        <v>4.8183922384180864</v>
      </c>
      <c r="N68" s="2">
        <f t="shared" si="5"/>
        <v>4.4462264559591418</v>
      </c>
      <c r="O68" s="2">
        <f t="shared" si="5"/>
        <v>4.0370699804817232</v>
      </c>
      <c r="P68" s="2">
        <f t="shared" si="5"/>
        <v>3.2640062056759342</v>
      </c>
      <c r="Q68" s="2">
        <f t="shared" si="5"/>
        <v>3.5117890984150844</v>
      </c>
      <c r="R68" s="2">
        <f t="shared" si="5"/>
        <v>2.8950807266459031</v>
      </c>
      <c r="S68" s="2">
        <f t="shared" si="5"/>
        <v>2.3601234125408541</v>
      </c>
      <c r="T68" s="2">
        <f t="shared" si="5"/>
        <v>0.97866329562947152</v>
      </c>
      <c r="U68" s="2">
        <f t="shared" si="5"/>
        <v>0.84287604671639005</v>
      </c>
      <c r="V68" s="2">
        <f t="shared" si="5"/>
        <v>1.040523543250329</v>
      </c>
      <c r="W68" s="2">
        <f t="shared" si="5"/>
        <v>0.43405824403575538</v>
      </c>
      <c r="X68" s="2">
        <f t="shared" si="5"/>
        <v>0.50562356461776392</v>
      </c>
      <c r="Y68" s="2">
        <f t="shared" si="5"/>
        <v>0.35314914529227825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51.97008909539371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5.1970089095393711E-2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497.45388128215166</v>
      </c>
      <c r="Q76" s="2">
        <f>Q10/'Output-Calculation-sheet'!Q9*'Output-Calculation-sheet'!Q63</f>
        <v>59.091554687929388</v>
      </c>
      <c r="R76" s="2">
        <f>R10/'Output-Calculation-sheet'!R9*'Output-Calculation-sheet'!R63</f>
        <v>379.18367794279413</v>
      </c>
      <c r="S76" s="2">
        <f>S10/'Output-Calculation-sheet'!S9*'Output-Calculation-sheet'!S63</f>
        <v>0</v>
      </c>
      <c r="T76" s="2">
        <f>T10/'Output-Calculation-sheet'!T9*'Output-Calculation-sheet'!T63</f>
        <v>24.909390022005891</v>
      </c>
      <c r="U76" s="2">
        <f>U10/'Output-Calculation-sheet'!U9*'Output-Calculation-sheet'!U63</f>
        <v>134.54280254143134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6.3898315308602616</v>
      </c>
      <c r="AA76" s="2">
        <f t="shared" si="6"/>
        <v>1.2061770732510775</v>
      </c>
    </row>
    <row r="77" spans="1:27" x14ac:dyDescent="0.25">
      <c r="A77" s="2">
        <v>2034</v>
      </c>
      <c r="B77" s="2">
        <f>B11/'Output-Calculation-sheet'!B10*'Output-Calculation-sheet'!B64</f>
        <v>534.28540723127651</v>
      </c>
      <c r="C77" s="2">
        <f>C11/'Output-Calculation-sheet'!C10*'Output-Calculation-sheet'!C64</f>
        <v>0</v>
      </c>
      <c r="D77" s="2">
        <f>D11/'Output-Calculation-sheet'!D10*'Output-Calculation-sheet'!D64</f>
        <v>1797.0793833548166</v>
      </c>
      <c r="E77" s="2">
        <f>E11/'Output-Calculation-sheet'!E10*'Output-Calculation-sheet'!E64</f>
        <v>2228.3278572253112</v>
      </c>
      <c r="F77" s="2">
        <f>F11/'Output-Calculation-sheet'!F10*'Output-Calculation-sheet'!F64</f>
        <v>139.60490838575794</v>
      </c>
      <c r="G77" s="2">
        <f>G11/'Output-Calculation-sheet'!G10*'Output-Calculation-sheet'!G64</f>
        <v>900.31093669778272</v>
      </c>
      <c r="H77" s="2">
        <f>H11/'Output-Calculation-sheet'!H10*'Output-Calculation-sheet'!H64</f>
        <v>147.33983074885481</v>
      </c>
      <c r="I77" s="2">
        <f>I11/'Output-Calculation-sheet'!I10*'Output-Calculation-sheet'!I64</f>
        <v>557.05688903282908</v>
      </c>
      <c r="J77" s="2">
        <f>J11/'Output-Calculation-sheet'!J10*'Output-Calculation-sheet'!J64</f>
        <v>391.4761237442471</v>
      </c>
      <c r="K77" s="2">
        <f>K11/'Output-Calculation-sheet'!K10*'Output-Calculation-sheet'!K64</f>
        <v>854.09181209583073</v>
      </c>
      <c r="L77" s="2">
        <f>L11/'Output-Calculation-sheet'!L10*'Output-Calculation-sheet'!L64</f>
        <v>353.15876784495248</v>
      </c>
      <c r="M77" s="2">
        <f>M11/'Output-Calculation-sheet'!M10*'Output-Calculation-sheet'!M64</f>
        <v>106.1164121359699</v>
      </c>
      <c r="N77" s="2">
        <f>N11/'Output-Calculation-sheet'!N10*'Output-Calculation-sheet'!N64</f>
        <v>35.095686955450155</v>
      </c>
      <c r="O77" s="2">
        <f>O11/'Output-Calculation-sheet'!O10*'Output-Calculation-sheet'!O64</f>
        <v>0</v>
      </c>
      <c r="P77" s="2">
        <f>P11/'Output-Calculation-sheet'!P10*'Output-Calculation-sheet'!P64</f>
        <v>722.6499873613634</v>
      </c>
      <c r="Q77" s="2">
        <f>Q11/'Output-Calculation-sheet'!Q10*'Output-Calculation-sheet'!Q64</f>
        <v>174.30452712228919</v>
      </c>
      <c r="R77" s="2">
        <f>R11/'Output-Calculation-sheet'!R10*'Output-Calculation-sheet'!R64</f>
        <v>898.53490053089331</v>
      </c>
      <c r="S77" s="2">
        <f>S11/'Output-Calculation-sheet'!S10*'Output-Calculation-sheet'!S64</f>
        <v>0</v>
      </c>
      <c r="T77" s="2">
        <f>T11/'Output-Calculation-sheet'!T10*'Output-Calculation-sheet'!T64</f>
        <v>249.14256357295235</v>
      </c>
      <c r="U77" s="2">
        <f>U11/'Output-Calculation-sheet'!U10*'Output-Calculation-sheet'!U64</f>
        <v>273.25485219816653</v>
      </c>
      <c r="V77" s="2">
        <f>V11/'Output-Calculation-sheet'!V10*'Output-Calculation-sheet'!V64</f>
        <v>128.76167594592633</v>
      </c>
      <c r="W77" s="2">
        <f>W11/'Output-Calculation-sheet'!W10*'Output-Calculation-sheet'!W64</f>
        <v>28.25261460623344</v>
      </c>
      <c r="X77" s="2">
        <f>X11/'Output-Calculation-sheet'!X10*'Output-Calculation-sheet'!X64</f>
        <v>10.578641708036081</v>
      </c>
      <c r="Y77" s="2">
        <f>Y11/'Output-Calculation-sheet'!Y10*'Output-Calculation-sheet'!Y64</f>
        <v>59.626746702118886</v>
      </c>
      <c r="AA77" s="2">
        <f t="shared" si="6"/>
        <v>10.589050525201056</v>
      </c>
    </row>
    <row r="78" spans="1:27" x14ac:dyDescent="0.25">
      <c r="A78" s="2">
        <v>2035</v>
      </c>
      <c r="B78" s="2">
        <f>B12/'Output-Calculation-sheet'!B11*'Output-Calculation-sheet'!B65</f>
        <v>672.60815169653165</v>
      </c>
      <c r="C78" s="2">
        <f>C12/'Output-Calculation-sheet'!C11*'Output-Calculation-sheet'!C65</f>
        <v>68.760385639562415</v>
      </c>
      <c r="D78" s="2">
        <f>D12/'Output-Calculation-sheet'!D11*'Output-Calculation-sheet'!D65</f>
        <v>2137.9401842332741</v>
      </c>
      <c r="E78" s="2">
        <f>E12/'Output-Calculation-sheet'!E11*'Output-Calculation-sheet'!E65</f>
        <v>1996.1514531267119</v>
      </c>
      <c r="F78" s="2">
        <f>F12/'Output-Calculation-sheet'!F11*'Output-Calculation-sheet'!F65</f>
        <v>472.22727187050447</v>
      </c>
      <c r="G78" s="2">
        <f>G12/'Output-Calculation-sheet'!G11*'Output-Calculation-sheet'!G65</f>
        <v>934.89355270938779</v>
      </c>
      <c r="H78" s="2">
        <f>H12/'Output-Calculation-sheet'!H11*'Output-Calculation-sheet'!H65</f>
        <v>27.016383922213492</v>
      </c>
      <c r="I78" s="2">
        <f>I12/'Output-Calculation-sheet'!I11*'Output-Calculation-sheet'!I65</f>
        <v>620.00222052867559</v>
      </c>
      <c r="J78" s="2">
        <f>J12/'Output-Calculation-sheet'!J11*'Output-Calculation-sheet'!J65</f>
        <v>904.66082581233172</v>
      </c>
      <c r="K78" s="2">
        <f>K12/'Output-Calculation-sheet'!K11*'Output-Calculation-sheet'!K65</f>
        <v>1129.3194745895748</v>
      </c>
      <c r="L78" s="2">
        <f>L12/'Output-Calculation-sheet'!L11*'Output-Calculation-sheet'!L65</f>
        <v>952.78863174211222</v>
      </c>
      <c r="M78" s="2">
        <f>M12/'Output-Calculation-sheet'!M11*'Output-Calculation-sheet'!M65</f>
        <v>22.582714893416167</v>
      </c>
      <c r="N78" s="2">
        <f>N12/'Output-Calculation-sheet'!N11*'Output-Calculation-sheet'!N65</f>
        <v>18.330911350267009</v>
      </c>
      <c r="O78" s="2">
        <f>O12/'Output-Calculation-sheet'!O11*'Output-Calculation-sheet'!O65</f>
        <v>12.495894743817242</v>
      </c>
      <c r="P78" s="2">
        <f>P12/'Output-Calculation-sheet'!P11*'Output-Calculation-sheet'!P65</f>
        <v>522.74487456255497</v>
      </c>
      <c r="Q78" s="2">
        <f>Q12/'Output-Calculation-sheet'!Q11*'Output-Calculation-sheet'!Q65</f>
        <v>197.87167564005674</v>
      </c>
      <c r="R78" s="2">
        <f>R12/'Output-Calculation-sheet'!R11*'Output-Calculation-sheet'!R65</f>
        <v>1199.1686809684672</v>
      </c>
      <c r="S78" s="2">
        <f>S12/'Output-Calculation-sheet'!S11*'Output-Calculation-sheet'!S65</f>
        <v>7.1336050228412855</v>
      </c>
      <c r="T78" s="2">
        <f>T12/'Output-Calculation-sheet'!T11*'Output-Calculation-sheet'!T65</f>
        <v>413.07001801249476</v>
      </c>
      <c r="U78" s="2">
        <f>U12/'Output-Calculation-sheet'!U11*'Output-Calculation-sheet'!U65</f>
        <v>283.02358099123302</v>
      </c>
      <c r="V78" s="2">
        <f>V12/'Output-Calculation-sheet'!V11*'Output-Calculation-sheet'!V65</f>
        <v>233.3291538227968</v>
      </c>
      <c r="W78" s="2">
        <f>W12/'Output-Calculation-sheet'!W11*'Output-Calculation-sheet'!W65</f>
        <v>110.33302998761181</v>
      </c>
      <c r="X78" s="2">
        <f>X12/'Output-Calculation-sheet'!X11*'Output-Calculation-sheet'!X65</f>
        <v>2.4193693996913335</v>
      </c>
      <c r="Y78" s="2">
        <f>Y12/'Output-Calculation-sheet'!Y11*'Output-Calculation-sheet'!Y65</f>
        <v>62.176022649399293</v>
      </c>
      <c r="AA78" s="2">
        <f t="shared" si="6"/>
        <v>13.001048067915532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1.7748230456046563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1.3001811761287954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3.075004221733452E-3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31.289295301351181</v>
      </c>
      <c r="E89" s="2">
        <f>E12/'Output-Calculation-sheet'!E11*'Output-Calculation-sheet'!E74</f>
        <v>70.455573509854986</v>
      </c>
      <c r="F89" s="2">
        <f>F12/'Output-Calculation-sheet'!F11*'Output-Calculation-sheet'!F74</f>
        <v>31.278853122218347</v>
      </c>
      <c r="G89" s="2">
        <f>G12/'Output-Calculation-sheet'!G11*'Output-Calculation-sheet'!G74</f>
        <v>22.448355165635807</v>
      </c>
      <c r="H89" s="2">
        <f>H12/'Output-Calculation-sheet'!H11*'Output-Calculation-sheet'!H74</f>
        <v>3.6244142637796477</v>
      </c>
      <c r="I89" s="2">
        <f>I12/'Output-Calculation-sheet'!I11*'Output-Calculation-sheet'!I74</f>
        <v>20.19090827917659</v>
      </c>
      <c r="J89" s="2">
        <f>J12/'Output-Calculation-sheet'!J11*'Output-Calculation-sheet'!J74</f>
        <v>9.9911554416512942</v>
      </c>
      <c r="K89" s="2">
        <f>K12/'Output-Calculation-sheet'!K11*'Output-Calculation-sheet'!K74</f>
        <v>14.883336683696182</v>
      </c>
      <c r="L89" s="2">
        <f>L12/'Output-Calculation-sheet'!L11*'Output-Calculation-sheet'!L74</f>
        <v>7.8896961150741713</v>
      </c>
      <c r="M89" s="2">
        <f>M12/'Output-Calculation-sheet'!M11*'Output-Calculation-sheet'!M74</f>
        <v>2.4939497397477823</v>
      </c>
      <c r="N89" s="2">
        <f>N12/'Output-Calculation-sheet'!N11*'Output-Calculation-sheet'!N74</f>
        <v>1.2255740690156454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23.776518495332809</v>
      </c>
      <c r="Q89" s="2">
        <f>Q12/'Output-Calculation-sheet'!Q11*'Output-Calculation-sheet'!Q74</f>
        <v>5.3689526368358189</v>
      </c>
      <c r="R89" s="2">
        <f>R12/'Output-Calculation-sheet'!R11*'Output-Calculation-sheet'!R74</f>
        <v>12.77838828441466</v>
      </c>
      <c r="S89" s="2">
        <f>S12/'Output-Calculation-sheet'!S11*'Output-Calculation-sheet'!S74</f>
        <v>1.4050827305182756</v>
      </c>
      <c r="T89" s="2">
        <f>T12/'Output-Calculation-sheet'!T11*'Output-Calculation-sheet'!T74</f>
        <v>2.7577213371846474</v>
      </c>
      <c r="U89" s="2">
        <f>U12/'Output-Calculation-sheet'!U11*'Output-Calculation-sheet'!U74</f>
        <v>6.8520748433894605</v>
      </c>
      <c r="V89" s="2">
        <f>V12/'Output-Calculation-sheet'!V11*'Output-Calculation-sheet'!V74</f>
        <v>0.52835482943335599</v>
      </c>
      <c r="W89" s="2">
        <f>W12/'Output-Calculation-sheet'!W11*'Output-Calculation-sheet'!W74</f>
        <v>3.202634031694481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3.3002625649106934</v>
      </c>
      <c r="AA89" s="2">
        <f t="shared" si="7"/>
        <v>0.30771573200411001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8261232662.2729874</v>
      </c>
      <c r="C96" s="2">
        <f>C8/'Output-Calculation-sheet'!C7*'Output-Calculation-sheet'!C79</f>
        <v>1994952555.7030809</v>
      </c>
      <c r="D96" s="2">
        <f>D8/'Output-Calculation-sheet'!D7*'Output-Calculation-sheet'!D79</f>
        <v>1619596666.6724355</v>
      </c>
      <c r="E96" s="2">
        <f>E8/'Output-Calculation-sheet'!E7*'Output-Calculation-sheet'!E79</f>
        <v>6068048102.844348</v>
      </c>
      <c r="F96" s="2">
        <f>F8/'Output-Calculation-sheet'!F7*'Output-Calculation-sheet'!F79</f>
        <v>1770141855.2580297</v>
      </c>
      <c r="G96" s="2">
        <f>G8/'Output-Calculation-sheet'!G7*'Output-Calculation-sheet'!G79</f>
        <v>1136178771.4423788</v>
      </c>
      <c r="H96" s="2">
        <f>H8/'Output-Calculation-sheet'!H7*'Output-Calculation-sheet'!H79</f>
        <v>1399734582.1159456</v>
      </c>
      <c r="I96" s="2">
        <f>I8/'Output-Calculation-sheet'!I7*'Output-Calculation-sheet'!I79</f>
        <v>817021136.29965985</v>
      </c>
      <c r="J96" s="2">
        <f>J8/'Output-Calculation-sheet'!J7*'Output-Calculation-sheet'!J79</f>
        <v>619140114.31466925</v>
      </c>
      <c r="K96" s="2">
        <f>K8/'Output-Calculation-sheet'!K7*'Output-Calculation-sheet'!K79</f>
        <v>776482954.83406091</v>
      </c>
      <c r="L96" s="2">
        <f>L8/'Output-Calculation-sheet'!L7*'Output-Calculation-sheet'!L79</f>
        <v>704914087.83777237</v>
      </c>
      <c r="M96" s="2">
        <f>M8/'Output-Calculation-sheet'!M7*'Output-Calculation-sheet'!M79</f>
        <v>1080027799.4825075</v>
      </c>
      <c r="N96" s="2">
        <f>N8/'Output-Calculation-sheet'!N7*'Output-Calculation-sheet'!N79</f>
        <v>702090103.17856574</v>
      </c>
      <c r="O96" s="2">
        <f>O8/'Output-Calculation-sheet'!O7*'Output-Calculation-sheet'!O79</f>
        <v>263438968.59859192</v>
      </c>
      <c r="P96" s="2">
        <f>P8/'Output-Calculation-sheet'!P7*'Output-Calculation-sheet'!P79</f>
        <v>1337143628.1712925</v>
      </c>
      <c r="Q96" s="2">
        <f>Q8/'Output-Calculation-sheet'!Q7*'Output-Calculation-sheet'!Q79</f>
        <v>567707491.97345376</v>
      </c>
      <c r="R96" s="2">
        <f>R8/'Output-Calculation-sheet'!R7*'Output-Calculation-sheet'!R79</f>
        <v>753508350.24408579</v>
      </c>
      <c r="S96" s="2">
        <f>S8/'Output-Calculation-sheet'!S7*'Output-Calculation-sheet'!S79</f>
        <v>424948149.22129166</v>
      </c>
      <c r="T96" s="2">
        <f>T8/'Output-Calculation-sheet'!T7*'Output-Calculation-sheet'!T79</f>
        <v>256362310.4881984</v>
      </c>
      <c r="U96" s="2">
        <f>U8/'Output-Calculation-sheet'!U7*'Output-Calculation-sheet'!U79</f>
        <v>201789295.72075769</v>
      </c>
      <c r="V96" s="2">
        <f>V8/'Output-Calculation-sheet'!V7*'Output-Calculation-sheet'!V79</f>
        <v>92614260.85965021</v>
      </c>
      <c r="W96" s="2">
        <f>W8/'Output-Calculation-sheet'!W7*'Output-Calculation-sheet'!W79</f>
        <v>285150938.00891519</v>
      </c>
      <c r="X96" s="2">
        <f>X8/'Output-Calculation-sheet'!X7*'Output-Calculation-sheet'!X79</f>
        <v>128608688.51833855</v>
      </c>
      <c r="Y96" s="2">
        <f>Y8/'Output-Calculation-sheet'!Y7*'Output-Calculation-sheet'!Y79</f>
        <v>176989216.19456264</v>
      </c>
      <c r="AA96" s="2">
        <f t="shared" si="8"/>
        <v>31.437822690255569</v>
      </c>
    </row>
    <row r="97" spans="1:27" x14ac:dyDescent="0.25">
      <c r="A97" s="2">
        <v>2032</v>
      </c>
      <c r="B97" s="2">
        <f>B9/'Output-Calculation-sheet'!B8*'Output-Calculation-sheet'!B80</f>
        <v>10413334437.192017</v>
      </c>
      <c r="C97" s="2">
        <f>C9/'Output-Calculation-sheet'!C8*'Output-Calculation-sheet'!C80</f>
        <v>2459445389.3940425</v>
      </c>
      <c r="D97" s="2">
        <f>D9/'Output-Calculation-sheet'!D8*'Output-Calculation-sheet'!D80</f>
        <v>1878740980.7390928</v>
      </c>
      <c r="E97" s="2">
        <f>E9/'Output-Calculation-sheet'!E8*'Output-Calculation-sheet'!E80</f>
        <v>7909232819.9717159</v>
      </c>
      <c r="F97" s="2">
        <f>F9/'Output-Calculation-sheet'!F8*'Output-Calculation-sheet'!F80</f>
        <v>2168983115.2604585</v>
      </c>
      <c r="G97" s="2">
        <f>G9/'Output-Calculation-sheet'!G8*'Output-Calculation-sheet'!G80</f>
        <v>1329037260.7259529</v>
      </c>
      <c r="H97" s="2">
        <f>H9/'Output-Calculation-sheet'!H8*'Output-Calculation-sheet'!H80</f>
        <v>1740186680.6589839</v>
      </c>
      <c r="I97" s="2">
        <f>I9/'Output-Calculation-sheet'!I8*'Output-Calculation-sheet'!I80</f>
        <v>1002343779.3848087</v>
      </c>
      <c r="J97" s="2">
        <f>J9/'Output-Calculation-sheet'!J8*'Output-Calculation-sheet'!J80</f>
        <v>749027163.24889982</v>
      </c>
      <c r="K97" s="2">
        <f>K9/'Output-Calculation-sheet'!K8*'Output-Calculation-sheet'!K80</f>
        <v>923804859.97261465</v>
      </c>
      <c r="L97" s="2">
        <f>L9/'Output-Calculation-sheet'!L8*'Output-Calculation-sheet'!L80</f>
        <v>891073907.45015037</v>
      </c>
      <c r="M97" s="2">
        <f>M9/'Output-Calculation-sheet'!M8*'Output-Calculation-sheet'!M80</f>
        <v>1372889415.5685887</v>
      </c>
      <c r="N97" s="2">
        <f>N9/'Output-Calculation-sheet'!N8*'Output-Calculation-sheet'!N80</f>
        <v>862593262.5306741</v>
      </c>
      <c r="O97" s="2">
        <f>O9/'Output-Calculation-sheet'!O8*'Output-Calculation-sheet'!O80</f>
        <v>320640981.62232649</v>
      </c>
      <c r="P97" s="2">
        <f>P9/'Output-Calculation-sheet'!P8*'Output-Calculation-sheet'!P80</f>
        <v>1617153838.354764</v>
      </c>
      <c r="Q97" s="2">
        <f>Q9/'Output-Calculation-sheet'!Q8*'Output-Calculation-sheet'!Q80</f>
        <v>699475128.33084941</v>
      </c>
      <c r="R97" s="2">
        <f>R9/'Output-Calculation-sheet'!R8*'Output-Calculation-sheet'!R80</f>
        <v>937301914.49978209</v>
      </c>
      <c r="S97" s="2">
        <f>S9/'Output-Calculation-sheet'!S8*'Output-Calculation-sheet'!S80</f>
        <v>521666092.2225219</v>
      </c>
      <c r="T97" s="2">
        <f>T9/'Output-Calculation-sheet'!T8*'Output-Calculation-sheet'!T80</f>
        <v>304179953.70211989</v>
      </c>
      <c r="U97" s="2">
        <f>U9/'Output-Calculation-sheet'!U8*'Output-Calculation-sheet'!U80</f>
        <v>242042992.66243163</v>
      </c>
      <c r="V97" s="2">
        <f>V9/'Output-Calculation-sheet'!V8*'Output-Calculation-sheet'!V80</f>
        <v>111644255.07535338</v>
      </c>
      <c r="W97" s="2">
        <f>W9/'Output-Calculation-sheet'!W8*'Output-Calculation-sheet'!W80</f>
        <v>345482034.10688949</v>
      </c>
      <c r="X97" s="2">
        <f>X9/'Output-Calculation-sheet'!X8*'Output-Calculation-sheet'!X80</f>
        <v>167327421.38508102</v>
      </c>
      <c r="Y97" s="2">
        <f>Y9/'Output-Calculation-sheet'!Y8*'Output-Calculation-sheet'!Y80</f>
        <v>219651797.32756105</v>
      </c>
      <c r="AA97" s="2">
        <f t="shared" si="8"/>
        <v>39.187259481387663</v>
      </c>
    </row>
    <row r="98" spans="1:27" x14ac:dyDescent="0.25">
      <c r="A98" s="2">
        <v>2033</v>
      </c>
      <c r="B98" s="2">
        <f>B10/'Output-Calculation-sheet'!B9*'Output-Calculation-sheet'!B81</f>
        <v>12264169087.940474</v>
      </c>
      <c r="C98" s="2">
        <f>C10/'Output-Calculation-sheet'!C9*'Output-Calculation-sheet'!C81</f>
        <v>2839904819.7912321</v>
      </c>
      <c r="D98" s="2">
        <f>D10/'Output-Calculation-sheet'!D9*'Output-Calculation-sheet'!D81</f>
        <v>2043009173.8475196</v>
      </c>
      <c r="E98" s="2">
        <f>E10/'Output-Calculation-sheet'!E9*'Output-Calculation-sheet'!E81</f>
        <v>9643792022.4564915</v>
      </c>
      <c r="F98" s="2">
        <f>F10/'Output-Calculation-sheet'!F9*'Output-Calculation-sheet'!F81</f>
        <v>2484729359.4100199</v>
      </c>
      <c r="G98" s="2">
        <f>G10/'Output-Calculation-sheet'!G9*'Output-Calculation-sheet'!G81</f>
        <v>1451632636.4847541</v>
      </c>
      <c r="H98" s="2">
        <f>H10/'Output-Calculation-sheet'!H9*'Output-Calculation-sheet'!H81</f>
        <v>2020897528.4966264</v>
      </c>
      <c r="I98" s="2">
        <f>I10/'Output-Calculation-sheet'!I9*'Output-Calculation-sheet'!I81</f>
        <v>1151691372.3371644</v>
      </c>
      <c r="J98" s="2">
        <f>J10/'Output-Calculation-sheet'!J9*'Output-Calculation-sheet'!J81</f>
        <v>849592887.98772848</v>
      </c>
      <c r="K98" s="2">
        <f>K10/'Output-Calculation-sheet'!K9*'Output-Calculation-sheet'!K81</f>
        <v>1028815435.0315849</v>
      </c>
      <c r="L98" s="2">
        <f>L10/'Output-Calculation-sheet'!L9*'Output-Calculation-sheet'!L81</f>
        <v>1054435193.6009958</v>
      </c>
      <c r="M98" s="2">
        <f>M10/'Output-Calculation-sheet'!M9*'Output-Calculation-sheet'!M81</f>
        <v>1634001225.2279632</v>
      </c>
      <c r="N98" s="2">
        <f>N10/'Output-Calculation-sheet'!N9*'Output-Calculation-sheet'!N81</f>
        <v>993005903.24412704</v>
      </c>
      <c r="O98" s="2">
        <f>O10/'Output-Calculation-sheet'!O9*'Output-Calculation-sheet'!O81</f>
        <v>366249892.85945863</v>
      </c>
      <c r="P98" s="2">
        <f>P10/'Output-Calculation-sheet'!P9*'Output-Calculation-sheet'!P81</f>
        <v>1816981480.5161185</v>
      </c>
      <c r="Q98" s="2">
        <f>Q10/'Output-Calculation-sheet'!Q9*'Output-Calculation-sheet'!Q81</f>
        <v>807343710.95121276</v>
      </c>
      <c r="R98" s="2">
        <f>R10/'Output-Calculation-sheet'!R9*'Output-Calculation-sheet'!R81</f>
        <v>1089734374.0627806</v>
      </c>
      <c r="S98" s="2">
        <f>S10/'Output-Calculation-sheet'!S9*'Output-Calculation-sheet'!S81</f>
        <v>598480766.04366493</v>
      </c>
      <c r="T98" s="2">
        <f>T10/'Output-Calculation-sheet'!T9*'Output-Calculation-sheet'!T81</f>
        <v>337191921.12593287</v>
      </c>
      <c r="U98" s="2">
        <f>U10/'Output-Calculation-sheet'!U9*'Output-Calculation-sheet'!U81</f>
        <v>270944031.30465841</v>
      </c>
      <c r="V98" s="2">
        <f>V10/'Output-Calculation-sheet'!V9*'Output-Calculation-sheet'!V81</f>
        <v>125838887.67277288</v>
      </c>
      <c r="W98" s="2">
        <f>W10/'Output-Calculation-sheet'!W9*'Output-Calculation-sheet'!W81</f>
        <v>389157295.58331287</v>
      </c>
      <c r="X98" s="2">
        <f>X10/'Output-Calculation-sheet'!X9*'Output-Calculation-sheet'!X81</f>
        <v>204009531.06735328</v>
      </c>
      <c r="Y98" s="2">
        <f>Y10/'Output-Calculation-sheet'!Y9*'Output-Calculation-sheet'!Y81</f>
        <v>253987434.76100159</v>
      </c>
      <c r="AA98" s="2">
        <f t="shared" si="8"/>
        <v>45.719595971804949</v>
      </c>
    </row>
    <row r="99" spans="1:27" x14ac:dyDescent="0.25">
      <c r="A99" s="2">
        <v>2034</v>
      </c>
      <c r="B99" s="2">
        <f>B11/'Output-Calculation-sheet'!B10*'Output-Calculation-sheet'!B82</f>
        <v>13795971291.989822</v>
      </c>
      <c r="C99" s="2">
        <f>C11/'Output-Calculation-sheet'!C10*'Output-Calculation-sheet'!C82</f>
        <v>3140421794.6057372</v>
      </c>
      <c r="D99" s="2">
        <f>D11/'Output-Calculation-sheet'!D10*'Output-Calculation-sheet'!D82</f>
        <v>2130229831.203064</v>
      </c>
      <c r="E99" s="2">
        <f>E11/'Output-Calculation-sheet'!E10*'Output-Calculation-sheet'!E82</f>
        <v>11242999480.059174</v>
      </c>
      <c r="F99" s="2">
        <f>F11/'Output-Calculation-sheet'!F10*'Output-Calculation-sheet'!F82</f>
        <v>2721437587.9782805</v>
      </c>
      <c r="G99" s="2">
        <f>G11/'Output-Calculation-sheet'!G10*'Output-Calculation-sheet'!G82</f>
        <v>1514646943.3272467</v>
      </c>
      <c r="H99" s="2">
        <f>H11/'Output-Calculation-sheet'!H10*'Output-Calculation-sheet'!H82</f>
        <v>2241286134.3305655</v>
      </c>
      <c r="I99" s="2">
        <f>I11/'Output-Calculation-sheet'!I10*'Output-Calculation-sheet'!I82</f>
        <v>1267346166.9362545</v>
      </c>
      <c r="J99" s="2">
        <f>J11/'Output-Calculation-sheet'!J10*'Output-Calculation-sheet'!J82</f>
        <v>923886527.36601365</v>
      </c>
      <c r="K99" s="2">
        <f>K11/'Output-Calculation-sheet'!K10*'Output-Calculation-sheet'!K82</f>
        <v>1096982324.8065078</v>
      </c>
      <c r="L99" s="2">
        <f>L11/'Output-Calculation-sheet'!L10*'Output-Calculation-sheet'!L82</f>
        <v>1194163432.5153639</v>
      </c>
      <c r="M99" s="2">
        <f>M11/'Output-Calculation-sheet'!M10*'Output-Calculation-sheet'!M82</f>
        <v>1861524586.9695523</v>
      </c>
      <c r="N99" s="2">
        <f>N11/'Output-Calculation-sheet'!N10*'Output-Calculation-sheet'!N82</f>
        <v>1095265775.2598197</v>
      </c>
      <c r="O99" s="2">
        <f>O11/'Output-Calculation-sheet'!O10*'Output-Calculation-sheet'!O82</f>
        <v>401412378.61554825</v>
      </c>
      <c r="P99" s="2">
        <f>P11/'Output-Calculation-sheet'!P10*'Output-Calculation-sheet'!P82</f>
        <v>1940288468.7562182</v>
      </c>
      <c r="Q99" s="2">
        <f>Q11/'Output-Calculation-sheet'!Q10*'Output-Calculation-sheet'!Q82</f>
        <v>892509778.84700596</v>
      </c>
      <c r="R99" s="2">
        <f>R11/'Output-Calculation-sheet'!R10*'Output-Calculation-sheet'!R82</f>
        <v>1210668440.0657856</v>
      </c>
      <c r="S99" s="2">
        <f>S11/'Output-Calculation-sheet'!S10*'Output-Calculation-sheet'!S82</f>
        <v>656079088.89364409</v>
      </c>
      <c r="T99" s="2">
        <f>T11/'Output-Calculation-sheet'!T10*'Output-Calculation-sheet'!T82</f>
        <v>357261025.38950449</v>
      </c>
      <c r="U99" s="2">
        <f>U11/'Output-Calculation-sheet'!U10*'Output-Calculation-sheet'!U82</f>
        <v>289537053.57135683</v>
      </c>
      <c r="V99" s="2">
        <f>V11/'Output-Calculation-sheet'!V10*'Output-Calculation-sheet'!V82</f>
        <v>135625155.62728587</v>
      </c>
      <c r="W99" s="2">
        <f>W11/'Output-Calculation-sheet'!W10*'Output-Calculation-sheet'!W82</f>
        <v>416911576.65634441</v>
      </c>
      <c r="X99" s="2">
        <f>X11/'Output-Calculation-sheet'!X10*'Output-Calculation-sheet'!X82</f>
        <v>238281149.78789207</v>
      </c>
      <c r="Y99" s="2">
        <f>Y11/'Output-Calculation-sheet'!Y10*'Output-Calculation-sheet'!Y82</f>
        <v>279831937.71935886</v>
      </c>
      <c r="AA99" s="2">
        <f t="shared" si="8"/>
        <v>51.044567931277356</v>
      </c>
    </row>
    <row r="100" spans="1:27" x14ac:dyDescent="0.25">
      <c r="A100" s="2">
        <v>2035</v>
      </c>
      <c r="B100" s="2">
        <f>B12/'Output-Calculation-sheet'!B11*'Output-Calculation-sheet'!B83</f>
        <v>15000152827.723957</v>
      </c>
      <c r="C100" s="2">
        <f>C12/'Output-Calculation-sheet'!C11*'Output-Calculation-sheet'!C83</f>
        <v>3366084026.8201151</v>
      </c>
      <c r="D100" s="2">
        <f>D12/'Output-Calculation-sheet'!D11*'Output-Calculation-sheet'!D83</f>
        <v>2156247029.4258394</v>
      </c>
      <c r="E100" s="2">
        <f>E12/'Output-Calculation-sheet'!E11*'Output-Calculation-sheet'!E83</f>
        <v>12679972453.478613</v>
      </c>
      <c r="F100" s="2">
        <f>F12/'Output-Calculation-sheet'!F11*'Output-Calculation-sheet'!F83</f>
        <v>2884846016.8911047</v>
      </c>
      <c r="G100" s="2">
        <f>G12/'Output-Calculation-sheet'!G11*'Output-Calculation-sheet'!G83</f>
        <v>1528876843.3224847</v>
      </c>
      <c r="H100" s="2">
        <f>H12/'Output-Calculation-sheet'!H11*'Output-Calculation-sheet'!H83</f>
        <v>2402486487.717505</v>
      </c>
      <c r="I100" s="2">
        <f>I12/'Output-Calculation-sheet'!I11*'Output-Calculation-sheet'!I83</f>
        <v>1351995332.918632</v>
      </c>
      <c r="J100" s="2">
        <f>J12/'Output-Calculation-sheet'!J11*'Output-Calculation-sheet'!J83</f>
        <v>974948271.3058337</v>
      </c>
      <c r="K100" s="2">
        <f>K12/'Output-Calculation-sheet'!K11*'Output-Calculation-sheet'!K83</f>
        <v>1133773726.5181899</v>
      </c>
      <c r="L100" s="2">
        <f>L12/'Output-Calculation-sheet'!L11*'Output-Calculation-sheet'!L83</f>
        <v>1309904680.8163834</v>
      </c>
      <c r="M100" s="2">
        <f>M12/'Output-Calculation-sheet'!M11*'Output-Calculation-sheet'!M83</f>
        <v>2054233979.2836316</v>
      </c>
      <c r="N100" s="2">
        <f>N12/'Output-Calculation-sheet'!N11*'Output-Calculation-sheet'!N83</f>
        <v>1171577113.8959196</v>
      </c>
      <c r="O100" s="2">
        <f>O12/'Output-Calculation-sheet'!O11*'Output-Calculation-sheet'!O83</f>
        <v>427237340.38607723</v>
      </c>
      <c r="P100" s="2">
        <f>P12/'Output-Calculation-sheet'!P11*'Output-Calculation-sheet'!P83</f>
        <v>1994579302.3336425</v>
      </c>
      <c r="Q100" s="2">
        <f>Q12/'Output-Calculation-sheet'!Q11*'Output-Calculation-sheet'!Q83</f>
        <v>956400632.92285609</v>
      </c>
      <c r="R100" s="2">
        <f>R12/'Output-Calculation-sheet'!R11*'Output-Calculation-sheet'!R83</f>
        <v>1300776035.4119904</v>
      </c>
      <c r="S100" s="2">
        <f>S12/'Output-Calculation-sheet'!S11*'Output-Calculation-sheet'!S83</f>
        <v>695587821.58821237</v>
      </c>
      <c r="T100" s="2">
        <f>T12/'Output-Calculation-sheet'!T11*'Output-Calculation-sheet'!T83</f>
        <v>366366785.89068055</v>
      </c>
      <c r="U100" s="2">
        <f>U12/'Output-Calculation-sheet'!U11*'Output-Calculation-sheet'!U83</f>
        <v>299086660.22397137</v>
      </c>
      <c r="V100" s="2">
        <f>V12/'Output-Calculation-sheet'!V11*'Output-Calculation-sheet'!V83</f>
        <v>141488271.86266577</v>
      </c>
      <c r="W100" s="2">
        <f>W12/'Output-Calculation-sheet'!W11*'Output-Calculation-sheet'!W83</f>
        <v>430222868.77322012</v>
      </c>
      <c r="X100" s="2">
        <f>X12/'Output-Calculation-sheet'!X11*'Output-Calculation-sheet'!X83</f>
        <v>269797033.30170918</v>
      </c>
      <c r="Y100" s="2">
        <f>Y12/'Output-Calculation-sheet'!Y11*'Output-Calculation-sheet'!Y83</f>
        <v>297398408.65883368</v>
      </c>
      <c r="AA100" s="2">
        <f t="shared" si="8"/>
        <v>55.194039951472071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1710.4051177101285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526.51574337762747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362.29407170481664</v>
      </c>
      <c r="N107" s="2">
        <f>N8/'Output-Calculation-sheet'!N7*'Output-Calculation-sheet'!N88</f>
        <v>142.43052698709877</v>
      </c>
      <c r="O107" s="2">
        <f>O8/'Output-Calculation-sheet'!O7*'Output-Calculation-sheet'!O88</f>
        <v>398.7410375511846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39.744413176842173</v>
      </c>
      <c r="Y107" s="2">
        <f>Y8/'Output-Calculation-sheet'!Y7*'Output-Calculation-sheet'!Y88</f>
        <v>0</v>
      </c>
      <c r="AA107" s="2">
        <f t="shared" si="9"/>
        <v>3.1801309105076978</v>
      </c>
    </row>
    <row r="108" spans="1:27" x14ac:dyDescent="0.25">
      <c r="A108" s="2">
        <v>2032</v>
      </c>
      <c r="B108" s="2">
        <f>B9/'Output-Calculation-sheet'!B8*'Output-Calculation-sheet'!B89</f>
        <v>792.59304271614212</v>
      </c>
      <c r="C108" s="2">
        <f>C9/'Output-Calculation-sheet'!C8*'Output-Calculation-sheet'!C89</f>
        <v>3009.4640236676682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810.60556928003655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557.77551941202626</v>
      </c>
      <c r="N108" s="2">
        <f>N9/'Output-Calculation-sheet'!N8*'Output-Calculation-sheet'!N89</f>
        <v>391.57348455182665</v>
      </c>
      <c r="O108" s="2">
        <f>O9/'Output-Calculation-sheet'!O8*'Output-Calculation-sheet'!O89</f>
        <v>584.65525449937024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179.57075130172743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61.189134558904243</v>
      </c>
      <c r="Y108" s="2">
        <f>Y9/'Output-Calculation-sheet'!Y8*'Output-Calculation-sheet'!Y89</f>
        <v>0</v>
      </c>
      <c r="AA108" s="2">
        <f t="shared" si="9"/>
        <v>6.3874267799877016</v>
      </c>
    </row>
    <row r="109" spans="1:27" x14ac:dyDescent="0.25">
      <c r="A109" s="2">
        <v>2033</v>
      </c>
      <c r="B109" s="2">
        <f>B10/'Output-Calculation-sheet'!B9*'Output-Calculation-sheet'!B90</f>
        <v>4263.7601984976418</v>
      </c>
      <c r="C109" s="2">
        <f>C10/'Output-Calculation-sheet'!C9*'Output-Calculation-sheet'!C90</f>
        <v>4047.3585533100199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1245.9024913727924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857.3021647006733</v>
      </c>
      <c r="N109" s="2">
        <f>N10/'Output-Calculation-sheet'!N9*'Output-Calculation-sheet'!N90</f>
        <v>674.07119598128429</v>
      </c>
      <c r="O109" s="2">
        <f>O10/'Output-Calculation-sheet'!O9*'Output-Calculation-sheet'!O90</f>
        <v>786.28932807504532</v>
      </c>
      <c r="P109" s="2">
        <f>P10/'Output-Calculation-sheet'!P9*'Output-Calculation-sheet'!P90</f>
        <v>0</v>
      </c>
      <c r="Q109" s="2">
        <f>Q10/'Output-Calculation-sheet'!Q9*'Output-Calculation-sheet'!Q90</f>
        <v>147.64739302886596</v>
      </c>
      <c r="R109" s="2">
        <f>R10/'Output-Calculation-sheet'!R9*'Output-Calculation-sheet'!R90</f>
        <v>0</v>
      </c>
      <c r="S109" s="2">
        <f>S10/'Output-Calculation-sheet'!S9*'Output-Calculation-sheet'!S90</f>
        <v>338.10076966710267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94.047830512187119</v>
      </c>
      <c r="Y109" s="2">
        <f>Y10/'Output-Calculation-sheet'!Y9*'Output-Calculation-sheet'!Y90</f>
        <v>0</v>
      </c>
      <c r="AA109" s="2">
        <f t="shared" si="9"/>
        <v>12.454479925145613</v>
      </c>
    </row>
    <row r="110" spans="1:27" x14ac:dyDescent="0.25">
      <c r="A110" s="2">
        <v>2034</v>
      </c>
      <c r="B110" s="2">
        <f>B11/'Output-Calculation-sheet'!B10*'Output-Calculation-sheet'!B91</f>
        <v>8155.1426635671251</v>
      </c>
      <c r="C110" s="2">
        <f>C11/'Output-Calculation-sheet'!C10*'Output-Calculation-sheet'!C91</f>
        <v>5590.8947787222296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1588.6622900945415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1093.1542634413595</v>
      </c>
      <c r="N110" s="2">
        <f>N11/'Output-Calculation-sheet'!N10*'Output-Calculation-sheet'!N91</f>
        <v>984.86057884459069</v>
      </c>
      <c r="O110" s="2">
        <f>O11/'Output-Calculation-sheet'!O10*'Output-Calculation-sheet'!O91</f>
        <v>1086.1555360111558</v>
      </c>
      <c r="P110" s="2">
        <f>P11/'Output-Calculation-sheet'!P10*'Output-Calculation-sheet'!P91</f>
        <v>248.13768629853277</v>
      </c>
      <c r="Q110" s="2">
        <f>Q11/'Output-Calculation-sheet'!Q10*'Output-Calculation-sheet'!Q91</f>
        <v>549.11096244141481</v>
      </c>
      <c r="R110" s="2">
        <f>R11/'Output-Calculation-sheet'!R10*'Output-Calculation-sheet'!R91</f>
        <v>0</v>
      </c>
      <c r="S110" s="2">
        <f>S11/'Output-Calculation-sheet'!S10*'Output-Calculation-sheet'!S91</f>
        <v>564.55608285438586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119.92129627679567</v>
      </c>
      <c r="Y110" s="2">
        <f>Y11/'Output-Calculation-sheet'!Y10*'Output-Calculation-sheet'!Y91</f>
        <v>19.287724131243021</v>
      </c>
      <c r="AA110" s="2">
        <f t="shared" si="9"/>
        <v>19.999883862683372</v>
      </c>
    </row>
    <row r="111" spans="1:27" x14ac:dyDescent="0.25">
      <c r="A111" s="2">
        <v>2035</v>
      </c>
      <c r="B111" s="2">
        <f>B12/'Output-Calculation-sheet'!B11*'Output-Calculation-sheet'!B92</f>
        <v>13371.043714918051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2233.8561248124611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784.62511034598276</v>
      </c>
      <c r="Q111" s="2">
        <f>Q12/'Output-Calculation-sheet'!Q11*'Output-Calculation-sheet'!Q92</f>
        <v>909.50057667998772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60.988852199549619</v>
      </c>
      <c r="AA111" s="2">
        <f t="shared" si="9"/>
        <v>31.398804681482559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8040583360.0804472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2473922428.7414651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1718352312.8838794</v>
      </c>
      <c r="N118" s="2">
        <f>N8/'Output-Calculation-sheet'!N7*'Output-Calculation-sheet'!N97</f>
        <v>1348416620.3198681</v>
      </c>
      <c r="O118" s="2">
        <f>O8/'Output-Calculation-sheet'!O7*'Output-Calculation-sheet'!O97</f>
        <v>897251915.92237318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488109568.32320613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185205765.20458198</v>
      </c>
      <c r="Y118" s="2">
        <f>Y8/'Output-Calculation-sheet'!Y7*'Output-Calculation-sheet'!Y97</f>
        <v>0</v>
      </c>
      <c r="AA118" s="2">
        <f t="shared" si="10"/>
        <v>16523.460618602985</v>
      </c>
    </row>
    <row r="119" spans="1:27" x14ac:dyDescent="0.25">
      <c r="A119" s="2">
        <v>2032</v>
      </c>
      <c r="B119" s="2">
        <f>B9/'Output-Calculation-sheet'!B8*'Output-Calculation-sheet'!B98</f>
        <v>5946074180.1210546</v>
      </c>
      <c r="C119" s="2">
        <f>C9/'Output-Calculation-sheet'!C8*'Output-Calculation-sheet'!C98</f>
        <v>4726059860.0209341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2825249158.9767375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1972034493.3099928</v>
      </c>
      <c r="N119" s="2">
        <f>N9/'Output-Calculation-sheet'!N8*'Output-Calculation-sheet'!N98</f>
        <v>1331765830.7364228</v>
      </c>
      <c r="O119" s="2">
        <f>O9/'Output-Calculation-sheet'!O8*'Output-Calculation-sheet'!O98</f>
        <v>923384767.35030937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552863886.66255796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211014760.60852754</v>
      </c>
      <c r="Y119" s="2">
        <f>Y9/'Output-Calculation-sheet'!Y8*'Output-Calculation-sheet'!Y98</f>
        <v>0</v>
      </c>
      <c r="AA119" s="2">
        <f t="shared" si="10"/>
        <v>18488.446937786539</v>
      </c>
    </row>
    <row r="120" spans="1:27" x14ac:dyDescent="0.25">
      <c r="A120" s="2">
        <v>2033</v>
      </c>
      <c r="B120" s="2">
        <f>B10/'Output-Calculation-sheet'!B9*'Output-Calculation-sheet'!B99</f>
        <v>6133987177.74193</v>
      </c>
      <c r="C120" s="2">
        <f>C10/'Output-Calculation-sheet'!C9*'Output-Calculation-sheet'!C99</f>
        <v>5042518343.719059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1653322314.382797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1170235268.8873739</v>
      </c>
      <c r="N120" s="2">
        <f>N10/'Output-Calculation-sheet'!N9*'Output-Calculation-sheet'!N99</f>
        <v>1166833654.3149338</v>
      </c>
      <c r="O120" s="2">
        <f>O10/'Output-Calculation-sheet'!O9*'Output-Calculation-sheet'!O99</f>
        <v>987216477.5853765</v>
      </c>
      <c r="P120" s="2">
        <f>P10/'Output-Calculation-sheet'!P9*'Output-Calculation-sheet'!P99</f>
        <v>0</v>
      </c>
      <c r="Q120" s="2">
        <f>Q10/'Output-Calculation-sheet'!Q9*'Output-Calculation-sheet'!Q99</f>
        <v>7132575.3902990017</v>
      </c>
      <c r="R120" s="2">
        <f>R10/'Output-Calculation-sheet'!R9*'Output-Calculation-sheet'!R99</f>
        <v>0</v>
      </c>
      <c r="S120" s="2">
        <f>S10/'Output-Calculation-sheet'!S9*'Output-Calculation-sheet'!S99</f>
        <v>488708290.69834548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-8.0730677022268486E-9</v>
      </c>
      <c r="W120" s="2">
        <f>W10/'Output-Calculation-sheet'!W9*'Output-Calculation-sheet'!W99</f>
        <v>0</v>
      </c>
      <c r="X120" s="2">
        <f>X10/'Output-Calculation-sheet'!X9*'Output-Calculation-sheet'!X99</f>
        <v>116853183.58298829</v>
      </c>
      <c r="Y120" s="2">
        <f>Y10/'Output-Calculation-sheet'!Y9*'Output-Calculation-sheet'!Y99</f>
        <v>0</v>
      </c>
      <c r="AA120" s="2">
        <f t="shared" si="10"/>
        <v>16766.807286303101</v>
      </c>
    </row>
    <row r="121" spans="1:27" x14ac:dyDescent="0.25">
      <c r="A121" s="2">
        <v>2034</v>
      </c>
      <c r="B121" s="2">
        <f>B11/'Output-Calculation-sheet'!B10*'Output-Calculation-sheet'!B100</f>
        <v>6114329391.4979515</v>
      </c>
      <c r="C121" s="2">
        <f>C11/'Output-Calculation-sheet'!C10*'Output-Calculation-sheet'!C100</f>
        <v>733967192.94737446</v>
      </c>
      <c r="D121" s="2">
        <f>D11/'Output-Calculation-sheet'!D10*'Output-Calculation-sheet'!D100</f>
        <v>0</v>
      </c>
      <c r="E121" s="2">
        <f>E11/'Output-Calculation-sheet'!E10*'Output-Calculation-sheet'!E100</f>
        <v>848983830.58445632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1932604237.2370443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705419169.0489372</v>
      </c>
      <c r="M121" s="2">
        <f>M11/'Output-Calculation-sheet'!M10*'Output-Calculation-sheet'!M100</f>
        <v>1375427043.0209351</v>
      </c>
      <c r="N121" s="2">
        <f>N11/'Output-Calculation-sheet'!N10*'Output-Calculation-sheet'!N100</f>
        <v>916966476.53419006</v>
      </c>
      <c r="O121" s="2">
        <f>O11/'Output-Calculation-sheet'!O10*'Output-Calculation-sheet'!O100</f>
        <v>143970079.05884853</v>
      </c>
      <c r="P121" s="2">
        <f>P11/'Output-Calculation-sheet'!P10*'Output-Calculation-sheet'!P100</f>
        <v>0</v>
      </c>
      <c r="Q121" s="2">
        <f>Q11/'Output-Calculation-sheet'!Q10*'Output-Calculation-sheet'!Q100</f>
        <v>311575645.80081379</v>
      </c>
      <c r="R121" s="2">
        <f>R11/'Output-Calculation-sheet'!R10*'Output-Calculation-sheet'!R100</f>
        <v>0</v>
      </c>
      <c r="S121" s="2">
        <f>S11/'Output-Calculation-sheet'!S10*'Output-Calculation-sheet'!S100</f>
        <v>342846977.3377921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135145330.79612541</v>
      </c>
      <c r="Y121" s="2">
        <f>Y11/'Output-Calculation-sheet'!Y10*'Output-Calculation-sheet'!Y100</f>
        <v>19613298.409679163</v>
      </c>
      <c r="AA121" s="2">
        <f t="shared" si="10"/>
        <v>13580.848672274147</v>
      </c>
    </row>
    <row r="122" spans="1:27" x14ac:dyDescent="0.25">
      <c r="A122" s="2">
        <v>2035</v>
      </c>
      <c r="B122" s="2">
        <f>B12/'Output-Calculation-sheet'!B11*'Output-Calculation-sheet'!B101</f>
        <v>3453310187.8370733</v>
      </c>
      <c r="C122" s="2">
        <f>C12/'Output-Calculation-sheet'!C11*'Output-Calculation-sheet'!C101</f>
        <v>300196717.23581761</v>
      </c>
      <c r="D122" s="2">
        <f>D12/'Output-Calculation-sheet'!D11*'Output-Calculation-sheet'!D101</f>
        <v>0</v>
      </c>
      <c r="E122" s="2">
        <f>E12/'Output-Calculation-sheet'!E11*'Output-Calculation-sheet'!E101</f>
        <v>2689058395.2567825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509021981.46158636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1866470669.7405066</v>
      </c>
      <c r="M122" s="2">
        <f>M12/'Output-Calculation-sheet'!M11*'Output-Calculation-sheet'!M101</f>
        <v>466954554.82418907</v>
      </c>
      <c r="N122" s="2">
        <f>N12/'Output-Calculation-sheet'!N11*'Output-Calculation-sheet'!N101</f>
        <v>388140410.673917</v>
      </c>
      <c r="O122" s="2">
        <f>O12/'Output-Calculation-sheet'!O11*'Output-Calculation-sheet'!O101</f>
        <v>53226667.381850086</v>
      </c>
      <c r="P122" s="2">
        <f>P12/'Output-Calculation-sheet'!P11*'Output-Calculation-sheet'!P101</f>
        <v>120800678.19013755</v>
      </c>
      <c r="Q122" s="2">
        <f>Q12/'Output-Calculation-sheet'!Q11*'Output-Calculation-sheet'!Q101</f>
        <v>596796346.11560094</v>
      </c>
      <c r="R122" s="2">
        <f>R12/'Output-Calculation-sheet'!R11*'Output-Calculation-sheet'!R101</f>
        <v>0</v>
      </c>
      <c r="S122" s="2">
        <f>S12/'Output-Calculation-sheet'!S11*'Output-Calculation-sheet'!S101</f>
        <v>162147179.38903773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14994645.807764672</v>
      </c>
      <c r="Y122" s="2">
        <f>Y12/'Output-Calculation-sheet'!Y11*'Output-Calculation-sheet'!Y101</f>
        <v>69165041.487311706</v>
      </c>
      <c r="AA122" s="2">
        <f t="shared" si="10"/>
        <v>10690.283475401575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2237582654.09377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2245556025.0322247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147080.09809730484</v>
      </c>
    </row>
    <row r="130" spans="1:27" x14ac:dyDescent="0.25">
      <c r="A130" s="2">
        <v>2032</v>
      </c>
      <c r="B130" s="2">
        <f>B9/'Output-Calculation-sheet'!B8*'Output-Calculation-sheet'!B107</f>
        <v>53808565238.695099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1957564334.7113502</v>
      </c>
      <c r="O130" s="2">
        <f>O9/'Output-Calculation-sheet'!O8*'Output-Calculation-sheet'!O107</f>
        <v>0</v>
      </c>
      <c r="P130" s="2">
        <f>P9/'Output-Calculation-sheet'!P8*'Output-Calculation-sheet'!P107</f>
        <v>5973236888.8599291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1739218519.2068055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189500.0645969607</v>
      </c>
    </row>
    <row r="131" spans="1:27" x14ac:dyDescent="0.25">
      <c r="A131" s="2">
        <v>2033</v>
      </c>
      <c r="B131" s="2">
        <f>B10/'Output-Calculation-sheet'!B9*'Output-Calculation-sheet'!B108</f>
        <v>45757677727.113403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1676452269.6338036</v>
      </c>
      <c r="O131" s="2">
        <f>O10/'Output-Calculation-sheet'!O9*'Output-Calculation-sheet'!O108</f>
        <v>0</v>
      </c>
      <c r="P131" s="2">
        <f>P10/'Output-Calculation-sheet'!P9*'Output-Calculation-sheet'!P108</f>
        <v>7711545569.0001469</v>
      </c>
      <c r="Q131" s="2">
        <f>Q10/'Output-Calculation-sheet'!Q9*'Output-Calculation-sheet'!Q108</f>
        <v>6505254973.1664343</v>
      </c>
      <c r="R131" s="2">
        <f>R10/'Output-Calculation-sheet'!R9*'Output-Calculation-sheet'!R108</f>
        <v>7299044064.4219847</v>
      </c>
      <c r="S131" s="2">
        <f>S10/'Output-Calculation-sheet'!S9*'Output-Calculation-sheet'!S108</f>
        <v>1626151792.750823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218393.90385055431</v>
      </c>
    </row>
    <row r="132" spans="1:27" x14ac:dyDescent="0.25">
      <c r="A132" s="2">
        <v>2034</v>
      </c>
      <c r="B132" s="2">
        <f>B11/'Output-Calculation-sheet'!B10*'Output-Calculation-sheet'!B109</f>
        <v>35536934399.515053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34308416372.42683</v>
      </c>
      <c r="F132" s="2">
        <f>F11/'Output-Calculation-sheet'!F10*'Output-Calculation-sheet'!F109</f>
        <v>22628201808.882359</v>
      </c>
      <c r="G132" s="2">
        <f>G11/'Output-Calculation-sheet'!G10*'Output-Calculation-sheet'!G109</f>
        <v>15854913124.625158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14098786843.779921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10496385587.993828</v>
      </c>
      <c r="M132" s="2">
        <f>M11/'Output-Calculation-sheet'!M10*'Output-Calculation-sheet'!M109</f>
        <v>0</v>
      </c>
      <c r="N132" s="2">
        <f>N11/'Output-Calculation-sheet'!N10*'Output-Calculation-sheet'!N109</f>
        <v>1380209428.5397401</v>
      </c>
      <c r="O132" s="2">
        <f>O11/'Output-Calculation-sheet'!O10*'Output-Calculation-sheet'!O109</f>
        <v>0</v>
      </c>
      <c r="P132" s="2">
        <f>P11/'Output-Calculation-sheet'!P10*'Output-Calculation-sheet'!P109</f>
        <v>7841973715.8981581</v>
      </c>
      <c r="Q132" s="2">
        <f>Q11/'Output-Calculation-sheet'!Q10*'Output-Calculation-sheet'!Q109</f>
        <v>5049580603.9853048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947251788.05786026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2817602148.9351883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987365150.21025109</v>
      </c>
      <c r="AA132" s="2">
        <f t="shared" si="11"/>
        <v>241238.16237946987</v>
      </c>
    </row>
    <row r="133" spans="1:27" x14ac:dyDescent="0.25">
      <c r="A133" s="2">
        <v>2035</v>
      </c>
      <c r="B133" s="2">
        <f>B12/'Output-Calculation-sheet'!B11*'Output-Calculation-sheet'!B110</f>
        <v>9932751764.3073444</v>
      </c>
      <c r="C133" s="2">
        <f>C12/'Output-Calculation-sheet'!C11*'Output-Calculation-sheet'!C110</f>
        <v>0</v>
      </c>
      <c r="D133" s="2">
        <f>D12/'Output-Calculation-sheet'!D11*'Output-Calculation-sheet'!D110</f>
        <v>47239910541.013588</v>
      </c>
      <c r="E133" s="2">
        <f>E12/'Output-Calculation-sheet'!E11*'Output-Calculation-sheet'!E110</f>
        <v>25138304106.031723</v>
      </c>
      <c r="F133" s="2">
        <f>F12/'Output-Calculation-sheet'!F11*'Output-Calculation-sheet'!F110</f>
        <v>24989496829.234695</v>
      </c>
      <c r="G133" s="2">
        <f>G12/'Output-Calculation-sheet'!G11*'Output-Calculation-sheet'!G110</f>
        <v>16930315628.889549</v>
      </c>
      <c r="H133" s="2">
        <f>H12/'Output-Calculation-sheet'!H11*'Output-Calculation-sheet'!H110</f>
        <v>0</v>
      </c>
      <c r="I133" s="2">
        <f>I12/'Output-Calculation-sheet'!I11*'Output-Calculation-sheet'!I110</f>
        <v>15535091786.808331</v>
      </c>
      <c r="J133" s="2">
        <f>J12/'Output-Calculation-sheet'!J11*'Output-Calculation-sheet'!J110</f>
        <v>15561835726.046404</v>
      </c>
      <c r="K133" s="2">
        <f>K12/'Output-Calculation-sheet'!K11*'Output-Calculation-sheet'!K110</f>
        <v>15269035046.446016</v>
      </c>
      <c r="L133" s="2">
        <f>L12/'Output-Calculation-sheet'!L11*'Output-Calculation-sheet'!L110</f>
        <v>10973904561.594505</v>
      </c>
      <c r="M133" s="2">
        <f>M12/'Output-Calculation-sheet'!M11*'Output-Calculation-sheet'!M110</f>
        <v>0</v>
      </c>
      <c r="N133" s="2">
        <f>N12/'Output-Calculation-sheet'!N11*'Output-Calculation-sheet'!N110</f>
        <v>58950.398278410619</v>
      </c>
      <c r="O133" s="2">
        <f>O12/'Output-Calculation-sheet'!O11*'Output-Calculation-sheet'!O110</f>
        <v>0</v>
      </c>
      <c r="P133" s="2">
        <f>P12/'Output-Calculation-sheet'!P11*'Output-Calculation-sheet'!P110</f>
        <v>5483308993.3689928</v>
      </c>
      <c r="Q133" s="2">
        <f>Q12/'Output-Calculation-sheet'!Q11*'Output-Calculation-sheet'!Q110</f>
        <v>3487259297.3260388</v>
      </c>
      <c r="R133" s="2">
        <f>R12/'Output-Calculation-sheet'!R11*'Output-Calculation-sheet'!R110</f>
        <v>10156302408.483316</v>
      </c>
      <c r="S133" s="2">
        <f>S12/'Output-Calculation-sheet'!S11*'Output-Calculation-sheet'!S110</f>
        <v>9773910.0325854812</v>
      </c>
      <c r="T133" s="2">
        <f>T12/'Output-Calculation-sheet'!T11*'Output-Calculation-sheet'!T110</f>
        <v>3794444126.1985846</v>
      </c>
      <c r="U133" s="2">
        <f>U12/'Output-Calculation-sheet'!U11*'Output-Calculation-sheet'!U110</f>
        <v>2998936633.3865156</v>
      </c>
      <c r="V133" s="2">
        <f>V12/'Output-Calculation-sheet'!V11*'Output-Calculation-sheet'!V110</f>
        <v>2611718418.5170488</v>
      </c>
      <c r="W133" s="2">
        <f>W12/'Output-Calculation-sheet'!W11*'Output-Calculation-sheet'!W110</f>
        <v>2199375293.6088524</v>
      </c>
      <c r="X133" s="2">
        <f>X12/'Output-Calculation-sheet'!X11*'Output-Calculation-sheet'!X110</f>
        <v>0</v>
      </c>
      <c r="Y133" s="2">
        <f>Y12/'Output-Calculation-sheet'!Y11*'Output-Calculation-sheet'!Y110</f>
        <v>833321182.02854621</v>
      </c>
      <c r="AA133" s="2">
        <f t="shared" si="11"/>
        <v>213145.14520372092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14553699425.663927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4575316506.802907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3145004259.7022982</v>
      </c>
      <c r="N140" s="2">
        <f>N8/'Output-Calculation-sheet'!N7*'Output-Calculation-sheet'!N115</f>
        <v>1187363764.3659823</v>
      </c>
      <c r="O140" s="2">
        <f>O8/'Output-Calculation-sheet'!O7*'Output-Calculation-sheet'!O115</f>
        <v>3492816998.3732224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341509702.8436904</v>
      </c>
      <c r="Y140" s="2">
        <f>Y8/'Output-Calculation-sheet'!Y7*'Output-Calculation-sheet'!Y115</f>
        <v>0</v>
      </c>
      <c r="AA140" s="2">
        <f t="shared" si="12"/>
        <v>27295.710657752024</v>
      </c>
    </row>
    <row r="141" spans="1:27" x14ac:dyDescent="0.25">
      <c r="A141" s="2">
        <v>2032</v>
      </c>
      <c r="B141" s="2">
        <f>B9/'Output-Calculation-sheet'!B8*'Output-Calculation-sheet'!B116</f>
        <v>6151560617.1657057</v>
      </c>
      <c r="C141" s="2">
        <f>C9/'Output-Calculation-sheet'!C8*'Output-Calculation-sheet'!C116</f>
        <v>26332316772.244061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6864720792.7581997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4713194860.3597193</v>
      </c>
      <c r="N141" s="2">
        <f>N9/'Output-Calculation-sheet'!N8*'Output-Calculation-sheet'!N116</f>
        <v>3272192468.7862191</v>
      </c>
      <c r="O141" s="2">
        <f>O9/'Output-Calculation-sheet'!O8*'Output-Calculation-sheet'!O116</f>
        <v>5111257447.3561478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1465647726.795902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513014699.17324573</v>
      </c>
      <c r="Y141" s="2">
        <f>Y9/'Output-Calculation-sheet'!Y8*'Output-Calculation-sheet'!Y116</f>
        <v>0</v>
      </c>
      <c r="AA141" s="2">
        <f t="shared" si="12"/>
        <v>54423.905384639198</v>
      </c>
    </row>
    <row r="142" spans="1:27" x14ac:dyDescent="0.25">
      <c r="A142" s="2">
        <v>2033</v>
      </c>
      <c r="B142" s="2">
        <f>B10/'Output-Calculation-sheet'!B9*'Output-Calculation-sheet'!B117</f>
        <v>33198633628.665924</v>
      </c>
      <c r="C142" s="2">
        <f>C10/'Output-Calculation-sheet'!C9*'Output-Calculation-sheet'!C117</f>
        <v>35056385336.647881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10857221476.390984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7460942639.5102358</v>
      </c>
      <c r="N142" s="2">
        <f>N10/'Output-Calculation-sheet'!N9*'Output-Calculation-sheet'!N117</f>
        <v>5628176053.4599075</v>
      </c>
      <c r="O142" s="2">
        <f>O10/'Output-Calculation-sheet'!O9*'Output-Calculation-sheet'!O117</f>
        <v>6803999484.9417324</v>
      </c>
      <c r="P142" s="2">
        <f>P10/'Output-Calculation-sheet'!P9*'Output-Calculation-sheet'!P117</f>
        <v>0</v>
      </c>
      <c r="Q142" s="2">
        <f>Q10/'Output-Calculation-sheet'!Q9*'Output-Calculation-sheet'!Q117</f>
        <v>1074903701.2279165</v>
      </c>
      <c r="R142" s="2">
        <f>R10/'Output-Calculation-sheet'!R9*'Output-Calculation-sheet'!R117</f>
        <v>0</v>
      </c>
      <c r="S142" s="2">
        <f>S10/'Output-Calculation-sheet'!S9*'Output-Calculation-sheet'!S117</f>
        <v>2736676702.615571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817928119.24258924</v>
      </c>
      <c r="Y142" s="2">
        <f>Y10/'Output-Calculation-sheet'!Y9*'Output-Calculation-sheet'!Y117</f>
        <v>0</v>
      </c>
      <c r="AA142" s="2">
        <f t="shared" si="12"/>
        <v>103634.86714270273</v>
      </c>
    </row>
    <row r="143" spans="1:27" x14ac:dyDescent="0.25">
      <c r="A143" s="2">
        <v>2034</v>
      </c>
      <c r="B143" s="2">
        <f>B11/'Output-Calculation-sheet'!B10*'Output-Calculation-sheet'!B118</f>
        <v>63833843760.411942</v>
      </c>
      <c r="C143" s="2">
        <f>C11/'Output-Calculation-sheet'!C10*'Output-Calculation-sheet'!C118</f>
        <v>48976238261.606728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13576456908.751465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9324461532.9338665</v>
      </c>
      <c r="N143" s="2">
        <f>N11/'Output-Calculation-sheet'!N10*'Output-Calculation-sheet'!N118</f>
        <v>8204778135.757514</v>
      </c>
      <c r="O143" s="2">
        <f>O11/'Output-Calculation-sheet'!O10*'Output-Calculation-sheet'!O118</f>
        <v>9514722495.4577255</v>
      </c>
      <c r="P143" s="2">
        <f>P11/'Output-Calculation-sheet'!P10*'Output-Calculation-sheet'!P118</f>
        <v>1717855053.8665061</v>
      </c>
      <c r="Q143" s="2">
        <f>Q11/'Output-Calculation-sheet'!Q10*'Output-Calculation-sheet'!Q118</f>
        <v>4044640304.6404819</v>
      </c>
      <c r="R143" s="2">
        <f>R11/'Output-Calculation-sheet'!R10*'Output-Calculation-sheet'!R118</f>
        <v>0</v>
      </c>
      <c r="S143" s="2">
        <f>S11/'Output-Calculation-sheet'!S10*'Output-Calculation-sheet'!S118</f>
        <v>4724302615.5971622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1023684005.6656677</v>
      </c>
      <c r="Y143" s="2">
        <f>Y11/'Output-Calculation-sheet'!Y10*'Output-Calculation-sheet'!Y118</f>
        <v>119960651.5080678</v>
      </c>
      <c r="AA143" s="2">
        <f t="shared" si="12"/>
        <v>165060.94372619715</v>
      </c>
    </row>
    <row r="144" spans="1:27" x14ac:dyDescent="0.25">
      <c r="A144" s="2">
        <v>2035</v>
      </c>
      <c r="B144" s="2">
        <f>B12/'Output-Calculation-sheet'!B11*'Output-Calculation-sheet'!B119</f>
        <v>112419704396.21153</v>
      </c>
      <c r="C144" s="2">
        <f>C12/'Output-Calculation-sheet'!C11*'Output-Calculation-sheet'!C119</f>
        <v>59498338145.836082</v>
      </c>
      <c r="D144" s="2">
        <f>D12/'Output-Calculation-sheet'!D11*'Output-Calculation-sheet'!D119</f>
        <v>0</v>
      </c>
      <c r="E144" s="2">
        <f>E12/'Output-Calculation-sheet'!E11*'Output-Calculation-sheet'!E119</f>
        <v>13564260356.600803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18059140614.036232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12336272508.66761</v>
      </c>
      <c r="N144" s="2">
        <f>N12/'Output-Calculation-sheet'!N11*'Output-Calculation-sheet'!N119</f>
        <v>12175809974.949322</v>
      </c>
      <c r="O144" s="2">
        <f>O12/'Output-Calculation-sheet'!O11*'Output-Calculation-sheet'!O119</f>
        <v>11561047190.861338</v>
      </c>
      <c r="P144" s="2">
        <f>P12/'Output-Calculation-sheet'!P11*'Output-Calculation-sheet'!P119</f>
        <v>5598557175.1613693</v>
      </c>
      <c r="Q144" s="2">
        <f>Q12/'Output-Calculation-sheet'!Q11*'Output-Calculation-sheet'!Q119</f>
        <v>6810463804.090395</v>
      </c>
      <c r="R144" s="2">
        <f>R12/'Output-Calculation-sheet'!R11*'Output-Calculation-sheet'!R119</f>
        <v>0</v>
      </c>
      <c r="S144" s="2">
        <f>S12/'Output-Calculation-sheet'!S11*'Output-Calculation-sheet'!S119</f>
        <v>7017032334.1038361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1378258086.2100017</v>
      </c>
      <c r="Y144" s="2">
        <f>Y12/'Output-Calculation-sheet'!Y11*'Output-Calculation-sheet'!Y119</f>
        <v>388677334.70013881</v>
      </c>
      <c r="AA144" s="2">
        <f t="shared" si="12"/>
        <v>260807.56192142863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2320762164.0787396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506062693.23343635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60141.90571692575</v>
      </c>
    </row>
    <row r="155" spans="1:27" x14ac:dyDescent="0.25">
      <c r="A155" s="2">
        <v>2035</v>
      </c>
      <c r="B155" s="2">
        <f>B12/'Output-Calculation-sheet'!B11*'Output-Calculation-sheet'!B128</f>
        <v>1477045119.6409886</v>
      </c>
      <c r="C155" s="2">
        <f>C12/'Output-Calculation-sheet'!C11*'Output-Calculation-sheet'!C128</f>
        <v>88286981.146754891</v>
      </c>
      <c r="D155" s="2">
        <f>D12/'Output-Calculation-sheet'!D11*'Output-Calculation-sheet'!D128</f>
        <v>6452963461.1218119</v>
      </c>
      <c r="E155" s="2">
        <f>E12/'Output-Calculation-sheet'!E11*'Output-Calculation-sheet'!E128</f>
        <v>1511177558.4289763</v>
      </c>
      <c r="F155" s="2">
        <f>F12/'Output-Calculation-sheet'!F11*'Output-Calculation-sheet'!F128</f>
        <v>2611184724.3537226</v>
      </c>
      <c r="G155" s="2">
        <f>G12/'Output-Calculation-sheet'!G11*'Output-Calculation-sheet'!G128</f>
        <v>2465111872.3226457</v>
      </c>
      <c r="H155" s="2">
        <f>H12/'Output-Calculation-sheet'!H11*'Output-Calculation-sheet'!H128</f>
        <v>135721465.62998271</v>
      </c>
      <c r="I155" s="2">
        <f>I12/'Output-Calculation-sheet'!I11*'Output-Calculation-sheet'!I128</f>
        <v>2116909048.22751</v>
      </c>
      <c r="J155" s="2">
        <f>J12/'Output-Calculation-sheet'!J11*'Output-Calculation-sheet'!J128</f>
        <v>1530170433.7774997</v>
      </c>
      <c r="K155" s="2">
        <f>K12/'Output-Calculation-sheet'!K11*'Output-Calculation-sheet'!K128</f>
        <v>1693462429.3606229</v>
      </c>
      <c r="L155" s="2">
        <f>L12/'Output-Calculation-sheet'!L11*'Output-Calculation-sheet'!L128</f>
        <v>742650257.57529867</v>
      </c>
      <c r="M155" s="2">
        <f>M12/'Output-Calculation-sheet'!M11*'Output-Calculation-sheet'!M128</f>
        <v>107031382.02015783</v>
      </c>
      <c r="N155" s="2">
        <f>N12/'Output-Calculation-sheet'!N11*'Output-Calculation-sheet'!N128</f>
        <v>97825236.398643985</v>
      </c>
      <c r="O155" s="2">
        <f>O12/'Output-Calculation-sheet'!O11*'Output-Calculation-sheet'!O128</f>
        <v>21423014.100804701</v>
      </c>
      <c r="P155" s="2">
        <f>P12/'Output-Calculation-sheet'!P11*'Output-Calculation-sheet'!P128</f>
        <v>399073917.70396417</v>
      </c>
      <c r="Q155" s="2">
        <f>Q12/'Output-Calculation-sheet'!Q11*'Output-Calculation-sheet'!Q128</f>
        <v>486587533.20211381</v>
      </c>
      <c r="R155" s="2">
        <f>R12/'Output-Calculation-sheet'!R11*'Output-Calculation-sheet'!R128</f>
        <v>872005628.96741033</v>
      </c>
      <c r="S155" s="2">
        <f>S12/'Output-Calculation-sheet'!S11*'Output-Calculation-sheet'!S128</f>
        <v>63505496.069579892</v>
      </c>
      <c r="T155" s="2">
        <f>T12/'Output-Calculation-sheet'!T11*'Output-Calculation-sheet'!T128</f>
        <v>239141596.9687748</v>
      </c>
      <c r="U155" s="2">
        <f>U12/'Output-Calculation-sheet'!U11*'Output-Calculation-sheet'!U128</f>
        <v>550719413.16154599</v>
      </c>
      <c r="V155" s="2">
        <f>V12/'Output-Calculation-sheet'!V11*'Output-Calculation-sheet'!V128</f>
        <v>82144514.13037008</v>
      </c>
      <c r="W155" s="2">
        <f>W12/'Output-Calculation-sheet'!W11*'Output-Calculation-sheet'!W128</f>
        <v>165612163.31954649</v>
      </c>
      <c r="X155" s="2">
        <f>X12/'Output-Calculation-sheet'!X11*'Output-Calculation-sheet'!X128</f>
        <v>3518958.1547072148</v>
      </c>
      <c r="Y155" s="2">
        <f>Y12/'Output-Calculation-sheet'!Y11*'Output-Calculation-sheet'!Y128</f>
        <v>91055577.471962258</v>
      </c>
      <c r="AA155" s="2">
        <f t="shared" si="13"/>
        <v>24004.32778325539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4881.608264343773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1478.6978432080109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1027.1622304222606</v>
      </c>
      <c r="N19" s="2">
        <f>N8/'Output-Calculation-sheet'!N7*'Output-Calculation-sheet'!N25</f>
        <v>854.47759510222943</v>
      </c>
      <c r="O19" s="2">
        <f>O8/'Output-Calculation-sheet'!O7*'Output-Calculation-sheet'!O25</f>
        <v>536.27705241256865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111.16752612949178</v>
      </c>
      <c r="Y19" s="2">
        <f>Y8/'Output-Calculation-sheet'!Y7*'Output-Calculation-sheet'!Y25</f>
        <v>0</v>
      </c>
      <c r="AA19" s="2">
        <f t="shared" si="0"/>
        <v>10.322105606140521</v>
      </c>
    </row>
    <row r="20" spans="1:27" x14ac:dyDescent="0.25">
      <c r="A20" s="2">
        <v>2032</v>
      </c>
      <c r="B20" s="2">
        <f>B9/'Output-Calculation-sheet'!B8*'Output-Calculation-sheet'!B26</f>
        <v>4796.0779082769204</v>
      </c>
      <c r="C20" s="2">
        <f>C9/'Output-Calculation-sheet'!C8*'Output-Calculation-sheet'!C26</f>
        <v>2630.052035176408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1578.8332230573078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1103.2995524798803</v>
      </c>
      <c r="N20" s="2">
        <f>N9/'Output-Calculation-sheet'!N8*'Output-Calculation-sheet'!N26</f>
        <v>764.61665461607947</v>
      </c>
      <c r="O20" s="2">
        <f>O9/'Output-Calculation-sheet'!O8*'Output-Calculation-sheet'!O26</f>
        <v>513.86342726874045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362.69836546599396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120.05510492308157</v>
      </c>
      <c r="Y20" s="2">
        <f>Y9/'Output-Calculation-sheet'!Y8*'Output-Calculation-sheet'!Y26</f>
        <v>0</v>
      </c>
      <c r="AA20" s="2">
        <f t="shared" si="0"/>
        <v>11.869496271264413</v>
      </c>
    </row>
    <row r="21" spans="1:27" x14ac:dyDescent="0.25">
      <c r="A21" s="2">
        <v>2033</v>
      </c>
      <c r="B21" s="2">
        <f>B10/'Output-Calculation-sheet'!B9*'Output-Calculation-sheet'!B27</f>
        <v>4052.9865366598092</v>
      </c>
      <c r="C21" s="2">
        <f>C10/'Output-Calculation-sheet'!C9*'Output-Calculation-sheet'!C27</f>
        <v>2491.1370486650203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816.78602518787761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578.12788656197449</v>
      </c>
      <c r="N21" s="2">
        <f>N10/'Output-Calculation-sheet'!N9*'Output-Calculation-sheet'!N27</f>
        <v>585.46854506772615</v>
      </c>
      <c r="O21" s="2">
        <f>O10/'Output-Calculation-sheet'!O9*'Output-Calculation-sheet'!O27</f>
        <v>487.71122595375959</v>
      </c>
      <c r="P21" s="2">
        <f>P10/'Output-Calculation-sheet'!P9*'Output-Calculation-sheet'!P27</f>
        <v>0</v>
      </c>
      <c r="Q21" s="2">
        <f>Q10/'Output-Calculation-sheet'!Q9*'Output-Calculation-sheet'!Q27</f>
        <v>6.8226848806137088</v>
      </c>
      <c r="R21" s="2">
        <f>R10/'Output-Calculation-sheet'!R9*'Output-Calculation-sheet'!R27</f>
        <v>0</v>
      </c>
      <c r="S21" s="2">
        <f>S10/'Output-Calculation-sheet'!S9*'Output-Calculation-sheet'!S27</f>
        <v>278.77844455407143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57.728554108329078</v>
      </c>
      <c r="Y21" s="2">
        <f>Y10/'Output-Calculation-sheet'!Y9*'Output-Calculation-sheet'!Y27</f>
        <v>0</v>
      </c>
      <c r="AA21" s="2">
        <f t="shared" si="0"/>
        <v>9.3555469516391785</v>
      </c>
    </row>
    <row r="22" spans="1:27" x14ac:dyDescent="0.25">
      <c r="A22" s="2">
        <v>2034</v>
      </c>
      <c r="B22" s="2">
        <f>B11/'Output-Calculation-sheet'!B10*'Output-Calculation-sheet'!B28</f>
        <v>3011.5020639041786</v>
      </c>
      <c r="C22" s="2">
        <f>C11/'Output-Calculation-sheet'!C10*'Output-Calculation-sheet'!C28</f>
        <v>303.76864747178263</v>
      </c>
      <c r="D22" s="2">
        <f>D11/'Output-Calculation-sheet'!D10*'Output-Calculation-sheet'!D28</f>
        <v>0</v>
      </c>
      <c r="E22" s="2">
        <f>E11/'Output-Calculation-sheet'!E10*'Output-Calculation-sheet'!E28</f>
        <v>1008.6760519296655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799.84664805574607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611.72714351767752</v>
      </c>
      <c r="M22" s="2">
        <f>M11/'Output-Calculation-sheet'!M10*'Output-Calculation-sheet'!M28</f>
        <v>569.2478106597863</v>
      </c>
      <c r="N22" s="2">
        <f>N11/'Output-Calculation-sheet'!N10*'Output-Calculation-sheet'!N28</f>
        <v>380.54540908828346</v>
      </c>
      <c r="O22" s="2">
        <f>O11/'Output-Calculation-sheet'!O10*'Output-Calculation-sheet'!O28</f>
        <v>59.584927162094608</v>
      </c>
      <c r="P22" s="2">
        <f>P11/'Output-Calculation-sheet'!P10*'Output-Calculation-sheet'!P28</f>
        <v>0</v>
      </c>
      <c r="Q22" s="2">
        <f>Q11/'Output-Calculation-sheet'!Q10*'Output-Calculation-sheet'!Q28</f>
        <v>195.87922998367532</v>
      </c>
      <c r="R22" s="2">
        <f>R11/'Output-Calculation-sheet'!R10*'Output-Calculation-sheet'!R28</f>
        <v>0</v>
      </c>
      <c r="S22" s="2">
        <f>S11/'Output-Calculation-sheet'!S10*'Output-Calculation-sheet'!S28</f>
        <v>142.48827401522388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55.932560817240443</v>
      </c>
      <c r="Y22" s="2">
        <f>Y11/'Output-Calculation-sheet'!Y10*'Output-Calculation-sheet'!Y28</f>
        <v>22.799691594202898</v>
      </c>
      <c r="AA22" s="2">
        <f t="shared" si="0"/>
        <v>7.161998458199557</v>
      </c>
    </row>
    <row r="23" spans="1:27" x14ac:dyDescent="0.25">
      <c r="A23" s="2">
        <v>2035</v>
      </c>
      <c r="B23" s="2">
        <f>B12/'Output-Calculation-sheet'!B11*'Output-Calculation-sheet'!B29</f>
        <v>1117.0580098174109</v>
      </c>
      <c r="C23" s="2">
        <f>C12/'Output-Calculation-sheet'!C11*'Output-Calculation-sheet'!C29</f>
        <v>97.105069555900869</v>
      </c>
      <c r="D23" s="2">
        <f>D12/'Output-Calculation-sheet'!D11*'Output-Calculation-sheet'!D29</f>
        <v>0</v>
      </c>
      <c r="E23" s="2">
        <f>E12/'Output-Calculation-sheet'!E11*'Output-Calculation-sheet'!E29</f>
        <v>1542.0012049830598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164.65630786507759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1034.7525337784907</v>
      </c>
      <c r="M23" s="2">
        <f>M12/'Output-Calculation-sheet'!M11*'Output-Calculation-sheet'!M29</f>
        <v>151.04813214446867</v>
      </c>
      <c r="N23" s="2">
        <f>N12/'Output-Calculation-sheet'!N11*'Output-Calculation-sheet'!N29</f>
        <v>125.55409051753097</v>
      </c>
      <c r="O23" s="2">
        <f>O12/'Output-Calculation-sheet'!O11*'Output-Calculation-sheet'!O29</f>
        <v>17.217798017946645</v>
      </c>
      <c r="P23" s="2">
        <f>P12/'Output-Calculation-sheet'!P11*'Output-Calculation-sheet'!P29</f>
        <v>60.974476926982895</v>
      </c>
      <c r="Q23" s="2">
        <f>Q12/'Output-Calculation-sheet'!Q11*'Output-Calculation-sheet'!Q29</f>
        <v>229.318513096624</v>
      </c>
      <c r="R23" s="2">
        <f>R12/'Output-Calculation-sheet'!R11*'Output-Calculation-sheet'!R29</f>
        <v>0</v>
      </c>
      <c r="S23" s="2">
        <f>S12/'Output-Calculation-sheet'!S11*'Output-Calculation-sheet'!S29</f>
        <v>52.450443321580678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4.8504098758327379</v>
      </c>
      <c r="Y23" s="2">
        <f>Y12/'Output-Calculation-sheet'!Y11*'Output-Calculation-sheet'!Y29</f>
        <v>42.137005481147256</v>
      </c>
      <c r="AA23" s="2">
        <f t="shared" si="0"/>
        <v>4.6391239953820529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974.08638360751979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38.191447030866669</v>
      </c>
    </row>
    <row r="31" spans="1:27" x14ac:dyDescent="0.25">
      <c r="A31" s="2">
        <v>2032</v>
      </c>
      <c r="B31" s="2">
        <f>B9/'Output-Calculation-sheet'!B8*'Output-Calculation-sheet'!B17</f>
        <v>20164.697520459653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788.46092500832822</v>
      </c>
      <c r="O31" s="2">
        <f>O9/'Output-Calculation-sheet'!O8*'Output-Calculation-sheet'!O17</f>
        <v>0</v>
      </c>
      <c r="P31" s="2">
        <f>P9/'Output-Calculation-sheet'!P8*'Output-Calculation-sheet'!P17</f>
        <v>1970.6356759972953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652.58370122666634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46.199720419996368</v>
      </c>
    </row>
    <row r="32" spans="1:27" x14ac:dyDescent="0.25">
      <c r="A32" s="2">
        <v>2033</v>
      </c>
      <c r="B32" s="2">
        <f>B10/'Output-Calculation-sheet'!B9*'Output-Calculation-sheet'!B18</f>
        <v>14660.723848860351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2295.4551184370562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593.39560405945178</v>
      </c>
      <c r="O32" s="2">
        <f>O10/'Output-Calculation-sheet'!O9*'Output-Calculation-sheet'!O18</f>
        <v>0</v>
      </c>
      <c r="P32" s="2">
        <f>P10/'Output-Calculation-sheet'!P9*'Output-Calculation-sheet'!P18</f>
        <v>2362.3309582458469</v>
      </c>
      <c r="Q32" s="2">
        <f>Q10/'Output-Calculation-sheet'!Q9*'Output-Calculation-sheet'!Q18</f>
        <v>2187.3021771868657</v>
      </c>
      <c r="R32" s="2">
        <f>R10/'Output-Calculation-sheet'!R9*'Output-Calculation-sheet'!R18</f>
        <v>1696.3184817145004</v>
      </c>
      <c r="S32" s="2">
        <f>S10/'Output-Calculation-sheet'!S9*'Output-Calculation-sheet'!S18</f>
        <v>539.81460308312876</v>
      </c>
      <c r="T32" s="2">
        <f>T10/'Output-Calculation-sheet'!T9*'Output-Calculation-sheet'!T18</f>
        <v>495.29739948983354</v>
      </c>
      <c r="U32" s="2">
        <f>U10/'Output-Calculation-sheet'!U9*'Output-Calculation-sheet'!U18</f>
        <v>547.52936199137184</v>
      </c>
      <c r="V32" s="2">
        <f>V10/'Output-Calculation-sheet'!V9*'Output-Calculation-sheet'!V18</f>
        <v>404.13396996861962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233.97213368944966</v>
      </c>
      <c r="AA32" s="2">
        <f t="shared" si="1"/>
        <v>46.607923463436769</v>
      </c>
    </row>
    <row r="33" spans="1:27" x14ac:dyDescent="0.25">
      <c r="A33" s="2">
        <v>2034</v>
      </c>
      <c r="B33" s="2">
        <f>B11/'Output-Calculation-sheet'!B10*'Output-Calculation-sheet'!B19</f>
        <v>9102.9724917559506</v>
      </c>
      <c r="C33" s="2">
        <f>C11/'Output-Calculation-sheet'!C10*'Output-Calculation-sheet'!C19</f>
        <v>0</v>
      </c>
      <c r="D33" s="2">
        <f>D11/'Output-Calculation-sheet'!D10*'Output-Calculation-sheet'!D19</f>
        <v>6053.8692480503651</v>
      </c>
      <c r="E33" s="2">
        <f>E11/'Output-Calculation-sheet'!E10*'Output-Calculation-sheet'!E19</f>
        <v>7505.2693363467279</v>
      </c>
      <c r="F33" s="2">
        <f>F11/'Output-Calculation-sheet'!F10*'Output-Calculation-sheet'!F19</f>
        <v>3436.5327517861028</v>
      </c>
      <c r="G33" s="2">
        <f>G11/'Output-Calculation-sheet'!G10*'Output-Calculation-sheet'!G19</f>
        <v>2047.1911480117499</v>
      </c>
      <c r="H33" s="2">
        <f>H11/'Output-Calculation-sheet'!H10*'Output-Calculation-sheet'!H19</f>
        <v>0</v>
      </c>
      <c r="I33" s="2">
        <f>I11/'Output-Calculation-sheet'!I10*'Output-Calculation-sheet'!I19</f>
        <v>2248.7888753999832</v>
      </c>
      <c r="J33" s="2">
        <f>J11/'Output-Calculation-sheet'!J10*'Output-Calculation-sheet'!J19</f>
        <v>1901.6125207410178</v>
      </c>
      <c r="K33" s="2">
        <f>K11/'Output-Calculation-sheet'!K10*'Output-Calculation-sheet'!K19</f>
        <v>2637.5813968310308</v>
      </c>
      <c r="L33" s="2">
        <f>L11/'Output-Calculation-sheet'!L10*'Output-Calculation-sheet'!L19</f>
        <v>2145.199670986603</v>
      </c>
      <c r="M33" s="2">
        <f>M11/'Output-Calculation-sheet'!M10*'Output-Calculation-sheet'!M19</f>
        <v>0</v>
      </c>
      <c r="N33" s="2">
        <f>N11/'Output-Calculation-sheet'!N10*'Output-Calculation-sheet'!N19</f>
        <v>407.19256806387983</v>
      </c>
      <c r="O33" s="2">
        <f>O11/'Output-Calculation-sheet'!O10*'Output-Calculation-sheet'!O19</f>
        <v>0</v>
      </c>
      <c r="P33" s="2">
        <f>P11/'Output-Calculation-sheet'!P10*'Output-Calculation-sheet'!P19</f>
        <v>2015.6695585909292</v>
      </c>
      <c r="Q33" s="2">
        <f>Q11/'Output-Calculation-sheet'!Q10*'Output-Calculation-sheet'!Q19</f>
        <v>1284.3268718989643</v>
      </c>
      <c r="R33" s="2">
        <f>R11/'Output-Calculation-sheet'!R10*'Output-Calculation-sheet'!R19</f>
        <v>1905.4615941740094</v>
      </c>
      <c r="S33" s="2">
        <f>S11/'Output-Calculation-sheet'!S10*'Output-Calculation-sheet'!S19</f>
        <v>258.85193093804855</v>
      </c>
      <c r="T33" s="2">
        <f>T11/'Output-Calculation-sheet'!T10*'Output-Calculation-sheet'!T19</f>
        <v>558.98119258188422</v>
      </c>
      <c r="U33" s="2">
        <f>U11/'Output-Calculation-sheet'!U10*'Output-Calculation-sheet'!U19</f>
        <v>604.56916599943634</v>
      </c>
      <c r="V33" s="2">
        <f>V11/'Output-Calculation-sheet'!V10*'Output-Calculation-sheet'!V19</f>
        <v>438.46336156804301</v>
      </c>
      <c r="W33" s="2">
        <f>W11/'Output-Calculation-sheet'!W10*'Output-Calculation-sheet'!W19</f>
        <v>273.00756387719775</v>
      </c>
      <c r="X33" s="2">
        <f>X11/'Output-Calculation-sheet'!X10*'Output-Calculation-sheet'!X19</f>
        <v>0</v>
      </c>
      <c r="Y33" s="2">
        <f>Y11/'Output-Calculation-sheet'!Y10*'Output-Calculation-sheet'!Y19</f>
        <v>223.51525642083706</v>
      </c>
      <c r="AA33" s="2">
        <f t="shared" si="1"/>
        <v>45.049056504022765</v>
      </c>
    </row>
    <row r="34" spans="1:27" x14ac:dyDescent="0.25">
      <c r="A34" s="2">
        <v>2035</v>
      </c>
      <c r="B34" s="2">
        <f>B12/'Output-Calculation-sheet'!B11*'Output-Calculation-sheet'!B20</f>
        <v>1911.4761421150929</v>
      </c>
      <c r="C34" s="2">
        <f>C12/'Output-Calculation-sheet'!C11*'Output-Calculation-sheet'!C20</f>
        <v>0</v>
      </c>
      <c r="D34" s="2">
        <f>D12/'Output-Calculation-sheet'!D11*'Output-Calculation-sheet'!D20</f>
        <v>5005.1649374153012</v>
      </c>
      <c r="E34" s="2">
        <f>E12/'Output-Calculation-sheet'!E11*'Output-Calculation-sheet'!E20</f>
        <v>3267.2571822021182</v>
      </c>
      <c r="F34" s="2">
        <f>F12/'Output-Calculation-sheet'!F11*'Output-Calculation-sheet'!F20</f>
        <v>3110.3623747170259</v>
      </c>
      <c r="G34" s="2">
        <f>G12/'Output-Calculation-sheet'!G11*'Output-Calculation-sheet'!G20</f>
        <v>1678.1501819878495</v>
      </c>
      <c r="H34" s="2">
        <f>H12/'Output-Calculation-sheet'!H11*'Output-Calculation-sheet'!H20</f>
        <v>0</v>
      </c>
      <c r="I34" s="2">
        <f>I12/'Output-Calculation-sheet'!I11*'Output-Calculation-sheet'!I20</f>
        <v>1865.6413721400436</v>
      </c>
      <c r="J34" s="2">
        <f>J12/'Output-Calculation-sheet'!J11*'Output-Calculation-sheet'!J20</f>
        <v>1730.1302779551147</v>
      </c>
      <c r="K34" s="2">
        <f>K12/'Output-Calculation-sheet'!K11*'Output-Calculation-sheet'!K20</f>
        <v>2306.4352444604265</v>
      </c>
      <c r="L34" s="2">
        <f>L12/'Output-Calculation-sheet'!L11*'Output-Calculation-sheet'!L20</f>
        <v>1836.3039163115091</v>
      </c>
      <c r="M34" s="2">
        <f>M12/'Output-Calculation-sheet'!M11*'Output-Calculation-sheet'!M20</f>
        <v>0</v>
      </c>
      <c r="N34" s="2">
        <f>N12/'Output-Calculation-sheet'!N11*'Output-Calculation-sheet'!N20</f>
        <v>1.3556665642799889E-2</v>
      </c>
      <c r="O34" s="2">
        <f>O12/'Output-Calculation-sheet'!O11*'Output-Calculation-sheet'!O20</f>
        <v>0</v>
      </c>
      <c r="P34" s="2">
        <f>P12/'Output-Calculation-sheet'!P11*'Output-Calculation-sheet'!P20</f>
        <v>944.15286824447821</v>
      </c>
      <c r="Q34" s="2">
        <f>Q12/'Output-Calculation-sheet'!Q11*'Output-Calculation-sheet'!Q20</f>
        <v>634.88817237949172</v>
      </c>
      <c r="R34" s="2">
        <f>R12/'Output-Calculation-sheet'!R11*'Output-Calculation-sheet'!R20</f>
        <v>1761.9970948229291</v>
      </c>
      <c r="S34" s="2">
        <f>S12/'Output-Calculation-sheet'!S11*'Output-Calculation-sheet'!S20</f>
        <v>2.0874785749454032</v>
      </c>
      <c r="T34" s="2">
        <f>T12/'Output-Calculation-sheet'!T11*'Output-Calculation-sheet'!T20</f>
        <v>534.09078884769008</v>
      </c>
      <c r="U34" s="2">
        <f>U12/'Output-Calculation-sheet'!U11*'Output-Calculation-sheet'!U20</f>
        <v>491.93783788263175</v>
      </c>
      <c r="V34" s="2">
        <f>V12/'Output-Calculation-sheet'!V11*'Output-Calculation-sheet'!V20</f>
        <v>484.21014786623545</v>
      </c>
      <c r="W34" s="2">
        <f>W12/'Output-Calculation-sheet'!W11*'Output-Calculation-sheet'!W20</f>
        <v>262.59167759141667</v>
      </c>
      <c r="X34" s="2">
        <f>X12/'Output-Calculation-sheet'!X11*'Output-Calculation-sheet'!X20</f>
        <v>0</v>
      </c>
      <c r="Y34" s="2">
        <f>Y12/'Output-Calculation-sheet'!Y11*'Output-Calculation-sheet'!Y20</f>
        <v>119.95011648356447</v>
      </c>
      <c r="AA34" s="2">
        <f t="shared" si="1"/>
        <v>27.946841368663502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1.3635676851658538E-2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2.4972701377479613E-3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1.61329469894065E-2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3.1314350599481504E-2</v>
      </c>
      <c r="E45" s="2">
        <f>E12/'Output-Calculation-sheet'!E11*'Output-Calculation-sheet'!E38*0.0114</f>
        <v>7.4659755917221252E-2</v>
      </c>
      <c r="F45" s="2">
        <f>F12/'Output-Calculation-sheet'!F11*'Output-Calculation-sheet'!F38*0.0114</f>
        <v>3.1303900058641927E-2</v>
      </c>
      <c r="G45" s="2">
        <f>G12/'Output-Calculation-sheet'!G11*'Output-Calculation-sheet'!G38*0.0114</f>
        <v>2.2466330969366548E-2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2.0207076403820644E-2</v>
      </c>
      <c r="J45" s="2">
        <f>J12/'Output-Calculation-sheet'!J11*'Output-Calculation-sheet'!J38*0.0114</f>
        <v>9.9991559854745379E-3</v>
      </c>
      <c r="K45" s="2">
        <f>K12/'Output-Calculation-sheet'!K11*'Output-Calculation-sheet'!K38*0.0114</f>
        <v>1.9860339604527537E-2</v>
      </c>
      <c r="L45" s="2">
        <f>L12/'Output-Calculation-sheet'!L11*'Output-Calculation-sheet'!L38*0.0114</f>
        <v>7.8960138888180958E-3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2.0396192436525611E-2</v>
      </c>
      <c r="Q45" s="2">
        <f>Q12/'Output-Calculation-sheet'!Q11*'Output-Calculation-sheet'!Q38*0.0114</f>
        <v>6.4479022721087853E-3</v>
      </c>
      <c r="R45" s="2">
        <f>R12/'Output-Calculation-sheet'!R11*'Output-Calculation-sheet'!R38*0.0114</f>
        <v>1.2788620740115806E-2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2.3656539577302607E-3</v>
      </c>
      <c r="U45" s="2">
        <f>U12/'Output-Calculation-sheet'!U11*'Output-Calculation-sheet'!U38*0.0114</f>
        <v>6.1718055559233757E-3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2.7473130697006267E-3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3.1707890801412494E-3</v>
      </c>
      <c r="AA45" s="2">
        <f t="shared" si="2"/>
        <v>0.42084970118207976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0.1285692688107373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150.39832146955382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0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14.033274146285919</v>
      </c>
      <c r="AA54" s="2">
        <f t="shared" si="3"/>
        <v>3.7047289841057531</v>
      </c>
    </row>
    <row r="55" spans="1:27" x14ac:dyDescent="0.25">
      <c r="A55" s="2">
        <v>2034</v>
      </c>
      <c r="B55" s="2">
        <f>B11/'Output-Calculation-sheet'!B10*'Output-Calculation-sheet'!B46</f>
        <v>1189.6148507485091</v>
      </c>
      <c r="C55" s="2">
        <f>C11/'Output-Calculation-sheet'!C10*'Output-Calculation-sheet'!C46</f>
        <v>0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198.32849045453924</v>
      </c>
      <c r="G55" s="2">
        <f>G11/'Output-Calculation-sheet'!G10*'Output-Calculation-sheet'!G46</f>
        <v>2235.533336469281</v>
      </c>
      <c r="H55" s="2">
        <f>H11/'Output-Calculation-sheet'!H10*'Output-Calculation-sheet'!H46</f>
        <v>405.55004117051305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919.91304625744988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300.58521968779769</v>
      </c>
      <c r="N55" s="2">
        <f>N11/'Output-Calculation-sheet'!N10*'Output-Calculation-sheet'!N46</f>
        <v>102.65483975306952</v>
      </c>
      <c r="O55" s="2">
        <f>O11/'Output-Calculation-sheet'!O10*'Output-Calculation-sheet'!O46</f>
        <v>0</v>
      </c>
      <c r="P55" s="2">
        <f>P11/'Output-Calculation-sheet'!P10*'Output-Calculation-sheet'!P46</f>
        <v>2232.6050757126113</v>
      </c>
      <c r="Q55" s="2">
        <f>Q11/'Output-Calculation-sheet'!Q10*'Output-Calculation-sheet'!Q46</f>
        <v>478.54294371386408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0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851.0433758904237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56.459256336930096</v>
      </c>
      <c r="X55" s="2">
        <f>X11/'Output-Calculation-sheet'!X10*'Output-Calculation-sheet'!X46</f>
        <v>28.688971340638595</v>
      </c>
      <c r="Y55" s="2">
        <f>Y11/'Output-Calculation-sheet'!Y10*'Output-Calculation-sheet'!Y46</f>
        <v>199.53750015251038</v>
      </c>
      <c r="AA55" s="2">
        <f t="shared" si="3"/>
        <v>29.552252589335129</v>
      </c>
    </row>
    <row r="56" spans="1:27" x14ac:dyDescent="0.25">
      <c r="A56" s="2">
        <v>2035</v>
      </c>
      <c r="B56" s="2">
        <f>B12/'Output-Calculation-sheet'!B11*'Output-Calculation-sheet'!B47</f>
        <v>1757.4899672520328</v>
      </c>
      <c r="C56" s="2">
        <f>C12/'Output-Calculation-sheet'!C11*'Output-Calculation-sheet'!C47</f>
        <v>201.55930132950843</v>
      </c>
      <c r="D56" s="2">
        <f>D12/'Output-Calculation-sheet'!D11*'Output-Calculation-sheet'!D47</f>
        <v>4960.8523844441743</v>
      </c>
      <c r="E56" s="2">
        <f>E12/'Output-Calculation-sheet'!E11*'Output-Calculation-sheet'!E47</f>
        <v>6501.0746526749963</v>
      </c>
      <c r="F56" s="2">
        <f>F12/'Output-Calculation-sheet'!F11*'Output-Calculation-sheet'!F47</f>
        <v>686.48903637372644</v>
      </c>
      <c r="G56" s="2">
        <f>G12/'Output-Calculation-sheet'!G11*'Output-Calculation-sheet'!G47</f>
        <v>1835.7357278916613</v>
      </c>
      <c r="H56" s="2">
        <f>H12/'Output-Calculation-sheet'!H11*'Output-Calculation-sheet'!H47</f>
        <v>78.273673120591098</v>
      </c>
      <c r="I56" s="2">
        <f>I12/'Output-Calculation-sheet'!I11*'Output-Calculation-sheet'!I47</f>
        <v>1169.883370747511</v>
      </c>
      <c r="J56" s="2">
        <f>J12/'Output-Calculation-sheet'!J11*'Output-Calculation-sheet'!J47</f>
        <v>1953.3438929519118</v>
      </c>
      <c r="K56" s="2">
        <f>K12/'Output-Calculation-sheet'!K11*'Output-Calculation-sheet'!K47</f>
        <v>2608.8472419105251</v>
      </c>
      <c r="L56" s="2">
        <f>L12/'Output-Calculation-sheet'!L11*'Output-Calculation-sheet'!L47</f>
        <v>2825.2491800428957</v>
      </c>
      <c r="M56" s="2">
        <f>M12/'Output-Calculation-sheet'!M11*'Output-Calculation-sheet'!M47</f>
        <v>59.771357614371894</v>
      </c>
      <c r="N56" s="2">
        <f>N12/'Output-Calculation-sheet'!N11*'Output-Calculation-sheet'!N47</f>
        <v>56.163329091599536</v>
      </c>
      <c r="O56" s="2">
        <f>O12/'Output-Calculation-sheet'!O11*'Output-Calculation-sheet'!O47</f>
        <v>36.747688292738019</v>
      </c>
      <c r="P56" s="2">
        <f>P12/'Output-Calculation-sheet'!P11*'Output-Calculation-sheet'!P47</f>
        <v>1334.6982068112372</v>
      </c>
      <c r="Q56" s="2">
        <f>Q12/'Output-Calculation-sheet'!Q11*'Output-Calculation-sheet'!Q47</f>
        <v>513.00415445637441</v>
      </c>
      <c r="R56" s="2">
        <f>R12/'Output-Calculation-sheet'!R11*'Output-Calculation-sheet'!R47</f>
        <v>2876.3178576892037</v>
      </c>
      <c r="S56" s="2">
        <f>S12/'Output-Calculation-sheet'!S11*'Output-Calculation-sheet'!S47</f>
        <v>24.053555641101084</v>
      </c>
      <c r="T56" s="2">
        <f>T12/'Output-Calculation-sheet'!T11*'Output-Calculation-sheet'!T47</f>
        <v>967.63547411370223</v>
      </c>
      <c r="U56" s="2">
        <f>U12/'Output-Calculation-sheet'!U11*'Output-Calculation-sheet'!U47</f>
        <v>678.35722469929726</v>
      </c>
      <c r="V56" s="2">
        <f>V12/'Output-Calculation-sheet'!V11*'Output-Calculation-sheet'!V47</f>
        <v>670.29558486523081</v>
      </c>
      <c r="W56" s="2">
        <f>W12/'Output-Calculation-sheet'!W11*'Output-Calculation-sheet'!W47</f>
        <v>237.25699272984798</v>
      </c>
      <c r="X56" s="2">
        <f>X12/'Output-Calculation-sheet'!X11*'Output-Calculation-sheet'!X47</f>
        <v>6.1247097889888247</v>
      </c>
      <c r="Y56" s="2">
        <f>Y12/'Output-Calculation-sheet'!Y11*'Output-Calculation-sheet'!Y47</f>
        <v>189.34339178124171</v>
      </c>
      <c r="AA56" s="2">
        <f t="shared" si="3"/>
        <v>32.228567956314464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7.043436261815569</v>
      </c>
      <c r="C63" s="2">
        <f>C8*'Output-Calculation-sheet'!C52/10^9</f>
        <v>3.7629658982780478</v>
      </c>
      <c r="D63" s="2">
        <f>D8*'Output-Calculation-sheet'!D52/10^9</f>
        <v>2.4153452365564503</v>
      </c>
      <c r="E63" s="2">
        <f>E8*'Output-Calculation-sheet'!E52/10^9</f>
        <v>2.4015010531692944</v>
      </c>
      <c r="F63" s="2">
        <f>F8*'Output-Calculation-sheet'!F52/10^9</f>
        <v>1.0170354974861222</v>
      </c>
      <c r="G63" s="2">
        <f>G8*'Output-Calculation-sheet'!G52/10^9</f>
        <v>0.73120257695218749</v>
      </c>
      <c r="H63" s="2">
        <f>H8*'Output-Calculation-sheet'!H52/10^9</f>
        <v>1.1892307466317182</v>
      </c>
      <c r="I63" s="2">
        <f>I8*'Output-Calculation-sheet'!I52/10^9</f>
        <v>0.68018815436307944</v>
      </c>
      <c r="J63" s="2">
        <f>J8*'Output-Calculation-sheet'!J52/10^9</f>
        <v>0.93598500487055603</v>
      </c>
      <c r="K63" s="2">
        <f>K8*'Output-Calculation-sheet'!K52/10^9</f>
        <v>0.82234607520752956</v>
      </c>
      <c r="L63" s="2">
        <f>L8*'Output-Calculation-sheet'!L52/10^9</f>
        <v>1.1060950376767906</v>
      </c>
      <c r="M63" s="2">
        <f>M8*'Output-Calculation-sheet'!M52/10^9</f>
        <v>0.97425702866384478</v>
      </c>
      <c r="N63" s="2">
        <f>N8*'Output-Calculation-sheet'!N52/10^9</f>
        <v>0.8596405996453198</v>
      </c>
      <c r="O63" s="2">
        <f>O8*'Output-Calculation-sheet'!O52/10^9</f>
        <v>0.76987033843066099</v>
      </c>
      <c r="P63" s="2">
        <f>P8*'Output-Calculation-sheet'!P52/10^9</f>
        <v>0.56821895518741461</v>
      </c>
      <c r="Q63" s="2">
        <f>Q8*'Output-Calculation-sheet'!Q52/10^9</f>
        <v>0.64305734303383233</v>
      </c>
      <c r="R63" s="2">
        <f>R8*'Output-Calculation-sheet'!R52/10^9</f>
        <v>0.57733784699616597</v>
      </c>
      <c r="S63" s="2">
        <f>S8*'Output-Calculation-sheet'!S52/10^9</f>
        <v>0.42782780071987003</v>
      </c>
      <c r="T63" s="2">
        <f>T8*'Output-Calculation-sheet'!T52/10^9</f>
        <v>0.21949560218054848</v>
      </c>
      <c r="U63" s="2">
        <f>U8*'Output-Calculation-sheet'!U52/10^9</f>
        <v>0.1507472275367156</v>
      </c>
      <c r="V63" s="2">
        <f>V8*'Output-Calculation-sheet'!V52/10^9</f>
        <v>0.26754070451463208</v>
      </c>
      <c r="W63" s="2">
        <f>W8*'Output-Calculation-sheet'!W52/10^9</f>
        <v>9.6837200625541034E-2</v>
      </c>
      <c r="X63" s="2">
        <f>X8*'Output-Calculation-sheet'!X52/10^9</f>
        <v>9.9779256576993644E-2</v>
      </c>
      <c r="Y63" s="2">
        <f>Y8*'Output-Calculation-sheet'!Y52/10^9</f>
        <v>6.3183579633665651E-2</v>
      </c>
      <c r="AA63" s="2">
        <f t="shared" si="4"/>
        <v>27.823125026752557</v>
      </c>
    </row>
    <row r="64" spans="1:27" x14ac:dyDescent="0.25">
      <c r="A64" s="2">
        <v>2032</v>
      </c>
      <c r="B64" s="2">
        <f>B9*'Output-Calculation-sheet'!B53/10^9</f>
        <v>6.8762280682467853</v>
      </c>
      <c r="C64" s="2">
        <f>C9*'Output-Calculation-sheet'!C53/10^9</f>
        <v>3.6453008694388962</v>
      </c>
      <c r="D64" s="2">
        <f>D9*'Output-Calculation-sheet'!D53/10^9</f>
        <v>2.036514659230289</v>
      </c>
      <c r="E64" s="2">
        <f>E9*'Output-Calculation-sheet'!E53/10^9</f>
        <v>2.0854806134210198</v>
      </c>
      <c r="F64" s="2">
        <f>F9*'Output-Calculation-sheet'!F53/10^9</f>
        <v>0.87964264570384243</v>
      </c>
      <c r="G64" s="2">
        <f>G9*'Output-Calculation-sheet'!G53/10^9</f>
        <v>0.62610272597498662</v>
      </c>
      <c r="H64" s="2">
        <f>H9*'Output-Calculation-sheet'!H53/10^9</f>
        <v>1.1440506342734094</v>
      </c>
      <c r="I64" s="2">
        <f>I9*'Output-Calculation-sheet'!I53/10^9</f>
        <v>0.58530372083946891</v>
      </c>
      <c r="J64" s="2">
        <f>J9*'Output-Calculation-sheet'!J53/10^9</f>
        <v>0.77482320143591443</v>
      </c>
      <c r="K64" s="2">
        <f>K9*'Output-Calculation-sheet'!K53/10^9</f>
        <v>0.7189305135155275</v>
      </c>
      <c r="L64" s="2">
        <f>L9*'Output-Calculation-sheet'!L53/10^9</f>
        <v>0.92490195680565079</v>
      </c>
      <c r="M64" s="2">
        <f>M9*'Output-Calculation-sheet'!M53/10^9</f>
        <v>0.90767037171250098</v>
      </c>
      <c r="N64" s="2">
        <f>N9*'Output-Calculation-sheet'!N53/10^9</f>
        <v>0.81719660946479622</v>
      </c>
      <c r="O64" s="2">
        <f>O9*'Output-Calculation-sheet'!O53/10^9</f>
        <v>0.73820072472377063</v>
      </c>
      <c r="P64" s="2">
        <f>P9*'Output-Calculation-sheet'!P53/10^9</f>
        <v>0.5481399078465099</v>
      </c>
      <c r="Q64" s="2">
        <f>Q9*'Output-Calculation-sheet'!Q53/10^9</f>
        <v>0.60577240672379784</v>
      </c>
      <c r="R64" s="2">
        <f>R9*'Output-Calculation-sheet'!R53/10^9</f>
        <v>0.51929000680366044</v>
      </c>
      <c r="S64" s="2">
        <f>S9*'Output-Calculation-sheet'!S53/10^9</f>
        <v>0.41785813753270384</v>
      </c>
      <c r="T64" s="2">
        <f>T9*'Output-Calculation-sheet'!T53/10^9</f>
        <v>0.18667049909332992</v>
      </c>
      <c r="U64" s="2">
        <f>U9*'Output-Calculation-sheet'!U53/10^9</f>
        <v>0.1405029926692539</v>
      </c>
      <c r="V64" s="2">
        <f>V9*'Output-Calculation-sheet'!V53/10^9</f>
        <v>0.22156525937733257</v>
      </c>
      <c r="W64" s="2">
        <f>W9*'Output-Calculation-sheet'!W53/10^9</f>
        <v>8.2329514473422197E-2</v>
      </c>
      <c r="X64" s="2">
        <f>X9*'Output-Calculation-sheet'!X53/10^9</f>
        <v>9.4389610474505226E-2</v>
      </c>
      <c r="Y64" s="2">
        <f>Y9*'Output-Calculation-sheet'!Y53/10^9</f>
        <v>5.7682774658087223E-2</v>
      </c>
      <c r="AA64" s="2">
        <f t="shared" si="4"/>
        <v>25.634548424439469</v>
      </c>
    </row>
    <row r="65" spans="1:27" x14ac:dyDescent="0.25">
      <c r="A65" s="2">
        <v>2033</v>
      </c>
      <c r="B65" s="2">
        <f>B10*'Output-Calculation-sheet'!B54/10^9</f>
        <v>6.3653142538378562</v>
      </c>
      <c r="C65" s="2">
        <f>C10*'Output-Calculation-sheet'!C54/10^9</f>
        <v>3.2903450123945275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1.0332793861812684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0.60202819814409614</v>
      </c>
      <c r="L65" s="2">
        <f>L10*'Output-Calculation-sheet'!L54/10^9</f>
        <v>0.71105353400536586</v>
      </c>
      <c r="M65" s="2">
        <f>M10*'Output-Calculation-sheet'!M54/10^9</f>
        <v>0.78794133652135256</v>
      </c>
      <c r="N65" s="2">
        <f>N10*'Output-Calculation-sheet'!N54/10^9</f>
        <v>0.72303273002915058</v>
      </c>
      <c r="O65" s="2">
        <f>O10*'Output-Calculation-sheet'!O54/10^9</f>
        <v>0.65939969014862565</v>
      </c>
      <c r="P65" s="2">
        <f>P10*'Output-Calculation-sheet'!P54/10^9</f>
        <v>0.50933490017041416</v>
      </c>
      <c r="Q65" s="2">
        <f>Q10*'Output-Calculation-sheet'!Q54/10^9</f>
        <v>0.55483708021068612</v>
      </c>
      <c r="R65" s="2">
        <f>R10*'Output-Calculation-sheet'!R54/10^9</f>
        <v>0.44841376831027313</v>
      </c>
      <c r="S65" s="2">
        <f>S10*'Output-Calculation-sheet'!S54/10^9</f>
        <v>0.38139871986657065</v>
      </c>
      <c r="T65" s="2">
        <f>T10*'Output-Calculation-sheet'!T54/10^9</f>
        <v>0.14992659359753949</v>
      </c>
      <c r="U65" s="2">
        <f>U10*'Output-Calculation-sheet'!U54/10^9</f>
        <v>0.12945628065014156</v>
      </c>
      <c r="V65" s="2">
        <f>V10*'Output-Calculation-sheet'!V54/10^9</f>
        <v>0.16592010007026908</v>
      </c>
      <c r="W65" s="2">
        <f>W10*'Output-Calculation-sheet'!W54/10^9</f>
        <v>6.3169597902345151E-2</v>
      </c>
      <c r="X65" s="2">
        <f>X10*'Output-Calculation-sheet'!X54/10^9</f>
        <v>8.2616205535479645E-2</v>
      </c>
      <c r="Y65" s="2">
        <f>Y10*'Output-Calculation-sheet'!Y54/10^9</f>
        <v>5.1993028952147323E-2</v>
      </c>
      <c r="AA65" s="2">
        <f t="shared" si="4"/>
        <v>22.220693856983551</v>
      </c>
    </row>
    <row r="66" spans="1:27" x14ac:dyDescent="0.25">
      <c r="A66" s="2">
        <v>2034</v>
      </c>
      <c r="B66" s="2">
        <f>B11*'Output-Calculation-sheet'!B55/10^9</f>
        <v>5.5336518331831996</v>
      </c>
      <c r="C66" s="2">
        <f>C11*'Output-Calculation-sheet'!C55/10^9</f>
        <v>2.7836373097125739</v>
      </c>
      <c r="D66" s="2">
        <f>D11*'Output-Calculation-sheet'!D55/10^9</f>
        <v>1.248854115412517</v>
      </c>
      <c r="E66" s="2">
        <f>E11*'Output-Calculation-sheet'!E55/10^9</f>
        <v>1.5122737624516469</v>
      </c>
      <c r="F66" s="2">
        <f>F11*'Output-Calculation-sheet'!F55/10^9</f>
        <v>0.58118928921185919</v>
      </c>
      <c r="G66" s="2">
        <f>G11*'Output-Calculation-sheet'!G55/10^9</f>
        <v>0.41544883010240824</v>
      </c>
      <c r="H66" s="2">
        <f>H11*'Output-Calculation-sheet'!H55/10^9</f>
        <v>0.86688275750426214</v>
      </c>
      <c r="I66" s="2">
        <f>I11*'Output-Calculation-sheet'!I55/10^9</f>
        <v>0.40623411656476877</v>
      </c>
      <c r="J66" s="2">
        <f>J11*'Output-Calculation-sheet'!J55/10^9</f>
        <v>0.41774499419470185</v>
      </c>
      <c r="K66" s="2">
        <f>K11*'Output-Calculation-sheet'!K55/10^9</f>
        <v>0.49965246758046972</v>
      </c>
      <c r="L66" s="2">
        <f>L11*'Output-Calculation-sheet'!L55/10^9</f>
        <v>0.52914001163507562</v>
      </c>
      <c r="M66" s="2">
        <f>M11*'Output-Calculation-sheet'!M55/10^9</f>
        <v>0.63189763317882541</v>
      </c>
      <c r="N66" s="2">
        <f>N11*'Output-Calculation-sheet'!N55/10^9</f>
        <v>0.59696060859281852</v>
      </c>
      <c r="O66" s="2">
        <f>O11*'Output-Calculation-sheet'!O55/10^9</f>
        <v>0.54866428503831632</v>
      </c>
      <c r="P66" s="2">
        <f>P11*'Output-Calculation-sheet'!P55/10^9</f>
        <v>0.45812938297564126</v>
      </c>
      <c r="Q66" s="2">
        <f>Q11*'Output-Calculation-sheet'!Q55/10^9</f>
        <v>0.48462637638406236</v>
      </c>
      <c r="R66" s="2">
        <f>R11*'Output-Calculation-sheet'!R55/10^9</f>
        <v>0.37432061126800276</v>
      </c>
      <c r="S66" s="2">
        <f>S11*'Output-Calculation-sheet'!S55/10^9</f>
        <v>0.32649768430571502</v>
      </c>
      <c r="T66" s="2">
        <f>T11*'Output-Calculation-sheet'!T55/10^9</f>
        <v>0.1173210847590891</v>
      </c>
      <c r="U66" s="2">
        <f>U11*'Output-Calculation-sheet'!U55/10^9</f>
        <v>0.11916342397524797</v>
      </c>
      <c r="V66" s="2">
        <f>V11*'Output-Calculation-sheet'!V55/10^9</f>
        <v>0.11129539467230611</v>
      </c>
      <c r="W66" s="2">
        <f>W11*'Output-Calculation-sheet'!W55/10^9</f>
        <v>5.0395278934126569E-2</v>
      </c>
      <c r="X66" s="2">
        <f>X11*'Output-Calculation-sheet'!X55/10^9</f>
        <v>6.7513118792346061E-2</v>
      </c>
      <c r="Y66" s="2">
        <f>Y11*'Output-Calculation-sheet'!Y55/10^9</f>
        <v>4.9269181526178908E-2</v>
      </c>
      <c r="AA66" s="2">
        <f t="shared" si="4"/>
        <v>18.730763551956162</v>
      </c>
    </row>
    <row r="67" spans="1:27" x14ac:dyDescent="0.25">
      <c r="A67" s="2">
        <v>2035</v>
      </c>
      <c r="B67" s="2">
        <f>B12*'Output-Calculation-sheet'!B56/10^9</f>
        <v>4.6048601066315671</v>
      </c>
      <c r="C67" s="2">
        <f>C12*'Output-Calculation-sheet'!C56/10^9</f>
        <v>2.1612991766917644</v>
      </c>
      <c r="D67" s="2">
        <f>D12*'Output-Calculation-sheet'!D56/10^9</f>
        <v>1.06254651683043</v>
      </c>
      <c r="E67" s="2">
        <f>E12*'Output-Calculation-sheet'!E56/10^9</f>
        <v>1.420432086291165</v>
      </c>
      <c r="F67" s="2">
        <f>F12*'Output-Calculation-sheet'!F56/10^9</f>
        <v>0.52690971598946457</v>
      </c>
      <c r="G67" s="2">
        <f>G12*'Output-Calculation-sheet'!G56/10^9</f>
        <v>0.36910863413398409</v>
      </c>
      <c r="H67" s="2">
        <f>H12*'Output-Calculation-sheet'!H56/10^9</f>
        <v>0.68044211704302393</v>
      </c>
      <c r="I67" s="2">
        <f>I12*'Output-Calculation-sheet'!I56/10^9</f>
        <v>0.35855639202177103</v>
      </c>
      <c r="J67" s="2">
        <f>J12*'Output-Calculation-sheet'!J56/10^9</f>
        <v>0.35498552087842422</v>
      </c>
      <c r="K67" s="2">
        <f>K12*'Output-Calculation-sheet'!K56/10^9</f>
        <v>0.4277639121104766</v>
      </c>
      <c r="L67" s="2">
        <f>L12*'Output-Calculation-sheet'!L56/10^9</f>
        <v>0.42969414147549589</v>
      </c>
      <c r="M67" s="2">
        <f>M12*'Output-Calculation-sheet'!M56/10^9</f>
        <v>0.47334385328859852</v>
      </c>
      <c r="N67" s="2">
        <f>N12*'Output-Calculation-sheet'!N56/10^9</f>
        <v>0.46173805220467551</v>
      </c>
      <c r="O67" s="2">
        <f>O12*'Output-Calculation-sheet'!O56/10^9</f>
        <v>0.42013539650081294</v>
      </c>
      <c r="P67" s="2">
        <f>P12*'Output-Calculation-sheet'!P56/10^9</f>
        <v>0.40156515283911359</v>
      </c>
      <c r="Q67" s="2">
        <f>Q12*'Output-Calculation-sheet'!Q56/10^9</f>
        <v>0.40757512128637768</v>
      </c>
      <c r="R67" s="2">
        <f>R12*'Output-Calculation-sheet'!R56/10^9</f>
        <v>0.32446596008880879</v>
      </c>
      <c r="S67" s="2">
        <f>S12*'Output-Calculation-sheet'!S56/10^9</f>
        <v>0.26381687561088962</v>
      </c>
      <c r="T67" s="2">
        <f>T12*'Output-Calculation-sheet'!T56/10^9</f>
        <v>9.8335125866243558E-2</v>
      </c>
      <c r="U67" s="2">
        <f>U12*'Output-Calculation-sheet'!U56/10^9</f>
        <v>0.10281739262529606</v>
      </c>
      <c r="V67" s="2">
        <f>V12*'Output-Calculation-sheet'!V56/10^9</f>
        <v>7.8871007049854114E-2</v>
      </c>
      <c r="W67" s="2">
        <f>W12*'Output-Calculation-sheet'!W56/10^9</f>
        <v>4.7619845407864514E-2</v>
      </c>
      <c r="X67" s="2">
        <f>X12*'Output-Calculation-sheet'!X56/10^9</f>
        <v>5.0601365336954474E-2</v>
      </c>
      <c r="Y67" s="2">
        <f>Y12*'Output-Calculation-sheet'!Y56/10^9</f>
        <v>4.5740306585811137E-2</v>
      </c>
      <c r="AA67" s="2">
        <f t="shared" si="4"/>
        <v>15.573223774788863</v>
      </c>
    </row>
    <row r="68" spans="1:27" x14ac:dyDescent="0.25">
      <c r="B68" s="2">
        <f>SUM(B60:B67)</f>
        <v>30.423490523714975</v>
      </c>
      <c r="C68" s="2">
        <f t="shared" ref="C68:Y68" si="5">SUM(C60:C67)</f>
        <v>15.643548266515809</v>
      </c>
      <c r="D68" s="2">
        <f t="shared" si="5"/>
        <v>8.3079468701709001</v>
      </c>
      <c r="E68" s="2">
        <f t="shared" si="5"/>
        <v>9.1589780087232633</v>
      </c>
      <c r="F68" s="2">
        <f t="shared" si="5"/>
        <v>3.7108985911256047</v>
      </c>
      <c r="G68" s="2">
        <f t="shared" si="5"/>
        <v>2.6266794147533927</v>
      </c>
      <c r="H68" s="2">
        <f t="shared" si="5"/>
        <v>4.9138856416336818</v>
      </c>
      <c r="I68" s="2">
        <f t="shared" si="5"/>
        <v>2.5023616054816569</v>
      </c>
      <c r="J68" s="2">
        <f t="shared" si="5"/>
        <v>3.0477780142869739</v>
      </c>
      <c r="K68" s="2">
        <f t="shared" si="5"/>
        <v>3.0707211665580996</v>
      </c>
      <c r="L68" s="2">
        <f t="shared" si="5"/>
        <v>3.7008846815983785</v>
      </c>
      <c r="M68" s="2">
        <f t="shared" si="5"/>
        <v>3.7751102233651226</v>
      </c>
      <c r="N68" s="2">
        <f t="shared" si="5"/>
        <v>3.4585685999367608</v>
      </c>
      <c r="O68" s="2">
        <f t="shared" si="5"/>
        <v>3.1362704348421859</v>
      </c>
      <c r="P68" s="2">
        <f t="shared" si="5"/>
        <v>2.4853882990190934</v>
      </c>
      <c r="Q68" s="2">
        <f t="shared" si="5"/>
        <v>2.6958683276387565</v>
      </c>
      <c r="R68" s="2">
        <f t="shared" si="5"/>
        <v>2.2438281934669111</v>
      </c>
      <c r="S68" s="2">
        <f t="shared" si="5"/>
        <v>1.8173992180357492</v>
      </c>
      <c r="T68" s="2">
        <f t="shared" si="5"/>
        <v>0.77174890549675057</v>
      </c>
      <c r="U68" s="2">
        <f t="shared" si="5"/>
        <v>0.64268731745665508</v>
      </c>
      <c r="V68" s="2">
        <f t="shared" si="5"/>
        <v>0.84519246568439388</v>
      </c>
      <c r="W68" s="2">
        <f t="shared" si="5"/>
        <v>0.34035143734329948</v>
      </c>
      <c r="X68" s="2">
        <f t="shared" si="5"/>
        <v>0.39489955671627908</v>
      </c>
      <c r="Y68" s="2">
        <f t="shared" si="5"/>
        <v>0.26786887135589027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47.094667729739669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4.7094667729739671E-2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400.18069980549433</v>
      </c>
      <c r="Q76" s="2">
        <f>Q10/'Output-Calculation-sheet'!Q9*'Output-Calculation-sheet'!Q63</f>
        <v>47.536667412587079</v>
      </c>
      <c r="R76" s="2">
        <f>R10/'Output-Calculation-sheet'!R9*'Output-Calculation-sheet'!R63</f>
        <v>305.03730155419527</v>
      </c>
      <c r="S76" s="2">
        <f>S10/'Output-Calculation-sheet'!S9*'Output-Calculation-sheet'!S63</f>
        <v>0</v>
      </c>
      <c r="T76" s="2">
        <f>T10/'Output-Calculation-sheet'!T9*'Output-Calculation-sheet'!T63</f>
        <v>20.038555343144264</v>
      </c>
      <c r="U76" s="2">
        <f>U10/'Output-Calculation-sheet'!U9*'Output-Calculation-sheet'!U63</f>
        <v>108.23401907338625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5.1403503920165692</v>
      </c>
      <c r="AA76" s="2">
        <f t="shared" si="6"/>
        <v>0.97031866354899765</v>
      </c>
    </row>
    <row r="77" spans="1:27" x14ac:dyDescent="0.25">
      <c r="A77" s="2">
        <v>2034</v>
      </c>
      <c r="B77" s="2">
        <f>B11/'Output-Calculation-sheet'!B10*'Output-Calculation-sheet'!B64</f>
        <v>360.07262302455871</v>
      </c>
      <c r="C77" s="2">
        <f>C11/'Output-Calculation-sheet'!C10*'Output-Calculation-sheet'!C64</f>
        <v>0</v>
      </c>
      <c r="D77" s="2">
        <f>D11/'Output-Calculation-sheet'!D10*'Output-Calculation-sheet'!D64</f>
        <v>1211.1112873195577</v>
      </c>
      <c r="E77" s="2">
        <f>E11/'Output-Calculation-sheet'!E10*'Output-Calculation-sheet'!E64</f>
        <v>1501.7439099969545</v>
      </c>
      <c r="F77" s="2">
        <f>F11/'Output-Calculation-sheet'!F10*'Output-Calculation-sheet'!F64</f>
        <v>94.084369270081083</v>
      </c>
      <c r="G77" s="2">
        <f>G11/'Output-Calculation-sheet'!G10*'Output-Calculation-sheet'!G64</f>
        <v>606.74934431465988</v>
      </c>
      <c r="H77" s="2">
        <f>H11/'Output-Calculation-sheet'!H10*'Output-Calculation-sheet'!H64</f>
        <v>99.297189508995103</v>
      </c>
      <c r="I77" s="2">
        <f>I11/'Output-Calculation-sheet'!I10*'Output-Calculation-sheet'!I64</f>
        <v>375.41907844233083</v>
      </c>
      <c r="J77" s="2">
        <f>J11/'Output-Calculation-sheet'!J10*'Output-Calculation-sheet'!J64</f>
        <v>263.82871929545405</v>
      </c>
      <c r="K77" s="2">
        <f>K11/'Output-Calculation-sheet'!K10*'Output-Calculation-sheet'!K64</f>
        <v>575.60074619822319</v>
      </c>
      <c r="L77" s="2">
        <f>L11/'Output-Calculation-sheet'!L10*'Output-Calculation-sheet'!L64</f>
        <v>238.00538468947585</v>
      </c>
      <c r="M77" s="2">
        <f>M11/'Output-Calculation-sheet'!M10*'Output-Calculation-sheet'!M64</f>
        <v>71.515363037444843</v>
      </c>
      <c r="N77" s="2">
        <f>N11/'Output-Calculation-sheet'!N10*'Output-Calculation-sheet'!N64</f>
        <v>23.652145253945783</v>
      </c>
      <c r="O77" s="2">
        <f>O11/'Output-Calculation-sheet'!O10*'Output-Calculation-sheet'!O64</f>
        <v>0</v>
      </c>
      <c r="P77" s="2">
        <f>P11/'Output-Calculation-sheet'!P10*'Output-Calculation-sheet'!P64</f>
        <v>487.01774923310711</v>
      </c>
      <c r="Q77" s="2">
        <f>Q11/'Output-Calculation-sheet'!Q10*'Output-Calculation-sheet'!Q64</f>
        <v>117.46959103977557</v>
      </c>
      <c r="R77" s="2">
        <f>R11/'Output-Calculation-sheet'!R10*'Output-Calculation-sheet'!R64</f>
        <v>605.55241474753529</v>
      </c>
      <c r="S77" s="2">
        <f>S11/'Output-Calculation-sheet'!S10*'Output-Calculation-sheet'!S64</f>
        <v>0</v>
      </c>
      <c r="T77" s="2">
        <f>T11/'Output-Calculation-sheet'!T10*'Output-Calculation-sheet'!T64</f>
        <v>167.9054212572631</v>
      </c>
      <c r="U77" s="2">
        <f>U11/'Output-Calculation-sheet'!U10*'Output-Calculation-sheet'!U64</f>
        <v>184.15549077983908</v>
      </c>
      <c r="V77" s="2">
        <f>V11/'Output-Calculation-sheet'!V10*'Output-Calculation-sheet'!V64</f>
        <v>86.776755972334627</v>
      </c>
      <c r="W77" s="2">
        <f>W11/'Output-Calculation-sheet'!W10*'Output-Calculation-sheet'!W64</f>
        <v>19.040372263367555</v>
      </c>
      <c r="X77" s="2">
        <f>X11/'Output-Calculation-sheet'!X10*'Output-Calculation-sheet'!X64</f>
        <v>7.1292968445247293</v>
      </c>
      <c r="Y77" s="2">
        <f>Y11/'Output-Calculation-sheet'!Y10*'Output-Calculation-sheet'!Y64</f>
        <v>40.184438498353344</v>
      </c>
      <c r="AA77" s="2">
        <f t="shared" si="6"/>
        <v>7.1363116909877817</v>
      </c>
    </row>
    <row r="78" spans="1:27" x14ac:dyDescent="0.25">
      <c r="A78" s="2">
        <v>2035</v>
      </c>
      <c r="B78" s="2">
        <f>B12/'Output-Calculation-sheet'!B11*'Output-Calculation-sheet'!B65</f>
        <v>354.2877637701709</v>
      </c>
      <c r="C78" s="2">
        <f>C12/'Output-Calculation-sheet'!C11*'Output-Calculation-sheet'!C65</f>
        <v>36.218655992748594</v>
      </c>
      <c r="D78" s="2">
        <f>D12/'Output-Calculation-sheet'!D11*'Output-Calculation-sheet'!D65</f>
        <v>1126.132719378845</v>
      </c>
      <c r="E78" s="2">
        <f>E12/'Output-Calculation-sheet'!E11*'Output-Calculation-sheet'!E65</f>
        <v>1051.4473139985387</v>
      </c>
      <c r="F78" s="2">
        <f>F12/'Output-Calculation-sheet'!F11*'Output-Calculation-sheet'!F65</f>
        <v>248.73969148351057</v>
      </c>
      <c r="G78" s="2">
        <f>G12/'Output-Calculation-sheet'!G11*'Output-Calculation-sheet'!G65</f>
        <v>492.4432529060403</v>
      </c>
      <c r="H78" s="2">
        <f>H12/'Output-Calculation-sheet'!H11*'Output-Calculation-sheet'!H65</f>
        <v>14.230535596119172</v>
      </c>
      <c r="I78" s="2">
        <f>I12/'Output-Calculation-sheet'!I11*'Output-Calculation-sheet'!I65</f>
        <v>326.5782605958529</v>
      </c>
      <c r="J78" s="2">
        <f>J12/'Output-Calculation-sheet'!J11*'Output-Calculation-sheet'!J65</f>
        <v>476.51854967725006</v>
      </c>
      <c r="K78" s="2">
        <f>K12/'Output-Calculation-sheet'!K11*'Output-Calculation-sheet'!K65</f>
        <v>594.85462705923987</v>
      </c>
      <c r="L78" s="2">
        <f>L12/'Output-Calculation-sheet'!L11*'Output-Calculation-sheet'!L65</f>
        <v>501.86925750768364</v>
      </c>
      <c r="M78" s="2">
        <f>M12/'Output-Calculation-sheet'!M11*'Output-Calculation-sheet'!M65</f>
        <v>11.89515699336566</v>
      </c>
      <c r="N78" s="2">
        <f>N12/'Output-Calculation-sheet'!N11*'Output-Calculation-sheet'!N65</f>
        <v>9.6555737152075203</v>
      </c>
      <c r="O78" s="2">
        <f>O12/'Output-Calculation-sheet'!O11*'Output-Calculation-sheet'!O65</f>
        <v>6.582053152236977</v>
      </c>
      <c r="P78" s="2">
        <f>P12/'Output-Calculation-sheet'!P11*'Output-Calculation-sheet'!P65</f>
        <v>275.34919427299155</v>
      </c>
      <c r="Q78" s="2">
        <f>Q12/'Output-Calculation-sheet'!Q11*'Output-Calculation-sheet'!Q65</f>
        <v>104.22638099040125</v>
      </c>
      <c r="R78" s="2">
        <f>R12/'Output-Calculation-sheet'!R11*'Output-Calculation-sheet'!R65</f>
        <v>631.64680548687249</v>
      </c>
      <c r="S78" s="2">
        <f>S12/'Output-Calculation-sheet'!S11*'Output-Calculation-sheet'!S65</f>
        <v>3.7575354458421599</v>
      </c>
      <c r="T78" s="2">
        <f>T12/'Output-Calculation-sheet'!T11*'Output-Calculation-sheet'!T65</f>
        <v>217.57936265420022</v>
      </c>
      <c r="U78" s="2">
        <f>U12/'Output-Calculation-sheet'!U11*'Output-Calculation-sheet'!U65</f>
        <v>149.07906089257534</v>
      </c>
      <c r="V78" s="2">
        <f>V12/'Output-Calculation-sheet'!V11*'Output-Calculation-sheet'!V65</f>
        <v>122.90315530930724</v>
      </c>
      <c r="W78" s="2">
        <f>W12/'Output-Calculation-sheet'!W11*'Output-Calculation-sheet'!W65</f>
        <v>58.116516081022333</v>
      </c>
      <c r="X78" s="2">
        <f>X12/'Output-Calculation-sheet'!X11*'Output-Calculation-sheet'!X65</f>
        <v>1.2743719685653689</v>
      </c>
      <c r="Y78" s="2">
        <f>Y12/'Output-Calculation-sheet'!Y11*'Output-Calculation-sheet'!Y65</f>
        <v>32.750426781205427</v>
      </c>
      <c r="AA78" s="2">
        <f t="shared" si="6"/>
        <v>6.8481362217097939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1.1961120045314506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0.87623513605191627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2.072347140583367E-3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16.481237157621841</v>
      </c>
      <c r="E89" s="2">
        <f>E12/'Output-Calculation-sheet'!E11*'Output-Calculation-sheet'!E74</f>
        <v>37.111574578735706</v>
      </c>
      <c r="F89" s="2">
        <f>F12/'Output-Calculation-sheet'!F11*'Output-Calculation-sheet'!F74</f>
        <v>16.475736872969435</v>
      </c>
      <c r="G89" s="2">
        <f>G12/'Output-Calculation-sheet'!G11*'Output-Calculation-sheet'!G74</f>
        <v>11.824384720719236</v>
      </c>
      <c r="H89" s="2">
        <f>H12/'Output-Calculation-sheet'!H11*'Output-Calculation-sheet'!H74</f>
        <v>1.9091139785510025</v>
      </c>
      <c r="I89" s="2">
        <f>I12/'Output-Calculation-sheet'!I11*'Output-Calculation-sheet'!I74</f>
        <v>10.635303370431918</v>
      </c>
      <c r="J89" s="2">
        <f>J12/'Output-Calculation-sheet'!J11*'Output-Calculation-sheet'!J74</f>
        <v>5.2627136765655465</v>
      </c>
      <c r="K89" s="2">
        <f>K12/'Output-Calculation-sheet'!K11*'Output-Calculation-sheet'!K74</f>
        <v>7.8396077386292902</v>
      </c>
      <c r="L89" s="2">
        <f>L12/'Output-Calculation-sheet'!L11*'Output-Calculation-sheet'!L74</f>
        <v>4.155796783588471</v>
      </c>
      <c r="M89" s="2">
        <f>M12/'Output-Calculation-sheet'!M11*'Output-Calculation-sheet'!M74</f>
        <v>1.3136562113048769</v>
      </c>
      <c r="N89" s="2">
        <f>N12/'Output-Calculation-sheet'!N11*'Output-Calculation-sheet'!N74</f>
        <v>0.64555550679999463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12.523977811901691</v>
      </c>
      <c r="Q89" s="2">
        <f>Q12/'Output-Calculation-sheet'!Q11*'Output-Calculation-sheet'!Q74</f>
        <v>2.8280273123284143</v>
      </c>
      <c r="R89" s="2">
        <f>R12/'Output-Calculation-sheet'!R11*'Output-Calculation-sheet'!R74</f>
        <v>6.7308530211135817</v>
      </c>
      <c r="S89" s="2">
        <f>S12/'Output-Calculation-sheet'!S11*'Output-Calculation-sheet'!S74</f>
        <v>0.7401094043415718</v>
      </c>
      <c r="T89" s="2">
        <f>T12/'Output-Calculation-sheet'!T11*'Output-Calculation-sheet'!T74</f>
        <v>1.4525945354484056</v>
      </c>
      <c r="U89" s="2">
        <f>U12/'Output-Calculation-sheet'!U11*'Output-Calculation-sheet'!U74</f>
        <v>3.6092430151598687</v>
      </c>
      <c r="V89" s="2">
        <f>V12/'Output-Calculation-sheet'!V11*'Output-Calculation-sheet'!V74</f>
        <v>0.27830416643771261</v>
      </c>
      <c r="W89" s="2">
        <f>W12/'Output-Calculation-sheet'!W11*'Output-Calculation-sheet'!W74</f>
        <v>1.6869466217459987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1.7383712062177901</v>
      </c>
      <c r="AA89" s="2">
        <f t="shared" si="7"/>
        <v>0.16208533645281351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8040304598.8762989</v>
      </c>
      <c r="C96" s="2">
        <f>C8/'Output-Calculation-sheet'!C7*'Output-Calculation-sheet'!C79</f>
        <v>1941602042.2001133</v>
      </c>
      <c r="D96" s="2">
        <f>D8/'Output-Calculation-sheet'!D7*'Output-Calculation-sheet'!D79</f>
        <v>1576284201.126498</v>
      </c>
      <c r="E96" s="2">
        <f>E8/'Output-Calculation-sheet'!E7*'Output-Calculation-sheet'!E79</f>
        <v>5905771821.4751596</v>
      </c>
      <c r="F96" s="2">
        <f>F8/'Output-Calculation-sheet'!F7*'Output-Calculation-sheet'!F79</f>
        <v>1722803397.6685812</v>
      </c>
      <c r="G96" s="2">
        <f>G8/'Output-Calculation-sheet'!G7*'Output-Calculation-sheet'!G79</f>
        <v>1105794228.8554704</v>
      </c>
      <c r="H96" s="2">
        <f>H8/'Output-Calculation-sheet'!H7*'Output-Calculation-sheet'!H79</f>
        <v>1362301832.895787</v>
      </c>
      <c r="I96" s="2">
        <f>I8/'Output-Calculation-sheet'!I7*'Output-Calculation-sheet'!I79</f>
        <v>795171745.92706358</v>
      </c>
      <c r="J96" s="2">
        <f>J8/'Output-Calculation-sheet'!J7*'Output-Calculation-sheet'!J79</f>
        <v>602582606.25035727</v>
      </c>
      <c r="K96" s="2">
        <f>K8/'Output-Calculation-sheet'!K7*'Output-Calculation-sheet'!K79</f>
        <v>755717666.83346534</v>
      </c>
      <c r="L96" s="2">
        <f>L8/'Output-Calculation-sheet'!L7*'Output-Calculation-sheet'!L79</f>
        <v>686062748.01311839</v>
      </c>
      <c r="M96" s="2">
        <f>M8/'Output-Calculation-sheet'!M7*'Output-Calculation-sheet'!M79</f>
        <v>1051144888.1896296</v>
      </c>
      <c r="N96" s="2">
        <f>N8/'Output-Calculation-sheet'!N7*'Output-Calculation-sheet'!N79</f>
        <v>683314284.46405649</v>
      </c>
      <c r="O96" s="2">
        <f>O8/'Output-Calculation-sheet'!O7*'Output-Calculation-sheet'!O79</f>
        <v>256393886.64351061</v>
      </c>
      <c r="P96" s="2">
        <f>P8/'Output-Calculation-sheet'!P7*'Output-Calculation-sheet'!P79</f>
        <v>1301384733.0606172</v>
      </c>
      <c r="Q96" s="2">
        <f>Q8/'Output-Calculation-sheet'!Q7*'Output-Calculation-sheet'!Q79</f>
        <v>552525433.56826448</v>
      </c>
      <c r="R96" s="2">
        <f>R8/'Output-Calculation-sheet'!R7*'Output-Calculation-sheet'!R79</f>
        <v>733357466.30482912</v>
      </c>
      <c r="S96" s="2">
        <f>S8/'Output-Calculation-sheet'!S7*'Output-Calculation-sheet'!S79</f>
        <v>413583867.94639111</v>
      </c>
      <c r="T96" s="2">
        <f>T8/'Output-Calculation-sheet'!T7*'Output-Calculation-sheet'!T79</f>
        <v>249506477.81776559</v>
      </c>
      <c r="U96" s="2">
        <f>U8/'Output-Calculation-sheet'!U7*'Output-Calculation-sheet'!U79</f>
        <v>196392895.43277663</v>
      </c>
      <c r="V96" s="2">
        <f>V8/'Output-Calculation-sheet'!V7*'Output-Calculation-sheet'!V79</f>
        <v>90137501.018703133</v>
      </c>
      <c r="W96" s="2">
        <f>W8/'Output-Calculation-sheet'!W7*'Output-Calculation-sheet'!W79</f>
        <v>277525218.32694161</v>
      </c>
      <c r="X96" s="2">
        <f>X8/'Output-Calculation-sheet'!X7*'Output-Calculation-sheet'!X79</f>
        <v>125169338.7685003</v>
      </c>
      <c r="Y96" s="2">
        <f>Y8/'Output-Calculation-sheet'!Y7*'Output-Calculation-sheet'!Y79</f>
        <v>172256038.18415132</v>
      </c>
      <c r="AA96" s="2">
        <f t="shared" si="8"/>
        <v>30.597088919848048</v>
      </c>
    </row>
    <row r="97" spans="1:27" x14ac:dyDescent="0.25">
      <c r="A97" s="2">
        <v>2032</v>
      </c>
      <c r="B97" s="2">
        <f>B9/'Output-Calculation-sheet'!B8*'Output-Calculation-sheet'!B80</f>
        <v>9436438032.2311344</v>
      </c>
      <c r="C97" s="2">
        <f>C9/'Output-Calculation-sheet'!C8*'Output-Calculation-sheet'!C80</f>
        <v>2228719739.162787</v>
      </c>
      <c r="D97" s="2">
        <f>D9/'Output-Calculation-sheet'!D8*'Output-Calculation-sheet'!D80</f>
        <v>1702492410.1197093</v>
      </c>
      <c r="E97" s="2">
        <f>E9/'Output-Calculation-sheet'!E8*'Output-Calculation-sheet'!E80</f>
        <v>7167251358.1804581</v>
      </c>
      <c r="F97" s="2">
        <f>F9/'Output-Calculation-sheet'!F8*'Output-Calculation-sheet'!F80</f>
        <v>1965506330.710922</v>
      </c>
      <c r="G97" s="2">
        <f>G9/'Output-Calculation-sheet'!G8*'Output-Calculation-sheet'!G80</f>
        <v>1204357531.1068647</v>
      </c>
      <c r="H97" s="2">
        <f>H9/'Output-Calculation-sheet'!H8*'Output-Calculation-sheet'!H80</f>
        <v>1576936175.0164347</v>
      </c>
      <c r="I97" s="2">
        <f>I9/'Output-Calculation-sheet'!I8*'Output-Calculation-sheet'!I80</f>
        <v>908311839.80562019</v>
      </c>
      <c r="J97" s="2">
        <f>J9/'Output-Calculation-sheet'!J8*'Output-Calculation-sheet'!J80</f>
        <v>678759378.47647405</v>
      </c>
      <c r="K97" s="2">
        <f>K9/'Output-Calculation-sheet'!K8*'Output-Calculation-sheet'!K80</f>
        <v>837140818.59030521</v>
      </c>
      <c r="L97" s="2">
        <f>L9/'Output-Calculation-sheet'!L8*'Output-Calculation-sheet'!L80</f>
        <v>807480424.30670249</v>
      </c>
      <c r="M97" s="2">
        <f>M9/'Output-Calculation-sheet'!M8*'Output-Calculation-sheet'!M80</f>
        <v>1244095824.7579734</v>
      </c>
      <c r="N97" s="2">
        <f>N9/'Output-Calculation-sheet'!N8*'Output-Calculation-sheet'!N80</f>
        <v>781671607.49383473</v>
      </c>
      <c r="O97" s="2">
        <f>O9/'Output-Calculation-sheet'!O8*'Output-Calculation-sheet'!O80</f>
        <v>290560989.07822424</v>
      </c>
      <c r="P97" s="2">
        <f>P9/'Output-Calculation-sheet'!P8*'Output-Calculation-sheet'!P80</f>
        <v>1465445297.6864536</v>
      </c>
      <c r="Q97" s="2">
        <f>Q9/'Output-Calculation-sheet'!Q8*'Output-Calculation-sheet'!Q80</f>
        <v>633855922.26891339</v>
      </c>
      <c r="R97" s="2">
        <f>R9/'Output-Calculation-sheet'!R8*'Output-Calculation-sheet'!R80</f>
        <v>849371686.56361926</v>
      </c>
      <c r="S97" s="2">
        <f>S9/'Output-Calculation-sheet'!S8*'Output-Calculation-sheet'!S80</f>
        <v>472727518.97723657</v>
      </c>
      <c r="T97" s="2">
        <f>T9/'Output-Calculation-sheet'!T8*'Output-Calculation-sheet'!T80</f>
        <v>275644204.17587143</v>
      </c>
      <c r="U97" s="2">
        <f>U9/'Output-Calculation-sheet'!U8*'Output-Calculation-sheet'!U80</f>
        <v>219336439.75144467</v>
      </c>
      <c r="V97" s="2">
        <f>V9/'Output-Calculation-sheet'!V8*'Output-Calculation-sheet'!V80</f>
        <v>101170676.98415956</v>
      </c>
      <c r="W97" s="2">
        <f>W9/'Output-Calculation-sheet'!W8*'Output-Calculation-sheet'!W80</f>
        <v>313071651.13751268</v>
      </c>
      <c r="X97" s="2">
        <f>X9/'Output-Calculation-sheet'!X8*'Output-Calculation-sheet'!X80</f>
        <v>151630090.48801076</v>
      </c>
      <c r="Y97" s="2">
        <f>Y9/'Output-Calculation-sheet'!Y8*'Output-Calculation-sheet'!Y80</f>
        <v>199045808.6841816</v>
      </c>
      <c r="AA97" s="2">
        <f t="shared" si="8"/>
        <v>35.511021755754854</v>
      </c>
    </row>
    <row r="98" spans="1:27" x14ac:dyDescent="0.25">
      <c r="A98" s="2">
        <v>2033</v>
      </c>
      <c r="B98" s="2">
        <f>B10/'Output-Calculation-sheet'!B9*'Output-Calculation-sheet'!B81</f>
        <v>9866007589.477869</v>
      </c>
      <c r="C98" s="2">
        <f>C10/'Output-Calculation-sheet'!C9*'Output-Calculation-sheet'!C81</f>
        <v>2284583839.6835275</v>
      </c>
      <c r="D98" s="2">
        <f>D10/'Output-Calculation-sheet'!D9*'Output-Calculation-sheet'!D81</f>
        <v>1643514849.6421616</v>
      </c>
      <c r="E98" s="2">
        <f>E10/'Output-Calculation-sheet'!E9*'Output-Calculation-sheet'!E81</f>
        <v>7758024583.8635683</v>
      </c>
      <c r="F98" s="2">
        <f>F10/'Output-Calculation-sheet'!F9*'Output-Calculation-sheet'!F81</f>
        <v>1998860138.1762619</v>
      </c>
      <c r="G98" s="2">
        <f>G10/'Output-Calculation-sheet'!G9*'Output-Calculation-sheet'!G81</f>
        <v>1167777328.0845573</v>
      </c>
      <c r="H98" s="2">
        <f>H10/'Output-Calculation-sheet'!H9*'Output-Calculation-sheet'!H81</f>
        <v>1625726962.074445</v>
      </c>
      <c r="I98" s="2">
        <f>I10/'Output-Calculation-sheet'!I9*'Output-Calculation-sheet'!I81</f>
        <v>926487211.54600203</v>
      </c>
      <c r="J98" s="2">
        <f>J10/'Output-Calculation-sheet'!J9*'Output-Calculation-sheet'!J81</f>
        <v>683461702.19518363</v>
      </c>
      <c r="K98" s="2">
        <f>K10/'Output-Calculation-sheet'!K9*'Output-Calculation-sheet'!K81</f>
        <v>827638694.26543689</v>
      </c>
      <c r="L98" s="2">
        <f>L10/'Output-Calculation-sheet'!L9*'Output-Calculation-sheet'!L81</f>
        <v>848248711.19148743</v>
      </c>
      <c r="M98" s="2">
        <f>M10/'Output-Calculation-sheet'!M9*'Output-Calculation-sheet'!M81</f>
        <v>1314485178.2227371</v>
      </c>
      <c r="N98" s="2">
        <f>N10/'Output-Calculation-sheet'!N9*'Output-Calculation-sheet'!N81</f>
        <v>798831433.87483227</v>
      </c>
      <c r="O98" s="2">
        <f>O10/'Output-Calculation-sheet'!O9*'Output-Calculation-sheet'!O81</f>
        <v>294632616.09382111</v>
      </c>
      <c r="P98" s="2">
        <f>P10/'Output-Calculation-sheet'!P9*'Output-Calculation-sheet'!P81</f>
        <v>1461685088.3391674</v>
      </c>
      <c r="Q98" s="2">
        <f>Q10/'Output-Calculation-sheet'!Q9*'Output-Calculation-sheet'!Q81</f>
        <v>649474018.37391818</v>
      </c>
      <c r="R98" s="2">
        <f>R10/'Output-Calculation-sheet'!R9*'Output-Calculation-sheet'!R81</f>
        <v>876645415.43138325</v>
      </c>
      <c r="S98" s="2">
        <f>S10/'Output-Calculation-sheet'!S9*'Output-Calculation-sheet'!S81</f>
        <v>481452574.37370259</v>
      </c>
      <c r="T98" s="2">
        <f>T10/'Output-Calculation-sheet'!T9*'Output-Calculation-sheet'!T81</f>
        <v>271256701.45972651</v>
      </c>
      <c r="U98" s="2">
        <f>U10/'Output-Calculation-sheet'!U9*'Output-Calculation-sheet'!U81</f>
        <v>217963063.78424114</v>
      </c>
      <c r="V98" s="2">
        <f>V10/'Output-Calculation-sheet'!V9*'Output-Calculation-sheet'!V81</f>
        <v>101232086.08170946</v>
      </c>
      <c r="W98" s="2">
        <f>W10/'Output-Calculation-sheet'!W9*'Output-Calculation-sheet'!W81</f>
        <v>313060656.95889741</v>
      </c>
      <c r="X98" s="2">
        <f>X10/'Output-Calculation-sheet'!X9*'Output-Calculation-sheet'!X81</f>
        <v>164117076.94209</v>
      </c>
      <c r="Y98" s="2">
        <f>Y10/'Output-Calculation-sheet'!Y9*'Output-Calculation-sheet'!Y81</f>
        <v>204322195.90384519</v>
      </c>
      <c r="AA98" s="2">
        <f t="shared" si="8"/>
        <v>36.779489716040572</v>
      </c>
    </row>
    <row r="99" spans="1:27" x14ac:dyDescent="0.25">
      <c r="A99" s="2">
        <v>2034</v>
      </c>
      <c r="B99" s="2">
        <f>B11/'Output-Calculation-sheet'!B10*'Output-Calculation-sheet'!B82</f>
        <v>9297561758.2757187</v>
      </c>
      <c r="C99" s="2">
        <f>C11/'Output-Calculation-sheet'!C10*'Output-Calculation-sheet'!C82</f>
        <v>2116434208.5384679</v>
      </c>
      <c r="D99" s="2">
        <f>D11/'Output-Calculation-sheet'!D10*'Output-Calculation-sheet'!D82</f>
        <v>1435632402.8038113</v>
      </c>
      <c r="E99" s="2">
        <f>E11/'Output-Calculation-sheet'!E10*'Output-Calculation-sheet'!E82</f>
        <v>7577029540.124176</v>
      </c>
      <c r="F99" s="2">
        <f>F11/'Output-Calculation-sheet'!F10*'Output-Calculation-sheet'!F82</f>
        <v>1834066881.5549195</v>
      </c>
      <c r="G99" s="2">
        <f>G11/'Output-Calculation-sheet'!G10*'Output-Calculation-sheet'!G82</f>
        <v>1020770716.284773</v>
      </c>
      <c r="H99" s="2">
        <f>H11/'Output-Calculation-sheet'!H10*'Output-Calculation-sheet'!H82</f>
        <v>1510476921.9115927</v>
      </c>
      <c r="I99" s="2">
        <f>I11/'Output-Calculation-sheet'!I10*'Output-Calculation-sheet'!I82</f>
        <v>854106536.38032579</v>
      </c>
      <c r="J99" s="2">
        <f>J11/'Output-Calculation-sheet'!J10*'Output-Calculation-sheet'!J82</f>
        <v>622637715.31706798</v>
      </c>
      <c r="K99" s="2">
        <f>K11/'Output-Calculation-sheet'!K10*'Output-Calculation-sheet'!K82</f>
        <v>739292703.41025186</v>
      </c>
      <c r="L99" s="2">
        <f>L11/'Output-Calculation-sheet'!L10*'Output-Calculation-sheet'!L82</f>
        <v>804786268.99815285</v>
      </c>
      <c r="M99" s="2">
        <f>M11/'Output-Calculation-sheet'!M10*'Output-Calculation-sheet'!M82</f>
        <v>1254543043.4424884</v>
      </c>
      <c r="N99" s="2">
        <f>N11/'Output-Calculation-sheet'!N10*'Output-Calculation-sheet'!N82</f>
        <v>738135863.84573793</v>
      </c>
      <c r="O99" s="2">
        <f>O11/'Output-Calculation-sheet'!O10*'Output-Calculation-sheet'!O82</f>
        <v>270525090.38500029</v>
      </c>
      <c r="P99" s="2">
        <f>P11/'Output-Calculation-sheet'!P10*'Output-Calculation-sheet'!P82</f>
        <v>1307624630.7938805</v>
      </c>
      <c r="Q99" s="2">
        <f>Q11/'Output-Calculation-sheet'!Q10*'Output-Calculation-sheet'!Q82</f>
        <v>601491885.78792548</v>
      </c>
      <c r="R99" s="2">
        <f>R11/'Output-Calculation-sheet'!R10*'Output-Calculation-sheet'!R82</f>
        <v>815909539.97146606</v>
      </c>
      <c r="S99" s="2">
        <f>S11/'Output-Calculation-sheet'!S10*'Output-Calculation-sheet'!S82</f>
        <v>442153416.9793213</v>
      </c>
      <c r="T99" s="2">
        <f>T11/'Output-Calculation-sheet'!T10*'Output-Calculation-sheet'!T82</f>
        <v>240770031.85070693</v>
      </c>
      <c r="U99" s="2">
        <f>U11/'Output-Calculation-sheet'!U10*'Output-Calculation-sheet'!U82</f>
        <v>195128605.29449561</v>
      </c>
      <c r="V99" s="2">
        <f>V11/'Output-Calculation-sheet'!V10*'Output-Calculation-sheet'!V82</f>
        <v>91402282.139612332</v>
      </c>
      <c r="W99" s="2">
        <f>W11/'Output-Calculation-sheet'!W10*'Output-Calculation-sheet'!W82</f>
        <v>280970513.03325689</v>
      </c>
      <c r="X99" s="2">
        <f>X11/'Output-Calculation-sheet'!X10*'Output-Calculation-sheet'!X82</f>
        <v>160585554.9490881</v>
      </c>
      <c r="Y99" s="2">
        <f>Y11/'Output-Calculation-sheet'!Y10*'Output-Calculation-sheet'!Y82</f>
        <v>188588006.44173032</v>
      </c>
      <c r="AA99" s="2">
        <f t="shared" si="8"/>
        <v>34.400624118513967</v>
      </c>
    </row>
    <row r="100" spans="1:27" x14ac:dyDescent="0.25">
      <c r="A100" s="2">
        <v>2035</v>
      </c>
      <c r="B100" s="2">
        <f>B12/'Output-Calculation-sheet'!B11*'Output-Calculation-sheet'!B83</f>
        <v>7901139152.3290253</v>
      </c>
      <c r="C100" s="2">
        <f>C12/'Output-Calculation-sheet'!C11*'Output-Calculation-sheet'!C83</f>
        <v>1773041821.6261117</v>
      </c>
      <c r="D100" s="2">
        <f>D12/'Output-Calculation-sheet'!D11*'Output-Calculation-sheet'!D83</f>
        <v>1135775616.5524836</v>
      </c>
      <c r="E100" s="2">
        <f>E12/'Output-Calculation-sheet'!E11*'Output-Calculation-sheet'!E83</f>
        <v>6679013737.6110401</v>
      </c>
      <c r="F100" s="2">
        <f>F12/'Output-Calculation-sheet'!F11*'Output-Calculation-sheet'!F83</f>
        <v>1519555838.8158984</v>
      </c>
      <c r="G100" s="2">
        <f>G12/'Output-Calculation-sheet'!G11*'Output-Calculation-sheet'!G83</f>
        <v>805316374.07973194</v>
      </c>
      <c r="H100" s="2">
        <f>H12/'Output-Calculation-sheet'!H11*'Output-Calculation-sheet'!H83</f>
        <v>1265479110.0502746</v>
      </c>
      <c r="I100" s="2">
        <f>I12/'Output-Calculation-sheet'!I11*'Output-Calculation-sheet'!I83</f>
        <v>712146294.86614347</v>
      </c>
      <c r="J100" s="2">
        <f>J12/'Output-Calculation-sheet'!J11*'Output-Calculation-sheet'!J83</f>
        <v>513541564.96809942</v>
      </c>
      <c r="K100" s="2">
        <f>K12/'Output-Calculation-sheet'!K11*'Output-Calculation-sheet'!K83</f>
        <v>597200847.44190621</v>
      </c>
      <c r="L100" s="2">
        <f>L12/'Output-Calculation-sheet'!L11*'Output-Calculation-sheet'!L83</f>
        <v>689975580.80131876</v>
      </c>
      <c r="M100" s="2">
        <f>M12/'Output-Calculation-sheet'!M11*'Output-Calculation-sheet'!M83</f>
        <v>1082041543.7210801</v>
      </c>
      <c r="N100" s="2">
        <f>N12/'Output-Calculation-sheet'!N11*'Output-Calculation-sheet'!N83</f>
        <v>617113299.50364709</v>
      </c>
      <c r="O100" s="2">
        <f>O12/'Output-Calculation-sheet'!O11*'Output-Calculation-sheet'!O83</f>
        <v>225041818.9888244</v>
      </c>
      <c r="P100" s="2">
        <f>P12/'Output-Calculation-sheet'!P11*'Output-Calculation-sheet'!P83</f>
        <v>1050619203.6234545</v>
      </c>
      <c r="Q100" s="2">
        <f>Q12/'Output-Calculation-sheet'!Q11*'Output-Calculation-sheet'!Q83</f>
        <v>503771833.05309325</v>
      </c>
      <c r="R100" s="2">
        <f>R12/'Output-Calculation-sheet'!R11*'Output-Calculation-sheet'!R83</f>
        <v>685167183.28425705</v>
      </c>
      <c r="S100" s="2">
        <f>S12/'Output-Calculation-sheet'!S11*'Output-Calculation-sheet'!S83</f>
        <v>366392011.74511009</v>
      </c>
      <c r="T100" s="2">
        <f>T12/'Output-Calculation-sheet'!T11*'Output-Calculation-sheet'!T83</f>
        <v>192979030.90451574</v>
      </c>
      <c r="U100" s="2">
        <f>U12/'Output-Calculation-sheet'!U11*'Output-Calculation-sheet'!U83</f>
        <v>157540082.96950909</v>
      </c>
      <c r="V100" s="2">
        <f>V12/'Output-Calculation-sheet'!V11*'Output-Calculation-sheet'!V83</f>
        <v>74527142.306396663</v>
      </c>
      <c r="W100" s="2">
        <f>W12/'Output-Calculation-sheet'!W11*'Output-Calculation-sheet'!W83</f>
        <v>226614407.98181427</v>
      </c>
      <c r="X100" s="2">
        <f>X12/'Output-Calculation-sheet'!X11*'Output-Calculation-sheet'!X83</f>
        <v>142112145.62177268</v>
      </c>
      <c r="Y100" s="2">
        <f>Y12/'Output-Calculation-sheet'!Y11*'Output-Calculation-sheet'!Y83</f>
        <v>156650817.99377921</v>
      </c>
      <c r="AA100" s="2">
        <f t="shared" si="8"/>
        <v>29.07275646083928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1664.6641846402795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512.43526552551441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352.60533263717451</v>
      </c>
      <c r="N107" s="2">
        <f>N8/'Output-Calculation-sheet'!N7*'Output-Calculation-sheet'!N88</f>
        <v>138.62154329395929</v>
      </c>
      <c r="O107" s="2">
        <f>O8/'Output-Calculation-sheet'!O7*'Output-Calculation-sheet'!O88</f>
        <v>388.07760645993011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38.681538350171749</v>
      </c>
      <c r="Y107" s="2">
        <f>Y8/'Output-Calculation-sheet'!Y7*'Output-Calculation-sheet'!Y88</f>
        <v>0</v>
      </c>
      <c r="AA107" s="2">
        <f t="shared" si="9"/>
        <v>3.095085470907029</v>
      </c>
    </row>
    <row r="108" spans="1:27" x14ac:dyDescent="0.25">
      <c r="A108" s="2">
        <v>2032</v>
      </c>
      <c r="B108" s="2">
        <f>B9/'Output-Calculation-sheet'!B8*'Output-Calculation-sheet'!B89</f>
        <v>718.23825283625501</v>
      </c>
      <c r="C108" s="2">
        <f>C9/'Output-Calculation-sheet'!C8*'Output-Calculation-sheet'!C89</f>
        <v>2727.1399896791072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734.56098709100354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505.44944624350461</v>
      </c>
      <c r="N108" s="2">
        <f>N9/'Output-Calculation-sheet'!N8*'Output-Calculation-sheet'!N89</f>
        <v>354.83916744678282</v>
      </c>
      <c r="O108" s="2">
        <f>O9/'Output-Calculation-sheet'!O8*'Output-Calculation-sheet'!O89</f>
        <v>529.80753788114407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162.72484834520188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55.448855502873108</v>
      </c>
      <c r="Y108" s="2">
        <f>Y9/'Output-Calculation-sheet'!Y8*'Output-Calculation-sheet'!Y89</f>
        <v>0</v>
      </c>
      <c r="AA108" s="2">
        <f t="shared" si="9"/>
        <v>5.7882090850258736</v>
      </c>
    </row>
    <row r="109" spans="1:27" x14ac:dyDescent="0.25">
      <c r="A109" s="2">
        <v>2033</v>
      </c>
      <c r="B109" s="2">
        <f>B10/'Output-Calculation-sheet'!B9*'Output-Calculation-sheet'!B90</f>
        <v>3430.0155335803188</v>
      </c>
      <c r="C109" s="2">
        <f>C10/'Output-Calculation-sheet'!C9*'Output-Calculation-sheet'!C90</f>
        <v>3255.9295226579829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1002.2760895983022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689.6634906746076</v>
      </c>
      <c r="N109" s="2">
        <f>N10/'Output-Calculation-sheet'!N9*'Output-Calculation-sheet'!N90</f>
        <v>542.26189216024386</v>
      </c>
      <c r="O109" s="2">
        <f>O10/'Output-Calculation-sheet'!O9*'Output-Calculation-sheet'!O90</f>
        <v>632.53665394600125</v>
      </c>
      <c r="P109" s="2">
        <f>P10/'Output-Calculation-sheet'!P9*'Output-Calculation-sheet'!P90</f>
        <v>0</v>
      </c>
      <c r="Q109" s="2">
        <f>Q10/'Output-Calculation-sheet'!Q9*'Output-Calculation-sheet'!Q90</f>
        <v>118.77611028877584</v>
      </c>
      <c r="R109" s="2">
        <f>R10/'Output-Calculation-sheet'!R9*'Output-Calculation-sheet'!R90</f>
        <v>0</v>
      </c>
      <c r="S109" s="2">
        <f>S10/'Output-Calculation-sheet'!S9*'Output-Calculation-sheet'!S90</f>
        <v>271.98783183966265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75.657519311239767</v>
      </c>
      <c r="Y109" s="2">
        <f>Y10/'Output-Calculation-sheet'!Y9*'Output-Calculation-sheet'!Y90</f>
        <v>0</v>
      </c>
      <c r="AA109" s="2">
        <f t="shared" si="9"/>
        <v>10.019104644057135</v>
      </c>
    </row>
    <row r="110" spans="1:27" x14ac:dyDescent="0.25">
      <c r="A110" s="2">
        <v>2034</v>
      </c>
      <c r="B110" s="2">
        <f>B11/'Output-Calculation-sheet'!B10*'Output-Calculation-sheet'!B91</f>
        <v>5496.0206104581121</v>
      </c>
      <c r="C110" s="2">
        <f>C11/'Output-Calculation-sheet'!C10*'Output-Calculation-sheet'!C91</f>
        <v>3767.8890734842748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1070.6521086901546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736.71284613136629</v>
      </c>
      <c r="N110" s="2">
        <f>N11/'Output-Calculation-sheet'!N10*'Output-Calculation-sheet'!N91</f>
        <v>663.73014710572431</v>
      </c>
      <c r="O110" s="2">
        <f>O11/'Output-Calculation-sheet'!O10*'Output-Calculation-sheet'!O91</f>
        <v>731.99617202887396</v>
      </c>
      <c r="P110" s="2">
        <f>P11/'Output-Calculation-sheet'!P10*'Output-Calculation-sheet'!P91</f>
        <v>167.22820119637265</v>
      </c>
      <c r="Q110" s="2">
        <f>Q11/'Output-Calculation-sheet'!Q10*'Output-Calculation-sheet'!Q91</f>
        <v>370.06405546882746</v>
      </c>
      <c r="R110" s="2">
        <f>R11/'Output-Calculation-sheet'!R10*'Output-Calculation-sheet'!R91</f>
        <v>0</v>
      </c>
      <c r="S110" s="2">
        <f>S11/'Output-Calculation-sheet'!S10*'Output-Calculation-sheet'!S91</f>
        <v>380.47303341349613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80.818931459603846</v>
      </c>
      <c r="Y110" s="2">
        <f>Y11/'Output-Calculation-sheet'!Y10*'Output-Calculation-sheet'!Y91</f>
        <v>12.99863579673714</v>
      </c>
      <c r="AA110" s="2">
        <f t="shared" si="9"/>
        <v>13.478583815233542</v>
      </c>
    </row>
    <row r="111" spans="1:27" x14ac:dyDescent="0.25">
      <c r="A111" s="2">
        <v>2035</v>
      </c>
      <c r="B111" s="2">
        <f>B12/'Output-Calculation-sheet'!B11*'Output-Calculation-sheet'!B92</f>
        <v>7043.0267089133504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1176.6552175257968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413.29126779275578</v>
      </c>
      <c r="Q111" s="2">
        <f>Q12/'Output-Calculation-sheet'!Q11*'Output-Calculation-sheet'!Q92</f>
        <v>479.06782670843342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32.125099890904764</v>
      </c>
      <c r="AA111" s="2">
        <f t="shared" si="9"/>
        <v>16.538919826647998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7825556065.3724146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2407762944.6161137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1672398849.9760571</v>
      </c>
      <c r="N118" s="2">
        <f>N8/'Output-Calculation-sheet'!N7*'Output-Calculation-sheet'!N97</f>
        <v>1312356254.4207666</v>
      </c>
      <c r="O118" s="2">
        <f>O8/'Output-Calculation-sheet'!O7*'Output-Calculation-sheet'!O97</f>
        <v>873256934.02712214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475056177.13286912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180252854.09442669</v>
      </c>
      <c r="Y118" s="2">
        <f>Y8/'Output-Calculation-sheet'!Y7*'Output-Calculation-sheet'!Y97</f>
        <v>0</v>
      </c>
      <c r="AA118" s="2">
        <f t="shared" si="10"/>
        <v>16081.577874911442</v>
      </c>
    </row>
    <row r="119" spans="1:27" x14ac:dyDescent="0.25">
      <c r="A119" s="2">
        <v>2032</v>
      </c>
      <c r="B119" s="2">
        <f>B9/'Output-Calculation-sheet'!B8*'Output-Calculation-sheet'!B98</f>
        <v>5388260683.8556538</v>
      </c>
      <c r="C119" s="2">
        <f>C9/'Output-Calculation-sheet'!C8*'Output-Calculation-sheet'!C98</f>
        <v>4282698426.2044163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2560206701.8108888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1787033865.6442919</v>
      </c>
      <c r="N119" s="2">
        <f>N9/'Output-Calculation-sheet'!N8*'Output-Calculation-sheet'!N98</f>
        <v>1206830128.330713</v>
      </c>
      <c r="O119" s="2">
        <f>O9/'Output-Calculation-sheet'!O8*'Output-Calculation-sheet'!O98</f>
        <v>836760135.72430372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500998583.90378177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191219030.21347675</v>
      </c>
      <c r="Y119" s="2">
        <f>Y9/'Output-Calculation-sheet'!Y8*'Output-Calculation-sheet'!Y98</f>
        <v>0</v>
      </c>
      <c r="AA119" s="2">
        <f t="shared" si="10"/>
        <v>16754.007555687527</v>
      </c>
    </row>
    <row r="120" spans="1:27" x14ac:dyDescent="0.25">
      <c r="A120" s="2">
        <v>2033</v>
      </c>
      <c r="B120" s="2">
        <f>B10/'Output-Calculation-sheet'!B9*'Output-Calculation-sheet'!B99</f>
        <v>4934534383.4887238</v>
      </c>
      <c r="C120" s="2">
        <f>C10/'Output-Calculation-sheet'!C9*'Output-Calculation-sheet'!C99</f>
        <v>4056493668.0572181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1330028180.8405023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941404995.44077551</v>
      </c>
      <c r="N120" s="2">
        <f>N10/'Output-Calculation-sheet'!N9*'Output-Calculation-sheet'!N99</f>
        <v>938668539.75857437</v>
      </c>
      <c r="O120" s="2">
        <f>O10/'Output-Calculation-sheet'!O9*'Output-Calculation-sheet'!O99</f>
        <v>794174084.7239536</v>
      </c>
      <c r="P120" s="2">
        <f>P10/'Output-Calculation-sheet'!P9*'Output-Calculation-sheet'!P99</f>
        <v>0</v>
      </c>
      <c r="Q120" s="2">
        <f>Q10/'Output-Calculation-sheet'!Q9*'Output-Calculation-sheet'!Q99</f>
        <v>5737856.5501358621</v>
      </c>
      <c r="R120" s="2">
        <f>R10/'Output-Calculation-sheet'!R9*'Output-Calculation-sheet'!R99</f>
        <v>0</v>
      </c>
      <c r="S120" s="2">
        <f>S10/'Output-Calculation-sheet'!S9*'Output-Calculation-sheet'!S99</f>
        <v>393145240.45593733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-6.4944430111338435E-9</v>
      </c>
      <c r="W120" s="2">
        <f>W10/'Output-Calculation-sheet'!W9*'Output-Calculation-sheet'!W99</f>
        <v>0</v>
      </c>
      <c r="X120" s="2">
        <f>X10/'Output-Calculation-sheet'!X9*'Output-Calculation-sheet'!X99</f>
        <v>94003465.527725831</v>
      </c>
      <c r="Y120" s="2">
        <f>Y10/'Output-Calculation-sheet'!Y9*'Output-Calculation-sheet'!Y99</f>
        <v>0</v>
      </c>
      <c r="AA120" s="2">
        <f t="shared" si="10"/>
        <v>13488.190414843544</v>
      </c>
    </row>
    <row r="121" spans="1:27" x14ac:dyDescent="0.25">
      <c r="A121" s="2">
        <v>2034</v>
      </c>
      <c r="B121" s="2">
        <f>B11/'Output-Calculation-sheet'!B10*'Output-Calculation-sheet'!B100</f>
        <v>4120648986.9183574</v>
      </c>
      <c r="C121" s="2">
        <f>C11/'Output-Calculation-sheet'!C10*'Output-Calculation-sheet'!C100</f>
        <v>494644788.72456604</v>
      </c>
      <c r="D121" s="2">
        <f>D11/'Output-Calculation-sheet'!D10*'Output-Calculation-sheet'!D100</f>
        <v>0</v>
      </c>
      <c r="E121" s="2">
        <f>E11/'Output-Calculation-sheet'!E10*'Output-Calculation-sheet'!E100</f>
        <v>572158308.36206245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1302445972.7927663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475405330.35989392</v>
      </c>
      <c r="M121" s="2">
        <f>M11/'Output-Calculation-sheet'!M10*'Output-Calculation-sheet'!M100</f>
        <v>926945816.70481563</v>
      </c>
      <c r="N121" s="2">
        <f>N11/'Output-Calculation-sheet'!N10*'Output-Calculation-sheet'!N100</f>
        <v>617974063.97874987</v>
      </c>
      <c r="O121" s="2">
        <f>O11/'Output-Calculation-sheet'!O10*'Output-Calculation-sheet'!O100</f>
        <v>97026202.292163312</v>
      </c>
      <c r="P121" s="2">
        <f>P11/'Output-Calculation-sheet'!P10*'Output-Calculation-sheet'!P100</f>
        <v>0</v>
      </c>
      <c r="Q121" s="2">
        <f>Q11/'Output-Calculation-sheet'!Q10*'Output-Calculation-sheet'!Q100</f>
        <v>209981142.16790906</v>
      </c>
      <c r="R121" s="2">
        <f>R11/'Output-Calculation-sheet'!R10*'Output-Calculation-sheet'!R100</f>
        <v>0</v>
      </c>
      <c r="S121" s="2">
        <f>S11/'Output-Calculation-sheet'!S10*'Output-Calculation-sheet'!S100</f>
        <v>231055927.70311698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91078912.301675767</v>
      </c>
      <c r="Y121" s="2">
        <f>Y11/'Output-Calculation-sheet'!Y10*'Output-Calculation-sheet'!Y100</f>
        <v>13218051.080851544</v>
      </c>
      <c r="AA121" s="2">
        <f t="shared" si="10"/>
        <v>9152.583503386928</v>
      </c>
    </row>
    <row r="122" spans="1:27" x14ac:dyDescent="0.25">
      <c r="A122" s="2">
        <v>2035</v>
      </c>
      <c r="B122" s="2">
        <f>B12/'Output-Calculation-sheet'!B11*'Output-Calculation-sheet'!B101</f>
        <v>1818987089.2399628</v>
      </c>
      <c r="C122" s="2">
        <f>C12/'Output-Calculation-sheet'!C11*'Output-Calculation-sheet'!C101</f>
        <v>158124791.34004015</v>
      </c>
      <c r="D122" s="2">
        <f>D12/'Output-Calculation-sheet'!D11*'Output-Calculation-sheet'!D101</f>
        <v>0</v>
      </c>
      <c r="E122" s="2">
        <f>E12/'Output-Calculation-sheet'!E11*'Output-Calculation-sheet'!E101</f>
        <v>1416427206.6877515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268120835.3883481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983139615.62471378</v>
      </c>
      <c r="M122" s="2">
        <f>M12/'Output-Calculation-sheet'!M11*'Output-Calculation-sheet'!M101</f>
        <v>245962355.04085806</v>
      </c>
      <c r="N122" s="2">
        <f>N12/'Output-Calculation-sheet'!N11*'Output-Calculation-sheet'!N101</f>
        <v>204448010.00351441</v>
      </c>
      <c r="O122" s="2">
        <f>O12/'Output-Calculation-sheet'!O11*'Output-Calculation-sheet'!O101</f>
        <v>28036468.056608606</v>
      </c>
      <c r="P122" s="2">
        <f>P12/'Output-Calculation-sheet'!P11*'Output-Calculation-sheet'!P101</f>
        <v>63630216.240991436</v>
      </c>
      <c r="Q122" s="2">
        <f>Q12/'Output-Calculation-sheet'!Q11*'Output-Calculation-sheet'!Q101</f>
        <v>314354862.27485085</v>
      </c>
      <c r="R122" s="2">
        <f>R12/'Output-Calculation-sheet'!R11*'Output-Calculation-sheet'!R101</f>
        <v>0</v>
      </c>
      <c r="S122" s="2">
        <f>S12/'Output-Calculation-sheet'!S11*'Output-Calculation-sheet'!S101</f>
        <v>85408958.310249344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7898238.3998158546</v>
      </c>
      <c r="Y122" s="2">
        <f>Y12/'Output-Calculation-sheet'!Y11*'Output-Calculation-sheet'!Y101</f>
        <v>36431803.298552141</v>
      </c>
      <c r="AA122" s="2">
        <f t="shared" si="10"/>
        <v>5630.9704499062564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2177743545.0082088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2185503686.0968108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143146.77209557808</v>
      </c>
    </row>
    <row r="130" spans="1:27" x14ac:dyDescent="0.25">
      <c r="A130" s="2">
        <v>2032</v>
      </c>
      <c r="B130" s="2">
        <f>B9/'Output-Calculation-sheet'!B8*'Output-Calculation-sheet'!B107</f>
        <v>48760672629.960381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1773921182.5017087</v>
      </c>
      <c r="O130" s="2">
        <f>O9/'Output-Calculation-sheet'!O8*'Output-Calculation-sheet'!O107</f>
        <v>0</v>
      </c>
      <c r="P130" s="2">
        <f>P9/'Output-Calculation-sheet'!P8*'Output-Calculation-sheet'!P107</f>
        <v>5412875202.80229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1576058838.7891402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171722.67225820621</v>
      </c>
    </row>
    <row r="131" spans="1:27" x14ac:dyDescent="0.25">
      <c r="A131" s="2">
        <v>2033</v>
      </c>
      <c r="B131" s="2">
        <f>B10/'Output-Calculation-sheet'!B9*'Output-Calculation-sheet'!B108</f>
        <v>36810124884.570938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1348635255.8420289</v>
      </c>
      <c r="O131" s="2">
        <f>O10/'Output-Calculation-sheet'!O9*'Output-Calculation-sheet'!O108</f>
        <v>0</v>
      </c>
      <c r="P131" s="2">
        <f>P10/'Output-Calculation-sheet'!P9*'Output-Calculation-sheet'!P108</f>
        <v>6203613678.5795383</v>
      </c>
      <c r="Q131" s="2">
        <f>Q10/'Output-Calculation-sheet'!Q9*'Output-Calculation-sheet'!Q108</f>
        <v>5233203690.8932247</v>
      </c>
      <c r="R131" s="2">
        <f>R10/'Output-Calculation-sheet'!R9*'Output-Calculation-sheet'!R108</f>
        <v>5871773588.5043755</v>
      </c>
      <c r="S131" s="2">
        <f>S10/'Output-Calculation-sheet'!S9*'Output-Calculation-sheet'!S108</f>
        <v>1308170640.3329494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175688.69912304045</v>
      </c>
    </row>
    <row r="132" spans="1:27" x14ac:dyDescent="0.25">
      <c r="A132" s="2">
        <v>2034</v>
      </c>
      <c r="B132" s="2">
        <f>B11/'Output-Calculation-sheet'!B10*'Output-Calculation-sheet'!B109</f>
        <v>23949516513.645103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23121577546.082912</v>
      </c>
      <c r="F132" s="2">
        <f>F11/'Output-Calculation-sheet'!F10*'Output-Calculation-sheet'!F109</f>
        <v>15249894287.542074</v>
      </c>
      <c r="G132" s="2">
        <f>G11/'Output-Calculation-sheet'!G10*'Output-Calculation-sheet'!G109</f>
        <v>10685150818.912518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9501639183.0938969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7073861722.205142</v>
      </c>
      <c r="M132" s="2">
        <f>M11/'Output-Calculation-sheet'!M10*'Output-Calculation-sheet'!M109</f>
        <v>0</v>
      </c>
      <c r="N132" s="2">
        <f>N11/'Output-Calculation-sheet'!N10*'Output-Calculation-sheet'!N109</f>
        <v>930168824.62298894</v>
      </c>
      <c r="O132" s="2">
        <f>O11/'Output-Calculation-sheet'!O10*'Output-Calculation-sheet'!O109</f>
        <v>0</v>
      </c>
      <c r="P132" s="2">
        <f>P11/'Output-Calculation-sheet'!P10*'Output-Calculation-sheet'!P109</f>
        <v>5284965689.4162693</v>
      </c>
      <c r="Q132" s="2">
        <f>Q11/'Output-Calculation-sheet'!Q10*'Output-Calculation-sheet'!Q109</f>
        <v>3403079531.3559289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638384337.98558497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1898875362.6347148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665418060.66087627</v>
      </c>
      <c r="AA132" s="2">
        <f t="shared" si="11"/>
        <v>162578.38362409093</v>
      </c>
    </row>
    <row r="133" spans="1:27" x14ac:dyDescent="0.25">
      <c r="A133" s="2">
        <v>2035</v>
      </c>
      <c r="B133" s="2">
        <f>B12/'Output-Calculation-sheet'!B11*'Output-Calculation-sheet'!B110</f>
        <v>5231950284.5520077</v>
      </c>
      <c r="C133" s="2">
        <f>C12/'Output-Calculation-sheet'!C11*'Output-Calculation-sheet'!C110</f>
        <v>0</v>
      </c>
      <c r="D133" s="2">
        <f>D12/'Output-Calculation-sheet'!D11*'Output-Calculation-sheet'!D110</f>
        <v>24883020260.851429</v>
      </c>
      <c r="E133" s="2">
        <f>E12/'Output-Calculation-sheet'!E11*'Output-Calculation-sheet'!E110</f>
        <v>13241281010.698774</v>
      </c>
      <c r="F133" s="2">
        <f>F12/'Output-Calculation-sheet'!F11*'Output-Calculation-sheet'!F110</f>
        <v>13162898675.908197</v>
      </c>
      <c r="G133" s="2">
        <f>G12/'Output-Calculation-sheet'!G11*'Output-Calculation-sheet'!G110</f>
        <v>8917827785.6922741</v>
      </c>
      <c r="H133" s="2">
        <f>H12/'Output-Calculation-sheet'!H11*'Output-Calculation-sheet'!H110</f>
        <v>0</v>
      </c>
      <c r="I133" s="2">
        <f>I12/'Output-Calculation-sheet'!I11*'Output-Calculation-sheet'!I110</f>
        <v>8182911425.0698643</v>
      </c>
      <c r="J133" s="2">
        <f>J12/'Output-Calculation-sheet'!J11*'Output-Calculation-sheet'!J110</f>
        <v>8196998453.9040546</v>
      </c>
      <c r="K133" s="2">
        <f>K12/'Output-Calculation-sheet'!K11*'Output-Calculation-sheet'!K110</f>
        <v>8042769431.0408154</v>
      </c>
      <c r="L133" s="2">
        <f>L12/'Output-Calculation-sheet'!L11*'Output-Calculation-sheet'!L110</f>
        <v>5780364239.0417423</v>
      </c>
      <c r="M133" s="2">
        <f>M12/'Output-Calculation-sheet'!M11*'Output-Calculation-sheet'!M110</f>
        <v>0</v>
      </c>
      <c r="N133" s="2">
        <f>N12/'Output-Calculation-sheet'!N11*'Output-Calculation-sheet'!N110</f>
        <v>31051.370291512827</v>
      </c>
      <c r="O133" s="2">
        <f>O12/'Output-Calculation-sheet'!O11*'Output-Calculation-sheet'!O110</f>
        <v>0</v>
      </c>
      <c r="P133" s="2">
        <f>P12/'Output-Calculation-sheet'!P11*'Output-Calculation-sheet'!P110</f>
        <v>2888263064.3436852</v>
      </c>
      <c r="Q133" s="2">
        <f>Q12/'Output-Calculation-sheet'!Q11*'Output-Calculation-sheet'!Q110</f>
        <v>1836869349.5909512</v>
      </c>
      <c r="R133" s="2">
        <f>R12/'Output-Calculation-sheet'!R11*'Output-Calculation-sheet'!R110</f>
        <v>5349702734.644557</v>
      </c>
      <c r="S133" s="2">
        <f>S12/'Output-Calculation-sheet'!S11*'Output-Calculation-sheet'!S110</f>
        <v>5148282.4286344508</v>
      </c>
      <c r="T133" s="2">
        <f>T12/'Output-Calculation-sheet'!T11*'Output-Calculation-sheet'!T110</f>
        <v>1998675039.5916867</v>
      </c>
      <c r="U133" s="2">
        <f>U12/'Output-Calculation-sheet'!U11*'Output-Calculation-sheet'!U110</f>
        <v>1579651615.6561954</v>
      </c>
      <c r="V133" s="2">
        <f>V12/'Output-Calculation-sheet'!V11*'Output-Calculation-sheet'!V110</f>
        <v>1375689360.5286705</v>
      </c>
      <c r="W133" s="2">
        <f>W12/'Output-Calculation-sheet'!W11*'Output-Calculation-sheet'!W110</f>
        <v>1158492879.5445364</v>
      </c>
      <c r="X133" s="2">
        <f>X12/'Output-Calculation-sheet'!X11*'Output-Calculation-sheet'!X110</f>
        <v>0</v>
      </c>
      <c r="Y133" s="2">
        <f>Y12/'Output-Calculation-sheet'!Y11*'Output-Calculation-sheet'!Y110</f>
        <v>438941302.35937721</v>
      </c>
      <c r="AA133" s="2">
        <f t="shared" si="11"/>
        <v>112271.48624681776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14164493509.208752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4452959970.363615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3060898203.2727981</v>
      </c>
      <c r="N140" s="2">
        <f>N8/'Output-Calculation-sheet'!N7*'Output-Calculation-sheet'!N115</f>
        <v>1155610394.411068</v>
      </c>
      <c r="O140" s="2">
        <f>O8/'Output-Calculation-sheet'!O7*'Output-Calculation-sheet'!O115</f>
        <v>3399409473.516355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332376794.91519302</v>
      </c>
      <c r="Y140" s="2">
        <f>Y8/'Output-Calculation-sheet'!Y7*'Output-Calculation-sheet'!Y115</f>
        <v>0</v>
      </c>
      <c r="AA140" s="2">
        <f t="shared" si="12"/>
        <v>26565.748345687774</v>
      </c>
    </row>
    <row r="141" spans="1:27" x14ac:dyDescent="0.25">
      <c r="A141" s="2">
        <v>2032</v>
      </c>
      <c r="B141" s="2">
        <f>B9/'Output-Calculation-sheet'!B8*'Output-Calculation-sheet'!B116</f>
        <v>5574470013.95364</v>
      </c>
      <c r="C141" s="2">
        <f>C9/'Output-Calculation-sheet'!C8*'Output-Calculation-sheet'!C116</f>
        <v>23862027764.986088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6220727160.9437571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4271040318.7250166</v>
      </c>
      <c r="N141" s="2">
        <f>N9/'Output-Calculation-sheet'!N8*'Output-Calculation-sheet'!N116</f>
        <v>2965221336.8805299</v>
      </c>
      <c r="O141" s="2">
        <f>O9/'Output-Calculation-sheet'!O8*'Output-Calculation-sheet'!O116</f>
        <v>4631759832.5174007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1328152287.2820923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464887730.97327203</v>
      </c>
      <c r="Y141" s="2">
        <f>Y9/'Output-Calculation-sheet'!Y8*'Output-Calculation-sheet'!Y116</f>
        <v>0</v>
      </c>
      <c r="AA141" s="2">
        <f t="shared" si="12"/>
        <v>49318.286446261794</v>
      </c>
    </row>
    <row r="142" spans="1:27" x14ac:dyDescent="0.25">
      <c r="A142" s="2">
        <v>2033</v>
      </c>
      <c r="B142" s="2">
        <f>B10/'Output-Calculation-sheet'!B9*'Output-Calculation-sheet'!B117</f>
        <v>26706902766.269405</v>
      </c>
      <c r="C142" s="2">
        <f>C10/'Output-Calculation-sheet'!C9*'Output-Calculation-sheet'!C117</f>
        <v>28201385785.778503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8734177482.2760391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6002014174.6454277</v>
      </c>
      <c r="N142" s="2">
        <f>N10/'Output-Calculation-sheet'!N9*'Output-Calculation-sheet'!N117</f>
        <v>4527630633.6117077</v>
      </c>
      <c r="O142" s="2">
        <f>O10/'Output-Calculation-sheet'!O9*'Output-Calculation-sheet'!O117</f>
        <v>5473531070.5432796</v>
      </c>
      <c r="P142" s="2">
        <f>P10/'Output-Calculation-sheet'!P9*'Output-Calculation-sheet'!P117</f>
        <v>0</v>
      </c>
      <c r="Q142" s="2">
        <f>Q10/'Output-Calculation-sheet'!Q9*'Output-Calculation-sheet'!Q117</f>
        <v>864714763.65247798</v>
      </c>
      <c r="R142" s="2">
        <f>R10/'Output-Calculation-sheet'!R9*'Output-Calculation-sheet'!R117</f>
        <v>0</v>
      </c>
      <c r="S142" s="2">
        <f>S10/'Output-Calculation-sheet'!S9*'Output-Calculation-sheet'!S117</f>
        <v>2201541166.3316045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657988729.13696015</v>
      </c>
      <c r="Y142" s="2">
        <f>Y10/'Output-Calculation-sheet'!Y9*'Output-Calculation-sheet'!Y117</f>
        <v>0</v>
      </c>
      <c r="AA142" s="2">
        <f t="shared" si="12"/>
        <v>83369.886572245407</v>
      </c>
    </row>
    <row r="143" spans="1:27" x14ac:dyDescent="0.25">
      <c r="A143" s="2">
        <v>2034</v>
      </c>
      <c r="B143" s="2">
        <f>B11/'Output-Calculation-sheet'!B10*'Output-Calculation-sheet'!B118</f>
        <v>43019740478.522812</v>
      </c>
      <c r="C143" s="2">
        <f>C11/'Output-Calculation-sheet'!C10*'Output-Calculation-sheet'!C118</f>
        <v>33006708283.722248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9149623748.5631714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6284063305.8909998</v>
      </c>
      <c r="N143" s="2">
        <f>N11/'Output-Calculation-sheet'!N10*'Output-Calculation-sheet'!N118</f>
        <v>5529471598.3098526</v>
      </c>
      <c r="O143" s="2">
        <f>O11/'Output-Calculation-sheet'!O10*'Output-Calculation-sheet'!O118</f>
        <v>6412286466.9729357</v>
      </c>
      <c r="P143" s="2">
        <f>P11/'Output-Calculation-sheet'!P10*'Output-Calculation-sheet'!P118</f>
        <v>1157719389.019274</v>
      </c>
      <c r="Q143" s="2">
        <f>Q11/'Output-Calculation-sheet'!Q10*'Output-Calculation-sheet'!Q118</f>
        <v>2725816995.8819985</v>
      </c>
      <c r="R143" s="2">
        <f>R11/'Output-Calculation-sheet'!R10*'Output-Calculation-sheet'!R118</f>
        <v>0</v>
      </c>
      <c r="S143" s="2">
        <f>S11/'Output-Calculation-sheet'!S10*'Output-Calculation-sheet'!S118</f>
        <v>3183863926.9133191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689894539.65896511</v>
      </c>
      <c r="Y143" s="2">
        <f>Y11/'Output-Calculation-sheet'!Y10*'Output-Calculation-sheet'!Y118</f>
        <v>80845454.2527816</v>
      </c>
      <c r="AA143" s="2">
        <f t="shared" si="12"/>
        <v>111240.03418770836</v>
      </c>
    </row>
    <row r="144" spans="1:27" x14ac:dyDescent="0.25">
      <c r="A144" s="2">
        <v>2035</v>
      </c>
      <c r="B144" s="2">
        <f>B12/'Output-Calculation-sheet'!B11*'Output-Calculation-sheet'!B119</f>
        <v>59215645207.058853</v>
      </c>
      <c r="C144" s="2">
        <f>C12/'Output-Calculation-sheet'!C11*'Output-Calculation-sheet'!C119</f>
        <v>31339990626.876045</v>
      </c>
      <c r="D144" s="2">
        <f>D12/'Output-Calculation-sheet'!D11*'Output-Calculation-sheet'!D119</f>
        <v>0</v>
      </c>
      <c r="E144" s="2">
        <f>E12/'Output-Calculation-sheet'!E11*'Output-Calculation-sheet'!E119</f>
        <v>7144801110.1487522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9512421946.7454319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6497974176.0953474</v>
      </c>
      <c r="N144" s="2">
        <f>N12/'Output-Calculation-sheet'!N11*'Output-Calculation-sheet'!N119</f>
        <v>6413452583.4019575</v>
      </c>
      <c r="O144" s="2">
        <f>O12/'Output-Calculation-sheet'!O11*'Output-Calculation-sheet'!O119</f>
        <v>6089634129.1142874</v>
      </c>
      <c r="P144" s="2">
        <f>P12/'Output-Calculation-sheet'!P11*'Output-Calculation-sheet'!P119</f>
        <v>2948968573.9376602</v>
      </c>
      <c r="Q144" s="2">
        <f>Q12/'Output-Calculation-sheet'!Q11*'Output-Calculation-sheet'!Q119</f>
        <v>3587324931.0209327</v>
      </c>
      <c r="R144" s="2">
        <f>R12/'Output-Calculation-sheet'!R11*'Output-Calculation-sheet'!R119</f>
        <v>0</v>
      </c>
      <c r="S144" s="2">
        <f>S12/'Output-Calculation-sheet'!S11*'Output-Calculation-sheet'!S119</f>
        <v>3696132269.1109614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725979865.14116597</v>
      </c>
      <c r="Y144" s="2">
        <f>Y12/'Output-Calculation-sheet'!Y11*'Output-Calculation-sheet'!Y119</f>
        <v>204730827.88504735</v>
      </c>
      <c r="AA144" s="2">
        <f t="shared" si="12"/>
        <v>137377.05624653646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1564038449.349334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341052401.77102309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40531.621212359154</v>
      </c>
    </row>
    <row r="155" spans="1:27" x14ac:dyDescent="0.25">
      <c r="A155" s="2">
        <v>2035</v>
      </c>
      <c r="B155" s="2">
        <f>B12/'Output-Calculation-sheet'!B11*'Output-Calculation-sheet'!B128</f>
        <v>778014674.82266438</v>
      </c>
      <c r="C155" s="2">
        <f>C12/'Output-Calculation-sheet'!C11*'Output-Calculation-sheet'!C128</f>
        <v>46504041.084853716</v>
      </c>
      <c r="D155" s="2">
        <f>D12/'Output-Calculation-sheet'!D11*'Output-Calculation-sheet'!D128</f>
        <v>3399016185.8207197</v>
      </c>
      <c r="E155" s="2">
        <f>E12/'Output-Calculation-sheet'!E11*'Output-Calculation-sheet'!E128</f>
        <v>795993501.5432694</v>
      </c>
      <c r="F155" s="2">
        <f>F12/'Output-Calculation-sheet'!F11*'Output-Calculation-sheet'!F128</f>
        <v>1375408243.9362159</v>
      </c>
      <c r="G155" s="2">
        <f>G12/'Output-Calculation-sheet'!G11*'Output-Calculation-sheet'!G128</f>
        <v>1298466232.5093746</v>
      </c>
      <c r="H155" s="2">
        <f>H12/'Output-Calculation-sheet'!H11*'Output-Calculation-sheet'!H128</f>
        <v>71489550.687681079</v>
      </c>
      <c r="I155" s="2">
        <f>I12/'Output-Calculation-sheet'!I11*'Output-Calculation-sheet'!I128</f>
        <v>1115054836.771811</v>
      </c>
      <c r="J155" s="2">
        <f>J12/'Output-Calculation-sheet'!J11*'Output-Calculation-sheet'!J128</f>
        <v>805997756.35020483</v>
      </c>
      <c r="K155" s="2">
        <f>K12/'Output-Calculation-sheet'!K11*'Output-Calculation-sheet'!K128</f>
        <v>892009731.98682392</v>
      </c>
      <c r="L155" s="2">
        <f>L12/'Output-Calculation-sheet'!L11*'Output-Calculation-sheet'!L128</f>
        <v>391181549.54863703</v>
      </c>
      <c r="M155" s="2">
        <f>M12/'Output-Calculation-sheet'!M11*'Output-Calculation-sheet'!M128</f>
        <v>56377415.13168779</v>
      </c>
      <c r="N155" s="2">
        <f>N12/'Output-Calculation-sheet'!N11*'Output-Calculation-sheet'!N128</f>
        <v>51528195.363890097</v>
      </c>
      <c r="O155" s="2">
        <f>O12/'Output-Calculation-sheet'!O11*'Output-Calculation-sheet'!O128</f>
        <v>11284299.394598126</v>
      </c>
      <c r="P155" s="2">
        <f>P12/'Output-Calculation-sheet'!P11*'Output-Calculation-sheet'!P128</f>
        <v>210207095.35814527</v>
      </c>
      <c r="Q155" s="2">
        <f>Q12/'Output-Calculation-sheet'!Q11*'Output-Calculation-sheet'!Q128</f>
        <v>256303775.95304671</v>
      </c>
      <c r="R155" s="2">
        <f>R12/'Output-Calculation-sheet'!R11*'Output-Calculation-sheet'!R128</f>
        <v>459317841.30569637</v>
      </c>
      <c r="S155" s="2">
        <f>S12/'Output-Calculation-sheet'!S11*'Output-Calculation-sheet'!S128</f>
        <v>33450709.945837934</v>
      </c>
      <c r="T155" s="2">
        <f>T12/'Output-Calculation-sheet'!T11*'Output-Calculation-sheet'!T128</f>
        <v>125964785.58993293</v>
      </c>
      <c r="U155" s="2">
        <f>U12/'Output-Calculation-sheet'!U11*'Output-Calculation-sheet'!U128</f>
        <v>290084425.62238884</v>
      </c>
      <c r="V155" s="2">
        <f>V12/'Output-Calculation-sheet'!V11*'Output-Calculation-sheet'!V128</f>
        <v>43268574.940445662</v>
      </c>
      <c r="W155" s="2">
        <f>W12/'Output-Calculation-sheet'!W11*'Output-Calculation-sheet'!W128</f>
        <v>87234094.394525334</v>
      </c>
      <c r="X155" s="2">
        <f>X12/'Output-Calculation-sheet'!X11*'Output-Calculation-sheet'!X128</f>
        <v>1853566.3183495358</v>
      </c>
      <c r="Y155" s="2">
        <f>Y12/'Output-Calculation-sheet'!Y11*'Output-Calculation-sheet'!Y128</f>
        <v>47962363.881516144</v>
      </c>
      <c r="AA155" s="2">
        <f t="shared" si="13"/>
        <v>12643.973448262313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4976.8986789644032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1507.5624556364858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1047.2127362226774</v>
      </c>
      <c r="N19" s="2">
        <f>N8/'Output-Calculation-sheet'!N7*'Output-Calculation-sheet'!N25</f>
        <v>871.15724654334622</v>
      </c>
      <c r="O19" s="2">
        <f>O8/'Output-Calculation-sheet'!O7*'Output-Calculation-sheet'!O25</f>
        <v>546.74533661496616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113.33754860642907</v>
      </c>
      <c r="Y19" s="2">
        <f>Y8/'Output-Calculation-sheet'!Y7*'Output-Calculation-sheet'!Y25</f>
        <v>0</v>
      </c>
      <c r="AA19" s="2">
        <f t="shared" si="0"/>
        <v>10.523596112896554</v>
      </c>
    </row>
    <row r="20" spans="1:27" x14ac:dyDescent="0.25">
      <c r="A20" s="2">
        <v>2032</v>
      </c>
      <c r="B20" s="2">
        <f>B9/'Output-Calculation-sheet'!B8*'Output-Calculation-sheet'!B26</f>
        <v>5155.3390532795138</v>
      </c>
      <c r="C20" s="2">
        <f>C9/'Output-Calculation-sheet'!C8*'Output-Calculation-sheet'!C26</f>
        <v>2827.0620762233307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1697.0993234692348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1185.9447196529829</v>
      </c>
      <c r="N20" s="2">
        <f>N9/'Output-Calculation-sheet'!N8*'Output-Calculation-sheet'!N26</f>
        <v>821.89200753546424</v>
      </c>
      <c r="O20" s="2">
        <f>O9/'Output-Calculation-sheet'!O8*'Output-Calculation-sheet'!O26</f>
        <v>552.35553827822355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389.86711304680546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129.04810613843679</v>
      </c>
      <c r="Y20" s="2">
        <f>Y9/'Output-Calculation-sheet'!Y8*'Output-Calculation-sheet'!Y26</f>
        <v>0</v>
      </c>
      <c r="AA20" s="2">
        <f t="shared" si="0"/>
        <v>12.75860793762399</v>
      </c>
    </row>
    <row r="21" spans="1:27" x14ac:dyDescent="0.25">
      <c r="A21" s="2">
        <v>2033</v>
      </c>
      <c r="B21" s="2">
        <f>B10/'Output-Calculation-sheet'!B9*'Output-Calculation-sheet'!B27</f>
        <v>4767.998343148558</v>
      </c>
      <c r="C21" s="2">
        <f>C10/'Output-Calculation-sheet'!C9*'Output-Calculation-sheet'!C27</f>
        <v>2930.6135643814937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960.88017553895463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680.11891486005277</v>
      </c>
      <c r="N21" s="2">
        <f>N10/'Output-Calculation-sheet'!N9*'Output-Calculation-sheet'!N27</f>
        <v>688.75458321879535</v>
      </c>
      <c r="O21" s="2">
        <f>O10/'Output-Calculation-sheet'!O9*'Output-Calculation-sheet'!O27</f>
        <v>573.75130567270935</v>
      </c>
      <c r="P21" s="2">
        <f>P10/'Output-Calculation-sheet'!P9*'Output-Calculation-sheet'!P27</f>
        <v>0</v>
      </c>
      <c r="Q21" s="2">
        <f>Q10/'Output-Calculation-sheet'!Q9*'Output-Calculation-sheet'!Q27</f>
        <v>8.0263158814734972</v>
      </c>
      <c r="R21" s="2">
        <f>R10/'Output-Calculation-sheet'!R9*'Output-Calculation-sheet'!R27</f>
        <v>0</v>
      </c>
      <c r="S21" s="2">
        <f>S10/'Output-Calculation-sheet'!S9*'Output-Calculation-sheet'!S27</f>
        <v>327.95943182056362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67.912796613362715</v>
      </c>
      <c r="Y21" s="2">
        <f>Y10/'Output-Calculation-sheet'!Y9*'Output-Calculation-sheet'!Y27</f>
        <v>0</v>
      </c>
      <c r="AA21" s="2">
        <f t="shared" si="0"/>
        <v>11.006015431135964</v>
      </c>
    </row>
    <row r="22" spans="1:27" x14ac:dyDescent="0.25">
      <c r="A22" s="2">
        <v>2034</v>
      </c>
      <c r="B22" s="2">
        <f>B11/'Output-Calculation-sheet'!B10*'Output-Calculation-sheet'!B28</f>
        <v>4058.4452292030037</v>
      </c>
      <c r="C22" s="2">
        <f>C11/'Output-Calculation-sheet'!C10*'Output-Calculation-sheet'!C28</f>
        <v>409.37326023779605</v>
      </c>
      <c r="D22" s="2">
        <f>D11/'Output-Calculation-sheet'!D10*'Output-Calculation-sheet'!D28</f>
        <v>0</v>
      </c>
      <c r="E22" s="2">
        <f>E11/'Output-Calculation-sheet'!E10*'Output-Calculation-sheet'!E28</f>
        <v>1359.3404300902796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1077.9118672386014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824.39296221657628</v>
      </c>
      <c r="M22" s="2">
        <f>M11/'Output-Calculation-sheet'!M10*'Output-Calculation-sheet'!M28</f>
        <v>767.14576725588893</v>
      </c>
      <c r="N22" s="2">
        <f>N11/'Output-Calculation-sheet'!N10*'Output-Calculation-sheet'!N28</f>
        <v>512.84132211658698</v>
      </c>
      <c r="O22" s="2">
        <f>O11/'Output-Calculation-sheet'!O10*'Output-Calculation-sheet'!O28</f>
        <v>80.299517729669958</v>
      </c>
      <c r="P22" s="2">
        <f>P11/'Output-Calculation-sheet'!P10*'Output-Calculation-sheet'!P28</f>
        <v>0</v>
      </c>
      <c r="Q22" s="2">
        <f>Q11/'Output-Calculation-sheet'!Q10*'Output-Calculation-sheet'!Q28</f>
        <v>263.9762847768381</v>
      </c>
      <c r="R22" s="2">
        <f>R11/'Output-Calculation-sheet'!R10*'Output-Calculation-sheet'!R28</f>
        <v>0</v>
      </c>
      <c r="S22" s="2">
        <f>S11/'Output-Calculation-sheet'!S10*'Output-Calculation-sheet'!S28</f>
        <v>192.02406095805867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75.377412928467137</v>
      </c>
      <c r="Y22" s="2">
        <f>Y11/'Output-Calculation-sheet'!Y10*'Output-Calculation-sheet'!Y28</f>
        <v>30.725962531080896</v>
      </c>
      <c r="AA22" s="2">
        <f t="shared" si="0"/>
        <v>9.6518540772828452</v>
      </c>
    </row>
    <row r="23" spans="1:27" x14ac:dyDescent="0.25">
      <c r="A23" s="2">
        <v>2035</v>
      </c>
      <c r="B23" s="2">
        <f>B12/'Output-Calculation-sheet'!B11*'Output-Calculation-sheet'!B29</f>
        <v>1823.6859898403425</v>
      </c>
      <c r="C23" s="2">
        <f>C12/'Output-Calculation-sheet'!C11*'Output-Calculation-sheet'!C29</f>
        <v>158.53174439930342</v>
      </c>
      <c r="D23" s="2">
        <f>D12/'Output-Calculation-sheet'!D11*'Output-Calculation-sheet'!D29</f>
        <v>0</v>
      </c>
      <c r="E23" s="2">
        <f>E12/'Output-Calculation-sheet'!E11*'Output-Calculation-sheet'!E29</f>
        <v>2517.4395323517615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268.81451021640567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1689.3157581960133</v>
      </c>
      <c r="M23" s="2">
        <f>M12/'Output-Calculation-sheet'!M11*'Output-Calculation-sheet'!M29</f>
        <v>246.5980817132731</v>
      </c>
      <c r="N23" s="2">
        <f>N12/'Output-Calculation-sheet'!N11*'Output-Calculation-sheet'!N29</f>
        <v>204.97703237577957</v>
      </c>
      <c r="O23" s="2">
        <f>O12/'Output-Calculation-sheet'!O11*'Output-Calculation-sheet'!O29</f>
        <v>28.109423812611656</v>
      </c>
      <c r="P23" s="2">
        <f>P12/'Output-Calculation-sheet'!P11*'Output-Calculation-sheet'!P29</f>
        <v>99.545680109986279</v>
      </c>
      <c r="Q23" s="2">
        <f>Q12/'Output-Calculation-sheet'!Q11*'Output-Calculation-sheet'!Q29</f>
        <v>374.3806999008853</v>
      </c>
      <c r="R23" s="2">
        <f>R12/'Output-Calculation-sheet'!R11*'Output-Calculation-sheet'!R29</f>
        <v>0</v>
      </c>
      <c r="S23" s="2">
        <f>S12/'Output-Calculation-sheet'!S11*'Output-Calculation-sheet'!S29</f>
        <v>85.629517720495699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7.9186796547703588</v>
      </c>
      <c r="Y23" s="2">
        <f>Y12/'Output-Calculation-sheet'!Y11*'Output-Calculation-sheet'!Y29</f>
        <v>68.792010687390018</v>
      </c>
      <c r="AA23" s="2">
        <f t="shared" si="0"/>
        <v>7.5737386609790169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993.10083342485837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38.936955196508542</v>
      </c>
    </row>
    <row r="31" spans="1:27" x14ac:dyDescent="0.25">
      <c r="A31" s="2">
        <v>2032</v>
      </c>
      <c r="B31" s="2">
        <f>B9/'Output-Calculation-sheet'!B8*'Output-Calculation-sheet'!B17</f>
        <v>21675.18013946155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847.52238733767217</v>
      </c>
      <c r="O31" s="2">
        <f>O9/'Output-Calculation-sheet'!O8*'Output-Calculation-sheet'!O17</f>
        <v>0</v>
      </c>
      <c r="P31" s="2">
        <f>P9/'Output-Calculation-sheet'!P8*'Output-Calculation-sheet'!P17</f>
        <v>2118.2506319845511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701.46697047217208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49.660415757793864</v>
      </c>
    </row>
    <row r="32" spans="1:27" x14ac:dyDescent="0.25">
      <c r="A32" s="2">
        <v>2033</v>
      </c>
      <c r="B32" s="2">
        <f>B10/'Output-Calculation-sheet'!B9*'Output-Calculation-sheet'!B18</f>
        <v>17247.110590782606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2700.4102042982981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698.08010251098074</v>
      </c>
      <c r="O32" s="2">
        <f>O10/'Output-Calculation-sheet'!O9*'Output-Calculation-sheet'!O18</f>
        <v>0</v>
      </c>
      <c r="P32" s="2">
        <f>P10/'Output-Calculation-sheet'!P9*'Output-Calculation-sheet'!P18</f>
        <v>2779.0840144678637</v>
      </c>
      <c r="Q32" s="2">
        <f>Q10/'Output-Calculation-sheet'!Q9*'Output-Calculation-sheet'!Q18</f>
        <v>2573.177350198433</v>
      </c>
      <c r="R32" s="2">
        <f>R10/'Output-Calculation-sheet'!R9*'Output-Calculation-sheet'!R18</f>
        <v>1995.5762589166216</v>
      </c>
      <c r="S32" s="2">
        <f>S10/'Output-Calculation-sheet'!S9*'Output-Calculation-sheet'!S18</f>
        <v>635.0465538997156</v>
      </c>
      <c r="T32" s="2">
        <f>T10/'Output-Calculation-sheet'!T9*'Output-Calculation-sheet'!T18</f>
        <v>582.67580184945916</v>
      </c>
      <c r="U32" s="2">
        <f>U10/'Output-Calculation-sheet'!U9*'Output-Calculation-sheet'!U18</f>
        <v>644.12231996989078</v>
      </c>
      <c r="V32" s="2">
        <f>V10/'Output-Calculation-sheet'!V9*'Output-Calculation-sheet'!V18</f>
        <v>475.4296817399383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275.24856934106964</v>
      </c>
      <c r="AA32" s="2">
        <f t="shared" si="1"/>
        <v>54.830308425945361</v>
      </c>
    </row>
    <row r="33" spans="1:27" x14ac:dyDescent="0.25">
      <c r="A33" s="2">
        <v>2034</v>
      </c>
      <c r="B33" s="2">
        <f>B11/'Output-Calculation-sheet'!B10*'Output-Calculation-sheet'!B19</f>
        <v>12267.604171201594</v>
      </c>
      <c r="C33" s="2">
        <f>C11/'Output-Calculation-sheet'!C10*'Output-Calculation-sheet'!C19</f>
        <v>0</v>
      </c>
      <c r="D33" s="2">
        <f>D11/'Output-Calculation-sheet'!D10*'Output-Calculation-sheet'!D19</f>
        <v>8158.485781051264</v>
      </c>
      <c r="E33" s="2">
        <f>E11/'Output-Calculation-sheet'!E10*'Output-Calculation-sheet'!E19</f>
        <v>10114.46244618916</v>
      </c>
      <c r="F33" s="2">
        <f>F11/'Output-Calculation-sheet'!F10*'Output-Calculation-sheet'!F19</f>
        <v>4631.2370556389405</v>
      </c>
      <c r="G33" s="2">
        <f>G11/'Output-Calculation-sheet'!G10*'Output-Calculation-sheet'!G19</f>
        <v>2758.8933932669115</v>
      </c>
      <c r="H33" s="2">
        <f>H11/'Output-Calculation-sheet'!H10*'Output-Calculation-sheet'!H19</f>
        <v>0</v>
      </c>
      <c r="I33" s="2">
        <f>I11/'Output-Calculation-sheet'!I10*'Output-Calculation-sheet'!I19</f>
        <v>3030.5762005754495</v>
      </c>
      <c r="J33" s="2">
        <f>J11/'Output-Calculation-sheet'!J10*'Output-Calculation-sheet'!J19</f>
        <v>2562.7046234160048</v>
      </c>
      <c r="K33" s="2">
        <f>K11/'Output-Calculation-sheet'!K10*'Output-Calculation-sheet'!K19</f>
        <v>3554.5317285042679</v>
      </c>
      <c r="L33" s="2">
        <f>L11/'Output-Calculation-sheet'!L10*'Output-Calculation-sheet'!L19</f>
        <v>2890.974399372169</v>
      </c>
      <c r="M33" s="2">
        <f>M11/'Output-Calculation-sheet'!M10*'Output-Calculation-sheet'!M19</f>
        <v>0</v>
      </c>
      <c r="N33" s="2">
        <f>N11/'Output-Calculation-sheet'!N10*'Output-Calculation-sheet'!N19</f>
        <v>548.75231700268046</v>
      </c>
      <c r="O33" s="2">
        <f>O11/'Output-Calculation-sheet'!O10*'Output-Calculation-sheet'!O19</f>
        <v>0</v>
      </c>
      <c r="P33" s="2">
        <f>P11/'Output-Calculation-sheet'!P10*'Output-Calculation-sheet'!P19</f>
        <v>2716.4133811376892</v>
      </c>
      <c r="Q33" s="2">
        <f>Q11/'Output-Calculation-sheet'!Q10*'Output-Calculation-sheet'!Q19</f>
        <v>1730.8207517009423</v>
      </c>
      <c r="R33" s="2">
        <f>R11/'Output-Calculation-sheet'!R10*'Output-Calculation-sheet'!R19</f>
        <v>2567.8918201635065</v>
      </c>
      <c r="S33" s="2">
        <f>S11/'Output-Calculation-sheet'!S10*'Output-Calculation-sheet'!S19</f>
        <v>348.84132963985735</v>
      </c>
      <c r="T33" s="2">
        <f>T11/'Output-Calculation-sheet'!T10*'Output-Calculation-sheet'!T19</f>
        <v>753.30997824623637</v>
      </c>
      <c r="U33" s="2">
        <f>U11/'Output-Calculation-sheet'!U10*'Output-Calculation-sheet'!U19</f>
        <v>814.74652695164843</v>
      </c>
      <c r="V33" s="2">
        <f>V11/'Output-Calculation-sheet'!V10*'Output-Calculation-sheet'!V19</f>
        <v>590.89434447512156</v>
      </c>
      <c r="W33" s="2">
        <f>W11/'Output-Calculation-sheet'!W10*'Output-Calculation-sheet'!W19</f>
        <v>367.91814238949217</v>
      </c>
      <c r="X33" s="2">
        <f>X11/'Output-Calculation-sheet'!X10*'Output-Calculation-sheet'!X19</f>
        <v>0</v>
      </c>
      <c r="Y33" s="2">
        <f>Y11/'Output-Calculation-sheet'!Y10*'Output-Calculation-sheet'!Y19</f>
        <v>301.21992508257352</v>
      </c>
      <c r="AA33" s="2">
        <f t="shared" si="1"/>
        <v>60.710278316005521</v>
      </c>
    </row>
    <row r="34" spans="1:27" x14ac:dyDescent="0.25">
      <c r="A34" s="2">
        <v>2035</v>
      </c>
      <c r="B34" s="2">
        <f>B12/'Output-Calculation-sheet'!B11*'Output-Calculation-sheet'!B20</f>
        <v>3120.6367347557502</v>
      </c>
      <c r="C34" s="2">
        <f>C12/'Output-Calculation-sheet'!C11*'Output-Calculation-sheet'!C20</f>
        <v>0</v>
      </c>
      <c r="D34" s="2">
        <f>D12/'Output-Calculation-sheet'!D11*'Output-Calculation-sheet'!D20</f>
        <v>8171.3295934348062</v>
      </c>
      <c r="E34" s="2">
        <f>E12/'Output-Calculation-sheet'!E11*'Output-Calculation-sheet'!E20</f>
        <v>5334.0570462953656</v>
      </c>
      <c r="F34" s="2">
        <f>F12/'Output-Calculation-sheet'!F11*'Output-Calculation-sheet'!F20</f>
        <v>5077.9138023683736</v>
      </c>
      <c r="G34" s="2">
        <f>G12/'Output-Calculation-sheet'!G11*'Output-Calculation-sheet'!G20</f>
        <v>2739.7135590473972</v>
      </c>
      <c r="H34" s="2">
        <f>H12/'Output-Calculation-sheet'!H11*'Output-Calculation-sheet'!H20</f>
        <v>0</v>
      </c>
      <c r="I34" s="2">
        <f>I12/'Output-Calculation-sheet'!I11*'Output-Calculation-sheet'!I20</f>
        <v>3045.8078296170497</v>
      </c>
      <c r="J34" s="2">
        <f>J12/'Output-Calculation-sheet'!J11*'Output-Calculation-sheet'!J20</f>
        <v>2824.5751973266429</v>
      </c>
      <c r="K34" s="2">
        <f>K12/'Output-Calculation-sheet'!K11*'Output-Calculation-sheet'!K20</f>
        <v>3765.4388624669482</v>
      </c>
      <c r="L34" s="2">
        <f>L12/'Output-Calculation-sheet'!L11*'Output-Calculation-sheet'!L20</f>
        <v>2997.9121011035386</v>
      </c>
      <c r="M34" s="2">
        <f>M12/'Output-Calculation-sheet'!M11*'Output-Calculation-sheet'!M20</f>
        <v>0</v>
      </c>
      <c r="N34" s="2">
        <f>N12/'Output-Calculation-sheet'!N11*'Output-Calculation-sheet'!N20</f>
        <v>2.213233420685573E-2</v>
      </c>
      <c r="O34" s="2">
        <f>O12/'Output-Calculation-sheet'!O11*'Output-Calculation-sheet'!O20</f>
        <v>0</v>
      </c>
      <c r="P34" s="2">
        <f>P12/'Output-Calculation-sheet'!P11*'Output-Calculation-sheet'!P20</f>
        <v>1541.4046029413219</v>
      </c>
      <c r="Q34" s="2">
        <f>Q12/'Output-Calculation-sheet'!Q11*'Output-Calculation-sheet'!Q20</f>
        <v>1036.5054051875732</v>
      </c>
      <c r="R34" s="2">
        <f>R12/'Output-Calculation-sheet'!R11*'Output-Calculation-sheet'!R20</f>
        <v>2876.6003087818121</v>
      </c>
      <c r="S34" s="2">
        <f>S12/'Output-Calculation-sheet'!S11*'Output-Calculation-sheet'!S20</f>
        <v>3.4079746958191315</v>
      </c>
      <c r="T34" s="2">
        <f>T12/'Output-Calculation-sheet'!T11*'Output-Calculation-sheet'!T20</f>
        <v>871.94566474082819</v>
      </c>
      <c r="U34" s="2">
        <f>U12/'Output-Calculation-sheet'!U11*'Output-Calculation-sheet'!U20</f>
        <v>803.12762178353444</v>
      </c>
      <c r="V34" s="2">
        <f>V12/'Output-Calculation-sheet'!V11*'Output-Calculation-sheet'!V20</f>
        <v>790.51155360007908</v>
      </c>
      <c r="W34" s="2">
        <f>W12/'Output-Calculation-sheet'!W11*'Output-Calculation-sheet'!W20</f>
        <v>428.70178563995523</v>
      </c>
      <c r="X34" s="2">
        <f>X12/'Output-Calculation-sheet'!X11*'Output-Calculation-sheet'!X20</f>
        <v>0</v>
      </c>
      <c r="Y34" s="2">
        <f>Y12/'Output-Calculation-sheet'!Y11*'Output-Calculation-sheet'!Y20</f>
        <v>195.82809933617474</v>
      </c>
      <c r="AA34" s="2">
        <f t="shared" si="1"/>
        <v>45.625439875457168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1.837609488263935E-2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3.3654415177239013E-3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2.1741536400363252E-2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5.1123166359603366E-2</v>
      </c>
      <c r="E45" s="2">
        <f>E12/'Output-Calculation-sheet'!E11*'Output-Calculation-sheet'!E38*0.0114</f>
        <v>0.12188798582930478</v>
      </c>
      <c r="F45" s="2">
        <f>F12/'Output-Calculation-sheet'!F11*'Output-Calculation-sheet'!F38*0.0114</f>
        <v>5.1106105021026589E-2</v>
      </c>
      <c r="G45" s="2">
        <f>G12/'Output-Calculation-sheet'!G11*'Output-Calculation-sheet'!G38*0.0114</f>
        <v>3.6678071032897372E-2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3.2989658378891736E-2</v>
      </c>
      <c r="J45" s="2">
        <f>J12/'Output-Calculation-sheet'!J11*'Output-Calculation-sheet'!J38*0.0114</f>
        <v>1.6324416924344672E-2</v>
      </c>
      <c r="K45" s="2">
        <f>K12/'Output-Calculation-sheet'!K11*'Output-Calculation-sheet'!K38*0.0114</f>
        <v>3.2423582993839635E-2</v>
      </c>
      <c r="L45" s="2">
        <f>L12/'Output-Calculation-sheet'!L11*'Output-Calculation-sheet'!L38*0.0114</f>
        <v>1.2890870284324851E-2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3.3298405334078608E-2</v>
      </c>
      <c r="Q45" s="2">
        <f>Q12/'Output-Calculation-sheet'!Q11*'Output-Calculation-sheet'!Q38*0.0114</f>
        <v>1.0526712967598313E-2</v>
      </c>
      <c r="R45" s="2">
        <f>R12/'Output-Calculation-sheet'!R11*'Output-Calculation-sheet'!R38*0.0114</f>
        <v>2.0878439855547874E-2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3.862118118850618E-3</v>
      </c>
      <c r="U45" s="2">
        <f>U12/'Output-Calculation-sheet'!U11*'Output-Calculation-sheet'!U38*0.0114</f>
        <v>1.007596313301223E-2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4.4852069551314048E-3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5.176565201960753E-3</v>
      </c>
      <c r="AA45" s="2">
        <f t="shared" si="2"/>
        <v>0.68707058821386102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0.13820004287413992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176.93099670894549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0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16.508968700790177</v>
      </c>
      <c r="AA54" s="2">
        <f t="shared" si="3"/>
        <v>4.3583025747201809</v>
      </c>
    </row>
    <row r="55" spans="1:27" x14ac:dyDescent="0.25">
      <c r="A55" s="2">
        <v>2034</v>
      </c>
      <c r="B55" s="2">
        <f>B11/'Output-Calculation-sheet'!B10*'Output-Calculation-sheet'!B46</f>
        <v>1603.1822702290362</v>
      </c>
      <c r="C55" s="2">
        <f>C11/'Output-Calculation-sheet'!C10*'Output-Calculation-sheet'!C46</f>
        <v>0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267.27702615510117</v>
      </c>
      <c r="G55" s="2">
        <f>G11/'Output-Calculation-sheet'!G10*'Output-Calculation-sheet'!G46</f>
        <v>3012.7123978642935</v>
      </c>
      <c r="H55" s="2">
        <f>H11/'Output-Calculation-sheet'!H10*'Output-Calculation-sheet'!H46</f>
        <v>546.53876864947745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1239.7191284089852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405.08311962747337</v>
      </c>
      <c r="N55" s="2">
        <f>N11/'Output-Calculation-sheet'!N10*'Output-Calculation-sheet'!N46</f>
        <v>138.34260638371592</v>
      </c>
      <c r="O55" s="2">
        <f>O11/'Output-Calculation-sheet'!O10*'Output-Calculation-sheet'!O46</f>
        <v>0</v>
      </c>
      <c r="P55" s="2">
        <f>P11/'Output-Calculation-sheet'!P10*'Output-Calculation-sheet'!P46</f>
        <v>3008.7661326300063</v>
      </c>
      <c r="Q55" s="2">
        <f>Q11/'Output-Calculation-sheet'!Q10*'Output-Calculation-sheet'!Q46</f>
        <v>644.90751979311585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0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1146.907043540119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76.087213178896263</v>
      </c>
      <c r="X55" s="2">
        <f>X11/'Output-Calculation-sheet'!X10*'Output-Calculation-sheet'!X46</f>
        <v>38.662639572363616</v>
      </c>
      <c r="Y55" s="2">
        <f>Y11/'Output-Calculation-sheet'!Y10*'Output-Calculation-sheet'!Y46</f>
        <v>268.90634585559309</v>
      </c>
      <c r="AA55" s="2">
        <f t="shared" si="3"/>
        <v>39.826038962729882</v>
      </c>
    </row>
    <row r="56" spans="1:27" x14ac:dyDescent="0.25">
      <c r="A56" s="2">
        <v>2035</v>
      </c>
      <c r="B56" s="2">
        <f>B12/'Output-Calculation-sheet'!B11*'Output-Calculation-sheet'!B47</f>
        <v>2869.242064775478</v>
      </c>
      <c r="C56" s="2">
        <f>C12/'Output-Calculation-sheet'!C11*'Output-Calculation-sheet'!C47</f>
        <v>329.06158026360282</v>
      </c>
      <c r="D56" s="2">
        <f>D12/'Output-Calculation-sheet'!D11*'Output-Calculation-sheet'!D47</f>
        <v>8098.9858285476903</v>
      </c>
      <c r="E56" s="2">
        <f>E12/'Output-Calculation-sheet'!E11*'Output-Calculation-sheet'!E47</f>
        <v>10613.5211052535</v>
      </c>
      <c r="F56" s="2">
        <f>F12/'Output-Calculation-sheet'!F11*'Output-Calculation-sheet'!F47</f>
        <v>1120.7479171277762</v>
      </c>
      <c r="G56" s="2">
        <f>G12/'Output-Calculation-sheet'!G11*'Output-Calculation-sheet'!G47</f>
        <v>2996.9844883459564</v>
      </c>
      <c r="H56" s="2">
        <f>H12/'Output-Calculation-sheet'!H11*'Output-Calculation-sheet'!H47</f>
        <v>127.78799291425992</v>
      </c>
      <c r="I56" s="2">
        <f>I12/'Output-Calculation-sheet'!I11*'Output-Calculation-sheet'!I47</f>
        <v>1909.9275903568896</v>
      </c>
      <c r="J56" s="2">
        <f>J12/'Output-Calculation-sheet'!J11*'Output-Calculation-sheet'!J47</f>
        <v>3188.9891658347001</v>
      </c>
      <c r="K56" s="2">
        <f>K12/'Output-Calculation-sheet'!K11*'Output-Calculation-sheet'!K47</f>
        <v>4259.1504853749866</v>
      </c>
      <c r="L56" s="2">
        <f>L12/'Output-Calculation-sheet'!L11*'Output-Calculation-sheet'!L47</f>
        <v>4612.4438499790413</v>
      </c>
      <c r="M56" s="2">
        <f>M12/'Output-Calculation-sheet'!M11*'Output-Calculation-sheet'!M47</f>
        <v>97.58149220279455</v>
      </c>
      <c r="N56" s="2">
        <f>N12/'Output-Calculation-sheet'!N11*'Output-Calculation-sheet'!N47</f>
        <v>91.691098856973738</v>
      </c>
      <c r="O56" s="2">
        <f>O12/'Output-Calculation-sheet'!O11*'Output-Calculation-sheet'!O47</f>
        <v>59.993522010052516</v>
      </c>
      <c r="P56" s="2">
        <f>P12/'Output-Calculation-sheet'!P11*'Output-Calculation-sheet'!P47</f>
        <v>2179.0009104581263</v>
      </c>
      <c r="Q56" s="2">
        <f>Q12/'Output-Calculation-sheet'!Q11*'Output-Calculation-sheet'!Q47</f>
        <v>837.52005803611144</v>
      </c>
      <c r="R56" s="2">
        <f>R12/'Output-Calculation-sheet'!R11*'Output-Calculation-sheet'!R47</f>
        <v>4695.8175254056796</v>
      </c>
      <c r="S56" s="2">
        <f>S12/'Output-Calculation-sheet'!S11*'Output-Calculation-sheet'!S47</f>
        <v>39.269341469286218</v>
      </c>
      <c r="T56" s="2">
        <f>T12/'Output-Calculation-sheet'!T11*'Output-Calculation-sheet'!T47</f>
        <v>1579.7418235263535</v>
      </c>
      <c r="U56" s="2">
        <f>U12/'Output-Calculation-sheet'!U11*'Output-Calculation-sheet'!U47</f>
        <v>1107.4720882161689</v>
      </c>
      <c r="V56" s="2">
        <f>V12/'Output-Calculation-sheet'!V11*'Output-Calculation-sheet'!V47</f>
        <v>1094.3108204115276</v>
      </c>
      <c r="W56" s="2">
        <f>W12/'Output-Calculation-sheet'!W11*'Output-Calculation-sheet'!W47</f>
        <v>387.34089888832176</v>
      </c>
      <c r="X56" s="2">
        <f>X12/'Output-Calculation-sheet'!X11*'Output-Calculation-sheet'!X47</f>
        <v>9.9990755501074133</v>
      </c>
      <c r="Y56" s="2">
        <f>Y12/'Output-Calculation-sheet'!Y11*'Output-Calculation-sheet'!Y47</f>
        <v>309.11813695041951</v>
      </c>
      <c r="AA56" s="2">
        <f t="shared" si="3"/>
        <v>52.615698860755792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7.1809261883721005</v>
      </c>
      <c r="C63" s="2">
        <f>C8*'Output-Calculation-sheet'!C52/10^9</f>
        <v>3.8364200882156774</v>
      </c>
      <c r="D63" s="2">
        <f>D8*'Output-Calculation-sheet'!D52/10^9</f>
        <v>2.4624934788118886</v>
      </c>
      <c r="E63" s="2">
        <f>E8*'Output-Calculation-sheet'!E52/10^9</f>
        <v>2.4483790529342229</v>
      </c>
      <c r="F63" s="2">
        <f>F8*'Output-Calculation-sheet'!F52/10^9</f>
        <v>1.036888326511185</v>
      </c>
      <c r="G63" s="2">
        <f>G8*'Output-Calculation-sheet'!G52/10^9</f>
        <v>0.74547586414697919</v>
      </c>
      <c r="H63" s="2">
        <f>H8*'Output-Calculation-sheet'!H52/10^9</f>
        <v>1.2124448770554692</v>
      </c>
      <c r="I63" s="2">
        <f>I8*'Output-Calculation-sheet'!I52/10^9</f>
        <v>0.69346562517586952</v>
      </c>
      <c r="J63" s="2">
        <f>J8*'Output-Calculation-sheet'!J52/10^9</f>
        <v>0.9542557046815735</v>
      </c>
      <c r="K63" s="2">
        <f>K8*'Output-Calculation-sheet'!K52/10^9</f>
        <v>0.83839851002507582</v>
      </c>
      <c r="L63" s="2">
        <f>L8*'Output-Calculation-sheet'!L52/10^9</f>
        <v>1.1276863348564325</v>
      </c>
      <c r="M63" s="2">
        <f>M8*'Output-Calculation-sheet'!M52/10^9</f>
        <v>0.99327480952236691</v>
      </c>
      <c r="N63" s="2">
        <f>N8*'Output-Calculation-sheet'!N52/10^9</f>
        <v>0.87642103443834818</v>
      </c>
      <c r="O63" s="2">
        <f>O8*'Output-Calculation-sheet'!O52/10^9</f>
        <v>0.78489843158779271</v>
      </c>
      <c r="P63" s="2">
        <f>P8*'Output-Calculation-sheet'!P52/10^9</f>
        <v>0.57931075463199555</v>
      </c>
      <c r="Q63" s="2">
        <f>Q8*'Output-Calculation-sheet'!Q52/10^9</f>
        <v>0.65561000959868454</v>
      </c>
      <c r="R63" s="2">
        <f>R8*'Output-Calculation-sheet'!R52/10^9</f>
        <v>0.58860764986385716</v>
      </c>
      <c r="S63" s="2">
        <f>S8*'Output-Calculation-sheet'!S52/10^9</f>
        <v>0.43617912395377334</v>
      </c>
      <c r="T63" s="2">
        <f>T8*'Output-Calculation-sheet'!T52/10^9</f>
        <v>0.22378022024217434</v>
      </c>
      <c r="U63" s="2">
        <f>U8*'Output-Calculation-sheet'!U52/10^9</f>
        <v>0.15368985730891738</v>
      </c>
      <c r="V63" s="2">
        <f>V8*'Output-Calculation-sheet'!V52/10^9</f>
        <v>0.27276317696235153</v>
      </c>
      <c r="W63" s="2">
        <f>W8*'Output-Calculation-sheet'!W52/10^9</f>
        <v>9.872749097630712E-2</v>
      </c>
      <c r="X63" s="2">
        <f>X8*'Output-Calculation-sheet'!X52/10^9</f>
        <v>0.10172697671652393</v>
      </c>
      <c r="Y63" s="2">
        <f>Y8*'Output-Calculation-sheet'!Y52/10^9</f>
        <v>6.4416941504277958E-2</v>
      </c>
      <c r="AA63" s="2">
        <f t="shared" si="4"/>
        <v>28.366240528093837</v>
      </c>
    </row>
    <row r="64" spans="1:27" x14ac:dyDescent="0.25">
      <c r="A64" s="2">
        <v>2032</v>
      </c>
      <c r="B64" s="2">
        <f>B9*'Output-Calculation-sheet'!B53/10^9</f>
        <v>7.3913076012197649</v>
      </c>
      <c r="C64" s="2">
        <f>C9*'Output-Calculation-sheet'!C53/10^9</f>
        <v>3.918360437961224</v>
      </c>
      <c r="D64" s="2">
        <f>D9*'Output-Calculation-sheet'!D53/10^9</f>
        <v>2.1890644305813751</v>
      </c>
      <c r="E64" s="2">
        <f>E9*'Output-Calculation-sheet'!E53/10^9</f>
        <v>2.2416982911541825</v>
      </c>
      <c r="F64" s="2">
        <f>F9*'Output-Calculation-sheet'!F53/10^9</f>
        <v>0.94553428260642325</v>
      </c>
      <c r="G64" s="2">
        <f>G9*'Output-Calculation-sheet'!G53/10^9</f>
        <v>0.67300237742452496</v>
      </c>
      <c r="H64" s="2">
        <f>H9*'Output-Calculation-sheet'!H53/10^9</f>
        <v>1.2297483540916581</v>
      </c>
      <c r="I64" s="2">
        <f>I9*'Output-Calculation-sheet'!I53/10^9</f>
        <v>0.62914722983672211</v>
      </c>
      <c r="J64" s="2">
        <f>J9*'Output-Calculation-sheet'!J53/10^9</f>
        <v>0.83286309900347677</v>
      </c>
      <c r="K64" s="2">
        <f>K9*'Output-Calculation-sheet'!K53/10^9</f>
        <v>0.77278364192638005</v>
      </c>
      <c r="L64" s="2">
        <f>L9*'Output-Calculation-sheet'!L53/10^9</f>
        <v>0.99418384554304928</v>
      </c>
      <c r="M64" s="2">
        <f>M9*'Output-Calculation-sheet'!M53/10^9</f>
        <v>0.97566148930123009</v>
      </c>
      <c r="N64" s="2">
        <f>N9*'Output-Calculation-sheet'!N53/10^9</f>
        <v>0.87841058372111436</v>
      </c>
      <c r="O64" s="2">
        <f>O9*'Output-Calculation-sheet'!O53/10^9</f>
        <v>0.79349733221805696</v>
      </c>
      <c r="P64" s="2">
        <f>P9*'Output-Calculation-sheet'!P53/10^9</f>
        <v>0.58919957674277734</v>
      </c>
      <c r="Q64" s="2">
        <f>Q9*'Output-Calculation-sheet'!Q53/10^9</f>
        <v>0.65114916928117583</v>
      </c>
      <c r="R64" s="2">
        <f>R9*'Output-Calculation-sheet'!R53/10^9</f>
        <v>0.55818860811927429</v>
      </c>
      <c r="S64" s="2">
        <f>S9*'Output-Calculation-sheet'!S53/10^9</f>
        <v>0.44915875353803969</v>
      </c>
      <c r="T64" s="2">
        <f>T9*'Output-Calculation-sheet'!T53/10^9</f>
        <v>0.2006534782119008</v>
      </c>
      <c r="U64" s="2">
        <f>U9*'Output-Calculation-sheet'!U53/10^9</f>
        <v>0.15102768951280079</v>
      </c>
      <c r="V64" s="2">
        <f>V9*'Output-Calculation-sheet'!V53/10^9</f>
        <v>0.23816211003301643</v>
      </c>
      <c r="W64" s="2">
        <f>W9*'Output-Calculation-sheet'!W53/10^9</f>
        <v>8.8496594367221418E-2</v>
      </c>
      <c r="X64" s="2">
        <f>X9*'Output-Calculation-sheet'!X53/10^9</f>
        <v>0.10146007934176399</v>
      </c>
      <c r="Y64" s="2">
        <f>Y9*'Output-Calculation-sheet'!Y53/10^9</f>
        <v>6.2003634341126899E-2</v>
      </c>
      <c r="AA64" s="2">
        <f t="shared" si="4"/>
        <v>27.554762690078277</v>
      </c>
    </row>
    <row r="65" spans="1:27" x14ac:dyDescent="0.25">
      <c r="A65" s="2">
        <v>2033</v>
      </c>
      <c r="B65" s="2">
        <f>B10*'Output-Calculation-sheet'!B54/10^9</f>
        <v>7.4882577431236692</v>
      </c>
      <c r="C65" s="2">
        <f>C10*'Output-Calculation-sheet'!C54/10^9</f>
        <v>3.8708146265922441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1.2155664364436976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0.70823562459830069</v>
      </c>
      <c r="L65" s="2">
        <f>L10*'Output-Calculation-sheet'!L54/10^9</f>
        <v>0.83649477770571723</v>
      </c>
      <c r="M65" s="2">
        <f>M10*'Output-Calculation-sheet'!M54/10^9</f>
        <v>0.92694682132555273</v>
      </c>
      <c r="N65" s="2">
        <f>N10*'Output-Calculation-sheet'!N54/10^9</f>
        <v>0.85058729597021887</v>
      </c>
      <c r="O65" s="2">
        <f>O10*'Output-Calculation-sheet'!O54/10^9</f>
        <v>0.77572836762798647</v>
      </c>
      <c r="P65" s="2">
        <f>P10*'Output-Calculation-sheet'!P54/10^9</f>
        <v>0.59918974271295755</v>
      </c>
      <c r="Q65" s="2">
        <f>Q10*'Output-Calculation-sheet'!Q54/10^9</f>
        <v>0.65271923684753774</v>
      </c>
      <c r="R65" s="2">
        <f>R10*'Output-Calculation-sheet'!R54/10^9</f>
        <v>0.52752114644585157</v>
      </c>
      <c r="S65" s="2">
        <f>S10*'Output-Calculation-sheet'!S54/10^9</f>
        <v>0.44868356900624662</v>
      </c>
      <c r="T65" s="2">
        <f>T10*'Output-Calculation-sheet'!T54/10^9</f>
        <v>0.17637604847710775</v>
      </c>
      <c r="U65" s="2">
        <f>U10*'Output-Calculation-sheet'!U54/10^9</f>
        <v>0.15229444412582294</v>
      </c>
      <c r="V65" s="2">
        <f>V10*'Output-Calculation-sheet'!V54/10^9</f>
        <v>0.19519106591507743</v>
      </c>
      <c r="W65" s="2">
        <f>W10*'Output-Calculation-sheet'!W54/10^9</f>
        <v>7.4313727768749116E-2</v>
      </c>
      <c r="X65" s="2">
        <f>X10*'Output-Calculation-sheet'!X54/10^9</f>
        <v>9.7191028775295257E-2</v>
      </c>
      <c r="Y65" s="2">
        <f>Y10*'Output-Calculation-sheet'!Y54/10^9</f>
        <v>6.1165432862113012E-2</v>
      </c>
      <c r="AA65" s="2">
        <f t="shared" si="4"/>
        <v>26.140780517130498</v>
      </c>
    </row>
    <row r="66" spans="1:27" x14ac:dyDescent="0.25">
      <c r="A66" s="2">
        <v>2034</v>
      </c>
      <c r="B66" s="2">
        <f>B11*'Output-Calculation-sheet'!B55/10^9</f>
        <v>7.4574157366964329</v>
      </c>
      <c r="C66" s="2">
        <f>C11*'Output-Calculation-sheet'!C55/10^9</f>
        <v>3.751363711432588</v>
      </c>
      <c r="D66" s="2">
        <f>D11*'Output-Calculation-sheet'!D55/10^9</f>
        <v>1.6830159565275782</v>
      </c>
      <c r="E66" s="2">
        <f>E11*'Output-Calculation-sheet'!E55/10^9</f>
        <v>2.0380129603876127</v>
      </c>
      <c r="F66" s="2">
        <f>F11*'Output-Calculation-sheet'!F55/10^9</f>
        <v>0.78323867890957088</v>
      </c>
      <c r="G66" s="2">
        <f>G11*'Output-Calculation-sheet'!G55/10^9</f>
        <v>0.55987885338561605</v>
      </c>
      <c r="H66" s="2">
        <f>H11*'Output-Calculation-sheet'!H55/10^9</f>
        <v>1.1682529571008986</v>
      </c>
      <c r="I66" s="2">
        <f>I11*'Output-Calculation-sheet'!I55/10^9</f>
        <v>0.54746066159901563</v>
      </c>
      <c r="J66" s="2">
        <f>J11*'Output-Calculation-sheet'!J55/10^9</f>
        <v>0.56297327471028713</v>
      </c>
      <c r="K66" s="2">
        <f>K11*'Output-Calculation-sheet'!K55/10^9</f>
        <v>0.67335573088818168</v>
      </c>
      <c r="L66" s="2">
        <f>L11*'Output-Calculation-sheet'!L55/10^9</f>
        <v>0.71309456551284756</v>
      </c>
      <c r="M66" s="2">
        <f>M11*'Output-Calculation-sheet'!M55/10^9</f>
        <v>0.85157568558813135</v>
      </c>
      <c r="N66" s="2">
        <f>N11*'Output-Calculation-sheet'!N55/10^9</f>
        <v>0.8044928685271302</v>
      </c>
      <c r="O66" s="2">
        <f>O11*'Output-Calculation-sheet'!O55/10^9</f>
        <v>0.73940641673047924</v>
      </c>
      <c r="P66" s="2">
        <f>P11*'Output-Calculation-sheet'!P55/10^9</f>
        <v>0.61739722213066572</v>
      </c>
      <c r="Q66" s="2">
        <f>Q11*'Output-Calculation-sheet'!Q55/10^9</f>
        <v>0.65310584666576488</v>
      </c>
      <c r="R66" s="2">
        <f>R11*'Output-Calculation-sheet'!R55/10^9</f>
        <v>0.50445248475888638</v>
      </c>
      <c r="S66" s="2">
        <f>S11*'Output-Calculation-sheet'!S55/10^9</f>
        <v>0.44000400501087589</v>
      </c>
      <c r="T66" s="2">
        <f>T11*'Output-Calculation-sheet'!T55/10^9</f>
        <v>0.15810754454810705</v>
      </c>
      <c r="U66" s="2">
        <f>U11*'Output-Calculation-sheet'!U55/10^9</f>
        <v>0.16059036961139131</v>
      </c>
      <c r="V66" s="2">
        <f>V11*'Output-Calculation-sheet'!V55/10^9</f>
        <v>0.14998703436201863</v>
      </c>
      <c r="W66" s="2">
        <f>W11*'Output-Calculation-sheet'!W55/10^9</f>
        <v>6.7915105161644104E-2</v>
      </c>
      <c r="X66" s="2">
        <f>X11*'Output-Calculation-sheet'!X55/10^9</f>
        <v>9.0983930629021395E-2</v>
      </c>
      <c r="Y66" s="2">
        <f>Y11*'Output-Calculation-sheet'!Y55/10^9</f>
        <v>6.6397522056627703E-2</v>
      </c>
      <c r="AA66" s="2">
        <f t="shared" si="4"/>
        <v>25.242479122931378</v>
      </c>
    </row>
    <row r="67" spans="1:27" x14ac:dyDescent="0.25">
      <c r="A67" s="2">
        <v>2035</v>
      </c>
      <c r="B67" s="2">
        <f>B12*'Output-Calculation-sheet'!B56/10^9</f>
        <v>7.5178001391452902</v>
      </c>
      <c r="C67" s="2">
        <f>C12*'Output-Calculation-sheet'!C56/10^9</f>
        <v>3.5284926957647449</v>
      </c>
      <c r="D67" s="2">
        <f>D12*'Output-Calculation-sheet'!D56/10^9</f>
        <v>1.7346916447195488</v>
      </c>
      <c r="E67" s="2">
        <f>E12*'Output-Calculation-sheet'!E56/10^9</f>
        <v>2.318968283224883</v>
      </c>
      <c r="F67" s="2">
        <f>F12*'Output-Calculation-sheet'!F56/10^9</f>
        <v>0.86022199251568643</v>
      </c>
      <c r="G67" s="2">
        <f>G12*'Output-Calculation-sheet'!G56/10^9</f>
        <v>0.60259918364425813</v>
      </c>
      <c r="H67" s="2">
        <f>H12*'Output-Calculation-sheet'!H56/10^9</f>
        <v>1.1108758406839581</v>
      </c>
      <c r="I67" s="2">
        <f>I12*'Output-Calculation-sheet'!I56/10^9</f>
        <v>0.5853718096562307</v>
      </c>
      <c r="J67" s="2">
        <f>J12*'Output-Calculation-sheet'!J56/10^9</f>
        <v>0.57954207868575847</v>
      </c>
      <c r="K67" s="2">
        <f>K12*'Output-Calculation-sheet'!K56/10^9</f>
        <v>0.69835858712716659</v>
      </c>
      <c r="L67" s="2">
        <f>L12*'Output-Calculation-sheet'!L56/10^9</f>
        <v>0.70150983998890426</v>
      </c>
      <c r="M67" s="2">
        <f>M12*'Output-Calculation-sheet'!M56/10^9</f>
        <v>0.77277146399993957</v>
      </c>
      <c r="N67" s="2">
        <f>N12*'Output-Calculation-sheet'!N56/10^9</f>
        <v>0.75382407124897244</v>
      </c>
      <c r="O67" s="2">
        <f>O12*'Output-Calculation-sheet'!O56/10^9</f>
        <v>0.68590442904553217</v>
      </c>
      <c r="P67" s="2">
        <f>P12*'Output-Calculation-sheet'!P56/10^9</f>
        <v>0.65558703022100906</v>
      </c>
      <c r="Q67" s="2">
        <f>Q12*'Output-Calculation-sheet'!Q56/10^9</f>
        <v>0.66539878141059117</v>
      </c>
      <c r="R67" s="2">
        <f>R12*'Output-Calculation-sheet'!R56/10^9</f>
        <v>0.52971646986424337</v>
      </c>
      <c r="S67" s="2">
        <f>S12*'Output-Calculation-sheet'!S56/10^9</f>
        <v>0.4307020187910145</v>
      </c>
      <c r="T67" s="2">
        <f>T12*'Output-Calculation-sheet'!T56/10^9</f>
        <v>0.16053990909636634</v>
      </c>
      <c r="U67" s="2">
        <f>U12*'Output-Calculation-sheet'!U56/10^9</f>
        <v>0.16785756585131609</v>
      </c>
      <c r="V67" s="2">
        <f>V12*'Output-Calculation-sheet'!V56/10^9</f>
        <v>0.12876318803257902</v>
      </c>
      <c r="W67" s="2">
        <f>W12*'Output-Calculation-sheet'!W56/10^9</f>
        <v>7.7743182668624816E-2</v>
      </c>
      <c r="X67" s="2">
        <f>X12*'Output-Calculation-sheet'!X56/10^9</f>
        <v>8.2610750937527802E-2</v>
      </c>
      <c r="Y67" s="2">
        <f>Y12*'Output-Calculation-sheet'!Y56/10^9</f>
        <v>7.4674686147392186E-2</v>
      </c>
      <c r="AA67" s="2">
        <f t="shared" si="4"/>
        <v>25.424525642471544</v>
      </c>
    </row>
    <row r="68" spans="1:27" x14ac:dyDescent="0.25">
      <c r="B68" s="2">
        <f>SUM(B60:B67)</f>
        <v>37.035707408557258</v>
      </c>
      <c r="C68" s="2">
        <f t="shared" ref="C68:Y68" si="5">SUM(C60:C67)</f>
        <v>18.905451559966476</v>
      </c>
      <c r="D68" s="2">
        <f t="shared" si="5"/>
        <v>9.8864592894490624</v>
      </c>
      <c r="E68" s="2">
        <f t="shared" si="5"/>
        <v>11.093187810121828</v>
      </c>
      <c r="F68" s="2">
        <f t="shared" si="5"/>
        <v>4.456575867001237</v>
      </c>
      <c r="G68" s="2">
        <f t="shared" si="5"/>
        <v>3.1513023558780611</v>
      </c>
      <c r="H68" s="2">
        <f t="shared" si="5"/>
        <v>5.9368884653756817</v>
      </c>
      <c r="I68" s="2">
        <f t="shared" si="5"/>
        <v>3.0108068915001871</v>
      </c>
      <c r="J68" s="2">
        <f t="shared" si="5"/>
        <v>3.5934143076904395</v>
      </c>
      <c r="K68" s="2">
        <f t="shared" si="5"/>
        <v>3.6911320945651052</v>
      </c>
      <c r="L68" s="2">
        <f t="shared" si="5"/>
        <v>4.3729693636069511</v>
      </c>
      <c r="M68" s="2">
        <f t="shared" si="5"/>
        <v>4.5202302697372208</v>
      </c>
      <c r="N68" s="2">
        <f t="shared" si="5"/>
        <v>4.1637358539057843</v>
      </c>
      <c r="O68" s="2">
        <f t="shared" si="5"/>
        <v>3.7794349772098474</v>
      </c>
      <c r="P68" s="2">
        <f t="shared" si="5"/>
        <v>3.040684326439405</v>
      </c>
      <c r="Q68" s="2">
        <f t="shared" si="5"/>
        <v>3.2779830438037543</v>
      </c>
      <c r="R68" s="2">
        <f t="shared" si="5"/>
        <v>2.7084863590521131</v>
      </c>
      <c r="S68" s="2">
        <f t="shared" si="5"/>
        <v>2.2047274702999502</v>
      </c>
      <c r="T68" s="2">
        <f t="shared" si="5"/>
        <v>0.91945720057565627</v>
      </c>
      <c r="U68" s="2">
        <f t="shared" si="5"/>
        <v>0.78545992641024842</v>
      </c>
      <c r="V68" s="2">
        <f t="shared" si="5"/>
        <v>0.98486657530504307</v>
      </c>
      <c r="W68" s="2">
        <f t="shared" si="5"/>
        <v>0.40719610094254655</v>
      </c>
      <c r="X68" s="2">
        <f t="shared" si="5"/>
        <v>0.47397276640013236</v>
      </c>
      <c r="Y68" s="2">
        <f t="shared" si="5"/>
        <v>0.32865821691153779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50.622401135175849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5.0622401135175847E-2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470.77899133736565</v>
      </c>
      <c r="Q76" s="2">
        <f>Q10/'Output-Calculation-sheet'!Q9*'Output-Calculation-sheet'!Q63</f>
        <v>55.922897698252029</v>
      </c>
      <c r="R76" s="2">
        <f>R10/'Output-Calculation-sheet'!R9*'Output-Calculation-sheet'!R63</f>
        <v>358.85077220304322</v>
      </c>
      <c r="S76" s="2">
        <f>S10/'Output-Calculation-sheet'!S9*'Output-Calculation-sheet'!S63</f>
        <v>0</v>
      </c>
      <c r="T76" s="2">
        <f>T10/'Output-Calculation-sheet'!T9*'Output-Calculation-sheet'!T63</f>
        <v>23.573677783283028</v>
      </c>
      <c r="U76" s="2">
        <f>U10/'Output-Calculation-sheet'!U9*'Output-Calculation-sheet'!U63</f>
        <v>127.32823535099031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6.0471906162651159</v>
      </c>
      <c r="AA76" s="2">
        <f t="shared" si="6"/>
        <v>1.1414984328915554</v>
      </c>
    </row>
    <row r="77" spans="1:27" x14ac:dyDescent="0.25">
      <c r="A77" s="2">
        <v>2034</v>
      </c>
      <c r="B77" s="2">
        <f>B11/'Output-Calculation-sheet'!B10*'Output-Calculation-sheet'!B64</f>
        <v>485.25120955292471</v>
      </c>
      <c r="C77" s="2">
        <f>C11/'Output-Calculation-sheet'!C10*'Output-Calculation-sheet'!C64</f>
        <v>0</v>
      </c>
      <c r="D77" s="2">
        <f>D11/'Output-Calculation-sheet'!D10*'Output-Calculation-sheet'!D64</f>
        <v>1632.1519035201172</v>
      </c>
      <c r="E77" s="2">
        <f>E11/'Output-Calculation-sheet'!E10*'Output-Calculation-sheet'!E64</f>
        <v>2023.8224240532111</v>
      </c>
      <c r="F77" s="2">
        <f>F11/'Output-Calculation-sheet'!F10*'Output-Calculation-sheet'!F64</f>
        <v>126.79262756729219</v>
      </c>
      <c r="G77" s="2">
        <f>G11/'Output-Calculation-sheet'!G10*'Output-Calculation-sheet'!G64</f>
        <v>817.6846402567279</v>
      </c>
      <c r="H77" s="2">
        <f>H11/'Output-Calculation-sheet'!H10*'Output-Calculation-sheet'!H64</f>
        <v>133.81767519481605</v>
      </c>
      <c r="I77" s="2">
        <f>I11/'Output-Calculation-sheet'!I10*'Output-Calculation-sheet'!I64</f>
        <v>505.93283203027715</v>
      </c>
      <c r="J77" s="2">
        <f>J11/'Output-Calculation-sheet'!J10*'Output-Calculation-sheet'!J64</f>
        <v>355.54828933547185</v>
      </c>
      <c r="K77" s="2">
        <f>K11/'Output-Calculation-sheet'!K10*'Output-Calculation-sheet'!K64</f>
        <v>775.70728917428255</v>
      </c>
      <c r="L77" s="2">
        <f>L11/'Output-Calculation-sheet'!L10*'Output-Calculation-sheet'!L64</f>
        <v>320.7475198490726</v>
      </c>
      <c r="M77" s="2">
        <f>M11/'Output-Calculation-sheet'!M10*'Output-Calculation-sheet'!M64</f>
        <v>96.37754774033381</v>
      </c>
      <c r="N77" s="2">
        <f>N11/'Output-Calculation-sheet'!N10*'Output-Calculation-sheet'!N64</f>
        <v>31.874770141066392</v>
      </c>
      <c r="O77" s="2">
        <f>O11/'Output-Calculation-sheet'!O10*'Output-Calculation-sheet'!O64</f>
        <v>0</v>
      </c>
      <c r="P77" s="2">
        <f>P11/'Output-Calculation-sheet'!P10*'Output-Calculation-sheet'!P64</f>
        <v>656.32857589672847</v>
      </c>
      <c r="Q77" s="2">
        <f>Q11/'Output-Calculation-sheet'!Q10*'Output-Calculation-sheet'!Q64</f>
        <v>158.3076787647104</v>
      </c>
      <c r="R77" s="2">
        <f>R11/'Output-Calculation-sheet'!R10*'Output-Calculation-sheet'!R64</f>
        <v>816.07160032239972</v>
      </c>
      <c r="S77" s="2">
        <f>S11/'Output-Calculation-sheet'!S10*'Output-Calculation-sheet'!S64</f>
        <v>0</v>
      </c>
      <c r="T77" s="2">
        <f>T11/'Output-Calculation-sheet'!T10*'Output-Calculation-sheet'!T64</f>
        <v>226.27743278894931</v>
      </c>
      <c r="U77" s="2">
        <f>U11/'Output-Calculation-sheet'!U10*'Output-Calculation-sheet'!U64</f>
        <v>248.17680915617535</v>
      </c>
      <c r="V77" s="2">
        <f>V11/'Output-Calculation-sheet'!V10*'Output-Calculation-sheet'!V64</f>
        <v>116.9445359187509</v>
      </c>
      <c r="W77" s="2">
        <f>W11/'Output-Calculation-sheet'!W10*'Output-Calculation-sheet'!W64</f>
        <v>25.659722734618711</v>
      </c>
      <c r="X77" s="2">
        <f>X11/'Output-Calculation-sheet'!X10*'Output-Calculation-sheet'!X64</f>
        <v>9.6077838076334938</v>
      </c>
      <c r="Y77" s="2">
        <f>Y11/'Output-Calculation-sheet'!Y10*'Output-Calculation-sheet'!Y64</f>
        <v>54.1544847890341</v>
      </c>
      <c r="AA77" s="2">
        <f t="shared" si="6"/>
        <v>9.6172373525945947</v>
      </c>
    </row>
    <row r="78" spans="1:27" x14ac:dyDescent="0.25">
      <c r="A78" s="2">
        <v>2035</v>
      </c>
      <c r="B78" s="2">
        <f>B12/'Output-Calculation-sheet'!B11*'Output-Calculation-sheet'!B65</f>
        <v>578.40293474564999</v>
      </c>
      <c r="C78" s="2">
        <f>C12/'Output-Calculation-sheet'!C11*'Output-Calculation-sheet'!C65</f>
        <v>59.129834730444323</v>
      </c>
      <c r="D78" s="2">
        <f>D12/'Output-Calculation-sheet'!D11*'Output-Calculation-sheet'!D65</f>
        <v>1838.5011744982658</v>
      </c>
      <c r="E78" s="2">
        <f>E12/'Output-Calculation-sheet'!E11*'Output-Calculation-sheet'!E65</f>
        <v>1716.5713138817398</v>
      </c>
      <c r="F78" s="2">
        <f>F12/'Output-Calculation-sheet'!F11*'Output-Calculation-sheet'!F65</f>
        <v>406.08731730040989</v>
      </c>
      <c r="G78" s="2">
        <f>G12/'Output-Calculation-sheet'!G11*'Output-Calculation-sheet'!G65</f>
        <v>803.95275198191632</v>
      </c>
      <c r="H78" s="2">
        <f>H12/'Output-Calculation-sheet'!H11*'Output-Calculation-sheet'!H65</f>
        <v>23.232480467875448</v>
      </c>
      <c r="I78" s="2">
        <f>I12/'Output-Calculation-sheet'!I11*'Output-Calculation-sheet'!I65</f>
        <v>533.16496833717281</v>
      </c>
      <c r="J78" s="2">
        <f>J12/'Output-Calculation-sheet'!J11*'Output-Calculation-sheet'!J65</f>
        <v>777.95440819361409</v>
      </c>
      <c r="K78" s="2">
        <f>K12/'Output-Calculation-sheet'!K11*'Output-Calculation-sheet'!K65</f>
        <v>971.14746040535374</v>
      </c>
      <c r="L78" s="2">
        <f>L12/'Output-Calculation-sheet'!L11*'Output-Calculation-sheet'!L65</f>
        <v>819.34145371549721</v>
      </c>
      <c r="M78" s="2">
        <f>M12/'Output-Calculation-sheet'!M11*'Output-Calculation-sheet'!M65</f>
        <v>19.419789272446256</v>
      </c>
      <c r="N78" s="2">
        <f>N12/'Output-Calculation-sheet'!N11*'Output-Calculation-sheet'!N65</f>
        <v>15.763491558663866</v>
      </c>
      <c r="O78" s="2">
        <f>O12/'Output-Calculation-sheet'!O11*'Output-Calculation-sheet'!O65</f>
        <v>10.745724942325145</v>
      </c>
      <c r="P78" s="2">
        <f>P12/'Output-Calculation-sheet'!P11*'Output-Calculation-sheet'!P65</f>
        <v>449.52944564764408</v>
      </c>
      <c r="Q78" s="2">
        <f>Q12/'Output-Calculation-sheet'!Q11*'Output-Calculation-sheet'!Q65</f>
        <v>170.15785135010628</v>
      </c>
      <c r="R78" s="2">
        <f>R12/'Output-Calculation-sheet'!R11*'Output-Calculation-sheet'!R65</f>
        <v>1031.2136160968985</v>
      </c>
      <c r="S78" s="2">
        <f>S12/'Output-Calculation-sheet'!S11*'Output-Calculation-sheet'!S65</f>
        <v>6.1344752812174193</v>
      </c>
      <c r="T78" s="2">
        <f>T12/'Output-Calculation-sheet'!T11*'Output-Calculation-sheet'!T65</f>
        <v>355.21560372295659</v>
      </c>
      <c r="U78" s="2">
        <f>U12/'Output-Calculation-sheet'!U11*'Output-Calculation-sheet'!U65</f>
        <v>243.38341638388513</v>
      </c>
      <c r="V78" s="2">
        <f>V12/'Output-Calculation-sheet'!V11*'Output-Calculation-sheet'!V65</f>
        <v>200.64916994005674</v>
      </c>
      <c r="W78" s="2">
        <f>W12/'Output-Calculation-sheet'!W11*'Output-Calculation-sheet'!W65</f>
        <v>94.879831865325784</v>
      </c>
      <c r="X78" s="2">
        <f>X12/'Output-Calculation-sheet'!X11*'Output-Calculation-sheet'!X65</f>
        <v>2.0805135315199967</v>
      </c>
      <c r="Y78" s="2">
        <f>Y12/'Output-Calculation-sheet'!Y11*'Output-Calculation-sheet'!Y65</f>
        <v>53.467674872085539</v>
      </c>
      <c r="AA78" s="2">
        <f t="shared" si="6"/>
        <v>11.180126702723074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1.611938147599943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1.1808566728855794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2.7927948204855223E-3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26.906929662949139</v>
      </c>
      <c r="E89" s="2">
        <f>E12/'Output-Calculation-sheet'!E11*'Output-Calculation-sheet'!E74</f>
        <v>60.587595295268464</v>
      </c>
      <c r="F89" s="2">
        <f>F12/'Output-Calculation-sheet'!F11*'Output-Calculation-sheet'!F74</f>
        <v>26.897950011066627</v>
      </c>
      <c r="G89" s="2">
        <f>G12/'Output-Calculation-sheet'!G11*'Output-Calculation-sheet'!G74</f>
        <v>19.304247912051249</v>
      </c>
      <c r="H89" s="2">
        <f>H12/'Output-Calculation-sheet'!H11*'Output-Calculation-sheet'!H74</f>
        <v>3.1167803149819493</v>
      </c>
      <c r="I89" s="2">
        <f>I12/'Output-Calculation-sheet'!I11*'Output-Calculation-sheet'!I74</f>
        <v>17.362978094153544</v>
      </c>
      <c r="J89" s="2">
        <f>J12/'Output-Calculation-sheet'!J11*'Output-Calculation-sheet'!J74</f>
        <v>8.5917983812340371</v>
      </c>
      <c r="K89" s="2">
        <f>K12/'Output-Calculation-sheet'!K11*'Output-Calculation-sheet'!K74</f>
        <v>12.798782760726169</v>
      </c>
      <c r="L89" s="2">
        <f>L12/'Output-Calculation-sheet'!L11*'Output-Calculation-sheet'!L74</f>
        <v>6.7846685706972902</v>
      </c>
      <c r="M89" s="2">
        <f>M12/'Output-Calculation-sheet'!M11*'Output-Calculation-sheet'!M74</f>
        <v>2.144648180281199</v>
      </c>
      <c r="N89" s="2">
        <f>N12/'Output-Calculation-sheet'!N11*'Output-Calculation-sheet'!N74</f>
        <v>1.0539206765169395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20.446389240223706</v>
      </c>
      <c r="Q89" s="2">
        <f>Q12/'Output-Calculation-sheet'!Q11*'Output-Calculation-sheet'!Q74</f>
        <v>4.6169793717536463</v>
      </c>
      <c r="R89" s="2">
        <f>R12/'Output-Calculation-sheet'!R11*'Output-Calculation-sheet'!R74</f>
        <v>10.988652555551512</v>
      </c>
      <c r="S89" s="2">
        <f>S12/'Output-Calculation-sheet'!S11*'Output-Calculation-sheet'!S74</f>
        <v>1.2082874298241912</v>
      </c>
      <c r="T89" s="2">
        <f>T12/'Output-Calculation-sheet'!T11*'Output-Calculation-sheet'!T74</f>
        <v>2.37147603789073</v>
      </c>
      <c r="U89" s="2">
        <f>U12/'Output-Calculation-sheet'!U11*'Output-Calculation-sheet'!U74</f>
        <v>5.892376101176743</v>
      </c>
      <c r="V89" s="2">
        <f>V12/'Output-Calculation-sheet'!V11*'Output-Calculation-sheet'!V74</f>
        <v>0.45435367258107856</v>
      </c>
      <c r="W89" s="2">
        <f>W12/'Output-Calculation-sheet'!W11*'Output-Calculation-sheet'!W74</f>
        <v>2.7540744461333189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2.8380291677416407</v>
      </c>
      <c r="AA89" s="2">
        <f t="shared" si="7"/>
        <v>0.26461719503347036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8197253685.6146374</v>
      </c>
      <c r="C96" s="2">
        <f>C8/'Output-Calculation-sheet'!C7*'Output-Calculation-sheet'!C79</f>
        <v>1979502679.3694053</v>
      </c>
      <c r="D96" s="2">
        <f>D8/'Output-Calculation-sheet'!D7*'Output-Calculation-sheet'!D79</f>
        <v>1607053727.6742177</v>
      </c>
      <c r="E96" s="2">
        <f>E8/'Output-Calculation-sheet'!E7*'Output-Calculation-sheet'!E79</f>
        <v>6021054206.9204912</v>
      </c>
      <c r="F96" s="2">
        <f>F8/'Output-Calculation-sheet'!F7*'Output-Calculation-sheet'!F79</f>
        <v>1756433021.592478</v>
      </c>
      <c r="G96" s="2">
        <f>G8/'Output-Calculation-sheet'!G7*'Output-Calculation-sheet'!G79</f>
        <v>1127379654.1593385</v>
      </c>
      <c r="H96" s="2">
        <f>H8/'Output-Calculation-sheet'!H7*'Output-Calculation-sheet'!H79</f>
        <v>1388894361.3137825</v>
      </c>
      <c r="I96" s="2">
        <f>I8/'Output-Calculation-sheet'!I7*'Output-Calculation-sheet'!I79</f>
        <v>810693729.92513561</v>
      </c>
      <c r="J96" s="2">
        <f>J8/'Output-Calculation-sheet'!J7*'Output-Calculation-sheet'!J79</f>
        <v>614345194.16880739</v>
      </c>
      <c r="K96" s="2">
        <f>K8/'Output-Calculation-sheet'!K7*'Output-Calculation-sheet'!K79</f>
        <v>770469495.72041023</v>
      </c>
      <c r="L96" s="2">
        <f>L8/'Output-Calculation-sheet'!L7*'Output-Calculation-sheet'!L79</f>
        <v>699454892.6043694</v>
      </c>
      <c r="M96" s="2">
        <f>M8/'Output-Calculation-sheet'!M7*'Output-Calculation-sheet'!M79</f>
        <v>1071663542.4523164</v>
      </c>
      <c r="N96" s="2">
        <f>N8/'Output-Calculation-sheet'!N7*'Output-Calculation-sheet'!N79</f>
        <v>696652778.24660325</v>
      </c>
      <c r="O96" s="2">
        <f>O8/'Output-Calculation-sheet'!O7*'Output-Calculation-sheet'!O79</f>
        <v>261398769.96094316</v>
      </c>
      <c r="P96" s="2">
        <f>P8/'Output-Calculation-sheet'!P7*'Output-Calculation-sheet'!P79</f>
        <v>1326788141.953562</v>
      </c>
      <c r="Q96" s="2">
        <f>Q8/'Output-Calculation-sheet'!Q7*'Output-Calculation-sheet'!Q79</f>
        <v>563310890.90160525</v>
      </c>
      <c r="R96" s="2">
        <f>R8/'Output-Calculation-sheet'!R7*'Output-Calculation-sheet'!R79</f>
        <v>747672817.56718934</v>
      </c>
      <c r="S96" s="2">
        <f>S8/'Output-Calculation-sheet'!S7*'Output-Calculation-sheet'!S79</f>
        <v>421657145.46537548</v>
      </c>
      <c r="T96" s="2">
        <f>T8/'Output-Calculation-sheet'!T7*'Output-Calculation-sheet'!T79</f>
        <v>254376916.90962172</v>
      </c>
      <c r="U96" s="2">
        <f>U8/'Output-Calculation-sheet'!U7*'Output-Calculation-sheet'!U79</f>
        <v>200226541.9322364</v>
      </c>
      <c r="V96" s="2">
        <f>V8/'Output-Calculation-sheet'!V7*'Output-Calculation-sheet'!V79</f>
        <v>91897011.282498196</v>
      </c>
      <c r="W96" s="2">
        <f>W8/'Output-Calculation-sheet'!W7*'Output-Calculation-sheet'!W79</f>
        <v>282942591.39131021</v>
      </c>
      <c r="X96" s="2">
        <f>X8/'Output-Calculation-sheet'!X7*'Output-Calculation-sheet'!X79</f>
        <v>127612680.70483728</v>
      </c>
      <c r="Y96" s="2">
        <f>Y8/'Output-Calculation-sheet'!Y7*'Output-Calculation-sheet'!Y79</f>
        <v>175618526.20257103</v>
      </c>
      <c r="AA96" s="2">
        <f t="shared" si="8"/>
        <v>31.194353004033744</v>
      </c>
    </row>
    <row r="97" spans="1:27" x14ac:dyDescent="0.25">
      <c r="A97" s="2">
        <v>2032</v>
      </c>
      <c r="B97" s="2">
        <f>B9/'Output-Calculation-sheet'!B8*'Output-Calculation-sheet'!B80</f>
        <v>10143295926.752563</v>
      </c>
      <c r="C97" s="2">
        <f>C9/'Output-Calculation-sheet'!C8*'Output-Calculation-sheet'!C80</f>
        <v>2395667070.0223823</v>
      </c>
      <c r="D97" s="2">
        <f>D9/'Output-Calculation-sheet'!D8*'Output-Calculation-sheet'!D80</f>
        <v>1830021483.7326052</v>
      </c>
      <c r="E97" s="2">
        <f>E9/'Output-Calculation-sheet'!E8*'Output-Calculation-sheet'!E80</f>
        <v>7704130653.8686266</v>
      </c>
      <c r="F97" s="2">
        <f>F9/'Output-Calculation-sheet'!F8*'Output-Calculation-sheet'!F80</f>
        <v>2112737061.4007702</v>
      </c>
      <c r="G97" s="2">
        <f>G9/'Output-Calculation-sheet'!G8*'Output-Calculation-sheet'!G80</f>
        <v>1294572676.459538</v>
      </c>
      <c r="H97" s="2">
        <f>H9/'Output-Calculation-sheet'!H8*'Output-Calculation-sheet'!H80</f>
        <v>1695060172.7218745</v>
      </c>
      <c r="I97" s="2">
        <f>I9/'Output-Calculation-sheet'!I8*'Output-Calculation-sheet'!I80</f>
        <v>976351008.02363932</v>
      </c>
      <c r="J97" s="2">
        <f>J9/'Output-Calculation-sheet'!J8*'Output-Calculation-sheet'!J80</f>
        <v>729603396.47540498</v>
      </c>
      <c r="K97" s="2">
        <f>K9/'Output-Calculation-sheet'!K8*'Output-Calculation-sheet'!K80</f>
        <v>899848759.27995336</v>
      </c>
      <c r="L97" s="2">
        <f>L9/'Output-Calculation-sheet'!L8*'Output-Calculation-sheet'!L80</f>
        <v>867966585.57254982</v>
      </c>
      <c r="M97" s="2">
        <f>M9/'Output-Calculation-sheet'!M8*'Output-Calculation-sheet'!M80</f>
        <v>1337287657.5520475</v>
      </c>
      <c r="N97" s="2">
        <f>N9/'Output-Calculation-sheet'!N8*'Output-Calculation-sheet'!N80</f>
        <v>840224500.52328598</v>
      </c>
      <c r="O97" s="2">
        <f>O9/'Output-Calculation-sheet'!O8*'Output-Calculation-sheet'!O80</f>
        <v>312326122.09434575</v>
      </c>
      <c r="P97" s="2">
        <f>P9/'Output-Calculation-sheet'!P8*'Output-Calculation-sheet'!P80</f>
        <v>1575217817.160527</v>
      </c>
      <c r="Q97" s="2">
        <f>Q9/'Output-Calculation-sheet'!Q8*'Output-Calculation-sheet'!Q80</f>
        <v>681336344.55480099</v>
      </c>
      <c r="R97" s="2">
        <f>R9/'Output-Calculation-sheet'!R8*'Output-Calculation-sheet'!R80</f>
        <v>912995808.2904613</v>
      </c>
      <c r="S97" s="2">
        <f>S9/'Output-Calculation-sheet'!S8*'Output-Calculation-sheet'!S80</f>
        <v>508138251.03580165</v>
      </c>
      <c r="T97" s="2">
        <f>T9/'Output-Calculation-sheet'!T8*'Output-Calculation-sheet'!T80</f>
        <v>296291961.42657256</v>
      </c>
      <c r="U97" s="2">
        <f>U9/'Output-Calculation-sheet'!U8*'Output-Calculation-sheet'!U80</f>
        <v>235766335.59402624</v>
      </c>
      <c r="V97" s="2">
        <f>V9/'Output-Calculation-sheet'!V8*'Output-Calculation-sheet'!V80</f>
        <v>108749097.09099114</v>
      </c>
      <c r="W97" s="2">
        <f>W9/'Output-Calculation-sheet'!W8*'Output-Calculation-sheet'!W80</f>
        <v>336522996.59239155</v>
      </c>
      <c r="X97" s="2">
        <f>X9/'Output-Calculation-sheet'!X8*'Output-Calculation-sheet'!X80</f>
        <v>162988287.95005754</v>
      </c>
      <c r="Y97" s="2">
        <f>Y9/'Output-Calculation-sheet'!Y8*'Output-Calculation-sheet'!Y80</f>
        <v>213955788.56846109</v>
      </c>
      <c r="AA97" s="2">
        <f t="shared" si="8"/>
        <v>38.171055762743677</v>
      </c>
    </row>
    <row r="98" spans="1:27" x14ac:dyDescent="0.25">
      <c r="A98" s="2">
        <v>2033</v>
      </c>
      <c r="B98" s="2">
        <f>B10/'Output-Calculation-sheet'!B9*'Output-Calculation-sheet'!B81</f>
        <v>11606529509.690796</v>
      </c>
      <c r="C98" s="2">
        <f>C10/'Output-Calculation-sheet'!C9*'Output-Calculation-sheet'!C81</f>
        <v>2687621057.6737318</v>
      </c>
      <c r="D98" s="2">
        <f>D10/'Output-Calculation-sheet'!D9*'Output-Calculation-sheet'!D81</f>
        <v>1933457219.5475378</v>
      </c>
      <c r="E98" s="2">
        <f>E10/'Output-Calculation-sheet'!E9*'Output-Calculation-sheet'!E81</f>
        <v>9126664504.6524353</v>
      </c>
      <c r="F98" s="2">
        <f>F10/'Output-Calculation-sheet'!F9*'Output-Calculation-sheet'!F81</f>
        <v>2351491114.2203169</v>
      </c>
      <c r="G98" s="2">
        <f>G10/'Output-Calculation-sheet'!G9*'Output-Calculation-sheet'!G81</f>
        <v>1373791971.7005396</v>
      </c>
      <c r="H98" s="2">
        <f>H10/'Output-Calculation-sheet'!H9*'Output-Calculation-sheet'!H81</f>
        <v>1912531263.4201624</v>
      </c>
      <c r="I98" s="2">
        <f>I10/'Output-Calculation-sheet'!I9*'Output-Calculation-sheet'!I81</f>
        <v>1089934410.0067637</v>
      </c>
      <c r="J98" s="2">
        <f>J10/'Output-Calculation-sheet'!J9*'Output-Calculation-sheet'!J81</f>
        <v>804035304.38513637</v>
      </c>
      <c r="K98" s="2">
        <f>K10/'Output-Calculation-sheet'!K9*'Output-Calculation-sheet'!K81</f>
        <v>973647429.44234133</v>
      </c>
      <c r="L98" s="2">
        <f>L10/'Output-Calculation-sheet'!L9*'Output-Calculation-sheet'!L81</f>
        <v>997893383.79398298</v>
      </c>
      <c r="M98" s="2">
        <f>M10/'Output-Calculation-sheet'!M9*'Output-Calculation-sheet'!M81</f>
        <v>1546381438.7660313</v>
      </c>
      <c r="N98" s="2">
        <f>N10/'Output-Calculation-sheet'!N9*'Output-Calculation-sheet'!N81</f>
        <v>939758106.45281816</v>
      </c>
      <c r="O98" s="2">
        <f>O10/'Output-Calculation-sheet'!O9*'Output-Calculation-sheet'!O81</f>
        <v>346610533.40942252</v>
      </c>
      <c r="P98" s="2">
        <f>P10/'Output-Calculation-sheet'!P9*'Output-Calculation-sheet'!P81</f>
        <v>1719549773.0791204</v>
      </c>
      <c r="Q98" s="2">
        <f>Q10/'Output-Calculation-sheet'!Q9*'Output-Calculation-sheet'!Q81</f>
        <v>764051648.2141974</v>
      </c>
      <c r="R98" s="2">
        <f>R10/'Output-Calculation-sheet'!R9*'Output-Calculation-sheet'!R81</f>
        <v>1031299721.9453764</v>
      </c>
      <c r="S98" s="2">
        <f>S10/'Output-Calculation-sheet'!S9*'Output-Calculation-sheet'!S81</f>
        <v>566388527.60914123</v>
      </c>
      <c r="T98" s="2">
        <f>T10/'Output-Calculation-sheet'!T9*'Output-Calculation-sheet'!T81</f>
        <v>319110732.64847565</v>
      </c>
      <c r="U98" s="2">
        <f>U10/'Output-Calculation-sheet'!U9*'Output-Calculation-sheet'!U81</f>
        <v>256415242.83160374</v>
      </c>
      <c r="V98" s="2">
        <f>V10/'Output-Calculation-sheet'!V9*'Output-Calculation-sheet'!V81</f>
        <v>119091049.11778212</v>
      </c>
      <c r="W98" s="2">
        <f>W10/'Output-Calculation-sheet'!W9*'Output-Calculation-sheet'!W81</f>
        <v>368289576.13937199</v>
      </c>
      <c r="X98" s="2">
        <f>X10/'Output-Calculation-sheet'!X9*'Output-Calculation-sheet'!X81</f>
        <v>193069960.59926715</v>
      </c>
      <c r="Y98" s="2">
        <f>Y10/'Output-Calculation-sheet'!Y9*'Output-Calculation-sheet'!Y81</f>
        <v>240367907.15344539</v>
      </c>
      <c r="AA98" s="2">
        <f t="shared" si="8"/>
        <v>43.267981386499784</v>
      </c>
    </row>
    <row r="99" spans="1:27" x14ac:dyDescent="0.25">
      <c r="A99" s="2">
        <v>2034</v>
      </c>
      <c r="B99" s="2">
        <f>B11/'Output-Calculation-sheet'!B10*'Output-Calculation-sheet'!B82</f>
        <v>12529842039.083857</v>
      </c>
      <c r="C99" s="2">
        <f>C11/'Output-Calculation-sheet'!C10*'Output-Calculation-sheet'!C82</f>
        <v>2852208676.6991777</v>
      </c>
      <c r="D99" s="2">
        <f>D11/'Output-Calculation-sheet'!D10*'Output-Calculation-sheet'!D82</f>
        <v>1934727372.7233815</v>
      </c>
      <c r="E99" s="2">
        <f>E11/'Output-Calculation-sheet'!E10*'Output-Calculation-sheet'!E82</f>
        <v>10211169953.103386</v>
      </c>
      <c r="F99" s="2">
        <f>F11/'Output-Calculation-sheet'!F10*'Output-Calculation-sheet'!F82</f>
        <v>2471676866.7380314</v>
      </c>
      <c r="G99" s="2">
        <f>G11/'Output-Calculation-sheet'!G10*'Output-Calculation-sheet'!G82</f>
        <v>1375639782.3102689</v>
      </c>
      <c r="H99" s="2">
        <f>H11/'Output-Calculation-sheet'!H10*'Output-Calculation-sheet'!H82</f>
        <v>2035591451.5316739</v>
      </c>
      <c r="I99" s="2">
        <f>I11/'Output-Calculation-sheet'!I10*'Output-Calculation-sheet'!I82</f>
        <v>1151035106.1523058</v>
      </c>
      <c r="J99" s="2">
        <f>J11/'Output-Calculation-sheet'!J10*'Output-Calculation-sheet'!J82</f>
        <v>839096574.27709973</v>
      </c>
      <c r="K99" s="2">
        <f>K11/'Output-Calculation-sheet'!K10*'Output-Calculation-sheet'!K82</f>
        <v>996306454.87593293</v>
      </c>
      <c r="L99" s="2">
        <f>L11/'Output-Calculation-sheet'!L10*'Output-Calculation-sheet'!L82</f>
        <v>1084568738.3356092</v>
      </c>
      <c r="M99" s="2">
        <f>M11/'Output-Calculation-sheet'!M10*'Output-Calculation-sheet'!M82</f>
        <v>1690682629.9458869</v>
      </c>
      <c r="N99" s="2">
        <f>N11/'Output-Calculation-sheet'!N10*'Output-Calculation-sheet'!N82</f>
        <v>994747442.16004324</v>
      </c>
      <c r="O99" s="2">
        <f>O11/'Output-Calculation-sheet'!O10*'Output-Calculation-sheet'!O82</f>
        <v>364572641.54398704</v>
      </c>
      <c r="P99" s="2">
        <f>P11/'Output-Calculation-sheet'!P10*'Output-Calculation-sheet'!P82</f>
        <v>1762217933.7156916</v>
      </c>
      <c r="Q99" s="2">
        <f>Q11/'Output-Calculation-sheet'!Q10*'Output-Calculation-sheet'!Q82</f>
        <v>810599435.92255068</v>
      </c>
      <c r="R99" s="2">
        <f>R11/'Output-Calculation-sheet'!R10*'Output-Calculation-sheet'!R82</f>
        <v>1099558994.0474882</v>
      </c>
      <c r="S99" s="2">
        <f>S11/'Output-Calculation-sheet'!S10*'Output-Calculation-sheet'!S82</f>
        <v>595867240.87751758</v>
      </c>
      <c r="T99" s="2">
        <f>T11/'Output-Calculation-sheet'!T10*'Output-Calculation-sheet'!T82</f>
        <v>324473291.52175808</v>
      </c>
      <c r="U99" s="2">
        <f>U11/'Output-Calculation-sheet'!U10*'Output-Calculation-sheet'!U82</f>
        <v>262964706.79213828</v>
      </c>
      <c r="V99" s="2">
        <f>V11/'Output-Calculation-sheet'!V10*'Output-Calculation-sheet'!V82</f>
        <v>123178117.76853547</v>
      </c>
      <c r="W99" s="2">
        <f>W11/'Output-Calculation-sheet'!W10*'Output-Calculation-sheet'!W82</f>
        <v>378649396.20470536</v>
      </c>
      <c r="X99" s="2">
        <f>X11/'Output-Calculation-sheet'!X10*'Output-Calculation-sheet'!X82</f>
        <v>216412828.39339283</v>
      </c>
      <c r="Y99" s="2">
        <f>Y11/'Output-Calculation-sheet'!Y10*'Output-Calculation-sheet'!Y82</f>
        <v>254150280.75262135</v>
      </c>
      <c r="AA99" s="2">
        <f t="shared" si="8"/>
        <v>46.359937955477029</v>
      </c>
    </row>
    <row r="100" spans="1:27" x14ac:dyDescent="0.25">
      <c r="A100" s="2">
        <v>2035</v>
      </c>
      <c r="B100" s="2">
        <f>B12/'Output-Calculation-sheet'!B11*'Output-Calculation-sheet'!B83</f>
        <v>12899237684.385525</v>
      </c>
      <c r="C100" s="2">
        <f>C12/'Output-Calculation-sheet'!C11*'Output-Calculation-sheet'!C83</f>
        <v>2894631703.1727538</v>
      </c>
      <c r="D100" s="2">
        <f>D12/'Output-Calculation-sheet'!D11*'Output-Calculation-sheet'!D83</f>
        <v>1854243970.5952296</v>
      </c>
      <c r="E100" s="2">
        <f>E12/'Output-Calculation-sheet'!E11*'Output-Calculation-sheet'!E83</f>
        <v>10904020804.813341</v>
      </c>
      <c r="F100" s="2">
        <f>F12/'Output-Calculation-sheet'!F11*'Output-Calculation-sheet'!F83</f>
        <v>2480795688.0248408</v>
      </c>
      <c r="G100" s="2">
        <f>G12/'Output-Calculation-sheet'!G11*'Output-Calculation-sheet'!G83</f>
        <v>1314742990.8660598</v>
      </c>
      <c r="H100" s="2">
        <f>H12/'Output-Calculation-sheet'!H11*'Output-Calculation-sheet'!H83</f>
        <v>2065995233.149565</v>
      </c>
      <c r="I100" s="2">
        <f>I12/'Output-Calculation-sheet'!I11*'Output-Calculation-sheet'!I83</f>
        <v>1162635430.9713776</v>
      </c>
      <c r="J100" s="2">
        <f>J12/'Output-Calculation-sheet'!J11*'Output-Calculation-sheet'!J83</f>
        <v>838397423.41231608</v>
      </c>
      <c r="K100" s="2">
        <f>K12/'Output-Calculation-sheet'!K11*'Output-Calculation-sheet'!K83</f>
        <v>974977851.66824436</v>
      </c>
      <c r="L100" s="2">
        <f>L12/'Output-Calculation-sheet'!L11*'Output-Calculation-sheet'!L83</f>
        <v>1126439978.0321112</v>
      </c>
      <c r="M100" s="2">
        <f>M12/'Output-Calculation-sheet'!M11*'Output-Calculation-sheet'!M83</f>
        <v>1766518825.6712799</v>
      </c>
      <c r="N100" s="2">
        <f>N12/'Output-Calculation-sheet'!N11*'Output-Calculation-sheet'!N83</f>
        <v>1007486512.390618</v>
      </c>
      <c r="O100" s="2">
        <f>O12/'Output-Calculation-sheet'!O11*'Output-Calculation-sheet'!O83</f>
        <v>367398656.83894819</v>
      </c>
      <c r="P100" s="2">
        <f>P12/'Output-Calculation-sheet'!P11*'Output-Calculation-sheet'!P83</f>
        <v>1715219357.8724637</v>
      </c>
      <c r="Q100" s="2">
        <f>Q12/'Output-Calculation-sheet'!Q11*'Output-Calculation-sheet'!Q83</f>
        <v>822447559.51867187</v>
      </c>
      <c r="R100" s="2">
        <f>R12/'Output-Calculation-sheet'!R11*'Output-Calculation-sheet'!R83</f>
        <v>1118589886.8923662</v>
      </c>
      <c r="S100" s="2">
        <f>S12/'Output-Calculation-sheet'!S11*'Output-Calculation-sheet'!S83</f>
        <v>598164081.66501021</v>
      </c>
      <c r="T100" s="2">
        <f>T12/'Output-Calculation-sheet'!T11*'Output-Calculation-sheet'!T83</f>
        <v>315053606.79617453</v>
      </c>
      <c r="U100" s="2">
        <f>U12/'Output-Calculation-sheet'!U11*'Output-Calculation-sheet'!U83</f>
        <v>257196707.44471022</v>
      </c>
      <c r="V100" s="2">
        <f>V12/'Output-Calculation-sheet'!V11*'Output-Calculation-sheet'!V83</f>
        <v>121671483.56890517</v>
      </c>
      <c r="W100" s="2">
        <f>W12/'Output-Calculation-sheet'!W11*'Output-Calculation-sheet'!W83</f>
        <v>369966033.36647654</v>
      </c>
      <c r="X100" s="2">
        <f>X12/'Output-Calculation-sheet'!X11*'Output-Calculation-sheet'!X83</f>
        <v>232009373.44242293</v>
      </c>
      <c r="Y100" s="2">
        <f>Y12/'Output-Calculation-sheet'!Y11*'Output-Calculation-sheet'!Y83</f>
        <v>255744911.6890364</v>
      </c>
      <c r="AA100" s="2">
        <f t="shared" si="8"/>
        <v>47.463585756248442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1697.1589141983893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522.43815110624075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359.48829139276774</v>
      </c>
      <c r="N107" s="2">
        <f>N8/'Output-Calculation-sheet'!N7*'Output-Calculation-sheet'!N88</f>
        <v>141.32747617929877</v>
      </c>
      <c r="O107" s="2">
        <f>O8/'Output-Calculation-sheet'!O7*'Output-Calculation-sheet'!O88</f>
        <v>395.65299432844427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39.436613241058573</v>
      </c>
      <c r="Y107" s="2">
        <f>Y8/'Output-Calculation-sheet'!Y7*'Output-Calculation-sheet'!Y88</f>
        <v>0</v>
      </c>
      <c r="AA107" s="2">
        <f t="shared" si="9"/>
        <v>3.1555024404461993</v>
      </c>
    </row>
    <row r="108" spans="1:27" x14ac:dyDescent="0.25">
      <c r="A108" s="2">
        <v>2032</v>
      </c>
      <c r="B108" s="2">
        <f>B9/'Output-Calculation-sheet'!B8*'Output-Calculation-sheet'!B89</f>
        <v>772.03952588340576</v>
      </c>
      <c r="C108" s="2">
        <f>C9/'Output-Calculation-sheet'!C8*'Output-Calculation-sheet'!C89</f>
        <v>2931.4226252016961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789.58495174368784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543.31128883054612</v>
      </c>
      <c r="N108" s="2">
        <f>N9/'Output-Calculation-sheet'!N8*'Output-Calculation-sheet'!N89</f>
        <v>381.4192038904564</v>
      </c>
      <c r="O108" s="2">
        <f>O9/'Output-Calculation-sheet'!O8*'Output-Calculation-sheet'!O89</f>
        <v>569.49397882942458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174.91412392723132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59.602378380945446</v>
      </c>
      <c r="Y108" s="2">
        <f>Y9/'Output-Calculation-sheet'!Y8*'Output-Calculation-sheet'!Y89</f>
        <v>0</v>
      </c>
      <c r="AA108" s="2">
        <f t="shared" si="9"/>
        <v>6.2217880766873943</v>
      </c>
    </row>
    <row r="109" spans="1:27" x14ac:dyDescent="0.25">
      <c r="A109" s="2">
        <v>2033</v>
      </c>
      <c r="B109" s="2">
        <f>B10/'Output-Calculation-sheet'!B9*'Output-Calculation-sheet'!B90</f>
        <v>4035.1252670488425</v>
      </c>
      <c r="C109" s="2">
        <f>C10/'Output-Calculation-sheet'!C9*'Output-Calculation-sheet'!C90</f>
        <v>3830.3276926835706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1179.0936612684923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811.33118778543553</v>
      </c>
      <c r="N109" s="2">
        <f>N10/'Output-Calculation-sheet'!N9*'Output-Calculation-sheet'!N90</f>
        <v>637.92558400735243</v>
      </c>
      <c r="O109" s="2">
        <f>O10/'Output-Calculation-sheet'!O9*'Output-Calculation-sheet'!O90</f>
        <v>744.12626114489649</v>
      </c>
      <c r="P109" s="2">
        <f>P10/'Output-Calculation-sheet'!P9*'Output-Calculation-sheet'!P90</f>
        <v>0</v>
      </c>
      <c r="Q109" s="2">
        <f>Q10/'Output-Calculation-sheet'!Q9*'Output-Calculation-sheet'!Q90</f>
        <v>139.73012047783388</v>
      </c>
      <c r="R109" s="2">
        <f>R10/'Output-Calculation-sheet'!R9*'Output-Calculation-sheet'!R90</f>
        <v>0</v>
      </c>
      <c r="S109" s="2">
        <f>S10/'Output-Calculation-sheet'!S9*'Output-Calculation-sheet'!S90</f>
        <v>319.97084614962574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89.004718732674107</v>
      </c>
      <c r="Y109" s="2">
        <f>Y10/'Output-Calculation-sheet'!Y9*'Output-Calculation-sheet'!Y90</f>
        <v>0</v>
      </c>
      <c r="AA109" s="2">
        <f t="shared" si="9"/>
        <v>11.786635339298726</v>
      </c>
    </row>
    <row r="110" spans="1:27" x14ac:dyDescent="0.25">
      <c r="A110" s="2">
        <v>2034</v>
      </c>
      <c r="B110" s="2">
        <f>B11/'Output-Calculation-sheet'!B10*'Output-Calculation-sheet'!B91</f>
        <v>7406.702088458147</v>
      </c>
      <c r="C110" s="2">
        <f>C11/'Output-Calculation-sheet'!C10*'Output-Calculation-sheet'!C91</f>
        <v>5077.7887944143677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1442.8623492346205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992.82971494903279</v>
      </c>
      <c r="N110" s="2">
        <f>N11/'Output-Calculation-sheet'!N10*'Output-Calculation-sheet'!N91</f>
        <v>894.47471455730818</v>
      </c>
      <c r="O110" s="2">
        <f>O11/'Output-Calculation-sheet'!O10*'Output-Calculation-sheet'!O91</f>
        <v>986.4732977516461</v>
      </c>
      <c r="P110" s="2">
        <f>P11/'Output-Calculation-sheet'!P10*'Output-Calculation-sheet'!P91</f>
        <v>225.36477841683899</v>
      </c>
      <c r="Q110" s="2">
        <f>Q11/'Output-Calculation-sheet'!Q10*'Output-Calculation-sheet'!Q91</f>
        <v>498.7161451484784</v>
      </c>
      <c r="R110" s="2">
        <f>R11/'Output-Calculation-sheet'!R10*'Output-Calculation-sheet'!R91</f>
        <v>0</v>
      </c>
      <c r="S110" s="2">
        <f>S11/'Output-Calculation-sheet'!S10*'Output-Calculation-sheet'!S91</f>
        <v>512.74378517129571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108.91548464897555</v>
      </c>
      <c r="Y110" s="2">
        <f>Y11/'Output-Calculation-sheet'!Y10*'Output-Calculation-sheet'!Y91</f>
        <v>17.517587674179921</v>
      </c>
      <c r="AA110" s="2">
        <f t="shared" si="9"/>
        <v>18.164388740424897</v>
      </c>
    </row>
    <row r="111" spans="1:27" x14ac:dyDescent="0.25">
      <c r="A111" s="2">
        <v>2035</v>
      </c>
      <c r="B111" s="2">
        <f>B12/'Output-Calculation-sheet'!B11*'Output-Calculation-sheet'!B92</f>
        <v>11498.300913858608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1920.9831684793942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674.73084492738235</v>
      </c>
      <c r="Q111" s="2">
        <f>Q12/'Output-Calculation-sheet'!Q11*'Output-Calculation-sheet'!Q92</f>
        <v>782.11630557506771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52.446779019865517</v>
      </c>
      <c r="AA111" s="2">
        <f t="shared" si="9"/>
        <v>27.001101205013271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7978313198.2118244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2454763178.3252602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1705044562.4535012</v>
      </c>
      <c r="N118" s="2">
        <f>N8/'Output-Calculation-sheet'!N7*'Output-Calculation-sheet'!N97</f>
        <v>1337973830.6050656</v>
      </c>
      <c r="O118" s="2">
        <f>O8/'Output-Calculation-sheet'!O7*'Output-Calculation-sheet'!O97</f>
        <v>890303163.63173604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484329412.0250932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183771442.28772134</v>
      </c>
      <c r="Y118" s="2">
        <f>Y8/'Output-Calculation-sheet'!Y7*'Output-Calculation-sheet'!Y97</f>
        <v>0</v>
      </c>
      <c r="AA118" s="2">
        <f t="shared" si="10"/>
        <v>16395.494957248295</v>
      </c>
    </row>
    <row r="119" spans="1:27" x14ac:dyDescent="0.25">
      <c r="A119" s="2">
        <v>2032</v>
      </c>
      <c r="B119" s="2">
        <f>B9/'Output-Calculation-sheet'!B8*'Output-Calculation-sheet'!B98</f>
        <v>5791880629.1267071</v>
      </c>
      <c r="C119" s="2">
        <f>C9/'Output-Calculation-sheet'!C8*'Output-Calculation-sheet'!C98</f>
        <v>4603503711.2152624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2751984818.9988017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1920895709.6359863</v>
      </c>
      <c r="N119" s="2">
        <f>N9/'Output-Calculation-sheet'!N8*'Output-Calculation-sheet'!N98</f>
        <v>1297230489.2129834</v>
      </c>
      <c r="O119" s="2">
        <f>O9/'Output-Calculation-sheet'!O8*'Output-Calculation-sheet'!O98</f>
        <v>899439560.49637556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538527024.50465918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205542727.4207767</v>
      </c>
      <c r="Y119" s="2">
        <f>Y9/'Output-Calculation-sheet'!Y8*'Output-Calculation-sheet'!Y98</f>
        <v>0</v>
      </c>
      <c r="AA119" s="2">
        <f t="shared" si="10"/>
        <v>18009.00467061155</v>
      </c>
    </row>
    <row r="120" spans="1:27" x14ac:dyDescent="0.25">
      <c r="A120" s="2">
        <v>2033</v>
      </c>
      <c r="B120" s="2">
        <f>B10/'Output-Calculation-sheet'!B9*'Output-Calculation-sheet'!B99</f>
        <v>5805065363.9905386</v>
      </c>
      <c r="C120" s="2">
        <f>C10/'Output-Calculation-sheet'!C9*'Output-Calculation-sheet'!C99</f>
        <v>4772124188.7542124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1564666476.2461042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1107483930.1569955</v>
      </c>
      <c r="N120" s="2">
        <f>N10/'Output-Calculation-sheet'!N9*'Output-Calculation-sheet'!N99</f>
        <v>1104264719.8189349</v>
      </c>
      <c r="O120" s="2">
        <f>O10/'Output-Calculation-sheet'!O9*'Output-Calculation-sheet'!O99</f>
        <v>934279126.24057329</v>
      </c>
      <c r="P120" s="2">
        <f>P10/'Output-Calculation-sheet'!P9*'Output-Calculation-sheet'!P99</f>
        <v>0</v>
      </c>
      <c r="Q120" s="2">
        <f>Q10/'Output-Calculation-sheet'!Q9*'Output-Calculation-sheet'!Q99</f>
        <v>6750106.4404764948</v>
      </c>
      <c r="R120" s="2">
        <f>R10/'Output-Calculation-sheet'!R9*'Output-Calculation-sheet'!R99</f>
        <v>0</v>
      </c>
      <c r="S120" s="2">
        <f>S10/'Output-Calculation-sheet'!S9*'Output-Calculation-sheet'!S99</f>
        <v>462502364.15921998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-7.640166883524494E-9</v>
      </c>
      <c r="W120" s="2">
        <f>W10/'Output-Calculation-sheet'!W9*'Output-Calculation-sheet'!W99</f>
        <v>0</v>
      </c>
      <c r="X120" s="2">
        <f>X10/'Output-Calculation-sheet'!X9*'Output-Calculation-sheet'!X99</f>
        <v>110587184.00180073</v>
      </c>
      <c r="Y120" s="2">
        <f>Y10/'Output-Calculation-sheet'!Y9*'Output-Calculation-sheet'!Y99</f>
        <v>0</v>
      </c>
      <c r="AA120" s="2">
        <f t="shared" si="10"/>
        <v>15867.723459808858</v>
      </c>
    </row>
    <row r="121" spans="1:27" x14ac:dyDescent="0.25">
      <c r="A121" s="2">
        <v>2034</v>
      </c>
      <c r="B121" s="2">
        <f>B11/'Output-Calculation-sheet'!B10*'Output-Calculation-sheet'!B100</f>
        <v>5553185044.309207</v>
      </c>
      <c r="C121" s="2">
        <f>C11/'Output-Calculation-sheet'!C10*'Output-Calculation-sheet'!C100</f>
        <v>666607141.66896141</v>
      </c>
      <c r="D121" s="2">
        <f>D11/'Output-Calculation-sheet'!D10*'Output-Calculation-sheet'!D100</f>
        <v>0</v>
      </c>
      <c r="E121" s="2">
        <f>E11/'Output-Calculation-sheet'!E10*'Output-Calculation-sheet'!E100</f>
        <v>771068094.14252412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1755238924.7652378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640679120.91531599</v>
      </c>
      <c r="M121" s="2">
        <f>M11/'Output-Calculation-sheet'!M10*'Output-Calculation-sheet'!M100</f>
        <v>1249196828.5946493</v>
      </c>
      <c r="N121" s="2">
        <f>N11/'Output-Calculation-sheet'!N10*'Output-Calculation-sheet'!N100</f>
        <v>832811613.11053658</v>
      </c>
      <c r="O121" s="2">
        <f>O11/'Output-Calculation-sheet'!O10*'Output-Calculation-sheet'!O100</f>
        <v>130757183.44015218</v>
      </c>
      <c r="P121" s="2">
        <f>P11/'Output-Calculation-sheet'!P10*'Output-Calculation-sheet'!P100</f>
        <v>0</v>
      </c>
      <c r="Q121" s="2">
        <f>Q11/'Output-Calculation-sheet'!Q10*'Output-Calculation-sheet'!Q100</f>
        <v>282980700.84970856</v>
      </c>
      <c r="R121" s="2">
        <f>R11/'Output-Calculation-sheet'!R10*'Output-Calculation-sheet'!R100</f>
        <v>0</v>
      </c>
      <c r="S121" s="2">
        <f>S11/'Output-Calculation-sheet'!S10*'Output-Calculation-sheet'!S100</f>
        <v>311382096.89622384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122742328.99994323</v>
      </c>
      <c r="Y121" s="2">
        <f>Y11/'Output-Calculation-sheet'!Y10*'Output-Calculation-sheet'!Y100</f>
        <v>17813282.279108692</v>
      </c>
      <c r="AA121" s="2">
        <f t="shared" si="10"/>
        <v>12334.462359971565</v>
      </c>
    </row>
    <row r="122" spans="1:27" x14ac:dyDescent="0.25">
      <c r="A122" s="2">
        <v>2035</v>
      </c>
      <c r="B122" s="2">
        <f>B12/'Output-Calculation-sheet'!B11*'Output-Calculation-sheet'!B101</f>
        <v>2969641004.4896493</v>
      </c>
      <c r="C122" s="2">
        <f>C12/'Output-Calculation-sheet'!C11*'Output-Calculation-sheet'!C101</f>
        <v>258151290.33486301</v>
      </c>
      <c r="D122" s="2">
        <f>D12/'Output-Calculation-sheet'!D11*'Output-Calculation-sheet'!D101</f>
        <v>0</v>
      </c>
      <c r="E122" s="2">
        <f>E12/'Output-Calculation-sheet'!E11*'Output-Calculation-sheet'!E101</f>
        <v>2312429998.9464002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437728575.22586817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1605053566.8822384</v>
      </c>
      <c r="M122" s="2">
        <f>M12/'Output-Calculation-sheet'!M11*'Output-Calculation-sheet'!M101</f>
        <v>401553094.80254126</v>
      </c>
      <c r="N122" s="2">
        <f>N12/'Output-Calculation-sheet'!N11*'Output-Calculation-sheet'!N101</f>
        <v>333777626.78152364</v>
      </c>
      <c r="O122" s="2">
        <f>O12/'Output-Calculation-sheet'!O11*'Output-Calculation-sheet'!O101</f>
        <v>45771762.567461319</v>
      </c>
      <c r="P122" s="2">
        <f>P12/'Output-Calculation-sheet'!P11*'Output-Calculation-sheet'!P101</f>
        <v>103881385.63025486</v>
      </c>
      <c r="Q122" s="2">
        <f>Q12/'Output-Calculation-sheet'!Q11*'Output-Calculation-sheet'!Q101</f>
        <v>513209299.00725776</v>
      </c>
      <c r="R122" s="2">
        <f>R12/'Output-Calculation-sheet'!R11*'Output-Calculation-sheet'!R101</f>
        <v>0</v>
      </c>
      <c r="S122" s="2">
        <f>S12/'Output-Calculation-sheet'!S11*'Output-Calculation-sheet'!S101</f>
        <v>139436913.13105509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12894501.97534287</v>
      </c>
      <c r="Y122" s="2">
        <f>Y12/'Output-Calculation-sheet'!Y11*'Output-Calculation-sheet'!Y101</f>
        <v>59477814.649078697</v>
      </c>
      <c r="AA122" s="2">
        <f t="shared" si="10"/>
        <v>9193.0068344235369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2220253733.0658994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2228165354.3679481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145941.03876466452</v>
      </c>
    </row>
    <row r="130" spans="1:27" x14ac:dyDescent="0.25">
      <c r="A130" s="2">
        <v>2032</v>
      </c>
      <c r="B130" s="2">
        <f>B9/'Output-Calculation-sheet'!B8*'Output-Calculation-sheet'!B107</f>
        <v>52413201928.932869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1906800791.0814786</v>
      </c>
      <c r="O130" s="2">
        <f>O9/'Output-Calculation-sheet'!O8*'Output-Calculation-sheet'!O107</f>
        <v>0</v>
      </c>
      <c r="P130" s="2">
        <f>P9/'Output-Calculation-sheet'!P8*'Output-Calculation-sheet'!P107</f>
        <v>5818338954.7065086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1694117117.6252046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184585.95034464422</v>
      </c>
    </row>
    <row r="131" spans="1:27" x14ac:dyDescent="0.25">
      <c r="A131" s="2">
        <v>2033</v>
      </c>
      <c r="B131" s="2">
        <f>B10/'Output-Calculation-sheet'!B9*'Output-Calculation-sheet'!B108</f>
        <v>43304021089.931725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1586556137.6046233</v>
      </c>
      <c r="O131" s="2">
        <f>O10/'Output-Calculation-sheet'!O9*'Output-Calculation-sheet'!O108</f>
        <v>0</v>
      </c>
      <c r="P131" s="2">
        <f>P10/'Output-Calculation-sheet'!P9*'Output-Calculation-sheet'!P108</f>
        <v>7298030593.8488979</v>
      </c>
      <c r="Q131" s="2">
        <f>Q10/'Output-Calculation-sheet'!Q9*'Output-Calculation-sheet'!Q108</f>
        <v>6156424725.7780066</v>
      </c>
      <c r="R131" s="2">
        <f>R10/'Output-Calculation-sheet'!R9*'Output-Calculation-sheet'!R108</f>
        <v>6907648591.5014153</v>
      </c>
      <c r="S131" s="2">
        <f>S10/'Output-Calculation-sheet'!S9*'Output-Calculation-sheet'!S108</f>
        <v>1538952915.1516721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206683.00246043826</v>
      </c>
    </row>
    <row r="132" spans="1:27" x14ac:dyDescent="0.25">
      <c r="A132" s="2">
        <v>2034</v>
      </c>
      <c r="B132" s="2">
        <f>B11/'Output-Calculation-sheet'!B10*'Output-Calculation-sheet'!B109</f>
        <v>32275521973.414192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31159751543.352497</v>
      </c>
      <c r="F132" s="2">
        <f>F11/'Output-Calculation-sheet'!F10*'Output-Calculation-sheet'!F109</f>
        <v>20551492047.423199</v>
      </c>
      <c r="G132" s="2">
        <f>G11/'Output-Calculation-sheet'!G10*'Output-Calculation-sheet'!G109</f>
        <v>14399823889.913124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12804866606.082697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9533076766.7834034</v>
      </c>
      <c r="M132" s="2">
        <f>M11/'Output-Calculation-sheet'!M10*'Output-Calculation-sheet'!M109</f>
        <v>0</v>
      </c>
      <c r="N132" s="2">
        <f>N11/'Output-Calculation-sheet'!N10*'Output-Calculation-sheet'!N109</f>
        <v>1253540309.3001668</v>
      </c>
      <c r="O132" s="2">
        <f>O11/'Output-Calculation-sheet'!O10*'Output-Calculation-sheet'!O109</f>
        <v>0</v>
      </c>
      <c r="P132" s="2">
        <f>P11/'Output-Calculation-sheet'!P10*'Output-Calculation-sheet'!P109</f>
        <v>7122274311.479763</v>
      </c>
      <c r="Q132" s="2">
        <f>Q11/'Output-Calculation-sheet'!Q10*'Output-Calculation-sheet'!Q109</f>
        <v>4586153884.5252199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860317481.41546392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2559015897.3177409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896749428.16196442</v>
      </c>
      <c r="AA132" s="2">
        <f t="shared" si="11"/>
        <v>219098.46029968446</v>
      </c>
    </row>
    <row r="133" spans="1:27" x14ac:dyDescent="0.25">
      <c r="A133" s="2">
        <v>2035</v>
      </c>
      <c r="B133" s="2">
        <f>B12/'Output-Calculation-sheet'!B11*'Output-Calculation-sheet'!B110</f>
        <v>8541574698.5586605</v>
      </c>
      <c r="C133" s="2">
        <f>C12/'Output-Calculation-sheet'!C11*'Output-Calculation-sheet'!C110</f>
        <v>0</v>
      </c>
      <c r="D133" s="2">
        <f>D12/'Output-Calculation-sheet'!D11*'Output-Calculation-sheet'!D110</f>
        <v>40623508390.621132</v>
      </c>
      <c r="E133" s="2">
        <f>E12/'Output-Calculation-sheet'!E11*'Output-Calculation-sheet'!E110</f>
        <v>21617443726.756351</v>
      </c>
      <c r="F133" s="2">
        <f>F12/'Output-Calculation-sheet'!F11*'Output-Calculation-sheet'!F110</f>
        <v>21489478335.028919</v>
      </c>
      <c r="G133" s="2">
        <f>G12/'Output-Calculation-sheet'!G11*'Output-Calculation-sheet'!G110</f>
        <v>14559062689.3533</v>
      </c>
      <c r="H133" s="2">
        <f>H12/'Output-Calculation-sheet'!H11*'Output-Calculation-sheet'!H110</f>
        <v>0</v>
      </c>
      <c r="I133" s="2">
        <f>I12/'Output-Calculation-sheet'!I11*'Output-Calculation-sheet'!I110</f>
        <v>13359253316.1672</v>
      </c>
      <c r="J133" s="2">
        <f>J12/'Output-Calculation-sheet'!J11*'Output-Calculation-sheet'!J110</f>
        <v>13382251510.439665</v>
      </c>
      <c r="K133" s="2">
        <f>K12/'Output-Calculation-sheet'!K11*'Output-Calculation-sheet'!K110</f>
        <v>13130460371.796442</v>
      </c>
      <c r="L133" s="2">
        <f>L12/'Output-Calculation-sheet'!L11*'Output-Calculation-sheet'!L110</f>
        <v>9436904069.6799908</v>
      </c>
      <c r="M133" s="2">
        <f>M12/'Output-Calculation-sheet'!M11*'Output-Calculation-sheet'!M110</f>
        <v>0</v>
      </c>
      <c r="N133" s="2">
        <f>N12/'Output-Calculation-sheet'!N11*'Output-Calculation-sheet'!N110</f>
        <v>50693.830103982422</v>
      </c>
      <c r="O133" s="2">
        <f>O12/'Output-Calculation-sheet'!O11*'Output-Calculation-sheet'!O110</f>
        <v>0</v>
      </c>
      <c r="P133" s="2">
        <f>P12/'Output-Calculation-sheet'!P11*'Output-Calculation-sheet'!P110</f>
        <v>4715319024.7280712</v>
      </c>
      <c r="Q133" s="2">
        <f>Q12/'Output-Calculation-sheet'!Q11*'Output-Calculation-sheet'!Q110</f>
        <v>2998835215.8754177</v>
      </c>
      <c r="R133" s="2">
        <f>R12/'Output-Calculation-sheet'!R11*'Output-Calculation-sheet'!R110</f>
        <v>8733814932.8310547</v>
      </c>
      <c r="S133" s="2">
        <f>S12/'Output-Calculation-sheet'!S11*'Output-Calculation-sheet'!S110</f>
        <v>8404980.2734743543</v>
      </c>
      <c r="T133" s="2">
        <f>T12/'Output-Calculation-sheet'!T11*'Output-Calculation-sheet'!T110</f>
        <v>3262995865.8483086</v>
      </c>
      <c r="U133" s="2">
        <f>U12/'Output-Calculation-sheet'!U11*'Output-Calculation-sheet'!U110</f>
        <v>2578906820.4002633</v>
      </c>
      <c r="V133" s="2">
        <f>V12/'Output-Calculation-sheet'!V11*'Output-Calculation-sheet'!V110</f>
        <v>2245922227.0637817</v>
      </c>
      <c r="W133" s="2">
        <f>W12/'Output-Calculation-sheet'!W11*'Output-Calculation-sheet'!W110</f>
        <v>1891331708.1003723</v>
      </c>
      <c r="X133" s="2">
        <f>X12/'Output-Calculation-sheet'!X11*'Output-Calculation-sheet'!X110</f>
        <v>0</v>
      </c>
      <c r="Y133" s="2">
        <f>Y12/'Output-Calculation-sheet'!Y11*'Output-Calculation-sheet'!Y110</f>
        <v>716606565.13793254</v>
      </c>
      <c r="AA133" s="2">
        <f t="shared" si="11"/>
        <v>183292.12514249046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14440988546.559963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4539883045.4830112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3120647827.3939819</v>
      </c>
      <c r="N140" s="2">
        <f>N8/'Output-Calculation-sheet'!N7*'Output-Calculation-sheet'!N115</f>
        <v>1178168245.7707658</v>
      </c>
      <c r="O140" s="2">
        <f>O8/'Output-Calculation-sheet'!O7*'Output-Calculation-sheet'!O115</f>
        <v>3465766936.1916637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338864886.72482985</v>
      </c>
      <c r="Y140" s="2">
        <f>Y8/'Output-Calculation-sheet'!Y7*'Output-Calculation-sheet'!Y115</f>
        <v>0</v>
      </c>
      <c r="AA140" s="2">
        <f t="shared" si="12"/>
        <v>27084.319488124223</v>
      </c>
    </row>
    <row r="141" spans="1:27" x14ac:dyDescent="0.25">
      <c r="A141" s="2">
        <v>2032</v>
      </c>
      <c r="B141" s="2">
        <f>B9/'Output-Calculation-sheet'!B8*'Output-Calculation-sheet'!B116</f>
        <v>5992038393.4287567</v>
      </c>
      <c r="C141" s="2">
        <f>C9/'Output-Calculation-sheet'!C8*'Output-Calculation-sheet'!C116</f>
        <v>25649467331.415577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6686704904.7023659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4590972326.6286697</v>
      </c>
      <c r="N141" s="2">
        <f>N9/'Output-Calculation-sheet'!N8*'Output-Calculation-sheet'!N116</f>
        <v>3187337998.2540612</v>
      </c>
      <c r="O141" s="2">
        <f>O9/'Output-Calculation-sheet'!O8*'Output-Calculation-sheet'!O116</f>
        <v>4978712357.6078558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1427640560.9490654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499711205.84612262</v>
      </c>
      <c r="Y141" s="2">
        <f>Y9/'Output-Calculation-sheet'!Y8*'Output-Calculation-sheet'!Y116</f>
        <v>0</v>
      </c>
      <c r="AA141" s="2">
        <f t="shared" si="12"/>
        <v>53012.585078832475</v>
      </c>
    </row>
    <row r="142" spans="1:27" x14ac:dyDescent="0.25">
      <c r="A142" s="2">
        <v>2033</v>
      </c>
      <c r="B142" s="2">
        <f>B10/'Output-Calculation-sheet'!B9*'Output-Calculation-sheet'!B117</f>
        <v>31418428605.278744</v>
      </c>
      <c r="C142" s="2">
        <f>C10/'Output-Calculation-sheet'!C9*'Output-Calculation-sheet'!C117</f>
        <v>33176562390.434505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10275026424.977505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7060865705.1814957</v>
      </c>
      <c r="N142" s="2">
        <f>N10/'Output-Calculation-sheet'!N9*'Output-Calculation-sheet'!N117</f>
        <v>5326377268.7585573</v>
      </c>
      <c r="O142" s="2">
        <f>O10/'Output-Calculation-sheet'!O9*'Output-Calculation-sheet'!O117</f>
        <v>6439149708.3606167</v>
      </c>
      <c r="P142" s="2">
        <f>P10/'Output-Calculation-sheet'!P9*'Output-Calculation-sheet'!P117</f>
        <v>0</v>
      </c>
      <c r="Q142" s="2">
        <f>Q10/'Output-Calculation-sheet'!Q9*'Output-Calculation-sheet'!Q117</f>
        <v>1017264311.9088597</v>
      </c>
      <c r="R142" s="2">
        <f>R10/'Output-Calculation-sheet'!R9*'Output-Calculation-sheet'!R117</f>
        <v>0</v>
      </c>
      <c r="S142" s="2">
        <f>S10/'Output-Calculation-sheet'!S9*'Output-Calculation-sheet'!S117</f>
        <v>2589928325.3216257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774068490.47196388</v>
      </c>
      <c r="Y142" s="2">
        <f>Y10/'Output-Calculation-sheet'!Y9*'Output-Calculation-sheet'!Y117</f>
        <v>0</v>
      </c>
      <c r="AA142" s="2">
        <f t="shared" si="12"/>
        <v>98077.671230693872</v>
      </c>
    </row>
    <row r="143" spans="1:27" x14ac:dyDescent="0.25">
      <c r="A143" s="2">
        <v>2034</v>
      </c>
      <c r="B143" s="2">
        <f>B11/'Output-Calculation-sheet'!B10*'Output-Calculation-sheet'!B118</f>
        <v>57975474298.78418</v>
      </c>
      <c r="C143" s="2">
        <f>C11/'Output-Calculation-sheet'!C10*'Output-Calculation-sheet'!C118</f>
        <v>44481429839.069862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12330473651.815573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8468706380.6091633</v>
      </c>
      <c r="N143" s="2">
        <f>N11/'Output-Calculation-sheet'!N10*'Output-Calculation-sheet'!N118</f>
        <v>7451782250.8416405</v>
      </c>
      <c r="O143" s="2">
        <f>O11/'Output-Calculation-sheet'!O10*'Output-Calculation-sheet'!O118</f>
        <v>8641506088.3044205</v>
      </c>
      <c r="P143" s="2">
        <f>P11/'Output-Calculation-sheet'!P10*'Output-Calculation-sheet'!P118</f>
        <v>1560198409.7695737</v>
      </c>
      <c r="Q143" s="2">
        <f>Q11/'Output-Calculation-sheet'!Q10*'Output-Calculation-sheet'!Q118</f>
        <v>3673442271.6204247</v>
      </c>
      <c r="R143" s="2">
        <f>R11/'Output-Calculation-sheet'!R10*'Output-Calculation-sheet'!R118</f>
        <v>0</v>
      </c>
      <c r="S143" s="2">
        <f>S11/'Output-Calculation-sheet'!S10*'Output-Calculation-sheet'!S118</f>
        <v>4290728377.5396543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929735110.16036856</v>
      </c>
      <c r="Y143" s="2">
        <f>Y11/'Output-Calculation-sheet'!Y10*'Output-Calculation-sheet'!Y118</f>
        <v>108951228.04252245</v>
      </c>
      <c r="AA143" s="2">
        <f t="shared" si="12"/>
        <v>149912.42790655734</v>
      </c>
    </row>
    <row r="144" spans="1:27" x14ac:dyDescent="0.25">
      <c r="A144" s="2">
        <v>2035</v>
      </c>
      <c r="B144" s="2">
        <f>B12/'Output-Calculation-sheet'!B11*'Output-Calculation-sheet'!B119</f>
        <v>96674247527.325211</v>
      </c>
      <c r="C144" s="2">
        <f>C12/'Output-Calculation-sheet'!C11*'Output-Calculation-sheet'!C119</f>
        <v>51165025742.310074</v>
      </c>
      <c r="D144" s="2">
        <f>D12/'Output-Calculation-sheet'!D11*'Output-Calculation-sheet'!D119</f>
        <v>0</v>
      </c>
      <c r="E144" s="2">
        <f>E12/'Output-Calculation-sheet'!E11*'Output-Calculation-sheet'!E119</f>
        <v>11664455713.364256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15529784918.300714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10608459330.797344</v>
      </c>
      <c r="N144" s="2">
        <f>N12/'Output-Calculation-sheet'!N11*'Output-Calculation-sheet'!N119</f>
        <v>10470471112.567636</v>
      </c>
      <c r="O144" s="2">
        <f>O12/'Output-Calculation-sheet'!O11*'Output-Calculation-sheet'!O119</f>
        <v>9941811747.39044</v>
      </c>
      <c r="P144" s="2">
        <f>P12/'Output-Calculation-sheet'!P11*'Output-Calculation-sheet'!P119</f>
        <v>4814425594.2881842</v>
      </c>
      <c r="Q144" s="2">
        <f>Q12/'Output-Calculation-sheet'!Q11*'Output-Calculation-sheet'!Q119</f>
        <v>5856593086.6716566</v>
      </c>
      <c r="R144" s="2">
        <f>R12/'Output-Calculation-sheet'!R11*'Output-Calculation-sheet'!R119</f>
        <v>0</v>
      </c>
      <c r="S144" s="2">
        <f>S12/'Output-Calculation-sheet'!S11*'Output-Calculation-sheet'!S119</f>
        <v>6034229714.6020546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1185219833.9999673</v>
      </c>
      <c r="Y144" s="2">
        <f>Y12/'Output-Calculation-sheet'!Y11*'Output-Calculation-sheet'!Y119</f>
        <v>334239349.45276809</v>
      </c>
      <c r="AA144" s="2">
        <f t="shared" si="12"/>
        <v>224278.96367107029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2107773545.6779807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459618643.28972143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54622.364936355661</v>
      </c>
    </row>
    <row r="155" spans="1:27" x14ac:dyDescent="0.25">
      <c r="A155" s="2">
        <v>2035</v>
      </c>
      <c r="B155" s="2">
        <f>B12/'Output-Calculation-sheet'!B11*'Output-Calculation-sheet'!B128</f>
        <v>1270170796.7665906</v>
      </c>
      <c r="C155" s="2">
        <f>C12/'Output-Calculation-sheet'!C11*'Output-Calculation-sheet'!C128</f>
        <v>75921543.422144964</v>
      </c>
      <c r="D155" s="2">
        <f>D12/'Output-Calculation-sheet'!D11*'Output-Calculation-sheet'!D128</f>
        <v>5549164092.5031471</v>
      </c>
      <c r="E155" s="2">
        <f>E12/'Output-Calculation-sheet'!E11*'Output-Calculation-sheet'!E128</f>
        <v>1299522660.4262891</v>
      </c>
      <c r="F155" s="2">
        <f>F12/'Output-Calculation-sheet'!F11*'Output-Calculation-sheet'!F128</f>
        <v>2245463281.8821845</v>
      </c>
      <c r="G155" s="2">
        <f>G12/'Output-Calculation-sheet'!G11*'Output-Calculation-sheet'!G128</f>
        <v>2119849332.5294538</v>
      </c>
      <c r="H155" s="2">
        <f>H12/'Output-Calculation-sheet'!H11*'Output-Calculation-sheet'!H128</f>
        <v>116712373.80985738</v>
      </c>
      <c r="I155" s="2">
        <f>I12/'Output-Calculation-sheet'!I11*'Output-Calculation-sheet'!I128</f>
        <v>1820415650.6221635</v>
      </c>
      <c r="J155" s="2">
        <f>J12/'Output-Calculation-sheet'!J11*'Output-Calculation-sheet'!J128</f>
        <v>1315855401.5819459</v>
      </c>
      <c r="K155" s="2">
        <f>K12/'Output-Calculation-sheet'!K11*'Output-Calculation-sheet'!K128</f>
        <v>1456276788.4288387</v>
      </c>
      <c r="L155" s="2">
        <f>L12/'Output-Calculation-sheet'!L11*'Output-Calculation-sheet'!L128</f>
        <v>638634972.51364124</v>
      </c>
      <c r="M155" s="2">
        <f>M12/'Output-Calculation-sheet'!M11*'Output-Calculation-sheet'!M128</f>
        <v>92040611.333942756</v>
      </c>
      <c r="N155" s="2">
        <f>N12/'Output-Calculation-sheet'!N11*'Output-Calculation-sheet'!N128</f>
        <v>84123874.625134751</v>
      </c>
      <c r="O155" s="2">
        <f>O12/'Output-Calculation-sheet'!O11*'Output-Calculation-sheet'!O128</f>
        <v>18422515.688738681</v>
      </c>
      <c r="P155" s="2">
        <f>P12/'Output-Calculation-sheet'!P11*'Output-Calculation-sheet'!P128</f>
        <v>343179791.38106108</v>
      </c>
      <c r="Q155" s="2">
        <f>Q12/'Output-Calculation-sheet'!Q11*'Output-Calculation-sheet'!Q128</f>
        <v>418436286.42450833</v>
      </c>
      <c r="R155" s="2">
        <f>R12/'Output-Calculation-sheet'!R11*'Output-Calculation-sheet'!R128</f>
        <v>749872884.58710098</v>
      </c>
      <c r="S155" s="2">
        <f>S12/'Output-Calculation-sheet'!S11*'Output-Calculation-sheet'!S128</f>
        <v>54610942.800015375</v>
      </c>
      <c r="T155" s="2">
        <f>T12/'Output-Calculation-sheet'!T11*'Output-Calculation-sheet'!T128</f>
        <v>205647524.72537425</v>
      </c>
      <c r="U155" s="2">
        <f>U12/'Output-Calculation-sheet'!U11*'Output-Calculation-sheet'!U128</f>
        <v>473585882.04824293</v>
      </c>
      <c r="V155" s="2">
        <f>V12/'Output-Calculation-sheet'!V11*'Output-Calculation-sheet'!V128</f>
        <v>70639387.771943584</v>
      </c>
      <c r="W155" s="2">
        <f>W12/'Output-Calculation-sheet'!W11*'Output-Calculation-sheet'!W128</f>
        <v>142416592.85869092</v>
      </c>
      <c r="X155" s="2">
        <f>X12/'Output-Calculation-sheet'!X11*'Output-Calculation-sheet'!X128</f>
        <v>3026094.3445242601</v>
      </c>
      <c r="Y155" s="2">
        <f>Y12/'Output-Calculation-sheet'!Y11*'Output-Calculation-sheet'!Y128</f>
        <v>78302371.301775634</v>
      </c>
      <c r="AA155" s="2">
        <f t="shared" si="13"/>
        <v>20642.291654377317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4998.1804751032869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1514.0089675944444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1051.6907393736219</v>
      </c>
      <c r="N19" s="2">
        <f>N8/'Output-Calculation-sheet'!N7*'Output-Calculation-sheet'!N25</f>
        <v>874.88241599560138</v>
      </c>
      <c r="O19" s="2">
        <f>O8/'Output-Calculation-sheet'!O7*'Output-Calculation-sheet'!O25</f>
        <v>549.08328310419347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113.82219311296036</v>
      </c>
      <c r="Y19" s="2">
        <f>Y8/'Output-Calculation-sheet'!Y7*'Output-Calculation-sheet'!Y25</f>
        <v>0</v>
      </c>
      <c r="AA19" s="2">
        <f t="shared" si="0"/>
        <v>10.568596230754938</v>
      </c>
    </row>
    <row r="20" spans="1:27" x14ac:dyDescent="0.25">
      <c r="A20" s="2">
        <v>2032</v>
      </c>
      <c r="B20" s="2">
        <f>B9/'Output-Calculation-sheet'!B8*'Output-Calculation-sheet'!B26</f>
        <v>5224.9629209260947</v>
      </c>
      <c r="C20" s="2">
        <f>C9/'Output-Calculation-sheet'!C8*'Output-Calculation-sheet'!C26</f>
        <v>2865.2421054686283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1720.0189835457445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1201.9611362928842</v>
      </c>
      <c r="N20" s="2">
        <f>N9/'Output-Calculation-sheet'!N8*'Output-Calculation-sheet'!N26</f>
        <v>832.99182071186999</v>
      </c>
      <c r="O20" s="2">
        <f>O9/'Output-Calculation-sheet'!O8*'Output-Calculation-sheet'!O26</f>
        <v>559.81520843638202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395.13234507092574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130.79092618750977</v>
      </c>
      <c r="Y20" s="2">
        <f>Y9/'Output-Calculation-sheet'!Y8*'Output-Calculation-sheet'!Y26</f>
        <v>0</v>
      </c>
      <c r="AA20" s="2">
        <f t="shared" si="0"/>
        <v>12.930915446640041</v>
      </c>
    </row>
    <row r="21" spans="1:27" x14ac:dyDescent="0.25">
      <c r="A21" s="2">
        <v>2033</v>
      </c>
      <c r="B21" s="2">
        <f>B10/'Output-Calculation-sheet'!B9*'Output-Calculation-sheet'!B27</f>
        <v>4899.4413895893631</v>
      </c>
      <c r="C21" s="2">
        <f>C10/'Output-Calculation-sheet'!C9*'Output-Calculation-sheet'!C27</f>
        <v>3011.4040234210988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987.36949211325793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698.86827165034606</v>
      </c>
      <c r="N21" s="2">
        <f>N10/'Output-Calculation-sheet'!N9*'Output-Calculation-sheet'!N27</f>
        <v>707.74200606436659</v>
      </c>
      <c r="O21" s="2">
        <f>O10/'Output-Calculation-sheet'!O9*'Output-Calculation-sheet'!O27</f>
        <v>589.56834546371101</v>
      </c>
      <c r="P21" s="2">
        <f>P10/'Output-Calculation-sheet'!P9*'Output-Calculation-sheet'!P27</f>
        <v>0</v>
      </c>
      <c r="Q21" s="2">
        <f>Q10/'Output-Calculation-sheet'!Q9*'Output-Calculation-sheet'!Q27</f>
        <v>8.247583452313382</v>
      </c>
      <c r="R21" s="2">
        <f>R10/'Output-Calculation-sheet'!R9*'Output-Calculation-sheet'!R27</f>
        <v>0</v>
      </c>
      <c r="S21" s="2">
        <f>S10/'Output-Calculation-sheet'!S9*'Output-Calculation-sheet'!S27</f>
        <v>337.00053958215403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69.785000468467345</v>
      </c>
      <c r="Y21" s="2">
        <f>Y10/'Output-Calculation-sheet'!Y9*'Output-Calculation-sheet'!Y27</f>
        <v>0</v>
      </c>
      <c r="AA21" s="2">
        <f t="shared" si="0"/>
        <v>11.309426651805079</v>
      </c>
    </row>
    <row r="22" spans="1:27" x14ac:dyDescent="0.25">
      <c r="A22" s="2">
        <v>2034</v>
      </c>
      <c r="B22" s="2">
        <f>B11/'Output-Calculation-sheet'!B10*'Output-Calculation-sheet'!B28</f>
        <v>4254.1241017783959</v>
      </c>
      <c r="C22" s="2">
        <f>C11/'Output-Calculation-sheet'!C10*'Output-Calculation-sheet'!C28</f>
        <v>429.1112863788008</v>
      </c>
      <c r="D22" s="2">
        <f>D11/'Output-Calculation-sheet'!D10*'Output-Calculation-sheet'!D28</f>
        <v>0</v>
      </c>
      <c r="E22" s="2">
        <f>E11/'Output-Calculation-sheet'!E10*'Output-Calculation-sheet'!E28</f>
        <v>1424.8813423815739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1129.8836364765241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864.14125898915768</v>
      </c>
      <c r="M22" s="2">
        <f>M11/'Output-Calculation-sheet'!M10*'Output-Calculation-sheet'!M28</f>
        <v>804.13387732263391</v>
      </c>
      <c r="N22" s="2">
        <f>N11/'Output-Calculation-sheet'!N10*'Output-Calculation-sheet'!N28</f>
        <v>537.56808472009629</v>
      </c>
      <c r="O22" s="2">
        <f>O11/'Output-Calculation-sheet'!O10*'Output-Calculation-sheet'!O28</f>
        <v>84.171177493518812</v>
      </c>
      <c r="P22" s="2">
        <f>P11/'Output-Calculation-sheet'!P10*'Output-Calculation-sheet'!P28</f>
        <v>0</v>
      </c>
      <c r="Q22" s="2">
        <f>Q11/'Output-Calculation-sheet'!Q10*'Output-Calculation-sheet'!Q28</f>
        <v>276.70396221845687</v>
      </c>
      <c r="R22" s="2">
        <f>R11/'Output-Calculation-sheet'!R10*'Output-Calculation-sheet'!R28</f>
        <v>0</v>
      </c>
      <c r="S22" s="2">
        <f>S11/'Output-Calculation-sheet'!S10*'Output-Calculation-sheet'!S28</f>
        <v>201.28254533657042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79.011752274322703</v>
      </c>
      <c r="Y22" s="2">
        <f>Y11/'Output-Calculation-sheet'!Y10*'Output-Calculation-sheet'!Y28</f>
        <v>32.207421899711179</v>
      </c>
      <c r="AA22" s="2">
        <f t="shared" si="0"/>
        <v>10.117220447269762</v>
      </c>
    </row>
    <row r="23" spans="1:27" x14ac:dyDescent="0.25">
      <c r="A23" s="2">
        <v>2035</v>
      </c>
      <c r="B23" s="2">
        <f>B12/'Output-Calculation-sheet'!B11*'Output-Calculation-sheet'!B29</f>
        <v>1964.0898131977438</v>
      </c>
      <c r="C23" s="2">
        <f>C12/'Output-Calculation-sheet'!C11*'Output-Calculation-sheet'!C29</f>
        <v>170.73695031807526</v>
      </c>
      <c r="D23" s="2">
        <f>D12/'Output-Calculation-sheet'!D11*'Output-Calculation-sheet'!D29</f>
        <v>0</v>
      </c>
      <c r="E23" s="2">
        <f>E12/'Output-Calculation-sheet'!E11*'Output-Calculation-sheet'!E29</f>
        <v>2711.2547710399745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289.51027978342137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1819.37454717064</v>
      </c>
      <c r="M23" s="2">
        <f>M12/'Output-Calculation-sheet'!M11*'Output-Calculation-sheet'!M29</f>
        <v>265.58342990261553</v>
      </c>
      <c r="N23" s="2">
        <f>N12/'Output-Calculation-sheet'!N11*'Output-Calculation-sheet'!N29</f>
        <v>220.75801616703689</v>
      </c>
      <c r="O23" s="2">
        <f>O12/'Output-Calculation-sheet'!O11*'Output-Calculation-sheet'!O29</f>
        <v>30.273541208726417</v>
      </c>
      <c r="P23" s="2">
        <f>P12/'Output-Calculation-sheet'!P11*'Output-Calculation-sheet'!P29</f>
        <v>107.20960589765906</v>
      </c>
      <c r="Q23" s="2">
        <f>Q12/'Output-Calculation-sheet'!Q11*'Output-Calculation-sheet'!Q29</f>
        <v>403.2039084741474</v>
      </c>
      <c r="R23" s="2">
        <f>R12/'Output-Calculation-sheet'!R11*'Output-Calculation-sheet'!R29</f>
        <v>0</v>
      </c>
      <c r="S23" s="2">
        <f>S12/'Output-Calculation-sheet'!S11*'Output-Calculation-sheet'!S29</f>
        <v>92.222051603623513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8.5283311549003553</v>
      </c>
      <c r="Y23" s="2">
        <f>Y12/'Output-Calculation-sheet'!Y11*'Output-Calculation-sheet'!Y29</f>
        <v>74.088241162790212</v>
      </c>
      <c r="AA23" s="2">
        <f t="shared" si="0"/>
        <v>8.1568334870813537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997.34744780172605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39.103454134142815</v>
      </c>
    </row>
    <row r="31" spans="1:27" x14ac:dyDescent="0.25">
      <c r="A31" s="2">
        <v>2032</v>
      </c>
      <c r="B31" s="2">
        <f>B9/'Output-Calculation-sheet'!B8*'Output-Calculation-sheet'!B17</f>
        <v>21967.907709394254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858.96834383319572</v>
      </c>
      <c r="O31" s="2">
        <f>O9/'Output-Calculation-sheet'!O8*'Output-Calculation-sheet'!O17</f>
        <v>0</v>
      </c>
      <c r="P31" s="2">
        <f>P9/'Output-Calculation-sheet'!P8*'Output-Calculation-sheet'!P17</f>
        <v>2146.8580232966242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710.9404198429819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50.331089437693798</v>
      </c>
    </row>
    <row r="32" spans="1:27" x14ac:dyDescent="0.25">
      <c r="A32" s="2">
        <v>2033</v>
      </c>
      <c r="B32" s="2">
        <f>B10/'Output-Calculation-sheet'!B9*'Output-Calculation-sheet'!B18</f>
        <v>17722.574841228823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2774.8544717554905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717.3246090585983</v>
      </c>
      <c r="O32" s="2">
        <f>O10/'Output-Calculation-sheet'!O9*'Output-Calculation-sheet'!O18</f>
        <v>0</v>
      </c>
      <c r="P32" s="2">
        <f>P10/'Output-Calculation-sheet'!P9*'Output-Calculation-sheet'!P18</f>
        <v>2855.6971428473043</v>
      </c>
      <c r="Q32" s="2">
        <f>Q10/'Output-Calculation-sheet'!Q9*'Output-Calculation-sheet'!Q18</f>
        <v>2644.1140925378213</v>
      </c>
      <c r="R32" s="2">
        <f>R10/'Output-Calculation-sheet'!R9*'Output-Calculation-sheet'!R18</f>
        <v>2050.5898314892443</v>
      </c>
      <c r="S32" s="2">
        <f>S10/'Output-Calculation-sheet'!S9*'Output-Calculation-sheet'!S18</f>
        <v>652.5533665428577</v>
      </c>
      <c r="T32" s="2">
        <f>T10/'Output-Calculation-sheet'!T9*'Output-Calculation-sheet'!T18</f>
        <v>598.73887003246023</v>
      </c>
      <c r="U32" s="2">
        <f>U10/'Output-Calculation-sheet'!U9*'Output-Calculation-sheet'!U18</f>
        <v>661.87933117754392</v>
      </c>
      <c r="V32" s="2">
        <f>V10/'Output-Calculation-sheet'!V9*'Output-Calculation-sheet'!V18</f>
        <v>488.53621434309628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282.83655655894523</v>
      </c>
      <c r="AA32" s="2">
        <f t="shared" si="1"/>
        <v>56.34185735237304</v>
      </c>
    </row>
    <row r="33" spans="1:27" x14ac:dyDescent="0.25">
      <c r="A33" s="2">
        <v>2034</v>
      </c>
      <c r="B33" s="2">
        <f>B11/'Output-Calculation-sheet'!B10*'Output-Calculation-sheet'!B19</f>
        <v>12859.08953514066</v>
      </c>
      <c r="C33" s="2">
        <f>C11/'Output-Calculation-sheet'!C10*'Output-Calculation-sheet'!C19</f>
        <v>0</v>
      </c>
      <c r="D33" s="2">
        <f>D11/'Output-Calculation-sheet'!D10*'Output-Calculation-sheet'!D19</f>
        <v>8551.8490542749823</v>
      </c>
      <c r="E33" s="2">
        <f>E11/'Output-Calculation-sheet'!E10*'Output-Calculation-sheet'!E19</f>
        <v>10602.13358535718</v>
      </c>
      <c r="F33" s="2">
        <f>F11/'Output-Calculation-sheet'!F10*'Output-Calculation-sheet'!F19</f>
        <v>4854.5332182077709</v>
      </c>
      <c r="G33" s="2">
        <f>G11/'Output-Calculation-sheet'!G10*'Output-Calculation-sheet'!G19</f>
        <v>2891.9140744049901</v>
      </c>
      <c r="H33" s="2">
        <f>H11/'Output-Calculation-sheet'!H10*'Output-Calculation-sheet'!H19</f>
        <v>0</v>
      </c>
      <c r="I33" s="2">
        <f>I11/'Output-Calculation-sheet'!I10*'Output-Calculation-sheet'!I19</f>
        <v>3176.6961309160833</v>
      </c>
      <c r="J33" s="2">
        <f>J11/'Output-Calculation-sheet'!J10*'Output-Calculation-sheet'!J19</f>
        <v>2686.2660177759503</v>
      </c>
      <c r="K33" s="2">
        <f>K11/'Output-Calculation-sheet'!K10*'Output-Calculation-sheet'!K19</f>
        <v>3725.9142954445069</v>
      </c>
      <c r="L33" s="2">
        <f>L11/'Output-Calculation-sheet'!L10*'Output-Calculation-sheet'!L19</f>
        <v>3030.3633966765783</v>
      </c>
      <c r="M33" s="2">
        <f>M11/'Output-Calculation-sheet'!M10*'Output-Calculation-sheet'!M19</f>
        <v>0</v>
      </c>
      <c r="N33" s="2">
        <f>N11/'Output-Calculation-sheet'!N10*'Output-Calculation-sheet'!N19</f>
        <v>575.21053650544968</v>
      </c>
      <c r="O33" s="2">
        <f>O11/'Output-Calculation-sheet'!O10*'Output-Calculation-sheet'!O19</f>
        <v>0</v>
      </c>
      <c r="P33" s="2">
        <f>P11/'Output-Calculation-sheet'!P10*'Output-Calculation-sheet'!P19</f>
        <v>2847.385878695361</v>
      </c>
      <c r="Q33" s="2">
        <f>Q11/'Output-Calculation-sheet'!Q10*'Output-Calculation-sheet'!Q19</f>
        <v>1814.2726733594843</v>
      </c>
      <c r="R33" s="2">
        <f>R11/'Output-Calculation-sheet'!R10*'Output-Calculation-sheet'!R19</f>
        <v>2691.7033164107638</v>
      </c>
      <c r="S33" s="2">
        <f>S11/'Output-Calculation-sheet'!S10*'Output-Calculation-sheet'!S19</f>
        <v>365.66079478883842</v>
      </c>
      <c r="T33" s="2">
        <f>T11/'Output-Calculation-sheet'!T10*'Output-Calculation-sheet'!T19</f>
        <v>789.63099255544398</v>
      </c>
      <c r="U33" s="2">
        <f>U11/'Output-Calculation-sheet'!U10*'Output-Calculation-sheet'!U19</f>
        <v>854.02971862353002</v>
      </c>
      <c r="V33" s="2">
        <f>V11/'Output-Calculation-sheet'!V10*'Output-Calculation-sheet'!V19</f>
        <v>619.38445155013426</v>
      </c>
      <c r="W33" s="2">
        <f>W11/'Output-Calculation-sheet'!W10*'Output-Calculation-sheet'!W19</f>
        <v>385.65740046417784</v>
      </c>
      <c r="X33" s="2">
        <f>X11/'Output-Calculation-sheet'!X10*'Output-Calculation-sheet'!X19</f>
        <v>0</v>
      </c>
      <c r="Y33" s="2">
        <f>Y11/'Output-Calculation-sheet'!Y10*'Output-Calculation-sheet'!Y19</f>
        <v>315.7433132296589</v>
      </c>
      <c r="AA33" s="2">
        <f t="shared" si="1"/>
        <v>63.637438384381554</v>
      </c>
    </row>
    <row r="34" spans="1:27" x14ac:dyDescent="0.25">
      <c r="A34" s="2">
        <v>2035</v>
      </c>
      <c r="B34" s="2">
        <f>B12/'Output-Calculation-sheet'!B11*'Output-Calculation-sheet'!B20</f>
        <v>3360.8915435935496</v>
      </c>
      <c r="C34" s="2">
        <f>C12/'Output-Calculation-sheet'!C11*'Output-Calculation-sheet'!C20</f>
        <v>0</v>
      </c>
      <c r="D34" s="2">
        <f>D12/'Output-Calculation-sheet'!D11*'Output-Calculation-sheet'!D20</f>
        <v>8800.4323683769835</v>
      </c>
      <c r="E34" s="2">
        <f>E12/'Output-Calculation-sheet'!E11*'Output-Calculation-sheet'!E20</f>
        <v>5744.7209475802147</v>
      </c>
      <c r="F34" s="2">
        <f>F12/'Output-Calculation-sheet'!F11*'Output-Calculation-sheet'!F20</f>
        <v>5468.8574826421127</v>
      </c>
      <c r="G34" s="2">
        <f>G12/'Output-Calculation-sheet'!G11*'Output-Calculation-sheet'!G20</f>
        <v>2950.6414604171096</v>
      </c>
      <c r="H34" s="2">
        <f>H12/'Output-Calculation-sheet'!H11*'Output-Calculation-sheet'!H20</f>
        <v>0</v>
      </c>
      <c r="I34" s="2">
        <f>I12/'Output-Calculation-sheet'!I11*'Output-Calculation-sheet'!I20</f>
        <v>3280.3016333050314</v>
      </c>
      <c r="J34" s="2">
        <f>J12/'Output-Calculation-sheet'!J11*'Output-Calculation-sheet'!J20</f>
        <v>3042.0365142827859</v>
      </c>
      <c r="K34" s="2">
        <f>K12/'Output-Calculation-sheet'!K11*'Output-Calculation-sheet'!K20</f>
        <v>4055.3363644788974</v>
      </c>
      <c r="L34" s="2">
        <f>L12/'Output-Calculation-sheet'!L11*'Output-Calculation-sheet'!L20</f>
        <v>3228.7184589026724</v>
      </c>
      <c r="M34" s="2">
        <f>M12/'Output-Calculation-sheet'!M11*'Output-Calculation-sheet'!M20</f>
        <v>0</v>
      </c>
      <c r="N34" s="2">
        <f>N12/'Output-Calculation-sheet'!N11*'Output-Calculation-sheet'!N20</f>
        <v>2.3836281245862383E-2</v>
      </c>
      <c r="O34" s="2">
        <f>O12/'Output-Calculation-sheet'!O11*'Output-Calculation-sheet'!O20</f>
        <v>0</v>
      </c>
      <c r="P34" s="2">
        <f>P12/'Output-Calculation-sheet'!P11*'Output-Calculation-sheet'!P20</f>
        <v>1660.0758548998931</v>
      </c>
      <c r="Q34" s="2">
        <f>Q12/'Output-Calculation-sheet'!Q11*'Output-Calculation-sheet'!Q20</f>
        <v>1116.3049554553734</v>
      </c>
      <c r="R34" s="2">
        <f>R12/'Output-Calculation-sheet'!R11*'Output-Calculation-sheet'!R20</f>
        <v>3098.0669888320367</v>
      </c>
      <c r="S34" s="2">
        <f>S12/'Output-Calculation-sheet'!S11*'Output-Calculation-sheet'!S20</f>
        <v>3.6703513768179108</v>
      </c>
      <c r="T34" s="2">
        <f>T12/'Output-Calculation-sheet'!T11*'Output-Calculation-sheet'!T20</f>
        <v>939.0759194949602</v>
      </c>
      <c r="U34" s="2">
        <f>U12/'Output-Calculation-sheet'!U11*'Output-Calculation-sheet'!U20</f>
        <v>864.95964186294361</v>
      </c>
      <c r="V34" s="2">
        <f>V12/'Output-Calculation-sheet'!V11*'Output-Calculation-sheet'!V20</f>
        <v>851.37227477246006</v>
      </c>
      <c r="W34" s="2">
        <f>W12/'Output-Calculation-sheet'!W11*'Output-Calculation-sheet'!W20</f>
        <v>461.70712215036212</v>
      </c>
      <c r="X34" s="2">
        <f>X12/'Output-Calculation-sheet'!X11*'Output-Calculation-sheet'!X20</f>
        <v>0</v>
      </c>
      <c r="Y34" s="2">
        <f>Y12/'Output-Calculation-sheet'!Y11*'Output-Calculation-sheet'!Y20</f>
        <v>210.90471560716946</v>
      </c>
      <c r="AA34" s="2">
        <f t="shared" si="1"/>
        <v>49.138098434312617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1.9262102534806057E-2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3.5277070565484714E-3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2.2789809591354529E-2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5.5059089571720163E-2</v>
      </c>
      <c r="E45" s="2">
        <f>E12/'Output-Calculation-sheet'!E11*'Output-Calculation-sheet'!E38*0.0114</f>
        <v>0.13127202415997452</v>
      </c>
      <c r="F45" s="2">
        <f>F12/'Output-Calculation-sheet'!F11*'Output-Calculation-sheet'!F38*0.0114</f>
        <v>5.5040714697161257E-2</v>
      </c>
      <c r="G45" s="2">
        <f>G12/'Output-Calculation-sheet'!G11*'Output-Calculation-sheet'!G38*0.0114</f>
        <v>3.9501880304384951E-2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3.5529500321778214E-2</v>
      </c>
      <c r="J45" s="2">
        <f>J12/'Output-Calculation-sheet'!J11*'Output-Calculation-sheet'!J38*0.0114</f>
        <v>1.7581218020052448E-2</v>
      </c>
      <c r="K45" s="2">
        <f>K12/'Output-Calculation-sheet'!K11*'Output-Calculation-sheet'!K38*0.0114</f>
        <v>3.4919843339448614E-2</v>
      </c>
      <c r="L45" s="2">
        <f>L12/'Output-Calculation-sheet'!L11*'Output-Calculation-sheet'!L38*0.0114</f>
        <v>1.3883325939742799E-2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3.5862017406910536E-2</v>
      </c>
      <c r="Q45" s="2">
        <f>Q12/'Output-Calculation-sheet'!Q11*'Output-Calculation-sheet'!Q38*0.0114</f>
        <v>1.1337154434095586E-2</v>
      </c>
      <c r="R45" s="2">
        <f>R12/'Output-Calculation-sheet'!R11*'Output-Calculation-sheet'!R38*0.0114</f>
        <v>2.2485850779241548E-2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4.1594588634554473E-3</v>
      </c>
      <c r="U45" s="2">
        <f>U12/'Output-Calculation-sheet'!U11*'Output-Calculation-sheet'!U38*0.0114</f>
        <v>1.0851701805000927E-2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4.8305187075700969E-3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5.5751039582286558E-3</v>
      </c>
      <c r="AA45" s="2">
        <f t="shared" si="2"/>
        <v>0.73996748934654488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0.14006646162844086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181.80858842427193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0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16.964084030841825</v>
      </c>
      <c r="AA54" s="2">
        <f t="shared" si="3"/>
        <v>4.4784512254753182</v>
      </c>
    </row>
    <row r="55" spans="1:27" x14ac:dyDescent="0.25">
      <c r="A55" s="2">
        <v>2034</v>
      </c>
      <c r="B55" s="2">
        <f>B11/'Output-Calculation-sheet'!B10*'Output-Calculation-sheet'!B46</f>
        <v>1680.4800730708605</v>
      </c>
      <c r="C55" s="2">
        <f>C11/'Output-Calculation-sheet'!C10*'Output-Calculation-sheet'!C46</f>
        <v>0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280.16384960340099</v>
      </c>
      <c r="G55" s="2">
        <f>G11/'Output-Calculation-sheet'!G10*'Output-Calculation-sheet'!G46</f>
        <v>3157.9710208379402</v>
      </c>
      <c r="H55" s="2">
        <f>H11/'Output-Calculation-sheet'!H10*'Output-Calculation-sheet'!H46</f>
        <v>572.89026140796807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1299.492472055872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424.6142956496746</v>
      </c>
      <c r="N55" s="2">
        <f>N11/'Output-Calculation-sheet'!N10*'Output-Calculation-sheet'!N46</f>
        <v>145.01282705135398</v>
      </c>
      <c r="O55" s="2">
        <f>O11/'Output-Calculation-sheet'!O10*'Output-Calculation-sheet'!O46</f>
        <v>0</v>
      </c>
      <c r="P55" s="2">
        <f>P11/'Output-Calculation-sheet'!P10*'Output-Calculation-sheet'!P46</f>
        <v>3153.8344855154005</v>
      </c>
      <c r="Q55" s="2">
        <f>Q11/'Output-Calculation-sheet'!Q10*'Output-Calculation-sheet'!Q46</f>
        <v>676.00188457114973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0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1202.205431113229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79.755775707501314</v>
      </c>
      <c r="X55" s="2">
        <f>X11/'Output-Calculation-sheet'!X10*'Output-Calculation-sheet'!X46</f>
        <v>40.526767654682111</v>
      </c>
      <c r="Y55" s="2">
        <f>Y11/'Output-Calculation-sheet'!Y10*'Output-Calculation-sheet'!Y46</f>
        <v>281.87172732896198</v>
      </c>
      <c r="AA55" s="2">
        <f t="shared" si="3"/>
        <v>41.746260614926754</v>
      </c>
    </row>
    <row r="56" spans="1:27" x14ac:dyDescent="0.25">
      <c r="A56" s="2">
        <v>2035</v>
      </c>
      <c r="B56" s="2">
        <f>B12/'Output-Calculation-sheet'!B11*'Output-Calculation-sheet'!B47</f>
        <v>3090.1422407249734</v>
      </c>
      <c r="C56" s="2">
        <f>C12/'Output-Calculation-sheet'!C11*'Output-Calculation-sheet'!C47</f>
        <v>354.39571357735559</v>
      </c>
      <c r="D56" s="2">
        <f>D12/'Output-Calculation-sheet'!D11*'Output-Calculation-sheet'!D47</f>
        <v>8722.5189268882987</v>
      </c>
      <c r="E56" s="2">
        <f>E12/'Output-Calculation-sheet'!E11*'Output-Calculation-sheet'!E47</f>
        <v>11430.645846444566</v>
      </c>
      <c r="F56" s="2">
        <f>F12/'Output-Calculation-sheet'!F11*'Output-Calculation-sheet'!F47</f>
        <v>1207.0332170430099</v>
      </c>
      <c r="G56" s="2">
        <f>G12/'Output-Calculation-sheet'!G11*'Output-Calculation-sheet'!G47</f>
        <v>3227.7194301346126</v>
      </c>
      <c r="H56" s="2">
        <f>H12/'Output-Calculation-sheet'!H11*'Output-Calculation-sheet'!H47</f>
        <v>137.62626709319429</v>
      </c>
      <c r="I56" s="2">
        <f>I12/'Output-Calculation-sheet'!I11*'Output-Calculation-sheet'!I47</f>
        <v>2056.9710712608439</v>
      </c>
      <c r="J56" s="2">
        <f>J12/'Output-Calculation-sheet'!J11*'Output-Calculation-sheet'!J47</f>
        <v>3434.5063623383162</v>
      </c>
      <c r="K56" s="2">
        <f>K12/'Output-Calculation-sheet'!K11*'Output-Calculation-sheet'!K47</f>
        <v>4587.0583684933599</v>
      </c>
      <c r="L56" s="2">
        <f>L12/'Output-Calculation-sheet'!L11*'Output-Calculation-sheet'!L47</f>
        <v>4967.5514480886732</v>
      </c>
      <c r="M56" s="2">
        <f>M12/'Output-Calculation-sheet'!M11*'Output-Calculation-sheet'!M47</f>
        <v>105.09419706016547</v>
      </c>
      <c r="N56" s="2">
        <f>N12/'Output-Calculation-sheet'!N11*'Output-Calculation-sheet'!N47</f>
        <v>98.750308018572724</v>
      </c>
      <c r="O56" s="2">
        <f>O12/'Output-Calculation-sheet'!O11*'Output-Calculation-sheet'!O47</f>
        <v>64.612365338242597</v>
      </c>
      <c r="P56" s="2">
        <f>P12/'Output-Calculation-sheet'!P11*'Output-Calculation-sheet'!P47</f>
        <v>2346.7600864522155</v>
      </c>
      <c r="Q56" s="2">
        <f>Q12/'Output-Calculation-sheet'!Q11*'Output-Calculation-sheet'!Q47</f>
        <v>901.99991857234181</v>
      </c>
      <c r="R56" s="2">
        <f>R12/'Output-Calculation-sheet'!R11*'Output-Calculation-sheet'!R47</f>
        <v>5057.3439822785376</v>
      </c>
      <c r="S56" s="2">
        <f>S12/'Output-Calculation-sheet'!S11*'Output-Calculation-sheet'!S47</f>
        <v>42.292650149470695</v>
      </c>
      <c r="T56" s="2">
        <f>T12/'Output-Calculation-sheet'!T11*'Output-Calculation-sheet'!T47</f>
        <v>1701.3646210783113</v>
      </c>
      <c r="U56" s="2">
        <f>U12/'Output-Calculation-sheet'!U11*'Output-Calculation-sheet'!U47</f>
        <v>1192.7352948829966</v>
      </c>
      <c r="V56" s="2">
        <f>V12/'Output-Calculation-sheet'!V11*'Output-Calculation-sheet'!V47</f>
        <v>1178.5607537789517</v>
      </c>
      <c r="W56" s="2">
        <f>W12/'Output-Calculation-sheet'!W11*'Output-Calculation-sheet'!W47</f>
        <v>417.16190066690876</v>
      </c>
      <c r="X56" s="2">
        <f>X12/'Output-Calculation-sheet'!X11*'Output-Calculation-sheet'!X47</f>
        <v>10.768894721332991</v>
      </c>
      <c r="Y56" s="2">
        <f>Y12/'Output-Calculation-sheet'!Y11*'Output-Calculation-sheet'!Y47</f>
        <v>332.91684382141733</v>
      </c>
      <c r="AA56" s="2">
        <f t="shared" si="3"/>
        <v>56.666530708906663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7.2116326618382454</v>
      </c>
      <c r="C63" s="2">
        <f>C8*'Output-Calculation-sheet'!C52/10^9</f>
        <v>3.8528250655895611</v>
      </c>
      <c r="D63" s="2">
        <f>D8*'Output-Calculation-sheet'!D52/10^9</f>
        <v>2.4730233866098734</v>
      </c>
      <c r="E63" s="2">
        <f>E8*'Output-Calculation-sheet'!E52/10^9</f>
        <v>2.4588486058096901</v>
      </c>
      <c r="F63" s="2">
        <f>F8*'Output-Calculation-sheet'!F52/10^9</f>
        <v>1.0413221812884319</v>
      </c>
      <c r="G63" s="2">
        <f>G8*'Output-Calculation-sheet'!G52/10^9</f>
        <v>0.74866360542736543</v>
      </c>
      <c r="H63" s="2">
        <f>H8*'Output-Calculation-sheet'!H52/10^9</f>
        <v>1.2176294320097805</v>
      </c>
      <c r="I63" s="2">
        <f>I8*'Output-Calculation-sheet'!I52/10^9</f>
        <v>0.69643096464052334</v>
      </c>
      <c r="J63" s="2">
        <f>J8*'Output-Calculation-sheet'!J52/10^9</f>
        <v>0.95833621278137393</v>
      </c>
      <c r="K63" s="2">
        <f>K8*'Output-Calculation-sheet'!K52/10^9</f>
        <v>0.84198359931952182</v>
      </c>
      <c r="L63" s="2">
        <f>L8*'Output-Calculation-sheet'!L52/10^9</f>
        <v>1.1325084524511622</v>
      </c>
      <c r="M63" s="2">
        <f>M8*'Output-Calculation-sheet'!M52/10^9</f>
        <v>0.99752216784121106</v>
      </c>
      <c r="N63" s="2">
        <f>N8*'Output-Calculation-sheet'!N52/10^9</f>
        <v>0.88016871245831307</v>
      </c>
      <c r="O63" s="2">
        <f>O8*'Output-Calculation-sheet'!O52/10^9</f>
        <v>0.78825474834010734</v>
      </c>
      <c r="P63" s="2">
        <f>P8*'Output-Calculation-sheet'!P52/10^9</f>
        <v>0.58178795462669319</v>
      </c>
      <c r="Q63" s="2">
        <f>Q8*'Output-Calculation-sheet'!Q52/10^9</f>
        <v>0.65841347405936645</v>
      </c>
      <c r="R63" s="2">
        <f>R8*'Output-Calculation-sheet'!R52/10^9</f>
        <v>0.59112460446113191</v>
      </c>
      <c r="S63" s="2">
        <f>S8*'Output-Calculation-sheet'!S52/10^9</f>
        <v>0.43804427649048377</v>
      </c>
      <c r="T63" s="2">
        <f>T8*'Output-Calculation-sheet'!T52/10^9</f>
        <v>0.22473713042546534</v>
      </c>
      <c r="U63" s="2">
        <f>U8*'Output-Calculation-sheet'!U52/10^9</f>
        <v>0.15434705296887466</v>
      </c>
      <c r="V63" s="2">
        <f>V8*'Output-Calculation-sheet'!V52/10^9</f>
        <v>0.27392954395126412</v>
      </c>
      <c r="W63" s="2">
        <f>W8*'Output-Calculation-sheet'!W52/10^9</f>
        <v>9.914966118144751E-2</v>
      </c>
      <c r="X63" s="2">
        <f>X8*'Output-Calculation-sheet'!X52/10^9</f>
        <v>0.10216197307067044</v>
      </c>
      <c r="Y63" s="2">
        <f>Y8*'Output-Calculation-sheet'!Y52/10^9</f>
        <v>6.4692395819387655E-2</v>
      </c>
      <c r="AA63" s="2">
        <f t="shared" si="4"/>
        <v>28.487537863459945</v>
      </c>
    </row>
    <row r="64" spans="1:27" x14ac:dyDescent="0.25">
      <c r="A64" s="2">
        <v>2032</v>
      </c>
      <c r="B64" s="2">
        <f>B9*'Output-Calculation-sheet'!B53/10^9</f>
        <v>7.4911286637811356</v>
      </c>
      <c r="C64" s="2">
        <f>C9*'Output-Calculation-sheet'!C53/10^9</f>
        <v>3.9712786661717741</v>
      </c>
      <c r="D64" s="2">
        <f>D9*'Output-Calculation-sheet'!D53/10^9</f>
        <v>2.2186281761681328</v>
      </c>
      <c r="E64" s="2">
        <f>E9*'Output-Calculation-sheet'!E53/10^9</f>
        <v>2.2719728673777575</v>
      </c>
      <c r="F64" s="2">
        <f>F9*'Output-Calculation-sheet'!F53/10^9</f>
        <v>0.95830390902034746</v>
      </c>
      <c r="G64" s="2">
        <f>G9*'Output-Calculation-sheet'!G53/10^9</f>
        <v>0.68209140686902503</v>
      </c>
      <c r="H64" s="2">
        <f>H9*'Output-Calculation-sheet'!H53/10^9</f>
        <v>1.2463563474280832</v>
      </c>
      <c r="I64" s="2">
        <f>I9*'Output-Calculation-sheet'!I53/10^9</f>
        <v>0.63764398688949031</v>
      </c>
      <c r="J64" s="2">
        <f>J9*'Output-Calculation-sheet'!J53/10^9</f>
        <v>0.84411107892748383</v>
      </c>
      <c r="K64" s="2">
        <f>K9*'Output-Calculation-sheet'!K53/10^9</f>
        <v>0.78322023696869791</v>
      </c>
      <c r="L64" s="2">
        <f>L9*'Output-Calculation-sheet'!L53/10^9</f>
        <v>1.0076104938707524</v>
      </c>
      <c r="M64" s="2">
        <f>M9*'Output-Calculation-sheet'!M53/10^9</f>
        <v>0.98883798956570079</v>
      </c>
      <c r="N64" s="2">
        <f>N9*'Output-Calculation-sheet'!N53/10^9</f>
        <v>0.89027369138256851</v>
      </c>
      <c r="O64" s="2">
        <f>O9*'Output-Calculation-sheet'!O53/10^9</f>
        <v>0.80421366972084829</v>
      </c>
      <c r="P64" s="2">
        <f>P9*'Output-Calculation-sheet'!P53/10^9</f>
        <v>0.59715683288531263</v>
      </c>
      <c r="Q64" s="2">
        <f>Q9*'Output-Calculation-sheet'!Q53/10^9</f>
        <v>0.65994306685254378</v>
      </c>
      <c r="R64" s="2">
        <f>R9*'Output-Calculation-sheet'!R53/10^9</f>
        <v>0.56572705503263532</v>
      </c>
      <c r="S64" s="2">
        <f>S9*'Output-Calculation-sheet'!S53/10^9</f>
        <v>0.45522473082594317</v>
      </c>
      <c r="T64" s="2">
        <f>T9*'Output-Calculation-sheet'!T53/10^9</f>
        <v>0.20336334289111416</v>
      </c>
      <c r="U64" s="2">
        <f>U9*'Output-Calculation-sheet'!U53/10^9</f>
        <v>0.15306734815735085</v>
      </c>
      <c r="V64" s="2">
        <f>V9*'Output-Calculation-sheet'!V53/10^9</f>
        <v>0.24137853616057064</v>
      </c>
      <c r="W64" s="2">
        <f>W9*'Output-Calculation-sheet'!W53/10^9</f>
        <v>8.9691758275883618E-2</v>
      </c>
      <c r="X64" s="2">
        <f>X9*'Output-Calculation-sheet'!X53/10^9</f>
        <v>0.10283031766411231</v>
      </c>
      <c r="Y64" s="2">
        <f>Y9*'Output-Calculation-sheet'!Y53/10^9</f>
        <v>6.2841005615132117E-2</v>
      </c>
      <c r="AA64" s="2">
        <f t="shared" si="4"/>
        <v>27.926895178502399</v>
      </c>
    </row>
    <row r="65" spans="1:27" x14ac:dyDescent="0.25">
      <c r="A65" s="2">
        <v>2033</v>
      </c>
      <c r="B65" s="2">
        <f>B10*'Output-Calculation-sheet'!B54/10^9</f>
        <v>7.6946922549360535</v>
      </c>
      <c r="C65" s="2">
        <f>C10*'Output-Calculation-sheet'!C54/10^9</f>
        <v>3.9775243253189698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1.2490768833982244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0.72776009616798509</v>
      </c>
      <c r="L65" s="2">
        <f>L10*'Output-Calculation-sheet'!L54/10^9</f>
        <v>0.8595550671606117</v>
      </c>
      <c r="M65" s="2">
        <f>M10*'Output-Calculation-sheet'!M54/10^9</f>
        <v>0.9525006712463967</v>
      </c>
      <c r="N65" s="2">
        <f>N10*'Output-Calculation-sheet'!N54/10^9</f>
        <v>0.87403608462318261</v>
      </c>
      <c r="O65" s="2">
        <f>O10*'Output-Calculation-sheet'!O54/10^9</f>
        <v>0.79711346311529818</v>
      </c>
      <c r="P65" s="2">
        <f>P10*'Output-Calculation-sheet'!P54/10^9</f>
        <v>0.61570806329741157</v>
      </c>
      <c r="Q65" s="2">
        <f>Q10*'Output-Calculation-sheet'!Q54/10^9</f>
        <v>0.6707132458188374</v>
      </c>
      <c r="R65" s="2">
        <f>R10*'Output-Calculation-sheet'!R54/10^9</f>
        <v>0.54206372418194226</v>
      </c>
      <c r="S65" s="2">
        <f>S10*'Output-Calculation-sheet'!S54/10^9</f>
        <v>0.46105277112286674</v>
      </c>
      <c r="T65" s="2">
        <f>T10*'Output-Calculation-sheet'!T54/10^9</f>
        <v>0.18123834151131907</v>
      </c>
      <c r="U65" s="2">
        <f>U10*'Output-Calculation-sheet'!U54/10^9</f>
        <v>0.15649286120805037</v>
      </c>
      <c r="V65" s="2">
        <f>V10*'Output-Calculation-sheet'!V54/10^9</f>
        <v>0.20057204688349012</v>
      </c>
      <c r="W65" s="2">
        <f>W10*'Output-Calculation-sheet'!W54/10^9</f>
        <v>7.636239097441766E-2</v>
      </c>
      <c r="X65" s="2">
        <f>X10*'Output-Calculation-sheet'!X54/10^9</f>
        <v>9.9870367984231462E-2</v>
      </c>
      <c r="Y65" s="2">
        <f>Y10*'Output-Calculation-sheet'!Y54/10^9</f>
        <v>6.2851626995091184E-2</v>
      </c>
      <c r="AA65" s="2">
        <f t="shared" si="4"/>
        <v>26.861423348823063</v>
      </c>
    </row>
    <row r="66" spans="1:27" x14ac:dyDescent="0.25">
      <c r="A66" s="2">
        <v>2034</v>
      </c>
      <c r="B66" s="2">
        <f>B11*'Output-Calculation-sheet'!B55/10^9</f>
        <v>7.8169767560696863</v>
      </c>
      <c r="C66" s="2">
        <f>C11*'Output-Calculation-sheet'!C55/10^9</f>
        <v>3.9322365778178083</v>
      </c>
      <c r="D66" s="2">
        <f>D11*'Output-Calculation-sheet'!D55/10^9</f>
        <v>1.764162958963382</v>
      </c>
      <c r="E66" s="2">
        <f>E11*'Output-Calculation-sheet'!E55/10^9</f>
        <v>2.1362762252243797</v>
      </c>
      <c r="F66" s="2">
        <f>F11*'Output-Calculation-sheet'!F55/10^9</f>
        <v>0.82100271242261214</v>
      </c>
      <c r="G66" s="2">
        <f>G11*'Output-Calculation-sheet'!G55/10^9</f>
        <v>0.58687354140579062</v>
      </c>
      <c r="H66" s="2">
        <f>H11*'Output-Calculation-sheet'!H55/10^9</f>
        <v>1.2245805428185617</v>
      </c>
      <c r="I66" s="2">
        <f>I11*'Output-Calculation-sheet'!I55/10^9</f>
        <v>0.57385660363865021</v>
      </c>
      <c r="J66" s="2">
        <f>J11*'Output-Calculation-sheet'!J55/10^9</f>
        <v>0.59011716096818279</v>
      </c>
      <c r="K66" s="2">
        <f>K11*'Output-Calculation-sheet'!K55/10^9</f>
        <v>0.70582173272412463</v>
      </c>
      <c r="L66" s="2">
        <f>L11*'Output-Calculation-sheet'!L55/10^9</f>
        <v>0.747476584423719</v>
      </c>
      <c r="M66" s="2">
        <f>M11*'Output-Calculation-sheet'!M55/10^9</f>
        <v>0.89263460363622005</v>
      </c>
      <c r="N66" s="2">
        <f>N11*'Output-Calculation-sheet'!N55/10^9</f>
        <v>0.84328167769365114</v>
      </c>
      <c r="O66" s="2">
        <f>O11*'Output-Calculation-sheet'!O55/10^9</f>
        <v>0.77505706761513948</v>
      </c>
      <c r="P66" s="2">
        <f>P11*'Output-Calculation-sheet'!P55/10^9</f>
        <v>0.64716517156322062</v>
      </c>
      <c r="Q66" s="2">
        <f>Q11*'Output-Calculation-sheet'!Q55/10^9</f>
        <v>0.684595495664441</v>
      </c>
      <c r="R66" s="2">
        <f>R11*'Output-Calculation-sheet'!R55/10^9</f>
        <v>0.52877477763478631</v>
      </c>
      <c r="S66" s="2">
        <f>S11*'Output-Calculation-sheet'!S55/10^9</f>
        <v>0.4612188995743523</v>
      </c>
      <c r="T66" s="2">
        <f>T11*'Output-Calculation-sheet'!T55/10^9</f>
        <v>0.16573073626699913</v>
      </c>
      <c r="U66" s="2">
        <f>U11*'Output-Calculation-sheet'!U55/10^9</f>
        <v>0.16833327131323186</v>
      </c>
      <c r="V66" s="2">
        <f>V11*'Output-Calculation-sheet'!V55/10^9</f>
        <v>0.15721869380975501</v>
      </c>
      <c r="W66" s="2">
        <f>W11*'Output-Calculation-sheet'!W55/10^9</f>
        <v>7.1189647617765819E-2</v>
      </c>
      <c r="X66" s="2">
        <f>X11*'Output-Calculation-sheet'!X55/10^9</f>
        <v>9.5370741824564093E-2</v>
      </c>
      <c r="Y66" s="2">
        <f>Y11*'Output-Calculation-sheet'!Y55/10^9</f>
        <v>6.9598893893396865E-2</v>
      </c>
      <c r="AA66" s="2">
        <f t="shared" si="4"/>
        <v>26.459551074584418</v>
      </c>
    </row>
    <row r="67" spans="1:27" x14ac:dyDescent="0.25">
      <c r="A67" s="2">
        <v>2035</v>
      </c>
      <c r="B67" s="2">
        <f>B12*'Output-Calculation-sheet'!B56/10^9</f>
        <v>8.0965883124673947</v>
      </c>
      <c r="C67" s="2">
        <f>C12*'Output-Calculation-sheet'!C56/10^9</f>
        <v>3.8001479412039045</v>
      </c>
      <c r="D67" s="2">
        <f>D12*'Output-Calculation-sheet'!D56/10^9</f>
        <v>1.8682438793814422</v>
      </c>
      <c r="E67" s="2">
        <f>E12*'Output-Calculation-sheet'!E56/10^9</f>
        <v>2.4975034120920121</v>
      </c>
      <c r="F67" s="2">
        <f>F12*'Output-Calculation-sheet'!F56/10^9</f>
        <v>0.92644965306589888</v>
      </c>
      <c r="G67" s="2">
        <f>G12*'Output-Calculation-sheet'!G56/10^9</f>
        <v>0.64899271290699601</v>
      </c>
      <c r="H67" s="2">
        <f>H12*'Output-Calculation-sheet'!H56/10^9</f>
        <v>1.1964010989665255</v>
      </c>
      <c r="I67" s="2">
        <f>I12*'Output-Calculation-sheet'!I56/10^9</f>
        <v>0.6304390200308474</v>
      </c>
      <c r="J67" s="2">
        <f>J12*'Output-Calculation-sheet'!J56/10^9</f>
        <v>0.62416046370230416</v>
      </c>
      <c r="K67" s="2">
        <f>K12*'Output-Calculation-sheet'!K56/10^9</f>
        <v>0.75212454039618937</v>
      </c>
      <c r="L67" s="2">
        <f>L12*'Output-Calculation-sheet'!L56/10^9</f>
        <v>0.75551840517281732</v>
      </c>
      <c r="M67" s="2">
        <f>M12*'Output-Calculation-sheet'!M56/10^9</f>
        <v>0.83226639280431502</v>
      </c>
      <c r="N67" s="2">
        <f>N12*'Output-Calculation-sheet'!N56/10^9</f>
        <v>0.81186025858156474</v>
      </c>
      <c r="O67" s="2">
        <f>O12*'Output-Calculation-sheet'!O56/10^9</f>
        <v>0.73871154870992084</v>
      </c>
      <c r="P67" s="2">
        <f>P12*'Output-Calculation-sheet'!P56/10^9</f>
        <v>0.7060600426251965</v>
      </c>
      <c r="Q67" s="2">
        <f>Q12*'Output-Calculation-sheet'!Q56/10^9</f>
        <v>0.71662719106437245</v>
      </c>
      <c r="R67" s="2">
        <f>R12*'Output-Calculation-sheet'!R56/10^9</f>
        <v>0.57049882937057306</v>
      </c>
      <c r="S67" s="2">
        <f>S12*'Output-Calculation-sheet'!S56/10^9</f>
        <v>0.46386135132024231</v>
      </c>
      <c r="T67" s="2">
        <f>T12*'Output-Calculation-sheet'!T56/10^9</f>
        <v>0.17289972167602699</v>
      </c>
      <c r="U67" s="2">
        <f>U12*'Output-Calculation-sheet'!U56/10^9</f>
        <v>0.18078075775841346</v>
      </c>
      <c r="V67" s="2">
        <f>V12*'Output-Calculation-sheet'!V56/10^9</f>
        <v>0.1386765415419981</v>
      </c>
      <c r="W67" s="2">
        <f>W12*'Output-Calculation-sheet'!W56/10^9</f>
        <v>8.3728555231367047E-2</v>
      </c>
      <c r="X67" s="2">
        <f>X12*'Output-Calculation-sheet'!X56/10^9</f>
        <v>8.8970872881037583E-2</v>
      </c>
      <c r="Y67" s="2">
        <f>Y12*'Output-Calculation-sheet'!Y56/10^9</f>
        <v>8.0423818125987784E-2</v>
      </c>
      <c r="AA67" s="2">
        <f t="shared" si="4"/>
        <v>27.38193532107735</v>
      </c>
    </row>
    <row r="68" spans="1:27" x14ac:dyDescent="0.25">
      <c r="B68" s="2">
        <f>SUM(B60:B67)</f>
        <v>38.311018649092517</v>
      </c>
      <c r="C68" s="2">
        <f t="shared" ref="C68:Y68" si="5">SUM(C60:C67)</f>
        <v>19.534012576102015</v>
      </c>
      <c r="D68" s="2">
        <f t="shared" si="5"/>
        <v>10.191348146639024</v>
      </c>
      <c r="E68" s="2">
        <f t="shared" si="5"/>
        <v>11.467137537594422</v>
      </c>
      <c r="F68" s="2">
        <f t="shared" si="5"/>
        <v>4.6006713782796407</v>
      </c>
      <c r="G68" s="2">
        <f t="shared" si="5"/>
        <v>3.2526905091488123</v>
      </c>
      <c r="H68" s="2">
        <f t="shared" si="5"/>
        <v>6.1340443046211757</v>
      </c>
      <c r="I68" s="2">
        <f t="shared" si="5"/>
        <v>3.1090422162239735</v>
      </c>
      <c r="J68" s="2">
        <f t="shared" si="5"/>
        <v>3.6988040006048051</v>
      </c>
      <c r="K68" s="2">
        <f t="shared" si="5"/>
        <v>3.8109102055765187</v>
      </c>
      <c r="L68" s="2">
        <f t="shared" si="5"/>
        <v>4.5026690030790624</v>
      </c>
      <c r="M68" s="2">
        <f t="shared" si="5"/>
        <v>4.663761825093844</v>
      </c>
      <c r="N68" s="2">
        <f t="shared" si="5"/>
        <v>4.2996204247392802</v>
      </c>
      <c r="O68" s="2">
        <f t="shared" si="5"/>
        <v>3.9033504975013145</v>
      </c>
      <c r="P68" s="2">
        <f t="shared" si="5"/>
        <v>3.1478780649978346</v>
      </c>
      <c r="Q68" s="2">
        <f t="shared" si="5"/>
        <v>3.390292473459561</v>
      </c>
      <c r="R68" s="2">
        <f t="shared" si="5"/>
        <v>2.7981889906810684</v>
      </c>
      <c r="S68" s="2">
        <f t="shared" si="5"/>
        <v>2.2794020293338884</v>
      </c>
      <c r="T68" s="2">
        <f t="shared" si="5"/>
        <v>0.94796927277092469</v>
      </c>
      <c r="U68" s="2">
        <f t="shared" si="5"/>
        <v>0.81302129140592116</v>
      </c>
      <c r="V68" s="2">
        <f t="shared" si="5"/>
        <v>1.0117753623470782</v>
      </c>
      <c r="W68" s="2">
        <f t="shared" si="5"/>
        <v>0.42012201328088161</v>
      </c>
      <c r="X68" s="2">
        <f t="shared" si="5"/>
        <v>0.48920427342461581</v>
      </c>
      <c r="Y68" s="2">
        <f t="shared" si="5"/>
        <v>0.34040774044899558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51.306066616759551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5.1306066616759551E-2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483.75731481154077</v>
      </c>
      <c r="Q76" s="2">
        <f>Q10/'Output-Calculation-sheet'!Q9*'Output-Calculation-sheet'!Q63</f>
        <v>57.464566866367065</v>
      </c>
      <c r="R76" s="2">
        <f>R10/'Output-Calculation-sheet'!R9*'Output-Calculation-sheet'!R63</f>
        <v>368.74348510295079</v>
      </c>
      <c r="S76" s="2">
        <f>S10/'Output-Calculation-sheet'!S9*'Output-Calculation-sheet'!S63</f>
        <v>0</v>
      </c>
      <c r="T76" s="2">
        <f>T10/'Output-Calculation-sheet'!T9*'Output-Calculation-sheet'!T63</f>
        <v>24.22355133621771</v>
      </c>
      <c r="U76" s="2">
        <f>U10/'Output-Calculation-sheet'!U9*'Output-Calculation-sheet'!U63</f>
        <v>130.83838991648327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6.213898131621602</v>
      </c>
      <c r="AA76" s="2">
        <f t="shared" si="6"/>
        <v>1.1729669907072846</v>
      </c>
    </row>
    <row r="77" spans="1:27" x14ac:dyDescent="0.25">
      <c r="A77" s="2">
        <v>2034</v>
      </c>
      <c r="B77" s="2">
        <f>B11/'Output-Calculation-sheet'!B10*'Output-Calculation-sheet'!B64</f>
        <v>508.64770851708806</v>
      </c>
      <c r="C77" s="2">
        <f>C11/'Output-Calculation-sheet'!C10*'Output-Calculation-sheet'!C64</f>
        <v>0</v>
      </c>
      <c r="D77" s="2">
        <f>D11/'Output-Calculation-sheet'!D10*'Output-Calculation-sheet'!D64</f>
        <v>1710.8464839112676</v>
      </c>
      <c r="E77" s="2">
        <f>E11/'Output-Calculation-sheet'!E10*'Output-Calculation-sheet'!E64</f>
        <v>2121.4014889083751</v>
      </c>
      <c r="F77" s="2">
        <f>F11/'Output-Calculation-sheet'!F10*'Output-Calculation-sheet'!F64</f>
        <v>132.9059633429512</v>
      </c>
      <c r="G77" s="2">
        <f>G11/'Output-Calculation-sheet'!G10*'Output-Calculation-sheet'!G64</f>
        <v>857.10949373912263</v>
      </c>
      <c r="H77" s="2">
        <f>H11/'Output-Calculation-sheet'!H10*'Output-Calculation-sheet'!H64</f>
        <v>140.26972526176351</v>
      </c>
      <c r="I77" s="2">
        <f>I11/'Output-Calculation-sheet'!I10*'Output-Calculation-sheet'!I64</f>
        <v>530.32650019122502</v>
      </c>
      <c r="J77" s="2">
        <f>J11/'Output-Calculation-sheet'!J10*'Output-Calculation-sheet'!J64</f>
        <v>372.69113209275542</v>
      </c>
      <c r="K77" s="2">
        <f>K11/'Output-Calculation-sheet'!K10*'Output-Calculation-sheet'!K64</f>
        <v>813.10819499455067</v>
      </c>
      <c r="L77" s="2">
        <f>L11/'Output-Calculation-sheet'!L10*'Output-Calculation-sheet'!L64</f>
        <v>336.21243548075296</v>
      </c>
      <c r="M77" s="2">
        <f>M11/'Output-Calculation-sheet'!M10*'Output-Calculation-sheet'!M64</f>
        <v>101.02441342862922</v>
      </c>
      <c r="N77" s="2">
        <f>N11/'Output-Calculation-sheet'!N10*'Output-Calculation-sheet'!N64</f>
        <v>33.411619533519215</v>
      </c>
      <c r="O77" s="2">
        <f>O11/'Output-Calculation-sheet'!O10*'Output-Calculation-sheet'!O64</f>
        <v>0</v>
      </c>
      <c r="P77" s="2">
        <f>P11/'Output-Calculation-sheet'!P10*'Output-Calculation-sheet'!P64</f>
        <v>687.97360952841461</v>
      </c>
      <c r="Q77" s="2">
        <f>Q11/'Output-Calculation-sheet'!Q10*'Output-Calculation-sheet'!Q64</f>
        <v>165.94052000100555</v>
      </c>
      <c r="R77" s="2">
        <f>R11/'Output-Calculation-sheet'!R10*'Output-Calculation-sheet'!R64</f>
        <v>855.41868071240481</v>
      </c>
      <c r="S77" s="2">
        <f>S11/'Output-Calculation-sheet'!S10*'Output-Calculation-sheet'!S64</f>
        <v>0</v>
      </c>
      <c r="T77" s="2">
        <f>T11/'Output-Calculation-sheet'!T10*'Output-Calculation-sheet'!T64</f>
        <v>237.1874513888778</v>
      </c>
      <c r="U77" s="2">
        <f>U11/'Output-Calculation-sheet'!U10*'Output-Calculation-sheet'!U64</f>
        <v>260.14271123749421</v>
      </c>
      <c r="V77" s="2">
        <f>V11/'Output-Calculation-sheet'!V10*'Output-Calculation-sheet'!V64</f>
        <v>122.58304368467377</v>
      </c>
      <c r="W77" s="2">
        <f>W11/'Output-Calculation-sheet'!W10*'Output-Calculation-sheet'!W64</f>
        <v>26.896912183222756</v>
      </c>
      <c r="X77" s="2">
        <f>X11/'Output-Calculation-sheet'!X10*'Output-Calculation-sheet'!X64</f>
        <v>10.071025319406964</v>
      </c>
      <c r="Y77" s="2">
        <f>Y11/'Output-Calculation-sheet'!Y10*'Output-Calculation-sheet'!Y64</f>
        <v>56.765555760786611</v>
      </c>
      <c r="AA77" s="2">
        <f t="shared" si="6"/>
        <v>10.080934669218291</v>
      </c>
    </row>
    <row r="78" spans="1:27" x14ac:dyDescent="0.25">
      <c r="A78" s="2">
        <v>2035</v>
      </c>
      <c r="B78" s="2">
        <f>B12/'Output-Calculation-sheet'!B11*'Output-Calculation-sheet'!B65</f>
        <v>622.93361817023469</v>
      </c>
      <c r="C78" s="2">
        <f>C12/'Output-Calculation-sheet'!C11*'Output-Calculation-sheet'!C65</f>
        <v>63.682183608977127</v>
      </c>
      <c r="D78" s="2">
        <f>D12/'Output-Calculation-sheet'!D11*'Output-Calculation-sheet'!D65</f>
        <v>1980.0456046165389</v>
      </c>
      <c r="E78" s="2">
        <f>E12/'Output-Calculation-sheet'!E11*'Output-Calculation-sheet'!E65</f>
        <v>1848.7284817699103</v>
      </c>
      <c r="F78" s="2">
        <f>F12/'Output-Calculation-sheet'!F11*'Output-Calculation-sheet'!F65</f>
        <v>437.35158773049608</v>
      </c>
      <c r="G78" s="2">
        <f>G12/'Output-Calculation-sheet'!G11*'Output-Calculation-sheet'!G65</f>
        <v>865.8482980385312</v>
      </c>
      <c r="H78" s="2">
        <f>H12/'Output-Calculation-sheet'!H11*'Output-Calculation-sheet'!H65</f>
        <v>25.021126705187079</v>
      </c>
      <c r="I78" s="2">
        <f>I12/'Output-Calculation-sheet'!I11*'Output-Calculation-sheet'!I65</f>
        <v>574.21282441097026</v>
      </c>
      <c r="J78" s="2">
        <f>J12/'Output-Calculation-sheet'!J11*'Output-Calculation-sheet'!J65</f>
        <v>837.84836686666972</v>
      </c>
      <c r="K78" s="2">
        <f>K12/'Output-Calculation-sheet'!K11*'Output-Calculation-sheet'!K65</f>
        <v>1045.9151656157665</v>
      </c>
      <c r="L78" s="2">
        <f>L12/'Output-Calculation-sheet'!L11*'Output-Calculation-sheet'!L65</f>
        <v>882.4217610588347</v>
      </c>
      <c r="M78" s="2">
        <f>M12/'Output-Calculation-sheet'!M11*'Output-Calculation-sheet'!M65</f>
        <v>20.914900096259302</v>
      </c>
      <c r="N78" s="2">
        <f>N12/'Output-Calculation-sheet'!N11*'Output-Calculation-sheet'!N65</f>
        <v>16.977107552112553</v>
      </c>
      <c r="O78" s="2">
        <f>O12/'Output-Calculation-sheet'!O11*'Output-Calculation-sheet'!O65</f>
        <v>11.573027929272763</v>
      </c>
      <c r="P78" s="2">
        <f>P12/'Output-Calculation-sheet'!P11*'Output-Calculation-sheet'!P65</f>
        <v>484.13828359029242</v>
      </c>
      <c r="Q78" s="2">
        <f>Q12/'Output-Calculation-sheet'!Q11*'Output-Calculation-sheet'!Q65</f>
        <v>183.25814001653774</v>
      </c>
      <c r="R78" s="2">
        <f>R12/'Output-Calculation-sheet'!R11*'Output-Calculation-sheet'!R65</f>
        <v>1110.6057566325023</v>
      </c>
      <c r="S78" s="2">
        <f>S12/'Output-Calculation-sheet'!S11*'Output-Calculation-sheet'!S65</f>
        <v>6.6067626095034688</v>
      </c>
      <c r="T78" s="2">
        <f>T12/'Output-Calculation-sheet'!T11*'Output-Calculation-sheet'!T65</f>
        <v>382.56331004781407</v>
      </c>
      <c r="U78" s="2">
        <f>U12/'Output-Calculation-sheet'!U11*'Output-Calculation-sheet'!U65</f>
        <v>262.12127059368555</v>
      </c>
      <c r="V78" s="2">
        <f>V12/'Output-Calculation-sheet'!V11*'Output-Calculation-sheet'!V65</f>
        <v>216.09695578148842</v>
      </c>
      <c r="W78" s="2">
        <f>W12/'Output-Calculation-sheet'!W11*'Output-Calculation-sheet'!W65</f>
        <v>102.18453850211111</v>
      </c>
      <c r="X78" s="2">
        <f>X12/'Output-Calculation-sheet'!X11*'Output-Calculation-sheet'!X65</f>
        <v>2.2406902593117088</v>
      </c>
      <c r="Y78" s="2">
        <f>Y12/'Output-Calculation-sheet'!Y11*'Output-Calculation-sheet'!Y65</f>
        <v>57.584099530657653</v>
      </c>
      <c r="AA78" s="2">
        <f t="shared" si="6"/>
        <v>12.040873861733663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1.6896581170882505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1.2377919496661303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2.9274500667543809E-3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28.97846819564219</v>
      </c>
      <c r="E89" s="2">
        <f>E12/'Output-Calculation-sheet'!E11*'Output-Calculation-sheet'!E74</f>
        <v>65.25217575203412</v>
      </c>
      <c r="F89" s="2">
        <f>F12/'Output-Calculation-sheet'!F11*'Output-Calculation-sheet'!F74</f>
        <v>28.968797209032239</v>
      </c>
      <c r="G89" s="2">
        <f>G12/'Output-Calculation-sheet'!G11*'Output-Calculation-sheet'!G74</f>
        <v>20.790463318097345</v>
      </c>
      <c r="H89" s="2">
        <f>H12/'Output-Calculation-sheet'!H11*'Output-Calculation-sheet'!H74</f>
        <v>3.3567382217852266</v>
      </c>
      <c r="I89" s="2">
        <f>I12/'Output-Calculation-sheet'!I11*'Output-Calculation-sheet'!I74</f>
        <v>18.699737011462215</v>
      </c>
      <c r="J89" s="2">
        <f>J12/'Output-Calculation-sheet'!J11*'Output-Calculation-sheet'!J74</f>
        <v>9.2532726421328668</v>
      </c>
      <c r="K89" s="2">
        <f>K12/'Output-Calculation-sheet'!K11*'Output-Calculation-sheet'!K74</f>
        <v>13.784148686624453</v>
      </c>
      <c r="L89" s="2">
        <f>L12/'Output-Calculation-sheet'!L11*'Output-Calculation-sheet'!L74</f>
        <v>7.3070136524962095</v>
      </c>
      <c r="M89" s="2">
        <f>M12/'Output-Calculation-sheet'!M11*'Output-Calculation-sheet'!M74</f>
        <v>2.3097625727508895</v>
      </c>
      <c r="N89" s="2">
        <f>N12/'Output-Calculation-sheet'!N11*'Output-Calculation-sheet'!N74</f>
        <v>1.1350610117077324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22.020537004243309</v>
      </c>
      <c r="Q89" s="2">
        <f>Q12/'Output-Calculation-sheet'!Q11*'Output-Calculation-sheet'!Q74</f>
        <v>4.9724361553050818</v>
      </c>
      <c r="R89" s="2">
        <f>R12/'Output-Calculation-sheet'!R11*'Output-Calculation-sheet'!R74</f>
        <v>11.834658304863972</v>
      </c>
      <c r="S89" s="2">
        <f>S12/'Output-Calculation-sheet'!S11*'Output-Calculation-sheet'!S74</f>
        <v>1.3013123122914061</v>
      </c>
      <c r="T89" s="2">
        <f>T12/'Output-Calculation-sheet'!T11*'Output-Calculation-sheet'!T74</f>
        <v>2.554053688086678</v>
      </c>
      <c r="U89" s="2">
        <f>U12/'Output-Calculation-sheet'!U11*'Output-Calculation-sheet'!U74</f>
        <v>6.3460244473689631</v>
      </c>
      <c r="V89" s="2">
        <f>V12/'Output-Calculation-sheet'!V11*'Output-Calculation-sheet'!V74</f>
        <v>0.48933392309692825</v>
      </c>
      <c r="W89" s="2">
        <f>W12/'Output-Calculation-sheet'!W11*'Output-Calculation-sheet'!W74</f>
        <v>2.9661079783325155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3.0565262928885173</v>
      </c>
      <c r="AA89" s="2">
        <f t="shared" si="7"/>
        <v>0.28498981735759277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8232306093.3667412</v>
      </c>
      <c r="C96" s="2">
        <f>C8/'Output-Calculation-sheet'!C7*'Output-Calculation-sheet'!C79</f>
        <v>1987967262.4755013</v>
      </c>
      <c r="D96" s="2">
        <f>D8/'Output-Calculation-sheet'!D7*'Output-Calculation-sheet'!D79</f>
        <v>1613925675.853744</v>
      </c>
      <c r="E96" s="2">
        <f>E8/'Output-Calculation-sheet'!E7*'Output-Calculation-sheet'!E79</f>
        <v>6046800933.2330952</v>
      </c>
      <c r="F96" s="2">
        <f>F8/'Output-Calculation-sheet'!F7*'Output-Calculation-sheet'!F79</f>
        <v>1763943732.9628196</v>
      </c>
      <c r="G96" s="2">
        <f>G8/'Output-Calculation-sheet'!G7*'Output-Calculation-sheet'!G79</f>
        <v>1132200460.3518281</v>
      </c>
      <c r="H96" s="2">
        <f>H8/'Output-Calculation-sheet'!H7*'Output-Calculation-sheet'!H79</f>
        <v>1394833434.7333114</v>
      </c>
      <c r="I96" s="2">
        <f>I8/'Output-Calculation-sheet'!I7*'Output-Calculation-sheet'!I79</f>
        <v>814160350.36574471</v>
      </c>
      <c r="J96" s="2">
        <f>J8/'Output-Calculation-sheet'!J7*'Output-Calculation-sheet'!J79</f>
        <v>616972205.49143374</v>
      </c>
      <c r="K96" s="2">
        <f>K8/'Output-Calculation-sheet'!K7*'Output-Calculation-sheet'!K79</f>
        <v>773764112.6690042</v>
      </c>
      <c r="L96" s="2">
        <f>L8/'Output-Calculation-sheet'!L7*'Output-Calculation-sheet'!L79</f>
        <v>702445842.87138379</v>
      </c>
      <c r="M96" s="2">
        <f>M8/'Output-Calculation-sheet'!M7*'Output-Calculation-sheet'!M79</f>
        <v>1076246100.0873234</v>
      </c>
      <c r="N96" s="2">
        <f>N8/'Output-Calculation-sheet'!N7*'Output-Calculation-sheet'!N79</f>
        <v>699631746.3475405</v>
      </c>
      <c r="O96" s="2">
        <f>O8/'Output-Calculation-sheet'!O7*'Output-Calculation-sheet'!O79</f>
        <v>262516541.42709267</v>
      </c>
      <c r="P96" s="2">
        <f>P8/'Output-Calculation-sheet'!P7*'Output-Calculation-sheet'!P79</f>
        <v>1332461641.9739447</v>
      </c>
      <c r="Q96" s="2">
        <f>Q8/'Output-Calculation-sheet'!Q7*'Output-Calculation-sheet'!Q79</f>
        <v>565719673.62279081</v>
      </c>
      <c r="R96" s="2">
        <f>R8/'Output-Calculation-sheet'!R7*'Output-Calculation-sheet'!R79</f>
        <v>750869953.27527666</v>
      </c>
      <c r="S96" s="2">
        <f>S8/'Output-Calculation-sheet'!S7*'Output-Calculation-sheet'!S79</f>
        <v>423460200.33732343</v>
      </c>
      <c r="T96" s="2">
        <f>T8/'Output-Calculation-sheet'!T7*'Output-Calculation-sheet'!T79</f>
        <v>255464662.11749384</v>
      </c>
      <c r="U96" s="2">
        <f>U8/'Output-Calculation-sheet'!U7*'Output-Calculation-sheet'!U79</f>
        <v>201082733.85452852</v>
      </c>
      <c r="V96" s="2">
        <f>V8/'Output-Calculation-sheet'!V7*'Output-Calculation-sheet'!V79</f>
        <v>92289973.564039692</v>
      </c>
      <c r="W96" s="2">
        <f>W8/'Output-Calculation-sheet'!W7*'Output-Calculation-sheet'!W79</f>
        <v>284152486.73727101</v>
      </c>
      <c r="X96" s="2">
        <f>X8/'Output-Calculation-sheet'!X7*'Output-Calculation-sheet'!X79</f>
        <v>128158367.33232997</v>
      </c>
      <c r="Y96" s="2">
        <f>Y8/'Output-Calculation-sheet'!Y7*'Output-Calculation-sheet'!Y79</f>
        <v>176369491.3947401</v>
      </c>
      <c r="AA96" s="2">
        <f t="shared" si="8"/>
        <v>31.327743676446303</v>
      </c>
    </row>
    <row r="97" spans="1:27" x14ac:dyDescent="0.25">
      <c r="A97" s="2">
        <v>2032</v>
      </c>
      <c r="B97" s="2">
        <f>B9/'Output-Calculation-sheet'!B8*'Output-Calculation-sheet'!B80</f>
        <v>10280283132.793858</v>
      </c>
      <c r="C97" s="2">
        <f>C9/'Output-Calculation-sheet'!C8*'Output-Calculation-sheet'!C80</f>
        <v>2428021024.8805795</v>
      </c>
      <c r="D97" s="2">
        <f>D9/'Output-Calculation-sheet'!D8*'Output-Calculation-sheet'!D80</f>
        <v>1854736283.7209284</v>
      </c>
      <c r="E97" s="2">
        <f>E9/'Output-Calculation-sheet'!E8*'Output-Calculation-sheet'!E80</f>
        <v>7808176453.2687054</v>
      </c>
      <c r="F97" s="2">
        <f>F9/'Output-Calculation-sheet'!F8*'Output-Calculation-sheet'!F80</f>
        <v>2141269990.8579352</v>
      </c>
      <c r="G97" s="2">
        <f>G9/'Output-Calculation-sheet'!G8*'Output-Calculation-sheet'!G80</f>
        <v>1312056135.0164218</v>
      </c>
      <c r="H97" s="2">
        <f>H9/'Output-Calculation-sheet'!H8*'Output-Calculation-sheet'!H80</f>
        <v>1717952293.666568</v>
      </c>
      <c r="I97" s="2">
        <f>I9/'Output-Calculation-sheet'!I8*'Output-Calculation-sheet'!I80</f>
        <v>989536820.37404132</v>
      </c>
      <c r="J97" s="2">
        <f>J9/'Output-Calculation-sheet'!J8*'Output-Calculation-sheet'!J80</f>
        <v>739456833.81205976</v>
      </c>
      <c r="K97" s="2">
        <f>K9/'Output-Calculation-sheet'!K8*'Output-Calculation-sheet'!K80</f>
        <v>912001393.71787512</v>
      </c>
      <c r="L97" s="2">
        <f>L9/'Output-Calculation-sheet'!L8*'Output-Calculation-sheet'!L80</f>
        <v>879688644.98532772</v>
      </c>
      <c r="M97" s="2">
        <f>M9/'Output-Calculation-sheet'!M8*'Output-Calculation-sheet'!M80</f>
        <v>1355347990.3279448</v>
      </c>
      <c r="N97" s="2">
        <f>N9/'Output-Calculation-sheet'!N8*'Output-Calculation-sheet'!N80</f>
        <v>851571897.62234449</v>
      </c>
      <c r="O97" s="2">
        <f>O9/'Output-Calculation-sheet'!O8*'Output-Calculation-sheet'!O80</f>
        <v>316544147.78820062</v>
      </c>
      <c r="P97" s="2">
        <f>P9/'Output-Calculation-sheet'!P8*'Output-Calculation-sheet'!P80</f>
        <v>1596491443.5278854</v>
      </c>
      <c r="Q97" s="2">
        <f>Q9/'Output-Calculation-sheet'!Q8*'Output-Calculation-sheet'!Q80</f>
        <v>690537925.86416435</v>
      </c>
      <c r="R97" s="2">
        <f>R9/'Output-Calculation-sheet'!R8*'Output-Calculation-sheet'!R80</f>
        <v>925325996.21047032</v>
      </c>
      <c r="S97" s="2">
        <f>S9/'Output-Calculation-sheet'!S8*'Output-Calculation-sheet'!S80</f>
        <v>515000758.03498262</v>
      </c>
      <c r="T97" s="2">
        <f>T9/'Output-Calculation-sheet'!T8*'Output-Calculation-sheet'!T80</f>
        <v>300293442.62769485</v>
      </c>
      <c r="U97" s="2">
        <f>U9/'Output-Calculation-sheet'!U8*'Output-Calculation-sheet'!U80</f>
        <v>238950406.31668329</v>
      </c>
      <c r="V97" s="2">
        <f>V9/'Output-Calculation-sheet'!V8*'Output-Calculation-sheet'!V80</f>
        <v>110217775.03133565</v>
      </c>
      <c r="W97" s="2">
        <f>W9/'Output-Calculation-sheet'!W8*'Output-Calculation-sheet'!W80</f>
        <v>341067805.834351</v>
      </c>
      <c r="X97" s="2">
        <f>X9/'Output-Calculation-sheet'!X8*'Output-Calculation-sheet'!X80</f>
        <v>165189476.82840273</v>
      </c>
      <c r="Y97" s="2">
        <f>Y9/'Output-Calculation-sheet'!Y8*'Output-Calculation-sheet'!Y80</f>
        <v>216845303.56477043</v>
      </c>
      <c r="AA97" s="2">
        <f t="shared" si="8"/>
        <v>38.68656337667354</v>
      </c>
    </row>
    <row r="98" spans="1:27" x14ac:dyDescent="0.25">
      <c r="A98" s="2">
        <v>2033</v>
      </c>
      <c r="B98" s="2">
        <f>B10/'Output-Calculation-sheet'!B9*'Output-Calculation-sheet'!B81</f>
        <v>11926495559.920469</v>
      </c>
      <c r="C98" s="2">
        <f>C10/'Output-Calculation-sheet'!C9*'Output-Calculation-sheet'!C81</f>
        <v>2761712756.9728155</v>
      </c>
      <c r="D98" s="2">
        <f>D10/'Output-Calculation-sheet'!D9*'Output-Calculation-sheet'!D81</f>
        <v>1986758309.1893759</v>
      </c>
      <c r="E98" s="2">
        <f>E10/'Output-Calculation-sheet'!E9*'Output-Calculation-sheet'!E81</f>
        <v>9378266225.1225166</v>
      </c>
      <c r="F98" s="2">
        <f>F10/'Output-Calculation-sheet'!F9*'Output-Calculation-sheet'!F81</f>
        <v>2416316463.0327277</v>
      </c>
      <c r="G98" s="2">
        <f>G10/'Output-Calculation-sheet'!G9*'Output-Calculation-sheet'!G81</f>
        <v>1411664342.6496022</v>
      </c>
      <c r="H98" s="2">
        <f>H10/'Output-Calculation-sheet'!H9*'Output-Calculation-sheet'!H81</f>
        <v>1965255471.2711287</v>
      </c>
      <c r="I98" s="2">
        <f>I10/'Output-Calculation-sheet'!I9*'Output-Calculation-sheet'!I81</f>
        <v>1119981463.0804746</v>
      </c>
      <c r="J98" s="2">
        <f>J10/'Output-Calculation-sheet'!J9*'Output-Calculation-sheet'!J81</f>
        <v>826200758.78513801</v>
      </c>
      <c r="K98" s="2">
        <f>K10/'Output-Calculation-sheet'!K9*'Output-Calculation-sheet'!K81</f>
        <v>1000488710.6414132</v>
      </c>
      <c r="L98" s="2">
        <f>L10/'Output-Calculation-sheet'!L9*'Output-Calculation-sheet'!L81</f>
        <v>1025403071.7068334</v>
      </c>
      <c r="M98" s="2">
        <f>M10/'Output-Calculation-sheet'!M9*'Output-Calculation-sheet'!M81</f>
        <v>1589011715.1718528</v>
      </c>
      <c r="N98" s="2">
        <f>N10/'Output-Calculation-sheet'!N9*'Output-Calculation-sheet'!N81</f>
        <v>965665134.84075797</v>
      </c>
      <c r="O98" s="2">
        <f>O10/'Output-Calculation-sheet'!O9*'Output-Calculation-sheet'!O81</f>
        <v>356165810.31199831</v>
      </c>
      <c r="P98" s="2">
        <f>P10/'Output-Calculation-sheet'!P9*'Output-Calculation-sheet'!P81</f>
        <v>1766953913.0165646</v>
      </c>
      <c r="Q98" s="2">
        <f>Q10/'Output-Calculation-sheet'!Q9*'Output-Calculation-sheet'!Q81</f>
        <v>785114842.67266548</v>
      </c>
      <c r="R98" s="2">
        <f>R10/'Output-Calculation-sheet'!R9*'Output-Calculation-sheet'!R81</f>
        <v>1059730347.8579979</v>
      </c>
      <c r="S98" s="2">
        <f>S10/'Output-Calculation-sheet'!S9*'Output-Calculation-sheet'!S81</f>
        <v>582002592.0823487</v>
      </c>
      <c r="T98" s="2">
        <f>T10/'Output-Calculation-sheet'!T9*'Output-Calculation-sheet'!T81</f>
        <v>327907901.57189733</v>
      </c>
      <c r="U98" s="2">
        <f>U10/'Output-Calculation-sheet'!U9*'Output-Calculation-sheet'!U81</f>
        <v>263484037.37514123</v>
      </c>
      <c r="V98" s="2">
        <f>V10/'Output-Calculation-sheet'!V9*'Output-Calculation-sheet'!V81</f>
        <v>122374122.88863747</v>
      </c>
      <c r="W98" s="2">
        <f>W10/'Output-Calculation-sheet'!W9*'Output-Calculation-sheet'!W81</f>
        <v>378442495.74550271</v>
      </c>
      <c r="X98" s="2">
        <f>X10/'Output-Calculation-sheet'!X9*'Output-Calculation-sheet'!X81</f>
        <v>198392467.43986636</v>
      </c>
      <c r="Y98" s="2">
        <f>Y10/'Output-Calculation-sheet'!Y9*'Output-Calculation-sheet'!Y81</f>
        <v>246994312.55651143</v>
      </c>
      <c r="AA98" s="2">
        <f t="shared" si="8"/>
        <v>44.460782825904239</v>
      </c>
    </row>
    <row r="99" spans="1:27" x14ac:dyDescent="0.25">
      <c r="A99" s="2">
        <v>2034</v>
      </c>
      <c r="B99" s="2">
        <f>B11/'Output-Calculation-sheet'!B10*'Output-Calculation-sheet'!B82</f>
        <v>13133971262.293104</v>
      </c>
      <c r="C99" s="2">
        <f>C11/'Output-Calculation-sheet'!C10*'Output-Calculation-sheet'!C82</f>
        <v>2989728575.7458014</v>
      </c>
      <c r="D99" s="2">
        <f>D11/'Output-Calculation-sheet'!D10*'Output-Calculation-sheet'!D82</f>
        <v>2028010699.1339755</v>
      </c>
      <c r="E99" s="2">
        <f>E11/'Output-Calculation-sheet'!E10*'Output-Calculation-sheet'!E82</f>
        <v>10703503867.017357</v>
      </c>
      <c r="F99" s="2">
        <f>F11/'Output-Calculation-sheet'!F10*'Output-Calculation-sheet'!F82</f>
        <v>2590849336.8193774</v>
      </c>
      <c r="G99" s="2">
        <f>G11/'Output-Calculation-sheet'!G10*'Output-Calculation-sheet'!G82</f>
        <v>1441966571.6273677</v>
      </c>
      <c r="H99" s="2">
        <f>H11/'Output-Calculation-sheet'!H10*'Output-Calculation-sheet'!H82</f>
        <v>2133737962.7605684</v>
      </c>
      <c r="I99" s="2">
        <f>I11/'Output-Calculation-sheet'!I10*'Output-Calculation-sheet'!I82</f>
        <v>1206532529.2161653</v>
      </c>
      <c r="J99" s="2">
        <f>J11/'Output-Calculation-sheet'!J10*'Output-Calculation-sheet'!J82</f>
        <v>879553809.09573054</v>
      </c>
      <c r="K99" s="2">
        <f>K11/'Output-Calculation-sheet'!K10*'Output-Calculation-sheet'!K82</f>
        <v>1044343600.3391464</v>
      </c>
      <c r="L99" s="2">
        <f>L11/'Output-Calculation-sheet'!L10*'Output-Calculation-sheet'!L82</f>
        <v>1136861470.1485023</v>
      </c>
      <c r="M99" s="2">
        <f>M11/'Output-Calculation-sheet'!M10*'Output-Calculation-sheet'!M82</f>
        <v>1772199282.8084362</v>
      </c>
      <c r="N99" s="2">
        <f>N11/'Output-Calculation-sheet'!N10*'Output-Calculation-sheet'!N82</f>
        <v>1042709419.4656626</v>
      </c>
      <c r="O99" s="2">
        <f>O11/'Output-Calculation-sheet'!O10*'Output-Calculation-sheet'!O82</f>
        <v>382150595.52395731</v>
      </c>
      <c r="P99" s="2">
        <f>P11/'Output-Calculation-sheet'!P10*'Output-Calculation-sheet'!P82</f>
        <v>1847183677.745048</v>
      </c>
      <c r="Q99" s="2">
        <f>Q11/'Output-Calculation-sheet'!Q10*'Output-Calculation-sheet'!Q82</f>
        <v>849682674.64417386</v>
      </c>
      <c r="R99" s="2">
        <f>R11/'Output-Calculation-sheet'!R10*'Output-Calculation-sheet'!R82</f>
        <v>1152574484.4961786</v>
      </c>
      <c r="S99" s="2">
        <f>S11/'Output-Calculation-sheet'!S10*'Output-Calculation-sheet'!S82</f>
        <v>624597117.2992872</v>
      </c>
      <c r="T99" s="2">
        <f>T11/'Output-Calculation-sheet'!T10*'Output-Calculation-sheet'!T82</f>
        <v>340117846.09377408</v>
      </c>
      <c r="U99" s="2">
        <f>U11/'Output-Calculation-sheet'!U10*'Output-Calculation-sheet'!U82</f>
        <v>275643610.76796186</v>
      </c>
      <c r="V99" s="2">
        <f>V11/'Output-Calculation-sheet'!V10*'Output-Calculation-sheet'!V82</f>
        <v>129117179.12076651</v>
      </c>
      <c r="W99" s="2">
        <f>W11/'Output-Calculation-sheet'!W10*'Output-Calculation-sheet'!W82</f>
        <v>396906064.1566444</v>
      </c>
      <c r="X99" s="2">
        <f>X11/'Output-Calculation-sheet'!X10*'Output-Calculation-sheet'!X82</f>
        <v>226847222.81768006</v>
      </c>
      <c r="Y99" s="2">
        <f>Y11/'Output-Calculation-sheet'!Y10*'Output-Calculation-sheet'!Y82</f>
        <v>266404195.14440405</v>
      </c>
      <c r="AA99" s="2">
        <f t="shared" si="8"/>
        <v>48.595193054281062</v>
      </c>
    </row>
    <row r="100" spans="1:27" x14ac:dyDescent="0.25">
      <c r="A100" s="2">
        <v>2035</v>
      </c>
      <c r="B100" s="2">
        <f>B12/'Output-Calculation-sheet'!B11*'Output-Calculation-sheet'!B83</f>
        <v>13892337537.854353</v>
      </c>
      <c r="C100" s="2">
        <f>C12/'Output-Calculation-sheet'!C11*'Output-Calculation-sheet'!C83</f>
        <v>3117486602.8655367</v>
      </c>
      <c r="D100" s="2">
        <f>D12/'Output-Calculation-sheet'!D11*'Output-Calculation-sheet'!D83</f>
        <v>1997000423.3833392</v>
      </c>
      <c r="E100" s="2">
        <f>E12/'Output-Calculation-sheet'!E11*'Output-Calculation-sheet'!E83</f>
        <v>11743510837.359173</v>
      </c>
      <c r="F100" s="2">
        <f>F12/'Output-Calculation-sheet'!F11*'Output-Calculation-sheet'!F83</f>
        <v>2671789752.5226097</v>
      </c>
      <c r="G100" s="2">
        <f>G12/'Output-Calculation-sheet'!G11*'Output-Calculation-sheet'!G83</f>
        <v>1415963784.1815259</v>
      </c>
      <c r="H100" s="2">
        <f>H12/'Output-Calculation-sheet'!H11*'Output-Calculation-sheet'!H83</f>
        <v>2225054211.1689987</v>
      </c>
      <c r="I100" s="2">
        <f>I12/'Output-Calculation-sheet'!I11*'Output-Calculation-sheet'!I83</f>
        <v>1252145610.1297169</v>
      </c>
      <c r="J100" s="2">
        <f>J12/'Output-Calculation-sheet'!J11*'Output-Calculation-sheet'!J83</f>
        <v>902944831.46165299</v>
      </c>
      <c r="K100" s="2">
        <f>K12/'Output-Calculation-sheet'!K11*'Output-Calculation-sheet'!K83</f>
        <v>1050040455.003258</v>
      </c>
      <c r="L100" s="2">
        <f>L12/'Output-Calculation-sheet'!L11*'Output-Calculation-sheet'!L83</f>
        <v>1213163504.2199621</v>
      </c>
      <c r="M100" s="2">
        <f>M12/'Output-Calculation-sheet'!M11*'Output-Calculation-sheet'!M83</f>
        <v>1902521404.261462</v>
      </c>
      <c r="N100" s="2">
        <f>N12/'Output-Calculation-sheet'!N11*'Output-Calculation-sheet'!N83</f>
        <v>1085051926.1234074</v>
      </c>
      <c r="O100" s="2">
        <f>O12/'Output-Calculation-sheet'!O11*'Output-Calculation-sheet'!O83</f>
        <v>395684324.658921</v>
      </c>
      <c r="P100" s="2">
        <f>P12/'Output-Calculation-sheet'!P11*'Output-Calculation-sheet'!P83</f>
        <v>1847272439.9729655</v>
      </c>
      <c r="Q100" s="2">
        <f>Q12/'Output-Calculation-sheet'!Q11*'Output-Calculation-sheet'!Q83</f>
        <v>885767002.94845593</v>
      </c>
      <c r="R100" s="2">
        <f>R12/'Output-Calculation-sheet'!R11*'Output-Calculation-sheet'!R83</f>
        <v>1204709042.1436281</v>
      </c>
      <c r="S100" s="2">
        <f>S12/'Output-Calculation-sheet'!S11*'Output-Calculation-sheet'!S83</f>
        <v>644216156.70901978</v>
      </c>
      <c r="T100" s="2">
        <f>T12/'Output-Calculation-sheet'!T11*'Output-Calculation-sheet'!T83</f>
        <v>339309279.75914717</v>
      </c>
      <c r="U100" s="2">
        <f>U12/'Output-Calculation-sheet'!U11*'Output-Calculation-sheet'!U83</f>
        <v>276998033.59479696</v>
      </c>
      <c r="V100" s="2">
        <f>V12/'Output-Calculation-sheet'!V11*'Output-Calculation-sheet'!V83</f>
        <v>131038853.59960718</v>
      </c>
      <c r="W100" s="2">
        <f>W12/'Output-Calculation-sheet'!W11*'Output-Calculation-sheet'!W83</f>
        <v>398449361.02617574</v>
      </c>
      <c r="X100" s="2">
        <f>X12/'Output-Calculation-sheet'!X11*'Output-Calculation-sheet'!X83</f>
        <v>249871551.06924289</v>
      </c>
      <c r="Y100" s="2">
        <f>Y12/'Output-Calculation-sheet'!Y11*'Output-Calculation-sheet'!Y83</f>
        <v>275434465.48578697</v>
      </c>
      <c r="AA100" s="2">
        <f t="shared" si="8"/>
        <v>51.117761391502746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1704.4161626089144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524.67215725027029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361.02550503227235</v>
      </c>
      <c r="N107" s="2">
        <f>N8/'Output-Calculation-sheet'!N7*'Output-Calculation-sheet'!N88</f>
        <v>141.93180886334224</v>
      </c>
      <c r="O107" s="2">
        <f>O8/'Output-Calculation-sheet'!O7*'Output-Calculation-sheet'!O88</f>
        <v>397.34485243329704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39.605248774458438</v>
      </c>
      <c r="Y107" s="2">
        <f>Y8/'Output-Calculation-sheet'!Y7*'Output-Calculation-sheet'!Y88</f>
        <v>0</v>
      </c>
      <c r="AA107" s="2">
        <f t="shared" si="9"/>
        <v>3.1689957349625542</v>
      </c>
    </row>
    <row r="108" spans="1:27" x14ac:dyDescent="0.25">
      <c r="A108" s="2">
        <v>2032</v>
      </c>
      <c r="B108" s="2">
        <f>B9/'Output-Calculation-sheet'!B8*'Output-Calculation-sheet'!B89</f>
        <v>782.46607149224246</v>
      </c>
      <c r="C108" s="2">
        <f>C9/'Output-Calculation-sheet'!C8*'Output-Calculation-sheet'!C89</f>
        <v>2971.012064182125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800.24845177885277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550.64881462147673</v>
      </c>
      <c r="N108" s="2">
        <f>N9/'Output-Calculation-sheet'!N8*'Output-Calculation-sheet'!N89</f>
        <v>386.57034524024596</v>
      </c>
      <c r="O108" s="2">
        <f>O9/'Output-Calculation-sheet'!O8*'Output-Calculation-sheet'!O89</f>
        <v>577.18510699728404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177.27637356551264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60.407320221031895</v>
      </c>
      <c r="Y108" s="2">
        <f>Y9/'Output-Calculation-sheet'!Y8*'Output-Calculation-sheet'!Y89</f>
        <v>0</v>
      </c>
      <c r="AA108" s="2">
        <f t="shared" si="9"/>
        <v>6.3058145480987715</v>
      </c>
    </row>
    <row r="109" spans="1:27" x14ac:dyDescent="0.25">
      <c r="A109" s="2">
        <v>2033</v>
      </c>
      <c r="B109" s="2">
        <f>B10/'Output-Calculation-sheet'!B9*'Output-Calculation-sheet'!B90</f>
        <v>4146.3646425056986</v>
      </c>
      <c r="C109" s="2">
        <f>C10/'Output-Calculation-sheet'!C9*'Output-Calculation-sheet'!C90</f>
        <v>3935.9212572275628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1211.5986354153224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833.69777336703442</v>
      </c>
      <c r="N109" s="2">
        <f>N10/'Output-Calculation-sheet'!N9*'Output-Calculation-sheet'!N90</f>
        <v>655.5117650690438</v>
      </c>
      <c r="O109" s="2">
        <f>O10/'Output-Calculation-sheet'!O9*'Output-Calculation-sheet'!O90</f>
        <v>764.64015726275932</v>
      </c>
      <c r="P109" s="2">
        <f>P10/'Output-Calculation-sheet'!P9*'Output-Calculation-sheet'!P90</f>
        <v>0</v>
      </c>
      <c r="Q109" s="2">
        <f>Q10/'Output-Calculation-sheet'!Q9*'Output-Calculation-sheet'!Q90</f>
        <v>143.58216726839939</v>
      </c>
      <c r="R109" s="2">
        <f>R10/'Output-Calculation-sheet'!R9*'Output-Calculation-sheet'!R90</f>
        <v>0</v>
      </c>
      <c r="S109" s="2">
        <f>S10/'Output-Calculation-sheet'!S9*'Output-Calculation-sheet'!S90</f>
        <v>328.79172647786345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91.458379689717191</v>
      </c>
      <c r="Y109" s="2">
        <f>Y10/'Output-Calculation-sheet'!Y9*'Output-Calculation-sheet'!Y90</f>
        <v>0</v>
      </c>
      <c r="AA109" s="2">
        <f t="shared" si="9"/>
        <v>12.111566504283401</v>
      </c>
    </row>
    <row r="110" spans="1:27" x14ac:dyDescent="0.25">
      <c r="A110" s="2">
        <v>2034</v>
      </c>
      <c r="B110" s="2">
        <f>B11/'Output-Calculation-sheet'!B10*'Output-Calculation-sheet'!B91</f>
        <v>7763.8179375873751</v>
      </c>
      <c r="C110" s="2">
        <f>C11/'Output-Calculation-sheet'!C10*'Output-Calculation-sheet'!C91</f>
        <v>5322.6155520399952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1512.4302901170356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1040.6992285949584</v>
      </c>
      <c r="N110" s="2">
        <f>N11/'Output-Calculation-sheet'!N10*'Output-Calculation-sheet'!N91</f>
        <v>937.60201917936502</v>
      </c>
      <c r="O110" s="2">
        <f>O11/'Output-Calculation-sheet'!O10*'Output-Calculation-sheet'!O91</f>
        <v>1034.0363352766542</v>
      </c>
      <c r="P110" s="2">
        <f>P11/'Output-Calculation-sheet'!P10*'Output-Calculation-sheet'!P91</f>
        <v>236.23079317576443</v>
      </c>
      <c r="Q110" s="2">
        <f>Q11/'Output-Calculation-sheet'!Q10*'Output-Calculation-sheet'!Q91</f>
        <v>522.76185908730235</v>
      </c>
      <c r="R110" s="2">
        <f>R11/'Output-Calculation-sheet'!R10*'Output-Calculation-sheet'!R91</f>
        <v>0</v>
      </c>
      <c r="S110" s="2">
        <f>S11/'Output-Calculation-sheet'!S10*'Output-Calculation-sheet'!S91</f>
        <v>537.46584500849656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114.16686985648253</v>
      </c>
      <c r="Y110" s="2">
        <f>Y11/'Output-Calculation-sheet'!Y10*'Output-Calculation-sheet'!Y91</f>
        <v>18.362202203324934</v>
      </c>
      <c r="AA110" s="2">
        <f t="shared" si="9"/>
        <v>19.040188932126753</v>
      </c>
    </row>
    <row r="111" spans="1:27" x14ac:dyDescent="0.25">
      <c r="A111" s="2">
        <v>2035</v>
      </c>
      <c r="B111" s="2">
        <f>B12/'Output-Calculation-sheet'!B11*'Output-Calculation-sheet'!B92</f>
        <v>12383.543998146921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2068.8778076674348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726.67772114002923</v>
      </c>
      <c r="Q111" s="2">
        <f>Q12/'Output-Calculation-sheet'!Q11*'Output-Calculation-sheet'!Q92</f>
        <v>842.33068470868079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56.4846058925798</v>
      </c>
      <c r="AA111" s="2">
        <f t="shared" si="9"/>
        <v>29.079889913795249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8012429391.039732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2465260030.4615445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1712335530.8108075</v>
      </c>
      <c r="N118" s="2">
        <f>N8/'Output-Calculation-sheet'!N7*'Output-Calculation-sheet'!N97</f>
        <v>1343695161.9278131</v>
      </c>
      <c r="O118" s="2">
        <f>O8/'Output-Calculation-sheet'!O7*'Output-Calculation-sheet'!O97</f>
        <v>894110203.24664652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486400460.77968198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184557270.29491916</v>
      </c>
      <c r="Y118" s="2">
        <f>Y8/'Output-Calculation-sheet'!Y7*'Output-Calculation-sheet'!Y97</f>
        <v>0</v>
      </c>
      <c r="AA118" s="2">
        <f t="shared" si="10"/>
        <v>16465.603995784892</v>
      </c>
    </row>
    <row r="119" spans="1:27" x14ac:dyDescent="0.25">
      <c r="A119" s="2">
        <v>2032</v>
      </c>
      <c r="B119" s="2">
        <f>B9/'Output-Calculation-sheet'!B8*'Output-Calculation-sheet'!B98</f>
        <v>5870101115.9229317</v>
      </c>
      <c r="C119" s="2">
        <f>C9/'Output-Calculation-sheet'!C8*'Output-Calculation-sheet'!C98</f>
        <v>4665674934.0558424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2789150915.122292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1946837783.9143989</v>
      </c>
      <c r="N119" s="2">
        <f>N9/'Output-Calculation-sheet'!N8*'Output-Calculation-sheet'!N98</f>
        <v>1314749842.0537279</v>
      </c>
      <c r="O119" s="2">
        <f>O9/'Output-Calculation-sheet'!O8*'Output-Calculation-sheet'!O98</f>
        <v>911586668.62426114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545799937.86510396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208318622.37196475</v>
      </c>
      <c r="Y119" s="2">
        <f>Y9/'Output-Calculation-sheet'!Y8*'Output-Calculation-sheet'!Y98</f>
        <v>0</v>
      </c>
      <c r="AA119" s="2">
        <f t="shared" si="10"/>
        <v>18252.219819930524</v>
      </c>
    </row>
    <row r="120" spans="1:27" x14ac:dyDescent="0.25">
      <c r="A120" s="2">
        <v>2033</v>
      </c>
      <c r="B120" s="2">
        <f>B10/'Output-Calculation-sheet'!B9*'Output-Calculation-sheet'!B99</f>
        <v>5965098027.8708382</v>
      </c>
      <c r="C120" s="2">
        <f>C10/'Output-Calculation-sheet'!C9*'Output-Calculation-sheet'!C99</f>
        <v>4903680975.5272322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1607800830.2244608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1138014784.2360981</v>
      </c>
      <c r="N120" s="2">
        <f>N10/'Output-Calculation-sheet'!N9*'Output-Calculation-sheet'!N99</f>
        <v>1134706827.4716513</v>
      </c>
      <c r="O120" s="2">
        <f>O10/'Output-Calculation-sheet'!O9*'Output-Calculation-sheet'!O99</f>
        <v>960035111.4026866</v>
      </c>
      <c r="P120" s="2">
        <f>P10/'Output-Calculation-sheet'!P9*'Output-Calculation-sheet'!P99</f>
        <v>0</v>
      </c>
      <c r="Q120" s="2">
        <f>Q10/'Output-Calculation-sheet'!Q9*'Output-Calculation-sheet'!Q99</f>
        <v>6936191.7724084733</v>
      </c>
      <c r="R120" s="2">
        <f>R10/'Output-Calculation-sheet'!R9*'Output-Calculation-sheet'!R99</f>
        <v>0</v>
      </c>
      <c r="S120" s="2">
        <f>S10/'Output-Calculation-sheet'!S9*'Output-Calculation-sheet'!S99</f>
        <v>475252519.5401504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-7.8507891904574799E-9</v>
      </c>
      <c r="W120" s="2">
        <f>W10/'Output-Calculation-sheet'!W9*'Output-Calculation-sheet'!W99</f>
        <v>0</v>
      </c>
      <c r="X120" s="2">
        <f>X10/'Output-Calculation-sheet'!X9*'Output-Calculation-sheet'!X99</f>
        <v>113635825.23788552</v>
      </c>
      <c r="Y120" s="2">
        <f>Y10/'Output-Calculation-sheet'!Y9*'Output-Calculation-sheet'!Y99</f>
        <v>0</v>
      </c>
      <c r="AA120" s="2">
        <f t="shared" si="10"/>
        <v>16305.161093283412</v>
      </c>
    </row>
    <row r="121" spans="1:27" x14ac:dyDescent="0.25">
      <c r="A121" s="2">
        <v>2034</v>
      </c>
      <c r="B121" s="2">
        <f>B11/'Output-Calculation-sheet'!B10*'Output-Calculation-sheet'!B100</f>
        <v>5820933141.7465973</v>
      </c>
      <c r="C121" s="2">
        <f>C11/'Output-Calculation-sheet'!C10*'Output-Calculation-sheet'!C100</f>
        <v>698747758.71952188</v>
      </c>
      <c r="D121" s="2">
        <f>D11/'Output-Calculation-sheet'!D10*'Output-Calculation-sheet'!D100</f>
        <v>0</v>
      </c>
      <c r="E121" s="2">
        <f>E11/'Output-Calculation-sheet'!E10*'Output-Calculation-sheet'!E100</f>
        <v>808245320.10456967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1839868174.2687373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671569612.46641731</v>
      </c>
      <c r="M121" s="2">
        <f>M11/'Output-Calculation-sheet'!M10*'Output-Calculation-sheet'!M100</f>
        <v>1309427141.7414796</v>
      </c>
      <c r="N121" s="2">
        <f>N11/'Output-Calculation-sheet'!N10*'Output-Calculation-sheet'!N100</f>
        <v>872965817.07725298</v>
      </c>
      <c r="O121" s="2">
        <f>O11/'Output-Calculation-sheet'!O10*'Output-Calculation-sheet'!O100</f>
        <v>137061671.19142029</v>
      </c>
      <c r="P121" s="2">
        <f>P11/'Output-Calculation-sheet'!P10*'Output-Calculation-sheet'!P100</f>
        <v>0</v>
      </c>
      <c r="Q121" s="2">
        <f>Q11/'Output-Calculation-sheet'!Q10*'Output-Calculation-sheet'!Q100</f>
        <v>296624680.59456754</v>
      </c>
      <c r="R121" s="2">
        <f>R11/'Output-Calculation-sheet'!R10*'Output-Calculation-sheet'!R100</f>
        <v>0</v>
      </c>
      <c r="S121" s="2">
        <f>S11/'Output-Calculation-sheet'!S10*'Output-Calculation-sheet'!S100</f>
        <v>326395456.50063092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128660378.69620669</v>
      </c>
      <c r="Y121" s="2">
        <f>Y11/'Output-Calculation-sheet'!Y10*'Output-Calculation-sheet'!Y100</f>
        <v>18672153.791815475</v>
      </c>
      <c r="AA121" s="2">
        <f t="shared" si="10"/>
        <v>12929.171306899218</v>
      </c>
    </row>
    <row r="122" spans="1:27" x14ac:dyDescent="0.25">
      <c r="A122" s="2">
        <v>2035</v>
      </c>
      <c r="B122" s="2">
        <f>B12/'Output-Calculation-sheet'!B11*'Output-Calculation-sheet'!B101</f>
        <v>3198270797.8598137</v>
      </c>
      <c r="C122" s="2">
        <f>C12/'Output-Calculation-sheet'!C11*'Output-Calculation-sheet'!C101</f>
        <v>278026108.89989167</v>
      </c>
      <c r="D122" s="2">
        <f>D12/'Output-Calculation-sheet'!D11*'Output-Calculation-sheet'!D101</f>
        <v>0</v>
      </c>
      <c r="E122" s="2">
        <f>E12/'Output-Calculation-sheet'!E11*'Output-Calculation-sheet'!E101</f>
        <v>2490461751.6204724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471428875.54998279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1728625091.1134632</v>
      </c>
      <c r="M122" s="2">
        <f>M12/'Output-Calculation-sheet'!M11*'Output-Calculation-sheet'!M101</f>
        <v>432468279.82088417</v>
      </c>
      <c r="N122" s="2">
        <f>N12/'Output-Calculation-sheet'!N11*'Output-Calculation-sheet'!N101</f>
        <v>359474843.96274942</v>
      </c>
      <c r="O122" s="2">
        <f>O12/'Output-Calculation-sheet'!O11*'Output-Calculation-sheet'!O101</f>
        <v>49295686.369081013</v>
      </c>
      <c r="P122" s="2">
        <f>P12/'Output-Calculation-sheet'!P11*'Output-Calculation-sheet'!P101</f>
        <v>111879113.19925886</v>
      </c>
      <c r="Q122" s="2">
        <f>Q12/'Output-Calculation-sheet'!Q11*'Output-Calculation-sheet'!Q101</f>
        <v>552720787.36907768</v>
      </c>
      <c r="R122" s="2">
        <f>R12/'Output-Calculation-sheet'!R11*'Output-Calculation-sheet'!R101</f>
        <v>0</v>
      </c>
      <c r="S122" s="2">
        <f>S12/'Output-Calculation-sheet'!S11*'Output-Calculation-sheet'!S101</f>
        <v>150172026.42896879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13887237.23114543</v>
      </c>
      <c r="Y122" s="2">
        <f>Y12/'Output-Calculation-sheet'!Y11*'Output-Calculation-sheet'!Y101</f>
        <v>64056954.165528357</v>
      </c>
      <c r="AA122" s="2">
        <f t="shared" si="10"/>
        <v>9900.7675535903199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2229747795.6079841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2237693247.9205756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146565.09957755866</v>
      </c>
    </row>
    <row r="130" spans="1:27" x14ac:dyDescent="0.25">
      <c r="A130" s="2">
        <v>2032</v>
      </c>
      <c r="B130" s="2">
        <f>B9/'Output-Calculation-sheet'!B8*'Output-Calculation-sheet'!B107</f>
        <v>53121052527.374527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1932552510.7132256</v>
      </c>
      <c r="O130" s="2">
        <f>O9/'Output-Calculation-sheet'!O8*'Output-Calculation-sheet'!O107</f>
        <v>0</v>
      </c>
      <c r="P130" s="2">
        <f>P9/'Output-Calculation-sheet'!P8*'Output-Calculation-sheet'!P107</f>
        <v>5896916766.3923826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1716996502.4253778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187078.8199005347</v>
      </c>
    </row>
    <row r="131" spans="1:27" x14ac:dyDescent="0.25">
      <c r="A131" s="2">
        <v>2033</v>
      </c>
      <c r="B131" s="2">
        <f>B10/'Output-Calculation-sheet'!B9*'Output-Calculation-sheet'!B108</f>
        <v>44497816063.324852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1630293940.570888</v>
      </c>
      <c r="O131" s="2">
        <f>O10/'Output-Calculation-sheet'!O9*'Output-Calculation-sheet'!O108</f>
        <v>0</v>
      </c>
      <c r="P131" s="2">
        <f>P10/'Output-Calculation-sheet'!P9*'Output-Calculation-sheet'!P108</f>
        <v>7499220968.7684174</v>
      </c>
      <c r="Q131" s="2">
        <f>Q10/'Output-Calculation-sheet'!Q9*'Output-Calculation-sheet'!Q108</f>
        <v>6326143581.1342745</v>
      </c>
      <c r="R131" s="2">
        <f>R10/'Output-Calculation-sheet'!R9*'Output-Calculation-sheet'!R108</f>
        <v>7098077008.0536556</v>
      </c>
      <c r="S131" s="2">
        <f>S10/'Output-Calculation-sheet'!S9*'Output-Calculation-sheet'!S108</f>
        <v>1581378403.7819629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212380.79040744351</v>
      </c>
    </row>
    <row r="132" spans="1:27" x14ac:dyDescent="0.25">
      <c r="A132" s="2">
        <v>2034</v>
      </c>
      <c r="B132" s="2">
        <f>B11/'Output-Calculation-sheet'!B10*'Output-Calculation-sheet'!B109</f>
        <v>33831693707.874252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32662126149.238197</v>
      </c>
      <c r="F132" s="2">
        <f>F11/'Output-Calculation-sheet'!F10*'Output-Calculation-sheet'!F109</f>
        <v>21542386975.521477</v>
      </c>
      <c r="G132" s="2">
        <f>G11/'Output-Calculation-sheet'!G10*'Output-Calculation-sheet'!G109</f>
        <v>15094114719.264975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13422256202.208557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9992716261.3553638</v>
      </c>
      <c r="M132" s="2">
        <f>M11/'Output-Calculation-sheet'!M10*'Output-Calculation-sheet'!M109</f>
        <v>0</v>
      </c>
      <c r="N132" s="2">
        <f>N11/'Output-Calculation-sheet'!N10*'Output-Calculation-sheet'!N109</f>
        <v>1313980044.3707907</v>
      </c>
      <c r="O132" s="2">
        <f>O11/'Output-Calculation-sheet'!O10*'Output-Calculation-sheet'!O109</f>
        <v>0</v>
      </c>
      <c r="P132" s="2">
        <f>P11/'Output-Calculation-sheet'!P10*'Output-Calculation-sheet'!P109</f>
        <v>7465676409.7549028</v>
      </c>
      <c r="Q132" s="2">
        <f>Q11/'Output-Calculation-sheet'!Q10*'Output-Calculation-sheet'!Q109</f>
        <v>4807276351.6029348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901797887.16516531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2682399438.8982635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939986408.62500274</v>
      </c>
      <c r="AA132" s="2">
        <f t="shared" si="11"/>
        <v>229662.34308562177</v>
      </c>
    </row>
    <row r="133" spans="1:27" x14ac:dyDescent="0.25">
      <c r="A133" s="2">
        <v>2035</v>
      </c>
      <c r="B133" s="2">
        <f>B12/'Output-Calculation-sheet'!B11*'Output-Calculation-sheet'!B110</f>
        <v>9199182286.6256561</v>
      </c>
      <c r="C133" s="2">
        <f>C12/'Output-Calculation-sheet'!C11*'Output-Calculation-sheet'!C110</f>
        <v>0</v>
      </c>
      <c r="D133" s="2">
        <f>D12/'Output-Calculation-sheet'!D11*'Output-Calculation-sheet'!D110</f>
        <v>43751073074.459068</v>
      </c>
      <c r="E133" s="2">
        <f>E12/'Output-Calculation-sheet'!E11*'Output-Calculation-sheet'!E110</f>
        <v>23281749844.892284</v>
      </c>
      <c r="F133" s="2">
        <f>F12/'Output-Calculation-sheet'!F11*'Output-Calculation-sheet'!F110</f>
        <v>23143932521.222595</v>
      </c>
      <c r="G133" s="2">
        <f>G12/'Output-Calculation-sheet'!G11*'Output-Calculation-sheet'!G110</f>
        <v>15679950867.182785</v>
      </c>
      <c r="H133" s="2">
        <f>H12/'Output-Calculation-sheet'!H11*'Output-Calculation-sheet'!H110</f>
        <v>0</v>
      </c>
      <c r="I133" s="2">
        <f>I12/'Output-Calculation-sheet'!I11*'Output-Calculation-sheet'!I110</f>
        <v>14387769328.923397</v>
      </c>
      <c r="J133" s="2">
        <f>J12/'Output-Calculation-sheet'!J11*'Output-Calculation-sheet'!J110</f>
        <v>14412538131.965219</v>
      </c>
      <c r="K133" s="2">
        <f>K12/'Output-Calculation-sheet'!K11*'Output-Calculation-sheet'!K110</f>
        <v>14141361836.694172</v>
      </c>
      <c r="L133" s="2">
        <f>L12/'Output-Calculation-sheet'!L11*'Output-Calculation-sheet'!L110</f>
        <v>10163442201.475418</v>
      </c>
      <c r="M133" s="2">
        <f>M12/'Output-Calculation-sheet'!M11*'Output-Calculation-sheet'!M110</f>
        <v>0</v>
      </c>
      <c r="N133" s="2">
        <f>N12/'Output-Calculation-sheet'!N11*'Output-Calculation-sheet'!N110</f>
        <v>54596.699132357659</v>
      </c>
      <c r="O133" s="2">
        <f>O12/'Output-Calculation-sheet'!O11*'Output-Calculation-sheet'!O110</f>
        <v>0</v>
      </c>
      <c r="P133" s="2">
        <f>P12/'Output-Calculation-sheet'!P11*'Output-Calculation-sheet'!P110</f>
        <v>5078346883.2025862</v>
      </c>
      <c r="Q133" s="2">
        <f>Q12/'Output-Calculation-sheet'!Q11*'Output-Calculation-sheet'!Q110</f>
        <v>3229712643.3894534</v>
      </c>
      <c r="R133" s="2">
        <f>R12/'Output-Calculation-sheet'!R11*'Output-Calculation-sheet'!R110</f>
        <v>9406222910.9023247</v>
      </c>
      <c r="S133" s="2">
        <f>S12/'Output-Calculation-sheet'!S11*'Output-Calculation-sheet'!S110</f>
        <v>9052071.5886533726</v>
      </c>
      <c r="T133" s="2">
        <f>T12/'Output-Calculation-sheet'!T11*'Output-Calculation-sheet'!T110</f>
        <v>3514210766.7231054</v>
      </c>
      <c r="U133" s="2">
        <f>U12/'Output-Calculation-sheet'!U11*'Output-Calculation-sheet'!U110</f>
        <v>2777454366.2408581</v>
      </c>
      <c r="V133" s="2">
        <f>V12/'Output-Calculation-sheet'!V11*'Output-Calculation-sheet'!V110</f>
        <v>2418833610.6023111</v>
      </c>
      <c r="W133" s="2">
        <f>W12/'Output-Calculation-sheet'!W11*'Output-Calculation-sheet'!W110</f>
        <v>2036943509.9860826</v>
      </c>
      <c r="X133" s="2">
        <f>X12/'Output-Calculation-sheet'!X11*'Output-Calculation-sheet'!X110</f>
        <v>0</v>
      </c>
      <c r="Y133" s="2">
        <f>Y12/'Output-Calculation-sheet'!Y11*'Output-Calculation-sheet'!Y110</f>
        <v>771777412.61326408</v>
      </c>
      <c r="AA133" s="2">
        <f t="shared" si="11"/>
        <v>197403.60886538838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14502739888.935251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4559296112.0733986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3133992079.5413189</v>
      </c>
      <c r="N140" s="2">
        <f>N8/'Output-Calculation-sheet'!N7*'Output-Calculation-sheet'!N115</f>
        <v>1183206229.8731501</v>
      </c>
      <c r="O140" s="2">
        <f>O8/'Output-Calculation-sheet'!O7*'Output-Calculation-sheet'!O115</f>
        <v>3480586957.6867089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340313912.29338026</v>
      </c>
      <c r="Y140" s="2">
        <f>Y8/'Output-Calculation-sheet'!Y7*'Output-Calculation-sheet'!Y115</f>
        <v>0</v>
      </c>
      <c r="AA140" s="2">
        <f t="shared" si="12"/>
        <v>27200.135180403213</v>
      </c>
    </row>
    <row r="141" spans="1:27" x14ac:dyDescent="0.25">
      <c r="A141" s="2">
        <v>2032</v>
      </c>
      <c r="B141" s="2">
        <f>B9/'Output-Calculation-sheet'!B8*'Output-Calculation-sheet'!B116</f>
        <v>6072962050.1903667</v>
      </c>
      <c r="C141" s="2">
        <f>C9/'Output-Calculation-sheet'!C8*'Output-Calculation-sheet'!C116</f>
        <v>25995868431.368782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6777010169.2960835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4652974310.656271</v>
      </c>
      <c r="N141" s="2">
        <f>N9/'Output-Calculation-sheet'!N8*'Output-Calculation-sheet'!N116</f>
        <v>3230383624.6700749</v>
      </c>
      <c r="O141" s="2">
        <f>O9/'Output-Calculation-sheet'!O8*'Output-Calculation-sheet'!O116</f>
        <v>5045950846.9979897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1446921127.4520924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506459903.94294536</v>
      </c>
      <c r="Y141" s="2">
        <f>Y9/'Output-Calculation-sheet'!Y8*'Output-Calculation-sheet'!Y116</f>
        <v>0</v>
      </c>
      <c r="AA141" s="2">
        <f t="shared" si="12"/>
        <v>53728.530464574607</v>
      </c>
    </row>
    <row r="142" spans="1:27" x14ac:dyDescent="0.25">
      <c r="A142" s="2">
        <v>2033</v>
      </c>
      <c r="B142" s="2">
        <f>B10/'Output-Calculation-sheet'!B9*'Output-Calculation-sheet'!B117</f>
        <v>32284564386.595669</v>
      </c>
      <c r="C142" s="2">
        <f>C10/'Output-Calculation-sheet'!C9*'Output-Calculation-sheet'!C117</f>
        <v>34091165986.574276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10558285914.255548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7255517974.7511997</v>
      </c>
      <c r="N142" s="2">
        <f>N10/'Output-Calculation-sheet'!N9*'Output-Calculation-sheet'!N117</f>
        <v>5473213572.8660698</v>
      </c>
      <c r="O142" s="2">
        <f>O10/'Output-Calculation-sheet'!O9*'Output-Calculation-sheet'!O117</f>
        <v>6616662658.920166</v>
      </c>
      <c r="P142" s="2">
        <f>P10/'Output-Calculation-sheet'!P9*'Output-Calculation-sheet'!P117</f>
        <v>0</v>
      </c>
      <c r="Q142" s="2">
        <f>Q10/'Output-Calculation-sheet'!Q9*'Output-Calculation-sheet'!Q117</f>
        <v>1045308012.9694839</v>
      </c>
      <c r="R142" s="2">
        <f>R10/'Output-Calculation-sheet'!R9*'Output-Calculation-sheet'!R117</f>
        <v>0</v>
      </c>
      <c r="S142" s="2">
        <f>S10/'Output-Calculation-sheet'!S9*'Output-Calculation-sheet'!S117</f>
        <v>2661326854.566669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795407826.85987937</v>
      </c>
      <c r="Y142" s="2">
        <f>Y10/'Output-Calculation-sheet'!Y9*'Output-Calculation-sheet'!Y117</f>
        <v>0</v>
      </c>
      <c r="AA142" s="2">
        <f t="shared" si="12"/>
        <v>100781.45318835897</v>
      </c>
    </row>
    <row r="143" spans="1:27" x14ac:dyDescent="0.25">
      <c r="A143" s="2">
        <v>2034</v>
      </c>
      <c r="B143" s="2">
        <f>B11/'Output-Calculation-sheet'!B10*'Output-Calculation-sheet'!B118</f>
        <v>60770775160.84301</v>
      </c>
      <c r="C143" s="2">
        <f>C11/'Output-Calculation-sheet'!C10*'Output-Calculation-sheet'!C118</f>
        <v>46626112235.870361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12924990282.259714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8877027011.5752888</v>
      </c>
      <c r="N143" s="2">
        <f>N11/'Output-Calculation-sheet'!N10*'Output-Calculation-sheet'!N118</f>
        <v>7811071650.3953638</v>
      </c>
      <c r="O143" s="2">
        <f>O11/'Output-Calculation-sheet'!O10*'Output-Calculation-sheet'!O118</f>
        <v>9058158297.023489</v>
      </c>
      <c r="P143" s="2">
        <f>P11/'Output-Calculation-sheet'!P10*'Output-Calculation-sheet'!P118</f>
        <v>1635423735.8675644</v>
      </c>
      <c r="Q143" s="2">
        <f>Q11/'Output-Calculation-sheet'!Q10*'Output-Calculation-sheet'!Q118</f>
        <v>3850558137.8169565</v>
      </c>
      <c r="R143" s="2">
        <f>R11/'Output-Calculation-sheet'!R10*'Output-Calculation-sheet'!R118</f>
        <v>0</v>
      </c>
      <c r="S143" s="2">
        <f>S11/'Output-Calculation-sheet'!S10*'Output-Calculation-sheet'!S118</f>
        <v>4497606835.6749849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974562502.88722968</v>
      </c>
      <c r="Y143" s="2">
        <f>Y11/'Output-Calculation-sheet'!Y10*'Output-Calculation-sheet'!Y118</f>
        <v>114204336.62599149</v>
      </c>
      <c r="AA143" s="2">
        <f t="shared" si="12"/>
        <v>157140.49018683998</v>
      </c>
    </row>
    <row r="144" spans="1:27" x14ac:dyDescent="0.25">
      <c r="A144" s="2">
        <v>2035</v>
      </c>
      <c r="B144" s="2">
        <f>B12/'Output-Calculation-sheet'!B11*'Output-Calculation-sheet'!B119</f>
        <v>104117104493.19167</v>
      </c>
      <c r="C144" s="2">
        <f>C12/'Output-Calculation-sheet'!C11*'Output-Calculation-sheet'!C119</f>
        <v>55104171667.88092</v>
      </c>
      <c r="D144" s="2">
        <f>D12/'Output-Calculation-sheet'!D11*'Output-Calculation-sheet'!D119</f>
        <v>0</v>
      </c>
      <c r="E144" s="2">
        <f>E12/'Output-Calculation-sheet'!E11*'Output-Calculation-sheet'!E119</f>
        <v>12562490895.222952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16725408063.181276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11425194370.860819</v>
      </c>
      <c r="N144" s="2">
        <f>N12/'Output-Calculation-sheet'!N11*'Output-Calculation-sheet'!N119</f>
        <v>11276582572.954758</v>
      </c>
      <c r="O144" s="2">
        <f>O12/'Output-Calculation-sheet'!O11*'Output-Calculation-sheet'!O119</f>
        <v>10707222233.740313</v>
      </c>
      <c r="P144" s="2">
        <f>P12/'Output-Calculation-sheet'!P11*'Output-Calculation-sheet'!P119</f>
        <v>5185083571.8531542</v>
      </c>
      <c r="Q144" s="2">
        <f>Q12/'Output-Calculation-sheet'!Q11*'Output-Calculation-sheet'!Q119</f>
        <v>6307486533.1301737</v>
      </c>
      <c r="R144" s="2">
        <f>R12/'Output-Calculation-sheet'!R11*'Output-Calculation-sheet'!R119</f>
        <v>0</v>
      </c>
      <c r="S144" s="2">
        <f>S12/'Output-Calculation-sheet'!S11*'Output-Calculation-sheet'!S119</f>
        <v>6498799233.5142126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1276468764.5393679</v>
      </c>
      <c r="Y144" s="2">
        <f>Y12/'Output-Calculation-sheet'!Y11*'Output-Calculation-sheet'!Y119</f>
        <v>359972114.21660101</v>
      </c>
      <c r="AA144" s="2">
        <f t="shared" si="12"/>
        <v>241545.98451428622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2209400333.2208304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481779262.16081214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57255.994857301193</v>
      </c>
    </row>
    <row r="155" spans="1:27" x14ac:dyDescent="0.25">
      <c r="A155" s="2">
        <v>2035</v>
      </c>
      <c r="B155" s="2">
        <f>B12/'Output-Calculation-sheet'!B11*'Output-Calculation-sheet'!B128</f>
        <v>1367960019.8984518</v>
      </c>
      <c r="C155" s="2">
        <f>C12/'Output-Calculation-sheet'!C11*'Output-Calculation-sheet'!C128</f>
        <v>81766669.738324746</v>
      </c>
      <c r="D155" s="2">
        <f>D12/'Output-Calculation-sheet'!D11*'Output-Calculation-sheet'!D128</f>
        <v>5976388877.5623646</v>
      </c>
      <c r="E155" s="2">
        <f>E12/'Output-Calculation-sheet'!E11*'Output-Calculation-sheet'!E128</f>
        <v>1399571655.1983588</v>
      </c>
      <c r="F155" s="2">
        <f>F12/'Output-Calculation-sheet'!F11*'Output-Calculation-sheet'!F128</f>
        <v>2418339331.6743522</v>
      </c>
      <c r="G155" s="2">
        <f>G12/'Output-Calculation-sheet'!G11*'Output-Calculation-sheet'!G128</f>
        <v>2283054485.6571741</v>
      </c>
      <c r="H155" s="2">
        <f>H12/'Output-Calculation-sheet'!H11*'Output-Calculation-sheet'!H128</f>
        <v>125697946.7688605</v>
      </c>
      <c r="I155" s="2">
        <f>I12/'Output-Calculation-sheet'!I11*'Output-Calculation-sheet'!I128</f>
        <v>1960567693.7210855</v>
      </c>
      <c r="J155" s="2">
        <f>J12/'Output-Calculation-sheet'!J11*'Output-Calculation-sheet'!J128</f>
        <v>1417161838.324254</v>
      </c>
      <c r="K155" s="2">
        <f>K12/'Output-Calculation-sheet'!K11*'Output-Calculation-sheet'!K128</f>
        <v>1568394132.1498086</v>
      </c>
      <c r="L155" s="2">
        <f>L12/'Output-Calculation-sheet'!L11*'Output-Calculation-sheet'!L128</f>
        <v>687802862.36430275</v>
      </c>
      <c r="M155" s="2">
        <f>M12/'Output-Calculation-sheet'!M11*'Output-Calculation-sheet'!M128</f>
        <v>99126729.123644859</v>
      </c>
      <c r="N155" s="2">
        <f>N12/'Output-Calculation-sheet'!N11*'Output-Calculation-sheet'!N128</f>
        <v>90600490.500240386</v>
      </c>
      <c r="O155" s="2">
        <f>O12/'Output-Calculation-sheet'!O11*'Output-Calculation-sheet'!O128</f>
        <v>19840847.382336363</v>
      </c>
      <c r="P155" s="2">
        <f>P12/'Output-Calculation-sheet'!P11*'Output-Calculation-sheet'!P128</f>
        <v>369600872.13582128</v>
      </c>
      <c r="Q155" s="2">
        <f>Q12/'Output-Calculation-sheet'!Q11*'Output-Calculation-sheet'!Q128</f>
        <v>450651292.06296092</v>
      </c>
      <c r="R155" s="2">
        <f>R12/'Output-Calculation-sheet'!R11*'Output-Calculation-sheet'!R128</f>
        <v>807604873.87396812</v>
      </c>
      <c r="S155" s="2">
        <f>S12/'Output-Calculation-sheet'!S11*'Output-Calculation-sheet'!S128</f>
        <v>58815386.552388437</v>
      </c>
      <c r="T155" s="2">
        <f>T12/'Output-Calculation-sheet'!T11*'Output-Calculation-sheet'!T128</f>
        <v>221480129.07518128</v>
      </c>
      <c r="U155" s="2">
        <f>U12/'Output-Calculation-sheet'!U11*'Output-Calculation-sheet'!U128</f>
        <v>510046801.79982907</v>
      </c>
      <c r="V155" s="2">
        <f>V12/'Output-Calculation-sheet'!V11*'Output-Calculation-sheet'!V128</f>
        <v>76077846.025206402</v>
      </c>
      <c r="W155" s="2">
        <f>W12/'Output-Calculation-sheet'!W11*'Output-Calculation-sheet'!W128</f>
        <v>153381108.82157618</v>
      </c>
      <c r="X155" s="2">
        <f>X12/'Output-Calculation-sheet'!X11*'Output-Calculation-sheet'!X128</f>
        <v>3259070.4260308198</v>
      </c>
      <c r="Y155" s="2">
        <f>Y12/'Output-Calculation-sheet'!Y11*'Output-Calculation-sheet'!Y128</f>
        <v>84330795.257416517</v>
      </c>
      <c r="AA155" s="2">
        <f t="shared" si="13"/>
        <v>22231.521756093931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4840.2442010070508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1466.1681710323285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1018.4586226652406</v>
      </c>
      <c r="N19" s="2">
        <f>N8/'Output-Calculation-sheet'!N7*'Output-Calculation-sheet'!N25</f>
        <v>847.23722196090546</v>
      </c>
      <c r="O19" s="2">
        <f>O8/'Output-Calculation-sheet'!O7*'Output-Calculation-sheet'!O25</f>
        <v>531.73293564595906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110.22555366000988</v>
      </c>
      <c r="Y19" s="2">
        <f>Y8/'Output-Calculation-sheet'!Y7*'Output-Calculation-sheet'!Y25</f>
        <v>0</v>
      </c>
      <c r="AA19" s="2">
        <f t="shared" si="0"/>
        <v>10.234641760837869</v>
      </c>
    </row>
    <row r="20" spans="1:27" x14ac:dyDescent="0.25">
      <c r="A20" s="2">
        <v>2032</v>
      </c>
      <c r="B20" s="2">
        <f>B9/'Output-Calculation-sheet'!B8*'Output-Calculation-sheet'!B26</f>
        <v>4635.7682184034638</v>
      </c>
      <c r="C20" s="2">
        <f>C9/'Output-Calculation-sheet'!C8*'Output-Calculation-sheet'!C26</f>
        <v>2542.1421149929674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1526.0604639006162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1066.4215841736655</v>
      </c>
      <c r="N20" s="2">
        <f>N9/'Output-Calculation-sheet'!N8*'Output-Calculation-sheet'!N26</f>
        <v>739.05921766076085</v>
      </c>
      <c r="O20" s="2">
        <f>O9/'Output-Calculation-sheet'!O8*'Output-Calculation-sheet'!O26</f>
        <v>496.68745802090996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350.57511317580077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116.04224337120179</v>
      </c>
      <c r="Y20" s="2">
        <f>Y9/'Output-Calculation-sheet'!Y8*'Output-Calculation-sheet'!Y26</f>
        <v>0</v>
      </c>
      <c r="AA20" s="2">
        <f t="shared" si="0"/>
        <v>11.472756413699386</v>
      </c>
    </row>
    <row r="21" spans="1:27" x14ac:dyDescent="0.25">
      <c r="A21" s="2">
        <v>2033</v>
      </c>
      <c r="B21" s="2">
        <f>B10/'Output-Calculation-sheet'!B9*'Output-Calculation-sheet'!B27</f>
        <v>3758.4210108407856</v>
      </c>
      <c r="C21" s="2">
        <f>C10/'Output-Calculation-sheet'!C9*'Output-Calculation-sheet'!C27</f>
        <v>2310.0846104222792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757.42313246300296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536.11034138746845</v>
      </c>
      <c r="N21" s="2">
        <f>N10/'Output-Calculation-sheet'!N9*'Output-Calculation-sheet'!N27</f>
        <v>542.91749085906804</v>
      </c>
      <c r="O21" s="2">
        <f>O10/'Output-Calculation-sheet'!O9*'Output-Calculation-sheet'!O27</f>
        <v>452.26504017903284</v>
      </c>
      <c r="P21" s="2">
        <f>P10/'Output-Calculation-sheet'!P9*'Output-Calculation-sheet'!P27</f>
        <v>0</v>
      </c>
      <c r="Q21" s="2">
        <f>Q10/'Output-Calculation-sheet'!Q9*'Output-Calculation-sheet'!Q27</f>
        <v>6.3268214620759915</v>
      </c>
      <c r="R21" s="2">
        <f>R10/'Output-Calculation-sheet'!R9*'Output-Calculation-sheet'!R27</f>
        <v>0</v>
      </c>
      <c r="S21" s="2">
        <f>S10/'Output-Calculation-sheet'!S9*'Output-Calculation-sheet'!S27</f>
        <v>258.51720796611181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53.532921642767988</v>
      </c>
      <c r="Y21" s="2">
        <f>Y10/'Output-Calculation-sheet'!Y9*'Output-Calculation-sheet'!Y27</f>
        <v>0</v>
      </c>
      <c r="AA21" s="2">
        <f t="shared" si="0"/>
        <v>8.6755985772225923</v>
      </c>
    </row>
    <row r="22" spans="1:27" x14ac:dyDescent="0.25">
      <c r="A22" s="2">
        <v>2034</v>
      </c>
      <c r="B22" s="2">
        <f>B11/'Output-Calculation-sheet'!B10*'Output-Calculation-sheet'!B28</f>
        <v>2637.7597161308236</v>
      </c>
      <c r="C22" s="2">
        <f>C11/'Output-Calculation-sheet'!C10*'Output-Calculation-sheet'!C28</f>
        <v>266.0694511647888</v>
      </c>
      <c r="D22" s="2">
        <f>D11/'Output-Calculation-sheet'!D10*'Output-Calculation-sheet'!D28</f>
        <v>0</v>
      </c>
      <c r="E22" s="2">
        <f>E11/'Output-Calculation-sheet'!E10*'Output-Calculation-sheet'!E28</f>
        <v>883.4943493137223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700.58171057286904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535.80876990760396</v>
      </c>
      <c r="M22" s="2">
        <f>M11/'Output-Calculation-sheet'!M10*'Output-Calculation-sheet'!M28</f>
        <v>498.60133301964993</v>
      </c>
      <c r="N22" s="2">
        <f>N11/'Output-Calculation-sheet'!N10*'Output-Calculation-sheet'!N28</f>
        <v>333.31783573485797</v>
      </c>
      <c r="O22" s="2">
        <f>O11/'Output-Calculation-sheet'!O10*'Output-Calculation-sheet'!O28</f>
        <v>52.190142069171571</v>
      </c>
      <c r="P22" s="2">
        <f>P11/'Output-Calculation-sheet'!P10*'Output-Calculation-sheet'!P28</f>
        <v>0</v>
      </c>
      <c r="Q22" s="2">
        <f>Q11/'Output-Calculation-sheet'!Q10*'Output-Calculation-sheet'!Q28</f>
        <v>171.5696456830002</v>
      </c>
      <c r="R22" s="2">
        <f>R11/'Output-Calculation-sheet'!R10*'Output-Calculation-sheet'!R28</f>
        <v>0</v>
      </c>
      <c r="S22" s="2">
        <f>S11/'Output-Calculation-sheet'!S10*'Output-Calculation-sheet'!S28</f>
        <v>124.80477225079758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48.991052509020818</v>
      </c>
      <c r="Y22" s="2">
        <f>Y11/'Output-Calculation-sheet'!Y10*'Output-Calculation-sheet'!Y28</f>
        <v>19.970136746121959</v>
      </c>
      <c r="AA22" s="2">
        <f t="shared" si="0"/>
        <v>6.2731589151024281</v>
      </c>
    </row>
    <row r="23" spans="1:27" x14ac:dyDescent="0.25">
      <c r="A23" s="2">
        <v>2035</v>
      </c>
      <c r="B23" s="2">
        <f>B12/'Output-Calculation-sheet'!B11*'Output-Calculation-sheet'!B29</f>
        <v>904.10530187876884</v>
      </c>
      <c r="C23" s="2">
        <f>C12/'Output-Calculation-sheet'!C11*'Output-Calculation-sheet'!C29</f>
        <v>78.593239968931314</v>
      </c>
      <c r="D23" s="2">
        <f>D12/'Output-Calculation-sheet'!D11*'Output-Calculation-sheet'!D29</f>
        <v>0</v>
      </c>
      <c r="E23" s="2">
        <f>E12/'Output-Calculation-sheet'!E11*'Output-Calculation-sheet'!E29</f>
        <v>1248.038555452024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133.26670559654508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837.49030372607047</v>
      </c>
      <c r="M23" s="2">
        <f>M12/'Output-Calculation-sheet'!M11*'Output-Calculation-sheet'!M29</f>
        <v>122.2527531341197</v>
      </c>
      <c r="N23" s="2">
        <f>N12/'Output-Calculation-sheet'!N11*'Output-Calculation-sheet'!N29</f>
        <v>101.61882186227828</v>
      </c>
      <c r="O23" s="2">
        <f>O12/'Output-Calculation-sheet'!O11*'Output-Calculation-sheet'!O29</f>
        <v>13.935446805710455</v>
      </c>
      <c r="P23" s="2">
        <f>P12/'Output-Calculation-sheet'!P11*'Output-Calculation-sheet'!P29</f>
        <v>49.350479012258951</v>
      </c>
      <c r="Q23" s="2">
        <f>Q12/'Output-Calculation-sheet'!Q11*'Output-Calculation-sheet'!Q29</f>
        <v>185.60189505601639</v>
      </c>
      <c r="R23" s="2">
        <f>R12/'Output-Calculation-sheet'!R11*'Output-Calculation-sheet'!R29</f>
        <v>0</v>
      </c>
      <c r="S23" s="2">
        <f>S12/'Output-Calculation-sheet'!S11*'Output-Calculation-sheet'!S29</f>
        <v>42.451442517908376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3.9257417667523971</v>
      </c>
      <c r="Y23" s="2">
        <f>Y12/'Output-Calculation-sheet'!Y11*'Output-Calculation-sheet'!Y29</f>
        <v>34.104128636101017</v>
      </c>
      <c r="AA23" s="2">
        <f t="shared" si="0"/>
        <v>3.7547348154134847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965.8325113824003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37.867833715672027</v>
      </c>
    </row>
    <row r="31" spans="1:27" x14ac:dyDescent="0.25">
      <c r="A31" s="2">
        <v>2032</v>
      </c>
      <c r="B31" s="2">
        <f>B9/'Output-Calculation-sheet'!B8*'Output-Calculation-sheet'!B17</f>
        <v>19490.689202054684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762.10648940850388</v>
      </c>
      <c r="O31" s="2">
        <f>O9/'Output-Calculation-sheet'!O8*'Output-Calculation-sheet'!O17</f>
        <v>0</v>
      </c>
      <c r="P31" s="2">
        <f>P9/'Output-Calculation-sheet'!P8*'Output-Calculation-sheet'!P17</f>
        <v>1904.7668556581793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630.77098409386554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44.655487195596791</v>
      </c>
    </row>
    <row r="32" spans="1:27" x14ac:dyDescent="0.25">
      <c r="A32" s="2">
        <v>2033</v>
      </c>
      <c r="B32" s="2">
        <f>B10/'Output-Calculation-sheet'!B9*'Output-Calculation-sheet'!B18</f>
        <v>13595.202463490516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2128.6245756162493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550.2684220302408</v>
      </c>
      <c r="O32" s="2">
        <f>O10/'Output-Calculation-sheet'!O9*'Output-Calculation-sheet'!O18</f>
        <v>0</v>
      </c>
      <c r="P32" s="2">
        <f>P10/'Output-Calculation-sheet'!P9*'Output-Calculation-sheet'!P18</f>
        <v>2190.6399707283495</v>
      </c>
      <c r="Q32" s="2">
        <f>Q10/'Output-Calculation-sheet'!Q9*'Output-Calculation-sheet'!Q18</f>
        <v>2028.332042418263</v>
      </c>
      <c r="R32" s="2">
        <f>R10/'Output-Calculation-sheet'!R9*'Output-Calculation-sheet'!R18</f>
        <v>1573.0323713356197</v>
      </c>
      <c r="S32" s="2">
        <f>S10/'Output-Calculation-sheet'!S9*'Output-Calculation-sheet'!S18</f>
        <v>500.58161502267137</v>
      </c>
      <c r="T32" s="2">
        <f>T10/'Output-Calculation-sheet'!T9*'Output-Calculation-sheet'!T18</f>
        <v>459.29986098388133</v>
      </c>
      <c r="U32" s="2">
        <f>U10/'Output-Calculation-sheet'!U9*'Output-Calculation-sheet'!U18</f>
        <v>507.7356757904646</v>
      </c>
      <c r="V32" s="2">
        <f>V10/'Output-Calculation-sheet'!V9*'Output-Calculation-sheet'!V18</f>
        <v>374.76206500708884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216.96735857760567</v>
      </c>
      <c r="AA32" s="2">
        <f t="shared" si="1"/>
        <v>43.220523244324625</v>
      </c>
    </row>
    <row r="33" spans="1:27" x14ac:dyDescent="0.25">
      <c r="A33" s="2">
        <v>2034</v>
      </c>
      <c r="B33" s="2">
        <f>B11/'Output-Calculation-sheet'!B10*'Output-Calculation-sheet'!B19</f>
        <v>7973.2484409032359</v>
      </c>
      <c r="C33" s="2">
        <f>C11/'Output-Calculation-sheet'!C10*'Output-Calculation-sheet'!C19</f>
        <v>0</v>
      </c>
      <c r="D33" s="2">
        <f>D11/'Output-Calculation-sheet'!D10*'Output-Calculation-sheet'!D19</f>
        <v>5302.5540379435552</v>
      </c>
      <c r="E33" s="2">
        <f>E11/'Output-Calculation-sheet'!E10*'Output-Calculation-sheet'!E19</f>
        <v>6573.8281741244828</v>
      </c>
      <c r="F33" s="2">
        <f>F11/'Output-Calculation-sheet'!F10*'Output-Calculation-sheet'!F19</f>
        <v>3010.0419868462077</v>
      </c>
      <c r="G33" s="2">
        <f>G11/'Output-Calculation-sheet'!G10*'Output-Calculation-sheet'!G19</f>
        <v>1793.1245693533845</v>
      </c>
      <c r="H33" s="2">
        <f>H11/'Output-Calculation-sheet'!H10*'Output-Calculation-sheet'!H19</f>
        <v>0</v>
      </c>
      <c r="I33" s="2">
        <f>I11/'Output-Calculation-sheet'!I10*'Output-Calculation-sheet'!I19</f>
        <v>1969.703018540569</v>
      </c>
      <c r="J33" s="2">
        <f>J11/'Output-Calculation-sheet'!J10*'Output-Calculation-sheet'!J19</f>
        <v>1665.6129720189522</v>
      </c>
      <c r="K33" s="2">
        <f>K11/'Output-Calculation-sheet'!K10*'Output-Calculation-sheet'!K19</f>
        <v>2310.2444590581995</v>
      </c>
      <c r="L33" s="2">
        <f>L11/'Output-Calculation-sheet'!L10*'Output-Calculation-sheet'!L19</f>
        <v>1878.9697483553186</v>
      </c>
      <c r="M33" s="2">
        <f>M11/'Output-Calculation-sheet'!M10*'Output-Calculation-sheet'!M19</f>
        <v>0</v>
      </c>
      <c r="N33" s="2">
        <f>N11/'Output-Calculation-sheet'!N10*'Output-Calculation-sheet'!N19</f>
        <v>356.65795007103679</v>
      </c>
      <c r="O33" s="2">
        <f>O11/'Output-Calculation-sheet'!O10*'Output-Calculation-sheet'!O19</f>
        <v>0</v>
      </c>
      <c r="P33" s="2">
        <f>P11/'Output-Calculation-sheet'!P10*'Output-Calculation-sheet'!P19</f>
        <v>1765.5149655748421</v>
      </c>
      <c r="Q33" s="2">
        <f>Q11/'Output-Calculation-sheet'!Q10*'Output-Calculation-sheet'!Q19</f>
        <v>1124.9355348763904</v>
      </c>
      <c r="R33" s="2">
        <f>R11/'Output-Calculation-sheet'!R10*'Output-Calculation-sheet'!R19</f>
        <v>1668.984356341635</v>
      </c>
      <c r="S33" s="2">
        <f>S11/'Output-Calculation-sheet'!S10*'Output-Calculation-sheet'!S19</f>
        <v>226.72712200830415</v>
      </c>
      <c r="T33" s="2">
        <f>T11/'Output-Calculation-sheet'!T10*'Output-Calculation-sheet'!T19</f>
        <v>489.60885318329804</v>
      </c>
      <c r="U33" s="2">
        <f>U11/'Output-Calculation-sheet'!U10*'Output-Calculation-sheet'!U19</f>
        <v>529.53913291386107</v>
      </c>
      <c r="V33" s="2">
        <f>V11/'Output-Calculation-sheet'!V10*'Output-Calculation-sheet'!V19</f>
        <v>384.04788295050884</v>
      </c>
      <c r="W33" s="2">
        <f>W11/'Output-Calculation-sheet'!W10*'Output-Calculation-sheet'!W19</f>
        <v>239.12597066617792</v>
      </c>
      <c r="X33" s="2">
        <f>X11/'Output-Calculation-sheet'!X10*'Output-Calculation-sheet'!X19</f>
        <v>0</v>
      </c>
      <c r="Y33" s="2">
        <f>Y11/'Output-Calculation-sheet'!Y10*'Output-Calculation-sheet'!Y19</f>
        <v>195.77590412247343</v>
      </c>
      <c r="AA33" s="2">
        <f t="shared" si="1"/>
        <v>39.458245079852439</v>
      </c>
    </row>
    <row r="34" spans="1:27" x14ac:dyDescent="0.25">
      <c r="A34" s="2">
        <v>2035</v>
      </c>
      <c r="B34" s="2">
        <f>B12/'Output-Calculation-sheet'!B11*'Output-Calculation-sheet'!B20</f>
        <v>1547.0778592631102</v>
      </c>
      <c r="C34" s="2">
        <f>C12/'Output-Calculation-sheet'!C11*'Output-Calculation-sheet'!C20</f>
        <v>0</v>
      </c>
      <c r="D34" s="2">
        <f>D12/'Output-Calculation-sheet'!D11*'Output-Calculation-sheet'!D20</f>
        <v>4050.9947710187025</v>
      </c>
      <c r="E34" s="2">
        <f>E12/'Output-Calculation-sheet'!E11*'Output-Calculation-sheet'!E20</f>
        <v>2644.3967234192778</v>
      </c>
      <c r="F34" s="2">
        <f>F12/'Output-Calculation-sheet'!F11*'Output-Calculation-sheet'!F20</f>
        <v>2517.4118882201587</v>
      </c>
      <c r="G34" s="2">
        <f>G12/'Output-Calculation-sheet'!G11*'Output-Calculation-sheet'!G20</f>
        <v>1358.2324852869849</v>
      </c>
      <c r="H34" s="2">
        <f>H12/'Output-Calculation-sheet'!H11*'Output-Calculation-sheet'!H20</f>
        <v>0</v>
      </c>
      <c r="I34" s="2">
        <f>I12/'Output-Calculation-sheet'!I11*'Output-Calculation-sheet'!I20</f>
        <v>1509.9808972605645</v>
      </c>
      <c r="J34" s="2">
        <f>J12/'Output-Calculation-sheet'!J11*'Output-Calculation-sheet'!J20</f>
        <v>1400.3032461097407</v>
      </c>
      <c r="K34" s="2">
        <f>K12/'Output-Calculation-sheet'!K11*'Output-Calculation-sheet'!K20</f>
        <v>1866.7431007433288</v>
      </c>
      <c r="L34" s="2">
        <f>L12/'Output-Calculation-sheet'!L11*'Output-Calculation-sheet'!L20</f>
        <v>1486.2362491535714</v>
      </c>
      <c r="M34" s="2">
        <f>M12/'Output-Calculation-sheet'!M11*'Output-Calculation-sheet'!M20</f>
        <v>0</v>
      </c>
      <c r="N34" s="2">
        <f>N12/'Output-Calculation-sheet'!N11*'Output-Calculation-sheet'!N20</f>
        <v>1.0972262116858677E-2</v>
      </c>
      <c r="O34" s="2">
        <f>O12/'Output-Calculation-sheet'!O11*'Output-Calculation-sheet'!O20</f>
        <v>0</v>
      </c>
      <c r="P34" s="2">
        <f>P12/'Output-Calculation-sheet'!P11*'Output-Calculation-sheet'!P20</f>
        <v>764.16229637295839</v>
      </c>
      <c r="Q34" s="2">
        <f>Q12/'Output-Calculation-sheet'!Q11*'Output-Calculation-sheet'!Q20</f>
        <v>513.85492758987914</v>
      </c>
      <c r="R34" s="2">
        <f>R12/'Output-Calculation-sheet'!R11*'Output-Calculation-sheet'!R20</f>
        <v>1426.0950651835774</v>
      </c>
      <c r="S34" s="2">
        <f>S12/'Output-Calculation-sheet'!S11*'Output-Calculation-sheet'!S20</f>
        <v>1.689527697379803</v>
      </c>
      <c r="T34" s="2">
        <f>T12/'Output-Calculation-sheet'!T11*'Output-Calculation-sheet'!T20</f>
        <v>432.27326570151803</v>
      </c>
      <c r="U34" s="2">
        <f>U12/'Output-Calculation-sheet'!U11*'Output-Calculation-sheet'!U20</f>
        <v>398.15623138243694</v>
      </c>
      <c r="V34" s="2">
        <f>V12/'Output-Calculation-sheet'!V11*'Output-Calculation-sheet'!V20</f>
        <v>391.90172583868139</v>
      </c>
      <c r="W34" s="2">
        <f>W12/'Output-Calculation-sheet'!W11*'Output-Calculation-sheet'!W20</f>
        <v>212.53195971303774</v>
      </c>
      <c r="X34" s="2">
        <f>X12/'Output-Calculation-sheet'!X11*'Output-Calculation-sheet'!X20</f>
        <v>0</v>
      </c>
      <c r="Y34" s="2">
        <f>Y12/'Output-Calculation-sheet'!Y11*'Output-Calculation-sheet'!Y20</f>
        <v>97.083173228839613</v>
      </c>
      <c r="AA34" s="2">
        <f t="shared" si="1"/>
        <v>22.619136365445861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1.1943421700615811E-2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2.1873465233851622E-3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1.4130768224000972E-2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2.5344673376908593E-2</v>
      </c>
      <c r="E45" s="2">
        <f>E12/'Output-Calculation-sheet'!E11*'Output-Calculation-sheet'!E38*0.0114</f>
        <v>6.0426836000010233E-2</v>
      </c>
      <c r="F45" s="2">
        <f>F12/'Output-Calculation-sheet'!F11*'Output-Calculation-sheet'!F38*0.0114</f>
        <v>2.5336215096946835E-2</v>
      </c>
      <c r="G45" s="2">
        <f>G12/'Output-Calculation-sheet'!G11*'Output-Calculation-sheet'!G38*0.0114</f>
        <v>1.8183414616477767E-2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1.6354857806489233E-2</v>
      </c>
      <c r="J45" s="2">
        <f>J12/'Output-Calculation-sheet'!J11*'Output-Calculation-sheet'!J38*0.0114</f>
        <v>8.0929458106280792E-3</v>
      </c>
      <c r="K45" s="2">
        <f>K12/'Output-Calculation-sheet'!K11*'Output-Calculation-sheet'!K38*0.0114</f>
        <v>1.6074221907688761E-2</v>
      </c>
      <c r="L45" s="2">
        <f>L12/'Output-Calculation-sheet'!L11*'Output-Calculation-sheet'!L38*0.0114</f>
        <v>6.3907406400100161E-3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1.6507921305731126E-2</v>
      </c>
      <c r="Q45" s="2">
        <f>Q12/'Output-Calculation-sheet'!Q11*'Output-Calculation-sheet'!Q38*0.0114</f>
        <v>5.218692833295728E-3</v>
      </c>
      <c r="R45" s="2">
        <f>R12/'Output-Calculation-sheet'!R11*'Output-Calculation-sheet'!R38*0.0114</f>
        <v>1.0350635072878082E-2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1.9146725298035505E-3</v>
      </c>
      <c r="U45" s="2">
        <f>U12/'Output-Calculation-sheet'!U11*'Output-Calculation-sheet'!U38*0.0114</f>
        <v>4.9952303964833841E-3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2.2235732526041082E-3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2.5663190213045333E-3</v>
      </c>
      <c r="AA45" s="2">
        <f t="shared" si="2"/>
        <v>0.34062013144241932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0.1242718199359522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139.46757688275133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0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13.013354948313468</v>
      </c>
      <c r="AA54" s="2">
        <f t="shared" si="3"/>
        <v>3.4354743415479105</v>
      </c>
    </row>
    <row r="55" spans="1:27" x14ac:dyDescent="0.25">
      <c r="A55" s="2">
        <v>2034</v>
      </c>
      <c r="B55" s="2">
        <f>B11/'Output-Calculation-sheet'!B10*'Output-Calculation-sheet'!B46</f>
        <v>1041.9777454667694</v>
      </c>
      <c r="C55" s="2">
        <f>C11/'Output-Calculation-sheet'!C10*'Output-Calculation-sheet'!C46</f>
        <v>0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173.71494077736278</v>
      </c>
      <c r="G55" s="2">
        <f>G11/'Output-Calculation-sheet'!G10*'Output-Calculation-sheet'!G46</f>
        <v>1958.0925577588553</v>
      </c>
      <c r="H55" s="2">
        <f>H11/'Output-Calculation-sheet'!H10*'Output-Calculation-sheet'!H46</f>
        <v>355.21926891457503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805.74727304530245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263.28110256345303</v>
      </c>
      <c r="N55" s="2">
        <f>N11/'Output-Calculation-sheet'!N10*'Output-Calculation-sheet'!N46</f>
        <v>89.914864815157458</v>
      </c>
      <c r="O55" s="2">
        <f>O11/'Output-Calculation-sheet'!O10*'Output-Calculation-sheet'!O46</f>
        <v>0</v>
      </c>
      <c r="P55" s="2">
        <f>P11/'Output-Calculation-sheet'!P10*'Output-Calculation-sheet'!P46</f>
        <v>1955.527708690727</v>
      </c>
      <c r="Q55" s="2">
        <f>Q11/'Output-Calculation-sheet'!Q10*'Output-Calculation-sheet'!Q46</f>
        <v>419.15339009618384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0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745.42467046941704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49.452382501503983</v>
      </c>
      <c r="X55" s="2">
        <f>X11/'Output-Calculation-sheet'!X10*'Output-Calculation-sheet'!X46</f>
        <v>25.128527656216157</v>
      </c>
      <c r="Y55" s="2">
        <f>Y11/'Output-Calculation-sheet'!Y10*'Output-Calculation-sheet'!Y46</f>
        <v>174.77390637328384</v>
      </c>
      <c r="AA55" s="2">
        <f t="shared" si="3"/>
        <v>25.884671418757947</v>
      </c>
    </row>
    <row r="56" spans="1:27" x14ac:dyDescent="0.25">
      <c r="A56" s="2">
        <v>2035</v>
      </c>
      <c r="B56" s="2">
        <f>B12/'Output-Calculation-sheet'!B11*'Output-Calculation-sheet'!B47</f>
        <v>1422.4471633760809</v>
      </c>
      <c r="C56" s="2">
        <f>C12/'Output-Calculation-sheet'!C11*'Output-Calculation-sheet'!C47</f>
        <v>163.13461912759172</v>
      </c>
      <c r="D56" s="2">
        <f>D12/'Output-Calculation-sheet'!D11*'Output-Calculation-sheet'!D47</f>
        <v>4015.1298349734138</v>
      </c>
      <c r="E56" s="2">
        <f>E12/'Output-Calculation-sheet'!E11*'Output-Calculation-sheet'!E47</f>
        <v>5261.7285850301296</v>
      </c>
      <c r="F56" s="2">
        <f>F12/'Output-Calculation-sheet'!F11*'Output-Calculation-sheet'!F47</f>
        <v>555.61875212602706</v>
      </c>
      <c r="G56" s="2">
        <f>G12/'Output-Calculation-sheet'!G11*'Output-Calculation-sheet'!G47</f>
        <v>1485.7763785306174</v>
      </c>
      <c r="H56" s="2">
        <f>H12/'Output-Calculation-sheet'!H11*'Output-Calculation-sheet'!H47</f>
        <v>63.351806480864354</v>
      </c>
      <c r="I56" s="2">
        <f>I12/'Output-Calculation-sheet'!I11*'Output-Calculation-sheet'!I47</f>
        <v>946.86018879674509</v>
      </c>
      <c r="J56" s="2">
        <f>J12/'Output-Calculation-sheet'!J11*'Output-Calculation-sheet'!J47</f>
        <v>1580.9640631814675</v>
      </c>
      <c r="K56" s="2">
        <f>K12/'Output-Calculation-sheet'!K11*'Output-Calculation-sheet'!K47</f>
        <v>2111.5041497161333</v>
      </c>
      <c r="L56" s="2">
        <f>L12/'Output-Calculation-sheet'!L11*'Output-Calculation-sheet'!L47</f>
        <v>2286.6518482983206</v>
      </c>
      <c r="M56" s="2">
        <f>M12/'Output-Calculation-sheet'!M11*'Output-Calculation-sheet'!M47</f>
        <v>48.376718885421724</v>
      </c>
      <c r="N56" s="2">
        <f>N12/'Output-Calculation-sheet'!N11*'Output-Calculation-sheet'!N47</f>
        <v>45.456514484128803</v>
      </c>
      <c r="O56" s="2">
        <f>O12/'Output-Calculation-sheet'!O11*'Output-Calculation-sheet'!O47</f>
        <v>29.742215288070319</v>
      </c>
      <c r="P56" s="2">
        <f>P12/'Output-Calculation-sheet'!P11*'Output-Calculation-sheet'!P47</f>
        <v>1080.255201234686</v>
      </c>
      <c r="Q56" s="2">
        <f>Q12/'Output-Calculation-sheet'!Q11*'Output-Calculation-sheet'!Q47</f>
        <v>415.20652629817766</v>
      </c>
      <c r="R56" s="2">
        <f>R12/'Output-Calculation-sheet'!R11*'Output-Calculation-sheet'!R47</f>
        <v>2327.9849409525791</v>
      </c>
      <c r="S56" s="2">
        <f>S12/'Output-Calculation-sheet'!S11*'Output-Calculation-sheet'!S47</f>
        <v>19.46805536778713</v>
      </c>
      <c r="T56" s="2">
        <f>T12/'Output-Calculation-sheet'!T11*'Output-Calculation-sheet'!T47</f>
        <v>783.16824618192595</v>
      </c>
      <c r="U56" s="2">
        <f>U12/'Output-Calculation-sheet'!U11*'Output-Calculation-sheet'!U47</f>
        <v>549.03716550821753</v>
      </c>
      <c r="V56" s="2">
        <f>V12/'Output-Calculation-sheet'!V11*'Output-Calculation-sheet'!V47</f>
        <v>542.51237337409373</v>
      </c>
      <c r="W56" s="2">
        <f>W12/'Output-Calculation-sheet'!W11*'Output-Calculation-sheet'!W47</f>
        <v>192.0270058937495</v>
      </c>
      <c r="X56" s="2">
        <f>X12/'Output-Calculation-sheet'!X11*'Output-Calculation-sheet'!X47</f>
        <v>4.9571128303343048</v>
      </c>
      <c r="Y56" s="2">
        <f>Y12/'Output-Calculation-sheet'!Y11*'Output-Calculation-sheet'!Y47</f>
        <v>153.24751524149656</v>
      </c>
      <c r="AA56" s="2">
        <f t="shared" si="3"/>
        <v>26.084606981178059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6.9837540571270136</v>
      </c>
      <c r="C63" s="2">
        <f>C8*'Output-Calculation-sheet'!C52/10^9</f>
        <v>3.7310805950497636</v>
      </c>
      <c r="D63" s="2">
        <f>D8*'Output-Calculation-sheet'!D52/10^9</f>
        <v>2.3948789295660422</v>
      </c>
      <c r="E63" s="2">
        <f>E8*'Output-Calculation-sheet'!E52/10^9</f>
        <v>2.3811520541740103</v>
      </c>
      <c r="F63" s="2">
        <f>F8*'Output-Calculation-sheet'!F52/10^9</f>
        <v>1.0084176980938624</v>
      </c>
      <c r="G63" s="2">
        <f>G8*'Output-Calculation-sheet'!G52/10^9</f>
        <v>0.72500676850808432</v>
      </c>
      <c r="H63" s="2">
        <f>H8*'Output-Calculation-sheet'!H52/10^9</f>
        <v>1.1791538594130211</v>
      </c>
      <c r="I63" s="2">
        <f>I8*'Output-Calculation-sheet'!I52/10^9</f>
        <v>0.67442461407586107</v>
      </c>
      <c r="J63" s="2">
        <f>J8*'Output-Calculation-sheet'!J52/10^9</f>
        <v>0.92805398277145001</v>
      </c>
      <c r="K63" s="2">
        <f>K8*'Output-Calculation-sheet'!K52/10^9</f>
        <v>0.81537796689206998</v>
      </c>
      <c r="L63" s="2">
        <f>L8*'Output-Calculation-sheet'!L52/10^9</f>
        <v>1.0967225967275478</v>
      </c>
      <c r="M63" s="2">
        <f>M8*'Output-Calculation-sheet'!M52/10^9</f>
        <v>0.96600171048638017</v>
      </c>
      <c r="N63" s="2">
        <f>N8*'Output-Calculation-sheet'!N52/10^9</f>
        <v>0.85235647804337322</v>
      </c>
      <c r="O63" s="2">
        <f>O8*'Output-Calculation-sheet'!O52/10^9</f>
        <v>0.76334688064472755</v>
      </c>
      <c r="P63" s="2">
        <f>P8*'Output-Calculation-sheet'!P52/10^9</f>
        <v>0.56340418030611672</v>
      </c>
      <c r="Q63" s="2">
        <f>Q8*'Output-Calculation-sheet'!Q52/10^9</f>
        <v>0.63760842881826862</v>
      </c>
      <c r="R63" s="2">
        <f>R8*'Output-Calculation-sheet'!R52/10^9</f>
        <v>0.57244580364146491</v>
      </c>
      <c r="S63" s="2">
        <f>S8*'Output-Calculation-sheet'!S52/10^9</f>
        <v>0.4242026232603332</v>
      </c>
      <c r="T63" s="2">
        <f>T8*'Output-Calculation-sheet'!T52/10^9</f>
        <v>0.21763571717972927</v>
      </c>
      <c r="U63" s="2">
        <f>U8*'Output-Calculation-sheet'!U52/10^9</f>
        <v>0.14946987844805368</v>
      </c>
      <c r="V63" s="2">
        <f>V8*'Output-Calculation-sheet'!V52/10^9</f>
        <v>0.26527371174351461</v>
      </c>
      <c r="W63" s="2">
        <f>W8*'Output-Calculation-sheet'!W52/10^9</f>
        <v>9.601665545208185E-2</v>
      </c>
      <c r="X63" s="2">
        <f>X8*'Output-Calculation-sheet'!X52/10^9</f>
        <v>9.8933782039659635E-2</v>
      </c>
      <c r="Y63" s="2">
        <f>Y8*'Output-Calculation-sheet'!Y52/10^9</f>
        <v>6.2648196733546935E-2</v>
      </c>
      <c r="AA63" s="2">
        <f t="shared" si="4"/>
        <v>27.587367169195968</v>
      </c>
    </row>
    <row r="64" spans="1:27" x14ac:dyDescent="0.25">
      <c r="A64" s="2">
        <v>2032</v>
      </c>
      <c r="B64" s="2">
        <f>B9*'Output-Calculation-sheet'!B53/10^9</f>
        <v>6.6463890184645775</v>
      </c>
      <c r="C64" s="2">
        <f>C9*'Output-Calculation-sheet'!C53/10^9</f>
        <v>3.523456090631885</v>
      </c>
      <c r="D64" s="2">
        <f>D9*'Output-Calculation-sheet'!D53/10^9</f>
        <v>1.968443823082999</v>
      </c>
      <c r="E64" s="2">
        <f>E9*'Output-Calculation-sheet'!E53/10^9</f>
        <v>2.0157730822323239</v>
      </c>
      <c r="F64" s="2">
        <f>F9*'Output-Calculation-sheet'!F53/10^9</f>
        <v>0.85024044615055949</v>
      </c>
      <c r="G64" s="2">
        <f>G9*'Output-Calculation-sheet'!G53/10^9</f>
        <v>0.60517513977861559</v>
      </c>
      <c r="H64" s="2">
        <f>H9*'Output-Calculation-sheet'!H53/10^9</f>
        <v>1.1058105543815897</v>
      </c>
      <c r="I64" s="2">
        <f>I9*'Output-Calculation-sheet'!I53/10^9</f>
        <v>0.56573984807426081</v>
      </c>
      <c r="J64" s="2">
        <f>J9*'Output-Calculation-sheet'!J53/10^9</f>
        <v>0.7489246089809023</v>
      </c>
      <c r="K64" s="2">
        <f>K9*'Output-Calculation-sheet'!K53/10^9</f>
        <v>0.69490014331171124</v>
      </c>
      <c r="L64" s="2">
        <f>L9*'Output-Calculation-sheet'!L53/10^9</f>
        <v>0.89398695736350553</v>
      </c>
      <c r="M64" s="2">
        <f>M9*'Output-Calculation-sheet'!M53/10^9</f>
        <v>0.8773313408253165</v>
      </c>
      <c r="N64" s="2">
        <f>N9*'Output-Calculation-sheet'!N53/10^9</f>
        <v>0.78988167890396055</v>
      </c>
      <c r="O64" s="2">
        <f>O9*'Output-Calculation-sheet'!O53/10^9</f>
        <v>0.713526244553088</v>
      </c>
      <c r="P64" s="2">
        <f>P9*'Output-Calculation-sheet'!P53/10^9</f>
        <v>0.52981824161950974</v>
      </c>
      <c r="Q64" s="2">
        <f>Q9*'Output-Calculation-sheet'!Q53/10^9</f>
        <v>0.58552436477931691</v>
      </c>
      <c r="R64" s="2">
        <f>R9*'Output-Calculation-sheet'!R53/10^9</f>
        <v>0.50193265324578462</v>
      </c>
      <c r="S64" s="2">
        <f>S9*'Output-Calculation-sheet'!S53/10^9</f>
        <v>0.40389116082380505</v>
      </c>
      <c r="T64" s="2">
        <f>T9*'Output-Calculation-sheet'!T53/10^9</f>
        <v>0.18043100707704487</v>
      </c>
      <c r="U64" s="2">
        <f>U9*'Output-Calculation-sheet'!U53/10^9</f>
        <v>0.13580665711927681</v>
      </c>
      <c r="V64" s="2">
        <f>V9*'Output-Calculation-sheet'!V53/10^9</f>
        <v>0.2141594042813979</v>
      </c>
      <c r="W64" s="2">
        <f>W9*'Output-Calculation-sheet'!W53/10^9</f>
        <v>7.9577636963282197E-2</v>
      </c>
      <c r="X64" s="2">
        <f>X9*'Output-Calculation-sheet'!X53/10^9</f>
        <v>9.1234622279603175E-2</v>
      </c>
      <c r="Y64" s="2">
        <f>Y9*'Output-Calculation-sheet'!Y53/10^9</f>
        <v>5.5754718464396114E-2</v>
      </c>
      <c r="AA64" s="2">
        <f t="shared" si="4"/>
        <v>24.777709443388709</v>
      </c>
    </row>
    <row r="65" spans="1:27" x14ac:dyDescent="0.25">
      <c r="A65" s="2">
        <v>2033</v>
      </c>
      <c r="B65" s="2">
        <f>B10*'Output-Calculation-sheet'!B54/10^9</f>
        <v>5.9026919077665259</v>
      </c>
      <c r="C65" s="2">
        <f>C10*'Output-Calculation-sheet'!C54/10^9</f>
        <v>3.0512072309251712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0.95818205167117587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0.55827361096741557</v>
      </c>
      <c r="L65" s="2">
        <f>L10*'Output-Calculation-sheet'!L54/10^9</f>
        <v>0.65937513432768491</v>
      </c>
      <c r="M65" s="2">
        <f>M10*'Output-Calculation-sheet'!M54/10^9</f>
        <v>0.73067483637199926</v>
      </c>
      <c r="N65" s="2">
        <f>N10*'Output-Calculation-sheet'!N54/10^9</f>
        <v>0.67048369874593194</v>
      </c>
      <c r="O65" s="2">
        <f>O10*'Output-Calculation-sheet'!O54/10^9</f>
        <v>0.61147542129240406</v>
      </c>
      <c r="P65" s="2">
        <f>P10*'Output-Calculation-sheet'!P54/10^9</f>
        <v>0.47231713528774966</v>
      </c>
      <c r="Q65" s="2">
        <f>Q10*'Output-Calculation-sheet'!Q54/10^9</f>
        <v>0.51451227903065433</v>
      </c>
      <c r="R65" s="2">
        <f>R10*'Output-Calculation-sheet'!R54/10^9</f>
        <v>0.41582366808367272</v>
      </c>
      <c r="S65" s="2">
        <f>S10*'Output-Calculation-sheet'!S54/10^9</f>
        <v>0.35367918183011143</v>
      </c>
      <c r="T65" s="2">
        <f>T10*'Output-Calculation-sheet'!T54/10^9</f>
        <v>0.13903013354817786</v>
      </c>
      <c r="U65" s="2">
        <f>U10*'Output-Calculation-sheet'!U54/10^9</f>
        <v>0.12004757498695652</v>
      </c>
      <c r="V65" s="2">
        <f>V10*'Output-Calculation-sheet'!V54/10^9</f>
        <v>0.15386125381478097</v>
      </c>
      <c r="W65" s="2">
        <f>W10*'Output-Calculation-sheet'!W54/10^9</f>
        <v>5.8578517805342012E-2</v>
      </c>
      <c r="X65" s="2">
        <f>X10*'Output-Calculation-sheet'!X54/10^9</f>
        <v>7.6611772556339539E-2</v>
      </c>
      <c r="Y65" s="2">
        <f>Y10*'Output-Calculation-sheet'!Y54/10^9</f>
        <v>4.8214246621220848E-2</v>
      </c>
      <c r="AA65" s="2">
        <f t="shared" si="4"/>
        <v>20.605724177010167</v>
      </c>
    </row>
    <row r="66" spans="1:27" x14ac:dyDescent="0.25">
      <c r="A66" s="2">
        <v>2034</v>
      </c>
      <c r="B66" s="2">
        <f>B11*'Output-Calculation-sheet'!B55/10^9</f>
        <v>4.8468981853331261</v>
      </c>
      <c r="C66" s="2">
        <f>C11*'Output-Calculation-sheet'!C55/10^9</f>
        <v>2.4381741084910766</v>
      </c>
      <c r="D66" s="2">
        <f>D11*'Output-Calculation-sheet'!D55/10^9</f>
        <v>1.0938651234688801</v>
      </c>
      <c r="E66" s="2">
        <f>E11*'Output-Calculation-sheet'!E55/10^9</f>
        <v>1.3245930853472834</v>
      </c>
      <c r="F66" s="2">
        <f>F11*'Output-Calculation-sheet'!F55/10^9</f>
        <v>0.50906081483546606</v>
      </c>
      <c r="G66" s="2">
        <f>G11*'Output-Calculation-sheet'!G55/10^9</f>
        <v>0.36388956902693315</v>
      </c>
      <c r="H66" s="2">
        <f>H11*'Output-Calculation-sheet'!H55/10^9</f>
        <v>0.75929830623748984</v>
      </c>
      <c r="I66" s="2">
        <f>I11*'Output-Calculation-sheet'!I55/10^9</f>
        <v>0.35581844715834648</v>
      </c>
      <c r="J66" s="2">
        <f>J11*'Output-Calculation-sheet'!J55/10^9</f>
        <v>0.36590076776289748</v>
      </c>
      <c r="K66" s="2">
        <f>K11*'Output-Calculation-sheet'!K55/10^9</f>
        <v>0.43764311731551281</v>
      </c>
      <c r="L66" s="2">
        <f>L11*'Output-Calculation-sheet'!L55/10^9</f>
        <v>0.46347111084975434</v>
      </c>
      <c r="M66" s="2">
        <f>M11*'Output-Calculation-sheet'!M55/10^9</f>
        <v>0.55347600172541422</v>
      </c>
      <c r="N66" s="2">
        <f>N11*'Output-Calculation-sheet'!N55/10^9</f>
        <v>0.52287483523145262</v>
      </c>
      <c r="O66" s="2">
        <f>O11*'Output-Calculation-sheet'!O55/10^9</f>
        <v>0.48057232505348202</v>
      </c>
      <c r="P66" s="2">
        <f>P11*'Output-Calculation-sheet'!P55/10^9</f>
        <v>0.40127325352796678</v>
      </c>
      <c r="Q66" s="2">
        <f>Q11*'Output-Calculation-sheet'!Q55/10^9</f>
        <v>0.42448183858890709</v>
      </c>
      <c r="R66" s="2">
        <f>R11*'Output-Calculation-sheet'!R55/10^9</f>
        <v>0.32786556620856422</v>
      </c>
      <c r="S66" s="2">
        <f>S11*'Output-Calculation-sheet'!S55/10^9</f>
        <v>0.2859777017569452</v>
      </c>
      <c r="T66" s="2">
        <f>T11*'Output-Calculation-sheet'!T55/10^9</f>
        <v>0.1027609560489884</v>
      </c>
      <c r="U66" s="2">
        <f>U11*'Output-Calculation-sheet'!U55/10^9</f>
        <v>0.10437465182760983</v>
      </c>
      <c r="V66" s="2">
        <f>V11*'Output-Calculation-sheet'!V55/10^9</f>
        <v>9.7483083998587322E-2</v>
      </c>
      <c r="W66" s="2">
        <f>W11*'Output-Calculation-sheet'!W55/10^9</f>
        <v>4.4140974780963994E-2</v>
      </c>
      <c r="X66" s="2">
        <f>X11*'Output-Calculation-sheet'!X55/10^9</f>
        <v>5.9134405782187663E-2</v>
      </c>
      <c r="Y66" s="2">
        <f>Y11*'Output-Calculation-sheet'!Y55/10^9</f>
        <v>4.3154631648503111E-2</v>
      </c>
      <c r="AA66" s="2">
        <f t="shared" si="4"/>
        <v>16.406182862006332</v>
      </c>
    </row>
    <row r="67" spans="1:27" x14ac:dyDescent="0.25">
      <c r="A67" s="2">
        <v>2035</v>
      </c>
      <c r="B67" s="2">
        <f>B12*'Output-Calculation-sheet'!B56/10^9</f>
        <v>3.7270028953072387</v>
      </c>
      <c r="C67" s="2">
        <f>C12*'Output-Calculation-sheet'!C56/10^9</f>
        <v>1.7492753531328606</v>
      </c>
      <c r="D67" s="2">
        <f>D12*'Output-Calculation-sheet'!D56/10^9</f>
        <v>0.85998572224215497</v>
      </c>
      <c r="E67" s="2">
        <f>E12*'Output-Calculation-sheet'!E56/10^9</f>
        <v>1.1496450219129402</v>
      </c>
      <c r="F67" s="2">
        <f>F12*'Output-Calculation-sheet'!F56/10^9</f>
        <v>0.42646117180197152</v>
      </c>
      <c r="G67" s="2">
        <f>G12*'Output-Calculation-sheet'!G56/10^9</f>
        <v>0.2987428317570659</v>
      </c>
      <c r="H67" s="2">
        <f>H12*'Output-Calculation-sheet'!H56/10^9</f>
        <v>0.55072460000601753</v>
      </c>
      <c r="I67" s="2">
        <f>I12*'Output-Calculation-sheet'!I56/10^9</f>
        <v>0.29020223855911764</v>
      </c>
      <c r="J67" s="2">
        <f>J12*'Output-Calculation-sheet'!J56/10^9</f>
        <v>0.28731210796191303</v>
      </c>
      <c r="K67" s="2">
        <f>K12*'Output-Calculation-sheet'!K56/10^9</f>
        <v>0.34621623719855055</v>
      </c>
      <c r="L67" s="2">
        <f>L12*'Output-Calculation-sheet'!L56/10^9</f>
        <v>0.34777849322054649</v>
      </c>
      <c r="M67" s="2">
        <f>M12*'Output-Calculation-sheet'!M56/10^9</f>
        <v>0.38310695022893138</v>
      </c>
      <c r="N67" s="2">
        <f>N12*'Output-Calculation-sheet'!N56/10^9</f>
        <v>0.37371364549425584</v>
      </c>
      <c r="O67" s="2">
        <f>O12*'Output-Calculation-sheet'!O56/10^9</f>
        <v>0.34004199973948679</v>
      </c>
      <c r="P67" s="2">
        <f>P12*'Output-Calculation-sheet'!P56/10^9</f>
        <v>0.3250119336156449</v>
      </c>
      <c r="Q67" s="2">
        <f>Q12*'Output-Calculation-sheet'!Q56/10^9</f>
        <v>0.32987617906175537</v>
      </c>
      <c r="R67" s="2">
        <f>R12*'Output-Calculation-sheet'!R56/10^9</f>
        <v>0.2626107079644206</v>
      </c>
      <c r="S67" s="2">
        <f>S12*'Output-Calculation-sheet'!S56/10^9</f>
        <v>0.21352358952592268</v>
      </c>
      <c r="T67" s="2">
        <f>T12*'Output-Calculation-sheet'!T56/10^9</f>
        <v>7.9588801902167022E-2</v>
      </c>
      <c r="U67" s="2">
        <f>U12*'Output-Calculation-sheet'!U56/10^9</f>
        <v>8.321658229108049E-2</v>
      </c>
      <c r="V67" s="2">
        <f>V12*'Output-Calculation-sheet'!V56/10^9</f>
        <v>6.3835266397621077E-2</v>
      </c>
      <c r="W67" s="2">
        <f>W12*'Output-Calculation-sheet'!W56/10^9</f>
        <v>3.8541735818120086E-2</v>
      </c>
      <c r="X67" s="2">
        <f>X12*'Output-Calculation-sheet'!X56/10^9</f>
        <v>4.0954867411875061E-2</v>
      </c>
      <c r="Y67" s="2">
        <f>Y12*'Output-Calculation-sheet'!Y56/10^9</f>
        <v>3.7020506840599758E-2</v>
      </c>
      <c r="AA67" s="2">
        <f t="shared" si="4"/>
        <v>12.604389439392262</v>
      </c>
    </row>
    <row r="68" spans="1:27" x14ac:dyDescent="0.25">
      <c r="B68" s="2">
        <f>SUM(B60:B67)</f>
        <v>28.106736063998476</v>
      </c>
      <c r="C68" s="2">
        <f t="shared" ref="C68:Y68" si="5">SUM(C60:C67)</f>
        <v>14.493193378230755</v>
      </c>
      <c r="D68" s="2">
        <f t="shared" si="5"/>
        <v>7.7495942469238122</v>
      </c>
      <c r="E68" s="2">
        <f t="shared" si="5"/>
        <v>8.484044479561426</v>
      </c>
      <c r="F68" s="2">
        <f t="shared" si="5"/>
        <v>3.4489816315957076</v>
      </c>
      <c r="G68" s="2">
        <f t="shared" si="5"/>
        <v>2.4423951448878047</v>
      </c>
      <c r="H68" s="2">
        <f t="shared" si="5"/>
        <v>4.5531693717092931</v>
      </c>
      <c r="I68" s="2">
        <f t="shared" si="5"/>
        <v>2.3239542965045681</v>
      </c>
      <c r="J68" s="2">
        <f t="shared" si="5"/>
        <v>2.8534226192274792</v>
      </c>
      <c r="K68" s="2">
        <f t="shared" si="5"/>
        <v>2.8524110756852603</v>
      </c>
      <c r="L68" s="2">
        <f t="shared" si="5"/>
        <v>3.4613342924890391</v>
      </c>
      <c r="M68" s="2">
        <f t="shared" si="5"/>
        <v>3.5105908396380414</v>
      </c>
      <c r="N68" s="2">
        <f t="shared" si="5"/>
        <v>3.2093103364189739</v>
      </c>
      <c r="O68" s="2">
        <f t="shared" si="5"/>
        <v>2.9089628712831885</v>
      </c>
      <c r="P68" s="2">
        <f t="shared" si="5"/>
        <v>2.2918247443569877</v>
      </c>
      <c r="Q68" s="2">
        <f t="shared" si="5"/>
        <v>2.4920030902789021</v>
      </c>
      <c r="R68" s="2">
        <f t="shared" si="5"/>
        <v>2.0806783991439071</v>
      </c>
      <c r="S68" s="2">
        <f t="shared" si="5"/>
        <v>1.6812742571971175</v>
      </c>
      <c r="T68" s="2">
        <f t="shared" si="5"/>
        <v>0.71944661575610735</v>
      </c>
      <c r="U68" s="2">
        <f t="shared" si="5"/>
        <v>0.59291534467297735</v>
      </c>
      <c r="V68" s="2">
        <f t="shared" si="5"/>
        <v>0.79461272023590179</v>
      </c>
      <c r="W68" s="2">
        <f t="shared" si="5"/>
        <v>0.31685552081979018</v>
      </c>
      <c r="X68" s="2">
        <f t="shared" si="5"/>
        <v>0.36686945006966504</v>
      </c>
      <c r="Y68" s="2">
        <f t="shared" si="5"/>
        <v>0.24679230030826677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45.520520744883783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4.5520520744883781E-2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371.09611311994905</v>
      </c>
      <c r="Q76" s="2">
        <f>Q10/'Output-Calculation-sheet'!Q9*'Output-Calculation-sheet'!Q63</f>
        <v>44.08176735175126</v>
      </c>
      <c r="R76" s="2">
        <f>R10/'Output-Calculation-sheet'!R9*'Output-Calculation-sheet'!R63</f>
        <v>282.86760710443809</v>
      </c>
      <c r="S76" s="2">
        <f>S10/'Output-Calculation-sheet'!S9*'Output-Calculation-sheet'!S63</f>
        <v>0</v>
      </c>
      <c r="T76" s="2">
        <f>T10/'Output-Calculation-sheet'!T9*'Output-Calculation-sheet'!T63</f>
        <v>18.582180509940045</v>
      </c>
      <c r="U76" s="2">
        <f>U10/'Output-Calculation-sheet'!U9*'Output-Calculation-sheet'!U63</f>
        <v>100.36771839573015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4.7667567463376335</v>
      </c>
      <c r="AA76" s="2">
        <f t="shared" si="6"/>
        <v>0.89979722836656606</v>
      </c>
    </row>
    <row r="77" spans="1:27" x14ac:dyDescent="0.25">
      <c r="A77" s="2">
        <v>2034</v>
      </c>
      <c r="B77" s="2">
        <f>B11/'Output-Calculation-sheet'!B10*'Output-Calculation-sheet'!B64</f>
        <v>315.3858239978818</v>
      </c>
      <c r="C77" s="2">
        <f>C11/'Output-Calculation-sheet'!C10*'Output-Calculation-sheet'!C64</f>
        <v>0</v>
      </c>
      <c r="D77" s="2">
        <f>D11/'Output-Calculation-sheet'!D10*'Output-Calculation-sheet'!D64</f>
        <v>1060.806367604243</v>
      </c>
      <c r="E77" s="2">
        <f>E11/'Output-Calculation-sheet'!E10*'Output-Calculation-sheet'!E64</f>
        <v>1315.370039826345</v>
      </c>
      <c r="F77" s="2">
        <f>F11/'Output-Calculation-sheet'!F10*'Output-Calculation-sheet'!F64</f>
        <v>82.408032241711624</v>
      </c>
      <c r="G77" s="2">
        <f>G11/'Output-Calculation-sheet'!G10*'Output-Calculation-sheet'!G64</f>
        <v>531.44874028315621</v>
      </c>
      <c r="H77" s="2">
        <f>H11/'Output-Calculation-sheet'!H10*'Output-Calculation-sheet'!H64</f>
        <v>86.973915625438337</v>
      </c>
      <c r="I77" s="2">
        <f>I11/'Output-Calculation-sheet'!I10*'Output-Calculation-sheet'!I64</f>
        <v>328.82770815648587</v>
      </c>
      <c r="J77" s="2">
        <f>J11/'Output-Calculation-sheet'!J10*'Output-Calculation-sheet'!J64</f>
        <v>231.08626623809565</v>
      </c>
      <c r="K77" s="2">
        <f>K11/'Output-Calculation-sheet'!K10*'Output-Calculation-sheet'!K64</f>
        <v>504.16583773751819</v>
      </c>
      <c r="L77" s="2">
        <f>L11/'Output-Calculation-sheet'!L10*'Output-Calculation-sheet'!L64</f>
        <v>208.46773557984017</v>
      </c>
      <c r="M77" s="2">
        <f>M11/'Output-Calculation-sheet'!M10*'Output-Calculation-sheet'!M64</f>
        <v>62.639951659234697</v>
      </c>
      <c r="N77" s="2">
        <f>N11/'Output-Calculation-sheet'!N10*'Output-Calculation-sheet'!N64</f>
        <v>20.716796677220593</v>
      </c>
      <c r="O77" s="2">
        <f>O11/'Output-Calculation-sheet'!O10*'Output-Calculation-sheet'!O64</f>
        <v>0</v>
      </c>
      <c r="P77" s="2">
        <f>P11/'Output-Calculation-sheet'!P10*'Output-Calculation-sheet'!P64</f>
        <v>426.57643020252908</v>
      </c>
      <c r="Q77" s="2">
        <f>Q11/'Output-Calculation-sheet'!Q10*'Output-Calculation-sheet'!Q64</f>
        <v>102.89103196342406</v>
      </c>
      <c r="R77" s="2">
        <f>R11/'Output-Calculation-sheet'!R10*'Output-Calculation-sheet'!R64</f>
        <v>530.40035561390766</v>
      </c>
      <c r="S77" s="2">
        <f>S11/'Output-Calculation-sheet'!S10*'Output-Calculation-sheet'!S64</f>
        <v>0</v>
      </c>
      <c r="T77" s="2">
        <f>T11/'Output-Calculation-sheet'!T10*'Output-Calculation-sheet'!T64</f>
        <v>147.06752541228769</v>
      </c>
      <c r="U77" s="2">
        <f>U11/'Output-Calculation-sheet'!U10*'Output-Calculation-sheet'!U64</f>
        <v>161.30088068198543</v>
      </c>
      <c r="V77" s="2">
        <f>V11/'Output-Calculation-sheet'!V10*'Output-Calculation-sheet'!V64</f>
        <v>76.007330011121752</v>
      </c>
      <c r="W77" s="2">
        <f>W11/'Output-Calculation-sheet'!W10*'Output-Calculation-sheet'!W64</f>
        <v>16.677367596200213</v>
      </c>
      <c r="X77" s="2">
        <f>X11/'Output-Calculation-sheet'!X10*'Output-Calculation-sheet'!X64</f>
        <v>6.244515733934521</v>
      </c>
      <c r="Y77" s="2">
        <f>Y11/'Output-Calculation-sheet'!Y10*'Output-Calculation-sheet'!Y64</f>
        <v>35.197350304610552</v>
      </c>
      <c r="AA77" s="2">
        <f t="shared" si="6"/>
        <v>6.2506600031471713</v>
      </c>
    </row>
    <row r="78" spans="1:27" x14ac:dyDescent="0.25">
      <c r="A78" s="2">
        <v>2035</v>
      </c>
      <c r="B78" s="2">
        <f>B12/'Output-Calculation-sheet'!B11*'Output-Calculation-sheet'!B65</f>
        <v>286.74736925053804</v>
      </c>
      <c r="C78" s="2">
        <f>C12/'Output-Calculation-sheet'!C11*'Output-Calculation-sheet'!C65</f>
        <v>29.314036175542636</v>
      </c>
      <c r="D78" s="2">
        <f>D12/'Output-Calculation-sheet'!D11*'Output-Calculation-sheet'!D65</f>
        <v>911.45003505770512</v>
      </c>
      <c r="E78" s="2">
        <f>E12/'Output-Calculation-sheet'!E11*'Output-Calculation-sheet'!E65</f>
        <v>851.00243933406205</v>
      </c>
      <c r="F78" s="2">
        <f>F12/'Output-Calculation-sheet'!F11*'Output-Calculation-sheet'!F65</f>
        <v>201.32067617033616</v>
      </c>
      <c r="G78" s="2">
        <f>G12/'Output-Calculation-sheet'!G11*'Output-Calculation-sheet'!G65</f>
        <v>398.56529554767889</v>
      </c>
      <c r="H78" s="2">
        <f>H12/'Output-Calculation-sheet'!H11*'Output-Calculation-sheet'!H65</f>
        <v>11.517667451423485</v>
      </c>
      <c r="I78" s="2">
        <f>I12/'Output-Calculation-sheet'!I11*'Output-Calculation-sheet'!I65</f>
        <v>264.32032561256045</v>
      </c>
      <c r="J78" s="2">
        <f>J12/'Output-Calculation-sheet'!J11*'Output-Calculation-sheet'!J65</f>
        <v>385.67643168075358</v>
      </c>
      <c r="K78" s="2">
        <f>K12/'Output-Calculation-sheet'!K11*'Output-Calculation-sheet'!K65</f>
        <v>481.45326155378848</v>
      </c>
      <c r="L78" s="2">
        <f>L12/'Output-Calculation-sheet'!L11*'Output-Calculation-sheet'!L65</f>
        <v>406.19435389646821</v>
      </c>
      <c r="M78" s="2">
        <f>M12/'Output-Calculation-sheet'!M11*'Output-Calculation-sheet'!M65</f>
        <v>9.6274986704943668</v>
      </c>
      <c r="N78" s="2">
        <f>N12/'Output-Calculation-sheet'!N11*'Output-Calculation-sheet'!N65</f>
        <v>7.8148630705645346</v>
      </c>
      <c r="O78" s="2">
        <f>O12/'Output-Calculation-sheet'!O11*'Output-Calculation-sheet'!O65</f>
        <v>5.3272695776632188</v>
      </c>
      <c r="P78" s="2">
        <f>P12/'Output-Calculation-sheet'!P11*'Output-Calculation-sheet'!P65</f>
        <v>222.85742031512768</v>
      </c>
      <c r="Q78" s="2">
        <f>Q12/'Output-Calculation-sheet'!Q11*'Output-Calculation-sheet'!Q65</f>
        <v>84.356965189713776</v>
      </c>
      <c r="R78" s="2">
        <f>R12/'Output-Calculation-sheet'!R11*'Output-Calculation-sheet'!R65</f>
        <v>511.23148550612336</v>
      </c>
      <c r="S78" s="2">
        <f>S12/'Output-Calculation-sheet'!S11*'Output-Calculation-sheet'!S65</f>
        <v>3.0412097569924694</v>
      </c>
      <c r="T78" s="2">
        <f>T12/'Output-Calculation-sheet'!T11*'Output-Calculation-sheet'!T65</f>
        <v>176.10066229883608</v>
      </c>
      <c r="U78" s="2">
        <f>U12/'Output-Calculation-sheet'!U11*'Output-Calculation-sheet'!U65</f>
        <v>120.65905993021455</v>
      </c>
      <c r="V78" s="2">
        <f>V12/'Output-Calculation-sheet'!V11*'Output-Calculation-sheet'!V65</f>
        <v>99.473253274408862</v>
      </c>
      <c r="W78" s="2">
        <f>W12/'Output-Calculation-sheet'!W11*'Output-Calculation-sheet'!W65</f>
        <v>47.037351555416109</v>
      </c>
      <c r="X78" s="2">
        <f>X12/'Output-Calculation-sheet'!X11*'Output-Calculation-sheet'!X65</f>
        <v>1.0314293825563825</v>
      </c>
      <c r="Y78" s="2">
        <f>Y12/'Output-Calculation-sheet'!Y11*'Output-Calculation-sheet'!Y65</f>
        <v>26.506980149151008</v>
      </c>
      <c r="AA78" s="2">
        <f t="shared" si="6"/>
        <v>5.5426273404081199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1.047668570229457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0.76749000820531998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1.8151585784347769E-3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13.339301777320312</v>
      </c>
      <c r="E89" s="2">
        <f>E12/'Output-Calculation-sheet'!E11*'Output-Calculation-sheet'!E74</f>
        <v>30.036731345034323</v>
      </c>
      <c r="F89" s="2">
        <f>F12/'Output-Calculation-sheet'!F11*'Output-Calculation-sheet'!F74</f>
        <v>13.334850051024649</v>
      </c>
      <c r="G89" s="2">
        <f>G12/'Output-Calculation-sheet'!G11*'Output-Calculation-sheet'!G74</f>
        <v>9.570218219198825</v>
      </c>
      <c r="H89" s="2">
        <f>H12/'Output-Calculation-sheet'!H11*'Output-Calculation-sheet'!H74</f>
        <v>1.545166011728399</v>
      </c>
      <c r="I89" s="2">
        <f>I12/'Output-Calculation-sheet'!I11*'Output-Calculation-sheet'!I74</f>
        <v>8.6078198981522274</v>
      </c>
      <c r="J89" s="2">
        <f>J12/'Output-Calculation-sheet'!J11*'Output-Calculation-sheet'!J74</f>
        <v>4.2594451634884622</v>
      </c>
      <c r="K89" s="2">
        <f>K12/'Output-Calculation-sheet'!K11*'Output-Calculation-sheet'!K74</f>
        <v>6.3450875951403001</v>
      </c>
      <c r="L89" s="2">
        <f>L12/'Output-Calculation-sheet'!L11*'Output-Calculation-sheet'!L74</f>
        <v>3.3635477052684295</v>
      </c>
      <c r="M89" s="2">
        <f>M12/'Output-Calculation-sheet'!M11*'Output-Calculation-sheet'!M74</f>
        <v>1.0632245908883895</v>
      </c>
      <c r="N89" s="2">
        <f>N12/'Output-Calculation-sheet'!N11*'Output-Calculation-sheet'!N74</f>
        <v>0.52248867223136553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10.136442907027885</v>
      </c>
      <c r="Q89" s="2">
        <f>Q12/'Output-Calculation-sheet'!Q11*'Output-Calculation-sheet'!Q74</f>
        <v>2.2889003654805826</v>
      </c>
      <c r="R89" s="2">
        <f>R12/'Output-Calculation-sheet'!R11*'Output-Calculation-sheet'!R74</f>
        <v>5.4477026699358326</v>
      </c>
      <c r="S89" s="2">
        <f>S12/'Output-Calculation-sheet'!S11*'Output-Calculation-sheet'!S74</f>
        <v>0.59901708823960398</v>
      </c>
      <c r="T89" s="2">
        <f>T12/'Output-Calculation-sheet'!T11*'Output-Calculation-sheet'!T74</f>
        <v>1.1756761147916537</v>
      </c>
      <c r="U89" s="2">
        <f>U12/'Output-Calculation-sheet'!U11*'Output-Calculation-sheet'!U74</f>
        <v>2.9211873663645522</v>
      </c>
      <c r="V89" s="2">
        <f>V12/'Output-Calculation-sheet'!V11*'Output-Calculation-sheet'!V74</f>
        <v>0.2252490651335245</v>
      </c>
      <c r="W89" s="2">
        <f>W12/'Output-Calculation-sheet'!W11*'Output-Calculation-sheet'!W74</f>
        <v>1.3653519972130488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1.4069731476450291</v>
      </c>
      <c r="AA89" s="2">
        <f t="shared" si="7"/>
        <v>0.13118585673786617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7972175480.2201195</v>
      </c>
      <c r="C96" s="2">
        <f>C8/'Output-Calculation-sheet'!C7*'Output-Calculation-sheet'!C79</f>
        <v>1925149974.4594684</v>
      </c>
      <c r="D96" s="2">
        <f>D8/'Output-Calculation-sheet'!D7*'Output-Calculation-sheet'!D79</f>
        <v>1562927635.8305244</v>
      </c>
      <c r="E96" s="2">
        <f>E8/'Output-Calculation-sheet'!E7*'Output-Calculation-sheet'!E79</f>
        <v>5855729559.4894829</v>
      </c>
      <c r="F96" s="2">
        <f>F8/'Output-Calculation-sheet'!F7*'Output-Calculation-sheet'!F79</f>
        <v>1708205309.2929945</v>
      </c>
      <c r="G96" s="2">
        <f>G8/'Output-Calculation-sheet'!G7*'Output-Calculation-sheet'!G79</f>
        <v>1096424336.7947216</v>
      </c>
      <c r="H96" s="2">
        <f>H8/'Output-Calculation-sheet'!H7*'Output-Calculation-sheet'!H79</f>
        <v>1350758436.4886587</v>
      </c>
      <c r="I96" s="2">
        <f>I8/'Output-Calculation-sheet'!I7*'Output-Calculation-sheet'!I79</f>
        <v>788433897.9308722</v>
      </c>
      <c r="J96" s="2">
        <f>J8/'Output-Calculation-sheet'!J7*'Output-Calculation-sheet'!J79</f>
        <v>597476652.6914438</v>
      </c>
      <c r="K96" s="2">
        <f>K8/'Output-Calculation-sheet'!K7*'Output-Calculation-sheet'!K79</f>
        <v>749314131.00206602</v>
      </c>
      <c r="L96" s="2">
        <f>L8/'Output-Calculation-sheet'!L7*'Output-Calculation-sheet'!L79</f>
        <v>680249429.65058982</v>
      </c>
      <c r="M96" s="2">
        <f>M8/'Output-Calculation-sheet'!M7*'Output-Calculation-sheet'!M79</f>
        <v>1042238064.5821861</v>
      </c>
      <c r="N96" s="2">
        <f>N8/'Output-Calculation-sheet'!N7*'Output-Calculation-sheet'!N79</f>
        <v>677524255.06986904</v>
      </c>
      <c r="O96" s="2">
        <f>O8/'Output-Calculation-sheet'!O7*'Output-Calculation-sheet'!O79</f>
        <v>254221345.87580192</v>
      </c>
      <c r="P96" s="2">
        <f>P8/'Output-Calculation-sheet'!P7*'Output-Calculation-sheet'!P79</f>
        <v>1290357514.6504567</v>
      </c>
      <c r="Q96" s="2">
        <f>Q8/'Output-Calculation-sheet'!Q7*'Output-Calculation-sheet'!Q79</f>
        <v>547843636.95705271</v>
      </c>
      <c r="R96" s="2">
        <f>R8/'Output-Calculation-sheet'!R7*'Output-Calculation-sheet'!R79</f>
        <v>727143398.51363385</v>
      </c>
      <c r="S96" s="2">
        <f>S8/'Output-Calculation-sheet'!S7*'Output-Calculation-sheet'!S79</f>
        <v>410079385.73839867</v>
      </c>
      <c r="T96" s="2">
        <f>T8/'Output-Calculation-sheet'!T7*'Output-Calculation-sheet'!T79</f>
        <v>247392297.164074</v>
      </c>
      <c r="U96" s="2">
        <f>U8/'Output-Calculation-sheet'!U7*'Output-Calculation-sheet'!U79</f>
        <v>194728770.06145176</v>
      </c>
      <c r="V96" s="2">
        <f>V8/'Output-Calculation-sheet'!V7*'Output-Calculation-sheet'!V79</f>
        <v>89373725.414588213</v>
      </c>
      <c r="W96" s="2">
        <f>W8/'Output-Calculation-sheet'!W7*'Output-Calculation-sheet'!W79</f>
        <v>275173622.27769232</v>
      </c>
      <c r="X96" s="2">
        <f>X8/'Output-Calculation-sheet'!X7*'Output-Calculation-sheet'!X79</f>
        <v>124108722.64031698</v>
      </c>
      <c r="Y96" s="2">
        <f>Y8/'Output-Calculation-sheet'!Y7*'Output-Calculation-sheet'!Y79</f>
        <v>170796435.26483756</v>
      </c>
      <c r="AA96" s="2">
        <f t="shared" si="8"/>
        <v>30.337826018061307</v>
      </c>
    </row>
    <row r="97" spans="1:27" x14ac:dyDescent="0.25">
      <c r="A97" s="2">
        <v>2032</v>
      </c>
      <c r="B97" s="2">
        <f>B9/'Output-Calculation-sheet'!B8*'Output-Calculation-sheet'!B80</f>
        <v>9121023544.9380054</v>
      </c>
      <c r="C97" s="2">
        <f>C9/'Output-Calculation-sheet'!C8*'Output-Calculation-sheet'!C80</f>
        <v>2154224416.7278767</v>
      </c>
      <c r="D97" s="2">
        <f>D9/'Output-Calculation-sheet'!D8*'Output-Calculation-sheet'!D80</f>
        <v>1645586322.3751385</v>
      </c>
      <c r="E97" s="2">
        <f>E9/'Output-Calculation-sheet'!E8*'Output-Calculation-sheet'!E80</f>
        <v>6927684807.2509699</v>
      </c>
      <c r="F97" s="2">
        <f>F9/'Output-Calculation-sheet'!F8*'Output-Calculation-sheet'!F80</f>
        <v>1899808959.5783949</v>
      </c>
      <c r="G97" s="2">
        <f>G9/'Output-Calculation-sheet'!G8*'Output-Calculation-sheet'!G80</f>
        <v>1164101683.3077059</v>
      </c>
      <c r="H97" s="2">
        <f>H9/'Output-Calculation-sheet'!H8*'Output-Calculation-sheet'!H80</f>
        <v>1524226825.0013216</v>
      </c>
      <c r="I97" s="2">
        <f>I9/'Output-Calculation-sheet'!I8*'Output-Calculation-sheet'!I80</f>
        <v>877951367.74232519</v>
      </c>
      <c r="J97" s="2">
        <f>J9/'Output-Calculation-sheet'!J8*'Output-Calculation-sheet'!J80</f>
        <v>656071735.04297614</v>
      </c>
      <c r="K97" s="2">
        <f>K9/'Output-Calculation-sheet'!K8*'Output-Calculation-sheet'!K80</f>
        <v>809159249.57179081</v>
      </c>
      <c r="L97" s="2">
        <f>L9/'Output-Calculation-sheet'!L8*'Output-Calculation-sheet'!L80</f>
        <v>780490258.82667577</v>
      </c>
      <c r="M97" s="2">
        <f>M9/'Output-Calculation-sheet'!M8*'Output-Calculation-sheet'!M80</f>
        <v>1202511717.9828053</v>
      </c>
      <c r="N97" s="2">
        <f>N9/'Output-Calculation-sheet'!N8*'Output-Calculation-sheet'!N80</f>
        <v>755544105.94429398</v>
      </c>
      <c r="O97" s="2">
        <f>O9/'Output-Calculation-sheet'!O8*'Output-Calculation-sheet'!O80</f>
        <v>280848940.41277844</v>
      </c>
      <c r="P97" s="2">
        <f>P9/'Output-Calculation-sheet'!P8*'Output-Calculation-sheet'!P80</f>
        <v>1416462548.5127583</v>
      </c>
      <c r="Q97" s="2">
        <f>Q9/'Output-Calculation-sheet'!Q8*'Output-Calculation-sheet'!Q80</f>
        <v>612669184.21613443</v>
      </c>
      <c r="R97" s="2">
        <f>R9/'Output-Calculation-sheet'!R8*'Output-Calculation-sheet'!R80</f>
        <v>820981298.77919161</v>
      </c>
      <c r="S97" s="2">
        <f>S9/'Output-Calculation-sheet'!S8*'Output-Calculation-sheet'!S80</f>
        <v>456926524.20375597</v>
      </c>
      <c r="T97" s="2">
        <f>T9/'Output-Calculation-sheet'!T8*'Output-Calculation-sheet'!T80</f>
        <v>266430751.48975256</v>
      </c>
      <c r="U97" s="2">
        <f>U9/'Output-Calculation-sheet'!U8*'Output-Calculation-sheet'!U80</f>
        <v>212005083.31667513</v>
      </c>
      <c r="V97" s="2">
        <f>V9/'Output-Calculation-sheet'!V8*'Output-Calculation-sheet'!V80</f>
        <v>97789030.530162483</v>
      </c>
      <c r="W97" s="2">
        <f>W9/'Output-Calculation-sheet'!W8*'Output-Calculation-sheet'!W80</f>
        <v>302607179.90458876</v>
      </c>
      <c r="X97" s="2">
        <f>X9/'Output-Calculation-sheet'!X8*'Output-Calculation-sheet'!X80</f>
        <v>146561829.87037829</v>
      </c>
      <c r="Y97" s="2">
        <f>Y9/'Output-Calculation-sheet'!Y8*'Output-Calculation-sheet'!Y80</f>
        <v>192392669.91725186</v>
      </c>
      <c r="AA97" s="2">
        <f t="shared" si="8"/>
        <v>34.324060035443701</v>
      </c>
    </row>
    <row r="98" spans="1:27" x14ac:dyDescent="0.25">
      <c r="A98" s="2">
        <v>2033</v>
      </c>
      <c r="B98" s="2">
        <f>B10/'Output-Calculation-sheet'!B9*'Output-Calculation-sheet'!B81</f>
        <v>9148959633.1024437</v>
      </c>
      <c r="C98" s="2">
        <f>C10/'Output-Calculation-sheet'!C9*'Output-Calculation-sheet'!C81</f>
        <v>2118543406.5542753</v>
      </c>
      <c r="D98" s="2">
        <f>D10/'Output-Calculation-sheet'!D9*'Output-Calculation-sheet'!D81</f>
        <v>1524066435.1218419</v>
      </c>
      <c r="E98" s="2">
        <f>E10/'Output-Calculation-sheet'!E9*'Output-Calculation-sheet'!E81</f>
        <v>7194181953.2028656</v>
      </c>
      <c r="F98" s="2">
        <f>F10/'Output-Calculation-sheet'!F9*'Output-Calculation-sheet'!F81</f>
        <v>1853585713.4243305</v>
      </c>
      <c r="G98" s="2">
        <f>G10/'Output-Calculation-sheet'!G9*'Output-Calculation-sheet'!G81</f>
        <v>1082904866.8574219</v>
      </c>
      <c r="H98" s="2">
        <f>H10/'Output-Calculation-sheet'!H9*'Output-Calculation-sheet'!H81</f>
        <v>1507571346.9274268</v>
      </c>
      <c r="I98" s="2">
        <f>I10/'Output-Calculation-sheet'!I9*'Output-Calculation-sheet'!I81</f>
        <v>859151386.4291085</v>
      </c>
      <c r="J98" s="2">
        <f>J10/'Output-Calculation-sheet'!J9*'Output-Calculation-sheet'!J81</f>
        <v>633788639.16788673</v>
      </c>
      <c r="K98" s="2">
        <f>K10/'Output-Calculation-sheet'!K9*'Output-Calculation-sheet'!K81</f>
        <v>767487044.37483895</v>
      </c>
      <c r="L98" s="2">
        <f>L10/'Output-Calculation-sheet'!L9*'Output-Calculation-sheet'!L81</f>
        <v>786599153.42035544</v>
      </c>
      <c r="M98" s="2">
        <f>M10/'Output-Calculation-sheet'!M9*'Output-Calculation-sheet'!M81</f>
        <v>1218950190.82463</v>
      </c>
      <c r="N98" s="2">
        <f>N10/'Output-Calculation-sheet'!N9*'Output-Calculation-sheet'!N81</f>
        <v>740773456.32378197</v>
      </c>
      <c r="O98" s="2">
        <f>O10/'Output-Calculation-sheet'!O9*'Output-Calculation-sheet'!O81</f>
        <v>273219119.97235703</v>
      </c>
      <c r="P98" s="2">
        <f>P10/'Output-Calculation-sheet'!P9*'Output-Calculation-sheet'!P81</f>
        <v>1355451812.5229363</v>
      </c>
      <c r="Q98" s="2">
        <f>Q10/'Output-Calculation-sheet'!Q9*'Output-Calculation-sheet'!Q81</f>
        <v>602271133.78556383</v>
      </c>
      <c r="R98" s="2">
        <f>R10/'Output-Calculation-sheet'!R9*'Output-Calculation-sheet'!R81</f>
        <v>812932023.98098958</v>
      </c>
      <c r="S98" s="2">
        <f>S10/'Output-Calculation-sheet'!S9*'Output-Calculation-sheet'!S81</f>
        <v>446461258.84759933</v>
      </c>
      <c r="T98" s="2">
        <f>T10/'Output-Calculation-sheet'!T9*'Output-Calculation-sheet'!T81</f>
        <v>251542134.88648829</v>
      </c>
      <c r="U98" s="2">
        <f>U10/'Output-Calculation-sheet'!U9*'Output-Calculation-sheet'!U81</f>
        <v>202121806.00753927</v>
      </c>
      <c r="V98" s="2">
        <f>V10/'Output-Calculation-sheet'!V9*'Output-Calculation-sheet'!V81</f>
        <v>93874676.330481768</v>
      </c>
      <c r="W98" s="2">
        <f>W10/'Output-Calculation-sheet'!W9*'Output-Calculation-sheet'!W81</f>
        <v>290307835.99681622</v>
      </c>
      <c r="X98" s="2">
        <f>X10/'Output-Calculation-sheet'!X9*'Output-Calculation-sheet'!X81</f>
        <v>152189271.94494608</v>
      </c>
      <c r="Y98" s="2">
        <f>Y10/'Output-Calculation-sheet'!Y9*'Output-Calculation-sheet'!Y81</f>
        <v>189472337.77366871</v>
      </c>
      <c r="AA98" s="2">
        <f t="shared" si="8"/>
        <v>34.106406637780601</v>
      </c>
    </row>
    <row r="99" spans="1:27" x14ac:dyDescent="0.25">
      <c r="A99" s="2">
        <v>2034</v>
      </c>
      <c r="B99" s="2">
        <f>B11/'Output-Calculation-sheet'!B10*'Output-Calculation-sheet'!B82</f>
        <v>8143688213.9883862</v>
      </c>
      <c r="C99" s="2">
        <f>C11/'Output-Calculation-sheet'!C10*'Output-Calculation-sheet'!C82</f>
        <v>1853774222.5175591</v>
      </c>
      <c r="D99" s="2">
        <f>D11/'Output-Calculation-sheet'!D10*'Output-Calculation-sheet'!D82</f>
        <v>1257463298.6897681</v>
      </c>
      <c r="E99" s="2">
        <f>E11/'Output-Calculation-sheet'!E10*'Output-Calculation-sheet'!E82</f>
        <v>6636682580.573103</v>
      </c>
      <c r="F99" s="2">
        <f>F11/'Output-Calculation-sheet'!F10*'Output-Calculation-sheet'!F82</f>
        <v>1606450081.7852275</v>
      </c>
      <c r="G99" s="2">
        <f>G11/'Output-Calculation-sheet'!G10*'Output-Calculation-sheet'!G82</f>
        <v>894088005.81438136</v>
      </c>
      <c r="H99" s="2">
        <f>H11/'Output-Calculation-sheet'!H10*'Output-Calculation-sheet'!H82</f>
        <v>1323019241.6333191</v>
      </c>
      <c r="I99" s="2">
        <f>I11/'Output-Calculation-sheet'!I10*'Output-Calculation-sheet'!I82</f>
        <v>748107677.54457486</v>
      </c>
      <c r="J99" s="2">
        <f>J11/'Output-Calculation-sheet'!J10*'Output-Calculation-sheet'!J82</f>
        <v>545365285.61361516</v>
      </c>
      <c r="K99" s="2">
        <f>K11/'Output-Calculation-sheet'!K10*'Output-Calculation-sheet'!K82</f>
        <v>647542810.89779234</v>
      </c>
      <c r="L99" s="2">
        <f>L11/'Output-Calculation-sheet'!L10*'Output-Calculation-sheet'!L82</f>
        <v>704908300.04827034</v>
      </c>
      <c r="M99" s="2">
        <f>M11/'Output-Calculation-sheet'!M10*'Output-Calculation-sheet'!M82</f>
        <v>1098848027.3045733</v>
      </c>
      <c r="N99" s="2">
        <f>N11/'Output-Calculation-sheet'!N10*'Output-Calculation-sheet'!N82</f>
        <v>646529540.86292315</v>
      </c>
      <c r="O99" s="2">
        <f>O11/'Output-Calculation-sheet'!O10*'Output-Calculation-sheet'!O82</f>
        <v>236951584.45121649</v>
      </c>
      <c r="P99" s="2">
        <f>P11/'Output-Calculation-sheet'!P10*'Output-Calculation-sheet'!P82</f>
        <v>1145341926.3000336</v>
      </c>
      <c r="Q99" s="2">
        <f>Q11/'Output-Calculation-sheet'!Q10*'Output-Calculation-sheet'!Q82</f>
        <v>526843758.4446016</v>
      </c>
      <c r="R99" s="2">
        <f>R11/'Output-Calculation-sheet'!R10*'Output-Calculation-sheet'!R82</f>
        <v>714651117.90540814</v>
      </c>
      <c r="S99" s="2">
        <f>S11/'Output-Calculation-sheet'!S10*'Output-Calculation-sheet'!S82</f>
        <v>387279984.17694521</v>
      </c>
      <c r="T99" s="2">
        <f>T11/'Output-Calculation-sheet'!T10*'Output-Calculation-sheet'!T82</f>
        <v>210889276.31149644</v>
      </c>
      <c r="U99" s="2">
        <f>U11/'Output-Calculation-sheet'!U10*'Output-Calculation-sheet'!U82</f>
        <v>170912177.24199086</v>
      </c>
      <c r="V99" s="2">
        <f>V11/'Output-Calculation-sheet'!V10*'Output-Calculation-sheet'!V82</f>
        <v>80058805.431376457</v>
      </c>
      <c r="W99" s="2">
        <f>W11/'Output-Calculation-sheet'!W10*'Output-Calculation-sheet'!W82</f>
        <v>246100678.32359859</v>
      </c>
      <c r="X99" s="2">
        <f>X11/'Output-Calculation-sheet'!X10*'Output-Calculation-sheet'!X82</f>
        <v>140656090.83065709</v>
      </c>
      <c r="Y99" s="2">
        <f>Y11/'Output-Calculation-sheet'!Y10*'Output-Calculation-sheet'!Y82</f>
        <v>165183299.1581986</v>
      </c>
      <c r="AA99" s="2">
        <f t="shared" si="8"/>
        <v>30.131335985849017</v>
      </c>
    </row>
    <row r="100" spans="1:27" x14ac:dyDescent="0.25">
      <c r="A100" s="2">
        <v>2035</v>
      </c>
      <c r="B100" s="2">
        <f>B12/'Output-Calculation-sheet'!B11*'Output-Calculation-sheet'!B83</f>
        <v>6394888838.1098757</v>
      </c>
      <c r="C100" s="2">
        <f>C12/'Output-Calculation-sheet'!C11*'Output-Calculation-sheet'!C83</f>
        <v>1435034257.2155044</v>
      </c>
      <c r="D100" s="2">
        <f>D12/'Output-Calculation-sheet'!D11*'Output-Calculation-sheet'!D83</f>
        <v>919254638.20591903</v>
      </c>
      <c r="E100" s="2">
        <f>E12/'Output-Calculation-sheet'!E11*'Output-Calculation-sheet'!E83</f>
        <v>5405745877.4968214</v>
      </c>
      <c r="F100" s="2">
        <f>F12/'Output-Calculation-sheet'!F11*'Output-Calculation-sheet'!F83</f>
        <v>1229872108.9684992</v>
      </c>
      <c r="G100" s="2">
        <f>G12/'Output-Calculation-sheet'!G11*'Output-Calculation-sheet'!G83</f>
        <v>651793189.87586129</v>
      </c>
      <c r="H100" s="2">
        <f>H12/'Output-Calculation-sheet'!H11*'Output-Calculation-sheet'!H83</f>
        <v>1024231832.86631</v>
      </c>
      <c r="I100" s="2">
        <f>I12/'Output-Calculation-sheet'!I11*'Output-Calculation-sheet'!I83</f>
        <v>576384785.0722121</v>
      </c>
      <c r="J100" s="2">
        <f>J12/'Output-Calculation-sheet'!J11*'Output-Calculation-sheet'!J83</f>
        <v>415641486.42438942</v>
      </c>
      <c r="K100" s="2">
        <f>K12/'Output-Calculation-sheet'!K11*'Output-Calculation-sheet'!K83</f>
        <v>483352205.26906741</v>
      </c>
      <c r="L100" s="2">
        <f>L12/'Output-Calculation-sheet'!L11*'Output-Calculation-sheet'!L83</f>
        <v>558440631.80865633</v>
      </c>
      <c r="M100" s="2">
        <f>M12/'Output-Calculation-sheet'!M11*'Output-Calculation-sheet'!M83</f>
        <v>875764273.59508491</v>
      </c>
      <c r="N100" s="2">
        <f>N12/'Output-Calculation-sheet'!N11*'Output-Calculation-sheet'!N83</f>
        <v>499468605.06585991</v>
      </c>
      <c r="O100" s="2">
        <f>O12/'Output-Calculation-sheet'!O11*'Output-Calculation-sheet'!O83</f>
        <v>182140497.54273298</v>
      </c>
      <c r="P100" s="2">
        <f>P12/'Output-Calculation-sheet'!P11*'Output-Calculation-sheet'!P83</f>
        <v>850332197.52560234</v>
      </c>
      <c r="Q100" s="2">
        <f>Q12/'Output-Calculation-sheet'!Q11*'Output-Calculation-sheet'!Q83</f>
        <v>407734227.94303709</v>
      </c>
      <c r="R100" s="2">
        <f>R12/'Output-Calculation-sheet'!R11*'Output-Calculation-sheet'!R83</f>
        <v>554548893.28611803</v>
      </c>
      <c r="S100" s="2">
        <f>S12/'Output-Calculation-sheet'!S11*'Output-Calculation-sheet'!S83</f>
        <v>296544098.4026674</v>
      </c>
      <c r="T100" s="2">
        <f>T12/'Output-Calculation-sheet'!T11*'Output-Calculation-sheet'!T83</f>
        <v>156190066.63827428</v>
      </c>
      <c r="U100" s="2">
        <f>U12/'Output-Calculation-sheet'!U11*'Output-Calculation-sheet'!U83</f>
        <v>127507097.23162515</v>
      </c>
      <c r="V100" s="2">
        <f>V12/'Output-Calculation-sheet'!V11*'Output-Calculation-sheet'!V83</f>
        <v>60319503.464372806</v>
      </c>
      <c r="W100" s="2">
        <f>W12/'Output-Calculation-sheet'!W11*'Output-Calculation-sheet'!W83</f>
        <v>183413292.71876034</v>
      </c>
      <c r="X100" s="2">
        <f>X12/'Output-Calculation-sheet'!X11*'Output-Calculation-sheet'!X83</f>
        <v>115020297.2350682</v>
      </c>
      <c r="Y100" s="2">
        <f>Y12/'Output-Calculation-sheet'!Y11*'Output-Calculation-sheet'!Y83</f>
        <v>126787359.15869918</v>
      </c>
      <c r="AA100" s="2">
        <f t="shared" si="8"/>
        <v>23.530410261121027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1650.5587359768172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508.0931709469736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349.61754899656506</v>
      </c>
      <c r="N107" s="2">
        <f>N8/'Output-Calculation-sheet'!N7*'Output-Calculation-sheet'!N88</f>
        <v>137.44694058392056</v>
      </c>
      <c r="O107" s="2">
        <f>O8/'Output-Calculation-sheet'!O7*'Output-Calculation-sheet'!O88</f>
        <v>384.78925028222886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38.353772270708696</v>
      </c>
      <c r="Y107" s="2">
        <f>Y8/'Output-Calculation-sheet'!Y7*'Output-Calculation-sheet'!Y88</f>
        <v>0</v>
      </c>
      <c r="AA107" s="2">
        <f t="shared" si="9"/>
        <v>3.0688594190572136</v>
      </c>
    </row>
    <row r="108" spans="1:27" x14ac:dyDescent="0.25">
      <c r="A108" s="2">
        <v>2032</v>
      </c>
      <c r="B108" s="2">
        <f>B9/'Output-Calculation-sheet'!B8*'Output-Calculation-sheet'!B89</f>
        <v>694.23102155906338</v>
      </c>
      <c r="C108" s="2">
        <f>C9/'Output-Calculation-sheet'!C8*'Output-Calculation-sheet'!C89</f>
        <v>2635.9848887095254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710.0081657470306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488.55471568998911</v>
      </c>
      <c r="N108" s="2">
        <f>N9/'Output-Calculation-sheet'!N8*'Output-Calculation-sheet'!N89</f>
        <v>342.97861013803259</v>
      </c>
      <c r="O108" s="2">
        <f>O9/'Output-Calculation-sheet'!O8*'Output-Calculation-sheet'!O89</f>
        <v>512.09863412381128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157.28574362842789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53.59546842295029</v>
      </c>
      <c r="Y108" s="2">
        <f>Y9/'Output-Calculation-sheet'!Y8*'Output-Calculation-sheet'!Y89</f>
        <v>0</v>
      </c>
      <c r="AA108" s="2">
        <f t="shared" si="9"/>
        <v>5.5947372480188298</v>
      </c>
    </row>
    <row r="109" spans="1:27" x14ac:dyDescent="0.25">
      <c r="A109" s="2">
        <v>2033</v>
      </c>
      <c r="B109" s="2">
        <f>B10/'Output-Calculation-sheet'!B9*'Output-Calculation-sheet'!B90</f>
        <v>3180.7266893964993</v>
      </c>
      <c r="C109" s="2">
        <f>C10/'Output-Calculation-sheet'!C9*'Output-Calculation-sheet'!C90</f>
        <v>3019.2930119771845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929.43203233881968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639.53969013117637</v>
      </c>
      <c r="N109" s="2">
        <f>N10/'Output-Calculation-sheet'!N9*'Output-Calculation-sheet'!N90</f>
        <v>502.85103847222734</v>
      </c>
      <c r="O109" s="2">
        <f>O10/'Output-Calculation-sheet'!O9*'Output-Calculation-sheet'!O90</f>
        <v>586.56475387081252</v>
      </c>
      <c r="P109" s="2">
        <f>P10/'Output-Calculation-sheet'!P9*'Output-Calculation-sheet'!P90</f>
        <v>0</v>
      </c>
      <c r="Q109" s="2">
        <f>Q10/'Output-Calculation-sheet'!Q9*'Output-Calculation-sheet'!Q90</f>
        <v>110.14362482022413</v>
      </c>
      <c r="R109" s="2">
        <f>R10/'Output-Calculation-sheet'!R9*'Output-Calculation-sheet'!R90</f>
        <v>0</v>
      </c>
      <c r="S109" s="2">
        <f>S10/'Output-Calculation-sheet'!S9*'Output-Calculation-sheet'!S90</f>
        <v>252.22012770900591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70.15883414253824</v>
      </c>
      <c r="Y109" s="2">
        <f>Y10/'Output-Calculation-sheet'!Y9*'Output-Calculation-sheet'!Y90</f>
        <v>0</v>
      </c>
      <c r="AA109" s="2">
        <f t="shared" si="9"/>
        <v>9.2909298028584875</v>
      </c>
    </row>
    <row r="110" spans="1:27" x14ac:dyDescent="0.25">
      <c r="A110" s="2">
        <v>2034</v>
      </c>
      <c r="B110" s="2">
        <f>B11/'Output-Calculation-sheet'!B10*'Output-Calculation-sheet'!B91</f>
        <v>4813.9371840564745</v>
      </c>
      <c r="C110" s="2">
        <f>C11/'Output-Calculation-sheet'!C10*'Output-Calculation-sheet'!C91</f>
        <v>3300.2753449889547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937.77886993447805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645.2831267072429</v>
      </c>
      <c r="N110" s="2">
        <f>N11/'Output-Calculation-sheet'!N10*'Output-Calculation-sheet'!N91</f>
        <v>581.35794273617068</v>
      </c>
      <c r="O110" s="2">
        <f>O11/'Output-Calculation-sheet'!O10*'Output-Calculation-sheet'!O91</f>
        <v>641.15181526276649</v>
      </c>
      <c r="P110" s="2">
        <f>P11/'Output-Calculation-sheet'!P10*'Output-Calculation-sheet'!P91</f>
        <v>146.47435172099804</v>
      </c>
      <c r="Q110" s="2">
        <f>Q11/'Output-Calculation-sheet'!Q10*'Output-Calculation-sheet'!Q91</f>
        <v>324.13727010307474</v>
      </c>
      <c r="R110" s="2">
        <f>R11/'Output-Calculation-sheet'!R10*'Output-Calculation-sheet'!R91</f>
        <v>0</v>
      </c>
      <c r="S110" s="2">
        <f>S11/'Output-Calculation-sheet'!S10*'Output-Calculation-sheet'!S91</f>
        <v>333.25444224040541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70.788901080316251</v>
      </c>
      <c r="Y110" s="2">
        <f>Y11/'Output-Calculation-sheet'!Y10*'Output-Calculation-sheet'!Y91</f>
        <v>11.385440601305293</v>
      </c>
      <c r="AA110" s="2">
        <f t="shared" si="9"/>
        <v>11.805824689432187</v>
      </c>
    </row>
    <row r="111" spans="1:27" x14ac:dyDescent="0.25">
      <c r="A111" s="2">
        <v>2035</v>
      </c>
      <c r="B111" s="2">
        <f>B12/'Output-Calculation-sheet'!B11*'Output-Calculation-sheet'!B92</f>
        <v>5700.3644688454096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952.34107029255881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334.50261593192016</v>
      </c>
      <c r="Q111" s="2">
        <f>Q12/'Output-Calculation-sheet'!Q11*'Output-Calculation-sheet'!Q92</f>
        <v>387.73972191241069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26.000863768480137</v>
      </c>
      <c r="AA111" s="2">
        <f t="shared" si="9"/>
        <v>13.385987989168511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7759246607.6681814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2387360885.7970204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1658227862.0129395</v>
      </c>
      <c r="N118" s="2">
        <f>N8/'Output-Calculation-sheet'!N7*'Output-Calculation-sheet'!N97</f>
        <v>1301236069.3734105</v>
      </c>
      <c r="O118" s="2">
        <f>O8/'Output-Calculation-sheet'!O7*'Output-Calculation-sheet'!O97</f>
        <v>865857435.0971961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471030812.38925481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178725490.55568331</v>
      </c>
      <c r="Y118" s="2">
        <f>Y8/'Output-Calculation-sheet'!Y7*'Output-Calculation-sheet'!Y97</f>
        <v>0</v>
      </c>
      <c r="AA118" s="2">
        <f t="shared" si="10"/>
        <v>15945.311429561652</v>
      </c>
    </row>
    <row r="119" spans="1:27" x14ac:dyDescent="0.25">
      <c r="A119" s="2">
        <v>2032</v>
      </c>
      <c r="B119" s="2">
        <f>B9/'Output-Calculation-sheet'!B8*'Output-Calculation-sheet'!B98</f>
        <v>5208157187.6852655</v>
      </c>
      <c r="C119" s="2">
        <f>C9/'Output-Calculation-sheet'!C8*'Output-Calculation-sheet'!C98</f>
        <v>4139548529.6313152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2474631373.3386493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1727301965.8975415</v>
      </c>
      <c r="N119" s="2">
        <f>N9/'Output-Calculation-sheet'!N8*'Output-Calculation-sheet'!N98</f>
        <v>1166491633.5642366</v>
      </c>
      <c r="O119" s="2">
        <f>O9/'Output-Calculation-sheet'!O8*'Output-Calculation-sheet'!O98</f>
        <v>808791291.0929563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484252624.15320075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184827502.79926953</v>
      </c>
      <c r="Y119" s="2">
        <f>Y9/'Output-Calculation-sheet'!Y8*'Output-Calculation-sheet'!Y98</f>
        <v>0</v>
      </c>
      <c r="AA119" s="2">
        <f t="shared" si="10"/>
        <v>16194.002108162435</v>
      </c>
    </row>
    <row r="120" spans="1:27" x14ac:dyDescent="0.25">
      <c r="A120" s="2">
        <v>2033</v>
      </c>
      <c r="B120" s="2">
        <f>B10/'Output-Calculation-sheet'!B9*'Output-Calculation-sheet'!B99</f>
        <v>4575899164.2011909</v>
      </c>
      <c r="C120" s="2">
        <f>C10/'Output-Calculation-sheet'!C9*'Output-Calculation-sheet'!C99</f>
        <v>3761673248.7183547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1233363549.2411385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872984966.16547406</v>
      </c>
      <c r="N120" s="2">
        <f>N10/'Output-Calculation-sheet'!N9*'Output-Calculation-sheet'!N99</f>
        <v>870447392.34473896</v>
      </c>
      <c r="O120" s="2">
        <f>O10/'Output-Calculation-sheet'!O9*'Output-Calculation-sheet'!O99</f>
        <v>736454596.94807088</v>
      </c>
      <c r="P120" s="2">
        <f>P10/'Output-Calculation-sheet'!P9*'Output-Calculation-sheet'!P99</f>
        <v>0</v>
      </c>
      <c r="Q120" s="2">
        <f>Q10/'Output-Calculation-sheet'!Q9*'Output-Calculation-sheet'!Q99</f>
        <v>5320836.9729729388</v>
      </c>
      <c r="R120" s="2">
        <f>R10/'Output-Calculation-sheet'!R9*'Output-Calculation-sheet'!R99</f>
        <v>0</v>
      </c>
      <c r="S120" s="2">
        <f>S10/'Output-Calculation-sheet'!S9*'Output-Calculation-sheet'!S99</f>
        <v>364571981.34672016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-6.02243576334937E-9</v>
      </c>
      <c r="W120" s="2">
        <f>W10/'Output-Calculation-sheet'!W9*'Output-Calculation-sheet'!W99</f>
        <v>0</v>
      </c>
      <c r="X120" s="2">
        <f>X10/'Output-Calculation-sheet'!X9*'Output-Calculation-sheet'!X99</f>
        <v>87171422.045339808</v>
      </c>
      <c r="Y120" s="2">
        <f>Y10/'Output-Calculation-sheet'!Y9*'Output-Calculation-sheet'!Y99</f>
        <v>0</v>
      </c>
      <c r="AA120" s="2">
        <f t="shared" si="10"/>
        <v>12507.887157984002</v>
      </c>
    </row>
    <row r="121" spans="1:27" x14ac:dyDescent="0.25">
      <c r="A121" s="2">
        <v>2034</v>
      </c>
      <c r="B121" s="2">
        <f>B11/'Output-Calculation-sheet'!B10*'Output-Calculation-sheet'!B100</f>
        <v>3609256002.9387298</v>
      </c>
      <c r="C121" s="2">
        <f>C11/'Output-Calculation-sheet'!C10*'Output-Calculation-sheet'!C100</f>
        <v>433256916.25135064</v>
      </c>
      <c r="D121" s="2">
        <f>D11/'Output-Calculation-sheet'!D10*'Output-Calculation-sheet'!D100</f>
        <v>0</v>
      </c>
      <c r="E121" s="2">
        <f>E11/'Output-Calculation-sheet'!E10*'Output-Calculation-sheet'!E100</f>
        <v>501150623.51656646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1140805965.4508986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416405170.12678844</v>
      </c>
      <c r="M121" s="2">
        <f>M11/'Output-Calculation-sheet'!M10*'Output-Calculation-sheet'!M100</f>
        <v>811907241.78688347</v>
      </c>
      <c r="N121" s="2">
        <f>N11/'Output-Calculation-sheet'!N10*'Output-Calculation-sheet'!N100</f>
        <v>541280416.54520512</v>
      </c>
      <c r="O121" s="2">
        <f>O11/'Output-Calculation-sheet'!O10*'Output-Calculation-sheet'!O100</f>
        <v>84984769.189775303</v>
      </c>
      <c r="P121" s="2">
        <f>P11/'Output-Calculation-sheet'!P10*'Output-Calculation-sheet'!P100</f>
        <v>0</v>
      </c>
      <c r="Q121" s="2">
        <f>Q11/'Output-Calculation-sheet'!Q10*'Output-Calculation-sheet'!Q100</f>
        <v>183921440.59818035</v>
      </c>
      <c r="R121" s="2">
        <f>R11/'Output-Calculation-sheet'!R10*'Output-Calculation-sheet'!R100</f>
        <v>0</v>
      </c>
      <c r="S121" s="2">
        <f>S11/'Output-Calculation-sheet'!S10*'Output-Calculation-sheet'!S100</f>
        <v>202380740.68539315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79775567.394735366</v>
      </c>
      <c r="Y121" s="2">
        <f>Y11/'Output-Calculation-sheet'!Y10*'Output-Calculation-sheet'!Y100</f>
        <v>11577625.360026676</v>
      </c>
      <c r="AA121" s="2">
        <f t="shared" si="10"/>
        <v>8016.7024798445327</v>
      </c>
    </row>
    <row r="122" spans="1:27" x14ac:dyDescent="0.25">
      <c r="A122" s="2">
        <v>2035</v>
      </c>
      <c r="B122" s="2">
        <f>B12/'Output-Calculation-sheet'!B11*'Output-Calculation-sheet'!B101</f>
        <v>1472220651.9066014</v>
      </c>
      <c r="C122" s="2">
        <f>C12/'Output-Calculation-sheet'!C11*'Output-Calculation-sheet'!C101</f>
        <v>127980338.4896476</v>
      </c>
      <c r="D122" s="2">
        <f>D12/'Output-Calculation-sheet'!D11*'Output-Calculation-sheet'!D101</f>
        <v>0</v>
      </c>
      <c r="E122" s="2">
        <f>E12/'Output-Calculation-sheet'!E11*'Output-Calculation-sheet'!E101</f>
        <v>1146403620.9731412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217007054.86046627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795716723.00048923</v>
      </c>
      <c r="M122" s="2">
        <f>M12/'Output-Calculation-sheet'!M11*'Output-Calculation-sheet'!M101</f>
        <v>199072803.11375806</v>
      </c>
      <c r="N122" s="2">
        <f>N12/'Output-Calculation-sheet'!N11*'Output-Calculation-sheet'!N101</f>
        <v>165472632.73547846</v>
      </c>
      <c r="O122" s="2">
        <f>O12/'Output-Calculation-sheet'!O11*'Output-Calculation-sheet'!O101</f>
        <v>22691676.880843312</v>
      </c>
      <c r="P122" s="2">
        <f>P12/'Output-Calculation-sheet'!P11*'Output-Calculation-sheet'!P101</f>
        <v>51499935.865082085</v>
      </c>
      <c r="Q122" s="2">
        <f>Q12/'Output-Calculation-sheet'!Q11*'Output-Calculation-sheet'!Q101</f>
        <v>254427160.59170318</v>
      </c>
      <c r="R122" s="2">
        <f>R12/'Output-Calculation-sheet'!R11*'Output-Calculation-sheet'!R101</f>
        <v>0</v>
      </c>
      <c r="S122" s="2">
        <f>S12/'Output-Calculation-sheet'!S11*'Output-Calculation-sheet'!S101</f>
        <v>69126841.54054001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6392541.0766654862</v>
      </c>
      <c r="Y122" s="2">
        <f>Y12/'Output-Calculation-sheet'!Y11*'Output-Calculation-sheet'!Y101</f>
        <v>29486549.695489246</v>
      </c>
      <c r="AA122" s="2">
        <f t="shared" si="10"/>
        <v>4557.4985307299057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2159290544.0607905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2166984929.9822206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141933.82508574566</v>
      </c>
    </row>
    <row r="130" spans="1:27" x14ac:dyDescent="0.25">
      <c r="A130" s="2">
        <v>2032</v>
      </c>
      <c r="B130" s="2">
        <f>B9/'Output-Calculation-sheet'!B8*'Output-Calculation-sheet'!B107</f>
        <v>47130839158.356407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1714627576.3373809</v>
      </c>
      <c r="O130" s="2">
        <f>O9/'Output-Calculation-sheet'!O8*'Output-Calculation-sheet'!O107</f>
        <v>0</v>
      </c>
      <c r="P130" s="2">
        <f>P9/'Output-Calculation-sheet'!P8*'Output-Calculation-sheet'!P107</f>
        <v>5231948962.3032684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1523378813.8811672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165982.81380293675</v>
      </c>
    </row>
    <row r="131" spans="1:27" x14ac:dyDescent="0.25">
      <c r="A131" s="2">
        <v>2033</v>
      </c>
      <c r="B131" s="2">
        <f>B10/'Output-Calculation-sheet'!B9*'Output-Calculation-sheet'!B108</f>
        <v>34134815284.104408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1250618287.44554</v>
      </c>
      <c r="O131" s="2">
        <f>O10/'Output-Calculation-sheet'!O9*'Output-Calculation-sheet'!O108</f>
        <v>0</v>
      </c>
      <c r="P131" s="2">
        <f>P10/'Output-Calculation-sheet'!P9*'Output-Calculation-sheet'!P108</f>
        <v>5752743509.4634924</v>
      </c>
      <c r="Q131" s="2">
        <f>Q10/'Output-Calculation-sheet'!Q9*'Output-Calculation-sheet'!Q108</f>
        <v>4852861594.2731771</v>
      </c>
      <c r="R131" s="2">
        <f>R10/'Output-Calculation-sheet'!R9*'Output-Calculation-sheet'!R108</f>
        <v>5445021103.8999043</v>
      </c>
      <c r="S131" s="2">
        <f>S10/'Output-Calculation-sheet'!S9*'Output-Calculation-sheet'!S108</f>
        <v>1213094584.9241261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162919.88443058194</v>
      </c>
    </row>
    <row r="132" spans="1:27" x14ac:dyDescent="0.25">
      <c r="A132" s="2">
        <v>2034</v>
      </c>
      <c r="B132" s="2">
        <f>B11/'Output-Calculation-sheet'!B10*'Output-Calculation-sheet'!B109</f>
        <v>20977262688.176277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20252075054.328457</v>
      </c>
      <c r="F132" s="2">
        <f>F11/'Output-Calculation-sheet'!F10*'Output-Calculation-sheet'!F109</f>
        <v>13357306743.725998</v>
      </c>
      <c r="G132" s="2">
        <f>G11/'Output-Calculation-sheet'!G10*'Output-Calculation-sheet'!G109</f>
        <v>9359070587.642313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8322438617.8513784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6195960385.3375397</v>
      </c>
      <c r="M132" s="2">
        <f>M11/'Output-Calculation-sheet'!M10*'Output-Calculation-sheet'!M109</f>
        <v>0</v>
      </c>
      <c r="N132" s="2">
        <f>N11/'Output-Calculation-sheet'!N10*'Output-Calculation-sheet'!N109</f>
        <v>814730258.43137729</v>
      </c>
      <c r="O132" s="2">
        <f>O11/'Output-Calculation-sheet'!O10*'Output-Calculation-sheet'!O109</f>
        <v>0</v>
      </c>
      <c r="P132" s="2">
        <f>P11/'Output-Calculation-sheet'!P10*'Output-Calculation-sheet'!P109</f>
        <v>4629075225.8701973</v>
      </c>
      <c r="Q132" s="2">
        <f>Q11/'Output-Calculation-sheet'!Q10*'Output-Calculation-sheet'!Q109</f>
        <v>2980740477.0504084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559157674.28170669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1663215508.8141198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582836377.84450281</v>
      </c>
      <c r="AA132" s="2">
        <f t="shared" si="11"/>
        <v>142401.59957962274</v>
      </c>
    </row>
    <row r="133" spans="1:27" x14ac:dyDescent="0.25">
      <c r="A133" s="2">
        <v>2035</v>
      </c>
      <c r="B133" s="2">
        <f>B12/'Output-Calculation-sheet'!B11*'Output-Calculation-sheet'!B110</f>
        <v>4234546415.5463018</v>
      </c>
      <c r="C133" s="2">
        <f>C12/'Output-Calculation-sheet'!C11*'Output-Calculation-sheet'!C110</f>
        <v>0</v>
      </c>
      <c r="D133" s="2">
        <f>D12/'Output-Calculation-sheet'!D11*'Output-Calculation-sheet'!D110</f>
        <v>20139393251.626957</v>
      </c>
      <c r="E133" s="2">
        <f>E12/'Output-Calculation-sheet'!E11*'Output-Calculation-sheet'!E110</f>
        <v>10717001498.781813</v>
      </c>
      <c r="F133" s="2">
        <f>F12/'Output-Calculation-sheet'!F11*'Output-Calculation-sheet'!F110</f>
        <v>10653561745.577433</v>
      </c>
      <c r="G133" s="2">
        <f>G12/'Output-Calculation-sheet'!G11*'Output-Calculation-sheet'!G110</f>
        <v>7217758891.146636</v>
      </c>
      <c r="H133" s="2">
        <f>H12/'Output-Calculation-sheet'!H11*'Output-Calculation-sheet'!H110</f>
        <v>0</v>
      </c>
      <c r="I133" s="2">
        <f>I12/'Output-Calculation-sheet'!I11*'Output-Calculation-sheet'!I110</f>
        <v>6622944859.7922802</v>
      </c>
      <c r="J133" s="2">
        <f>J12/'Output-Calculation-sheet'!J11*'Output-Calculation-sheet'!J110</f>
        <v>6634346378.1957798</v>
      </c>
      <c r="K133" s="2">
        <f>K12/'Output-Calculation-sheet'!K11*'Output-Calculation-sheet'!K110</f>
        <v>6509519130.1488953</v>
      </c>
      <c r="L133" s="2">
        <f>L12/'Output-Calculation-sheet'!L11*'Output-Calculation-sheet'!L110</f>
        <v>4678412320.021143</v>
      </c>
      <c r="M133" s="2">
        <f>M12/'Output-Calculation-sheet'!M11*'Output-Calculation-sheet'!M110</f>
        <v>0</v>
      </c>
      <c r="N133" s="2">
        <f>N12/'Output-Calculation-sheet'!N11*'Output-Calculation-sheet'!N110</f>
        <v>25131.826874189312</v>
      </c>
      <c r="O133" s="2">
        <f>O12/'Output-Calculation-sheet'!O11*'Output-Calculation-sheet'!O110</f>
        <v>0</v>
      </c>
      <c r="P133" s="2">
        <f>P12/'Output-Calculation-sheet'!P11*'Output-Calculation-sheet'!P110</f>
        <v>2337652947.9615612</v>
      </c>
      <c r="Q133" s="2">
        <f>Q12/'Output-Calculation-sheet'!Q11*'Output-Calculation-sheet'!Q110</f>
        <v>1486693889.8681176</v>
      </c>
      <c r="R133" s="2">
        <f>R12/'Output-Calculation-sheet'!R11*'Output-Calculation-sheet'!R110</f>
        <v>4329850879.1482325</v>
      </c>
      <c r="S133" s="2">
        <f>S12/'Output-Calculation-sheet'!S11*'Output-Calculation-sheet'!S110</f>
        <v>4166828.7576743918</v>
      </c>
      <c r="T133" s="2">
        <f>T12/'Output-Calculation-sheet'!T11*'Output-Calculation-sheet'!T110</f>
        <v>1617653411.1446621</v>
      </c>
      <c r="U133" s="2">
        <f>U12/'Output-Calculation-sheet'!U11*'Output-Calculation-sheet'!U110</f>
        <v>1278511400.7369874</v>
      </c>
      <c r="V133" s="2">
        <f>V12/'Output-Calculation-sheet'!V11*'Output-Calculation-sheet'!V110</f>
        <v>1113431919.9729693</v>
      </c>
      <c r="W133" s="2">
        <f>W12/'Output-Calculation-sheet'!W11*'Output-Calculation-sheet'!W110</f>
        <v>937641147.89009047</v>
      </c>
      <c r="X133" s="2">
        <f>X12/'Output-Calculation-sheet'!X11*'Output-Calculation-sheet'!X110</f>
        <v>0</v>
      </c>
      <c r="Y133" s="2">
        <f>Y12/'Output-Calculation-sheet'!Y11*'Output-Calculation-sheet'!Y110</f>
        <v>355262802.10062838</v>
      </c>
      <c r="AA133" s="2">
        <f t="shared" si="11"/>
        <v>90868.374850245076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14044471382.294748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4415228036.8950109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3034961835.5244417</v>
      </c>
      <c r="N140" s="2">
        <f>N8/'Output-Calculation-sheet'!N7*'Output-Calculation-sheet'!N115</f>
        <v>1145818387.5644429</v>
      </c>
      <c r="O140" s="2">
        <f>O8/'Output-Calculation-sheet'!O7*'Output-Calculation-sheet'!O115</f>
        <v>3370604747.4597697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329560416.7766704</v>
      </c>
      <c r="Y140" s="2">
        <f>Y8/'Output-Calculation-sheet'!Y7*'Output-Calculation-sheet'!Y115</f>
        <v>0</v>
      </c>
      <c r="AA140" s="2">
        <f t="shared" si="12"/>
        <v>26340.64480651508</v>
      </c>
    </row>
    <row r="141" spans="1:27" x14ac:dyDescent="0.25">
      <c r="A141" s="2">
        <v>2032</v>
      </c>
      <c r="B141" s="2">
        <f>B9/'Output-Calculation-sheet'!B8*'Output-Calculation-sheet'!B116</f>
        <v>5388142440.416193</v>
      </c>
      <c r="C141" s="2">
        <f>C9/'Output-Calculation-sheet'!C8*'Output-Calculation-sheet'!C116</f>
        <v>23064435577.38731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6012798336.3854094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4128280096.3044796</v>
      </c>
      <c r="N141" s="2">
        <f>N9/'Output-Calculation-sheet'!N8*'Output-Calculation-sheet'!N116</f>
        <v>2866108327.8734984</v>
      </c>
      <c r="O141" s="2">
        <f>O9/'Output-Calculation-sheet'!O8*'Output-Calculation-sheet'!O116</f>
        <v>4476942501.2480764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1283758579.4752464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449348782.39829469</v>
      </c>
      <c r="Y141" s="2">
        <f>Y9/'Output-Calculation-sheet'!Y8*'Output-Calculation-sheet'!Y116</f>
        <v>0</v>
      </c>
      <c r="AA141" s="2">
        <f t="shared" si="12"/>
        <v>47669.814641488505</v>
      </c>
    </row>
    <row r="142" spans="1:27" x14ac:dyDescent="0.25">
      <c r="A142" s="2">
        <v>2033</v>
      </c>
      <c r="B142" s="2">
        <f>B10/'Output-Calculation-sheet'!B9*'Output-Calculation-sheet'!B117</f>
        <v>24765881550.139961</v>
      </c>
      <c r="C142" s="2">
        <f>C10/'Output-Calculation-sheet'!C9*'Output-Calculation-sheet'!C117</f>
        <v>26151747584.991592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8099389392.2115622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5565795982.1259155</v>
      </c>
      <c r="N142" s="2">
        <f>N10/'Output-Calculation-sheet'!N9*'Output-Calculation-sheet'!N117</f>
        <v>4198568623.1064172</v>
      </c>
      <c r="O142" s="2">
        <f>O10/'Output-Calculation-sheet'!O9*'Output-Calculation-sheet'!O117</f>
        <v>5075722308.2151175</v>
      </c>
      <c r="P142" s="2">
        <f>P10/'Output-Calculation-sheet'!P9*'Output-Calculation-sheet'!P117</f>
        <v>0</v>
      </c>
      <c r="Q142" s="2">
        <f>Q10/'Output-Calculation-sheet'!Q9*'Output-Calculation-sheet'!Q117</f>
        <v>801868475.6782074</v>
      </c>
      <c r="R142" s="2">
        <f>R10/'Output-Calculation-sheet'!R9*'Output-Calculation-sheet'!R117</f>
        <v>0</v>
      </c>
      <c r="S142" s="2">
        <f>S10/'Output-Calculation-sheet'!S9*'Output-Calculation-sheet'!S117</f>
        <v>2041536161.2799122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610167006.9999423</v>
      </c>
      <c r="Y142" s="2">
        <f>Y10/'Output-Calculation-sheet'!Y9*'Output-Calculation-sheet'!Y117</f>
        <v>0</v>
      </c>
      <c r="AA142" s="2">
        <f t="shared" si="12"/>
        <v>77310.677084748633</v>
      </c>
    </row>
    <row r="143" spans="1:27" x14ac:dyDescent="0.25">
      <c r="A143" s="2">
        <v>2034</v>
      </c>
      <c r="B143" s="2">
        <f>B11/'Output-Calculation-sheet'!B10*'Output-Calculation-sheet'!B118</f>
        <v>37680777241.619263</v>
      </c>
      <c r="C143" s="2">
        <f>C11/'Output-Calculation-sheet'!C10*'Output-Calculation-sheet'!C118</f>
        <v>28910412022.103241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8014110045.2793016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5504179871.0925894</v>
      </c>
      <c r="N143" s="2">
        <f>N11/'Output-Calculation-sheet'!N10*'Output-Calculation-sheet'!N118</f>
        <v>4843236738.3479023</v>
      </c>
      <c r="O143" s="2">
        <f>O11/'Output-Calculation-sheet'!O10*'Output-Calculation-sheet'!O118</f>
        <v>5616489901.7018347</v>
      </c>
      <c r="P143" s="2">
        <f>P11/'Output-Calculation-sheet'!P10*'Output-Calculation-sheet'!P118</f>
        <v>1014040668.788264</v>
      </c>
      <c r="Q143" s="2">
        <f>Q11/'Output-Calculation-sheet'!Q10*'Output-Calculation-sheet'!Q118</f>
        <v>2387529582.4838099</v>
      </c>
      <c r="R143" s="2">
        <f>R11/'Output-Calculation-sheet'!R10*'Output-Calculation-sheet'!R118</f>
        <v>0</v>
      </c>
      <c r="S143" s="2">
        <f>S11/'Output-Calculation-sheet'!S10*'Output-Calculation-sheet'!S118</f>
        <v>2788730616.7628331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604275204.35826588</v>
      </c>
      <c r="Y143" s="2">
        <f>Y11/'Output-Calculation-sheet'!Y10*'Output-Calculation-sheet'!Y118</f>
        <v>70812132.263267145</v>
      </c>
      <c r="AA143" s="2">
        <f t="shared" si="12"/>
        <v>97434.59402480055</v>
      </c>
    </row>
    <row r="144" spans="1:27" x14ac:dyDescent="0.25">
      <c r="A144" s="2">
        <v>2035</v>
      </c>
      <c r="B144" s="2">
        <f>B12/'Output-Calculation-sheet'!B11*'Output-Calculation-sheet'!B119</f>
        <v>47926945884.05928</v>
      </c>
      <c r="C144" s="2">
        <f>C12/'Output-Calculation-sheet'!C11*'Output-Calculation-sheet'!C119</f>
        <v>25365425463.643559</v>
      </c>
      <c r="D144" s="2">
        <f>D12/'Output-Calculation-sheet'!D11*'Output-Calculation-sheet'!D119</f>
        <v>0</v>
      </c>
      <c r="E144" s="2">
        <f>E12/'Output-Calculation-sheet'!E11*'Output-Calculation-sheet'!E119</f>
        <v>5782736892.6083469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7699001341.1803551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5259219174.3376007</v>
      </c>
      <c r="N144" s="2">
        <f>N12/'Output-Calculation-sheet'!N11*'Output-Calculation-sheet'!N119</f>
        <v>5190810533.5993977</v>
      </c>
      <c r="O144" s="2">
        <f>O12/'Output-Calculation-sheet'!O11*'Output-Calculation-sheet'!O119</f>
        <v>4928723892.8030758</v>
      </c>
      <c r="P144" s="2">
        <f>P12/'Output-Calculation-sheet'!P11*'Output-Calculation-sheet'!P119</f>
        <v>2386785734.795198</v>
      </c>
      <c r="Q144" s="2">
        <f>Q12/'Output-Calculation-sheet'!Q11*'Output-Calculation-sheet'!Q119</f>
        <v>2903447682.3885374</v>
      </c>
      <c r="R144" s="2">
        <f>R12/'Output-Calculation-sheet'!R11*'Output-Calculation-sheet'!R119</f>
        <v>0</v>
      </c>
      <c r="S144" s="2">
        <f>S12/'Output-Calculation-sheet'!S11*'Output-Calculation-sheet'!S119</f>
        <v>2991512304.2666707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587581163.52314377</v>
      </c>
      <c r="Y144" s="2">
        <f>Y12/'Output-Calculation-sheet'!Y11*'Output-Calculation-sheet'!Y119</f>
        <v>165701535.03411722</v>
      </c>
      <c r="AA144" s="2">
        <f t="shared" si="12"/>
        <v>111187.8916022393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1369933517.7691784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298726106.5712136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35501.445921252525</v>
      </c>
    </row>
    <row r="155" spans="1:27" x14ac:dyDescent="0.25">
      <c r="A155" s="2">
        <v>2035</v>
      </c>
      <c r="B155" s="2">
        <f>B12/'Output-Calculation-sheet'!B11*'Output-Calculation-sheet'!B128</f>
        <v>629696207.59590888</v>
      </c>
      <c r="C155" s="2">
        <f>C12/'Output-Calculation-sheet'!C11*'Output-Calculation-sheet'!C128</f>
        <v>37638645.203821369</v>
      </c>
      <c r="D155" s="2">
        <f>D12/'Output-Calculation-sheet'!D11*'Output-Calculation-sheet'!D128</f>
        <v>2751037571.6965432</v>
      </c>
      <c r="E155" s="2">
        <f>E12/'Output-Calculation-sheet'!E11*'Output-Calculation-sheet'!E128</f>
        <v>644247602.79365289</v>
      </c>
      <c r="F155" s="2">
        <f>F12/'Output-Calculation-sheet'!F11*'Output-Calculation-sheet'!F128</f>
        <v>1113204394.6345804</v>
      </c>
      <c r="G155" s="2">
        <f>G12/'Output-Calculation-sheet'!G11*'Output-Calculation-sheet'!G128</f>
        <v>1050930385.7139558</v>
      </c>
      <c r="H155" s="2">
        <f>H12/'Output-Calculation-sheet'!H11*'Output-Calculation-sheet'!H128</f>
        <v>57860989.52571696</v>
      </c>
      <c r="I155" s="2">
        <f>I12/'Output-Calculation-sheet'!I11*'Output-Calculation-sheet'!I128</f>
        <v>902484007.94847095</v>
      </c>
      <c r="J155" s="2">
        <f>J12/'Output-Calculation-sheet'!J11*'Output-Calculation-sheet'!J128</f>
        <v>652344675.40116668</v>
      </c>
      <c r="K155" s="2">
        <f>K12/'Output-Calculation-sheet'!K11*'Output-Calculation-sheet'!K128</f>
        <v>721959576.78918481</v>
      </c>
      <c r="L155" s="2">
        <f>L12/'Output-Calculation-sheet'!L11*'Output-Calculation-sheet'!L128</f>
        <v>316607830.42223936</v>
      </c>
      <c r="M155" s="2">
        <f>M12/'Output-Calculation-sheet'!M11*'Output-Calculation-sheet'!M128</f>
        <v>45629787.780771345</v>
      </c>
      <c r="N155" s="2">
        <f>N12/'Output-Calculation-sheet'!N11*'Output-Calculation-sheet'!N128</f>
        <v>41705009.243300542</v>
      </c>
      <c r="O155" s="2">
        <f>O12/'Output-Calculation-sheet'!O11*'Output-Calculation-sheet'!O128</f>
        <v>9133093.1974706929</v>
      </c>
      <c r="P155" s="2">
        <f>P12/'Output-Calculation-sheet'!P11*'Output-Calculation-sheet'!P128</f>
        <v>170133822.71606433</v>
      </c>
      <c r="Q155" s="2">
        <f>Q12/'Output-Calculation-sheet'!Q11*'Output-Calculation-sheet'!Q128</f>
        <v>207442765.45546135</v>
      </c>
      <c r="R155" s="2">
        <f>R12/'Output-Calculation-sheet'!R11*'Output-Calculation-sheet'!R128</f>
        <v>371754816.60067892</v>
      </c>
      <c r="S155" s="2">
        <f>S12/'Output-Calculation-sheet'!S11*'Output-Calculation-sheet'!S128</f>
        <v>27073763.356823616</v>
      </c>
      <c r="T155" s="2">
        <f>T12/'Output-Calculation-sheet'!T11*'Output-Calculation-sheet'!T128</f>
        <v>101951223.21399932</v>
      </c>
      <c r="U155" s="2">
        <f>U12/'Output-Calculation-sheet'!U11*'Output-Calculation-sheet'!U128</f>
        <v>234783569.78123993</v>
      </c>
      <c r="V155" s="2">
        <f>V12/'Output-Calculation-sheet'!V11*'Output-Calculation-sheet'!V128</f>
        <v>35019978.966705605</v>
      </c>
      <c r="W155" s="2">
        <f>W12/'Output-Calculation-sheet'!W11*'Output-Calculation-sheet'!W128</f>
        <v>70604038.960854739</v>
      </c>
      <c r="X155" s="2">
        <f>X12/'Output-Calculation-sheet'!X11*'Output-Calculation-sheet'!X128</f>
        <v>1500207.7967979896</v>
      </c>
      <c r="Y155" s="2">
        <f>Y12/'Output-Calculation-sheet'!Y11*'Output-Calculation-sheet'!Y128</f>
        <v>38818957.560677998</v>
      </c>
      <c r="AA155" s="2">
        <f t="shared" si="13"/>
        <v>10233.562922356092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4926.7153346950017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1492.3613172169728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1036.653421947849</v>
      </c>
      <c r="N19" s="2">
        <f>N8/'Output-Calculation-sheet'!N7*'Output-Calculation-sheet'!N25</f>
        <v>862.37314486957757</v>
      </c>
      <c r="O19" s="2">
        <f>O8/'Output-Calculation-sheet'!O7*'Output-Calculation-sheet'!O25</f>
        <v>541.23236333081888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112.19473707112374</v>
      </c>
      <c r="Y19" s="2">
        <f>Y8/'Output-Calculation-sheet'!Y7*'Output-Calculation-sheet'!Y25</f>
        <v>0</v>
      </c>
      <c r="AA19" s="2">
        <f t="shared" si="0"/>
        <v>10.417483997550958</v>
      </c>
    </row>
    <row r="20" spans="1:27" x14ac:dyDescent="0.25">
      <c r="A20" s="2">
        <v>2032</v>
      </c>
      <c r="B20" s="2">
        <f>B9/'Output-Calculation-sheet'!B8*'Output-Calculation-sheet'!B26</f>
        <v>4915.974563220635</v>
      </c>
      <c r="C20" s="2">
        <f>C9/'Output-Calculation-sheet'!C8*'Output-Calculation-sheet'!C26</f>
        <v>2695.8004336336899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1618.3023112954061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1130.8808237338246</v>
      </c>
      <c r="N20" s="2">
        <f>N9/'Output-Calculation-sheet'!N8*'Output-Calculation-sheet'!N26</f>
        <v>783.73122718057266</v>
      </c>
      <c r="O20" s="2">
        <f>O9/'Output-Calculation-sheet'!O8*'Output-Calculation-sheet'!O26</f>
        <v>526.70944587096324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371.76542434297306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123.0563500580601</v>
      </c>
      <c r="Y20" s="2">
        <f>Y9/'Output-Calculation-sheet'!Y8*'Output-Calculation-sheet'!Y26</f>
        <v>0</v>
      </c>
      <c r="AA20" s="2">
        <f t="shared" si="0"/>
        <v>12.166220579336127</v>
      </c>
    </row>
    <row r="21" spans="1:27" x14ac:dyDescent="0.25">
      <c r="A21" s="2">
        <v>2033</v>
      </c>
      <c r="B21" s="2">
        <f>B10/'Output-Calculation-sheet'!B9*'Output-Calculation-sheet'!B27</f>
        <v>4232.1959676654797</v>
      </c>
      <c r="C21" s="2">
        <f>C10/'Output-Calculation-sheet'!C9*'Output-Calculation-sheet'!C27</f>
        <v>2601.2867491415304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852.90155567467173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603.69075696930315</v>
      </c>
      <c r="N21" s="2">
        <f>N10/'Output-Calculation-sheet'!N9*'Output-Calculation-sheet'!N27</f>
        <v>611.35599470129307</v>
      </c>
      <c r="O21" s="2">
        <f>O10/'Output-Calculation-sheet'!O9*'Output-Calculation-sheet'!O27</f>
        <v>509.27617577722555</v>
      </c>
      <c r="P21" s="2">
        <f>P10/'Output-Calculation-sheet'!P9*'Output-Calculation-sheet'!P27</f>
        <v>0</v>
      </c>
      <c r="Q21" s="2">
        <f>Q10/'Output-Calculation-sheet'!Q9*'Output-Calculation-sheet'!Q27</f>
        <v>7.1243610555346937</v>
      </c>
      <c r="R21" s="2">
        <f>R10/'Output-Calculation-sheet'!R9*'Output-Calculation-sheet'!R27</f>
        <v>0</v>
      </c>
      <c r="S21" s="2">
        <f>S10/'Output-Calculation-sheet'!S9*'Output-Calculation-sheet'!S27</f>
        <v>291.10508960292339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60.281116580707739</v>
      </c>
      <c r="Y21" s="2">
        <f>Y10/'Output-Calculation-sheet'!Y9*'Output-Calculation-sheet'!Y27</f>
        <v>0</v>
      </c>
      <c r="AA21" s="2">
        <f t="shared" si="0"/>
        <v>9.7692177671686675</v>
      </c>
    </row>
    <row r="22" spans="1:27" x14ac:dyDescent="0.25">
      <c r="A22" s="2">
        <v>2034</v>
      </c>
      <c r="B22" s="2">
        <f>B11/'Output-Calculation-sheet'!B10*'Output-Calculation-sheet'!B28</f>
        <v>3226.1155651483955</v>
      </c>
      <c r="C22" s="2">
        <f>C11/'Output-Calculation-sheet'!C10*'Output-Calculation-sheet'!C28</f>
        <v>325.41659976228243</v>
      </c>
      <c r="D22" s="2">
        <f>D11/'Output-Calculation-sheet'!D10*'Output-Calculation-sheet'!D28</f>
        <v>0</v>
      </c>
      <c r="E22" s="2">
        <f>E11/'Output-Calculation-sheet'!E10*'Output-Calculation-sheet'!E28</f>
        <v>1080.5589510717548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856.84740248164633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655.32163599703892</v>
      </c>
      <c r="M22" s="2">
        <f>M11/'Output-Calculation-sheet'!M10*'Output-Calculation-sheet'!M28</f>
        <v>609.81503031592024</v>
      </c>
      <c r="N22" s="2">
        <f>N11/'Output-Calculation-sheet'!N10*'Output-Calculation-sheet'!N28</f>
        <v>407.66482687176995</v>
      </c>
      <c r="O22" s="2">
        <f>O11/'Output-Calculation-sheet'!O10*'Output-Calculation-sheet'!O28</f>
        <v>63.831223385136354</v>
      </c>
      <c r="P22" s="2">
        <f>P11/'Output-Calculation-sheet'!P10*'Output-Calculation-sheet'!P28</f>
        <v>0</v>
      </c>
      <c r="Q22" s="2">
        <f>Q11/'Output-Calculation-sheet'!Q10*'Output-Calculation-sheet'!Q28</f>
        <v>209.83848568922122</v>
      </c>
      <c r="R22" s="2">
        <f>R11/'Output-Calculation-sheet'!R10*'Output-Calculation-sheet'!R28</f>
        <v>0</v>
      </c>
      <c r="S22" s="2">
        <f>S11/'Output-Calculation-sheet'!S10*'Output-Calculation-sheet'!S28</f>
        <v>152.64264440041566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59.918572600005398</v>
      </c>
      <c r="Y22" s="2">
        <f>Y11/'Output-Calculation-sheet'!Y10*'Output-Calculation-sheet'!Y28</f>
        <v>24.424502581042024</v>
      </c>
      <c r="AA22" s="2">
        <f t="shared" si="0"/>
        <v>7.6723954403046291</v>
      </c>
    </row>
    <row r="23" spans="1:27" x14ac:dyDescent="0.25">
      <c r="A23" s="2">
        <v>2035</v>
      </c>
      <c r="B23" s="2">
        <f>B12/'Output-Calculation-sheet'!B11*'Output-Calculation-sheet'!B29</f>
        <v>1243.1552262260097</v>
      </c>
      <c r="C23" s="2">
        <f>C12/'Output-Calculation-sheet'!C11*'Output-Calculation-sheet'!C29</f>
        <v>108.06661216384829</v>
      </c>
      <c r="D23" s="2">
        <f>D12/'Output-Calculation-sheet'!D11*'Output-Calculation-sheet'!D29</f>
        <v>0</v>
      </c>
      <c r="E23" s="2">
        <f>E12/'Output-Calculation-sheet'!E11*'Output-Calculation-sheet'!E29</f>
        <v>1716.0674199317821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183.24325850096923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1151.5588348250587</v>
      </c>
      <c r="M23" s="2">
        <f>M12/'Output-Calculation-sheet'!M11*'Output-Calculation-sheet'!M29</f>
        <v>168.09894673040856</v>
      </c>
      <c r="N23" s="2">
        <f>N12/'Output-Calculation-sheet'!N11*'Output-Calculation-sheet'!N29</f>
        <v>139.72705305289807</v>
      </c>
      <c r="O23" s="2">
        <f>O12/'Output-Calculation-sheet'!O11*'Output-Calculation-sheet'!O29</f>
        <v>19.16140021556523</v>
      </c>
      <c r="P23" s="2">
        <f>P12/'Output-Calculation-sheet'!P11*'Output-Calculation-sheet'!P29</f>
        <v>67.857478297448552</v>
      </c>
      <c r="Q23" s="2">
        <f>Q12/'Output-Calculation-sheet'!Q11*'Output-Calculation-sheet'!Q29</f>
        <v>255.20474811602969</v>
      </c>
      <c r="R23" s="2">
        <f>R12/'Output-Calculation-sheet'!R11*'Output-Calculation-sheet'!R29</f>
        <v>0</v>
      </c>
      <c r="S23" s="2">
        <f>S12/'Output-Calculation-sheet'!S11*'Output-Calculation-sheet'!S29</f>
        <v>58.371223481717024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5.3979402443614592</v>
      </c>
      <c r="Y23" s="2">
        <f>Y12/'Output-Calculation-sheet'!Y11*'Output-Calculation-sheet'!Y29</f>
        <v>46.893570540678084</v>
      </c>
      <c r="AA23" s="2">
        <f t="shared" si="0"/>
        <v>5.1628037123267738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983.08714332732188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38.544343903116648</v>
      </c>
    </row>
    <row r="31" spans="1:27" x14ac:dyDescent="0.25">
      <c r="A31" s="2">
        <v>2032</v>
      </c>
      <c r="B31" s="2">
        <f>B9/'Output-Calculation-sheet'!B8*'Output-Calculation-sheet'!B17</f>
        <v>20668.792705502947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808.17157801902727</v>
      </c>
      <c r="O31" s="2">
        <f>O9/'Output-Calculation-sheet'!O8*'Output-Calculation-sheet'!O17</f>
        <v>0</v>
      </c>
      <c r="P31" s="2">
        <f>P9/'Output-Calculation-sheet'!P8*'Output-Calculation-sheet'!P17</f>
        <v>2019.8993931810949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668.89757359159137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47.354662446299365</v>
      </c>
    </row>
    <row r="32" spans="1:27" x14ac:dyDescent="0.25">
      <c r="A32" s="2">
        <v>2033</v>
      </c>
      <c r="B32" s="2">
        <f>B10/'Output-Calculation-sheet'!B9*'Output-Calculation-sheet'!B18</f>
        <v>15308.971740956929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2396.9524222038694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619.63356157618239</v>
      </c>
      <c r="O32" s="2">
        <f>O10/'Output-Calculation-sheet'!O9*'Output-Calculation-sheet'!O18</f>
        <v>0</v>
      </c>
      <c r="P32" s="2">
        <f>P10/'Output-Calculation-sheet'!P9*'Output-Calculation-sheet'!P18</f>
        <v>2466.785286688601</v>
      </c>
      <c r="Q32" s="2">
        <f>Q10/'Output-Calculation-sheet'!Q9*'Output-Calculation-sheet'!Q18</f>
        <v>2284.0173217020442</v>
      </c>
      <c r="R32" s="2">
        <f>R10/'Output-Calculation-sheet'!R9*'Output-Calculation-sheet'!R18</f>
        <v>1771.3239788122021</v>
      </c>
      <c r="S32" s="2">
        <f>S10/'Output-Calculation-sheet'!S9*'Output-Calculation-sheet'!S18</f>
        <v>563.6833889752246</v>
      </c>
      <c r="T32" s="2">
        <f>T10/'Output-Calculation-sheet'!T9*'Output-Calculation-sheet'!T18</f>
        <v>517.19778438830247</v>
      </c>
      <c r="U32" s="2">
        <f>U10/'Output-Calculation-sheet'!U9*'Output-Calculation-sheet'!U18</f>
        <v>571.73926857108586</v>
      </c>
      <c r="V32" s="2">
        <f>V10/'Output-Calculation-sheet'!V9*'Output-Calculation-sheet'!V18</f>
        <v>422.00341467391257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244.3175943936505</v>
      </c>
      <c r="AA32" s="2">
        <f t="shared" si="1"/>
        <v>48.668769056849982</v>
      </c>
    </row>
    <row r="33" spans="1:27" x14ac:dyDescent="0.25">
      <c r="A33" s="2">
        <v>2034</v>
      </c>
      <c r="B33" s="2">
        <f>B11/'Output-Calculation-sheet'!B10*'Output-Calculation-sheet'!B19</f>
        <v>9751.6922192306902</v>
      </c>
      <c r="C33" s="2">
        <f>C11/'Output-Calculation-sheet'!C10*'Output-Calculation-sheet'!C19</f>
        <v>0</v>
      </c>
      <c r="D33" s="2">
        <f>D11/'Output-Calculation-sheet'!D10*'Output-Calculation-sheet'!D19</f>
        <v>6485.29584110221</v>
      </c>
      <c r="E33" s="2">
        <f>E11/'Output-Calculation-sheet'!E10*'Output-Calculation-sheet'!E19</f>
        <v>8040.1293815581985</v>
      </c>
      <c r="F33" s="2">
        <f>F11/'Output-Calculation-sheet'!F10*'Output-Calculation-sheet'!F19</f>
        <v>3681.4358965792671</v>
      </c>
      <c r="G33" s="2">
        <f>G11/'Output-Calculation-sheet'!G10*'Output-Calculation-sheet'!G19</f>
        <v>2193.0834139534109</v>
      </c>
      <c r="H33" s="2">
        <f>H11/'Output-Calculation-sheet'!H10*'Output-Calculation-sheet'!H19</f>
        <v>0</v>
      </c>
      <c r="I33" s="2">
        <f>I11/'Output-Calculation-sheet'!I10*'Output-Calculation-sheet'!I19</f>
        <v>2409.0479234987106</v>
      </c>
      <c r="J33" s="2">
        <f>J11/'Output-Calculation-sheet'!J10*'Output-Calculation-sheet'!J19</f>
        <v>2037.1301834973185</v>
      </c>
      <c r="K33" s="2">
        <f>K11/'Output-Calculation-sheet'!K10*'Output-Calculation-sheet'!K19</f>
        <v>2825.5475899063449</v>
      </c>
      <c r="L33" s="2">
        <f>L11/'Output-Calculation-sheet'!L10*'Output-Calculation-sheet'!L19</f>
        <v>2298.0764754811407</v>
      </c>
      <c r="M33" s="2">
        <f>M11/'Output-Calculation-sheet'!M10*'Output-Calculation-sheet'!M19</f>
        <v>0</v>
      </c>
      <c r="N33" s="2">
        <f>N11/'Output-Calculation-sheet'!N10*'Output-Calculation-sheet'!N19</f>
        <v>436.21098507254032</v>
      </c>
      <c r="O33" s="2">
        <f>O11/'Output-Calculation-sheet'!O10*'Output-Calculation-sheet'!O19</f>
        <v>0</v>
      </c>
      <c r="P33" s="2">
        <f>P11/'Output-Calculation-sheet'!P10*'Output-Calculation-sheet'!P19</f>
        <v>2159.3154509532824</v>
      </c>
      <c r="Q33" s="2">
        <f>Q11/'Output-Calculation-sheet'!Q10*'Output-Calculation-sheet'!Q19</f>
        <v>1375.853917496579</v>
      </c>
      <c r="R33" s="2">
        <f>R11/'Output-Calculation-sheet'!R10*'Output-Calculation-sheet'!R19</f>
        <v>2041.2535596232758</v>
      </c>
      <c r="S33" s="2">
        <f>S11/'Output-Calculation-sheet'!S10*'Output-Calculation-sheet'!S19</f>
        <v>277.29891122350131</v>
      </c>
      <c r="T33" s="2">
        <f>T11/'Output-Calculation-sheet'!T10*'Output-Calculation-sheet'!T19</f>
        <v>598.81676576895359</v>
      </c>
      <c r="U33" s="2">
        <f>U11/'Output-Calculation-sheet'!U10*'Output-Calculation-sheet'!U19</f>
        <v>647.65354804738536</v>
      </c>
      <c r="V33" s="2">
        <f>V11/'Output-Calculation-sheet'!V10*'Output-Calculation-sheet'!V19</f>
        <v>469.71027928439122</v>
      </c>
      <c r="W33" s="2">
        <f>W11/'Output-Calculation-sheet'!W10*'Output-Calculation-sheet'!W19</f>
        <v>292.46333973473793</v>
      </c>
      <c r="X33" s="2">
        <f>X11/'Output-Calculation-sheet'!X10*'Output-Calculation-sheet'!X19</f>
        <v>0</v>
      </c>
      <c r="Y33" s="2">
        <f>Y11/'Output-Calculation-sheet'!Y10*'Output-Calculation-sheet'!Y19</f>
        <v>239.4439825993561</v>
      </c>
      <c r="AA33" s="2">
        <f t="shared" si="1"/>
        <v>48.259459664611292</v>
      </c>
    </row>
    <row r="34" spans="1:27" x14ac:dyDescent="0.25">
      <c r="A34" s="2">
        <v>2035</v>
      </c>
      <c r="B34" s="2">
        <f>B12/'Output-Calculation-sheet'!B11*'Output-Calculation-sheet'!B20</f>
        <v>2127.2499145009679</v>
      </c>
      <c r="C34" s="2">
        <f>C12/'Output-Calculation-sheet'!C11*'Output-Calculation-sheet'!C20</f>
        <v>0</v>
      </c>
      <c r="D34" s="2">
        <f>D12/'Output-Calculation-sheet'!D11*'Output-Calculation-sheet'!D20</f>
        <v>5570.1645710307048</v>
      </c>
      <c r="E34" s="2">
        <f>E12/'Output-Calculation-sheet'!E11*'Output-Calculation-sheet'!E20</f>
        <v>3636.0760191343488</v>
      </c>
      <c r="F34" s="2">
        <f>F12/'Output-Calculation-sheet'!F11*'Output-Calculation-sheet'!F20</f>
        <v>3461.4704049418528</v>
      </c>
      <c r="G34" s="2">
        <f>G12/'Output-Calculation-sheet'!G11*'Output-Calculation-sheet'!G20</f>
        <v>1867.5853454301132</v>
      </c>
      <c r="H34" s="2">
        <f>H12/'Output-Calculation-sheet'!H11*'Output-Calculation-sheet'!H20</f>
        <v>0</v>
      </c>
      <c r="I34" s="2">
        <f>I12/'Output-Calculation-sheet'!I11*'Output-Calculation-sheet'!I20</f>
        <v>2076.2411635349699</v>
      </c>
      <c r="J34" s="2">
        <f>J12/'Output-Calculation-sheet'!J11*'Output-Calculation-sheet'!J20</f>
        <v>1925.4331271867636</v>
      </c>
      <c r="K34" s="2">
        <f>K12/'Output-Calculation-sheet'!K11*'Output-Calculation-sheet'!K20</f>
        <v>2566.79331145167</v>
      </c>
      <c r="L34" s="2">
        <f>L12/'Output-Calculation-sheet'!L11*'Output-Calculation-sheet'!L20</f>
        <v>2043.5919983019319</v>
      </c>
      <c r="M34" s="2">
        <f>M12/'Output-Calculation-sheet'!M11*'Output-Calculation-sheet'!M20</f>
        <v>0</v>
      </c>
      <c r="N34" s="2">
        <f>N12/'Output-Calculation-sheet'!N11*'Output-Calculation-sheet'!N20</f>
        <v>1.5086987064172242E-2</v>
      </c>
      <c r="O34" s="2">
        <f>O12/'Output-Calculation-sheet'!O11*'Output-Calculation-sheet'!O20</f>
        <v>0</v>
      </c>
      <c r="P34" s="2">
        <f>P12/'Output-Calculation-sheet'!P11*'Output-Calculation-sheet'!P20</f>
        <v>1050.7319782848633</v>
      </c>
      <c r="Q34" s="2">
        <f>Q12/'Output-Calculation-sheet'!Q11*'Output-Calculation-sheet'!Q20</f>
        <v>706.55645689488802</v>
      </c>
      <c r="R34" s="2">
        <f>R12/'Output-Calculation-sheet'!R11*'Output-Calculation-sheet'!R20</f>
        <v>1960.8971761298315</v>
      </c>
      <c r="S34" s="2">
        <f>S12/'Output-Calculation-sheet'!S11*'Output-Calculation-sheet'!S20</f>
        <v>2.3231200862186001</v>
      </c>
      <c r="T34" s="2">
        <f>T12/'Output-Calculation-sheet'!T11*'Output-Calculation-sheet'!T20</f>
        <v>594.38073009628715</v>
      </c>
      <c r="U34" s="2">
        <f>U12/'Output-Calculation-sheet'!U11*'Output-Calculation-sheet'!U20</f>
        <v>547.46941409254043</v>
      </c>
      <c r="V34" s="2">
        <f>V12/'Output-Calculation-sheet'!V11*'Output-Calculation-sheet'!V20</f>
        <v>538.86939677373721</v>
      </c>
      <c r="W34" s="2">
        <f>W12/'Output-Calculation-sheet'!W11*'Output-Calculation-sheet'!W20</f>
        <v>292.23389787481477</v>
      </c>
      <c r="X34" s="2">
        <f>X12/'Output-Calculation-sheet'!X11*'Output-Calculation-sheet'!X20</f>
        <v>0</v>
      </c>
      <c r="Y34" s="2">
        <f>Y12/'Output-Calculation-sheet'!Y11*'Output-Calculation-sheet'!Y20</f>
        <v>133.4904838266508</v>
      </c>
      <c r="AA34" s="2">
        <f t="shared" si="1"/>
        <v>31.101573596560218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1.4607417959209133E-2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2.6752371045445579E-3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1.7282655063753691E-2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3.4849218448361613E-2</v>
      </c>
      <c r="E45" s="2">
        <f>E12/'Output-Calculation-sheet'!E11*'Output-Calculation-sheet'!E38*0.0114</f>
        <v>8.3087597010671588E-2</v>
      </c>
      <c r="F45" s="2">
        <f>F12/'Output-Calculation-sheet'!F11*'Output-Calculation-sheet'!F38*0.0114</f>
        <v>3.4837588215779751E-2</v>
      </c>
      <c r="G45" s="2">
        <f>G12/'Output-Calculation-sheet'!G11*'Output-Calculation-sheet'!G38*0.0114</f>
        <v>2.5002404989922095E-2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2.2488118269044954E-2</v>
      </c>
      <c r="J45" s="2">
        <f>J12/'Output-Calculation-sheet'!J11*'Output-Calculation-sheet'!J38*0.0114</f>
        <v>1.1127893906981243E-2</v>
      </c>
      <c r="K45" s="2">
        <f>K12/'Output-Calculation-sheet'!K11*'Output-Calculation-sheet'!K38*0.0114</f>
        <v>2.2102240668796996E-2</v>
      </c>
      <c r="L45" s="2">
        <f>L12/'Output-Calculation-sheet'!L11*'Output-Calculation-sheet'!L38*0.0114</f>
        <v>8.7873421487231883E-3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2.2698582347323876E-2</v>
      </c>
      <c r="Q45" s="2">
        <f>Q12/'Output-Calculation-sheet'!Q11*'Output-Calculation-sheet'!Q38*0.0114</f>
        <v>7.1757628854716453E-3</v>
      </c>
      <c r="R45" s="2">
        <f>R12/'Output-Calculation-sheet'!R11*'Output-Calculation-sheet'!R38*0.0114</f>
        <v>1.4232242703220004E-2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2.6326968296618001E-3</v>
      </c>
      <c r="U45" s="2">
        <f>U12/'Output-Calculation-sheet'!U11*'Output-Calculation-sheet'!U38*0.0114</f>
        <v>6.8684994554141197E-3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3.0574388891724713E-3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3.528718277470891E-3</v>
      </c>
      <c r="AA45" s="2">
        <f t="shared" si="2"/>
        <v>0.4683566125323016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0.13178335864701038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157.04842932729656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0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14.653778323182371</v>
      </c>
      <c r="AA54" s="2">
        <f t="shared" si="3"/>
        <v>3.8685396376242265</v>
      </c>
    </row>
    <row r="55" spans="1:27" x14ac:dyDescent="0.25">
      <c r="A55" s="2">
        <v>2034</v>
      </c>
      <c r="B55" s="2">
        <f>B11/'Output-Calculation-sheet'!B10*'Output-Calculation-sheet'!B46</f>
        <v>1274.3922816894885</v>
      </c>
      <c r="C55" s="2">
        <f>C11/'Output-Calculation-sheet'!C10*'Output-Calculation-sheet'!C46</f>
        <v>0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212.46229173699561</v>
      </c>
      <c r="G55" s="2">
        <f>G11/'Output-Calculation-sheet'!G10*'Output-Calculation-sheet'!G46</f>
        <v>2394.8477338387606</v>
      </c>
      <c r="H55" s="2">
        <f>H11/'Output-Calculation-sheet'!H10*'Output-Calculation-sheet'!H46</f>
        <v>434.45140415098655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985.47028497359975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322.00630625873919</v>
      </c>
      <c r="N55" s="2">
        <f>N11/'Output-Calculation-sheet'!N10*'Output-Calculation-sheet'!N46</f>
        <v>109.97049622999342</v>
      </c>
      <c r="O55" s="2">
        <f>O11/'Output-Calculation-sheet'!O10*'Output-Calculation-sheet'!O46</f>
        <v>0</v>
      </c>
      <c r="P55" s="2">
        <f>P11/'Output-Calculation-sheet'!P10*'Output-Calculation-sheet'!P46</f>
        <v>2391.7107917396215</v>
      </c>
      <c r="Q55" s="2">
        <f>Q11/'Output-Calculation-sheet'!Q10*'Output-Calculation-sheet'!Q46</f>
        <v>512.64611696987095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0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911.69264483821109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60.482802867196995</v>
      </c>
      <c r="X55" s="2">
        <f>X11/'Output-Calculation-sheet'!X10*'Output-Calculation-sheet'!X46</f>
        <v>30.733479514917345</v>
      </c>
      <c r="Y55" s="2">
        <f>Y11/'Output-Calculation-sheet'!Y10*'Output-Calculation-sheet'!Y46</f>
        <v>213.75746103200962</v>
      </c>
      <c r="AA55" s="2">
        <f t="shared" si="3"/>
        <v>31.658282159717825</v>
      </c>
    </row>
    <row r="56" spans="1:27" x14ac:dyDescent="0.25">
      <c r="A56" s="2">
        <v>2035</v>
      </c>
      <c r="B56" s="2">
        <f>B12/'Output-Calculation-sheet'!B11*'Output-Calculation-sheet'!B47</f>
        <v>1955.8812690365703</v>
      </c>
      <c r="C56" s="2">
        <f>C12/'Output-Calculation-sheet'!C11*'Output-Calculation-sheet'!C47</f>
        <v>224.31198437330795</v>
      </c>
      <c r="D56" s="2">
        <f>D12/'Output-Calculation-sheet'!D11*'Output-Calculation-sheet'!D47</f>
        <v>5520.8498699772863</v>
      </c>
      <c r="E56" s="2">
        <f>E12/'Output-Calculation-sheet'!E11*'Output-Calculation-sheet'!E47</f>
        <v>7234.9375408707592</v>
      </c>
      <c r="F56" s="2">
        <f>F12/'Output-Calculation-sheet'!F11*'Output-Calculation-sheet'!F47</f>
        <v>763.98219771446816</v>
      </c>
      <c r="G56" s="2">
        <f>G12/'Output-Calculation-sheet'!G11*'Output-Calculation-sheet'!G47</f>
        <v>2042.9596708870554</v>
      </c>
      <c r="H56" s="2">
        <f>H12/'Output-Calculation-sheet'!H11*'Output-Calculation-sheet'!H47</f>
        <v>87.10946518495885</v>
      </c>
      <c r="I56" s="2">
        <f>I12/'Output-Calculation-sheet'!I11*'Output-Calculation-sheet'!I47</f>
        <v>1301.9436892604974</v>
      </c>
      <c r="J56" s="2">
        <f>J12/'Output-Calculation-sheet'!J11*'Output-Calculation-sheet'!J47</f>
        <v>2173.8438360392306</v>
      </c>
      <c r="K56" s="2">
        <f>K12/'Output-Calculation-sheet'!K11*'Output-Calculation-sheet'!K47</f>
        <v>2903.3425790810088</v>
      </c>
      <c r="L56" s="2">
        <f>L12/'Output-Calculation-sheet'!L11*'Output-Calculation-sheet'!L47</f>
        <v>3144.1726863720951</v>
      </c>
      <c r="M56" s="2">
        <f>M12/'Output-Calculation-sheet'!M11*'Output-Calculation-sheet'!M47</f>
        <v>66.518546882874759</v>
      </c>
      <c r="N56" s="2">
        <f>N12/'Output-Calculation-sheet'!N11*'Output-Calculation-sheet'!N47</f>
        <v>62.503232122999286</v>
      </c>
      <c r="O56" s="2">
        <f>O12/'Output-Calculation-sheet'!O11*'Output-Calculation-sheet'!O47</f>
        <v>40.895889337303771</v>
      </c>
      <c r="P56" s="2">
        <f>P12/'Output-Calculation-sheet'!P11*'Output-Calculation-sheet'!P47</f>
        <v>1485.3633711494397</v>
      </c>
      <c r="Q56" s="2">
        <f>Q12/'Output-Calculation-sheet'!Q11*'Output-Calculation-sheet'!Q47</f>
        <v>570.91376641427917</v>
      </c>
      <c r="R56" s="2">
        <f>R12/'Output-Calculation-sheet'!R11*'Output-Calculation-sheet'!R47</f>
        <v>3201.0061658821128</v>
      </c>
      <c r="S56" s="2">
        <f>S12/'Output-Calculation-sheet'!S11*'Output-Calculation-sheet'!S47</f>
        <v>26.768800851659105</v>
      </c>
      <c r="T56" s="2">
        <f>T12/'Output-Calculation-sheet'!T11*'Output-Calculation-sheet'!T47</f>
        <v>1076.8653786590328</v>
      </c>
      <c r="U56" s="2">
        <f>U12/'Output-Calculation-sheet'!U11*'Output-Calculation-sheet'!U47</f>
        <v>754.9324401433239</v>
      </c>
      <c r="V56" s="2">
        <f>V12/'Output-Calculation-sheet'!V11*'Output-Calculation-sheet'!V47</f>
        <v>745.96077564282973</v>
      </c>
      <c r="W56" s="2">
        <f>W12/'Output-Calculation-sheet'!W11*'Output-Calculation-sheet'!W47</f>
        <v>264.03934968335949</v>
      </c>
      <c r="X56" s="2">
        <f>X12/'Output-Calculation-sheet'!X11*'Output-Calculation-sheet'!X47</f>
        <v>6.8160873619657441</v>
      </c>
      <c r="Y56" s="2">
        <f>Y12/'Output-Calculation-sheet'!Y11*'Output-Calculation-sheet'!Y47</f>
        <v>210.71710240248325</v>
      </c>
      <c r="AA56" s="2">
        <f t="shared" si="3"/>
        <v>35.866635695330899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7.1085190701385388</v>
      </c>
      <c r="C63" s="2">
        <f>C8*'Output-Calculation-sheet'!C52/10^9</f>
        <v>3.7977364817234034</v>
      </c>
      <c r="D63" s="2">
        <f>D8*'Output-Calculation-sheet'!D52/10^9</f>
        <v>2.4376635262692163</v>
      </c>
      <c r="E63" s="2">
        <f>E8*'Output-Calculation-sheet'!E52/10^9</f>
        <v>2.4236914197632466</v>
      </c>
      <c r="F63" s="2">
        <f>F8*'Output-Calculation-sheet'!F52/10^9</f>
        <v>1.0264331159041926</v>
      </c>
      <c r="G63" s="2">
        <f>G8*'Output-Calculation-sheet'!G52/10^9</f>
        <v>0.73795904004663371</v>
      </c>
      <c r="H63" s="2">
        <f>H8*'Output-Calculation-sheet'!H52/10^9</f>
        <v>1.2002194847785248</v>
      </c>
      <c r="I63" s="2">
        <f>I8*'Output-Calculation-sheet'!I52/10^9</f>
        <v>0.68647323363808599</v>
      </c>
      <c r="J63" s="2">
        <f>J8*'Output-Calculation-sheet'!J52/10^9</f>
        <v>0.94463369996777857</v>
      </c>
      <c r="K63" s="2">
        <f>K8*'Output-Calculation-sheet'!K52/10^9</f>
        <v>0.82994472308314504</v>
      </c>
      <c r="L63" s="2">
        <f>L8*'Output-Calculation-sheet'!L52/10^9</f>
        <v>1.1163155846723489</v>
      </c>
      <c r="M63" s="2">
        <f>M8*'Output-Calculation-sheet'!M52/10^9</f>
        <v>0.98325936517927315</v>
      </c>
      <c r="N63" s="2">
        <f>N8*'Output-Calculation-sheet'!N52/10^9</f>
        <v>0.86758385664285498</v>
      </c>
      <c r="O63" s="2">
        <f>O8*'Output-Calculation-sheet'!O52/10^9</f>
        <v>0.7769840996414008</v>
      </c>
      <c r="P63" s="2">
        <f>P8*'Output-Calculation-sheet'!P52/10^9</f>
        <v>0.57346941589597922</v>
      </c>
      <c r="Q63" s="2">
        <f>Q8*'Output-Calculation-sheet'!Q52/10^9</f>
        <v>0.64899932592991383</v>
      </c>
      <c r="R63" s="2">
        <f>R8*'Output-Calculation-sheet'!R52/10^9</f>
        <v>0.58267256815171209</v>
      </c>
      <c r="S63" s="2">
        <f>S8*'Output-Calculation-sheet'!S52/10^9</f>
        <v>0.43178101811468617</v>
      </c>
      <c r="T63" s="2">
        <f>T8*'Output-Calculation-sheet'!T52/10^9</f>
        <v>0.22152378695761485</v>
      </c>
      <c r="U63" s="2">
        <f>U8*'Output-Calculation-sheet'!U52/10^9</f>
        <v>0.15214016310826037</v>
      </c>
      <c r="V63" s="2">
        <f>V8*'Output-Calculation-sheet'!V52/10^9</f>
        <v>0.27001283597763898</v>
      </c>
      <c r="W63" s="2">
        <f>W8*'Output-Calculation-sheet'!W52/10^9</f>
        <v>9.7731996394619297E-2</v>
      </c>
      <c r="X63" s="2">
        <f>X8*'Output-Calculation-sheet'!X52/10^9</f>
        <v>0.10070123755176502</v>
      </c>
      <c r="Y63" s="2">
        <f>Y8*'Output-Calculation-sheet'!Y52/10^9</f>
        <v>6.3767408981955501E-2</v>
      </c>
      <c r="AA63" s="2">
        <f t="shared" si="4"/>
        <v>28.080216458512783</v>
      </c>
    </row>
    <row r="64" spans="1:27" x14ac:dyDescent="0.25">
      <c r="A64" s="2">
        <v>2032</v>
      </c>
      <c r="B64" s="2">
        <f>B9*'Output-Calculation-sheet'!B53/10^9</f>
        <v>7.0481261816177287</v>
      </c>
      <c r="C64" s="2">
        <f>C9*'Output-Calculation-sheet'!C53/10^9</f>
        <v>3.7364293683640017</v>
      </c>
      <c r="D64" s="2">
        <f>D9*'Output-Calculation-sheet'!D53/10^9</f>
        <v>2.0874252782934546</v>
      </c>
      <c r="E64" s="2">
        <f>E9*'Output-Calculation-sheet'!E53/10^9</f>
        <v>2.1376153273020502</v>
      </c>
      <c r="F64" s="2">
        <f>F9*'Output-Calculation-sheet'!F53/10^9</f>
        <v>0.90163274110736358</v>
      </c>
      <c r="G64" s="2">
        <f>G9*'Output-Calculation-sheet'!G53/10^9</f>
        <v>0.64175460318198385</v>
      </c>
      <c r="H64" s="2">
        <f>H9*'Output-Calculation-sheet'!H53/10^9</f>
        <v>1.1726506376008987</v>
      </c>
      <c r="I64" s="2">
        <f>I9*'Output-Calculation-sheet'!I53/10^9</f>
        <v>0.59993566794225806</v>
      </c>
      <c r="J64" s="2">
        <f>J9*'Output-Calculation-sheet'!J53/10^9</f>
        <v>0.79419292640735917</v>
      </c>
      <c r="K64" s="2">
        <f>K9*'Output-Calculation-sheet'!K53/10^9</f>
        <v>0.73690298296993773</v>
      </c>
      <c r="L64" s="2">
        <f>L9*'Output-Calculation-sheet'!L53/10^9</f>
        <v>0.94802348504031919</v>
      </c>
      <c r="M64" s="2">
        <f>M9*'Output-Calculation-sheet'!M53/10^9</f>
        <v>0.93036112933594106</v>
      </c>
      <c r="N64" s="2">
        <f>N9*'Output-Calculation-sheet'!N53/10^9</f>
        <v>0.83762562287533426</v>
      </c>
      <c r="O64" s="2">
        <f>O9*'Output-Calculation-sheet'!O53/10^9</f>
        <v>0.75665492819253888</v>
      </c>
      <c r="P64" s="2">
        <f>P9*'Output-Calculation-sheet'!P53/10^9</f>
        <v>0.56184280063699921</v>
      </c>
      <c r="Q64" s="2">
        <f>Q9*'Output-Calculation-sheet'!Q53/10^9</f>
        <v>0.62091604838525716</v>
      </c>
      <c r="R64" s="2">
        <f>R9*'Output-Calculation-sheet'!R53/10^9</f>
        <v>0.53227168390569612</v>
      </c>
      <c r="S64" s="2">
        <f>S9*'Output-Calculation-sheet'!S53/10^9</f>
        <v>0.42830412983919269</v>
      </c>
      <c r="T64" s="2">
        <f>T9*'Output-Calculation-sheet'!T53/10^9</f>
        <v>0.19133705556843206</v>
      </c>
      <c r="U64" s="2">
        <f>U9*'Output-Calculation-sheet'!U53/10^9</f>
        <v>0.14401541243240093</v>
      </c>
      <c r="V64" s="2">
        <f>V9*'Output-Calculation-sheet'!V53/10^9</f>
        <v>0.22710414635104781</v>
      </c>
      <c r="W64" s="2">
        <f>W9*'Output-Calculation-sheet'!W53/10^9</f>
        <v>8.4387661479639164E-2</v>
      </c>
      <c r="X64" s="2">
        <f>X9*'Output-Calculation-sheet'!X53/10^9</f>
        <v>9.6749246571700989E-2</v>
      </c>
      <c r="Y64" s="2">
        <f>Y9*'Output-Calculation-sheet'!Y53/10^9</f>
        <v>5.9124780368094848E-2</v>
      </c>
      <c r="AA64" s="2">
        <f t="shared" si="4"/>
        <v>26.275383845769632</v>
      </c>
    </row>
    <row r="65" spans="1:27" x14ac:dyDescent="0.25">
      <c r="A65" s="2">
        <v>2033</v>
      </c>
      <c r="B65" s="2">
        <f>B10*'Output-Calculation-sheet'!B54/10^9</f>
        <v>6.646767038169747</v>
      </c>
      <c r="C65" s="2">
        <f>C10*'Output-Calculation-sheet'!C54/10^9</f>
        <v>3.435833000610133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1.0789675248396418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0.62864785993248407</v>
      </c>
      <c r="L65" s="2">
        <f>L10*'Output-Calculation-sheet'!L54/10^9</f>
        <v>0.74249392940048364</v>
      </c>
      <c r="M65" s="2">
        <f>M10*'Output-Calculation-sheet'!M54/10^9</f>
        <v>0.82278145190456642</v>
      </c>
      <c r="N65" s="2">
        <f>N10*'Output-Calculation-sheet'!N54/10^9</f>
        <v>0.75500280517620211</v>
      </c>
      <c r="O65" s="2">
        <f>O10*'Output-Calculation-sheet'!O54/10^9</f>
        <v>0.68855612632426599</v>
      </c>
      <c r="P65" s="2">
        <f>P10*'Output-Calculation-sheet'!P54/10^9</f>
        <v>0.53185597612890867</v>
      </c>
      <c r="Q65" s="2">
        <f>Q10*'Output-Calculation-sheet'!Q54/10^9</f>
        <v>0.57937010950797807</v>
      </c>
      <c r="R65" s="2">
        <f>R10*'Output-Calculation-sheet'!R54/10^9</f>
        <v>0.46824111674756164</v>
      </c>
      <c r="S65" s="2">
        <f>S10*'Output-Calculation-sheet'!S54/10^9</f>
        <v>0.3982628882903595</v>
      </c>
      <c r="T65" s="2">
        <f>T10*'Output-Calculation-sheet'!T54/10^9</f>
        <v>0.15655584323560434</v>
      </c>
      <c r="U65" s="2">
        <f>U10*'Output-Calculation-sheet'!U54/10^9</f>
        <v>0.13518040190876832</v>
      </c>
      <c r="V65" s="2">
        <f>V10*'Output-Calculation-sheet'!V54/10^9</f>
        <v>0.17325652876477496</v>
      </c>
      <c r="W65" s="2">
        <f>W10*'Output-Calculation-sheet'!W54/10^9</f>
        <v>6.596274502843108E-2</v>
      </c>
      <c r="X65" s="2">
        <f>X10*'Output-Calculation-sheet'!X54/10^9</f>
        <v>8.626921623559973E-2</v>
      </c>
      <c r="Y65" s="2">
        <f>Y10*'Output-Calculation-sheet'!Y54/10^9</f>
        <v>5.429198579557535E-2</v>
      </c>
      <c r="AA65" s="2">
        <f t="shared" si="4"/>
        <v>23.203218192221801</v>
      </c>
    </row>
    <row r="66" spans="1:27" x14ac:dyDescent="0.25">
      <c r="A66" s="2">
        <v>2034</v>
      </c>
      <c r="B66" s="2">
        <f>B11*'Output-Calculation-sheet'!B55/10^9</f>
        <v>5.9280053383062539</v>
      </c>
      <c r="C66" s="2">
        <f>C11*'Output-Calculation-sheet'!C55/10^9</f>
        <v>2.9820121195431728</v>
      </c>
      <c r="D66" s="2">
        <f>D11*'Output-Calculation-sheet'!D55/10^9</f>
        <v>1.3378532090755846</v>
      </c>
      <c r="E66" s="2">
        <f>E11*'Output-Calculation-sheet'!E55/10^9</f>
        <v>1.620045352878104</v>
      </c>
      <c r="F66" s="2">
        <f>F11*'Output-Calculation-sheet'!F55/10^9</f>
        <v>0.62260751360506805</v>
      </c>
      <c r="G66" s="2">
        <f>G11*'Output-Calculation-sheet'!G55/10^9</f>
        <v>0.44505562635361223</v>
      </c>
      <c r="H66" s="2">
        <f>H11*'Output-Calculation-sheet'!H55/10^9</f>
        <v>0.92866081370623532</v>
      </c>
      <c r="I66" s="2">
        <f>I11*'Output-Calculation-sheet'!I55/10^9</f>
        <v>0.43518422990714178</v>
      </c>
      <c r="J66" s="2">
        <f>J11*'Output-Calculation-sheet'!J55/10^9</f>
        <v>0.44751542567006358</v>
      </c>
      <c r="K66" s="2">
        <f>K11*'Output-Calculation-sheet'!K55/10^9</f>
        <v>0.53526000268995566</v>
      </c>
      <c r="L66" s="2">
        <f>L11*'Output-Calculation-sheet'!L55/10^9</f>
        <v>0.5668489648868581</v>
      </c>
      <c r="M66" s="2">
        <f>M11*'Output-Calculation-sheet'!M55/10^9</f>
        <v>0.67692956761111633</v>
      </c>
      <c r="N66" s="2">
        <f>N11*'Output-Calculation-sheet'!N55/10^9</f>
        <v>0.63950276981215726</v>
      </c>
      <c r="O66" s="2">
        <f>O11*'Output-Calculation-sheet'!O55/10^9</f>
        <v>0.58776462789747841</v>
      </c>
      <c r="P66" s="2">
        <f>P11*'Output-Calculation-sheet'!P55/10^9</f>
        <v>0.49077779191473048</v>
      </c>
      <c r="Q66" s="2">
        <f>Q11*'Output-Calculation-sheet'!Q55/10^9</f>
        <v>0.51916308305868564</v>
      </c>
      <c r="R66" s="2">
        <f>R11*'Output-Calculation-sheet'!R55/10^9</f>
        <v>0.40099642130146962</v>
      </c>
      <c r="S66" s="2">
        <f>S11*'Output-Calculation-sheet'!S55/10^9</f>
        <v>0.34976541239956094</v>
      </c>
      <c r="T66" s="2">
        <f>T11*'Output-Calculation-sheet'!T55/10^9</f>
        <v>0.12568192537471046</v>
      </c>
      <c r="U66" s="2">
        <f>U11*'Output-Calculation-sheet'!U55/10^9</f>
        <v>0.12765555816506224</v>
      </c>
      <c r="V66" s="2">
        <f>V11*'Output-Calculation-sheet'!V55/10^9</f>
        <v>0.11922681687163704</v>
      </c>
      <c r="W66" s="2">
        <f>W11*'Output-Calculation-sheet'!W55/10^9</f>
        <v>5.3986678517698609E-2</v>
      </c>
      <c r="X66" s="2">
        <f>X11*'Output-Calculation-sheet'!X55/10^9</f>
        <v>7.2324414450286909E-2</v>
      </c>
      <c r="Y66" s="2">
        <f>Y11*'Output-Calculation-sheet'!Y55/10^9</f>
        <v>5.2780330224201706E-2</v>
      </c>
      <c r="AA66" s="2">
        <f t="shared" si="4"/>
        <v>20.065603994220851</v>
      </c>
    </row>
    <row r="67" spans="1:27" x14ac:dyDescent="0.25">
      <c r="A67" s="2">
        <v>2035</v>
      </c>
      <c r="B67" s="2">
        <f>B12*'Output-Calculation-sheet'!B56/10^9</f>
        <v>5.1246720020694383</v>
      </c>
      <c r="C67" s="2">
        <f>C12*'Output-Calculation-sheet'!C56/10^9</f>
        <v>2.4052738025498925</v>
      </c>
      <c r="D67" s="2">
        <f>D12*'Output-Calculation-sheet'!D56/10^9</f>
        <v>1.1824902949506644</v>
      </c>
      <c r="E67" s="2">
        <f>E12*'Output-Calculation-sheet'!E56/10^9</f>
        <v>1.5807751755529766</v>
      </c>
      <c r="F67" s="2">
        <f>F12*'Output-Calculation-sheet'!F56/10^9</f>
        <v>0.58638903389505592</v>
      </c>
      <c r="G67" s="2">
        <f>G12*'Output-Calculation-sheet'!G56/10^9</f>
        <v>0.41077484207271331</v>
      </c>
      <c r="H67" s="2">
        <f>H12*'Output-Calculation-sheet'!H56/10^9</f>
        <v>0.75725268205595841</v>
      </c>
      <c r="I67" s="2">
        <f>I12*'Output-Calculation-sheet'!I56/10^9</f>
        <v>0.39903142784094564</v>
      </c>
      <c r="J67" s="2">
        <f>J12*'Output-Calculation-sheet'!J56/10^9</f>
        <v>0.39505746490883548</v>
      </c>
      <c r="K67" s="2">
        <f>K12*'Output-Calculation-sheet'!K56/10^9</f>
        <v>0.47605132254317239</v>
      </c>
      <c r="L67" s="2">
        <f>L12*'Output-Calculation-sheet'!L56/10^9</f>
        <v>0.47819944260663344</v>
      </c>
      <c r="M67" s="2">
        <f>M12*'Output-Calculation-sheet'!M56/10^9</f>
        <v>0.52677647879169909</v>
      </c>
      <c r="N67" s="2">
        <f>N12*'Output-Calculation-sheet'!N56/10^9</f>
        <v>0.51386057635403004</v>
      </c>
      <c r="O67" s="2">
        <f>O12*'Output-Calculation-sheet'!O56/10^9</f>
        <v>0.46756167476735971</v>
      </c>
      <c r="P67" s="2">
        <f>P12*'Output-Calculation-sheet'!P56/10^9</f>
        <v>0.44689516035410615</v>
      </c>
      <c r="Q67" s="2">
        <f>Q12*'Output-Calculation-sheet'!Q56/10^9</f>
        <v>0.45358355399079014</v>
      </c>
      <c r="R67" s="2">
        <f>R12*'Output-Calculation-sheet'!R56/10^9</f>
        <v>0.36109275478251501</v>
      </c>
      <c r="S67" s="2">
        <f>S12*'Output-Calculation-sheet'!S56/10^9</f>
        <v>0.29359740031397497</v>
      </c>
      <c r="T67" s="2">
        <f>T12*'Output-Calculation-sheet'!T56/10^9</f>
        <v>0.10943552131387957</v>
      </c>
      <c r="U67" s="2">
        <f>U12*'Output-Calculation-sheet'!U56/10^9</f>
        <v>0.11442376122432611</v>
      </c>
      <c r="V67" s="2">
        <f>V12*'Output-Calculation-sheet'!V56/10^9</f>
        <v>8.7774228151106706E-2</v>
      </c>
      <c r="W67" s="2">
        <f>W12*'Output-Calculation-sheet'!W56/10^9</f>
        <v>5.2995331639524967E-2</v>
      </c>
      <c r="X67" s="2">
        <f>X12*'Output-Calculation-sheet'!X56/10^9</f>
        <v>5.6313415435863386E-2</v>
      </c>
      <c r="Y67" s="2">
        <f>Y12*'Output-Calculation-sheet'!Y56/10^9</f>
        <v>5.0903624235795537E-2</v>
      </c>
      <c r="AA67" s="2">
        <f t="shared" si="4"/>
        <v>17.331180972401263</v>
      </c>
    </row>
    <row r="68" spans="1:27" x14ac:dyDescent="0.25">
      <c r="B68" s="2">
        <f>SUM(B60:B67)</f>
        <v>31.856089630301707</v>
      </c>
      <c r="C68" s="2">
        <f t="shared" ref="C68:Y68" si="5">SUM(C60:C67)</f>
        <v>16.357284772790603</v>
      </c>
      <c r="D68" s="2">
        <f t="shared" si="5"/>
        <v>8.6584194846839253</v>
      </c>
      <c r="E68" s="2">
        <f t="shared" si="5"/>
        <v>9.5783233437890409</v>
      </c>
      <c r="F68" s="2">
        <f t="shared" si="5"/>
        <v>3.8744061621559327</v>
      </c>
      <c r="G68" s="2">
        <f t="shared" si="5"/>
        <v>2.7417977205499144</v>
      </c>
      <c r="H68" s="2">
        <f t="shared" si="5"/>
        <v>5.1377511429812595</v>
      </c>
      <c r="I68" s="2">
        <f t="shared" si="5"/>
        <v>2.6135775361997791</v>
      </c>
      <c r="J68" s="2">
        <f t="shared" si="5"/>
        <v>3.1705875733765057</v>
      </c>
      <c r="K68" s="2">
        <f t="shared" si="5"/>
        <v>3.2068068912186956</v>
      </c>
      <c r="L68" s="2">
        <f t="shared" si="5"/>
        <v>3.8518814066066436</v>
      </c>
      <c r="M68" s="2">
        <f t="shared" si="5"/>
        <v>3.9401079928225959</v>
      </c>
      <c r="N68" s="2">
        <f t="shared" si="5"/>
        <v>3.6135756308605784</v>
      </c>
      <c r="O68" s="2">
        <f t="shared" si="5"/>
        <v>3.2775214568230435</v>
      </c>
      <c r="P68" s="2">
        <f t="shared" si="5"/>
        <v>2.6048411449307234</v>
      </c>
      <c r="Q68" s="2">
        <f t="shared" si="5"/>
        <v>2.8220321208726249</v>
      </c>
      <c r="R68" s="2">
        <f t="shared" si="5"/>
        <v>2.3452745448889547</v>
      </c>
      <c r="S68" s="2">
        <f t="shared" si="5"/>
        <v>1.9017108489577743</v>
      </c>
      <c r="T68" s="2">
        <f t="shared" si="5"/>
        <v>0.8045341324502413</v>
      </c>
      <c r="U68" s="2">
        <f t="shared" si="5"/>
        <v>0.67341529683881796</v>
      </c>
      <c r="V68" s="2">
        <f t="shared" si="5"/>
        <v>0.87737455611620552</v>
      </c>
      <c r="W68" s="2">
        <f t="shared" si="5"/>
        <v>0.3550644130599131</v>
      </c>
      <c r="X68" s="2">
        <f t="shared" si="5"/>
        <v>0.41235753024521604</v>
      </c>
      <c r="Y68" s="2">
        <f t="shared" si="5"/>
        <v>0.28086812960562296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48.271982451157555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4.8271982451157554E-2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417.87534420238836</v>
      </c>
      <c r="Q76" s="2">
        <f>Q10/'Output-Calculation-sheet'!Q9*'Output-Calculation-sheet'!Q63</f>
        <v>49.638578939274851</v>
      </c>
      <c r="R76" s="2">
        <f>R10/'Output-Calculation-sheet'!R9*'Output-Calculation-sheet'!R63</f>
        <v>318.52502492869343</v>
      </c>
      <c r="S76" s="2">
        <f>S10/'Output-Calculation-sheet'!S9*'Output-Calculation-sheet'!S63</f>
        <v>0</v>
      </c>
      <c r="T76" s="2">
        <f>T10/'Output-Calculation-sheet'!T9*'Output-Calculation-sheet'!T63</f>
        <v>20.924592853690768</v>
      </c>
      <c r="U76" s="2">
        <f>U10/'Output-Calculation-sheet'!U9*'Output-Calculation-sheet'!U63</f>
        <v>113.0197633136284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5.3676393949754244</v>
      </c>
      <c r="AA76" s="2">
        <f t="shared" si="6"/>
        <v>1.0132228908431029</v>
      </c>
    </row>
    <row r="77" spans="1:27" x14ac:dyDescent="0.25">
      <c r="A77" s="2">
        <v>2034</v>
      </c>
      <c r="B77" s="2">
        <f>B11/'Output-Calculation-sheet'!B10*'Output-Calculation-sheet'!B64</f>
        <v>385.73305582177443</v>
      </c>
      <c r="C77" s="2">
        <f>C11/'Output-Calculation-sheet'!C10*'Output-Calculation-sheet'!C64</f>
        <v>0</v>
      </c>
      <c r="D77" s="2">
        <f>D11/'Output-Calculation-sheet'!D10*'Output-Calculation-sheet'!D64</f>
        <v>1297.4206532945798</v>
      </c>
      <c r="E77" s="2">
        <f>E11/'Output-Calculation-sheet'!E10*'Output-Calculation-sheet'!E64</f>
        <v>1608.7650946607948</v>
      </c>
      <c r="F77" s="2">
        <f>F11/'Output-Calculation-sheet'!F10*'Output-Calculation-sheet'!F64</f>
        <v>100.78925456417544</v>
      </c>
      <c r="G77" s="2">
        <f>G11/'Output-Calculation-sheet'!G10*'Output-Calculation-sheet'!G64</f>
        <v>649.98909590632434</v>
      </c>
      <c r="H77" s="2">
        <f>H11/'Output-Calculation-sheet'!H10*'Output-Calculation-sheet'!H64</f>
        <v>106.37356437177984</v>
      </c>
      <c r="I77" s="2">
        <f>I11/'Output-Calculation-sheet'!I10*'Output-Calculation-sheet'!I64</f>
        <v>402.17317030369691</v>
      </c>
      <c r="J77" s="2">
        <f>J11/'Output-Calculation-sheet'!J10*'Output-Calculation-sheet'!J64</f>
        <v>282.63036843109165</v>
      </c>
      <c r="K77" s="2">
        <f>K11/'Output-Calculation-sheet'!K10*'Output-Calculation-sheet'!K64</f>
        <v>616.62070528808522</v>
      </c>
      <c r="L77" s="2">
        <f>L11/'Output-Calculation-sheet'!L10*'Output-Calculation-sheet'!L64</f>
        <v>254.9667441171911</v>
      </c>
      <c r="M77" s="2">
        <f>M11/'Output-Calculation-sheet'!M10*'Output-Calculation-sheet'!M64</f>
        <v>76.611877045580556</v>
      </c>
      <c r="N77" s="2">
        <f>N11/'Output-Calculation-sheet'!N10*'Output-Calculation-sheet'!N64</f>
        <v>25.337706013052603</v>
      </c>
      <c r="O77" s="2">
        <f>O11/'Output-Calculation-sheet'!O10*'Output-Calculation-sheet'!O64</f>
        <v>0</v>
      </c>
      <c r="P77" s="2">
        <f>P11/'Output-Calculation-sheet'!P10*'Output-Calculation-sheet'!P64</f>
        <v>521.72487614621048</v>
      </c>
      <c r="Q77" s="2">
        <f>Q11/'Output-Calculation-sheet'!Q10*'Output-Calculation-sheet'!Q64</f>
        <v>125.84101489664285</v>
      </c>
      <c r="R77" s="2">
        <f>R11/'Output-Calculation-sheet'!R10*'Output-Calculation-sheet'!R64</f>
        <v>648.70686762789478</v>
      </c>
      <c r="S77" s="2">
        <f>S11/'Output-Calculation-sheet'!S10*'Output-Calculation-sheet'!S64</f>
        <v>0</v>
      </c>
      <c r="T77" s="2">
        <f>T11/'Output-Calculation-sheet'!T10*'Output-Calculation-sheet'!T64</f>
        <v>179.87113456884222</v>
      </c>
      <c r="U77" s="2">
        <f>U11/'Output-Calculation-sheet'!U10*'Output-Calculation-sheet'!U64</f>
        <v>197.27925885668068</v>
      </c>
      <c r="V77" s="2">
        <f>V11/'Output-Calculation-sheet'!V10*'Output-Calculation-sheet'!V64</f>
        <v>92.960867100485032</v>
      </c>
      <c r="W77" s="2">
        <f>W11/'Output-Calculation-sheet'!W10*'Output-Calculation-sheet'!W64</f>
        <v>20.397276847765205</v>
      </c>
      <c r="X77" s="2">
        <f>X11/'Output-Calculation-sheet'!X10*'Output-Calculation-sheet'!X64</f>
        <v>7.6373633590896279</v>
      </c>
      <c r="Y77" s="2">
        <f>Y11/'Output-Calculation-sheet'!Y10*'Output-Calculation-sheet'!Y64</f>
        <v>43.048166584424777</v>
      </c>
      <c r="AA77" s="2">
        <f t="shared" si="6"/>
        <v>7.6448781158061632</v>
      </c>
    </row>
    <row r="78" spans="1:27" x14ac:dyDescent="0.25">
      <c r="A78" s="2">
        <v>2035</v>
      </c>
      <c r="B78" s="2">
        <f>B12/'Output-Calculation-sheet'!B11*'Output-Calculation-sheet'!B65</f>
        <v>394.28094266188134</v>
      </c>
      <c r="C78" s="2">
        <f>C12/'Output-Calculation-sheet'!C11*'Output-Calculation-sheet'!C65</f>
        <v>40.307138115080569</v>
      </c>
      <c r="D78" s="2">
        <f>D12/'Output-Calculation-sheet'!D11*'Output-Calculation-sheet'!D65</f>
        <v>1253.2543191277509</v>
      </c>
      <c r="E78" s="2">
        <f>E12/'Output-Calculation-sheet'!E11*'Output-Calculation-sheet'!E65</f>
        <v>1170.1381772574537</v>
      </c>
      <c r="F78" s="2">
        <f>F12/'Output-Calculation-sheet'!F11*'Output-Calculation-sheet'!F65</f>
        <v>276.81825359106955</v>
      </c>
      <c r="G78" s="2">
        <f>G12/'Output-Calculation-sheet'!G11*'Output-Calculation-sheet'!G65</f>
        <v>548.03188204160074</v>
      </c>
      <c r="H78" s="2">
        <f>H12/'Output-Calculation-sheet'!H11*'Output-Calculation-sheet'!H65</f>
        <v>15.836925694845933</v>
      </c>
      <c r="I78" s="2">
        <f>I12/'Output-Calculation-sheet'!I11*'Output-Calculation-sheet'!I65</f>
        <v>363.44349878292809</v>
      </c>
      <c r="J78" s="2">
        <f>J12/'Output-Calculation-sheet'!J11*'Output-Calculation-sheet'!J65</f>
        <v>530.30954544763586</v>
      </c>
      <c r="K78" s="2">
        <f>K12/'Output-Calculation-sheet'!K11*'Output-Calculation-sheet'!K65</f>
        <v>662.00379208085417</v>
      </c>
      <c r="L78" s="2">
        <f>L12/'Output-Calculation-sheet'!L11*'Output-Calculation-sheet'!L65</f>
        <v>558.52192533387245</v>
      </c>
      <c r="M78" s="2">
        <f>M12/'Output-Calculation-sheet'!M11*'Output-Calculation-sheet'!M65</f>
        <v>13.237921802734746</v>
      </c>
      <c r="N78" s="2">
        <f>N12/'Output-Calculation-sheet'!N11*'Output-Calculation-sheet'!N65</f>
        <v>10.74552692946782</v>
      </c>
      <c r="O78" s="2">
        <f>O12/'Output-Calculation-sheet'!O11*'Output-Calculation-sheet'!O65</f>
        <v>7.3250571622849341</v>
      </c>
      <c r="P78" s="2">
        <f>P12/'Output-Calculation-sheet'!P11*'Output-Calculation-sheet'!P65</f>
        <v>306.43152539011061</v>
      </c>
      <c r="Q78" s="2">
        <f>Q12/'Output-Calculation-sheet'!Q11*'Output-Calculation-sheet'!Q65</f>
        <v>115.99180087345631</v>
      </c>
      <c r="R78" s="2">
        <f>R12/'Output-Calculation-sheet'!R11*'Output-Calculation-sheet'!R65</f>
        <v>702.94919374717176</v>
      </c>
      <c r="S78" s="2">
        <f>S12/'Output-Calculation-sheet'!S11*'Output-Calculation-sheet'!S65</f>
        <v>4.1816985207345621</v>
      </c>
      <c r="T78" s="2">
        <f>T12/'Output-Calculation-sheet'!T11*'Output-Calculation-sheet'!T65</f>
        <v>242.14044340159697</v>
      </c>
      <c r="U78" s="2">
        <f>U12/'Output-Calculation-sheet'!U11*'Output-Calculation-sheet'!U65</f>
        <v>165.90760017894101</v>
      </c>
      <c r="V78" s="2">
        <f>V12/'Output-Calculation-sheet'!V11*'Output-Calculation-sheet'!V65</f>
        <v>136.77687147814842</v>
      </c>
      <c r="W78" s="2">
        <f>W12/'Output-Calculation-sheet'!W11*'Output-Calculation-sheet'!W65</f>
        <v>64.676901343718185</v>
      </c>
      <c r="X78" s="2">
        <f>X12/'Output-Calculation-sheet'!X11*'Output-Calculation-sheet'!X65</f>
        <v>1.4182273068673665</v>
      </c>
      <c r="Y78" s="2">
        <f>Y12/'Output-Calculation-sheet'!Y11*'Output-Calculation-sheet'!Y65</f>
        <v>36.447403676772964</v>
      </c>
      <c r="AA78" s="2">
        <f t="shared" si="6"/>
        <v>7.6211765719469797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1.2813524525622046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0.93867968580510797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2.2200321383673127E-3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18.34169392019032</v>
      </c>
      <c r="E89" s="2">
        <f>E12/'Output-Calculation-sheet'!E11*'Output-Calculation-sheet'!E74</f>
        <v>41.300852315246111</v>
      </c>
      <c r="F89" s="2">
        <f>F12/'Output-Calculation-sheet'!F11*'Output-Calculation-sheet'!F74</f>
        <v>18.335572745147235</v>
      </c>
      <c r="G89" s="2">
        <f>G12/'Output-Calculation-sheet'!G11*'Output-Calculation-sheet'!G74</f>
        <v>13.159160521011628</v>
      </c>
      <c r="H89" s="2">
        <f>H12/'Output-Calculation-sheet'!H11*'Output-Calculation-sheet'!H74</f>
        <v>2.124621102072167</v>
      </c>
      <c r="I89" s="2">
        <f>I12/'Output-Calculation-sheet'!I11*'Output-Calculation-sheet'!I74</f>
        <v>11.835851720549975</v>
      </c>
      <c r="J89" s="2">
        <f>J12/'Output-Calculation-sheet'!J11*'Output-Calculation-sheet'!J74</f>
        <v>5.8567862668322324</v>
      </c>
      <c r="K89" s="2">
        <f>K12/'Output-Calculation-sheet'!K11*'Output-Calculation-sheet'!K74</f>
        <v>8.7245686850514446</v>
      </c>
      <c r="L89" s="2">
        <f>L12/'Output-Calculation-sheet'!L11*'Output-Calculation-sheet'!L74</f>
        <v>4.6249169203806257</v>
      </c>
      <c r="M89" s="2">
        <f>M12/'Output-Calculation-sheet'!M11*'Output-Calculation-sheet'!M74</f>
        <v>1.4619460853379069</v>
      </c>
      <c r="N89" s="2">
        <f>N12/'Output-Calculation-sheet'!N11*'Output-Calculation-sheet'!N74</f>
        <v>0.7184279554367734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13.937726002742732</v>
      </c>
      <c r="Q89" s="2">
        <f>Q12/'Output-Calculation-sheet'!Q11*'Output-Calculation-sheet'!Q74</f>
        <v>3.147264423452476</v>
      </c>
      <c r="R89" s="2">
        <f>R12/'Output-Calculation-sheet'!R11*'Output-Calculation-sheet'!R74</f>
        <v>7.4906540543263169</v>
      </c>
      <c r="S89" s="2">
        <f>S12/'Output-Calculation-sheet'!S11*'Output-Calculation-sheet'!S74</f>
        <v>0.82365541082028015</v>
      </c>
      <c r="T89" s="2">
        <f>T12/'Output-Calculation-sheet'!T11*'Output-Calculation-sheet'!T74</f>
        <v>1.6165682287397019</v>
      </c>
      <c r="U89" s="2">
        <f>U12/'Output-Calculation-sheet'!U11*'Output-Calculation-sheet'!U74</f>
        <v>4.0166663481953915</v>
      </c>
      <c r="V89" s="2">
        <f>V12/'Output-Calculation-sheet'!V11*'Output-Calculation-sheet'!V74</f>
        <v>0.30972006462230839</v>
      </c>
      <c r="W89" s="2">
        <f>W12/'Output-Calculation-sheet'!W11*'Output-Calculation-sheet'!W74</f>
        <v>1.8773747565094123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1.9346043187888657</v>
      </c>
      <c r="AA89" s="2">
        <f t="shared" si="7"/>
        <v>0.18038206730092035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8114598676.8824902</v>
      </c>
      <c r="C96" s="2">
        <f>C8/'Output-Calculation-sheet'!C7*'Output-Calculation-sheet'!C79</f>
        <v>1959542846.7811182</v>
      </c>
      <c r="D96" s="2">
        <f>D8/'Output-Calculation-sheet'!D7*'Output-Calculation-sheet'!D79</f>
        <v>1590849393.2729232</v>
      </c>
      <c r="E96" s="2">
        <f>E8/'Output-Calculation-sheet'!E7*'Output-Calculation-sheet'!E79</f>
        <v>5960342374.9903526</v>
      </c>
      <c r="F96" s="2">
        <f>F8/'Output-Calculation-sheet'!F7*'Output-Calculation-sheet'!F79</f>
        <v>1738722457.5053947</v>
      </c>
      <c r="G96" s="2">
        <f>G8/'Output-Calculation-sheet'!G7*'Output-Calculation-sheet'!G79</f>
        <v>1116011996.3152833</v>
      </c>
      <c r="H96" s="2">
        <f>H8/'Output-Calculation-sheet'!H7*'Output-Calculation-sheet'!H79</f>
        <v>1374889783.6875122</v>
      </c>
      <c r="I96" s="2">
        <f>I8/'Output-Calculation-sheet'!I7*'Output-Calculation-sheet'!I79</f>
        <v>802519297.37784815</v>
      </c>
      <c r="J96" s="2">
        <f>J8/'Output-Calculation-sheet'!J7*'Output-Calculation-sheet'!J79</f>
        <v>608150594.20446956</v>
      </c>
      <c r="K96" s="2">
        <f>K8/'Output-Calculation-sheet'!K7*'Output-Calculation-sheet'!K79</f>
        <v>762700654.43050599</v>
      </c>
      <c r="L96" s="2">
        <f>L8/'Output-Calculation-sheet'!L7*'Output-Calculation-sheet'!L79</f>
        <v>692402109.74888515</v>
      </c>
      <c r="M96" s="2">
        <f>M8/'Output-Calculation-sheet'!M7*'Output-Calculation-sheet'!M79</f>
        <v>1060857684.4349214</v>
      </c>
      <c r="N96" s="2">
        <f>N8/'Output-Calculation-sheet'!N7*'Output-Calculation-sheet'!N79</f>
        <v>689628249.82798207</v>
      </c>
      <c r="O96" s="2">
        <f>O8/'Output-Calculation-sheet'!O7*'Output-Calculation-sheet'!O79</f>
        <v>258763019.20314842</v>
      </c>
      <c r="P96" s="2">
        <f>P8/'Output-Calculation-sheet'!P7*'Output-Calculation-sheet'!P79</f>
        <v>1313409797.2463181</v>
      </c>
      <c r="Q96" s="2">
        <f>Q8/'Output-Calculation-sheet'!Q7*'Output-Calculation-sheet'!Q79</f>
        <v>557630882.89012992</v>
      </c>
      <c r="R96" s="2">
        <f>R8/'Output-Calculation-sheet'!R7*'Output-Calculation-sheet'!R79</f>
        <v>740133841.02273321</v>
      </c>
      <c r="S96" s="2">
        <f>S8/'Output-Calculation-sheet'!S7*'Output-Calculation-sheet'!S79</f>
        <v>417405468.45535749</v>
      </c>
      <c r="T96" s="2">
        <f>T8/'Output-Calculation-sheet'!T7*'Output-Calculation-sheet'!T79</f>
        <v>251811969.29487127</v>
      </c>
      <c r="U96" s="2">
        <f>U8/'Output-Calculation-sheet'!U7*'Output-Calculation-sheet'!U79</f>
        <v>198207606.41961956</v>
      </c>
      <c r="V96" s="2">
        <f>V8/'Output-Calculation-sheet'!V7*'Output-Calculation-sheet'!V79</f>
        <v>90970390.177268386</v>
      </c>
      <c r="W96" s="2">
        <f>W8/'Output-Calculation-sheet'!W7*'Output-Calculation-sheet'!W79</f>
        <v>280089608.76333725</v>
      </c>
      <c r="X96" s="2">
        <f>X8/'Output-Calculation-sheet'!X7*'Output-Calculation-sheet'!X79</f>
        <v>126325929.35584567</v>
      </c>
      <c r="Y96" s="2">
        <f>Y8/'Output-Calculation-sheet'!Y7*'Output-Calculation-sheet'!Y79</f>
        <v>173847719.61618051</v>
      </c>
      <c r="AA96" s="2">
        <f t="shared" si="8"/>
        <v>30.879812351904498</v>
      </c>
    </row>
    <row r="97" spans="1:27" x14ac:dyDescent="0.25">
      <c r="A97" s="2">
        <v>2032</v>
      </c>
      <c r="B97" s="2">
        <f>B9/'Output-Calculation-sheet'!B8*'Output-Calculation-sheet'!B80</f>
        <v>9672338569.3545265</v>
      </c>
      <c r="C97" s="2">
        <f>C9/'Output-Calculation-sheet'!C8*'Output-Calculation-sheet'!C80</f>
        <v>2284435273.1142874</v>
      </c>
      <c r="D97" s="2">
        <f>D9/'Output-Calculation-sheet'!D8*'Output-Calculation-sheet'!D80</f>
        <v>1745052841.5689456</v>
      </c>
      <c r="E97" s="2">
        <f>E9/'Output-Calculation-sheet'!E8*'Output-Calculation-sheet'!E80</f>
        <v>7346424732.6378727</v>
      </c>
      <c r="F97" s="2">
        <f>F9/'Output-Calculation-sheet'!F8*'Output-Calculation-sheet'!F80</f>
        <v>2014641819.923106</v>
      </c>
      <c r="G97" s="2">
        <f>G9/'Output-Calculation-sheet'!G8*'Output-Calculation-sheet'!G80</f>
        <v>1234465140.3028677</v>
      </c>
      <c r="H97" s="2">
        <f>H9/'Output-Calculation-sheet'!H8*'Output-Calculation-sheet'!H80</f>
        <v>1616357839.1470187</v>
      </c>
      <c r="I97" s="2">
        <f>I9/'Output-Calculation-sheet'!I8*'Output-Calculation-sheet'!I80</f>
        <v>931018633.42348933</v>
      </c>
      <c r="J97" s="2">
        <f>J9/'Output-Calculation-sheet'!J8*'Output-Calculation-sheet'!J80</f>
        <v>695727613.88619494</v>
      </c>
      <c r="K97" s="2">
        <f>K9/'Output-Calculation-sheet'!K8*'Output-Calculation-sheet'!K80</f>
        <v>858068415.21933508</v>
      </c>
      <c r="L97" s="2">
        <f>L9/'Output-Calculation-sheet'!L8*'Output-Calculation-sheet'!L80</f>
        <v>827666543.8106885</v>
      </c>
      <c r="M97" s="2">
        <f>M9/'Output-Calculation-sheet'!M8*'Output-Calculation-sheet'!M80</f>
        <v>1275196847.4416339</v>
      </c>
      <c r="N97" s="2">
        <f>N9/'Output-Calculation-sheet'!N8*'Output-Calculation-sheet'!N80</f>
        <v>801212535.05909562</v>
      </c>
      <c r="O97" s="2">
        <f>O9/'Output-Calculation-sheet'!O8*'Output-Calculation-sheet'!O80</f>
        <v>297824693.15348446</v>
      </c>
      <c r="P97" s="2">
        <f>P9/'Output-Calculation-sheet'!P8*'Output-Calculation-sheet'!P80</f>
        <v>1502079812.9207416</v>
      </c>
      <c r="Q97" s="2">
        <f>Q9/'Output-Calculation-sheet'!Q8*'Output-Calculation-sheet'!Q80</f>
        <v>649701620.82713592</v>
      </c>
      <c r="R97" s="2">
        <f>R9/'Output-Calculation-sheet'!R8*'Output-Calculation-sheet'!R80</f>
        <v>870605041.39447653</v>
      </c>
      <c r="S97" s="2">
        <f>S9/'Output-Calculation-sheet'!S8*'Output-Calculation-sheet'!S80</f>
        <v>484545185.26814449</v>
      </c>
      <c r="T97" s="2">
        <f>T9/'Output-Calculation-sheet'!T8*'Output-Calculation-sheet'!T80</f>
        <v>282535005.09015077</v>
      </c>
      <c r="U97" s="2">
        <f>U9/'Output-Calculation-sheet'!U8*'Output-Calculation-sheet'!U80</f>
        <v>224819608.69415057</v>
      </c>
      <c r="V97" s="2">
        <f>V9/'Output-Calculation-sheet'!V8*'Output-Calculation-sheet'!V80</f>
        <v>103699832.26077801</v>
      </c>
      <c r="W97" s="2">
        <f>W9/'Output-Calculation-sheet'!W8*'Output-Calculation-sheet'!W80</f>
        <v>320898096.92237258</v>
      </c>
      <c r="X97" s="2">
        <f>X9/'Output-Calculation-sheet'!X8*'Output-Calculation-sheet'!X80</f>
        <v>155420675.4171986</v>
      </c>
      <c r="Y97" s="2">
        <f>Y9/'Output-Calculation-sheet'!Y8*'Output-Calculation-sheet'!Y80</f>
        <v>204021734.24214944</v>
      </c>
      <c r="AA97" s="2">
        <f t="shared" si="8"/>
        <v>36.39875811107985</v>
      </c>
    </row>
    <row r="98" spans="1:27" x14ac:dyDescent="0.25">
      <c r="A98" s="2">
        <v>2033</v>
      </c>
      <c r="B98" s="2">
        <f>B10/'Output-Calculation-sheet'!B9*'Output-Calculation-sheet'!B81</f>
        <v>10302249257.298727</v>
      </c>
      <c r="C98" s="2">
        <f>C10/'Output-Calculation-sheet'!C9*'Output-Calculation-sheet'!C81</f>
        <v>2385600452.0732274</v>
      </c>
      <c r="D98" s="2">
        <f>D10/'Output-Calculation-sheet'!D9*'Output-Calculation-sheet'!D81</f>
        <v>1716185547.7532089</v>
      </c>
      <c r="E98" s="2">
        <f>E10/'Output-Calculation-sheet'!E9*'Output-Calculation-sheet'!E81</f>
        <v>8101058334.1182642</v>
      </c>
      <c r="F98" s="2">
        <f>F10/'Output-Calculation-sheet'!F9*'Output-Calculation-sheet'!F81</f>
        <v>2087243009.6174545</v>
      </c>
      <c r="G98" s="2">
        <f>G10/'Output-Calculation-sheet'!G9*'Output-Calculation-sheet'!G81</f>
        <v>1219412513.3027713</v>
      </c>
      <c r="H98" s="2">
        <f>H10/'Output-Calculation-sheet'!H9*'Output-Calculation-sheet'!H81</f>
        <v>1697611139.6330624</v>
      </c>
      <c r="I98" s="2">
        <f>I10/'Output-Calculation-sheet'!I9*'Output-Calculation-sheet'!I81</f>
        <v>967453359.47503626</v>
      </c>
      <c r="J98" s="2">
        <f>J10/'Output-Calculation-sheet'!J9*'Output-Calculation-sheet'!J81</f>
        <v>713682079.60248411</v>
      </c>
      <c r="K98" s="2">
        <f>K10/'Output-Calculation-sheet'!K9*'Output-Calculation-sheet'!K81</f>
        <v>864234093.2720722</v>
      </c>
      <c r="L98" s="2">
        <f>L10/'Output-Calculation-sheet'!L9*'Output-Calculation-sheet'!L81</f>
        <v>885755415.81755328</v>
      </c>
      <c r="M98" s="2">
        <f>M10/'Output-Calculation-sheet'!M9*'Output-Calculation-sheet'!M81</f>
        <v>1372607291.0706184</v>
      </c>
      <c r="N98" s="2">
        <f>N10/'Output-Calculation-sheet'!N9*'Output-Calculation-sheet'!N81</f>
        <v>834153072.73034513</v>
      </c>
      <c r="O98" s="2">
        <f>O10/'Output-Calculation-sheet'!O9*'Output-Calculation-sheet'!O81</f>
        <v>307660279.27707982</v>
      </c>
      <c r="P98" s="2">
        <f>P10/'Output-Calculation-sheet'!P9*'Output-Calculation-sheet'!P81</f>
        <v>1526315886.0537381</v>
      </c>
      <c r="Q98" s="2">
        <f>Q10/'Output-Calculation-sheet'!Q9*'Output-Calculation-sheet'!Q81</f>
        <v>678191574.73216832</v>
      </c>
      <c r="R98" s="2">
        <f>R10/'Output-Calculation-sheet'!R9*'Output-Calculation-sheet'!R81</f>
        <v>915407726.79663694</v>
      </c>
      <c r="S98" s="2">
        <f>S10/'Output-Calculation-sheet'!S9*'Output-Calculation-sheet'!S81</f>
        <v>502740787.67747378</v>
      </c>
      <c r="T98" s="2">
        <f>T10/'Output-Calculation-sheet'!T9*'Output-Calculation-sheet'!T81</f>
        <v>283250760.33097446</v>
      </c>
      <c r="U98" s="2">
        <f>U10/'Output-Calculation-sheet'!U9*'Output-Calculation-sheet'!U81</f>
        <v>227600657.26936984</v>
      </c>
      <c r="V98" s="2">
        <f>V10/'Output-Calculation-sheet'!V9*'Output-Calculation-sheet'!V81</f>
        <v>105708228.39852342</v>
      </c>
      <c r="W98" s="2">
        <f>W10/'Output-Calculation-sheet'!W9*'Output-Calculation-sheet'!W81</f>
        <v>326903146.12001419</v>
      </c>
      <c r="X98" s="2">
        <f>X10/'Output-Calculation-sheet'!X9*'Output-Calculation-sheet'!X81</f>
        <v>171373782.0189701</v>
      </c>
      <c r="Y98" s="2">
        <f>Y10/'Output-Calculation-sheet'!Y9*'Output-Calculation-sheet'!Y81</f>
        <v>213356636.09715858</v>
      </c>
      <c r="AA98" s="2">
        <f t="shared" si="8"/>
        <v>38.40575503053693</v>
      </c>
    </row>
    <row r="99" spans="1:27" x14ac:dyDescent="0.25">
      <c r="A99" s="2">
        <v>2034</v>
      </c>
      <c r="B99" s="2">
        <f>B11/'Output-Calculation-sheet'!B10*'Output-Calculation-sheet'!B82</f>
        <v>9960148812.720911</v>
      </c>
      <c r="C99" s="2">
        <f>C11/'Output-Calculation-sheet'!C10*'Output-Calculation-sheet'!C82</f>
        <v>2267261053.7502613</v>
      </c>
      <c r="D99" s="2">
        <f>D11/'Output-Calculation-sheet'!D10*'Output-Calculation-sheet'!D82</f>
        <v>1537942177.1049244</v>
      </c>
      <c r="E99" s="2">
        <f>E11/'Output-Calculation-sheet'!E10*'Output-Calculation-sheet'!E82</f>
        <v>8117003547.8220978</v>
      </c>
      <c r="F99" s="2">
        <f>F11/'Output-Calculation-sheet'!F10*'Output-Calculation-sheet'!F82</f>
        <v>1964770931.1003056</v>
      </c>
      <c r="G99" s="2">
        <f>G11/'Output-Calculation-sheet'!G10*'Output-Calculation-sheet'!G82</f>
        <v>1093515536.8894892</v>
      </c>
      <c r="H99" s="2">
        <f>H11/'Output-Calculation-sheet'!H10*'Output-Calculation-sheet'!H82</f>
        <v>1618120461.2089801</v>
      </c>
      <c r="I99" s="2">
        <f>I11/'Output-Calculation-sheet'!I10*'Output-Calculation-sheet'!I82</f>
        <v>914974100.24661613</v>
      </c>
      <c r="J99" s="2">
        <f>J11/'Output-Calculation-sheet'!J10*'Output-Calculation-sheet'!J82</f>
        <v>667009745.37228215</v>
      </c>
      <c r="K99" s="2">
        <f>K11/'Output-Calculation-sheet'!K10*'Output-Calculation-sheet'!K82</f>
        <v>791978104.96613967</v>
      </c>
      <c r="L99" s="2">
        <f>L11/'Output-Calculation-sheet'!L10*'Output-Calculation-sheet'!L82</f>
        <v>862139043.55313623</v>
      </c>
      <c r="M99" s="2">
        <f>M11/'Output-Calculation-sheet'!M10*'Output-Calculation-sheet'!M82</f>
        <v>1343947556.3073132</v>
      </c>
      <c r="N99" s="2">
        <f>N11/'Output-Calculation-sheet'!N10*'Output-Calculation-sheet'!N82</f>
        <v>790738823.6884706</v>
      </c>
      <c r="O99" s="2">
        <f>O11/'Output-Calculation-sheet'!O10*'Output-Calculation-sheet'!O82</f>
        <v>289803953.75282568</v>
      </c>
      <c r="P99" s="2">
        <f>P11/'Output-Calculation-sheet'!P10*'Output-Calculation-sheet'!P82</f>
        <v>1400811981.9471555</v>
      </c>
      <c r="Q99" s="2">
        <f>Q11/'Output-Calculation-sheet'!Q10*'Output-Calculation-sheet'!Q82</f>
        <v>644356966.68100655</v>
      </c>
      <c r="R99" s="2">
        <f>R11/'Output-Calculation-sheet'!R10*'Output-Calculation-sheet'!R82</f>
        <v>874055010.02464747</v>
      </c>
      <c r="S99" s="2">
        <f>S11/'Output-Calculation-sheet'!S10*'Output-Calculation-sheet'!S82</f>
        <v>473663305.03233027</v>
      </c>
      <c r="T99" s="2">
        <f>T11/'Output-Calculation-sheet'!T10*'Output-Calculation-sheet'!T82</f>
        <v>257928412.76284626</v>
      </c>
      <c r="U99" s="2">
        <f>U11/'Output-Calculation-sheet'!U10*'Output-Calculation-sheet'!U82</f>
        <v>209034368.02901018</v>
      </c>
      <c r="V99" s="2">
        <f>V11/'Output-Calculation-sheet'!V10*'Output-Calculation-sheet'!V82</f>
        <v>97916029.557159543</v>
      </c>
      <c r="W99" s="2">
        <f>W11/'Output-Calculation-sheet'!W10*'Output-Calculation-sheet'!W82</f>
        <v>300993765.3069998</v>
      </c>
      <c r="X99" s="2">
        <f>X11/'Output-Calculation-sheet'!X10*'Output-Calculation-sheet'!X82</f>
        <v>172029620.88879052</v>
      </c>
      <c r="Y99" s="2">
        <f>Y11/'Output-Calculation-sheet'!Y10*'Output-Calculation-sheet'!Y82</f>
        <v>202027655.99078482</v>
      </c>
      <c r="AA99" s="2">
        <f t="shared" si="8"/>
        <v>36.852170964704484</v>
      </c>
    </row>
    <row r="100" spans="1:27" x14ac:dyDescent="0.25">
      <c r="A100" s="2">
        <v>2035</v>
      </c>
      <c r="B100" s="2">
        <f>B12/'Output-Calculation-sheet'!B11*'Output-Calculation-sheet'!B83</f>
        <v>8793045968.9933968</v>
      </c>
      <c r="C100" s="2">
        <f>C12/'Output-Calculation-sheet'!C11*'Output-Calculation-sheet'!C83</f>
        <v>1973188668.3593705</v>
      </c>
      <c r="D100" s="2">
        <f>D12/'Output-Calculation-sheet'!D11*'Output-Calculation-sheet'!D83</f>
        <v>1263985738.5455556</v>
      </c>
      <c r="E100" s="2">
        <f>E12/'Output-Calculation-sheet'!E11*'Output-Calculation-sheet'!E83</f>
        <v>7432962980.4128599</v>
      </c>
      <c r="F100" s="2">
        <f>F12/'Output-Calculation-sheet'!F11*'Output-Calculation-sheet'!F83</f>
        <v>1691088346.3205342</v>
      </c>
      <c r="G100" s="2">
        <f>G12/'Output-Calculation-sheet'!G11*'Output-Calculation-sheet'!G83</f>
        <v>896223159.76789737</v>
      </c>
      <c r="H100" s="2">
        <f>H12/'Output-Calculation-sheet'!H11*'Output-Calculation-sheet'!H83</f>
        <v>1408330592.9617608</v>
      </c>
      <c r="I100" s="2">
        <f>I12/'Output-Calculation-sheet'!I11*'Output-Calculation-sheet'!I83</f>
        <v>792535732.71905875</v>
      </c>
      <c r="J100" s="2">
        <f>J12/'Output-Calculation-sheet'!J11*'Output-Calculation-sheet'!J83</f>
        <v>571511841.60859168</v>
      </c>
      <c r="K100" s="2">
        <f>K12/'Output-Calculation-sheet'!K11*'Output-Calculation-sheet'!K83</f>
        <v>664614861.6089859</v>
      </c>
      <c r="L100" s="2">
        <f>L12/'Output-Calculation-sheet'!L11*'Output-Calculation-sheet'!L83</f>
        <v>767862314.85121286</v>
      </c>
      <c r="M100" s="2">
        <f>M12/'Output-Calculation-sheet'!M11*'Output-Calculation-sheet'!M83</f>
        <v>1204185985.1937246</v>
      </c>
      <c r="N100" s="2">
        <f>N12/'Output-Calculation-sheet'!N11*'Output-Calculation-sheet'!N83</f>
        <v>686775097.36216235</v>
      </c>
      <c r="O100" s="2">
        <f>O12/'Output-Calculation-sheet'!O11*'Output-Calculation-sheet'!O83</f>
        <v>250445286.58014217</v>
      </c>
      <c r="P100" s="2">
        <f>P12/'Output-Calculation-sheet'!P11*'Output-Calculation-sheet'!P83</f>
        <v>1169216587.0341792</v>
      </c>
      <c r="Q100" s="2">
        <f>Q12/'Output-Calculation-sheet'!Q11*'Output-Calculation-sheet'!Q83</f>
        <v>560639269.92276466</v>
      </c>
      <c r="R100" s="2">
        <f>R12/'Output-Calculation-sheet'!R11*'Output-Calculation-sheet'!R83</f>
        <v>762511129.4601475</v>
      </c>
      <c r="S100" s="2">
        <f>S12/'Output-Calculation-sheet'!S11*'Output-Calculation-sheet'!S83</f>
        <v>407751558.33030212</v>
      </c>
      <c r="T100" s="2">
        <f>T12/'Output-Calculation-sheet'!T11*'Output-Calculation-sheet'!T83</f>
        <v>214763144.53910309</v>
      </c>
      <c r="U100" s="2">
        <f>U12/'Output-Calculation-sheet'!U11*'Output-Calculation-sheet'!U83</f>
        <v>175323730.51569328</v>
      </c>
      <c r="V100" s="2">
        <f>V12/'Output-Calculation-sheet'!V11*'Output-Calculation-sheet'!V83</f>
        <v>82940013.535224125</v>
      </c>
      <c r="W100" s="2">
        <f>W12/'Output-Calculation-sheet'!W11*'Output-Calculation-sheet'!W83</f>
        <v>252195394.63913229</v>
      </c>
      <c r="X100" s="2">
        <f>X12/'Output-Calculation-sheet'!X11*'Output-Calculation-sheet'!X83</f>
        <v>158154236.38453272</v>
      </c>
      <c r="Y100" s="2">
        <f>Y12/'Output-Calculation-sheet'!Y11*'Output-Calculation-sheet'!Y83</f>
        <v>174334082.35743958</v>
      </c>
      <c r="AA100" s="2">
        <f t="shared" si="8"/>
        <v>32.354585722003783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1680.0460261198996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517.17027340014101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355.8634788636254</v>
      </c>
      <c r="N107" s="2">
        <f>N8/'Output-Calculation-sheet'!N7*'Output-Calculation-sheet'!N88</f>
        <v>139.90243503433678</v>
      </c>
      <c r="O107" s="2">
        <f>O8/'Output-Calculation-sheet'!O7*'Output-Calculation-sheet'!O88</f>
        <v>391.66352383560007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39.038963767610369</v>
      </c>
      <c r="Y107" s="2">
        <f>Y8/'Output-Calculation-sheet'!Y7*'Output-Calculation-sheet'!Y88</f>
        <v>0</v>
      </c>
      <c r="AA107" s="2">
        <f t="shared" si="9"/>
        <v>3.123684701021213</v>
      </c>
    </row>
    <row r="108" spans="1:27" x14ac:dyDescent="0.25">
      <c r="A108" s="2">
        <v>2032</v>
      </c>
      <c r="B108" s="2">
        <f>B9/'Output-Calculation-sheet'!B8*'Output-Calculation-sheet'!B89</f>
        <v>736.19341653763502</v>
      </c>
      <c r="C108" s="2">
        <f>C9/'Output-Calculation-sheet'!C8*'Output-Calculation-sheet'!C89</f>
        <v>2795.3154798565033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752.924201135624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518.08512460543545</v>
      </c>
      <c r="N108" s="2">
        <f>N9/'Output-Calculation-sheet'!N8*'Output-Calculation-sheet'!N89</f>
        <v>363.70975504638392</v>
      </c>
      <c r="O108" s="2">
        <f>O9/'Output-Calculation-sheet'!O8*'Output-Calculation-sheet'!O89</f>
        <v>543.05214165338271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166.7927899770805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56.83501569926581</v>
      </c>
      <c r="Y108" s="2">
        <f>Y9/'Output-Calculation-sheet'!Y8*'Output-Calculation-sheet'!Y89</f>
        <v>0</v>
      </c>
      <c r="AA108" s="2">
        <f t="shared" si="9"/>
        <v>5.9329079245113103</v>
      </c>
    </row>
    <row r="109" spans="1:27" x14ac:dyDescent="0.25">
      <c r="A109" s="2">
        <v>2033</v>
      </c>
      <c r="B109" s="2">
        <f>B10/'Output-Calculation-sheet'!B9*'Output-Calculation-sheet'!B90</f>
        <v>3581.6792824118475</v>
      </c>
      <c r="C109" s="2">
        <f>C10/'Output-Calculation-sheet'!C9*'Output-Calculation-sheet'!C90</f>
        <v>3399.8957736860407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1046.593366772267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720.15809030657169</v>
      </c>
      <c r="N109" s="2">
        <f>N10/'Output-Calculation-sheet'!N9*'Output-Calculation-sheet'!N90</f>
        <v>566.2388889430124</v>
      </c>
      <c r="O109" s="2">
        <f>O10/'Output-Calculation-sheet'!O9*'Output-Calculation-sheet'!O90</f>
        <v>660.50529702403003</v>
      </c>
      <c r="P109" s="2">
        <f>P10/'Output-Calculation-sheet'!P9*'Output-Calculation-sheet'!P90</f>
        <v>0</v>
      </c>
      <c r="Q109" s="2">
        <f>Q10/'Output-Calculation-sheet'!Q9*'Output-Calculation-sheet'!Q90</f>
        <v>124.02799034053163</v>
      </c>
      <c r="R109" s="2">
        <f>R10/'Output-Calculation-sheet'!R9*'Output-Calculation-sheet'!R90</f>
        <v>0</v>
      </c>
      <c r="S109" s="2">
        <f>S10/'Output-Calculation-sheet'!S9*'Output-Calculation-sheet'!S90</f>
        <v>284.01421883689716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79.002840314512056</v>
      </c>
      <c r="Y109" s="2">
        <f>Y10/'Output-Calculation-sheet'!Y9*'Output-Calculation-sheet'!Y90</f>
        <v>0</v>
      </c>
      <c r="AA109" s="2">
        <f t="shared" si="9"/>
        <v>10.462115748635712</v>
      </c>
    </row>
    <row r="110" spans="1:27" x14ac:dyDescent="0.25">
      <c r="A110" s="2">
        <v>2034</v>
      </c>
      <c r="B110" s="2">
        <f>B11/'Output-Calculation-sheet'!B10*'Output-Calculation-sheet'!B91</f>
        <v>5887.6923414054372</v>
      </c>
      <c r="C110" s="2">
        <f>C11/'Output-Calculation-sheet'!C10*'Output-Calculation-sheet'!C91</f>
        <v>4036.406195239771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1146.9517069586045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789.21439518057025</v>
      </c>
      <c r="N110" s="2">
        <f>N11/'Output-Calculation-sheet'!N10*'Output-Calculation-sheet'!N91</f>
        <v>711.03061302904132</v>
      </c>
      <c r="O110" s="2">
        <f>O11/'Output-Calculation-sheet'!O10*'Output-Calculation-sheet'!O91</f>
        <v>784.16158916719633</v>
      </c>
      <c r="P110" s="2">
        <f>P11/'Output-Calculation-sheet'!P10*'Output-Calculation-sheet'!P91</f>
        <v>179.14565268866815</v>
      </c>
      <c r="Q110" s="2">
        <f>Q11/'Output-Calculation-sheet'!Q10*'Output-Calculation-sheet'!Q91</f>
        <v>396.4365237399719</v>
      </c>
      <c r="R110" s="2">
        <f>R11/'Output-Calculation-sheet'!R10*'Output-Calculation-sheet'!R91</f>
        <v>0</v>
      </c>
      <c r="S110" s="2">
        <f>S11/'Output-Calculation-sheet'!S10*'Output-Calculation-sheet'!S91</f>
        <v>407.58729337319846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86.578460584706178</v>
      </c>
      <c r="Y110" s="2">
        <f>Y11/'Output-Calculation-sheet'!Y10*'Output-Calculation-sheet'!Y91</f>
        <v>13.924978425943095</v>
      </c>
      <c r="AA110" s="2">
        <f t="shared" si="9"/>
        <v>14.439129749793109</v>
      </c>
    </row>
    <row r="111" spans="1:27" x14ac:dyDescent="0.25">
      <c r="A111" s="2">
        <v>2035</v>
      </c>
      <c r="B111" s="2">
        <f>B12/'Output-Calculation-sheet'!B11*'Output-Calculation-sheet'!B92</f>
        <v>7838.0669443175566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1309.4799645833914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459.94495809051017</v>
      </c>
      <c r="Q111" s="2">
        <f>Q12/'Output-Calculation-sheet'!Q11*'Output-Calculation-sheet'!Q92</f>
        <v>533.14659333284942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35.75148781121824</v>
      </c>
      <c r="AA111" s="2">
        <f t="shared" si="9"/>
        <v>18.405888000383388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7897865822.4982634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2430011172.3825998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1687852161.3636565</v>
      </c>
      <c r="N118" s="2">
        <f>N8/'Output-Calculation-sheet'!N7*'Output-Calculation-sheet'!N97</f>
        <v>1324482697.7338066</v>
      </c>
      <c r="O118" s="2">
        <f>O8/'Output-Calculation-sheet'!O7*'Output-Calculation-sheet'!O97</f>
        <v>881326008.7715199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479445794.49713713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181918427.75998175</v>
      </c>
      <c r="Y118" s="2">
        <f>Y8/'Output-Calculation-sheet'!Y7*'Output-Calculation-sheet'!Y97</f>
        <v>0</v>
      </c>
      <c r="AA118" s="2">
        <f t="shared" si="10"/>
        <v>16230.174981701188</v>
      </c>
    </row>
    <row r="119" spans="1:27" x14ac:dyDescent="0.25">
      <c r="A119" s="2">
        <v>2032</v>
      </c>
      <c r="B119" s="2">
        <f>B9/'Output-Calculation-sheet'!B8*'Output-Calculation-sheet'!B98</f>
        <v>5522961254.679184</v>
      </c>
      <c r="C119" s="2">
        <f>C9/'Output-Calculation-sheet'!C8*'Output-Calculation-sheet'!C98</f>
        <v>4389761160.6417503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2624209044.0125999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1831707740.1850128</v>
      </c>
      <c r="N119" s="2">
        <f>N9/'Output-Calculation-sheet'!N8*'Output-Calculation-sheet'!N98</f>
        <v>1236999549.7286508</v>
      </c>
      <c r="O119" s="2">
        <f>O9/'Output-Calculation-sheet'!O8*'Output-Calculation-sheet'!O98</f>
        <v>857678215.70179033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513522995.61901641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195999294.94700223</v>
      </c>
      <c r="Y119" s="2">
        <f>Y9/'Output-Calculation-sheet'!Y8*'Output-Calculation-sheet'!Y98</f>
        <v>0</v>
      </c>
      <c r="AA119" s="2">
        <f t="shared" si="10"/>
        <v>17172.839255515006</v>
      </c>
    </row>
    <row r="120" spans="1:27" x14ac:dyDescent="0.25">
      <c r="A120" s="2">
        <v>2033</v>
      </c>
      <c r="B120" s="2">
        <f>B10/'Output-Calculation-sheet'!B9*'Output-Calculation-sheet'!B99</f>
        <v>5152722894.8849955</v>
      </c>
      <c r="C120" s="2">
        <f>C10/'Output-Calculation-sheet'!C9*'Output-Calculation-sheet'!C99</f>
        <v>4235858172.6158133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1388837552.9797862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983030757.59242487</v>
      </c>
      <c r="N120" s="2">
        <f>N10/'Output-Calculation-sheet'!N9*'Output-Calculation-sheet'!N99</f>
        <v>980173305.0449878</v>
      </c>
      <c r="O120" s="2">
        <f>O10/'Output-Calculation-sheet'!O9*'Output-Calculation-sheet'!O99</f>
        <v>829289791.26664615</v>
      </c>
      <c r="P120" s="2">
        <f>P10/'Output-Calculation-sheet'!P9*'Output-Calculation-sheet'!P99</f>
        <v>0</v>
      </c>
      <c r="Q120" s="2">
        <f>Q10/'Output-Calculation-sheet'!Q9*'Output-Calculation-sheet'!Q99</f>
        <v>5991565.2654846804</v>
      </c>
      <c r="R120" s="2">
        <f>R10/'Output-Calculation-sheet'!R9*'Output-Calculation-sheet'!R99</f>
        <v>0</v>
      </c>
      <c r="S120" s="2">
        <f>S10/'Output-Calculation-sheet'!S9*'Output-Calculation-sheet'!S99</f>
        <v>410528800.50663531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-6.7816054347433806E-9</v>
      </c>
      <c r="W120" s="2">
        <f>W10/'Output-Calculation-sheet'!W9*'Output-Calculation-sheet'!W99</f>
        <v>0</v>
      </c>
      <c r="X120" s="2">
        <f>X10/'Output-Calculation-sheet'!X9*'Output-Calculation-sheet'!X99</f>
        <v>98159982.559649795</v>
      </c>
      <c r="Y120" s="2">
        <f>Y10/'Output-Calculation-sheet'!Y9*'Output-Calculation-sheet'!Y99</f>
        <v>0</v>
      </c>
      <c r="AA120" s="2">
        <f t="shared" si="10"/>
        <v>14084.592822716422</v>
      </c>
    </row>
    <row r="121" spans="1:27" x14ac:dyDescent="0.25">
      <c r="A121" s="2">
        <v>2034</v>
      </c>
      <c r="B121" s="2">
        <f>B11/'Output-Calculation-sheet'!B10*'Output-Calculation-sheet'!B100</f>
        <v>4414305404.1198435</v>
      </c>
      <c r="C121" s="2">
        <f>C11/'Output-Calculation-sheet'!C10*'Output-Calculation-sheet'!C100</f>
        <v>529895453.58473217</v>
      </c>
      <c r="D121" s="2">
        <f>D11/'Output-Calculation-sheet'!D10*'Output-Calculation-sheet'!D100</f>
        <v>0</v>
      </c>
      <c r="E121" s="2">
        <f>E11/'Output-Calculation-sheet'!E10*'Output-Calculation-sheet'!E100</f>
        <v>612932943.48363316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1395264268.9356902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509284902.84354293</v>
      </c>
      <c r="M121" s="2">
        <f>M11/'Output-Calculation-sheet'!M10*'Output-Calculation-sheet'!M100</f>
        <v>993004243.02008653</v>
      </c>
      <c r="N121" s="2">
        <f>N11/'Output-Calculation-sheet'!N10*'Output-Calculation-sheet'!N100</f>
        <v>662013740.76936054</v>
      </c>
      <c r="O121" s="2">
        <f>O11/'Output-Calculation-sheet'!O10*'Output-Calculation-sheet'!O100</f>
        <v>103940736.15084352</v>
      </c>
      <c r="P121" s="2">
        <f>P11/'Output-Calculation-sheet'!P10*'Output-Calculation-sheet'!P100</f>
        <v>0</v>
      </c>
      <c r="Q121" s="2">
        <f>Q11/'Output-Calculation-sheet'!Q10*'Output-Calculation-sheet'!Q100</f>
        <v>224945365.0572308</v>
      </c>
      <c r="R121" s="2">
        <f>R11/'Output-Calculation-sheet'!R10*'Output-Calculation-sheet'!R100</f>
        <v>0</v>
      </c>
      <c r="S121" s="2">
        <f>S11/'Output-Calculation-sheet'!S10*'Output-Calculation-sheet'!S100</f>
        <v>247522036.83249605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97569614.895861164</v>
      </c>
      <c r="Y121" s="2">
        <f>Y11/'Output-Calculation-sheet'!Y10*'Output-Calculation-sheet'!Y100</f>
        <v>14160030.25333426</v>
      </c>
      <c r="AA121" s="2">
        <f t="shared" si="10"/>
        <v>9804.8387399466537</v>
      </c>
    </row>
    <row r="122" spans="1:27" x14ac:dyDescent="0.25">
      <c r="A122" s="2">
        <v>2035</v>
      </c>
      <c r="B122" s="2">
        <f>B12/'Output-Calculation-sheet'!B11*'Output-Calculation-sheet'!B101</f>
        <v>2024320390.3044531</v>
      </c>
      <c r="C122" s="2">
        <f>C12/'Output-Calculation-sheet'!C11*'Output-Calculation-sheet'!C101</f>
        <v>175974442.7081269</v>
      </c>
      <c r="D122" s="2">
        <f>D12/'Output-Calculation-sheet'!D11*'Output-Calculation-sheet'!D101</f>
        <v>0</v>
      </c>
      <c r="E122" s="2">
        <f>E12/'Output-Calculation-sheet'!E11*'Output-Calculation-sheet'!E101</f>
        <v>1576318211.8450639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298387205.35882545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1094119679.1323915</v>
      </c>
      <c r="M122" s="2">
        <f>M12/'Output-Calculation-sheet'!M11*'Output-Calculation-sheet'!M101</f>
        <v>273727402.19093871</v>
      </c>
      <c r="N122" s="2">
        <f>N12/'Output-Calculation-sheet'!N11*'Output-Calculation-sheet'!N101</f>
        <v>227526780.07198602</v>
      </c>
      <c r="O122" s="2">
        <f>O12/'Output-Calculation-sheet'!O11*'Output-Calculation-sheet'!O101</f>
        <v>31201317.6425713</v>
      </c>
      <c r="P122" s="2">
        <f>P12/'Output-Calculation-sheet'!P11*'Output-Calculation-sheet'!P101</f>
        <v>70813006.281392068</v>
      </c>
      <c r="Q122" s="2">
        <f>Q12/'Output-Calculation-sheet'!Q11*'Output-Calculation-sheet'!Q101</f>
        <v>349840282.68184149</v>
      </c>
      <c r="R122" s="2">
        <f>R12/'Output-Calculation-sheet'!R11*'Output-Calculation-sheet'!R101</f>
        <v>0</v>
      </c>
      <c r="S122" s="2">
        <f>S12/'Output-Calculation-sheet'!S11*'Output-Calculation-sheet'!S101</f>
        <v>95050205.0535952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8789817.7699070107</v>
      </c>
      <c r="Y122" s="2">
        <f>Y12/'Output-Calculation-sheet'!Y11*'Output-Calculation-sheet'!Y101</f>
        <v>40544346.196341246</v>
      </c>
      <c r="AA122" s="2">
        <f t="shared" si="10"/>
        <v>6266.613087237436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2197866345.9320607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2205698192.3298683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144469.47788633752</v>
      </c>
    </row>
    <row r="130" spans="1:27" x14ac:dyDescent="0.25">
      <c r="A130" s="2">
        <v>2032</v>
      </c>
      <c r="B130" s="2">
        <f>B9/'Output-Calculation-sheet'!B8*'Output-Calculation-sheet'!B107</f>
        <v>49979635635.346199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1818267254.4345071</v>
      </c>
      <c r="O130" s="2">
        <f>O9/'Output-Calculation-sheet'!O8*'Output-Calculation-sheet'!O107</f>
        <v>0</v>
      </c>
      <c r="P130" s="2">
        <f>P9/'Output-Calculation-sheet'!P8*'Output-Calculation-sheet'!P107</f>
        <v>5548191109.4358711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1615458570.4822357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176015.54955826481</v>
      </c>
    </row>
    <row r="131" spans="1:27" x14ac:dyDescent="0.25">
      <c r="A131" s="2">
        <v>2033</v>
      </c>
      <c r="B131" s="2">
        <f>B10/'Output-Calculation-sheet'!B9*'Output-Calculation-sheet'!B108</f>
        <v>38437744783.167542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1408267370.2464406</v>
      </c>
      <c r="O131" s="2">
        <f>O10/'Output-Calculation-sheet'!O9*'Output-Calculation-sheet'!O108</f>
        <v>0</v>
      </c>
      <c r="P131" s="2">
        <f>P10/'Output-Calculation-sheet'!P9*'Output-Calculation-sheet'!P108</f>
        <v>6477916607.4102545</v>
      </c>
      <c r="Q131" s="2">
        <f>Q10/'Output-Calculation-sheet'!Q9*'Output-Calculation-sheet'!Q108</f>
        <v>5464598354.3836832</v>
      </c>
      <c r="R131" s="2">
        <f>R10/'Output-Calculation-sheet'!R9*'Output-Calculation-sheet'!R108</f>
        <v>6131403664.8127995</v>
      </c>
      <c r="S131" s="2">
        <f>S10/'Output-Calculation-sheet'!S9*'Output-Calculation-sheet'!S108</f>
        <v>1366013545.5565131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183457.06240754193</v>
      </c>
    </row>
    <row r="132" spans="1:27" x14ac:dyDescent="0.25">
      <c r="A132" s="2">
        <v>2034</v>
      </c>
      <c r="B132" s="2">
        <f>B11/'Output-Calculation-sheet'!B10*'Output-Calculation-sheet'!B109</f>
        <v>25656269317.737854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24769327607.73201</v>
      </c>
      <c r="F132" s="2">
        <f>F11/'Output-Calculation-sheet'!F10*'Output-Calculation-sheet'!F109</f>
        <v>16336671961.009981</v>
      </c>
      <c r="G132" s="2">
        <f>G11/'Output-Calculation-sheet'!G10*'Output-Calculation-sheet'!G109</f>
        <v>11446623857.916979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10178769734.350891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7577977674.7446966</v>
      </c>
      <c r="M132" s="2">
        <f>M11/'Output-Calculation-sheet'!M10*'Output-Calculation-sheet'!M109</f>
        <v>0</v>
      </c>
      <c r="N132" s="2">
        <f>N11/'Output-Calculation-sheet'!N10*'Output-Calculation-sheet'!N109</f>
        <v>996456937.32039714</v>
      </c>
      <c r="O132" s="2">
        <f>O11/'Output-Calculation-sheet'!O10*'Output-Calculation-sheet'!O109</f>
        <v>0</v>
      </c>
      <c r="P132" s="2">
        <f>P11/'Output-Calculation-sheet'!P10*'Output-Calculation-sheet'!P109</f>
        <v>5661596675.0483189</v>
      </c>
      <c r="Q132" s="2">
        <f>Q11/'Output-Calculation-sheet'!Q10*'Output-Calculation-sheet'!Q109</f>
        <v>3645598645.6513329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683878544.86550331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2034197962.903198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712838815.07484722</v>
      </c>
      <c r="AA132" s="2">
        <f t="shared" si="11"/>
        <v>174164.46770963771</v>
      </c>
    </row>
    <row r="133" spans="1:27" x14ac:dyDescent="0.25">
      <c r="A133" s="2">
        <v>2035</v>
      </c>
      <c r="B133" s="2">
        <f>B12/'Output-Calculation-sheet'!B11*'Output-Calculation-sheet'!B110</f>
        <v>5822550201.003994</v>
      </c>
      <c r="C133" s="2">
        <f>C12/'Output-Calculation-sheet'!C11*'Output-Calculation-sheet'!C110</f>
        <v>0</v>
      </c>
      <c r="D133" s="2">
        <f>D12/'Output-Calculation-sheet'!D11*'Output-Calculation-sheet'!D110</f>
        <v>27691898191.233047</v>
      </c>
      <c r="E133" s="2">
        <f>E12/'Output-Calculation-sheet'!E11*'Output-Calculation-sheet'!E110</f>
        <v>14736000767.827658</v>
      </c>
      <c r="F133" s="2">
        <f>F12/'Output-Calculation-sheet'!F11*'Output-Calculation-sheet'!F110</f>
        <v>14648770374.882687</v>
      </c>
      <c r="G133" s="2">
        <f>G12/'Output-Calculation-sheet'!G11*'Output-Calculation-sheet'!G110</f>
        <v>9924501790.3582096</v>
      </c>
      <c r="H133" s="2">
        <f>H12/'Output-Calculation-sheet'!H11*'Output-Calculation-sheet'!H110</f>
        <v>0</v>
      </c>
      <c r="I133" s="2">
        <f>I12/'Output-Calculation-sheet'!I11*'Output-Calculation-sheet'!I110</f>
        <v>9106625631.271286</v>
      </c>
      <c r="J133" s="2">
        <f>J12/'Output-Calculation-sheet'!J11*'Output-Calculation-sheet'!J110</f>
        <v>9122302850.6845245</v>
      </c>
      <c r="K133" s="2">
        <f>K12/'Output-Calculation-sheet'!K11*'Output-Calculation-sheet'!K110</f>
        <v>8950663943.7315121</v>
      </c>
      <c r="L133" s="2">
        <f>L12/'Output-Calculation-sheet'!L11*'Output-Calculation-sheet'!L110</f>
        <v>6432870943.228138</v>
      </c>
      <c r="M133" s="2">
        <f>M12/'Output-Calculation-sheet'!M11*'Output-Calculation-sheet'!M110</f>
        <v>0</v>
      </c>
      <c r="N133" s="2">
        <f>N12/'Output-Calculation-sheet'!N11*'Output-Calculation-sheet'!N110</f>
        <v>34556.552050222417</v>
      </c>
      <c r="O133" s="2">
        <f>O12/'Output-Calculation-sheet'!O11*'Output-Calculation-sheet'!O110</f>
        <v>0</v>
      </c>
      <c r="P133" s="2">
        <f>P12/'Output-Calculation-sheet'!P11*'Output-Calculation-sheet'!P110</f>
        <v>3214299787.1178584</v>
      </c>
      <c r="Q133" s="2">
        <f>Q12/'Output-Calculation-sheet'!Q11*'Output-Calculation-sheet'!Q110</f>
        <v>2044221259.5670073</v>
      </c>
      <c r="R133" s="2">
        <f>R12/'Output-Calculation-sheet'!R11*'Output-Calculation-sheet'!R110</f>
        <v>5953594938.5618916</v>
      </c>
      <c r="S133" s="2">
        <f>S12/'Output-Calculation-sheet'!S11*'Output-Calculation-sheet'!S110</f>
        <v>5729437.6397610586</v>
      </c>
      <c r="T133" s="2">
        <f>T12/'Output-Calculation-sheet'!T11*'Output-Calculation-sheet'!T110</f>
        <v>2224292112.9960065</v>
      </c>
      <c r="U133" s="2">
        <f>U12/'Output-Calculation-sheet'!U11*'Output-Calculation-sheet'!U110</f>
        <v>1757967933.9485199</v>
      </c>
      <c r="V133" s="2">
        <f>V12/'Output-Calculation-sheet'!V11*'Output-Calculation-sheet'!V110</f>
        <v>1530981742.3754697</v>
      </c>
      <c r="W133" s="2">
        <f>W12/'Output-Calculation-sheet'!W11*'Output-Calculation-sheet'!W110</f>
        <v>1289267401.5978956</v>
      </c>
      <c r="X133" s="2">
        <f>X12/'Output-Calculation-sheet'!X11*'Output-Calculation-sheet'!X110</f>
        <v>0</v>
      </c>
      <c r="Y133" s="2">
        <f>Y12/'Output-Calculation-sheet'!Y11*'Output-Calculation-sheet'!Y110</f>
        <v>488490453.70858037</v>
      </c>
      <c r="AA133" s="2">
        <f t="shared" si="11"/>
        <v>124945.06431828608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14295376359.820953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4494106241.7925463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3089181535.9608083</v>
      </c>
      <c r="N140" s="2">
        <f>N8/'Output-Calculation-sheet'!N7*'Output-Calculation-sheet'!N115</f>
        <v>1166288473.5474155</v>
      </c>
      <c r="O140" s="2">
        <f>O8/'Output-Calculation-sheet'!O7*'Output-Calculation-sheet'!O115</f>
        <v>3430820720.378284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335448025.2678749</v>
      </c>
      <c r="Y140" s="2">
        <f>Y8/'Output-Calculation-sheet'!Y7*'Output-Calculation-sheet'!Y115</f>
        <v>0</v>
      </c>
      <c r="AA140" s="2">
        <f t="shared" si="12"/>
        <v>26811.221356767885</v>
      </c>
    </row>
    <row r="141" spans="1:27" x14ac:dyDescent="0.25">
      <c r="A141" s="2">
        <v>2032</v>
      </c>
      <c r="B141" s="2">
        <f>B9/'Output-Calculation-sheet'!B8*'Output-Calculation-sheet'!B116</f>
        <v>5713825612.5363159</v>
      </c>
      <c r="C141" s="2">
        <f>C9/'Output-Calculation-sheet'!C8*'Output-Calculation-sheet'!C116</f>
        <v>24458552125.914101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6376238475.0171833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4377811613.3407965</v>
      </c>
      <c r="N141" s="2">
        <f>N9/'Output-Calculation-sheet'!N8*'Output-Calculation-sheet'!N116</f>
        <v>3039348598.0007381</v>
      </c>
      <c r="O141" s="2">
        <f>O9/'Output-Calculation-sheet'!O8*'Output-Calculation-sheet'!O116</f>
        <v>4747548716.9021034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1361354628.7674451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476509411.21576285</v>
      </c>
      <c r="Y141" s="2">
        <f>Y9/'Output-Calculation-sheet'!Y8*'Output-Calculation-sheet'!Y116</f>
        <v>0</v>
      </c>
      <c r="AA141" s="2">
        <f t="shared" si="12"/>
        <v>50551.189181694448</v>
      </c>
    </row>
    <row r="142" spans="1:27" x14ac:dyDescent="0.25">
      <c r="A142" s="2">
        <v>2033</v>
      </c>
      <c r="B142" s="2">
        <f>B10/'Output-Calculation-sheet'!B9*'Output-Calculation-sheet'!B117</f>
        <v>27887792168.535053</v>
      </c>
      <c r="C142" s="2">
        <f>C10/'Output-Calculation-sheet'!C9*'Output-Calculation-sheet'!C117</f>
        <v>29448356199.947681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9120373430.0650005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6267403051.5629978</v>
      </c>
      <c r="N142" s="2">
        <f>N10/'Output-Calculation-sheet'!N9*'Output-Calculation-sheet'!N117</f>
        <v>4727827229.9522667</v>
      </c>
      <c r="O142" s="2">
        <f>O10/'Output-Calculation-sheet'!O9*'Output-Calculation-sheet'!O117</f>
        <v>5715552202.3362131</v>
      </c>
      <c r="P142" s="2">
        <f>P10/'Output-Calculation-sheet'!P9*'Output-Calculation-sheet'!P117</f>
        <v>0</v>
      </c>
      <c r="Q142" s="2">
        <f>Q10/'Output-Calculation-sheet'!Q9*'Output-Calculation-sheet'!Q117</f>
        <v>902949541.72901118</v>
      </c>
      <c r="R142" s="2">
        <f>R10/'Output-Calculation-sheet'!R9*'Output-Calculation-sheet'!R117</f>
        <v>0</v>
      </c>
      <c r="S142" s="2">
        <f>S10/'Output-Calculation-sheet'!S9*'Output-Calculation-sheet'!S117</f>
        <v>2298885911.0489159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687082777.36292815</v>
      </c>
      <c r="Y142" s="2">
        <f>Y10/'Output-Calculation-sheet'!Y9*'Output-Calculation-sheet'!Y117</f>
        <v>0</v>
      </c>
      <c r="AA142" s="2">
        <f t="shared" si="12"/>
        <v>87056.222512540073</v>
      </c>
    </row>
    <row r="143" spans="1:27" x14ac:dyDescent="0.25">
      <c r="A143" s="2">
        <v>2034</v>
      </c>
      <c r="B143" s="2">
        <f>B11/'Output-Calculation-sheet'!B10*'Output-Calculation-sheet'!B118</f>
        <v>46085525236.692276</v>
      </c>
      <c r="C143" s="2">
        <f>C11/'Output-Calculation-sheet'!C10*'Output-Calculation-sheet'!C118</f>
        <v>35358918270.300392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9801668059.3682175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6731894587.2580004</v>
      </c>
      <c r="N143" s="2">
        <f>N11/'Output-Calculation-sheet'!N10*'Output-Calculation-sheet'!N118</f>
        <v>5923527200.6511202</v>
      </c>
      <c r="O143" s="2">
        <f>O11/'Output-Calculation-sheet'!O10*'Output-Calculation-sheet'!O118</f>
        <v>6869255521.1046391</v>
      </c>
      <c r="P143" s="2">
        <f>P11/'Output-Calculation-sheet'!P10*'Output-Calculation-sheet'!P118</f>
        <v>1240223802.5190377</v>
      </c>
      <c r="Q143" s="2">
        <f>Q11/'Output-Calculation-sheet'!Q10*'Output-Calculation-sheet'!Q118</f>
        <v>2920071263.9593797</v>
      </c>
      <c r="R143" s="2">
        <f>R11/'Output-Calculation-sheet'!R10*'Output-Calculation-sheet'!R118</f>
        <v>0</v>
      </c>
      <c r="S143" s="2">
        <f>S11/'Output-Calculation-sheet'!S10*'Output-Calculation-sheet'!S118</f>
        <v>3410760728.0246491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739059600.64966822</v>
      </c>
      <c r="Y143" s="2">
        <f>Y11/'Output-Calculation-sheet'!Y10*'Output-Calculation-sheet'!Y118</f>
        <v>86606873.514229804</v>
      </c>
      <c r="AA143" s="2">
        <f t="shared" si="12"/>
        <v>119167.51114404164</v>
      </c>
    </row>
    <row r="144" spans="1:27" x14ac:dyDescent="0.25">
      <c r="A144" s="2">
        <v>2035</v>
      </c>
      <c r="B144" s="2">
        <f>B12/'Output-Calculation-sheet'!B11*'Output-Calculation-sheet'!B119</f>
        <v>65900103814.244186</v>
      </c>
      <c r="C144" s="2">
        <f>C12/'Output-Calculation-sheet'!C11*'Output-Calculation-sheet'!C119</f>
        <v>34877752807.164795</v>
      </c>
      <c r="D144" s="2">
        <f>D12/'Output-Calculation-sheet'!D11*'Output-Calculation-sheet'!D119</f>
        <v>0</v>
      </c>
      <c r="E144" s="2">
        <f>E12/'Output-Calculation-sheet'!E11*'Output-Calculation-sheet'!E119</f>
        <v>7951329977.8215141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10586215714.165556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7231487072.2022495</v>
      </c>
      <c r="N144" s="2">
        <f>N12/'Output-Calculation-sheet'!N11*'Output-Calculation-sheet'!N119</f>
        <v>7137424401.5421028</v>
      </c>
      <c r="O144" s="2">
        <f>O12/'Output-Calculation-sheet'!O11*'Output-Calculation-sheet'!O119</f>
        <v>6777052245.1650639</v>
      </c>
      <c r="P144" s="2">
        <f>P12/'Output-Calculation-sheet'!P11*'Output-Calculation-sheet'!P119</f>
        <v>3281857936.156867</v>
      </c>
      <c r="Q144" s="2">
        <f>Q12/'Output-Calculation-sheet'!Q11*'Output-Calculation-sheet'!Q119</f>
        <v>3992274077.9581161</v>
      </c>
      <c r="R144" s="2">
        <f>R12/'Output-Calculation-sheet'!R11*'Output-Calculation-sheet'!R119</f>
        <v>0</v>
      </c>
      <c r="S144" s="2">
        <f>S12/'Output-Calculation-sheet'!S11*'Output-Calculation-sheet'!S119</f>
        <v>4113363949.5758576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807930882.32957017</v>
      </c>
      <c r="Y144" s="2">
        <f>Y12/'Output-Calculation-sheet'!Y11*'Output-Calculation-sheet'!Y119</f>
        <v>227841523.37484753</v>
      </c>
      <c r="AA144" s="2">
        <f t="shared" si="12"/>
        <v>152884.63440170075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1675499029.6752439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365357366.03757167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43420.091136969342</v>
      </c>
    </row>
    <row r="155" spans="1:27" x14ac:dyDescent="0.25">
      <c r="A155" s="2">
        <v>2035</v>
      </c>
      <c r="B155" s="2">
        <f>B12/'Output-Calculation-sheet'!B11*'Output-Calculation-sheet'!B128</f>
        <v>865839554.06614709</v>
      </c>
      <c r="C155" s="2">
        <f>C12/'Output-Calculation-sheet'!C11*'Output-Calculation-sheet'!C128</f>
        <v>51753571.620434128</v>
      </c>
      <c r="D155" s="2">
        <f>D12/'Output-Calculation-sheet'!D11*'Output-Calculation-sheet'!D128</f>
        <v>3782708416.4774108</v>
      </c>
      <c r="E155" s="2">
        <f>E12/'Output-Calculation-sheet'!E11*'Output-Calculation-sheet'!E128</f>
        <v>885847890.43068862</v>
      </c>
      <c r="F155" s="2">
        <f>F12/'Output-Calculation-sheet'!F11*'Output-Calculation-sheet'!F128</f>
        <v>1530668892.4088457</v>
      </c>
      <c r="G155" s="2">
        <f>G12/'Output-Calculation-sheet'!G11*'Output-Calculation-sheet'!G128</f>
        <v>1445041411.3102996</v>
      </c>
      <c r="H155" s="2">
        <f>H12/'Output-Calculation-sheet'!H11*'Output-Calculation-sheet'!H128</f>
        <v>79559528.490795806</v>
      </c>
      <c r="I155" s="2">
        <f>I12/'Output-Calculation-sheet'!I11*'Output-Calculation-sheet'!I128</f>
        <v>1240925928.3571553</v>
      </c>
      <c r="J155" s="2">
        <f>J12/'Output-Calculation-sheet'!J11*'Output-Calculation-sheet'!J128</f>
        <v>896981458.73102355</v>
      </c>
      <c r="K155" s="2">
        <f>K12/'Output-Calculation-sheet'!K11*'Output-Calculation-sheet'!K128</f>
        <v>992702751.70860577</v>
      </c>
      <c r="L155" s="2">
        <f>L12/'Output-Calculation-sheet'!L11*'Output-Calculation-sheet'!L128</f>
        <v>435339421.45409727</v>
      </c>
      <c r="M155" s="2">
        <f>M12/'Output-Calculation-sheet'!M11*'Output-Calculation-sheet'!M128</f>
        <v>62741484.905987032</v>
      </c>
      <c r="N155" s="2">
        <f>N12/'Output-Calculation-sheet'!N11*'Output-Calculation-sheet'!N128</f>
        <v>57344869.113006376</v>
      </c>
      <c r="O155" s="2">
        <f>O12/'Output-Calculation-sheet'!O11*'Output-Calculation-sheet'!O128</f>
        <v>12558108.570374632</v>
      </c>
      <c r="P155" s="2">
        <f>P12/'Output-Calculation-sheet'!P11*'Output-Calculation-sheet'!P128</f>
        <v>233935970.09969217</v>
      </c>
      <c r="Q155" s="2">
        <f>Q12/'Output-Calculation-sheet'!Q11*'Output-Calculation-sheet'!Q128</f>
        <v>285236197.02576709</v>
      </c>
      <c r="R155" s="2">
        <f>R12/'Output-Calculation-sheet'!R11*'Output-Calculation-sheet'!R128</f>
        <v>511167164.01448035</v>
      </c>
      <c r="S155" s="2">
        <f>S12/'Output-Calculation-sheet'!S11*'Output-Calculation-sheet'!S128</f>
        <v>37226737.129735984</v>
      </c>
      <c r="T155" s="2">
        <f>T12/'Output-Calculation-sheet'!T11*'Output-Calculation-sheet'!T128</f>
        <v>140184108.7484436</v>
      </c>
      <c r="U155" s="2">
        <f>U12/'Output-Calculation-sheet'!U11*'Output-Calculation-sheet'!U128</f>
        <v>322830118.57028633</v>
      </c>
      <c r="V155" s="2">
        <f>V12/'Output-Calculation-sheet'!V11*'Output-Calculation-sheet'!V128</f>
        <v>48152875.316975683</v>
      </c>
      <c r="W155" s="2">
        <f>W12/'Output-Calculation-sheet'!W11*'Output-Calculation-sheet'!W128</f>
        <v>97081368.557907969</v>
      </c>
      <c r="X155" s="2">
        <f>X12/'Output-Calculation-sheet'!X11*'Output-Calculation-sheet'!X128</f>
        <v>2062803.0375874348</v>
      </c>
      <c r="Y155" s="2">
        <f>Y12/'Output-Calculation-sheet'!Y11*'Output-Calculation-sheet'!Y128</f>
        <v>53376514.735529594</v>
      </c>
      <c r="AA155" s="2">
        <f t="shared" si="13"/>
        <v>14071.267144881276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4942.9215300317865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1497.2703686593325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1040.0634439830826</v>
      </c>
      <c r="N19" s="2">
        <f>N8/'Output-Calculation-sheet'!N7*'Output-Calculation-sheet'!N25</f>
        <v>865.2098802377717</v>
      </c>
      <c r="O19" s="2">
        <f>O8/'Output-Calculation-sheet'!O7*'Output-Calculation-sheet'!O25</f>
        <v>543.01272140041533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112.56379631266941</v>
      </c>
      <c r="Y19" s="2">
        <f>Y8/'Output-Calculation-sheet'!Y7*'Output-Calculation-sheet'!Y25</f>
        <v>0</v>
      </c>
      <c r="AA19" s="2">
        <f t="shared" si="0"/>
        <v>10.451751814770521</v>
      </c>
    </row>
    <row r="20" spans="1:27" x14ac:dyDescent="0.25">
      <c r="A20" s="2">
        <v>2032</v>
      </c>
      <c r="B20" s="2">
        <f>B9/'Output-Calculation-sheet'!B8*'Output-Calculation-sheet'!B26</f>
        <v>5023.8439607363644</v>
      </c>
      <c r="C20" s="2">
        <f>C9/'Output-Calculation-sheet'!C8*'Output-Calculation-sheet'!C26</f>
        <v>2754.9533777466054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1653.8121157243738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1155.6953201372273</v>
      </c>
      <c r="N20" s="2">
        <f>N9/'Output-Calculation-sheet'!N8*'Output-Calculation-sheet'!N26</f>
        <v>800.92834937944031</v>
      </c>
      <c r="O20" s="2">
        <f>O9/'Output-Calculation-sheet'!O8*'Output-Calculation-sheet'!O26</f>
        <v>538.2668349219598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379.92293448167146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125.75652968074539</v>
      </c>
      <c r="Y20" s="2">
        <f>Y9/'Output-Calculation-sheet'!Y8*'Output-Calculation-sheet'!Y26</f>
        <v>0</v>
      </c>
      <c r="AA20" s="2">
        <f t="shared" si="0"/>
        <v>12.433179422808388</v>
      </c>
    </row>
    <row r="21" spans="1:27" x14ac:dyDescent="0.25">
      <c r="A21" s="2">
        <v>2033</v>
      </c>
      <c r="B21" s="2">
        <f>B10/'Output-Calculation-sheet'!B9*'Output-Calculation-sheet'!B27</f>
        <v>4510.1222409426173</v>
      </c>
      <c r="C21" s="2">
        <f>C10/'Output-Calculation-sheet'!C9*'Output-Calculation-sheet'!C27</f>
        <v>2772.1119985953969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908.91119054318403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643.33483857095985</v>
      </c>
      <c r="N21" s="2">
        <f>N10/'Output-Calculation-sheet'!N9*'Output-Calculation-sheet'!N27</f>
        <v>651.5034487774077</v>
      </c>
      <c r="O21" s="2">
        <f>O10/'Output-Calculation-sheet'!O9*'Output-Calculation-sheet'!O27</f>
        <v>542.72009725061412</v>
      </c>
      <c r="P21" s="2">
        <f>P10/'Output-Calculation-sheet'!P9*'Output-Calculation-sheet'!P27</f>
        <v>0</v>
      </c>
      <c r="Q21" s="2">
        <f>Q10/'Output-Calculation-sheet'!Q9*'Output-Calculation-sheet'!Q27</f>
        <v>7.5922144188414356</v>
      </c>
      <c r="R21" s="2">
        <f>R10/'Output-Calculation-sheet'!R9*'Output-Calculation-sheet'!R27</f>
        <v>0</v>
      </c>
      <c r="S21" s="2">
        <f>S10/'Output-Calculation-sheet'!S9*'Output-Calculation-sheet'!S27</f>
        <v>310.22182079955928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64.239748508024235</v>
      </c>
      <c r="Y21" s="2">
        <f>Y10/'Output-Calculation-sheet'!Y9*'Output-Calculation-sheet'!Y27</f>
        <v>0</v>
      </c>
      <c r="AA21" s="2">
        <f t="shared" si="0"/>
        <v>10.410757598406605</v>
      </c>
    </row>
    <row r="22" spans="1:27" x14ac:dyDescent="0.25">
      <c r="A22" s="2">
        <v>2034</v>
      </c>
      <c r="B22" s="2">
        <f>B11/'Output-Calculation-sheet'!B10*'Output-Calculation-sheet'!B28</f>
        <v>3687.8455630401445</v>
      </c>
      <c r="C22" s="2">
        <f>C11/'Output-Calculation-sheet'!C10*'Output-Calculation-sheet'!C28</f>
        <v>371.99106459093701</v>
      </c>
      <c r="D22" s="2">
        <f>D11/'Output-Calculation-sheet'!D10*'Output-Calculation-sheet'!D28</f>
        <v>0</v>
      </c>
      <c r="E22" s="2">
        <f>E11/'Output-Calculation-sheet'!E10*'Output-Calculation-sheet'!E28</f>
        <v>1235.2113409582662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979.48161732980634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749.11296228308674</v>
      </c>
      <c r="M22" s="2">
        <f>M11/'Output-Calculation-sheet'!M10*'Output-Calculation-sheet'!M28</f>
        <v>697.09333358066249</v>
      </c>
      <c r="N22" s="2">
        <f>N11/'Output-Calculation-sheet'!N10*'Output-Calculation-sheet'!N28</f>
        <v>466.01087054283244</v>
      </c>
      <c r="O22" s="2">
        <f>O11/'Output-Calculation-sheet'!O10*'Output-Calculation-sheet'!O28</f>
        <v>72.966913053987724</v>
      </c>
      <c r="P22" s="2">
        <f>P11/'Output-Calculation-sheet'!P10*'Output-Calculation-sheet'!P28</f>
        <v>0</v>
      </c>
      <c r="Q22" s="2">
        <f>Q11/'Output-Calculation-sheet'!Q10*'Output-Calculation-sheet'!Q28</f>
        <v>239.87111210892462</v>
      </c>
      <c r="R22" s="2">
        <f>R11/'Output-Calculation-sheet'!R10*'Output-Calculation-sheet'!R28</f>
        <v>0</v>
      </c>
      <c r="S22" s="2">
        <f>S11/'Output-Calculation-sheet'!S10*'Output-Calculation-sheet'!S28</f>
        <v>174.48925418668136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68.49427357586444</v>
      </c>
      <c r="Y22" s="2">
        <f>Y11/'Output-Calculation-sheet'!Y10*'Output-Calculation-sheet'!Y28</f>
        <v>27.920200517930041</v>
      </c>
      <c r="AA22" s="2">
        <f t="shared" si="0"/>
        <v>8.7704885057691246</v>
      </c>
    </row>
    <row r="23" spans="1:27" x14ac:dyDescent="0.25">
      <c r="A23" s="2">
        <v>2035</v>
      </c>
      <c r="B23" s="2">
        <f>B12/'Output-Calculation-sheet'!B11*'Output-Calculation-sheet'!B29</f>
        <v>1575.8787120285767</v>
      </c>
      <c r="C23" s="2">
        <f>C12/'Output-Calculation-sheet'!C11*'Output-Calculation-sheet'!C29</f>
        <v>136.99003149192879</v>
      </c>
      <c r="D23" s="2">
        <f>D12/'Output-Calculation-sheet'!D11*'Output-Calculation-sheet'!D29</f>
        <v>0</v>
      </c>
      <c r="E23" s="2">
        <f>E12/'Output-Calculation-sheet'!E11*'Output-Calculation-sheet'!E29</f>
        <v>2175.3631874967846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232.28728327923847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1459.7670630065952</v>
      </c>
      <c r="M23" s="2">
        <f>M12/'Output-Calculation-sheet'!M11*'Output-Calculation-sheet'!M29</f>
        <v>213.0896818662581</v>
      </c>
      <c r="N23" s="2">
        <f>N12/'Output-Calculation-sheet'!N11*'Output-Calculation-sheet'!N29</f>
        <v>177.12421084293283</v>
      </c>
      <c r="O23" s="2">
        <f>O12/'Output-Calculation-sheet'!O11*'Output-Calculation-sheet'!O29</f>
        <v>24.289840926815426</v>
      </c>
      <c r="P23" s="2">
        <f>P12/'Output-Calculation-sheet'!P11*'Output-Calculation-sheet'!P29</f>
        <v>86.019149696635836</v>
      </c>
      <c r="Q23" s="2">
        <f>Q12/'Output-Calculation-sheet'!Q11*'Output-Calculation-sheet'!Q29</f>
        <v>323.50885977898798</v>
      </c>
      <c r="R23" s="2">
        <f>R12/'Output-Calculation-sheet'!R11*'Output-Calculation-sheet'!R29</f>
        <v>0</v>
      </c>
      <c r="S23" s="2">
        <f>S12/'Output-Calculation-sheet'!S11*'Output-Calculation-sheet'!S29</f>
        <v>73.993952275093491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6.8426685102838842</v>
      </c>
      <c r="Y23" s="2">
        <f>Y12/'Output-Calculation-sheet'!Y11*'Output-Calculation-sheet'!Y29</f>
        <v>59.444370250051129</v>
      </c>
      <c r="AA23" s="2">
        <f t="shared" si="0"/>
        <v>6.544599011450182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986.3209616414523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38.671133685758058</v>
      </c>
    </row>
    <row r="31" spans="1:27" x14ac:dyDescent="0.25">
      <c r="A31" s="2">
        <v>2032</v>
      </c>
      <c r="B31" s="2">
        <f>B9/'Output-Calculation-sheet'!B8*'Output-Calculation-sheet'!B17</f>
        <v>21122.320319986669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825.90498572672186</v>
      </c>
      <c r="O31" s="2">
        <f>O9/'Output-Calculation-sheet'!O8*'Output-Calculation-sheet'!O17</f>
        <v>0</v>
      </c>
      <c r="P31" s="2">
        <f>P9/'Output-Calculation-sheet'!P8*'Output-Calculation-sheet'!P17</f>
        <v>2064.2212926911047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683.57494373155953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48.393748153914672</v>
      </c>
    </row>
    <row r="32" spans="1:27" x14ac:dyDescent="0.25">
      <c r="A32" s="2">
        <v>2033</v>
      </c>
      <c r="B32" s="2">
        <f>B10/'Output-Calculation-sheet'!B9*'Output-Calculation-sheet'!B18</f>
        <v>16314.30455072664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2554.3591347038096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660.32459948700534</v>
      </c>
      <c r="O32" s="2">
        <f>O10/'Output-Calculation-sheet'!O9*'Output-Calculation-sheet'!O18</f>
        <v>0</v>
      </c>
      <c r="P32" s="2">
        <f>P10/'Output-Calculation-sheet'!P9*'Output-Calculation-sheet'!P18</f>
        <v>2628.7778898057977</v>
      </c>
      <c r="Q32" s="2">
        <f>Q10/'Output-Calculation-sheet'!Q9*'Output-Calculation-sheet'!Q18</f>
        <v>2434.0076404800357</v>
      </c>
      <c r="R32" s="2">
        <f>R10/'Output-Calculation-sheet'!R9*'Output-Calculation-sheet'!R18</f>
        <v>1887.6459723963651</v>
      </c>
      <c r="S32" s="2">
        <f>S10/'Output-Calculation-sheet'!S9*'Output-Calculation-sheet'!S18</f>
        <v>600.70020596645838</v>
      </c>
      <c r="T32" s="2">
        <f>T10/'Output-Calculation-sheet'!T9*'Output-Calculation-sheet'!T18</f>
        <v>551.1619140884502</v>
      </c>
      <c r="U32" s="2">
        <f>U10/'Output-Calculation-sheet'!U9*'Output-Calculation-sheet'!U18</f>
        <v>609.28511130005779</v>
      </c>
      <c r="V32" s="2">
        <f>V10/'Output-Calculation-sheet'!V9*'Output-Calculation-sheet'!V18</f>
        <v>449.71617590865355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260.36181328725672</v>
      </c>
      <c r="AA32" s="2">
        <f t="shared" si="1"/>
        <v>51.864823708453741</v>
      </c>
    </row>
    <row r="33" spans="1:27" x14ac:dyDescent="0.25">
      <c r="A33" s="2">
        <v>2034</v>
      </c>
      <c r="B33" s="2">
        <f>B11/'Output-Calculation-sheet'!B10*'Output-Calculation-sheet'!B19</f>
        <v>11147.379613838719</v>
      </c>
      <c r="C33" s="2">
        <f>C11/'Output-Calculation-sheet'!C10*'Output-Calculation-sheet'!C19</f>
        <v>0</v>
      </c>
      <c r="D33" s="2">
        <f>D11/'Output-Calculation-sheet'!D10*'Output-Calculation-sheet'!D19</f>
        <v>7413.488143755123</v>
      </c>
      <c r="E33" s="2">
        <f>E11/'Output-Calculation-sheet'!E10*'Output-Calculation-sheet'!E19</f>
        <v>9190.8534791388447</v>
      </c>
      <c r="F33" s="2">
        <f>F11/'Output-Calculation-sheet'!F10*'Output-Calculation-sheet'!F19</f>
        <v>4208.3325171248389</v>
      </c>
      <c r="G33" s="2">
        <f>G11/'Output-Calculation-sheet'!G10*'Output-Calculation-sheet'!G19</f>
        <v>2506.9631803946236</v>
      </c>
      <c r="H33" s="2">
        <f>H11/'Output-Calculation-sheet'!H10*'Output-Calculation-sheet'!H19</f>
        <v>0</v>
      </c>
      <c r="I33" s="2">
        <f>I11/'Output-Calculation-sheet'!I10*'Output-Calculation-sheet'!I19</f>
        <v>2753.8370887272094</v>
      </c>
      <c r="J33" s="2">
        <f>J11/'Output-Calculation-sheet'!J10*'Output-Calculation-sheet'!J19</f>
        <v>2328.6895205194469</v>
      </c>
      <c r="K33" s="2">
        <f>K11/'Output-Calculation-sheet'!K10*'Output-Calculation-sheet'!K19</f>
        <v>3229.9472638747766</v>
      </c>
      <c r="L33" s="2">
        <f>L11/'Output-Calculation-sheet'!L10*'Output-Calculation-sheet'!L19</f>
        <v>2626.9831202529249</v>
      </c>
      <c r="M33" s="2">
        <f>M11/'Output-Calculation-sheet'!M10*'Output-Calculation-sheet'!M19</f>
        <v>0</v>
      </c>
      <c r="N33" s="2">
        <f>N11/'Output-Calculation-sheet'!N10*'Output-Calculation-sheet'!N19</f>
        <v>498.64262868560394</v>
      </c>
      <c r="O33" s="2">
        <f>O11/'Output-Calculation-sheet'!O10*'Output-Calculation-sheet'!O19</f>
        <v>0</v>
      </c>
      <c r="P33" s="2">
        <f>P11/'Output-Calculation-sheet'!P10*'Output-Calculation-sheet'!P19</f>
        <v>2468.3622592533502</v>
      </c>
      <c r="Q33" s="2">
        <f>Q11/'Output-Calculation-sheet'!Q10*'Output-Calculation-sheet'!Q19</f>
        <v>1572.7696861962133</v>
      </c>
      <c r="R33" s="2">
        <f>R11/'Output-Calculation-sheet'!R10*'Output-Calculation-sheet'!R19</f>
        <v>2333.4030448938161</v>
      </c>
      <c r="S33" s="2">
        <f>S11/'Output-Calculation-sheet'!S10*'Output-Calculation-sheet'!S19</f>
        <v>316.98664810366557</v>
      </c>
      <c r="T33" s="2">
        <f>T11/'Output-Calculation-sheet'!T10*'Output-Calculation-sheet'!T19</f>
        <v>684.52096898565571</v>
      </c>
      <c r="U33" s="2">
        <f>U11/'Output-Calculation-sheet'!U10*'Output-Calculation-sheet'!U19</f>
        <v>740.34739776716378</v>
      </c>
      <c r="V33" s="2">
        <f>V11/'Output-Calculation-sheet'!V10*'Output-Calculation-sheet'!V19</f>
        <v>536.93642846722094</v>
      </c>
      <c r="W33" s="2">
        <f>W11/'Output-Calculation-sheet'!W10*'Output-Calculation-sheet'!W19</f>
        <v>334.32144881736258</v>
      </c>
      <c r="X33" s="2">
        <f>X11/'Output-Calculation-sheet'!X10*'Output-Calculation-sheet'!X19</f>
        <v>0</v>
      </c>
      <c r="Y33" s="2">
        <f>Y11/'Output-Calculation-sheet'!Y10*'Output-Calculation-sheet'!Y19</f>
        <v>273.71382425510825</v>
      </c>
      <c r="AA33" s="2">
        <f t="shared" si="1"/>
        <v>55.166478263051658</v>
      </c>
    </row>
    <row r="34" spans="1:27" x14ac:dyDescent="0.25">
      <c r="A34" s="2">
        <v>2035</v>
      </c>
      <c r="B34" s="2">
        <f>B12/'Output-Calculation-sheet'!B11*'Output-Calculation-sheet'!B20</f>
        <v>2696.5963579653794</v>
      </c>
      <c r="C34" s="2">
        <f>C12/'Output-Calculation-sheet'!C11*'Output-Calculation-sheet'!C20</f>
        <v>0</v>
      </c>
      <c r="D34" s="2">
        <f>D12/'Output-Calculation-sheet'!D11*'Output-Calculation-sheet'!D20</f>
        <v>7060.9877067654479</v>
      </c>
      <c r="E34" s="2">
        <f>E12/'Output-Calculation-sheet'!E11*'Output-Calculation-sheet'!E20</f>
        <v>4609.2512608153529</v>
      </c>
      <c r="F34" s="2">
        <f>F12/'Output-Calculation-sheet'!F11*'Output-Calculation-sheet'!F20</f>
        <v>4387.9134386336809</v>
      </c>
      <c r="G34" s="2">
        <f>G12/'Output-Calculation-sheet'!G11*'Output-Calculation-sheet'!G20</f>
        <v>2367.4340313031739</v>
      </c>
      <c r="H34" s="2">
        <f>H12/'Output-Calculation-sheet'!H11*'Output-Calculation-sheet'!H20</f>
        <v>0</v>
      </c>
      <c r="I34" s="2">
        <f>I12/'Output-Calculation-sheet'!I11*'Output-Calculation-sheet'!I20</f>
        <v>2631.9354024558143</v>
      </c>
      <c r="J34" s="2">
        <f>J12/'Output-Calculation-sheet'!J11*'Output-Calculation-sheet'!J20</f>
        <v>2440.7644456273197</v>
      </c>
      <c r="K34" s="2">
        <f>K12/'Output-Calculation-sheet'!K11*'Output-Calculation-sheet'!K20</f>
        <v>3253.7810664029143</v>
      </c>
      <c r="L34" s="2">
        <f>L12/'Output-Calculation-sheet'!L11*'Output-Calculation-sheet'!L20</f>
        <v>2590.547872265844</v>
      </c>
      <c r="M34" s="2">
        <f>M12/'Output-Calculation-sheet'!M11*'Output-Calculation-sheet'!M20</f>
        <v>0</v>
      </c>
      <c r="N34" s="2">
        <f>N12/'Output-Calculation-sheet'!N11*'Output-Calculation-sheet'!N20</f>
        <v>1.9124934072196974E-2</v>
      </c>
      <c r="O34" s="2">
        <f>O12/'Output-Calculation-sheet'!O11*'Output-Calculation-sheet'!O20</f>
        <v>0</v>
      </c>
      <c r="P34" s="2">
        <f>P12/'Output-Calculation-sheet'!P11*'Output-Calculation-sheet'!P20</f>
        <v>1331.9544669040019</v>
      </c>
      <c r="Q34" s="2">
        <f>Q12/'Output-Calculation-sheet'!Q11*'Output-Calculation-sheet'!Q20</f>
        <v>895.66230811514322</v>
      </c>
      <c r="R34" s="2">
        <f>R12/'Output-Calculation-sheet'!R11*'Output-Calculation-sheet'!R20</f>
        <v>2485.7202472783993</v>
      </c>
      <c r="S34" s="2">
        <f>S12/'Output-Calculation-sheet'!S11*'Output-Calculation-sheet'!S20</f>
        <v>2.9448900765770576</v>
      </c>
      <c r="T34" s="2">
        <f>T12/'Output-Calculation-sheet'!T11*'Output-Calculation-sheet'!T20</f>
        <v>753.46338062890629</v>
      </c>
      <c r="U34" s="2">
        <f>U12/'Output-Calculation-sheet'!U11*'Output-Calculation-sheet'!U20</f>
        <v>693.99651544266771</v>
      </c>
      <c r="V34" s="2">
        <f>V12/'Output-Calculation-sheet'!V11*'Output-Calculation-sheet'!V20</f>
        <v>683.09475198636756</v>
      </c>
      <c r="W34" s="2">
        <f>W12/'Output-Calculation-sheet'!W11*'Output-Calculation-sheet'!W20</f>
        <v>370.4486526530747</v>
      </c>
      <c r="X34" s="2">
        <f>X12/'Output-Calculation-sheet'!X11*'Output-Calculation-sheet'!X20</f>
        <v>0</v>
      </c>
      <c r="Y34" s="2">
        <f>Y12/'Output-Calculation-sheet'!Y11*'Output-Calculation-sheet'!Y20</f>
        <v>169.21845903302264</v>
      </c>
      <c r="AA34" s="2">
        <f t="shared" si="1"/>
        <v>39.425734379287157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1.6698069371815706E-2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3.0581239533560233E-3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1.9756193325171728E-2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4.4176415241665316E-2</v>
      </c>
      <c r="E45" s="2">
        <f>E12/'Output-Calculation-sheet'!E11*'Output-Calculation-sheet'!E38*0.0114</f>
        <v>0.10532552379659299</v>
      </c>
      <c r="F45" s="2">
        <f>F12/'Output-Calculation-sheet'!F11*'Output-Calculation-sheet'!F38*0.0114</f>
        <v>4.4161672242919031E-2</v>
      </c>
      <c r="G45" s="2">
        <f>G12/'Output-Calculation-sheet'!G11*'Output-Calculation-sheet'!G38*0.0114</f>
        <v>3.1694157689984327E-2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2.8506936307024E-2</v>
      </c>
      <c r="J45" s="2">
        <f>J12/'Output-Calculation-sheet'!J11*'Output-Calculation-sheet'!J38*0.0114</f>
        <v>1.4106211957907263E-2</v>
      </c>
      <c r="K45" s="2">
        <f>K12/'Output-Calculation-sheet'!K11*'Output-Calculation-sheet'!K38*0.0114</f>
        <v>2.8017780743140389E-2</v>
      </c>
      <c r="L45" s="2">
        <f>L12/'Output-Calculation-sheet'!L11*'Output-Calculation-sheet'!L38*0.0114</f>
        <v>1.1139224720571418E-2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2.877372990898901E-2</v>
      </c>
      <c r="Q45" s="2">
        <f>Q12/'Output-Calculation-sheet'!Q11*'Output-Calculation-sheet'!Q38*0.0114</f>
        <v>9.0963153556526712E-3</v>
      </c>
      <c r="R45" s="2">
        <f>R12/'Output-Calculation-sheet'!R11*'Output-Calculation-sheet'!R38*0.0114</f>
        <v>1.8041422203176186E-2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3.3373232896137845E-3</v>
      </c>
      <c r="U45" s="2">
        <f>U12/'Output-Calculation-sheet'!U11*'Output-Calculation-sheet'!U38*0.0114</f>
        <v>8.7068146012838788E-3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3.8757451661143075E-3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4.4731598250157285E-3</v>
      </c>
      <c r="AA45" s="2">
        <f t="shared" si="2"/>
        <v>0.59370961868384264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0.13467503176635606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167.3617241322722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0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15.616084896390962</v>
      </c>
      <c r="AA54" s="2">
        <f t="shared" si="3"/>
        <v>4.1225847746462847</v>
      </c>
    </row>
    <row r="55" spans="1:27" x14ac:dyDescent="0.25">
      <c r="A55" s="2">
        <v>2034</v>
      </c>
      <c r="B55" s="2">
        <f>B11/'Output-Calculation-sheet'!B10*'Output-Calculation-sheet'!B46</f>
        <v>1456.7865988350004</v>
      </c>
      <c r="C55" s="2">
        <f>C11/'Output-Calculation-sheet'!C10*'Output-Calculation-sheet'!C46</f>
        <v>0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242.87044405973697</v>
      </c>
      <c r="G55" s="2">
        <f>G11/'Output-Calculation-sheet'!G10*'Output-Calculation-sheet'!G46</f>
        <v>2737.6045312213646</v>
      </c>
      <c r="H55" s="2">
        <f>H11/'Output-Calculation-sheet'!H10*'Output-Calculation-sheet'!H46</f>
        <v>496.63121199475034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1126.5133392022883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368.09268106693321</v>
      </c>
      <c r="N55" s="2">
        <f>N11/'Output-Calculation-sheet'!N10*'Output-Calculation-sheet'!N46</f>
        <v>125.70975787981403</v>
      </c>
      <c r="O55" s="2">
        <f>O11/'Output-Calculation-sheet'!O10*'Output-Calculation-sheet'!O46</f>
        <v>0</v>
      </c>
      <c r="P55" s="2">
        <f>P11/'Output-Calculation-sheet'!P10*'Output-Calculation-sheet'!P46</f>
        <v>2734.0186218612662</v>
      </c>
      <c r="Q55" s="2">
        <f>Q11/'Output-Calculation-sheet'!Q10*'Output-Calculation-sheet'!Q46</f>
        <v>586.01735421407182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0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1042.1764525252763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69.139257937204206</v>
      </c>
      <c r="X55" s="2">
        <f>X11/'Output-Calculation-sheet'!X10*'Output-Calculation-sheet'!X46</f>
        <v>35.132134536742697</v>
      </c>
      <c r="Y55" s="2">
        <f>Y11/'Output-Calculation-sheet'!Y10*'Output-Calculation-sheet'!Y46</f>
        <v>244.3509813317437</v>
      </c>
      <c r="AA55" s="2">
        <f t="shared" si="3"/>
        <v>36.189297326308903</v>
      </c>
    </row>
    <row r="56" spans="1:27" x14ac:dyDescent="0.25">
      <c r="A56" s="2">
        <v>2035</v>
      </c>
      <c r="B56" s="2">
        <f>B12/'Output-Calculation-sheet'!B11*'Output-Calculation-sheet'!B47</f>
        <v>2479.3618609377172</v>
      </c>
      <c r="C56" s="2">
        <f>C12/'Output-Calculation-sheet'!C11*'Output-Calculation-sheet'!C47</f>
        <v>284.34782203338244</v>
      </c>
      <c r="D56" s="2">
        <f>D12/'Output-Calculation-sheet'!D11*'Output-Calculation-sheet'!D47</f>
        <v>6998.4742040743477</v>
      </c>
      <c r="E56" s="2">
        <f>E12/'Output-Calculation-sheet'!E11*'Output-Calculation-sheet'!E47</f>
        <v>9171.3277738670731</v>
      </c>
      <c r="F56" s="2">
        <f>F12/'Output-Calculation-sheet'!F11*'Output-Calculation-sheet'!F47</f>
        <v>968.45772462541731</v>
      </c>
      <c r="G56" s="2">
        <f>G12/'Output-Calculation-sheet'!G11*'Output-Calculation-sheet'!G47</f>
        <v>2589.7463059842453</v>
      </c>
      <c r="H56" s="2">
        <f>H12/'Output-Calculation-sheet'!H11*'Output-Calculation-sheet'!H47</f>
        <v>110.42382230729908</v>
      </c>
      <c r="I56" s="2">
        <f>I12/'Output-Calculation-sheet'!I11*'Output-Calculation-sheet'!I47</f>
        <v>1650.4015756698104</v>
      </c>
      <c r="J56" s="2">
        <f>J12/'Output-Calculation-sheet'!J11*'Output-Calculation-sheet'!J47</f>
        <v>2755.6608798473221</v>
      </c>
      <c r="K56" s="2">
        <f>K12/'Output-Calculation-sheet'!K11*'Output-Calculation-sheet'!K47</f>
        <v>3680.4058476186606</v>
      </c>
      <c r="L56" s="2">
        <f>L12/'Output-Calculation-sheet'!L11*'Output-Calculation-sheet'!L47</f>
        <v>3985.6927750184927</v>
      </c>
      <c r="M56" s="2">
        <f>M12/'Output-Calculation-sheet'!M11*'Output-Calculation-sheet'!M47</f>
        <v>84.321860839556663</v>
      </c>
      <c r="N56" s="2">
        <f>N12/'Output-Calculation-sheet'!N11*'Output-Calculation-sheet'!N47</f>
        <v>79.231869727673171</v>
      </c>
      <c r="O56" s="2">
        <f>O12/'Output-Calculation-sheet'!O11*'Output-Calculation-sheet'!O47</f>
        <v>51.841443495180052</v>
      </c>
      <c r="P56" s="2">
        <f>P12/'Output-Calculation-sheet'!P11*'Output-Calculation-sheet'!P47</f>
        <v>1882.9125010619125</v>
      </c>
      <c r="Q56" s="2">
        <f>Q12/'Output-Calculation-sheet'!Q11*'Output-Calculation-sheet'!Q47</f>
        <v>723.71561645412032</v>
      </c>
      <c r="R56" s="2">
        <f>R12/'Output-Calculation-sheet'!R11*'Output-Calculation-sheet'!R47</f>
        <v>4057.7374148196259</v>
      </c>
      <c r="S56" s="2">
        <f>S12/'Output-Calculation-sheet'!S11*'Output-Calculation-sheet'!S47</f>
        <v>33.933319442919476</v>
      </c>
      <c r="T56" s="2">
        <f>T12/'Output-Calculation-sheet'!T11*'Output-Calculation-sheet'!T47</f>
        <v>1365.0823245148313</v>
      </c>
      <c r="U56" s="2">
        <f>U12/'Output-Calculation-sheet'!U11*'Output-Calculation-sheet'!U47</f>
        <v>956.98585047444715</v>
      </c>
      <c r="V56" s="2">
        <f>V12/'Output-Calculation-sheet'!V11*'Output-Calculation-sheet'!V47</f>
        <v>945.61297056409796</v>
      </c>
      <c r="W56" s="2">
        <f>W12/'Output-Calculation-sheet'!W11*'Output-Calculation-sheet'!W47</f>
        <v>334.70799263504699</v>
      </c>
      <c r="X56" s="2">
        <f>X12/'Output-Calculation-sheet'!X11*'Output-Calculation-sheet'!X47</f>
        <v>8.6403747065903627</v>
      </c>
      <c r="Y56" s="2">
        <f>Y12/'Output-Calculation-sheet'!Y11*'Output-Calculation-sheet'!Y47</f>
        <v>267.11434656837343</v>
      </c>
      <c r="AA56" s="2">
        <f t="shared" si="3"/>
        <v>45.466138477288141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7.1319022049006886</v>
      </c>
      <c r="C63" s="2">
        <f>C8*'Output-Calculation-sheet'!C52/10^9</f>
        <v>3.8102289549188848</v>
      </c>
      <c r="D63" s="2">
        <f>D8*'Output-Calculation-sheet'!D52/10^9</f>
        <v>2.4456821042848511</v>
      </c>
      <c r="E63" s="2">
        <f>E8*'Output-Calculation-sheet'!E52/10^9</f>
        <v>2.4316640372002967</v>
      </c>
      <c r="F63" s="2">
        <f>F8*'Output-Calculation-sheet'!F52/10^9</f>
        <v>1.0298095187296905</v>
      </c>
      <c r="G63" s="2">
        <f>G8*'Output-Calculation-sheet'!G52/10^9</f>
        <v>0.74038652114531223</v>
      </c>
      <c r="H63" s="2">
        <f>H8*'Output-Calculation-sheet'!H52/10^9</f>
        <v>1.20416754958356</v>
      </c>
      <c r="I63" s="2">
        <f>I8*'Output-Calculation-sheet'!I52/10^9</f>
        <v>0.68873135462986879</v>
      </c>
      <c r="J63" s="2">
        <f>J8*'Output-Calculation-sheet'!J52/10^9</f>
        <v>0.9477410275122744</v>
      </c>
      <c r="K63" s="2">
        <f>K8*'Output-Calculation-sheet'!K52/10^9</f>
        <v>0.83267478670307837</v>
      </c>
      <c r="L63" s="2">
        <f>L8*'Output-Calculation-sheet'!L52/10^9</f>
        <v>1.1199876515959835</v>
      </c>
      <c r="M63" s="2">
        <f>M8*'Output-Calculation-sheet'!M52/10^9</f>
        <v>0.98649375000897943</v>
      </c>
      <c r="N63" s="2">
        <f>N8*'Output-Calculation-sheet'!N52/10^9</f>
        <v>0.87043773239913824</v>
      </c>
      <c r="O63" s="2">
        <f>O8*'Output-Calculation-sheet'!O52/10^9</f>
        <v>0.77953995181408253</v>
      </c>
      <c r="P63" s="2">
        <f>P8*'Output-Calculation-sheet'!P52/10^9</f>
        <v>0.57535581621390153</v>
      </c>
      <c r="Q63" s="2">
        <f>Q8*'Output-Calculation-sheet'!Q52/10^9</f>
        <v>0.65113417828791254</v>
      </c>
      <c r="R63" s="2">
        <f>R8*'Output-Calculation-sheet'!R52/10^9</f>
        <v>0.58458924180045191</v>
      </c>
      <c r="S63" s="2">
        <f>S8*'Output-Calculation-sheet'!S52/10^9</f>
        <v>0.43320134119952219</v>
      </c>
      <c r="T63" s="2">
        <f>T8*'Output-Calculation-sheet'!T52/10^9</f>
        <v>0.2222524788992615</v>
      </c>
      <c r="U63" s="2">
        <f>U8*'Output-Calculation-sheet'!U52/10^9</f>
        <v>0.15264062092536612</v>
      </c>
      <c r="V63" s="2">
        <f>V8*'Output-Calculation-sheet'!V52/10^9</f>
        <v>0.27090103033554658</v>
      </c>
      <c r="W63" s="2">
        <f>W8*'Output-Calculation-sheet'!W52/10^9</f>
        <v>9.8053481139855389E-2</v>
      </c>
      <c r="X63" s="2">
        <f>X8*'Output-Calculation-sheet'!X52/10^9</f>
        <v>0.10103248947430399</v>
      </c>
      <c r="Y63" s="2">
        <f>Y8*'Output-Calculation-sheet'!Y52/10^9</f>
        <v>6.3977168835301315E-2</v>
      </c>
      <c r="AA63" s="2">
        <f t="shared" si="4"/>
        <v>28.172584992538113</v>
      </c>
    </row>
    <row r="64" spans="1:27" x14ac:dyDescent="0.25">
      <c r="A64" s="2">
        <v>2032</v>
      </c>
      <c r="B64" s="2">
        <f>B9*'Output-Calculation-sheet'!B53/10^9</f>
        <v>7.2027805873817519</v>
      </c>
      <c r="C64" s="2">
        <f>C9*'Output-Calculation-sheet'!C53/10^9</f>
        <v>3.818416445319389</v>
      </c>
      <c r="D64" s="2">
        <f>D9*'Output-Calculation-sheet'!D53/10^9</f>
        <v>2.1332288731316464</v>
      </c>
      <c r="E64" s="2">
        <f>E9*'Output-Calculation-sheet'!E53/10^9</f>
        <v>2.1845202236783634</v>
      </c>
      <c r="F64" s="2">
        <f>F9*'Output-Calculation-sheet'!F53/10^9</f>
        <v>0.9214169322810436</v>
      </c>
      <c r="G64" s="2">
        <f>G9*'Output-Calculation-sheet'!G53/10^9</f>
        <v>0.65583638523921906</v>
      </c>
      <c r="H64" s="2">
        <f>H9*'Output-Calculation-sheet'!H53/10^9</f>
        <v>1.1983816734611761</v>
      </c>
      <c r="I64" s="2">
        <f>I9*'Output-Calculation-sheet'!I53/10^9</f>
        <v>0.61309983269064716</v>
      </c>
      <c r="J64" s="2">
        <f>J9*'Output-Calculation-sheet'!J53/10^9</f>
        <v>0.8116196057729842</v>
      </c>
      <c r="K64" s="2">
        <f>K9*'Output-Calculation-sheet'!K53/10^9</f>
        <v>0.75307257046032405</v>
      </c>
      <c r="L64" s="2">
        <f>L9*'Output-Calculation-sheet'!L53/10^9</f>
        <v>0.96882561101695641</v>
      </c>
      <c r="M64" s="2">
        <f>M9*'Output-Calculation-sheet'!M53/10^9</f>
        <v>0.95077569682462482</v>
      </c>
      <c r="N64" s="2">
        <f>N9*'Output-Calculation-sheet'!N53/10^9</f>
        <v>0.85600532971094168</v>
      </c>
      <c r="O64" s="2">
        <f>O9*'Output-Calculation-sheet'!O53/10^9</f>
        <v>0.77325792525482706</v>
      </c>
      <c r="P64" s="2">
        <f>P9*'Output-Calculation-sheet'!P53/10^9</f>
        <v>0.57417110779641578</v>
      </c>
      <c r="Q64" s="2">
        <f>Q9*'Output-Calculation-sheet'!Q53/10^9</f>
        <v>0.63454057780171624</v>
      </c>
      <c r="R64" s="2">
        <f>R9*'Output-Calculation-sheet'!R53/10^9</f>
        <v>0.54395112307268279</v>
      </c>
      <c r="S64" s="2">
        <f>S9*'Output-Calculation-sheet'!S53/10^9</f>
        <v>0.43770224771899391</v>
      </c>
      <c r="T64" s="2">
        <f>T9*'Output-Calculation-sheet'!T53/10^9</f>
        <v>0.19553549326194988</v>
      </c>
      <c r="U64" s="2">
        <f>U9*'Output-Calculation-sheet'!U53/10^9</f>
        <v>0.1471754889487214</v>
      </c>
      <c r="V64" s="2">
        <f>V9*'Output-Calculation-sheet'!V53/10^9</f>
        <v>0.23208740798618574</v>
      </c>
      <c r="W64" s="2">
        <f>W9*'Output-Calculation-sheet'!W53/10^9</f>
        <v>8.6239348481779859E-2</v>
      </c>
      <c r="X64" s="2">
        <f>X9*'Output-Calculation-sheet'!X53/10^9</f>
        <v>9.8872179227998735E-2</v>
      </c>
      <c r="Y64" s="2">
        <f>Y9*'Output-Calculation-sheet'!Y53/10^9</f>
        <v>6.0422133386206868E-2</v>
      </c>
      <c r="AA64" s="2">
        <f t="shared" si="4"/>
        <v>26.851934799906555</v>
      </c>
    </row>
    <row r="65" spans="1:27" x14ac:dyDescent="0.25">
      <c r="A65" s="2">
        <v>2033</v>
      </c>
      <c r="B65" s="2">
        <f>B10*'Output-Calculation-sheet'!B54/10^9</f>
        <v>7.0832570321051715</v>
      </c>
      <c r="C65" s="2">
        <f>C10*'Output-Calculation-sheet'!C54/10^9</f>
        <v>3.6614625009352126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1.1498228031530304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0.66993086247999112</v>
      </c>
      <c r="L65" s="2">
        <f>L10*'Output-Calculation-sheet'!L54/10^9</f>
        <v>0.79125314856372186</v>
      </c>
      <c r="M65" s="2">
        <f>M10*'Output-Calculation-sheet'!M54/10^9</f>
        <v>0.87681311404792561</v>
      </c>
      <c r="N65" s="2">
        <f>N10*'Output-Calculation-sheet'!N54/10^9</f>
        <v>0.80458347619417314</v>
      </c>
      <c r="O65" s="2">
        <f>O10*'Output-Calculation-sheet'!O54/10^9</f>
        <v>0.73377327590654418</v>
      </c>
      <c r="P65" s="2">
        <f>P10*'Output-Calculation-sheet'!P54/10^9</f>
        <v>0.56678270222926419</v>
      </c>
      <c r="Q65" s="2">
        <f>Q10*'Output-Calculation-sheet'!Q54/10^9</f>
        <v>0.61741706589042089</v>
      </c>
      <c r="R65" s="2">
        <f>R10*'Output-Calculation-sheet'!R54/10^9</f>
        <v>0.49899028563459663</v>
      </c>
      <c r="S65" s="2">
        <f>S10*'Output-Calculation-sheet'!S54/10^9</f>
        <v>0.42441662057799373</v>
      </c>
      <c r="T65" s="2">
        <f>T10*'Output-Calculation-sheet'!T54/10^9</f>
        <v>0.16683679014889957</v>
      </c>
      <c r="U65" s="2">
        <f>U10*'Output-Calculation-sheet'!U54/10^9</f>
        <v>0.14405763387289533</v>
      </c>
      <c r="V65" s="2">
        <f>V10*'Output-Calculation-sheet'!V54/10^9</f>
        <v>0.18463420166282091</v>
      </c>
      <c r="W65" s="2">
        <f>W10*'Output-Calculation-sheet'!W54/10^9</f>
        <v>7.0294486762733241E-2</v>
      </c>
      <c r="X65" s="2">
        <f>X10*'Output-Calculation-sheet'!X54/10^9</f>
        <v>9.1934474165545108E-2</v>
      </c>
      <c r="Y65" s="2">
        <f>Y10*'Output-Calculation-sheet'!Y54/10^9</f>
        <v>5.7857314385334133E-2</v>
      </c>
      <c r="AA65" s="2">
        <f t="shared" si="4"/>
        <v>24.726962368878549</v>
      </c>
    </row>
    <row r="66" spans="1:27" x14ac:dyDescent="0.25">
      <c r="A66" s="2">
        <v>2034</v>
      </c>
      <c r="B66" s="2">
        <f>B11*'Output-Calculation-sheet'!B55/10^9</f>
        <v>6.776436783827803</v>
      </c>
      <c r="C66" s="2">
        <f>C11*'Output-Calculation-sheet'!C55/10^9</f>
        <v>3.4088054013909375</v>
      </c>
      <c r="D66" s="2">
        <f>D11*'Output-Calculation-sheet'!D55/10^9</f>
        <v>1.5293302181694994</v>
      </c>
      <c r="E66" s="2">
        <f>E11*'Output-Calculation-sheet'!E55/10^9</f>
        <v>1.8519104309459253</v>
      </c>
      <c r="F66" s="2">
        <f>F11*'Output-Calculation-sheet'!F55/10^9</f>
        <v>0.71171671014156357</v>
      </c>
      <c r="G66" s="2">
        <f>G11*'Output-Calculation-sheet'!G55/10^9</f>
        <v>0.50875313788665388</v>
      </c>
      <c r="H66" s="2">
        <f>H11*'Output-Calculation-sheet'!H55/10^9</f>
        <v>1.0615731495775658</v>
      </c>
      <c r="I66" s="2">
        <f>I11*'Output-Calculation-sheet'!I55/10^9</f>
        <v>0.49746892166718565</v>
      </c>
      <c r="J66" s="2">
        <f>J11*'Output-Calculation-sheet'!J55/10^9</f>
        <v>0.5115649900388648</v>
      </c>
      <c r="K66" s="2">
        <f>K11*'Output-Calculation-sheet'!K55/10^9</f>
        <v>0.61186779770619004</v>
      </c>
      <c r="L66" s="2">
        <f>L11*'Output-Calculation-sheet'!L55/10^9</f>
        <v>0.64797785381744111</v>
      </c>
      <c r="M66" s="2">
        <f>M11*'Output-Calculation-sheet'!M55/10^9</f>
        <v>0.77381347691755986</v>
      </c>
      <c r="N66" s="2">
        <f>N11*'Output-Calculation-sheet'!N55/10^9</f>
        <v>0.73103005908443519</v>
      </c>
      <c r="O66" s="2">
        <f>O11*'Output-Calculation-sheet'!O55/10^9</f>
        <v>0.67188702057669558</v>
      </c>
      <c r="P66" s="2">
        <f>P11*'Output-Calculation-sheet'!P55/10^9</f>
        <v>0.56101917795623835</v>
      </c>
      <c r="Q66" s="2">
        <f>Q11*'Output-Calculation-sheet'!Q55/10^9</f>
        <v>0.59346704533324679</v>
      </c>
      <c r="R66" s="2">
        <f>R11*'Output-Calculation-sheet'!R55/10^9</f>
        <v>0.45838806553217165</v>
      </c>
      <c r="S66" s="2">
        <f>S11*'Output-Calculation-sheet'!S55/10^9</f>
        <v>0.39982474222472419</v>
      </c>
      <c r="T66" s="2">
        <f>T11*'Output-Calculation-sheet'!T55/10^9</f>
        <v>0.14366984737143126</v>
      </c>
      <c r="U66" s="2">
        <f>U11*'Output-Calculation-sheet'!U55/10^9</f>
        <v>0.14592595158778301</v>
      </c>
      <c r="V66" s="2">
        <f>V11*'Output-Calculation-sheet'!V55/10^9</f>
        <v>0.13629086705554569</v>
      </c>
      <c r="W66" s="2">
        <f>W11*'Output-Calculation-sheet'!W55/10^9</f>
        <v>6.1713391480943909E-2</v>
      </c>
      <c r="X66" s="2">
        <f>X11*'Output-Calculation-sheet'!X55/10^9</f>
        <v>8.2675671575856424E-2</v>
      </c>
      <c r="Y66" s="2">
        <f>Y11*'Output-Calculation-sheet'!Y55/10^9</f>
        <v>6.0334387501757882E-2</v>
      </c>
      <c r="AA66" s="2">
        <f t="shared" si="4"/>
        <v>22.93744509936802</v>
      </c>
    </row>
    <row r="67" spans="1:27" x14ac:dyDescent="0.25">
      <c r="A67" s="2">
        <v>2035</v>
      </c>
      <c r="B67" s="2">
        <f>B12*'Output-Calculation-sheet'!B56/10^9</f>
        <v>6.4962615639777503</v>
      </c>
      <c r="C67" s="2">
        <f>C12*'Output-Calculation-sheet'!C56/10^9</f>
        <v>3.0490317717968471</v>
      </c>
      <c r="D67" s="2">
        <f>D12*'Output-Calculation-sheet'!D56/10^9</f>
        <v>1.4989771540037433</v>
      </c>
      <c r="E67" s="2">
        <f>E12*'Output-Calculation-sheet'!E56/10^9</f>
        <v>2.0038607368604504</v>
      </c>
      <c r="F67" s="2">
        <f>F12*'Output-Calculation-sheet'!F56/10^9</f>
        <v>0.74333275200680493</v>
      </c>
      <c r="G67" s="2">
        <f>G12*'Output-Calculation-sheet'!G56/10^9</f>
        <v>0.5207164120803065</v>
      </c>
      <c r="H67" s="2">
        <f>H12*'Output-Calculation-sheet'!H56/10^9</f>
        <v>0.95992709205051119</v>
      </c>
      <c r="I67" s="2">
        <f>I12*'Output-Calculation-sheet'!I56/10^9</f>
        <v>0.5058299392537734</v>
      </c>
      <c r="J67" s="2">
        <f>J12*'Output-Calculation-sheet'!J56/10^9</f>
        <v>0.50079236755316214</v>
      </c>
      <c r="K67" s="2">
        <f>K12*'Output-Calculation-sheet'!K56/10^9</f>
        <v>0.60346377443652088</v>
      </c>
      <c r="L67" s="2">
        <f>L12*'Output-Calculation-sheet'!L56/10^9</f>
        <v>0.60618682672112312</v>
      </c>
      <c r="M67" s="2">
        <f>M12*'Output-Calculation-sheet'!M56/10^9</f>
        <v>0.6677652327017527</v>
      </c>
      <c r="N67" s="2">
        <f>N12*'Output-Calculation-sheet'!N56/10^9</f>
        <v>0.65139246181299471</v>
      </c>
      <c r="O67" s="2">
        <f>O12*'Output-Calculation-sheet'!O56/10^9</f>
        <v>0.59270192030898861</v>
      </c>
      <c r="P67" s="2">
        <f>P12*'Output-Calculation-sheet'!P56/10^9</f>
        <v>0.56650412985722942</v>
      </c>
      <c r="Q67" s="2">
        <f>Q12*'Output-Calculation-sheet'!Q56/10^9</f>
        <v>0.57498263433306696</v>
      </c>
      <c r="R67" s="2">
        <f>R12*'Output-Calculation-sheet'!R56/10^9</f>
        <v>0.45773719429794468</v>
      </c>
      <c r="S67" s="2">
        <f>S12*'Output-Calculation-sheet'!S56/10^9</f>
        <v>0.37217708883090816</v>
      </c>
      <c r="T67" s="2">
        <f>T12*'Output-Calculation-sheet'!T56/10^9</f>
        <v>0.13872532145630792</v>
      </c>
      <c r="U67" s="2">
        <f>U12*'Output-Calculation-sheet'!U56/10^9</f>
        <v>0.14504863564871825</v>
      </c>
      <c r="V67" s="2">
        <f>V12*'Output-Calculation-sheet'!V56/10^9</f>
        <v>0.11126650533255381</v>
      </c>
      <c r="W67" s="2">
        <f>W12*'Output-Calculation-sheet'!W56/10^9</f>
        <v>6.7179233297482613E-2</v>
      </c>
      <c r="X67" s="2">
        <f>X12*'Output-Calculation-sheet'!X56/10^9</f>
        <v>7.1385383510316966E-2</v>
      </c>
      <c r="Y67" s="2">
        <f>Y12*'Output-Calculation-sheet'!Y56/10^9</f>
        <v>6.452769220286271E-2</v>
      </c>
      <c r="AA67" s="2">
        <f t="shared" si="4"/>
        <v>21.96977382433213</v>
      </c>
    </row>
    <row r="68" spans="1:27" x14ac:dyDescent="0.25">
      <c r="B68" s="2">
        <f>SUM(B60:B67)</f>
        <v>34.690638172193161</v>
      </c>
      <c r="C68" s="2">
        <f t="shared" ref="C68:Y68" si="5">SUM(C60:C67)</f>
        <v>17.747945074361269</v>
      </c>
      <c r="D68" s="2">
        <f t="shared" si="5"/>
        <v>9.3261296176031969</v>
      </c>
      <c r="E68" s="2">
        <f t="shared" si="5"/>
        <v>10.407420219092096</v>
      </c>
      <c r="F68" s="2">
        <f t="shared" si="5"/>
        <v>4.1920406806648778</v>
      </c>
      <c r="G68" s="2">
        <f t="shared" si="5"/>
        <v>2.9651914962067152</v>
      </c>
      <c r="H68" s="2">
        <f t="shared" si="5"/>
        <v>5.573872267825843</v>
      </c>
      <c r="I68" s="2">
        <f t="shared" si="5"/>
        <v>2.8304550099664207</v>
      </c>
      <c r="J68" s="2">
        <f t="shared" si="5"/>
        <v>3.3995977435330986</v>
      </c>
      <c r="K68" s="2">
        <f t="shared" si="5"/>
        <v>3.4710097917861047</v>
      </c>
      <c r="L68" s="2">
        <f t="shared" si="5"/>
        <v>4.1342310917152263</v>
      </c>
      <c r="M68" s="2">
        <f t="shared" si="5"/>
        <v>4.2556612705008421</v>
      </c>
      <c r="N68" s="2">
        <f t="shared" si="5"/>
        <v>3.9134490592016826</v>
      </c>
      <c r="O68" s="2">
        <f t="shared" si="5"/>
        <v>3.5511600938611374</v>
      </c>
      <c r="P68" s="2">
        <f t="shared" si="5"/>
        <v>2.8438329340530495</v>
      </c>
      <c r="Q68" s="2">
        <f t="shared" si="5"/>
        <v>3.0715415016463634</v>
      </c>
      <c r="R68" s="2">
        <f t="shared" si="5"/>
        <v>2.5436559103378475</v>
      </c>
      <c r="S68" s="2">
        <f t="shared" si="5"/>
        <v>2.0673220405521424</v>
      </c>
      <c r="T68" s="2">
        <f t="shared" si="5"/>
        <v>0.86701993113785014</v>
      </c>
      <c r="U68" s="2">
        <f t="shared" si="5"/>
        <v>0.73484833098348412</v>
      </c>
      <c r="V68" s="2">
        <f t="shared" si="5"/>
        <v>0.9351800123726528</v>
      </c>
      <c r="W68" s="2">
        <f t="shared" si="5"/>
        <v>0.38347994116279499</v>
      </c>
      <c r="X68" s="2">
        <f t="shared" si="5"/>
        <v>0.44590019795402125</v>
      </c>
      <c r="Y68" s="2">
        <f t="shared" si="5"/>
        <v>0.30711869631146294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49.331196569727943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4.9331196569727946E-2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445.31701703509361</v>
      </c>
      <c r="Q76" s="2">
        <f>Q10/'Output-Calculation-sheet'!Q9*'Output-Calculation-sheet'!Q63</f>
        <v>52.898320539325461</v>
      </c>
      <c r="R76" s="2">
        <f>R10/'Output-Calculation-sheet'!R9*'Output-Calculation-sheet'!R63</f>
        <v>339.4424100876729</v>
      </c>
      <c r="S76" s="2">
        <f>S10/'Output-Calculation-sheet'!S9*'Output-Calculation-sheet'!S63</f>
        <v>0</v>
      </c>
      <c r="T76" s="2">
        <f>T10/'Output-Calculation-sheet'!T9*'Output-Calculation-sheet'!T63</f>
        <v>22.298700800510527</v>
      </c>
      <c r="U76" s="2">
        <f>U10/'Output-Calculation-sheet'!U9*'Output-Calculation-sheet'!U63</f>
        <v>120.44171680170079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5.7201296919131543</v>
      </c>
      <c r="AA76" s="2">
        <f t="shared" si="6"/>
        <v>1.0797607506687301</v>
      </c>
    </row>
    <row r="77" spans="1:27" x14ac:dyDescent="0.25">
      <c r="A77" s="2">
        <v>2034</v>
      </c>
      <c r="B77" s="2">
        <f>B11/'Output-Calculation-sheet'!B10*'Output-Calculation-sheet'!B64</f>
        <v>440.94016773537794</v>
      </c>
      <c r="C77" s="2">
        <f>C11/'Output-Calculation-sheet'!C10*'Output-Calculation-sheet'!C64</f>
        <v>0</v>
      </c>
      <c r="D77" s="2">
        <f>D11/'Output-Calculation-sheet'!D10*'Output-Calculation-sheet'!D64</f>
        <v>1483.1108505032662</v>
      </c>
      <c r="E77" s="2">
        <f>E11/'Output-Calculation-sheet'!E10*'Output-Calculation-sheet'!E64</f>
        <v>1839.0157130176365</v>
      </c>
      <c r="F77" s="2">
        <f>F11/'Output-Calculation-sheet'!F10*'Output-Calculation-sheet'!F64</f>
        <v>115.21447317697707</v>
      </c>
      <c r="G77" s="2">
        <f>G11/'Output-Calculation-sheet'!G10*'Output-Calculation-sheet'!G64</f>
        <v>743.01721527212362</v>
      </c>
      <c r="H77" s="2">
        <f>H11/'Output-Calculation-sheet'!H10*'Output-Calculation-sheet'!H64</f>
        <v>121.59802383743464</v>
      </c>
      <c r="I77" s="2">
        <f>I11/'Output-Calculation-sheet'!I10*'Output-Calculation-sheet'!I64</f>
        <v>459.73323389301925</v>
      </c>
      <c r="J77" s="2">
        <f>J11/'Output-Calculation-sheet'!J10*'Output-Calculation-sheet'!J64</f>
        <v>323.08115724647297</v>
      </c>
      <c r="K77" s="2">
        <f>K11/'Output-Calculation-sheet'!K10*'Output-Calculation-sheet'!K64</f>
        <v>704.87305434476889</v>
      </c>
      <c r="L77" s="2">
        <f>L11/'Output-Calculation-sheet'!L10*'Output-Calculation-sheet'!L64</f>
        <v>291.45824352145428</v>
      </c>
      <c r="M77" s="2">
        <f>M11/'Output-Calculation-sheet'!M10*'Output-Calculation-sheet'!M64</f>
        <v>87.576766899150229</v>
      </c>
      <c r="N77" s="2">
        <f>N11/'Output-Calculation-sheet'!N10*'Output-Calculation-sheet'!N64</f>
        <v>28.964103985392573</v>
      </c>
      <c r="O77" s="2">
        <f>O11/'Output-Calculation-sheet'!O10*'Output-Calculation-sheet'!O64</f>
        <v>0</v>
      </c>
      <c r="P77" s="2">
        <f>P11/'Output-Calculation-sheet'!P10*'Output-Calculation-sheet'!P64</f>
        <v>596.39548886866021</v>
      </c>
      <c r="Q77" s="2">
        <f>Q11/'Output-Calculation-sheet'!Q10*'Output-Calculation-sheet'!Q64</f>
        <v>143.85170619692485</v>
      </c>
      <c r="R77" s="2">
        <f>R11/'Output-Calculation-sheet'!R10*'Output-Calculation-sheet'!R64</f>
        <v>741.55147116844216</v>
      </c>
      <c r="S77" s="2">
        <f>S11/'Output-Calculation-sheet'!S10*'Output-Calculation-sheet'!S64</f>
        <v>0</v>
      </c>
      <c r="T77" s="2">
        <f>T11/'Output-Calculation-sheet'!T10*'Output-Calculation-sheet'!T64</f>
        <v>205.61475624267956</v>
      </c>
      <c r="U77" s="2">
        <f>U11/'Output-Calculation-sheet'!U10*'Output-Calculation-sheet'!U64</f>
        <v>225.51437627157438</v>
      </c>
      <c r="V77" s="2">
        <f>V11/'Output-Calculation-sheet'!V10*'Output-Calculation-sheet'!V64</f>
        <v>106.26566666625874</v>
      </c>
      <c r="W77" s="2">
        <f>W11/'Output-Calculation-sheet'!W10*'Output-Calculation-sheet'!W64</f>
        <v>23.316587828952223</v>
      </c>
      <c r="X77" s="2">
        <f>X11/'Output-Calculation-sheet'!X10*'Output-Calculation-sheet'!X64</f>
        <v>8.7304425425468306</v>
      </c>
      <c r="Y77" s="2">
        <f>Y11/'Output-Calculation-sheet'!Y10*'Output-Calculation-sheet'!Y64</f>
        <v>49.209331448137853</v>
      </c>
      <c r="AA77" s="2">
        <f t="shared" si="6"/>
        <v>8.7390328306672505</v>
      </c>
    </row>
    <row r="78" spans="1:27" x14ac:dyDescent="0.25">
      <c r="A78" s="2">
        <v>2035</v>
      </c>
      <c r="B78" s="2">
        <f>B12/'Output-Calculation-sheet'!B11*'Output-Calculation-sheet'!B65</f>
        <v>499.80801350583488</v>
      </c>
      <c r="C78" s="2">
        <f>C12/'Output-Calculation-sheet'!C11*'Output-Calculation-sheet'!C65</f>
        <v>51.095116328460108</v>
      </c>
      <c r="D78" s="2">
        <f>D12/'Output-Calculation-sheet'!D11*'Output-Calculation-sheet'!D65</f>
        <v>1588.6807701938849</v>
      </c>
      <c r="E78" s="2">
        <f>E12/'Output-Calculation-sheet'!E11*'Output-Calculation-sheet'!E65</f>
        <v>1483.3190616669599</v>
      </c>
      <c r="F78" s="2">
        <f>F12/'Output-Calculation-sheet'!F11*'Output-Calculation-sheet'!F65</f>
        <v>350.90709810987522</v>
      </c>
      <c r="G78" s="2">
        <f>G12/'Output-Calculation-sheet'!G11*'Output-Calculation-sheet'!G65</f>
        <v>694.70952476638138</v>
      </c>
      <c r="H78" s="2">
        <f>H12/'Output-Calculation-sheet'!H11*'Output-Calculation-sheet'!H65</f>
        <v>20.075589548258716</v>
      </c>
      <c r="I78" s="2">
        <f>I12/'Output-Calculation-sheet'!I11*'Output-Calculation-sheet'!I65</f>
        <v>460.71710167357151</v>
      </c>
      <c r="J78" s="2">
        <f>J12/'Output-Calculation-sheet'!J11*'Output-Calculation-sheet'!J65</f>
        <v>672.24390472420907</v>
      </c>
      <c r="K78" s="2">
        <f>K12/'Output-Calculation-sheet'!K11*'Output-Calculation-sheet'!K65</f>
        <v>839.18537380845623</v>
      </c>
      <c r="L78" s="2">
        <f>L12/'Output-Calculation-sheet'!L11*'Output-Calculation-sheet'!L65</f>
        <v>708.00716898956841</v>
      </c>
      <c r="M78" s="2">
        <f>M12/'Output-Calculation-sheet'!M11*'Output-Calculation-sheet'!M65</f>
        <v>16.780976920927156</v>
      </c>
      <c r="N78" s="2">
        <f>N12/'Output-Calculation-sheet'!N11*'Output-Calculation-sheet'!N65</f>
        <v>13.62150661513572</v>
      </c>
      <c r="O78" s="2">
        <f>O12/'Output-Calculation-sheet'!O11*'Output-Calculation-sheet'!O65</f>
        <v>9.2855674037432347</v>
      </c>
      <c r="P78" s="2">
        <f>P12/'Output-Calculation-sheet'!P11*'Output-Calculation-sheet'!P65</f>
        <v>388.44619510848349</v>
      </c>
      <c r="Q78" s="2">
        <f>Q12/'Output-Calculation-sheet'!Q11*'Output-Calculation-sheet'!Q65</f>
        <v>147.03635226732808</v>
      </c>
      <c r="R78" s="2">
        <f>R12/'Output-Calculation-sheet'!R11*'Output-Calculation-sheet'!R65</f>
        <v>891.08958132829707</v>
      </c>
      <c r="S78" s="2">
        <f>S12/'Output-Calculation-sheet'!S11*'Output-Calculation-sheet'!S65</f>
        <v>5.3009065480523745</v>
      </c>
      <c r="T78" s="2">
        <f>T12/'Output-Calculation-sheet'!T11*'Output-Calculation-sheet'!T65</f>
        <v>306.94796758097198</v>
      </c>
      <c r="U78" s="2">
        <f>U12/'Output-Calculation-sheet'!U11*'Output-Calculation-sheet'!U65</f>
        <v>210.31183376790077</v>
      </c>
      <c r="V78" s="2">
        <f>V12/'Output-Calculation-sheet'!V11*'Output-Calculation-sheet'!V65</f>
        <v>173.38442980659283</v>
      </c>
      <c r="W78" s="2">
        <f>W12/'Output-Calculation-sheet'!W11*'Output-Calculation-sheet'!W65</f>
        <v>81.987309257394372</v>
      </c>
      <c r="X78" s="2">
        <f>X12/'Output-Calculation-sheet'!X11*'Output-Calculation-sheet'!X65</f>
        <v>1.7978078477736135</v>
      </c>
      <c r="Y78" s="2">
        <f>Y12/'Output-Calculation-sheet'!Y11*'Output-Calculation-sheet'!Y65</f>
        <v>46.202345733851601</v>
      </c>
      <c r="AA78" s="2">
        <f t="shared" si="6"/>
        <v>9.6609415035019115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1.464742927352255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1.073025948545973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2.5377688758982278E-3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23.250744864034377</v>
      </c>
      <c r="E89" s="2">
        <f>E12/'Output-Calculation-sheet'!E11*'Output-Calculation-sheet'!E74</f>
        <v>52.354792530470199</v>
      </c>
      <c r="F89" s="2">
        <f>F12/'Output-Calculation-sheet'!F11*'Output-Calculation-sheet'!F74</f>
        <v>23.242985391010016</v>
      </c>
      <c r="G89" s="2">
        <f>G12/'Output-Calculation-sheet'!G11*'Output-Calculation-sheet'!G74</f>
        <v>16.68113562630754</v>
      </c>
      <c r="H89" s="2">
        <f>H12/'Output-Calculation-sheet'!H11*'Output-Calculation-sheet'!H74</f>
        <v>2.6932639587146117</v>
      </c>
      <c r="I89" s="2">
        <f>I12/'Output-Calculation-sheet'!I11*'Output-Calculation-sheet'!I74</f>
        <v>15.003650687907367</v>
      </c>
      <c r="J89" s="2">
        <f>J12/'Output-Calculation-sheet'!J11*'Output-Calculation-sheet'!J74</f>
        <v>7.424322083109085</v>
      </c>
      <c r="K89" s="2">
        <f>K12/'Output-Calculation-sheet'!K11*'Output-Calculation-sheet'!K74</f>
        <v>11.059650293344891</v>
      </c>
      <c r="L89" s="2">
        <f>L12/'Output-Calculation-sheet'!L11*'Output-Calculation-sheet'!L74</f>
        <v>5.8627498529323256</v>
      </c>
      <c r="M89" s="2">
        <f>M12/'Output-Calculation-sheet'!M11*'Output-Calculation-sheet'!M74</f>
        <v>1.853227710759487</v>
      </c>
      <c r="N89" s="2">
        <f>N12/'Output-Calculation-sheet'!N11*'Output-Calculation-sheet'!N74</f>
        <v>0.91071114629509387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17.668079768677462</v>
      </c>
      <c r="Q89" s="2">
        <f>Q12/'Output-Calculation-sheet'!Q11*'Output-Calculation-sheet'!Q74</f>
        <v>3.9896119980932765</v>
      </c>
      <c r="R89" s="2">
        <f>R12/'Output-Calculation-sheet'!R11*'Output-Calculation-sheet'!R74</f>
        <v>9.4954853700927284</v>
      </c>
      <c r="S89" s="2">
        <f>S12/'Output-Calculation-sheet'!S11*'Output-Calculation-sheet'!S74</f>
        <v>1.0441021367052146</v>
      </c>
      <c r="T89" s="2">
        <f>T12/'Output-Calculation-sheet'!T11*'Output-Calculation-sheet'!T74</f>
        <v>2.0492335988856571</v>
      </c>
      <c r="U89" s="2">
        <f>U12/'Output-Calculation-sheet'!U11*'Output-Calculation-sheet'!U74</f>
        <v>5.0917044451952496</v>
      </c>
      <c r="V89" s="2">
        <f>V12/'Output-Calculation-sheet'!V11*'Output-Calculation-sheet'!V74</f>
        <v>0.39261489332119492</v>
      </c>
      <c r="W89" s="2">
        <f>W12/'Output-Calculation-sheet'!W11*'Output-Calculation-sheet'!W74</f>
        <v>2.3798435230526449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2.4523902549428338</v>
      </c>
      <c r="AA89" s="2">
        <f t="shared" si="7"/>
        <v>0.22866031038954648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8141291262.5715942</v>
      </c>
      <c r="C96" s="2">
        <f>C8/'Output-Calculation-sheet'!C7*'Output-Calculation-sheet'!C79</f>
        <v>1965988669.6039014</v>
      </c>
      <c r="D96" s="2">
        <f>D8/'Output-Calculation-sheet'!D7*'Output-Calculation-sheet'!D79</f>
        <v>1596082416.5485377</v>
      </c>
      <c r="E96" s="2">
        <f>E8/'Output-Calculation-sheet'!E7*'Output-Calculation-sheet'!E79</f>
        <v>5979948637.2241316</v>
      </c>
      <c r="F96" s="2">
        <f>F8/'Output-Calculation-sheet'!F7*'Output-Calculation-sheet'!F79</f>
        <v>1744441902.1796892</v>
      </c>
      <c r="G96" s="2">
        <f>G8/'Output-Calculation-sheet'!G7*'Output-Calculation-sheet'!G79</f>
        <v>1119683064.5994833</v>
      </c>
      <c r="H96" s="2">
        <f>H8/'Output-Calculation-sheet'!H7*'Output-Calculation-sheet'!H79</f>
        <v>1379412418.1178143</v>
      </c>
      <c r="I96" s="2">
        <f>I8/'Output-Calculation-sheet'!I7*'Output-Calculation-sheet'!I79</f>
        <v>805159146.36673844</v>
      </c>
      <c r="J96" s="2">
        <f>J8/'Output-Calculation-sheet'!J7*'Output-Calculation-sheet'!J79</f>
        <v>610151076.60588884</v>
      </c>
      <c r="K96" s="2">
        <f>K8/'Output-Calculation-sheet'!K7*'Output-Calculation-sheet'!K79</f>
        <v>765209521.89076877</v>
      </c>
      <c r="L96" s="2">
        <f>L8/'Output-Calculation-sheet'!L7*'Output-Calculation-sheet'!L79</f>
        <v>694679733.4961251</v>
      </c>
      <c r="M96" s="2">
        <f>M8/'Output-Calculation-sheet'!M7*'Output-Calculation-sheet'!M79</f>
        <v>1064347325.2382795</v>
      </c>
      <c r="N96" s="2">
        <f>N8/'Output-Calculation-sheet'!N7*'Output-Calculation-sheet'!N79</f>
        <v>691896749.09518588</v>
      </c>
      <c r="O96" s="2">
        <f>O8/'Output-Calculation-sheet'!O7*'Output-Calculation-sheet'!O79</f>
        <v>259614207.82482713</v>
      </c>
      <c r="P96" s="2">
        <f>P8/'Output-Calculation-sheet'!P7*'Output-Calculation-sheet'!P79</f>
        <v>1317730196.190727</v>
      </c>
      <c r="Q96" s="2">
        <f>Q8/'Output-Calculation-sheet'!Q7*'Output-Calculation-sheet'!Q79</f>
        <v>559465183.10843158</v>
      </c>
      <c r="R96" s="2">
        <f>R8/'Output-Calculation-sheet'!R7*'Output-Calculation-sheet'!R79</f>
        <v>742568476.02559376</v>
      </c>
      <c r="S96" s="2">
        <f>S8/'Output-Calculation-sheet'!S7*'Output-Calculation-sheet'!S79</f>
        <v>418778503.85458022</v>
      </c>
      <c r="T96" s="2">
        <f>T8/'Output-Calculation-sheet'!T7*'Output-Calculation-sheet'!T79</f>
        <v>252640292.76909241</v>
      </c>
      <c r="U96" s="2">
        <f>U8/'Output-Calculation-sheet'!U7*'Output-Calculation-sheet'!U79</f>
        <v>198859600.89639643</v>
      </c>
      <c r="V96" s="2">
        <f>V8/'Output-Calculation-sheet'!V7*'Output-Calculation-sheet'!V79</f>
        <v>91269632.941041261</v>
      </c>
      <c r="W96" s="2">
        <f>W8/'Output-Calculation-sheet'!W7*'Output-Calculation-sheet'!W79</f>
        <v>281010950.18516779</v>
      </c>
      <c r="X96" s="2">
        <f>X8/'Output-Calculation-sheet'!X7*'Output-Calculation-sheet'!X79</f>
        <v>126741472.48106433</v>
      </c>
      <c r="Y96" s="2">
        <f>Y8/'Output-Calculation-sheet'!Y7*'Output-Calculation-sheet'!Y79</f>
        <v>174419583.40605965</v>
      </c>
      <c r="AA96" s="2">
        <f t="shared" si="8"/>
        <v>30.981390023221117</v>
      </c>
    </row>
    <row r="97" spans="1:27" x14ac:dyDescent="0.25">
      <c r="A97" s="2">
        <v>2032</v>
      </c>
      <c r="B97" s="2">
        <f>B9/'Output-Calculation-sheet'!B8*'Output-Calculation-sheet'!B80</f>
        <v>9884575089.4232731</v>
      </c>
      <c r="C97" s="2">
        <f>C9/'Output-Calculation-sheet'!C8*'Output-Calculation-sheet'!C80</f>
        <v>2334561784.8375454</v>
      </c>
      <c r="D97" s="2">
        <f>D9/'Output-Calculation-sheet'!D8*'Output-Calculation-sheet'!D80</f>
        <v>1783343885.6401398</v>
      </c>
      <c r="E97" s="2">
        <f>E9/'Output-Calculation-sheet'!E8*'Output-Calculation-sheet'!E80</f>
        <v>7507624592.322484</v>
      </c>
      <c r="F97" s="2">
        <f>F9/'Output-Calculation-sheet'!F8*'Output-Calculation-sheet'!F80</f>
        <v>2058848354.4627643</v>
      </c>
      <c r="G97" s="2">
        <f>G9/'Output-Calculation-sheet'!G8*'Output-Calculation-sheet'!G80</f>
        <v>1261552548.7558923</v>
      </c>
      <c r="H97" s="2">
        <f>H9/'Output-Calculation-sheet'!H8*'Output-Calculation-sheet'!H80</f>
        <v>1651824976.748395</v>
      </c>
      <c r="I97" s="2">
        <f>I9/'Output-Calculation-sheet'!I8*'Output-Calculation-sheet'!I80</f>
        <v>951447628.27929544</v>
      </c>
      <c r="J97" s="2">
        <f>J9/'Output-Calculation-sheet'!J8*'Output-Calculation-sheet'!J80</f>
        <v>710993705.60002041</v>
      </c>
      <c r="K97" s="2">
        <f>K9/'Output-Calculation-sheet'!K8*'Output-Calculation-sheet'!K80</f>
        <v>876896690.62773061</v>
      </c>
      <c r="L97" s="2">
        <f>L9/'Output-Calculation-sheet'!L8*'Output-Calculation-sheet'!L80</f>
        <v>845827722.28641534</v>
      </c>
      <c r="M97" s="2">
        <f>M9/'Output-Calculation-sheet'!M8*'Output-Calculation-sheet'!M80</f>
        <v>1303178016.5625269</v>
      </c>
      <c r="N97" s="2">
        <f>N9/'Output-Calculation-sheet'!N8*'Output-Calculation-sheet'!N80</f>
        <v>818793243.08095574</v>
      </c>
      <c r="O97" s="2">
        <f>O9/'Output-Calculation-sheet'!O8*'Output-Calculation-sheet'!O80</f>
        <v>304359749.3875277</v>
      </c>
      <c r="P97" s="2">
        <f>P9/'Output-Calculation-sheet'!P8*'Output-Calculation-sheet'!P80</f>
        <v>1535039390.3873401</v>
      </c>
      <c r="Q97" s="2">
        <f>Q9/'Output-Calculation-sheet'!Q8*'Output-Calculation-sheet'!Q80</f>
        <v>663957781.33047688</v>
      </c>
      <c r="R97" s="2">
        <f>R9/'Output-Calculation-sheet'!R8*'Output-Calculation-sheet'!R80</f>
        <v>889708403.31827223</v>
      </c>
      <c r="S97" s="2">
        <f>S9/'Output-Calculation-sheet'!S8*'Output-Calculation-sheet'!S80</f>
        <v>495177379.66456532</v>
      </c>
      <c r="T97" s="2">
        <f>T9/'Output-Calculation-sheet'!T8*'Output-Calculation-sheet'!T80</f>
        <v>288734565.39792657</v>
      </c>
      <c r="U97" s="2">
        <f>U9/'Output-Calculation-sheet'!U8*'Output-Calculation-sheet'!U80</f>
        <v>229752741.57099605</v>
      </c>
      <c r="V97" s="2">
        <f>V9/'Output-Calculation-sheet'!V8*'Output-Calculation-sheet'!V80</f>
        <v>105975279.02816807</v>
      </c>
      <c r="W97" s="2">
        <f>W9/'Output-Calculation-sheet'!W8*'Output-Calculation-sheet'!W80</f>
        <v>327939444.25519568</v>
      </c>
      <c r="X97" s="2">
        <f>X9/'Output-Calculation-sheet'!X8*'Output-Calculation-sheet'!X80</f>
        <v>158831013.36812514</v>
      </c>
      <c r="Y97" s="2">
        <f>Y9/'Output-Calculation-sheet'!Y8*'Output-Calculation-sheet'!Y80</f>
        <v>208498507.11186028</v>
      </c>
      <c r="AA97" s="2">
        <f t="shared" si="8"/>
        <v>37.197442493447909</v>
      </c>
    </row>
    <row r="98" spans="1:27" x14ac:dyDescent="0.25">
      <c r="A98" s="2">
        <v>2033</v>
      </c>
      <c r="B98" s="2">
        <f>B10/'Output-Calculation-sheet'!B9*'Output-Calculation-sheet'!B81</f>
        <v>10978793010.075987</v>
      </c>
      <c r="C98" s="2">
        <f>C10/'Output-Calculation-sheet'!C9*'Output-Calculation-sheet'!C81</f>
        <v>2542261686.1556115</v>
      </c>
      <c r="D98" s="2">
        <f>D10/'Output-Calculation-sheet'!D9*'Output-Calculation-sheet'!D81</f>
        <v>1828886627.0943513</v>
      </c>
      <c r="E98" s="2">
        <f>E10/'Output-Calculation-sheet'!E9*'Output-Calculation-sheet'!E81</f>
        <v>8633050937.8643818</v>
      </c>
      <c r="F98" s="2">
        <f>F10/'Output-Calculation-sheet'!F9*'Output-Calculation-sheet'!F81</f>
        <v>2224311253.9801373</v>
      </c>
      <c r="G98" s="2">
        <f>G10/'Output-Calculation-sheet'!G9*'Output-Calculation-sheet'!G81</f>
        <v>1299490746.4467556</v>
      </c>
      <c r="H98" s="2">
        <f>H10/'Output-Calculation-sheet'!H9*'Output-Calculation-sheet'!H81</f>
        <v>1809092446.5282686</v>
      </c>
      <c r="I98" s="2">
        <f>I10/'Output-Calculation-sheet'!I9*'Output-Calculation-sheet'!I81</f>
        <v>1030985556.1933893</v>
      </c>
      <c r="J98" s="2">
        <f>J10/'Output-Calculation-sheet'!J9*'Output-Calculation-sheet'!J81</f>
        <v>760549238.44957483</v>
      </c>
      <c r="K98" s="2">
        <f>K10/'Output-Calculation-sheet'!K9*'Output-Calculation-sheet'!K81</f>
        <v>920987930.43303084</v>
      </c>
      <c r="L98" s="2">
        <f>L10/'Output-Calculation-sheet'!L9*'Output-Calculation-sheet'!L81</f>
        <v>943922547.87713182</v>
      </c>
      <c r="M98" s="2">
        <f>M10/'Output-Calculation-sheet'!M9*'Output-Calculation-sheet'!M81</f>
        <v>1462745751.5754883</v>
      </c>
      <c r="N98" s="2">
        <f>N10/'Output-Calculation-sheet'!N9*'Output-Calculation-sheet'!N81</f>
        <v>888931503.74295688</v>
      </c>
      <c r="O98" s="2">
        <f>O10/'Output-Calculation-sheet'!O9*'Output-Calculation-sheet'!O81</f>
        <v>327864181.81565917</v>
      </c>
      <c r="P98" s="2">
        <f>P10/'Output-Calculation-sheet'!P9*'Output-Calculation-sheet'!P81</f>
        <v>1626548316.0488453</v>
      </c>
      <c r="Q98" s="2">
        <f>Q10/'Output-Calculation-sheet'!Q9*'Output-Calculation-sheet'!Q81</f>
        <v>722728089.19731379</v>
      </c>
      <c r="R98" s="2">
        <f>R10/'Output-Calculation-sheet'!R9*'Output-Calculation-sheet'!R81</f>
        <v>975522111.85381627</v>
      </c>
      <c r="S98" s="2">
        <f>S10/'Output-Calculation-sheet'!S9*'Output-Calculation-sheet'!S81</f>
        <v>535755533.35823351</v>
      </c>
      <c r="T98" s="2">
        <f>T10/'Output-Calculation-sheet'!T9*'Output-Calculation-sheet'!T81</f>
        <v>301851701.50268662</v>
      </c>
      <c r="U98" s="2">
        <f>U10/'Output-Calculation-sheet'!U9*'Output-Calculation-sheet'!U81</f>
        <v>242547082.94379231</v>
      </c>
      <c r="V98" s="2">
        <f>V10/'Output-Calculation-sheet'!V9*'Output-Calculation-sheet'!V81</f>
        <v>112650036.90597206</v>
      </c>
      <c r="W98" s="2">
        <f>W10/'Output-Calculation-sheet'!W9*'Output-Calculation-sheet'!W81</f>
        <v>348370718.46728987</v>
      </c>
      <c r="X98" s="2">
        <f>X10/'Output-Calculation-sheet'!X9*'Output-Calculation-sheet'!X81</f>
        <v>182627815.84392396</v>
      </c>
      <c r="Y98" s="2">
        <f>Y10/'Output-Calculation-sheet'!Y9*'Output-Calculation-sheet'!Y81</f>
        <v>227367663.75336111</v>
      </c>
      <c r="AA98" s="2">
        <f t="shared" si="8"/>
        <v>40.927842488107956</v>
      </c>
    </row>
    <row r="99" spans="1:27" x14ac:dyDescent="0.25">
      <c r="A99" s="2">
        <v>2034</v>
      </c>
      <c r="B99" s="2">
        <f>B11/'Output-Calculation-sheet'!B10*'Output-Calculation-sheet'!B82</f>
        <v>11385671053.765488</v>
      </c>
      <c r="C99" s="2">
        <f>C11/'Output-Calculation-sheet'!C10*'Output-Calculation-sheet'!C82</f>
        <v>2591757315.7184839</v>
      </c>
      <c r="D99" s="2">
        <f>D11/'Output-Calculation-sheet'!D10*'Output-Calculation-sheet'!D82</f>
        <v>1758056436.4524891</v>
      </c>
      <c r="E99" s="2">
        <f>E11/'Output-Calculation-sheet'!E10*'Output-Calculation-sheet'!E82</f>
        <v>9278730074.7671509</v>
      </c>
      <c r="F99" s="2">
        <f>F11/'Output-Calculation-sheet'!F10*'Output-Calculation-sheet'!F82</f>
        <v>2245974024.8998871</v>
      </c>
      <c r="G99" s="2">
        <f>G11/'Output-Calculation-sheet'!G10*'Output-Calculation-sheet'!G82</f>
        <v>1250022306.825784</v>
      </c>
      <c r="H99" s="2">
        <f>H11/'Output-Calculation-sheet'!H10*'Output-Calculation-sheet'!H82</f>
        <v>1849710043.8060477</v>
      </c>
      <c r="I99" s="2">
        <f>I11/'Output-Calculation-sheet'!I10*'Output-Calculation-sheet'!I82</f>
        <v>1045927558.3129711</v>
      </c>
      <c r="J99" s="2">
        <f>J11/'Output-Calculation-sheet'!J10*'Output-Calculation-sheet'!J82</f>
        <v>762473904.08116388</v>
      </c>
      <c r="K99" s="2">
        <f>K11/'Output-Calculation-sheet'!K10*'Output-Calculation-sheet'!K82</f>
        <v>905328058.29290664</v>
      </c>
      <c r="L99" s="2">
        <f>L11/'Output-Calculation-sheet'!L10*'Output-Calculation-sheet'!L82</f>
        <v>985530611.74820614</v>
      </c>
      <c r="M99" s="2">
        <f>M11/'Output-Calculation-sheet'!M10*'Output-Calculation-sheet'!M82</f>
        <v>1536296804.128463</v>
      </c>
      <c r="N99" s="2">
        <f>N11/'Output-Calculation-sheet'!N10*'Output-Calculation-sheet'!N82</f>
        <v>903911407.8757354</v>
      </c>
      <c r="O99" s="2">
        <f>O11/'Output-Calculation-sheet'!O10*'Output-Calculation-sheet'!O82</f>
        <v>331281444.6402787</v>
      </c>
      <c r="P99" s="2">
        <f>P11/'Output-Calculation-sheet'!P10*'Output-Calculation-sheet'!P82</f>
        <v>1601299813.3374875</v>
      </c>
      <c r="Q99" s="2">
        <f>Q11/'Output-Calculation-sheet'!Q10*'Output-Calculation-sheet'!Q82</f>
        <v>736579001.15529549</v>
      </c>
      <c r="R99" s="2">
        <f>R11/'Output-Calculation-sheet'!R10*'Output-Calculation-sheet'!R82</f>
        <v>999152022.13908803</v>
      </c>
      <c r="S99" s="2">
        <f>S11/'Output-Calculation-sheet'!S10*'Output-Calculation-sheet'!S82</f>
        <v>541455221.47718239</v>
      </c>
      <c r="T99" s="2">
        <f>T11/'Output-Calculation-sheet'!T10*'Output-Calculation-sheet'!T82</f>
        <v>294843793.83839476</v>
      </c>
      <c r="U99" s="2">
        <f>U11/'Output-Calculation-sheet'!U10*'Output-Calculation-sheet'!U82</f>
        <v>238951907.05086431</v>
      </c>
      <c r="V99" s="2">
        <f>V11/'Output-Calculation-sheet'!V10*'Output-Calculation-sheet'!V82</f>
        <v>111930024.78082915</v>
      </c>
      <c r="W99" s="2">
        <f>W11/'Output-Calculation-sheet'!W10*'Output-Calculation-sheet'!W82</f>
        <v>344072770.9452365</v>
      </c>
      <c r="X99" s="2">
        <f>X11/'Output-Calculation-sheet'!X10*'Output-Calculation-sheet'!X82</f>
        <v>196650944.85758826</v>
      </c>
      <c r="Y99" s="2">
        <f>Y11/'Output-Calculation-sheet'!Y10*'Output-Calculation-sheet'!Y82</f>
        <v>230942376.27620319</v>
      </c>
      <c r="AA99" s="2">
        <f t="shared" si="8"/>
        <v>42.126548921173232</v>
      </c>
    </row>
    <row r="100" spans="1:27" x14ac:dyDescent="0.25">
      <c r="A100" s="2">
        <v>2035</v>
      </c>
      <c r="B100" s="2">
        <f>B12/'Output-Calculation-sheet'!B11*'Output-Calculation-sheet'!B83</f>
        <v>11146455136.171528</v>
      </c>
      <c r="C100" s="2">
        <f>C12/'Output-Calculation-sheet'!C11*'Output-Calculation-sheet'!C83</f>
        <v>2501301488.0880437</v>
      </c>
      <c r="D100" s="2">
        <f>D12/'Output-Calculation-sheet'!D11*'Output-Calculation-sheet'!D83</f>
        <v>1602284393.5014172</v>
      </c>
      <c r="E100" s="2">
        <f>E12/'Output-Calculation-sheet'!E11*'Output-Calculation-sheet'!E83</f>
        <v>9422353605.5822868</v>
      </c>
      <c r="F100" s="2">
        <f>F12/'Output-Calculation-sheet'!F11*'Output-Calculation-sheet'!F83</f>
        <v>2143698605.6974046</v>
      </c>
      <c r="G100" s="2">
        <f>G12/'Output-Calculation-sheet'!G11*'Output-Calculation-sheet'!G83</f>
        <v>1136092234.4290154</v>
      </c>
      <c r="H100" s="2">
        <f>H12/'Output-Calculation-sheet'!H11*'Output-Calculation-sheet'!H83</f>
        <v>1785262334.2014849</v>
      </c>
      <c r="I100" s="2">
        <f>I12/'Output-Calculation-sheet'!I11*'Output-Calculation-sheet'!I83</f>
        <v>1004653452.2526901</v>
      </c>
      <c r="J100" s="2">
        <f>J12/'Output-Calculation-sheet'!J11*'Output-Calculation-sheet'!J83</f>
        <v>724473763.1014787</v>
      </c>
      <c r="K100" s="2">
        <f>K12/'Output-Calculation-sheet'!K11*'Output-Calculation-sheet'!K83</f>
        <v>842495281.37124777</v>
      </c>
      <c r="L100" s="2">
        <f>L12/'Output-Calculation-sheet'!L11*'Output-Calculation-sheet'!L83</f>
        <v>973376333.23275602</v>
      </c>
      <c r="M100" s="2">
        <f>M12/'Output-Calculation-sheet'!M11*'Output-Calculation-sheet'!M83</f>
        <v>1526479573.3923495</v>
      </c>
      <c r="N100" s="2">
        <f>N12/'Output-Calculation-sheet'!N11*'Output-Calculation-sheet'!N83</f>
        <v>870586579.25605142</v>
      </c>
      <c r="O100" s="2">
        <f>O12/'Output-Calculation-sheet'!O11*'Output-Calculation-sheet'!O83</f>
        <v>317475555.20294261</v>
      </c>
      <c r="P100" s="2">
        <f>P12/'Output-Calculation-sheet'!P11*'Output-Calculation-sheet'!P83</f>
        <v>1482150813.017529</v>
      </c>
      <c r="Q100" s="2">
        <f>Q12/'Output-Calculation-sheet'!Q11*'Output-Calculation-sheet'!Q83</f>
        <v>710691208.91738498</v>
      </c>
      <c r="R100" s="2">
        <f>R12/'Output-Calculation-sheet'!R11*'Output-Calculation-sheet'!R83</f>
        <v>966592933.24858928</v>
      </c>
      <c r="S100" s="2">
        <f>S12/'Output-Calculation-sheet'!S11*'Output-Calculation-sheet'!S83</f>
        <v>516883963.49337369</v>
      </c>
      <c r="T100" s="2">
        <f>T12/'Output-Calculation-sheet'!T11*'Output-Calculation-sheet'!T83</f>
        <v>272243289.06610668</v>
      </c>
      <c r="U100" s="2">
        <f>U12/'Output-Calculation-sheet'!U11*'Output-Calculation-sheet'!U83</f>
        <v>222248138.28911638</v>
      </c>
      <c r="V100" s="2">
        <f>V12/'Output-Calculation-sheet'!V11*'Output-Calculation-sheet'!V83</f>
        <v>105138440.43620612</v>
      </c>
      <c r="W100" s="2">
        <f>W12/'Output-Calculation-sheet'!W11*'Output-Calculation-sheet'!W83</f>
        <v>319694069.8145771</v>
      </c>
      <c r="X100" s="2">
        <f>X12/'Output-Calculation-sheet'!X11*'Output-Calculation-sheet'!X83</f>
        <v>200483325.87728614</v>
      </c>
      <c r="Y100" s="2">
        <f>Y12/'Output-Calculation-sheet'!Y11*'Output-Calculation-sheet'!Y83</f>
        <v>220993616.38220632</v>
      </c>
      <c r="AA100" s="2">
        <f t="shared" si="8"/>
        <v>41.014108134023068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1685.572457469068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518.87148037146278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357.03407482054587</v>
      </c>
      <c r="N107" s="2">
        <f>N8/'Output-Calculation-sheet'!N7*'Output-Calculation-sheet'!N88</f>
        <v>140.36263742806787</v>
      </c>
      <c r="O107" s="2">
        <f>O8/'Output-Calculation-sheet'!O7*'Output-Calculation-sheet'!O88</f>
        <v>392.95188233459305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39.167380578727538</v>
      </c>
      <c r="Y107" s="2">
        <f>Y8/'Output-Calculation-sheet'!Y7*'Output-Calculation-sheet'!Y88</f>
        <v>0</v>
      </c>
      <c r="AA107" s="2">
        <f t="shared" si="9"/>
        <v>3.1339599130024651</v>
      </c>
    </row>
    <row r="108" spans="1:27" x14ac:dyDescent="0.25">
      <c r="A108" s="2">
        <v>2032</v>
      </c>
      <c r="B108" s="2">
        <f>B9/'Output-Calculation-sheet'!B8*'Output-Calculation-sheet'!B89</f>
        <v>752.34743427627336</v>
      </c>
      <c r="C108" s="2">
        <f>C9/'Output-Calculation-sheet'!C8*'Output-Calculation-sheet'!C89</f>
        <v>2856.652045536568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769.44533624465146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529.45327338943491</v>
      </c>
      <c r="N108" s="2">
        <f>N9/'Output-Calculation-sheet'!N8*'Output-Calculation-sheet'!N89</f>
        <v>371.69050263628668</v>
      </c>
      <c r="O108" s="2">
        <f>O9/'Output-Calculation-sheet'!O8*'Output-Calculation-sheet'!O89</f>
        <v>554.96813238654045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170.45266199908056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58.082125264710818</v>
      </c>
      <c r="Y108" s="2">
        <f>Y9/'Output-Calculation-sheet'!Y8*'Output-Calculation-sheet'!Y89</f>
        <v>0</v>
      </c>
      <c r="AA108" s="2">
        <f t="shared" si="9"/>
        <v>6.0630915117335462</v>
      </c>
    </row>
    <row r="109" spans="1:27" x14ac:dyDescent="0.25">
      <c r="A109" s="2">
        <v>2033</v>
      </c>
      <c r="B109" s="2">
        <f>B10/'Output-Calculation-sheet'!B9*'Output-Calculation-sheet'!B90</f>
        <v>3816.8864379027482</v>
      </c>
      <c r="C109" s="2">
        <f>C10/'Output-Calculation-sheet'!C9*'Output-Calculation-sheet'!C90</f>
        <v>3623.1652936068008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1115.3226496991249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767.45052566128209</v>
      </c>
      <c r="N109" s="2">
        <f>N10/'Output-Calculation-sheet'!N9*'Output-Calculation-sheet'!N90</f>
        <v>603.4235243877946</v>
      </c>
      <c r="O109" s="2">
        <f>O10/'Output-Calculation-sheet'!O9*'Output-Calculation-sheet'!O90</f>
        <v>703.88036214015619</v>
      </c>
      <c r="P109" s="2">
        <f>P10/'Output-Calculation-sheet'!P9*'Output-Calculation-sheet'!P90</f>
        <v>0</v>
      </c>
      <c r="Q109" s="2">
        <f>Q10/'Output-Calculation-sheet'!Q9*'Output-Calculation-sheet'!Q90</f>
        <v>132.17284880189703</v>
      </c>
      <c r="R109" s="2">
        <f>R10/'Output-Calculation-sheet'!R9*'Output-Calculation-sheet'!R90</f>
        <v>0</v>
      </c>
      <c r="S109" s="2">
        <f>S10/'Output-Calculation-sheet'!S9*'Output-Calculation-sheet'!S90</f>
        <v>302.66529596142766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84.190918833246798</v>
      </c>
      <c r="Y109" s="2">
        <f>Y10/'Output-Calculation-sheet'!Y9*'Output-Calculation-sheet'!Y90</f>
        <v>0</v>
      </c>
      <c r="AA109" s="2">
        <f t="shared" si="9"/>
        <v>11.149157856994478</v>
      </c>
    </row>
    <row r="110" spans="1:27" x14ac:dyDescent="0.25">
      <c r="A110" s="2">
        <v>2034</v>
      </c>
      <c r="B110" s="2">
        <f>B11/'Output-Calculation-sheet'!B10*'Output-Calculation-sheet'!B91</f>
        <v>6730.3540866177018</v>
      </c>
      <c r="C110" s="2">
        <f>C11/'Output-Calculation-sheet'!C10*'Output-Calculation-sheet'!C91</f>
        <v>4614.107082384704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1311.106399666141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902.16879921975135</v>
      </c>
      <c r="N110" s="2">
        <f>N11/'Output-Calculation-sheet'!N10*'Output-Calculation-sheet'!N91</f>
        <v>812.79515209314877</v>
      </c>
      <c r="O110" s="2">
        <f>O11/'Output-Calculation-sheet'!O10*'Output-Calculation-sheet'!O91</f>
        <v>896.39282255027751</v>
      </c>
      <c r="P110" s="2">
        <f>P11/'Output-Calculation-sheet'!P10*'Output-Calculation-sheet'!P91</f>
        <v>204.78544152073687</v>
      </c>
      <c r="Q110" s="2">
        <f>Q11/'Output-Calculation-sheet'!Q10*'Output-Calculation-sheet'!Q91</f>
        <v>453.17554364617604</v>
      </c>
      <c r="R110" s="2">
        <f>R11/'Output-Calculation-sheet'!R10*'Output-Calculation-sheet'!R91</f>
        <v>0</v>
      </c>
      <c r="S110" s="2">
        <f>S11/'Output-Calculation-sheet'!S10*'Output-Calculation-sheet'!S91</f>
        <v>465.92224024955266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98.969793633994669</v>
      </c>
      <c r="Y110" s="2">
        <f>Y11/'Output-Calculation-sheet'!Y10*'Output-Calculation-sheet'!Y91</f>
        <v>15.917957328717652</v>
      </c>
      <c r="AA110" s="2">
        <f t="shared" si="9"/>
        <v>16.505695318910906</v>
      </c>
    </row>
    <row r="111" spans="1:27" x14ac:dyDescent="0.25">
      <c r="A111" s="2">
        <v>2035</v>
      </c>
      <c r="B111" s="2">
        <f>B12/'Output-Calculation-sheet'!B11*'Output-Calculation-sheet'!B92</f>
        <v>9935.8813609325625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1659.9548925837314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583.04663236635622</v>
      </c>
      <c r="Q111" s="2">
        <f>Q12/'Output-Calculation-sheet'!Q11*'Output-Calculation-sheet'!Q92</f>
        <v>675.84027247700101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45.320171911343564</v>
      </c>
      <c r="AA111" s="2">
        <f t="shared" si="9"/>
        <v>23.332120127782915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7923845475.7901354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2438004578.3447571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1693404270.6227493</v>
      </c>
      <c r="N118" s="2">
        <f>N8/'Output-Calculation-sheet'!N7*'Output-Calculation-sheet'!N97</f>
        <v>1328839520.4567485</v>
      </c>
      <c r="O118" s="2">
        <f>O8/'Output-Calculation-sheet'!O7*'Output-Calculation-sheet'!O97</f>
        <v>884225088.68242049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481022908.59266907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182516839.75973284</v>
      </c>
      <c r="Y118" s="2">
        <f>Y8/'Output-Calculation-sheet'!Y7*'Output-Calculation-sheet'!Y97</f>
        <v>0</v>
      </c>
      <c r="AA118" s="2">
        <f t="shared" si="10"/>
        <v>16283.563368939909</v>
      </c>
    </row>
    <row r="119" spans="1:27" x14ac:dyDescent="0.25">
      <c r="A119" s="2">
        <v>2032</v>
      </c>
      <c r="B119" s="2">
        <f>B9/'Output-Calculation-sheet'!B8*'Output-Calculation-sheet'!B98</f>
        <v>5644149534.924202</v>
      </c>
      <c r="C119" s="2">
        <f>C9/'Output-Calculation-sheet'!C8*'Output-Calculation-sheet'!C98</f>
        <v>4486084053.5995502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2681791084.9472284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1871900220.3977678</v>
      </c>
      <c r="N119" s="2">
        <f>N9/'Output-Calculation-sheet'!N8*'Output-Calculation-sheet'!N98</f>
        <v>1264142569.7830584</v>
      </c>
      <c r="O119" s="2">
        <f>O9/'Output-Calculation-sheet'!O8*'Output-Calculation-sheet'!O98</f>
        <v>876497929.10761094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524791039.30710363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200300034.42145342</v>
      </c>
      <c r="Y119" s="2">
        <f>Y9/'Output-Calculation-sheet'!Y8*'Output-Calculation-sheet'!Y98</f>
        <v>0</v>
      </c>
      <c r="AA119" s="2">
        <f t="shared" si="10"/>
        <v>17549.656466487973</v>
      </c>
    </row>
    <row r="120" spans="1:27" x14ac:dyDescent="0.25">
      <c r="A120" s="2">
        <v>2033</v>
      </c>
      <c r="B120" s="2">
        <f>B10/'Output-Calculation-sheet'!B9*'Output-Calculation-sheet'!B99</f>
        <v>5491099728.6484652</v>
      </c>
      <c r="C120" s="2">
        <f>C10/'Output-Calculation-sheet'!C9*'Output-Calculation-sheet'!C99</f>
        <v>4514024941.1303158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1480041846.9765804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1047585914.5515599</v>
      </c>
      <c r="N120" s="2">
        <f>N10/'Output-Calculation-sheet'!N9*'Output-Calculation-sheet'!N99</f>
        <v>1044540814.4699247</v>
      </c>
      <c r="O120" s="2">
        <f>O10/'Output-Calculation-sheet'!O9*'Output-Calculation-sheet'!O99</f>
        <v>883748852.92504311</v>
      </c>
      <c r="P120" s="2">
        <f>P10/'Output-Calculation-sheet'!P9*'Output-Calculation-sheet'!P99</f>
        <v>0</v>
      </c>
      <c r="Q120" s="2">
        <f>Q10/'Output-Calculation-sheet'!Q9*'Output-Calculation-sheet'!Q99</f>
        <v>6385028.4741960298</v>
      </c>
      <c r="R120" s="2">
        <f>R10/'Output-Calculation-sheet'!R9*'Output-Calculation-sheet'!R99</f>
        <v>0</v>
      </c>
      <c r="S120" s="2">
        <f>S10/'Output-Calculation-sheet'!S9*'Output-Calculation-sheet'!S99</f>
        <v>437488029.3489328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-7.2269502013170972E-9</v>
      </c>
      <c r="W120" s="2">
        <f>W10/'Output-Calculation-sheet'!W9*'Output-Calculation-sheet'!W99</f>
        <v>0</v>
      </c>
      <c r="X120" s="2">
        <f>X10/'Output-Calculation-sheet'!X9*'Output-Calculation-sheet'!X99</f>
        <v>104606101.39398174</v>
      </c>
      <c r="Y120" s="2">
        <f>Y10/'Output-Calculation-sheet'!Y9*'Output-Calculation-sheet'!Y99</f>
        <v>0</v>
      </c>
      <c r="AA120" s="2">
        <f t="shared" si="10"/>
        <v>15009.521257918999</v>
      </c>
    </row>
    <row r="121" spans="1:27" x14ac:dyDescent="0.25">
      <c r="A121" s="2">
        <v>2034</v>
      </c>
      <c r="B121" s="2">
        <f>B11/'Output-Calculation-sheet'!B10*'Output-Calculation-sheet'!B100</f>
        <v>5046092202.7567482</v>
      </c>
      <c r="C121" s="2">
        <f>C11/'Output-Calculation-sheet'!C10*'Output-Calculation-sheet'!C100</f>
        <v>605735460.46783078</v>
      </c>
      <c r="D121" s="2">
        <f>D11/'Output-Calculation-sheet'!D10*'Output-Calculation-sheet'!D100</f>
        <v>0</v>
      </c>
      <c r="E121" s="2">
        <f>E11/'Output-Calculation-sheet'!E10*'Output-Calculation-sheet'!E100</f>
        <v>700657490.53948677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1594958097.3012204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582175074.43460071</v>
      </c>
      <c r="M121" s="2">
        <f>M11/'Output-Calculation-sheet'!M10*'Output-Calculation-sheet'!M100</f>
        <v>1135125576.7966316</v>
      </c>
      <c r="N121" s="2">
        <f>N11/'Output-Calculation-sheet'!N10*'Output-Calculation-sheet'!N100</f>
        <v>756762858.38681507</v>
      </c>
      <c r="O121" s="2">
        <f>O11/'Output-Calculation-sheet'!O10*'Output-Calculation-sheet'!O100</f>
        <v>118817002.95363806</v>
      </c>
      <c r="P121" s="2">
        <f>P11/'Output-Calculation-sheet'!P10*'Output-Calculation-sheet'!P100</f>
        <v>0</v>
      </c>
      <c r="Q121" s="2">
        <f>Q11/'Output-Calculation-sheet'!Q10*'Output-Calculation-sheet'!Q100</f>
        <v>257140127.09727463</v>
      </c>
      <c r="R121" s="2">
        <f>R11/'Output-Calculation-sheet'!R10*'Output-Calculation-sheet'!R100</f>
        <v>0</v>
      </c>
      <c r="S121" s="2">
        <f>S11/'Output-Calculation-sheet'!S10*'Output-Calculation-sheet'!S100</f>
        <v>282948030.48860765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111534030.35786355</v>
      </c>
      <c r="Y121" s="2">
        <f>Y11/'Output-Calculation-sheet'!Y10*'Output-Calculation-sheet'!Y100</f>
        <v>16186650.38115922</v>
      </c>
      <c r="AA121" s="2">
        <f t="shared" si="10"/>
        <v>11208.132601961877</v>
      </c>
    </row>
    <row r="122" spans="1:27" x14ac:dyDescent="0.25">
      <c r="A122" s="2">
        <v>2035</v>
      </c>
      <c r="B122" s="2">
        <f>B12/'Output-Calculation-sheet'!B11*'Output-Calculation-sheet'!B101</f>
        <v>2566118327.0657783</v>
      </c>
      <c r="C122" s="2">
        <f>C12/'Output-Calculation-sheet'!C11*'Output-Calculation-sheet'!C101</f>
        <v>223073009.93030849</v>
      </c>
      <c r="D122" s="2">
        <f>D12/'Output-Calculation-sheet'!D11*'Output-Calculation-sheet'!D101</f>
        <v>0</v>
      </c>
      <c r="E122" s="2">
        <f>E12/'Output-Calculation-sheet'!E11*'Output-Calculation-sheet'!E101</f>
        <v>1998210891.9501681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378248858.18497479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1386954641.2081022</v>
      </c>
      <c r="M122" s="2">
        <f>M12/'Output-Calculation-sheet'!M11*'Output-Calculation-sheet'!M101</f>
        <v>346988997.762667</v>
      </c>
      <c r="N122" s="2">
        <f>N12/'Output-Calculation-sheet'!N11*'Output-Calculation-sheet'!N101</f>
        <v>288423039.6716879</v>
      </c>
      <c r="O122" s="2">
        <f>O12/'Output-Calculation-sheet'!O11*'Output-Calculation-sheet'!O101</f>
        <v>39552174.356728792</v>
      </c>
      <c r="P122" s="2">
        <f>P12/'Output-Calculation-sheet'!P11*'Output-Calculation-sheet'!P101</f>
        <v>89765708.078440472</v>
      </c>
      <c r="Q122" s="2">
        <f>Q12/'Output-Calculation-sheet'!Q11*'Output-Calculation-sheet'!Q101</f>
        <v>443473061.49533445</v>
      </c>
      <c r="R122" s="2">
        <f>R12/'Output-Calculation-sheet'!R11*'Output-Calculation-sheet'!R101</f>
        <v>0</v>
      </c>
      <c r="S122" s="2">
        <f>S12/'Output-Calculation-sheet'!S11*'Output-Calculation-sheet'!S101</f>
        <v>120489856.42174327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11142362.927804377</v>
      </c>
      <c r="Y122" s="2">
        <f>Y12/'Output-Calculation-sheet'!Y11*'Output-Calculation-sheet'!Y101</f>
        <v>51395811.814988121</v>
      </c>
      <c r="AA122" s="2">
        <f t="shared" si="10"/>
        <v>7943.8367408687254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2205096122.5492487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2212953731.4325967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144944.7033499119</v>
      </c>
    </row>
    <row r="130" spans="1:27" x14ac:dyDescent="0.25">
      <c r="A130" s="2">
        <v>2032</v>
      </c>
      <c r="B130" s="2">
        <f>B9/'Output-Calculation-sheet'!B8*'Output-Calculation-sheet'!B107</f>
        <v>51076320151.245819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1858164815.0780942</v>
      </c>
      <c r="O130" s="2">
        <f>O9/'Output-Calculation-sheet'!O8*'Output-Calculation-sheet'!O107</f>
        <v>0</v>
      </c>
      <c r="P130" s="2">
        <f>P9/'Output-Calculation-sheet'!P8*'Output-Calculation-sheet'!P107</f>
        <v>5669932998.9799213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1650905975.7664843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179877.79315616717</v>
      </c>
    </row>
    <row r="131" spans="1:27" x14ac:dyDescent="0.25">
      <c r="A131" s="2">
        <v>2033</v>
      </c>
      <c r="B131" s="2">
        <f>B10/'Output-Calculation-sheet'!B9*'Output-Calculation-sheet'!B108</f>
        <v>40961932992.404991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1500747610.9963236</v>
      </c>
      <c r="O131" s="2">
        <f>O10/'Output-Calculation-sheet'!O9*'Output-Calculation-sheet'!O108</f>
        <v>0</v>
      </c>
      <c r="P131" s="2">
        <f>P10/'Output-Calculation-sheet'!P9*'Output-Calculation-sheet'!P108</f>
        <v>6903318274.7840624</v>
      </c>
      <c r="Q131" s="2">
        <f>Q10/'Output-Calculation-sheet'!Q9*'Output-Calculation-sheet'!Q108</f>
        <v>5823455899.5431509</v>
      </c>
      <c r="R131" s="2">
        <f>R10/'Output-Calculation-sheet'!R9*'Output-Calculation-sheet'!R108</f>
        <v>6534049993.9380512</v>
      </c>
      <c r="S131" s="2">
        <f>S10/'Output-Calculation-sheet'!S9*'Output-Calculation-sheet'!S108</f>
        <v>1455718997.9654262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195504.59944288971</v>
      </c>
    </row>
    <row r="132" spans="1:27" x14ac:dyDescent="0.25">
      <c r="A132" s="2">
        <v>2034</v>
      </c>
      <c r="B132" s="2">
        <f>B11/'Output-Calculation-sheet'!B10*'Output-Calculation-sheet'!B109</f>
        <v>29328260893.602043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28314377793.673534</v>
      </c>
      <c r="F132" s="2">
        <f>F11/'Output-Calculation-sheet'!F10*'Output-Calculation-sheet'!F109</f>
        <v>18674818675.778511</v>
      </c>
      <c r="G132" s="2">
        <f>G11/'Output-Calculation-sheet'!G10*'Output-Calculation-sheet'!G109</f>
        <v>13084894249.368549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11635581566.746069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8662557425.5704079</v>
      </c>
      <c r="M132" s="2">
        <f>M11/'Output-Calculation-sheet'!M10*'Output-Calculation-sheet'!M109</f>
        <v>0</v>
      </c>
      <c r="N132" s="2">
        <f>N11/'Output-Calculation-sheet'!N10*'Output-Calculation-sheet'!N109</f>
        <v>1139072429.6290252</v>
      </c>
      <c r="O132" s="2">
        <f>O11/'Output-Calculation-sheet'!O10*'Output-Calculation-sheet'!O109</f>
        <v>0</v>
      </c>
      <c r="P132" s="2">
        <f>P11/'Output-Calculation-sheet'!P10*'Output-Calculation-sheet'!P109</f>
        <v>6471899024.1254358</v>
      </c>
      <c r="Q132" s="2">
        <f>Q11/'Output-Calculation-sheet'!Q10*'Output-Calculation-sheet'!Q109</f>
        <v>4167366146.2192578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781757009.75689876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2325337632.9352884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814862148.68922341</v>
      </c>
      <c r="AA132" s="2">
        <f t="shared" si="11"/>
        <v>199091.33647315323</v>
      </c>
    </row>
    <row r="133" spans="1:27" x14ac:dyDescent="0.25">
      <c r="A133" s="2">
        <v>2035</v>
      </c>
      <c r="B133" s="2">
        <f>B12/'Output-Calculation-sheet'!B11*'Output-Calculation-sheet'!B110</f>
        <v>7380922927.3285809</v>
      </c>
      <c r="C133" s="2">
        <f>C12/'Output-Calculation-sheet'!C11*'Output-Calculation-sheet'!C110</f>
        <v>0</v>
      </c>
      <c r="D133" s="2">
        <f>D12/'Output-Calculation-sheet'!D11*'Output-Calculation-sheet'!D110</f>
        <v>35103478579.828667</v>
      </c>
      <c r="E133" s="2">
        <f>E12/'Output-Calculation-sheet'!E11*'Output-Calculation-sheet'!E110</f>
        <v>18680008272.944748</v>
      </c>
      <c r="F133" s="2">
        <f>F12/'Output-Calculation-sheet'!F11*'Output-Calculation-sheet'!F110</f>
        <v>18569431157.244415</v>
      </c>
      <c r="G133" s="2">
        <f>G12/'Output-Calculation-sheet'!G11*'Output-Calculation-sheet'!G110</f>
        <v>12580738727.531706</v>
      </c>
      <c r="H133" s="2">
        <f>H12/'Output-Calculation-sheet'!H11*'Output-Calculation-sheet'!H110</f>
        <v>0</v>
      </c>
      <c r="I133" s="2">
        <f>I12/'Output-Calculation-sheet'!I11*'Output-Calculation-sheet'!I110</f>
        <v>11543962626.695478</v>
      </c>
      <c r="J133" s="2">
        <f>J12/'Output-Calculation-sheet'!J11*'Output-Calculation-sheet'!J110</f>
        <v>11563835765.476484</v>
      </c>
      <c r="K133" s="2">
        <f>K12/'Output-Calculation-sheet'!K11*'Output-Calculation-sheet'!K110</f>
        <v>11346258672.996859</v>
      </c>
      <c r="L133" s="2">
        <f>L12/'Output-Calculation-sheet'!L11*'Output-Calculation-sheet'!L110</f>
        <v>8154592574.4412184</v>
      </c>
      <c r="M133" s="2">
        <f>M12/'Output-Calculation-sheet'!M11*'Output-Calculation-sheet'!M110</f>
        <v>0</v>
      </c>
      <c r="N133" s="2">
        <f>N12/'Output-Calculation-sheet'!N11*'Output-Calculation-sheet'!N110</f>
        <v>43805.418332491099</v>
      </c>
      <c r="O133" s="2">
        <f>O12/'Output-Calculation-sheet'!O11*'Output-Calculation-sheet'!O110</f>
        <v>0</v>
      </c>
      <c r="P133" s="2">
        <f>P12/'Output-Calculation-sheet'!P11*'Output-Calculation-sheet'!P110</f>
        <v>4074588998.812705</v>
      </c>
      <c r="Q133" s="2">
        <f>Q12/'Output-Calculation-sheet'!Q11*'Output-Calculation-sheet'!Q110</f>
        <v>2591345551.7599387</v>
      </c>
      <c r="R133" s="2">
        <f>R12/'Output-Calculation-sheet'!R11*'Output-Calculation-sheet'!R110</f>
        <v>7547041049.8962584</v>
      </c>
      <c r="S133" s="2">
        <f>S12/'Output-Calculation-sheet'!S11*'Output-Calculation-sheet'!S110</f>
        <v>7262889.3141565099</v>
      </c>
      <c r="T133" s="2">
        <f>T12/'Output-Calculation-sheet'!T11*'Output-Calculation-sheet'!T110</f>
        <v>2819611353.6397653</v>
      </c>
      <c r="U133" s="2">
        <f>U12/'Output-Calculation-sheet'!U11*'Output-Calculation-sheet'!U110</f>
        <v>2228478137.8014927</v>
      </c>
      <c r="V133" s="2">
        <f>V12/'Output-Calculation-sheet'!V11*'Output-Calculation-sheet'!V110</f>
        <v>1940740372.0919518</v>
      </c>
      <c r="W133" s="2">
        <f>W12/'Output-Calculation-sheet'!W11*'Output-Calculation-sheet'!W110</f>
        <v>1634332551.0994117</v>
      </c>
      <c r="X133" s="2">
        <f>X12/'Output-Calculation-sheet'!X11*'Output-Calculation-sheet'!X110</f>
        <v>0</v>
      </c>
      <c r="Y133" s="2">
        <f>Y12/'Output-Calculation-sheet'!Y11*'Output-Calculation-sheet'!Y110</f>
        <v>619232168.91064286</v>
      </c>
      <c r="AA133" s="2">
        <f t="shared" si="11"/>
        <v>158385.90618323284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14342400319.185646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4508889390.131938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3099343251.4246612</v>
      </c>
      <c r="N140" s="2">
        <f>N8/'Output-Calculation-sheet'!N7*'Output-Calculation-sheet'!N115</f>
        <v>1170124923.9078095</v>
      </c>
      <c r="O140" s="2">
        <f>O8/'Output-Calculation-sheet'!O7*'Output-Calculation-sheet'!O115</f>
        <v>3442106241.6602602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336551465.56298316</v>
      </c>
      <c r="Y140" s="2">
        <f>Y8/'Output-Calculation-sheet'!Y7*'Output-Calculation-sheet'!Y115</f>
        <v>0</v>
      </c>
      <c r="AA140" s="2">
        <f t="shared" si="12"/>
        <v>26899.415591873298</v>
      </c>
    </row>
    <row r="141" spans="1:27" x14ac:dyDescent="0.25">
      <c r="A141" s="2">
        <v>2032</v>
      </c>
      <c r="B141" s="2">
        <f>B9/'Output-Calculation-sheet'!B8*'Output-Calculation-sheet'!B116</f>
        <v>5839201958.2451601</v>
      </c>
      <c r="C141" s="2">
        <f>C9/'Output-Calculation-sheet'!C8*'Output-Calculation-sheet'!C116</f>
        <v>24995237018.807632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6516149899.2671289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4473872301.8361111</v>
      </c>
      <c r="N141" s="2">
        <f>N9/'Output-Calculation-sheet'!N8*'Output-Calculation-sheet'!N116</f>
        <v>3106039891.4340839</v>
      </c>
      <c r="O141" s="2">
        <f>O9/'Output-Calculation-sheet'!O8*'Output-Calculation-sheet'!O116</f>
        <v>4851722408.8492174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1391226325.970489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486965279.61731631</v>
      </c>
      <c r="Y141" s="2">
        <f>Y9/'Output-Calculation-sheet'!Y8*'Output-Calculation-sheet'!Y116</f>
        <v>0</v>
      </c>
      <c r="AA141" s="2">
        <f t="shared" si="12"/>
        <v>51660.415084027147</v>
      </c>
    </row>
    <row r="142" spans="1:27" x14ac:dyDescent="0.25">
      <c r="A142" s="2">
        <v>2033</v>
      </c>
      <c r="B142" s="2">
        <f>B10/'Output-Calculation-sheet'!B9*'Output-Calculation-sheet'!B117</f>
        <v>29719170064.678101</v>
      </c>
      <c r="C142" s="2">
        <f>C10/'Output-Calculation-sheet'!C9*'Output-Calculation-sheet'!C117</f>
        <v>31382215585.316303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9719303965.8152142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6678980394.992938</v>
      </c>
      <c r="N142" s="2">
        <f>N10/'Output-Calculation-sheet'!N9*'Output-Calculation-sheet'!N117</f>
        <v>5038301369.7978296</v>
      </c>
      <c r="O142" s="2">
        <f>O10/'Output-Calculation-sheet'!O9*'Output-Calculation-sheet'!O117</f>
        <v>6090889765.9680939</v>
      </c>
      <c r="P142" s="2">
        <f>P10/'Output-Calculation-sheet'!P9*'Output-Calculation-sheet'!P117</f>
        <v>0</v>
      </c>
      <c r="Q142" s="2">
        <f>Q10/'Output-Calculation-sheet'!Q9*'Output-Calculation-sheet'!Q117</f>
        <v>962245803.76587307</v>
      </c>
      <c r="R142" s="2">
        <f>R10/'Output-Calculation-sheet'!R9*'Output-Calculation-sheet'!R117</f>
        <v>0</v>
      </c>
      <c r="S142" s="2">
        <f>S10/'Output-Calculation-sheet'!S9*'Output-Calculation-sheet'!S117</f>
        <v>2449852642.9367056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732203172.82767725</v>
      </c>
      <c r="Y142" s="2">
        <f>Y10/'Output-Calculation-sheet'!Y9*'Output-Calculation-sheet'!Y117</f>
        <v>0</v>
      </c>
      <c r="AA142" s="2">
        <f t="shared" si="12"/>
        <v>92773.162766098743</v>
      </c>
    </row>
    <row r="143" spans="1:27" x14ac:dyDescent="0.25">
      <c r="A143" s="2">
        <v>2034</v>
      </c>
      <c r="B143" s="2">
        <f>B11/'Output-Calculation-sheet'!B10*'Output-Calculation-sheet'!B118</f>
        <v>52681404721.065079</v>
      </c>
      <c r="C143" s="2">
        <f>C11/'Output-Calculation-sheet'!C10*'Output-Calculation-sheet'!C118</f>
        <v>40419578041.690002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11204508125.384123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7695380739.8190413</v>
      </c>
      <c r="N143" s="2">
        <f>N11/'Output-Calculation-sheet'!N10*'Output-Calculation-sheet'!N118</f>
        <v>6771317723.5372877</v>
      </c>
      <c r="O143" s="2">
        <f>O11/'Output-Calculation-sheet'!O10*'Output-Calculation-sheet'!O118</f>
        <v>7852401125.540431</v>
      </c>
      <c r="P143" s="2">
        <f>P11/'Output-Calculation-sheet'!P10*'Output-Calculation-sheet'!P118</f>
        <v>1417727838.6139355</v>
      </c>
      <c r="Q143" s="2">
        <f>Q11/'Output-Calculation-sheet'!Q10*'Output-Calculation-sheet'!Q118</f>
        <v>3337999410.46386</v>
      </c>
      <c r="R143" s="2">
        <f>R11/'Output-Calculation-sheet'!R10*'Output-Calculation-sheet'!R118</f>
        <v>0</v>
      </c>
      <c r="S143" s="2">
        <f>S11/'Output-Calculation-sheet'!S10*'Output-Calculation-sheet'!S118</f>
        <v>3898917618.8605309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844835720.86566913</v>
      </c>
      <c r="Y143" s="2">
        <f>Y11/'Output-Calculation-sheet'!Y10*'Output-Calculation-sheet'!Y118</f>
        <v>99002273.095427677</v>
      </c>
      <c r="AA143" s="2">
        <f t="shared" si="12"/>
        <v>136223.07333893541</v>
      </c>
    </row>
    <row r="144" spans="1:27" x14ac:dyDescent="0.25">
      <c r="A144" s="2">
        <v>2035</v>
      </c>
      <c r="B144" s="2">
        <f>B12/'Output-Calculation-sheet'!B11*'Output-Calculation-sheet'!B119</f>
        <v>83537894971.178955</v>
      </c>
      <c r="C144" s="2">
        <f>C12/'Output-Calculation-sheet'!C11*'Output-Calculation-sheet'!C119</f>
        <v>44212586660.689026</v>
      </c>
      <c r="D144" s="2">
        <f>D12/'Output-Calculation-sheet'!D11*'Output-Calculation-sheet'!D119</f>
        <v>0</v>
      </c>
      <c r="E144" s="2">
        <f>E12/'Output-Calculation-sheet'!E11*'Output-Calculation-sheet'!E119</f>
        <v>10079458606.632217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13419556651.457897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9166953806.7175865</v>
      </c>
      <c r="N144" s="2">
        <f>N12/'Output-Calculation-sheet'!N11*'Output-Calculation-sheet'!N119</f>
        <v>9047715792.7007198</v>
      </c>
      <c r="O144" s="2">
        <f>O12/'Output-Calculation-sheet'!O11*'Output-Calculation-sheet'!O119</f>
        <v>8590892060.9078217</v>
      </c>
      <c r="P144" s="2">
        <f>P12/'Output-Calculation-sheet'!P11*'Output-Calculation-sheet'!P119</f>
        <v>4160228705.4628801</v>
      </c>
      <c r="Q144" s="2">
        <f>Q12/'Output-Calculation-sheet'!Q11*'Output-Calculation-sheet'!Q119</f>
        <v>5060783721.3837395</v>
      </c>
      <c r="R144" s="2">
        <f>R12/'Output-Calculation-sheet'!R11*'Output-Calculation-sheet'!R119</f>
        <v>0</v>
      </c>
      <c r="S144" s="2">
        <f>S12/'Output-Calculation-sheet'!S11*'Output-Calculation-sheet'!S119</f>
        <v>5214282614.2806263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1024169026.8389397</v>
      </c>
      <c r="Y144" s="2">
        <f>Y12/'Output-Calculation-sheet'!Y11*'Output-Calculation-sheet'!Y119</f>
        <v>288822022.24463564</v>
      </c>
      <c r="AA144" s="2">
        <f t="shared" si="12"/>
        <v>193803.34464049499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1915300781.2916634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417648256.56631923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49634.486803917571</v>
      </c>
    </row>
    <row r="155" spans="1:27" x14ac:dyDescent="0.25">
      <c r="A155" s="2">
        <v>2035</v>
      </c>
      <c r="B155" s="2">
        <f>B12/'Output-Calculation-sheet'!B11*'Output-Calculation-sheet'!B128</f>
        <v>1097576628.002764</v>
      </c>
      <c r="C155" s="2">
        <f>C12/'Output-Calculation-sheet'!C11*'Output-Calculation-sheet'!C128</f>
        <v>65605123.211910971</v>
      </c>
      <c r="D155" s="2">
        <f>D12/'Output-Calculation-sheet'!D11*'Output-Calculation-sheet'!D128</f>
        <v>4795128992.4065619</v>
      </c>
      <c r="E155" s="2">
        <f>E12/'Output-Calculation-sheet'!E11*'Output-Calculation-sheet'!E128</f>
        <v>1122940082.7627213</v>
      </c>
      <c r="F155" s="2">
        <f>F12/'Output-Calculation-sheet'!F11*'Output-Calculation-sheet'!F128</f>
        <v>1940343789.5960088</v>
      </c>
      <c r="G155" s="2">
        <f>G12/'Output-Calculation-sheet'!G11*'Output-Calculation-sheet'!G128</f>
        <v>1831798596.0585322</v>
      </c>
      <c r="H155" s="2">
        <f>H12/'Output-Calculation-sheet'!H11*'Output-Calculation-sheet'!H128</f>
        <v>100853187.63312857</v>
      </c>
      <c r="I155" s="2">
        <f>I12/'Output-Calculation-sheet'!I11*'Output-Calculation-sheet'!I128</f>
        <v>1573052755.1567519</v>
      </c>
      <c r="J155" s="2">
        <f>J12/'Output-Calculation-sheet'!J11*'Output-Calculation-sheet'!J128</f>
        <v>1137053487.8333642</v>
      </c>
      <c r="K155" s="2">
        <f>K12/'Output-Calculation-sheet'!K11*'Output-Calculation-sheet'!K128</f>
        <v>1258394045.0774987</v>
      </c>
      <c r="L155" s="2">
        <f>L12/'Output-Calculation-sheet'!L11*'Output-Calculation-sheet'!L128</f>
        <v>551855562.60664725</v>
      </c>
      <c r="M155" s="2">
        <f>M12/'Output-Calculation-sheet'!M11*'Output-Calculation-sheet'!M128</f>
        <v>79533889.524454102</v>
      </c>
      <c r="N155" s="2">
        <f>N12/'Output-Calculation-sheet'!N11*'Output-Calculation-sheet'!N128</f>
        <v>72692899.947494149</v>
      </c>
      <c r="O155" s="2">
        <f>O12/'Output-Calculation-sheet'!O11*'Output-Calculation-sheet'!O128</f>
        <v>15919215.510581061</v>
      </c>
      <c r="P155" s="2">
        <f>P12/'Output-Calculation-sheet'!P11*'Output-Calculation-sheet'!P128</f>
        <v>296547613.26711088</v>
      </c>
      <c r="Q155" s="2">
        <f>Q12/'Output-Calculation-sheet'!Q11*'Output-Calculation-sheet'!Q128</f>
        <v>361578056.6337539</v>
      </c>
      <c r="R155" s="2">
        <f>R12/'Output-Calculation-sheet'!R11*'Output-Calculation-sheet'!R128</f>
        <v>647978172.84966314</v>
      </c>
      <c r="S155" s="2">
        <f>S12/'Output-Calculation-sheet'!S11*'Output-Calculation-sheet'!S128</f>
        <v>47190263.390622847</v>
      </c>
      <c r="T155" s="2">
        <f>T12/'Output-Calculation-sheet'!T11*'Output-Calculation-sheet'!T128</f>
        <v>177703594.91792741</v>
      </c>
      <c r="U155" s="2">
        <f>U12/'Output-Calculation-sheet'!U11*'Output-Calculation-sheet'!U128</f>
        <v>409233779.27712202</v>
      </c>
      <c r="V155" s="2">
        <f>V12/'Output-Calculation-sheet'!V11*'Output-Calculation-sheet'!V128</f>
        <v>61040720.848156147</v>
      </c>
      <c r="W155" s="2">
        <f>W12/'Output-Calculation-sheet'!W11*'Output-Calculation-sheet'!W128</f>
        <v>123064649.38369147</v>
      </c>
      <c r="X155" s="2">
        <f>X12/'Output-Calculation-sheet'!X11*'Output-Calculation-sheet'!X128</f>
        <v>2614900.6378797372</v>
      </c>
      <c r="Y155" s="2">
        <f>Y12/'Output-Calculation-sheet'!Y11*'Output-Calculation-sheet'!Y128</f>
        <v>67662437.899535775</v>
      </c>
      <c r="AA155" s="2">
        <f t="shared" si="13"/>
        <v>17837.362444433882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5987.0593884786049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1813.5522814409383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1259.7654178969465</v>
      </c>
      <c r="N19" s="2">
        <f>N8/'Output-Calculation-sheet'!N7*'Output-Calculation-sheet'!N25</f>
        <v>1047.9759601703993</v>
      </c>
      <c r="O19" s="2">
        <f>O8/'Output-Calculation-sheet'!O7*'Output-Calculation-sheet'!O25</f>
        <v>657.71819195818125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136.34166138830588</v>
      </c>
      <c r="Y19" s="2">
        <f>Y8/'Output-Calculation-sheet'!Y7*'Output-Calculation-sheet'!Y25</f>
        <v>0</v>
      </c>
      <c r="AA19" s="2">
        <f t="shared" si="0"/>
        <v>12.659569537667279</v>
      </c>
    </row>
    <row r="20" spans="1:27" x14ac:dyDescent="0.25">
      <c r="A20" s="2">
        <v>2032</v>
      </c>
      <c r="B20" s="2">
        <f>B9/'Output-Calculation-sheet'!B8*'Output-Calculation-sheet'!B26</f>
        <v>6342.9925808130165</v>
      </c>
      <c r="C20" s="2">
        <f>C9/'Output-Calculation-sheet'!C8*'Output-Calculation-sheet'!C26</f>
        <v>3478.3422757762469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2088.0660430704943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1459.1549615399058</v>
      </c>
      <c r="N20" s="2">
        <f>N9/'Output-Calculation-sheet'!N8*'Output-Calculation-sheet'!N26</f>
        <v>1011.2341501012642</v>
      </c>
      <c r="O20" s="2">
        <f>O9/'Output-Calculation-sheet'!O8*'Output-Calculation-sheet'!O26</f>
        <v>679.60361967676636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479.68216639131668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158.77737067232516</v>
      </c>
      <c r="Y20" s="2">
        <f>Y9/'Output-Calculation-sheet'!Y8*'Output-Calculation-sheet'!Y26</f>
        <v>0</v>
      </c>
      <c r="AA20" s="2">
        <f t="shared" si="0"/>
        <v>15.697853168041332</v>
      </c>
    </row>
    <row r="21" spans="1:27" x14ac:dyDescent="0.25">
      <c r="A21" s="2">
        <v>2033</v>
      </c>
      <c r="B21" s="2">
        <f>B10/'Output-Calculation-sheet'!B9*'Output-Calculation-sheet'!B27</f>
        <v>5847.0142047568697</v>
      </c>
      <c r="C21" s="2">
        <f>C10/'Output-Calculation-sheet'!C9*'Output-Calculation-sheet'!C27</f>
        <v>3593.8223771018324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1178.330953809749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834.03236954242675</v>
      </c>
      <c r="N21" s="2">
        <f>N10/'Output-Calculation-sheet'!N9*'Output-Calculation-sheet'!N27</f>
        <v>844.62232195583181</v>
      </c>
      <c r="O21" s="2">
        <f>O10/'Output-Calculation-sheet'!O9*'Output-Calculation-sheet'!O27</f>
        <v>703.59337248654072</v>
      </c>
      <c r="P21" s="2">
        <f>P10/'Output-Calculation-sheet'!P9*'Output-Calculation-sheet'!P27</f>
        <v>0</v>
      </c>
      <c r="Q21" s="2">
        <f>Q10/'Output-Calculation-sheet'!Q9*'Output-Calculation-sheet'!Q27</f>
        <v>9.8427011910098248</v>
      </c>
      <c r="R21" s="2">
        <f>R10/'Output-Calculation-sheet'!R9*'Output-Calculation-sheet'!R27</f>
        <v>0</v>
      </c>
      <c r="S21" s="2">
        <f>S10/'Output-Calculation-sheet'!S9*'Output-Calculation-sheet'!S27</f>
        <v>402.17787810147337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83.281716541218159</v>
      </c>
      <c r="Y21" s="2">
        <f>Y10/'Output-Calculation-sheet'!Y9*'Output-Calculation-sheet'!Y27</f>
        <v>0</v>
      </c>
      <c r="AA21" s="2">
        <f t="shared" si="0"/>
        <v>13.496717895486952</v>
      </c>
    </row>
    <row r="22" spans="1:27" x14ac:dyDescent="0.25">
      <c r="A22" s="2">
        <v>2034</v>
      </c>
      <c r="B22" s="2">
        <f>B11/'Output-Calculation-sheet'!B10*'Output-Calculation-sheet'!B28</f>
        <v>4820.9433863747781</v>
      </c>
      <c r="C22" s="2">
        <f>C11/'Output-Calculation-sheet'!C10*'Output-Calculation-sheet'!C28</f>
        <v>486.28605292023428</v>
      </c>
      <c r="D22" s="2">
        <f>D11/'Output-Calculation-sheet'!D10*'Output-Calculation-sheet'!D28</f>
        <v>0</v>
      </c>
      <c r="E22" s="2">
        <f>E11/'Output-Calculation-sheet'!E10*'Output-Calculation-sheet'!E28</f>
        <v>1614.7324618601583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1280.4292762327907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979.27939753233966</v>
      </c>
      <c r="M22" s="2">
        <f>M11/'Output-Calculation-sheet'!M10*'Output-Calculation-sheet'!M28</f>
        <v>911.27663530498523</v>
      </c>
      <c r="N22" s="2">
        <f>N11/'Output-Calculation-sheet'!N10*'Output-Calculation-sheet'!N28</f>
        <v>609.19362970020484</v>
      </c>
      <c r="O22" s="2">
        <f>O11/'Output-Calculation-sheet'!O10*'Output-Calculation-sheet'!O28</f>
        <v>95.386141013404554</v>
      </c>
      <c r="P22" s="2">
        <f>P11/'Output-Calculation-sheet'!P10*'Output-Calculation-sheet'!P28</f>
        <v>0</v>
      </c>
      <c r="Q22" s="2">
        <f>Q11/'Output-Calculation-sheet'!Q10*'Output-Calculation-sheet'!Q28</f>
        <v>313.57198443813877</v>
      </c>
      <c r="R22" s="2">
        <f>R11/'Output-Calculation-sheet'!R10*'Output-Calculation-sheet'!R28</f>
        <v>0</v>
      </c>
      <c r="S22" s="2">
        <f>S11/'Output-Calculation-sheet'!S10*'Output-Calculation-sheet'!S28</f>
        <v>228.10142170684813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89.539274233570694</v>
      </c>
      <c r="Y22" s="2">
        <f>Y11/'Output-Calculation-sheet'!Y10*'Output-Calculation-sheet'!Y28</f>
        <v>36.498737198260287</v>
      </c>
      <c r="AA22" s="2">
        <f t="shared" si="0"/>
        <v>11.465238398515714</v>
      </c>
    </row>
    <row r="23" spans="1:27" x14ac:dyDescent="0.25">
      <c r="A23" s="2">
        <v>2035</v>
      </c>
      <c r="B23" s="2">
        <f>B12/'Output-Calculation-sheet'!B11*'Output-Calculation-sheet'!B29</f>
        <v>2032.725277934768</v>
      </c>
      <c r="C23" s="2">
        <f>C12/'Output-Calculation-sheet'!C11*'Output-Calculation-sheet'!C29</f>
        <v>176.70338314315268</v>
      </c>
      <c r="D23" s="2">
        <f>D12/'Output-Calculation-sheet'!D11*'Output-Calculation-sheet'!D29</f>
        <v>0</v>
      </c>
      <c r="E23" s="2">
        <f>E12/'Output-Calculation-sheet'!E11*'Output-Calculation-sheet'!E29</f>
        <v>2806.0000469333563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299.6272675431253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1882.9529114270392</v>
      </c>
      <c r="M23" s="2">
        <f>M12/'Output-Calculation-sheet'!M11*'Output-Calculation-sheet'!M29</f>
        <v>274.86428967559152</v>
      </c>
      <c r="N23" s="2">
        <f>N12/'Output-Calculation-sheet'!N11*'Output-Calculation-sheet'!N29</f>
        <v>228.47244395553966</v>
      </c>
      <c r="O23" s="2">
        <f>O12/'Output-Calculation-sheet'!O11*'Output-Calculation-sheet'!O29</f>
        <v>31.331455442655184</v>
      </c>
      <c r="P23" s="2">
        <f>P12/'Output-Calculation-sheet'!P11*'Output-Calculation-sheet'!P29</f>
        <v>110.95606447384749</v>
      </c>
      <c r="Q23" s="2">
        <f>Q12/'Output-Calculation-sheet'!Q11*'Output-Calculation-sheet'!Q29</f>
        <v>417.29394012949786</v>
      </c>
      <c r="R23" s="2">
        <f>R12/'Output-Calculation-sheet'!R11*'Output-Calculation-sheet'!R29</f>
        <v>0</v>
      </c>
      <c r="S23" s="2">
        <f>S12/'Output-Calculation-sheet'!S11*'Output-Calculation-sheet'!S29</f>
        <v>95.44476745311465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8.8263551904177682</v>
      </c>
      <c r="Y23" s="2">
        <f>Y12/'Output-Calculation-sheet'!Y11*'Output-Calculation-sheet'!Y29</f>
        <v>76.677267809936126</v>
      </c>
      <c r="AA23" s="2">
        <f t="shared" si="0"/>
        <v>8.4418754711120432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1194.670426704251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46.839985743196735</v>
      </c>
    </row>
    <row r="31" spans="1:27" x14ac:dyDescent="0.25">
      <c r="A31" s="2">
        <v>2032</v>
      </c>
      <c r="B31" s="2">
        <f>B9/'Output-Calculation-sheet'!B8*'Output-Calculation-sheet'!B17</f>
        <v>26668.567361235018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1042.769090334808</v>
      </c>
      <c r="O31" s="2">
        <f>O9/'Output-Calculation-sheet'!O8*'Output-Calculation-sheet'!O17</f>
        <v>0</v>
      </c>
      <c r="P31" s="2">
        <f>P9/'Output-Calculation-sheet'!P8*'Output-Calculation-sheet'!P17</f>
        <v>2606.2394546937303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863.06637515139437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61.100859799200833</v>
      </c>
    </row>
    <row r="32" spans="1:27" x14ac:dyDescent="0.25">
      <c r="A32" s="2">
        <v>2033</v>
      </c>
      <c r="B32" s="2">
        <f>B10/'Output-Calculation-sheet'!B9*'Output-Calculation-sheet'!B18</f>
        <v>21150.196237007483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3311.5231354665334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856.05824114957375</v>
      </c>
      <c r="O32" s="2">
        <f>O10/'Output-Calculation-sheet'!O9*'Output-Calculation-sheet'!O18</f>
        <v>0</v>
      </c>
      <c r="P32" s="2">
        <f>P10/'Output-Calculation-sheet'!P9*'Output-Calculation-sheet'!P18</f>
        <v>3408.0011231874842</v>
      </c>
      <c r="Q32" s="2">
        <f>Q10/'Output-Calculation-sheet'!Q9*'Output-Calculation-sheet'!Q18</f>
        <v>3155.4970105198513</v>
      </c>
      <c r="R32" s="2">
        <f>R10/'Output-Calculation-sheet'!R9*'Output-Calculation-sheet'!R18</f>
        <v>2447.1826315392473</v>
      </c>
      <c r="S32" s="2">
        <f>S10/'Output-Calculation-sheet'!S9*'Output-Calculation-sheet'!S18</f>
        <v>778.75996468605433</v>
      </c>
      <c r="T32" s="2">
        <f>T10/'Output-Calculation-sheet'!T9*'Output-Calculation-sheet'!T18</f>
        <v>714.53751553364077</v>
      </c>
      <c r="U32" s="2">
        <f>U10/'Output-Calculation-sheet'!U9*'Output-Calculation-sheet'!U18</f>
        <v>789.8896105693459</v>
      </c>
      <c r="V32" s="2">
        <f>V10/'Output-Calculation-sheet'!V9*'Output-Calculation-sheet'!V18</f>
        <v>583.02119724747661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337.5383502573705</v>
      </c>
      <c r="AA32" s="2">
        <f t="shared" si="1"/>
        <v>67.238612336848689</v>
      </c>
    </row>
    <row r="33" spans="1:27" x14ac:dyDescent="0.25">
      <c r="A33" s="2">
        <v>2034</v>
      </c>
      <c r="B33" s="2">
        <f>B11/'Output-Calculation-sheet'!B10*'Output-Calculation-sheet'!B19</f>
        <v>14572.43398783828</v>
      </c>
      <c r="C33" s="2">
        <f>C11/'Output-Calculation-sheet'!C10*'Output-Calculation-sheet'!C19</f>
        <v>0</v>
      </c>
      <c r="D33" s="2">
        <f>D11/'Output-Calculation-sheet'!D10*'Output-Calculation-sheet'!D19</f>
        <v>9691.2969986577064</v>
      </c>
      <c r="E33" s="2">
        <f>E11/'Output-Calculation-sheet'!E10*'Output-Calculation-sheet'!E19</f>
        <v>12014.761339102122</v>
      </c>
      <c r="F33" s="2">
        <f>F11/'Output-Calculation-sheet'!F10*'Output-Calculation-sheet'!F19</f>
        <v>5501.3509837364254</v>
      </c>
      <c r="G33" s="2">
        <f>G11/'Output-Calculation-sheet'!G10*'Output-Calculation-sheet'!G19</f>
        <v>3277.2325624301029</v>
      </c>
      <c r="H33" s="2">
        <f>H11/'Output-Calculation-sheet'!H10*'Output-Calculation-sheet'!H19</f>
        <v>0</v>
      </c>
      <c r="I33" s="2">
        <f>I11/'Output-Calculation-sheet'!I10*'Output-Calculation-sheet'!I19</f>
        <v>3599.958966044288</v>
      </c>
      <c r="J33" s="2">
        <f>J11/'Output-Calculation-sheet'!J10*'Output-Calculation-sheet'!J19</f>
        <v>3044.1839689224194</v>
      </c>
      <c r="K33" s="2">
        <f>K11/'Output-Calculation-sheet'!K10*'Output-Calculation-sheet'!K19</f>
        <v>4222.354931609405</v>
      </c>
      <c r="L33" s="2">
        <f>L11/'Output-Calculation-sheet'!L10*'Output-Calculation-sheet'!L19</f>
        <v>3434.1288655431831</v>
      </c>
      <c r="M33" s="2">
        <f>M11/'Output-Calculation-sheet'!M10*'Output-Calculation-sheet'!M19</f>
        <v>0</v>
      </c>
      <c r="N33" s="2">
        <f>N11/'Output-Calculation-sheet'!N10*'Output-Calculation-sheet'!N19</f>
        <v>651.8515598968504</v>
      </c>
      <c r="O33" s="2">
        <f>O11/'Output-Calculation-sheet'!O10*'Output-Calculation-sheet'!O19</f>
        <v>0</v>
      </c>
      <c r="P33" s="2">
        <f>P11/'Output-Calculation-sheet'!P10*'Output-Calculation-sheet'!P19</f>
        <v>3226.7714321297908</v>
      </c>
      <c r="Q33" s="2">
        <f>Q11/'Output-Calculation-sheet'!Q10*'Output-Calculation-sheet'!Q19</f>
        <v>2056.0062744893839</v>
      </c>
      <c r="R33" s="2">
        <f>R11/'Output-Calculation-sheet'!R10*'Output-Calculation-sheet'!R19</f>
        <v>3050.3457329580037</v>
      </c>
      <c r="S33" s="2">
        <f>S11/'Output-Calculation-sheet'!S10*'Output-Calculation-sheet'!S19</f>
        <v>414.38142097379364</v>
      </c>
      <c r="T33" s="2">
        <f>T11/'Output-Calculation-sheet'!T10*'Output-Calculation-sheet'!T19</f>
        <v>894.8413868898034</v>
      </c>
      <c r="U33" s="2">
        <f>U11/'Output-Calculation-sheet'!U10*'Output-Calculation-sheet'!U19</f>
        <v>967.8205960292629</v>
      </c>
      <c r="V33" s="2">
        <f>V11/'Output-Calculation-sheet'!V10*'Output-Calculation-sheet'!V19</f>
        <v>701.91120519396998</v>
      </c>
      <c r="W33" s="2">
        <f>W11/'Output-Calculation-sheet'!W10*'Output-Calculation-sheet'!W19</f>
        <v>437.04237339879973</v>
      </c>
      <c r="X33" s="2">
        <f>X11/'Output-Calculation-sheet'!X10*'Output-Calculation-sheet'!X19</f>
        <v>0</v>
      </c>
      <c r="Y33" s="2">
        <f>Y11/'Output-Calculation-sheet'!Y10*'Output-Calculation-sheet'!Y19</f>
        <v>357.81293664429086</v>
      </c>
      <c r="AA33" s="2">
        <f t="shared" si="1"/>
        <v>72.116487522487887</v>
      </c>
    </row>
    <row r="34" spans="1:27" x14ac:dyDescent="0.25">
      <c r="A34" s="2">
        <v>2035</v>
      </c>
      <c r="B34" s="2">
        <f>B12/'Output-Calculation-sheet'!B11*'Output-Calculation-sheet'!B20</f>
        <v>3478.3384910168511</v>
      </c>
      <c r="C34" s="2">
        <f>C12/'Output-Calculation-sheet'!C11*'Output-Calculation-sheet'!C20</f>
        <v>0</v>
      </c>
      <c r="D34" s="2">
        <f>D12/'Output-Calculation-sheet'!D11*'Output-Calculation-sheet'!D20</f>
        <v>9107.9650287632667</v>
      </c>
      <c r="E34" s="2">
        <f>E12/'Output-Calculation-sheet'!E11*'Output-Calculation-sheet'!E20</f>
        <v>5945.471233729163</v>
      </c>
      <c r="F34" s="2">
        <f>F12/'Output-Calculation-sheet'!F11*'Output-Calculation-sheet'!F20</f>
        <v>5659.9676713816852</v>
      </c>
      <c r="G34" s="2">
        <f>G12/'Output-Calculation-sheet'!G11*'Output-Calculation-sheet'!G20</f>
        <v>3053.7521463680423</v>
      </c>
      <c r="H34" s="2">
        <f>H12/'Output-Calculation-sheet'!H11*'Output-Calculation-sheet'!H20</f>
        <v>0</v>
      </c>
      <c r="I34" s="2">
        <f>I12/'Output-Calculation-sheet'!I11*'Output-Calculation-sheet'!I20</f>
        <v>3394.932352107523</v>
      </c>
      <c r="J34" s="2">
        <f>J12/'Output-Calculation-sheet'!J11*'Output-Calculation-sheet'!J20</f>
        <v>3148.3410165014798</v>
      </c>
      <c r="K34" s="2">
        <f>K12/'Output-Calculation-sheet'!K11*'Output-Calculation-sheet'!K20</f>
        <v>4197.0508085794936</v>
      </c>
      <c r="L34" s="2">
        <f>L12/'Output-Calculation-sheet'!L11*'Output-Calculation-sheet'!L20</f>
        <v>3341.5465945829837</v>
      </c>
      <c r="M34" s="2">
        <f>M12/'Output-Calculation-sheet'!M11*'Output-Calculation-sheet'!M20</f>
        <v>0</v>
      </c>
      <c r="N34" s="2">
        <f>N12/'Output-Calculation-sheet'!N11*'Output-Calculation-sheet'!N20</f>
        <v>2.4669244295677583E-2</v>
      </c>
      <c r="O34" s="2">
        <f>O12/'Output-Calculation-sheet'!O11*'Output-Calculation-sheet'!O20</f>
        <v>0</v>
      </c>
      <c r="P34" s="2">
        <f>P12/'Output-Calculation-sheet'!P11*'Output-Calculation-sheet'!P20</f>
        <v>1718.0874982749281</v>
      </c>
      <c r="Q34" s="2">
        <f>Q12/'Output-Calculation-sheet'!Q11*'Output-Calculation-sheet'!Q20</f>
        <v>1155.314428897517</v>
      </c>
      <c r="R34" s="2">
        <f>R12/'Output-Calculation-sheet'!R11*'Output-Calculation-sheet'!R20</f>
        <v>3206.3294858604813</v>
      </c>
      <c r="S34" s="2">
        <f>S12/'Output-Calculation-sheet'!S11*'Output-Calculation-sheet'!S20</f>
        <v>3.7986124526624647</v>
      </c>
      <c r="T34" s="2">
        <f>T12/'Output-Calculation-sheet'!T11*'Output-Calculation-sheet'!T20</f>
        <v>971.89209303487917</v>
      </c>
      <c r="U34" s="2">
        <f>U12/'Output-Calculation-sheet'!U11*'Output-Calculation-sheet'!U20</f>
        <v>895.18580901635755</v>
      </c>
      <c r="V34" s="2">
        <f>V12/'Output-Calculation-sheet'!V11*'Output-Calculation-sheet'!V20</f>
        <v>881.1236289878193</v>
      </c>
      <c r="W34" s="2">
        <f>W12/'Output-Calculation-sheet'!W11*'Output-Calculation-sheet'!W20</f>
        <v>477.84155892012978</v>
      </c>
      <c r="X34" s="2">
        <f>X12/'Output-Calculation-sheet'!X11*'Output-Calculation-sheet'!X20</f>
        <v>0</v>
      </c>
      <c r="Y34" s="2">
        <f>Y12/'Output-Calculation-sheet'!Y11*'Output-Calculation-sheet'!Y20</f>
        <v>218.27481807074275</v>
      </c>
      <c r="AA34" s="2">
        <f t="shared" si="1"/>
        <v>50.855237945790307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2.1828584122411055E-2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3.9977385700208949E-3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2.5826322692431951E-2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5.6983139162201879E-2</v>
      </c>
      <c r="E45" s="2">
        <f>E12/'Output-Calculation-sheet'!E11*'Output-Calculation-sheet'!E38*0.0114</f>
        <v>0.13585934818387982</v>
      </c>
      <c r="F45" s="2">
        <f>F12/'Output-Calculation-sheet'!F11*'Output-Calculation-sheet'!F38*0.0114</f>
        <v>5.6964122174412532E-2</v>
      </c>
      <c r="G45" s="2">
        <f>G12/'Output-Calculation-sheet'!G11*'Output-Calculation-sheet'!G38*0.0114</f>
        <v>4.0882280474712998E-2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3.6771084973393105E-2</v>
      </c>
      <c r="J45" s="2">
        <f>J12/'Output-Calculation-sheet'!J11*'Output-Calculation-sheet'!J38*0.0114</f>
        <v>1.8195596782846706E-2</v>
      </c>
      <c r="K45" s="2">
        <f>K12/'Output-Calculation-sheet'!K11*'Output-Calculation-sheet'!K38*0.0114</f>
        <v>3.6140123420350299E-2</v>
      </c>
      <c r="L45" s="2">
        <f>L12/'Output-Calculation-sheet'!L11*'Output-Calculation-sheet'!L38*0.0114</f>
        <v>1.4368481211954319E-2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3.7115221926678967E-2</v>
      </c>
      <c r="Q45" s="2">
        <f>Q12/'Output-Calculation-sheet'!Q11*'Output-Calculation-sheet'!Q38*0.0114</f>
        <v>1.1733333294222497E-2</v>
      </c>
      <c r="R45" s="2">
        <f>R12/'Output-Calculation-sheet'!R11*'Output-Calculation-sheet'!R38*0.0114</f>
        <v>2.327162279835707E-2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4.3048118866367011E-3</v>
      </c>
      <c r="U45" s="2">
        <f>U12/'Output-Calculation-sheet'!U11*'Output-Calculation-sheet'!U38*0.0114</f>
        <v>1.1230916437432223E-2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4.9993220352932679E-3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5.7699269487859204E-3</v>
      </c>
      <c r="AA45" s="2">
        <f t="shared" si="2"/>
        <v>0.76582578369760623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0.1700376711520204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216.97114314344518</v>
      </c>
      <c r="R54" s="2">
        <f>R10/'Output-Calculation-sheet'!R9*'Output-Calculation-sheet'!R45</f>
        <v>1624.240898160107</v>
      </c>
      <c r="S54" s="2">
        <f>S10/'Output-Calculation-sheet'!S9*'Output-Calculation-sheet'!S45</f>
        <v>0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20.2450100760027</v>
      </c>
      <c r="AA54" s="2">
        <f t="shared" si="3"/>
        <v>5.3446027513066507</v>
      </c>
    </row>
    <row r="55" spans="1:27" x14ac:dyDescent="0.25">
      <c r="A55" s="2">
        <v>2034</v>
      </c>
      <c r="B55" s="2">
        <f>B11/'Output-Calculation-sheet'!B10*'Output-Calculation-sheet'!B46</f>
        <v>1904.3871547656108</v>
      </c>
      <c r="C55" s="2">
        <f>C11/'Output-Calculation-sheet'!C10*'Output-Calculation-sheet'!C46</f>
        <v>0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317.49286704687012</v>
      </c>
      <c r="G55" s="2">
        <f>G11/'Output-Calculation-sheet'!G10*'Output-Calculation-sheet'!G46</f>
        <v>3578.7389232268652</v>
      </c>
      <c r="H55" s="2">
        <f>H11/'Output-Calculation-sheet'!H10*'Output-Calculation-sheet'!H46</f>
        <v>649.22213146031334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1472.6367846632957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481.18988336911411</v>
      </c>
      <c r="N55" s="2">
        <f>N11/'Output-Calculation-sheet'!N10*'Output-Calculation-sheet'!N46</f>
        <v>164.33432894458412</v>
      </c>
      <c r="O55" s="2">
        <f>O11/'Output-Calculation-sheet'!O10*'Output-Calculation-sheet'!O46</f>
        <v>0</v>
      </c>
      <c r="P55" s="2">
        <f>P11/'Output-Calculation-sheet'!P10*'Output-Calculation-sheet'!P46</f>
        <v>3574.05123614285</v>
      </c>
      <c r="Q55" s="2">
        <f>Q11/'Output-Calculation-sheet'!Q10*'Output-Calculation-sheet'!Q46</f>
        <v>766.07234218620727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0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1362.3872232044891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90.382431312131402</v>
      </c>
      <c r="X55" s="2">
        <f>X11/'Output-Calculation-sheet'!X10*'Output-Calculation-sheet'!X46</f>
        <v>45.926552169531547</v>
      </c>
      <c r="Y55" s="2">
        <f>Y11/'Output-Calculation-sheet'!Y10*'Output-Calculation-sheet'!Y46</f>
        <v>319.42830231598646</v>
      </c>
      <c r="AA55" s="2">
        <f t="shared" si="3"/>
        <v>47.308530311392573</v>
      </c>
    </row>
    <row r="56" spans="1:27" x14ac:dyDescent="0.25">
      <c r="A56" s="2">
        <v>2035</v>
      </c>
      <c r="B56" s="2">
        <f>B12/'Output-Calculation-sheet'!B11*'Output-Calculation-sheet'!B47</f>
        <v>3198.1278060339027</v>
      </c>
      <c r="C56" s="2">
        <f>C12/'Output-Calculation-sheet'!C11*'Output-Calculation-sheet'!C47</f>
        <v>366.78013425849986</v>
      </c>
      <c r="D56" s="2">
        <f>D12/'Output-Calculation-sheet'!D11*'Output-Calculation-sheet'!D47</f>
        <v>9027.328888327771</v>
      </c>
      <c r="E56" s="2">
        <f>E12/'Output-Calculation-sheet'!E11*'Output-Calculation-sheet'!E47</f>
        <v>11830.091780455967</v>
      </c>
      <c r="F56" s="2">
        <f>F12/'Output-Calculation-sheet'!F11*'Output-Calculation-sheet'!F47</f>
        <v>1249.2132055792222</v>
      </c>
      <c r="G56" s="2">
        <f>G12/'Output-Calculation-sheet'!G11*'Output-Calculation-sheet'!G47</f>
        <v>3340.5126545785229</v>
      </c>
      <c r="H56" s="2">
        <f>H12/'Output-Calculation-sheet'!H11*'Output-Calculation-sheet'!H47</f>
        <v>142.43564125647859</v>
      </c>
      <c r="I56" s="2">
        <f>I12/'Output-Calculation-sheet'!I11*'Output-Calculation-sheet'!I47</f>
        <v>2128.852287933285</v>
      </c>
      <c r="J56" s="2">
        <f>J12/'Output-Calculation-sheet'!J11*'Output-Calculation-sheet'!J47</f>
        <v>3554.5257925789133</v>
      </c>
      <c r="K56" s="2">
        <f>K12/'Output-Calculation-sheet'!K11*'Output-Calculation-sheet'!K47</f>
        <v>4747.3539317521554</v>
      </c>
      <c r="L56" s="2">
        <f>L12/'Output-Calculation-sheet'!L11*'Output-Calculation-sheet'!L47</f>
        <v>5141.1434090843568</v>
      </c>
      <c r="M56" s="2">
        <f>M12/'Output-Calculation-sheet'!M11*'Output-Calculation-sheet'!M47</f>
        <v>108.76673230163949</v>
      </c>
      <c r="N56" s="2">
        <f>N12/'Output-Calculation-sheet'!N11*'Output-Calculation-sheet'!N47</f>
        <v>102.20115493923569</v>
      </c>
      <c r="O56" s="2">
        <f>O12/'Output-Calculation-sheet'!O11*'Output-Calculation-sheet'!O47</f>
        <v>66.870255834364301</v>
      </c>
      <c r="P56" s="2">
        <f>P12/'Output-Calculation-sheet'!P11*'Output-Calculation-sheet'!P47</f>
        <v>2428.7680313423252</v>
      </c>
      <c r="Q56" s="2">
        <f>Q12/'Output-Calculation-sheet'!Q11*'Output-Calculation-sheet'!Q47</f>
        <v>933.52046472454435</v>
      </c>
      <c r="R56" s="2">
        <f>R12/'Output-Calculation-sheet'!R11*'Output-Calculation-sheet'!R47</f>
        <v>5234.073759209432</v>
      </c>
      <c r="S56" s="2">
        <f>S12/'Output-Calculation-sheet'!S11*'Output-Calculation-sheet'!S47</f>
        <v>43.770574263970964</v>
      </c>
      <c r="T56" s="2">
        <f>T12/'Output-Calculation-sheet'!T11*'Output-Calculation-sheet'!T47</f>
        <v>1760.8191076655207</v>
      </c>
      <c r="U56" s="2">
        <f>U12/'Output-Calculation-sheet'!U11*'Output-Calculation-sheet'!U47</f>
        <v>1234.4156400089978</v>
      </c>
      <c r="V56" s="2">
        <f>V12/'Output-Calculation-sheet'!V11*'Output-Calculation-sheet'!V47</f>
        <v>1219.7457670674919</v>
      </c>
      <c r="W56" s="2">
        <f>W12/'Output-Calculation-sheet'!W11*'Output-Calculation-sheet'!W47</f>
        <v>431.73969681984403</v>
      </c>
      <c r="X56" s="2">
        <f>X12/'Output-Calculation-sheet'!X11*'Output-Calculation-sheet'!X47</f>
        <v>11.145215645628912</v>
      </c>
      <c r="Y56" s="2">
        <f>Y12/'Output-Calculation-sheet'!Y11*'Output-Calculation-sheet'!Y47</f>
        <v>344.55068161280838</v>
      </c>
      <c r="AA56" s="2">
        <f t="shared" si="3"/>
        <v>58.646752613274884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8.6384381775300714</v>
      </c>
      <c r="C63" s="2">
        <f>C8*'Output-Calculation-sheet'!C52/10^9</f>
        <v>4.6150979533461136</v>
      </c>
      <c r="D63" s="2">
        <f>D8*'Output-Calculation-sheet'!D52/10^9</f>
        <v>2.9623055746949247</v>
      </c>
      <c r="E63" s="2">
        <f>E8*'Output-Calculation-sheet'!E52/10^9</f>
        <v>2.9453263449748119</v>
      </c>
      <c r="F63" s="2">
        <f>F8*'Output-Calculation-sheet'!F52/10^9</f>
        <v>1.2473454636079526</v>
      </c>
      <c r="G63" s="2">
        <f>G8*'Output-Calculation-sheet'!G52/10^9</f>
        <v>0.89678503807798637</v>
      </c>
      <c r="H63" s="2">
        <f>H8*'Output-Calculation-sheet'!H52/10^9</f>
        <v>1.458534712564852</v>
      </c>
      <c r="I63" s="2">
        <f>I8*'Output-Calculation-sheet'!I52/10^9</f>
        <v>0.83421828524351005</v>
      </c>
      <c r="J63" s="2">
        <f>J8*'Output-Calculation-sheet'!J52/10^9</f>
        <v>1.1479409054218253</v>
      </c>
      <c r="K63" s="2">
        <f>K8*'Output-Calculation-sheet'!K52/10^9</f>
        <v>1.0085681856349491</v>
      </c>
      <c r="L63" s="2">
        <f>L8*'Output-Calculation-sheet'!L52/10^9</f>
        <v>1.3565727361293389</v>
      </c>
      <c r="M63" s="2">
        <f>M8*'Output-Calculation-sheet'!M52/10^9</f>
        <v>1.1948797147157515</v>
      </c>
      <c r="N63" s="2">
        <f>N8*'Output-Calculation-sheet'!N52/10^9</f>
        <v>1.0543081386551518</v>
      </c>
      <c r="O63" s="2">
        <f>O8*'Output-Calculation-sheet'!O52/10^9</f>
        <v>0.94420920074218717</v>
      </c>
      <c r="P63" s="2">
        <f>P8*'Output-Calculation-sheet'!P52/10^9</f>
        <v>0.69689341015232709</v>
      </c>
      <c r="Q63" s="2">
        <f>Q8*'Output-Calculation-sheet'!Q52/10^9</f>
        <v>0.78867911853192629</v>
      </c>
      <c r="R63" s="2">
        <f>R8*'Output-Calculation-sheet'!R52/10^9</f>
        <v>0.70807729543351217</v>
      </c>
      <c r="S63" s="2">
        <f>S8*'Output-Calculation-sheet'!S52/10^9</f>
        <v>0.5247103643406299</v>
      </c>
      <c r="T63" s="2">
        <f>T8*'Output-Calculation-sheet'!T52/10^9</f>
        <v>0.26920087286878491</v>
      </c>
      <c r="U63" s="2">
        <f>U8*'Output-Calculation-sheet'!U52/10^9</f>
        <v>0.18488427482047046</v>
      </c>
      <c r="V63" s="2">
        <f>V8*'Output-Calculation-sheet'!V52/10^9</f>
        <v>0.32812589622650384</v>
      </c>
      <c r="W63" s="2">
        <f>W8*'Output-Calculation-sheet'!W52/10^9</f>
        <v>0.11876620158030425</v>
      </c>
      <c r="X63" s="2">
        <f>X8*'Output-Calculation-sheet'!X52/10^9</f>
        <v>0.12237449269088593</v>
      </c>
      <c r="Y63" s="2">
        <f>Y8*'Output-Calculation-sheet'!Y52/10^9</f>
        <v>7.7491642745380271E-2</v>
      </c>
      <c r="AA63" s="2">
        <f t="shared" si="4"/>
        <v>34.123734000730153</v>
      </c>
    </row>
    <row r="64" spans="1:27" x14ac:dyDescent="0.25">
      <c r="A64" s="2">
        <v>2032</v>
      </c>
      <c r="B64" s="2">
        <f>B9*'Output-Calculation-sheet'!B53/10^9</f>
        <v>9.0940690403708171</v>
      </c>
      <c r="C64" s="2">
        <f>C9*'Output-Calculation-sheet'!C53/10^9</f>
        <v>4.8210468661859576</v>
      </c>
      <c r="D64" s="2">
        <f>D9*'Output-Calculation-sheet'!D53/10^9</f>
        <v>2.693366876280697</v>
      </c>
      <c r="E64" s="2">
        <f>E9*'Output-Calculation-sheet'!E53/10^9</f>
        <v>2.7581261837990816</v>
      </c>
      <c r="F64" s="2">
        <f>F9*'Output-Calculation-sheet'!F53/10^9</f>
        <v>1.163360329455275</v>
      </c>
      <c r="G64" s="2">
        <f>G9*'Output-Calculation-sheet'!G53/10^9</f>
        <v>0.82804429403294055</v>
      </c>
      <c r="H64" s="2">
        <f>H9*'Output-Calculation-sheet'!H53/10^9</f>
        <v>1.513049792779068</v>
      </c>
      <c r="I64" s="2">
        <f>I9*'Output-Calculation-sheet'!I53/10^9</f>
        <v>0.77408608237992882</v>
      </c>
      <c r="J64" s="2">
        <f>J9*'Output-Calculation-sheet'!J53/10^9</f>
        <v>1.0247326903652174</v>
      </c>
      <c r="K64" s="2">
        <f>K9*'Output-Calculation-sheet'!K53/10^9</f>
        <v>0.95081251817850621</v>
      </c>
      <c r="L64" s="2">
        <f>L9*'Output-Calculation-sheet'!L53/10^9</f>
        <v>1.223217462725785</v>
      </c>
      <c r="M64" s="2">
        <f>M9*'Output-Calculation-sheet'!M53/10^9</f>
        <v>1.2004280463543635</v>
      </c>
      <c r="N64" s="2">
        <f>N9*'Output-Calculation-sheet'!N53/10^9</f>
        <v>1.0807731087844259</v>
      </c>
      <c r="O64" s="2">
        <f>O9*'Output-Calculation-sheet'!O53/10^9</f>
        <v>0.97629809390563216</v>
      </c>
      <c r="P64" s="2">
        <f>P9*'Output-Calculation-sheet'!P53/10^9</f>
        <v>0.72493554842337093</v>
      </c>
      <c r="Q64" s="2">
        <f>Q9*'Output-Calculation-sheet'!Q53/10^9</f>
        <v>0.8011566857325616</v>
      </c>
      <c r="R64" s="2">
        <f>R9*'Output-Calculation-sheet'!R53/10^9</f>
        <v>0.68678047426242406</v>
      </c>
      <c r="S64" s="2">
        <f>S9*'Output-Calculation-sheet'!S53/10^9</f>
        <v>0.55263302992392715</v>
      </c>
      <c r="T64" s="2">
        <f>T9*'Output-Calculation-sheet'!T53/10^9</f>
        <v>0.2468787232922674</v>
      </c>
      <c r="U64" s="2">
        <f>U9*'Output-Calculation-sheet'!U53/10^9</f>
        <v>0.18582046770864208</v>
      </c>
      <c r="V64" s="2">
        <f>V9*'Output-Calculation-sheet'!V53/10^9</f>
        <v>0.29302835009643186</v>
      </c>
      <c r="W64" s="2">
        <f>W9*'Output-Calculation-sheet'!W53/10^9</f>
        <v>0.10888386499844628</v>
      </c>
      <c r="X64" s="2">
        <f>X9*'Output-Calculation-sheet'!X53/10^9</f>
        <v>0.12483379344450971</v>
      </c>
      <c r="Y64" s="2">
        <f>Y9*'Output-Calculation-sheet'!Y53/10^9</f>
        <v>7.6287628911434008E-2</v>
      </c>
      <c r="AA64" s="2">
        <f t="shared" si="4"/>
        <v>33.90264995239172</v>
      </c>
    </row>
    <row r="65" spans="1:27" x14ac:dyDescent="0.25">
      <c r="A65" s="2">
        <v>2033</v>
      </c>
      <c r="B65" s="2">
        <f>B10*'Output-Calculation-sheet'!B54/10^9</f>
        <v>9.1828784831355232</v>
      </c>
      <c r="C65" s="2">
        <f>C10*'Output-Calculation-sheet'!C54/10^9</f>
        <v>4.7467944568789324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1.4906536683103331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0.86851199587593775</v>
      </c>
      <c r="L65" s="2">
        <f>L10*'Output-Calculation-sheet'!L54/10^9</f>
        <v>1.0257966751348511</v>
      </c>
      <c r="M65" s="2">
        <f>M10*'Output-Calculation-sheet'!M54/10^9</f>
        <v>1.1367183545969337</v>
      </c>
      <c r="N65" s="2">
        <f>N10*'Output-Calculation-sheet'!N54/10^9</f>
        <v>1.0430783830011596</v>
      </c>
      <c r="O65" s="2">
        <f>O10*'Output-Calculation-sheet'!O54/10^9</f>
        <v>0.9512785991361189</v>
      </c>
      <c r="P65" s="2">
        <f>P10*'Output-Calculation-sheet'!P54/10^9</f>
        <v>0.73478862299137304</v>
      </c>
      <c r="Q65" s="2">
        <f>Q10*'Output-Calculation-sheet'!Q54/10^9</f>
        <v>0.8004320418965184</v>
      </c>
      <c r="R65" s="2">
        <f>R10*'Output-Calculation-sheet'!R54/10^9</f>
        <v>0.64690115528473902</v>
      </c>
      <c r="S65" s="2">
        <f>S10*'Output-Calculation-sheet'!S54/10^9</f>
        <v>0.55022233914790475</v>
      </c>
      <c r="T65" s="2">
        <f>T10*'Output-Calculation-sheet'!T54/10^9</f>
        <v>0.21629060805074268</v>
      </c>
      <c r="U65" s="2">
        <f>U10*'Output-Calculation-sheet'!U54/10^9</f>
        <v>0.18675924654814705</v>
      </c>
      <c r="V65" s="2">
        <f>V10*'Output-Calculation-sheet'!V54/10^9</f>
        <v>0.23936353431982152</v>
      </c>
      <c r="W65" s="2">
        <f>W10*'Output-Calculation-sheet'!W54/10^9</f>
        <v>9.1131202362243119E-2</v>
      </c>
      <c r="X65" s="2">
        <f>X10*'Output-Calculation-sheet'!X54/10^9</f>
        <v>0.11918572216802027</v>
      </c>
      <c r="Y65" s="2">
        <f>Y10*'Output-Calculation-sheet'!Y54/10^9</f>
        <v>7.5007399131920061E-2</v>
      </c>
      <c r="AA65" s="2">
        <f t="shared" si="4"/>
        <v>32.056536937922196</v>
      </c>
    </row>
    <row r="66" spans="1:27" x14ac:dyDescent="0.25">
      <c r="A66" s="2">
        <v>2034</v>
      </c>
      <c r="B66" s="2">
        <f>B11*'Output-Calculation-sheet'!B55/10^9</f>
        <v>8.8585103518408381</v>
      </c>
      <c r="C66" s="2">
        <f>C11*'Output-Calculation-sheet'!C55/10^9</f>
        <v>4.456167584666118</v>
      </c>
      <c r="D66" s="2">
        <f>D11*'Output-Calculation-sheet'!D55/10^9</f>
        <v>1.9992199442292882</v>
      </c>
      <c r="E66" s="2">
        <f>E11*'Output-Calculation-sheet'!E55/10^9</f>
        <v>2.4209135636545733</v>
      </c>
      <c r="F66" s="2">
        <f>F11*'Output-Calculation-sheet'!F55/10^9</f>
        <v>0.93039307315810049</v>
      </c>
      <c r="G66" s="2">
        <f>G11*'Output-Calculation-sheet'!G55/10^9</f>
        <v>0.66506854299239537</v>
      </c>
      <c r="H66" s="2">
        <f>H11*'Output-Calculation-sheet'!H55/10^9</f>
        <v>1.3877435936851072</v>
      </c>
      <c r="I66" s="2">
        <f>I11*'Output-Calculation-sheet'!I55/10^9</f>
        <v>0.65031722908194467</v>
      </c>
      <c r="J66" s="2">
        <f>J11*'Output-Calculation-sheet'!J55/10^9</f>
        <v>0.66874434226461077</v>
      </c>
      <c r="K66" s="2">
        <f>K11*'Output-Calculation-sheet'!K55/10^9</f>
        <v>0.79986538542998276</v>
      </c>
      <c r="L66" s="2">
        <f>L11*'Output-Calculation-sheet'!L55/10^9</f>
        <v>0.84707032750669164</v>
      </c>
      <c r="M66" s="2">
        <f>M11*'Output-Calculation-sheet'!M55/10^9</f>
        <v>1.0115691940087821</v>
      </c>
      <c r="N66" s="2">
        <f>N11*'Output-Calculation-sheet'!N55/10^9</f>
        <v>0.95564048665828227</v>
      </c>
      <c r="O66" s="2">
        <f>O11*'Output-Calculation-sheet'!O55/10^9</f>
        <v>0.87832563291236043</v>
      </c>
      <c r="P66" s="2">
        <f>P11*'Output-Calculation-sheet'!P55/10^9</f>
        <v>0.73339342696550436</v>
      </c>
      <c r="Q66" s="2">
        <f>Q11*'Output-Calculation-sheet'!Q55/10^9</f>
        <v>0.77581096559589113</v>
      </c>
      <c r="R66" s="2">
        <f>R11*'Output-Calculation-sheet'!R55/10^9</f>
        <v>0.59922870281441754</v>
      </c>
      <c r="S66" s="2">
        <f>S11*'Output-Calculation-sheet'!S55/10^9</f>
        <v>0.52267168290753652</v>
      </c>
      <c r="T66" s="2">
        <f>T11*'Output-Calculation-sheet'!T55/10^9</f>
        <v>0.18781269135787709</v>
      </c>
      <c r="U66" s="2">
        <f>U11*'Output-Calculation-sheet'!U55/10^9</f>
        <v>0.19076198804475544</v>
      </c>
      <c r="V66" s="2">
        <f>V11*'Output-Calculation-sheet'!V55/10^9</f>
        <v>0.17816650478526685</v>
      </c>
      <c r="W66" s="2">
        <f>W11*'Output-Calculation-sheet'!W55/10^9</f>
        <v>8.0674952740035707E-2</v>
      </c>
      <c r="X66" s="2">
        <f>X11*'Output-Calculation-sheet'!X55/10^9</f>
        <v>0.10807793474115703</v>
      </c>
      <c r="Y66" s="2">
        <f>Y11*'Output-Calculation-sheet'!Y55/10^9</f>
        <v>7.8872247068228554E-2</v>
      </c>
      <c r="AA66" s="2">
        <f t="shared" si="4"/>
        <v>29.98502034910975</v>
      </c>
    </row>
    <row r="67" spans="1:27" x14ac:dyDescent="0.25">
      <c r="A67" s="2">
        <v>2035</v>
      </c>
      <c r="B67" s="2">
        <f>B12*'Output-Calculation-sheet'!B56/10^9</f>
        <v>8.3795250182516359</v>
      </c>
      <c r="C67" s="2">
        <f>C12*'Output-Calculation-sheet'!C56/10^9</f>
        <v>3.9329447808704794</v>
      </c>
      <c r="D67" s="2">
        <f>D12*'Output-Calculation-sheet'!D56/10^9</f>
        <v>1.9335299910662622</v>
      </c>
      <c r="E67" s="2">
        <f>E12*'Output-Calculation-sheet'!E56/10^9</f>
        <v>2.5847791090684917</v>
      </c>
      <c r="F67" s="2">
        <f>F12*'Output-Calculation-sheet'!F56/10^9</f>
        <v>0.95882459949979226</v>
      </c>
      <c r="G67" s="2">
        <f>G12*'Output-Calculation-sheet'!G56/10^9</f>
        <v>0.67167187765903524</v>
      </c>
      <c r="H67" s="2">
        <f>H12*'Output-Calculation-sheet'!H56/10^9</f>
        <v>1.2382095462624059</v>
      </c>
      <c r="I67" s="2">
        <f>I12*'Output-Calculation-sheet'!I56/10^9</f>
        <v>0.65246982271482556</v>
      </c>
      <c r="J67" s="2">
        <f>J12*'Output-Calculation-sheet'!J56/10^9</f>
        <v>0.64597186112864502</v>
      </c>
      <c r="K67" s="2">
        <f>K12*'Output-Calculation-sheet'!K56/10^9</f>
        <v>0.77840766503913328</v>
      </c>
      <c r="L67" s="2">
        <f>L12*'Output-Calculation-sheet'!L56/10^9</f>
        <v>0.7819201290186254</v>
      </c>
      <c r="M67" s="2">
        <f>M12*'Output-Calculation-sheet'!M56/10^9</f>
        <v>0.86135008860645779</v>
      </c>
      <c r="N67" s="2">
        <f>N12*'Output-Calculation-sheet'!N56/10^9</f>
        <v>0.84023085842625511</v>
      </c>
      <c r="O67" s="2">
        <f>O12*'Output-Calculation-sheet'!O56/10^9</f>
        <v>0.7645259539940481</v>
      </c>
      <c r="P67" s="2">
        <f>P12*'Output-Calculation-sheet'!P56/10^9</f>
        <v>0.73073343527363344</v>
      </c>
      <c r="Q67" s="2">
        <f>Q12*'Output-Calculation-sheet'!Q56/10^9</f>
        <v>0.74166985457771306</v>
      </c>
      <c r="R67" s="2">
        <f>R12*'Output-Calculation-sheet'!R56/10^9</f>
        <v>0.59043501152612665</v>
      </c>
      <c r="S67" s="2">
        <f>S12*'Output-Calculation-sheet'!S56/10^9</f>
        <v>0.48007106800808252</v>
      </c>
      <c r="T67" s="2">
        <f>T12*'Output-Calculation-sheet'!T56/10^9</f>
        <v>0.17894173292744495</v>
      </c>
      <c r="U67" s="2">
        <f>U12*'Output-Calculation-sheet'!U56/10^9</f>
        <v>0.18709817320493954</v>
      </c>
      <c r="V67" s="2">
        <f>V12*'Output-Calculation-sheet'!V56/10^9</f>
        <v>0.14352261773103026</v>
      </c>
      <c r="W67" s="2">
        <f>W12*'Output-Calculation-sheet'!W56/10^9</f>
        <v>8.6654464352960689E-2</v>
      </c>
      <c r="X67" s="2">
        <f>X12*'Output-Calculation-sheet'!X56/10^9</f>
        <v>9.2079975716974918E-2</v>
      </c>
      <c r="Y67" s="2">
        <f>Y12*'Output-Calculation-sheet'!Y56/10^9</f>
        <v>8.3234242626900004E-2</v>
      </c>
      <c r="AA67" s="2">
        <f t="shared" si="4"/>
        <v>28.338801877551901</v>
      </c>
    </row>
    <row r="68" spans="1:27" x14ac:dyDescent="0.25">
      <c r="B68" s="2">
        <f>SUM(B60:B67)</f>
        <v>44.153421071128882</v>
      </c>
      <c r="C68" s="2">
        <f t="shared" ref="C68:Y68" si="5">SUM(C60:C67)</f>
        <v>22.572051641947599</v>
      </c>
      <c r="D68" s="2">
        <f t="shared" si="5"/>
        <v>11.816853915144938</v>
      </c>
      <c r="E68" s="2">
        <f t="shared" si="5"/>
        <v>13.218321121294572</v>
      </c>
      <c r="F68" s="2">
        <f t="shared" si="5"/>
        <v>5.3186048920239948</v>
      </c>
      <c r="G68" s="2">
        <f t="shared" si="5"/>
        <v>3.7609872809282678</v>
      </c>
      <c r="H68" s="2">
        <f t="shared" si="5"/>
        <v>7.0881913136017651</v>
      </c>
      <c r="I68" s="2">
        <f t="shared" si="5"/>
        <v>3.592133384410753</v>
      </c>
      <c r="J68" s="2">
        <f t="shared" si="5"/>
        <v>4.3013858810005727</v>
      </c>
      <c r="K68" s="2">
        <f t="shared" si="5"/>
        <v>4.4061657501585092</v>
      </c>
      <c r="L68" s="2">
        <f t="shared" si="5"/>
        <v>5.2345773305152923</v>
      </c>
      <c r="M68" s="2">
        <f t="shared" si="5"/>
        <v>5.4049453982822895</v>
      </c>
      <c r="N68" s="2">
        <f t="shared" si="5"/>
        <v>4.9740309755252747</v>
      </c>
      <c r="O68" s="2">
        <f t="shared" si="5"/>
        <v>4.5146374806903466</v>
      </c>
      <c r="P68" s="2">
        <f t="shared" si="5"/>
        <v>3.6207444438062089</v>
      </c>
      <c r="Q68" s="2">
        <f t="shared" si="5"/>
        <v>3.9077486663346104</v>
      </c>
      <c r="R68" s="2">
        <f t="shared" si="5"/>
        <v>3.2314226393212193</v>
      </c>
      <c r="S68" s="2">
        <f t="shared" si="5"/>
        <v>2.6303084843280806</v>
      </c>
      <c r="T68" s="2">
        <f t="shared" si="5"/>
        <v>1.099124628497117</v>
      </c>
      <c r="U68" s="2">
        <f t="shared" si="5"/>
        <v>0.93532415032695448</v>
      </c>
      <c r="V68" s="2">
        <f t="shared" si="5"/>
        <v>1.1822069031590543</v>
      </c>
      <c r="W68" s="2">
        <f t="shared" si="5"/>
        <v>0.4861106860339901</v>
      </c>
      <c r="X68" s="2">
        <f t="shared" si="5"/>
        <v>0.56655191876154787</v>
      </c>
      <c r="Y68" s="2">
        <f t="shared" si="5"/>
        <v>0.39089316048386286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62.284461119797363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6.2284461119797366E-2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577.31803820908408</v>
      </c>
      <c r="Q76" s="2">
        <f>Q10/'Output-Calculation-sheet'!Q9*'Output-Calculation-sheet'!Q63</f>
        <v>68.578458648733843</v>
      </c>
      <c r="R76" s="2">
        <f>R10/'Output-Calculation-sheet'!R9*'Output-Calculation-sheet'!R63</f>
        <v>440.06004437359155</v>
      </c>
      <c r="S76" s="2">
        <f>S10/'Output-Calculation-sheet'!S9*'Output-Calculation-sheet'!S63</f>
        <v>0</v>
      </c>
      <c r="T76" s="2">
        <f>T10/'Output-Calculation-sheet'!T9*'Output-Calculation-sheet'!T63</f>
        <v>28.908489252158009</v>
      </c>
      <c r="U76" s="2">
        <f>U10/'Output-Calculation-sheet'!U9*'Output-Calculation-sheet'!U63</f>
        <v>156.14309133174751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7.4156924745963408</v>
      </c>
      <c r="AA76" s="2">
        <f t="shared" si="6"/>
        <v>1.3998237984741424</v>
      </c>
    </row>
    <row r="77" spans="1:27" x14ac:dyDescent="0.25">
      <c r="A77" s="2">
        <v>2034</v>
      </c>
      <c r="B77" s="2">
        <f>B11/'Output-Calculation-sheet'!B10*'Output-Calculation-sheet'!B64</f>
        <v>576.41990400445502</v>
      </c>
      <c r="C77" s="2">
        <f>C11/'Output-Calculation-sheet'!C10*'Output-Calculation-sheet'!C64</f>
        <v>0</v>
      </c>
      <c r="D77" s="2">
        <f>D11/'Output-Calculation-sheet'!D10*'Output-Calculation-sheet'!D64</f>
        <v>1938.7995846822182</v>
      </c>
      <c r="E77" s="2">
        <f>E11/'Output-Calculation-sheet'!E10*'Output-Calculation-sheet'!E64</f>
        <v>2404.0569182086329</v>
      </c>
      <c r="F77" s="2">
        <f>F11/'Output-Calculation-sheet'!F10*'Output-Calculation-sheet'!F64</f>
        <v>150.61434731537739</v>
      </c>
      <c r="G77" s="2">
        <f>G11/'Output-Calculation-sheet'!G10*'Output-Calculation-sheet'!G64</f>
        <v>971.31072022870273</v>
      </c>
      <c r="H77" s="2">
        <f>H11/'Output-Calculation-sheet'!H10*'Output-Calculation-sheet'!H64</f>
        <v>158.9592565074943</v>
      </c>
      <c r="I77" s="2">
        <f>I11/'Output-Calculation-sheet'!I10*'Output-Calculation-sheet'!I64</f>
        <v>600.98717680741277</v>
      </c>
      <c r="J77" s="2">
        <f>J11/'Output-Calculation-sheet'!J10*'Output-Calculation-sheet'!J64</f>
        <v>422.34848007184263</v>
      </c>
      <c r="K77" s="2">
        <f>K11/'Output-Calculation-sheet'!K10*'Output-Calculation-sheet'!K64</f>
        <v>921.44669061897275</v>
      </c>
      <c r="L77" s="2">
        <f>L11/'Output-Calculation-sheet'!L10*'Output-Calculation-sheet'!L64</f>
        <v>381.00936373019937</v>
      </c>
      <c r="M77" s="2">
        <f>M11/'Output-Calculation-sheet'!M10*'Output-Calculation-sheet'!M64</f>
        <v>114.48490126969776</v>
      </c>
      <c r="N77" s="2">
        <f>N11/'Output-Calculation-sheet'!N10*'Output-Calculation-sheet'!N64</f>
        <v>37.863382065147952</v>
      </c>
      <c r="O77" s="2">
        <f>O11/'Output-Calculation-sheet'!O10*'Output-Calculation-sheet'!O64</f>
        <v>0</v>
      </c>
      <c r="P77" s="2">
        <f>P11/'Output-Calculation-sheet'!P10*'Output-Calculation-sheet'!P64</f>
        <v>779.63917918376819</v>
      </c>
      <c r="Q77" s="2">
        <f>Q11/'Output-Calculation-sheet'!Q10*'Output-Calculation-sheet'!Q64</f>
        <v>188.05042666621108</v>
      </c>
      <c r="R77" s="2">
        <f>R11/'Output-Calculation-sheet'!R10*'Output-Calculation-sheet'!R64</f>
        <v>969.39462335805842</v>
      </c>
      <c r="S77" s="2">
        <f>S11/'Output-Calculation-sheet'!S10*'Output-Calculation-sheet'!S64</f>
        <v>0</v>
      </c>
      <c r="T77" s="2">
        <f>T11/'Output-Calculation-sheet'!T10*'Output-Calculation-sheet'!T64</f>
        <v>268.79029566304467</v>
      </c>
      <c r="U77" s="2">
        <f>U11/'Output-Calculation-sheet'!U10*'Output-Calculation-sheet'!U64</f>
        <v>294.80411319682071</v>
      </c>
      <c r="V77" s="2">
        <f>V11/'Output-Calculation-sheet'!V10*'Output-Calculation-sheet'!V64</f>
        <v>138.91600235316849</v>
      </c>
      <c r="W77" s="2">
        <f>W11/'Output-Calculation-sheet'!W10*'Output-Calculation-sheet'!W64</f>
        <v>30.48065543019872</v>
      </c>
      <c r="X77" s="2">
        <f>X11/'Output-Calculation-sheet'!X10*'Output-Calculation-sheet'!X64</f>
        <v>11.412888234104715</v>
      </c>
      <c r="Y77" s="2">
        <f>Y11/'Output-Calculation-sheet'!Y10*'Output-Calculation-sheet'!Y64</f>
        <v>64.328995598518247</v>
      </c>
      <c r="AA77" s="2">
        <f t="shared" si="6"/>
        <v>11.424117905194047</v>
      </c>
    </row>
    <row r="78" spans="1:27" x14ac:dyDescent="0.25">
      <c r="A78" s="2">
        <v>2035</v>
      </c>
      <c r="B78" s="2">
        <f>B12/'Output-Calculation-sheet'!B11*'Output-Calculation-sheet'!B65</f>
        <v>644.70214326319865</v>
      </c>
      <c r="C78" s="2">
        <f>C12/'Output-Calculation-sheet'!C11*'Output-Calculation-sheet'!C65</f>
        <v>65.90756874060429</v>
      </c>
      <c r="D78" s="2">
        <f>D12/'Output-Calculation-sheet'!D11*'Output-Calculation-sheet'!D65</f>
        <v>2049.238647297258</v>
      </c>
      <c r="E78" s="2">
        <f>E12/'Output-Calculation-sheet'!E11*'Output-Calculation-sheet'!E65</f>
        <v>1913.3326244451691</v>
      </c>
      <c r="F78" s="2">
        <f>F12/'Output-Calculation-sheet'!F11*'Output-Calculation-sheet'!F65</f>
        <v>452.63491605675307</v>
      </c>
      <c r="G78" s="2">
        <f>G12/'Output-Calculation-sheet'!G11*'Output-Calculation-sheet'!G65</f>
        <v>896.10551943864664</v>
      </c>
      <c r="H78" s="2">
        <f>H12/'Output-Calculation-sheet'!H11*'Output-Calculation-sheet'!H65</f>
        <v>25.895494388433935</v>
      </c>
      <c r="I78" s="2">
        <f>I12/'Output-Calculation-sheet'!I11*'Output-Calculation-sheet'!I65</f>
        <v>594.2787927778852</v>
      </c>
      <c r="J78" s="2">
        <f>J12/'Output-Calculation-sheet'!J11*'Output-Calculation-sheet'!J65</f>
        <v>867.12712573636929</v>
      </c>
      <c r="K78" s="2">
        <f>K12/'Output-Calculation-sheet'!K11*'Output-Calculation-sheet'!K65</f>
        <v>1082.4648554441878</v>
      </c>
      <c r="L78" s="2">
        <f>L12/'Output-Calculation-sheet'!L11*'Output-Calculation-sheet'!L65</f>
        <v>913.25814504563891</v>
      </c>
      <c r="M78" s="2">
        <f>M12/'Output-Calculation-sheet'!M11*'Output-Calculation-sheet'!M65</f>
        <v>21.645774966842758</v>
      </c>
      <c r="N78" s="2">
        <f>N12/'Output-Calculation-sheet'!N11*'Output-Calculation-sheet'!N65</f>
        <v>17.570375568116646</v>
      </c>
      <c r="O78" s="2">
        <f>O12/'Output-Calculation-sheet'!O11*'Output-Calculation-sheet'!O65</f>
        <v>11.977449430266629</v>
      </c>
      <c r="P78" s="2">
        <f>P12/'Output-Calculation-sheet'!P11*'Output-Calculation-sheet'!P65</f>
        <v>501.05658125057323</v>
      </c>
      <c r="Q78" s="2">
        <f>Q12/'Output-Calculation-sheet'!Q11*'Output-Calculation-sheet'!Q65</f>
        <v>189.66212802276812</v>
      </c>
      <c r="R78" s="2">
        <f>R12/'Output-Calculation-sheet'!R11*'Output-Calculation-sheet'!R65</f>
        <v>1149.4160705671693</v>
      </c>
      <c r="S78" s="2">
        <f>S12/'Output-Calculation-sheet'!S11*'Output-Calculation-sheet'!S65</f>
        <v>6.8376370934824795</v>
      </c>
      <c r="T78" s="2">
        <f>T12/'Output-Calculation-sheet'!T11*'Output-Calculation-sheet'!T65</f>
        <v>395.93205235278839</v>
      </c>
      <c r="U78" s="2">
        <f>U12/'Output-Calculation-sheet'!U11*'Output-Calculation-sheet'!U65</f>
        <v>271.28114459932777</v>
      </c>
      <c r="V78" s="2">
        <f>V12/'Output-Calculation-sheet'!V11*'Output-Calculation-sheet'!V65</f>
        <v>223.64850199320193</v>
      </c>
      <c r="W78" s="2">
        <f>W12/'Output-Calculation-sheet'!W11*'Output-Calculation-sheet'!W65</f>
        <v>105.7553952123814</v>
      </c>
      <c r="X78" s="2">
        <f>X12/'Output-Calculation-sheet'!X11*'Output-Calculation-sheet'!X65</f>
        <v>2.3189915753952111</v>
      </c>
      <c r="Y78" s="2">
        <f>Y12/'Output-Calculation-sheet'!Y11*'Output-Calculation-sheet'!Y65</f>
        <v>59.59638603924401</v>
      </c>
      <c r="AA78" s="2">
        <f t="shared" si="6"/>
        <v>12.461644321305705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1.9147880809132505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1.4027152877266298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3.3175033686398802E-3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29.991125874843092</v>
      </c>
      <c r="E89" s="2">
        <f>E12/'Output-Calculation-sheet'!E11*'Output-Calculation-sheet'!E74</f>
        <v>67.532424535846687</v>
      </c>
      <c r="F89" s="2">
        <f>F12/'Output-Calculation-sheet'!F11*'Output-Calculation-sheet'!F74</f>
        <v>29.981116933901333</v>
      </c>
      <c r="G89" s="2">
        <f>G12/'Output-Calculation-sheet'!G11*'Output-Calculation-sheet'!G74</f>
        <v>21.516989723533158</v>
      </c>
      <c r="H89" s="2">
        <f>H12/'Output-Calculation-sheet'!H11*'Output-Calculation-sheet'!H74</f>
        <v>3.4740400306458192</v>
      </c>
      <c r="I89" s="2">
        <f>I12/'Output-Calculation-sheet'!I11*'Output-Calculation-sheet'!I74</f>
        <v>19.353202617575317</v>
      </c>
      <c r="J89" s="2">
        <f>J12/'Output-Calculation-sheet'!J11*'Output-Calculation-sheet'!J74</f>
        <v>9.5766298857087921</v>
      </c>
      <c r="K89" s="2">
        <f>K12/'Output-Calculation-sheet'!K11*'Output-Calculation-sheet'!K74</f>
        <v>14.265838192243539</v>
      </c>
      <c r="L89" s="2">
        <f>L12/'Output-Calculation-sheet'!L11*'Output-Calculation-sheet'!L74</f>
        <v>7.5623585326075364</v>
      </c>
      <c r="M89" s="2">
        <f>M12/'Output-Calculation-sheet'!M11*'Output-Calculation-sheet'!M74</f>
        <v>2.3904776330030657</v>
      </c>
      <c r="N89" s="2">
        <f>N12/'Output-Calculation-sheet'!N11*'Output-Calculation-sheet'!N74</f>
        <v>1.1747259188417896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22.790048551469539</v>
      </c>
      <c r="Q89" s="2">
        <f>Q12/'Output-Calculation-sheet'!Q11*'Output-Calculation-sheet'!Q74</f>
        <v>5.1461988132554817</v>
      </c>
      <c r="R89" s="2">
        <f>R12/'Output-Calculation-sheet'!R11*'Output-Calculation-sheet'!R74</f>
        <v>12.248222525451089</v>
      </c>
      <c r="S89" s="2">
        <f>S12/'Output-Calculation-sheet'!S11*'Output-Calculation-sheet'!S74</f>
        <v>1.3467869004298758</v>
      </c>
      <c r="T89" s="2">
        <f>T12/'Output-Calculation-sheet'!T11*'Output-Calculation-sheet'!T74</f>
        <v>2.6433055444260445</v>
      </c>
      <c r="U89" s="2">
        <f>U12/'Output-Calculation-sheet'!U11*'Output-Calculation-sheet'!U74</f>
        <v>6.567787390311242</v>
      </c>
      <c r="V89" s="2">
        <f>V12/'Output-Calculation-sheet'!V11*'Output-Calculation-sheet'!V74</f>
        <v>0.50643378329561628</v>
      </c>
      <c r="W89" s="2">
        <f>W12/'Output-Calculation-sheet'!W11*'Output-Calculation-sheet'!W74</f>
        <v>3.0697591444783221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3.1633371429747372</v>
      </c>
      <c r="AA89" s="2">
        <f t="shared" si="7"/>
        <v>0.29494883676099337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9861049582.068655</v>
      </c>
      <c r="C96" s="2">
        <f>C8/'Output-Calculation-sheet'!C7*'Output-Calculation-sheet'!C79</f>
        <v>2381282172.9983859</v>
      </c>
      <c r="D96" s="2">
        <f>D8/'Output-Calculation-sheet'!D7*'Output-Calculation-sheet'!D79</f>
        <v>1933237288.6609616</v>
      </c>
      <c r="E96" s="2">
        <f>E8/'Output-Calculation-sheet'!E7*'Output-Calculation-sheet'!E79</f>
        <v>7243147076.8022385</v>
      </c>
      <c r="F96" s="2">
        <f>F8/'Output-Calculation-sheet'!F7*'Output-Calculation-sheet'!F79</f>
        <v>2112936085.3991189</v>
      </c>
      <c r="G96" s="2">
        <f>G8/'Output-Calculation-sheet'!G7*'Output-Calculation-sheet'!G79</f>
        <v>1356203808.4767499</v>
      </c>
      <c r="H96" s="2">
        <f>H8/'Output-Calculation-sheet'!H7*'Output-Calculation-sheet'!H79</f>
        <v>1670798133.9171953</v>
      </c>
      <c r="I96" s="2">
        <f>I8/'Output-Calculation-sheet'!I7*'Output-Calculation-sheet'!I79</f>
        <v>975240168.63027191</v>
      </c>
      <c r="J96" s="2">
        <f>J8/'Output-Calculation-sheet'!J7*'Output-Calculation-sheet'!J79</f>
        <v>739038786.95806944</v>
      </c>
      <c r="K96" s="2">
        <f>K8/'Output-Calculation-sheet'!K7*'Output-Calculation-sheet'!K79</f>
        <v>926851624.96599257</v>
      </c>
      <c r="L96" s="2">
        <f>L8/'Output-Calculation-sheet'!L7*'Output-Calculation-sheet'!L79</f>
        <v>841423193.78212857</v>
      </c>
      <c r="M96" s="2">
        <f>M8/'Output-Calculation-sheet'!M7*'Output-Calculation-sheet'!M79</f>
        <v>1289179002.2264333</v>
      </c>
      <c r="N96" s="2">
        <f>N8/'Output-Calculation-sheet'!N7*'Output-Calculation-sheet'!N79</f>
        <v>838052334.50702178</v>
      </c>
      <c r="O96" s="2">
        <f>O8/'Output-Calculation-sheet'!O7*'Output-Calculation-sheet'!O79</f>
        <v>314454856.48445475</v>
      </c>
      <c r="P96" s="2">
        <f>P8/'Output-Calculation-sheet'!P7*'Output-Calculation-sheet'!P79</f>
        <v>1596086220.3966067</v>
      </c>
      <c r="Q96" s="2">
        <f>Q8/'Output-Calculation-sheet'!Q7*'Output-Calculation-sheet'!Q79</f>
        <v>677646055.41587424</v>
      </c>
      <c r="R96" s="2">
        <f>R8/'Output-Calculation-sheet'!R7*'Output-Calculation-sheet'!R79</f>
        <v>899427906.95054662</v>
      </c>
      <c r="S96" s="2">
        <f>S8/'Output-Calculation-sheet'!S7*'Output-Calculation-sheet'!S79</f>
        <v>507240861.09039748</v>
      </c>
      <c r="T96" s="2">
        <f>T8/'Output-Calculation-sheet'!T7*'Output-Calculation-sheet'!T79</f>
        <v>306007778.50532681</v>
      </c>
      <c r="U96" s="2">
        <f>U8/'Output-Calculation-sheet'!U7*'Output-Calculation-sheet'!U79</f>
        <v>240866506.43798962</v>
      </c>
      <c r="V96" s="2">
        <f>V8/'Output-Calculation-sheet'!V7*'Output-Calculation-sheet'!V79</f>
        <v>110549339.99309178</v>
      </c>
      <c r="W96" s="2">
        <f>W8/'Output-Calculation-sheet'!W7*'Output-Calculation-sheet'!W79</f>
        <v>340371425.55256861</v>
      </c>
      <c r="X96" s="2">
        <f>X8/'Output-Calculation-sheet'!X7*'Output-Calculation-sheet'!X79</f>
        <v>153514215.85737357</v>
      </c>
      <c r="Y96" s="2">
        <f>Y8/'Output-Calculation-sheet'!Y7*'Output-Calculation-sheet'!Y79</f>
        <v>211263803.80937612</v>
      </c>
      <c r="AA96" s="2">
        <f t="shared" si="8"/>
        <v>37.525868229886832</v>
      </c>
    </row>
    <row r="97" spans="1:27" x14ac:dyDescent="0.25">
      <c r="A97" s="2">
        <v>2032</v>
      </c>
      <c r="B97" s="2">
        <f>B9/'Output-Calculation-sheet'!B8*'Output-Calculation-sheet'!B80</f>
        <v>12480042562.371128</v>
      </c>
      <c r="C97" s="2">
        <f>C9/'Output-Calculation-sheet'!C8*'Output-Calculation-sheet'!C80</f>
        <v>2947565289.9266524</v>
      </c>
      <c r="D97" s="2">
        <f>D9/'Output-Calculation-sheet'!D8*'Output-Calculation-sheet'!D80</f>
        <v>2251609947.2953491</v>
      </c>
      <c r="E97" s="2">
        <f>E9/'Output-Calculation-sheet'!E8*'Output-Calculation-sheet'!E80</f>
        <v>9478958236.1254139</v>
      </c>
      <c r="F97" s="2">
        <f>F9/'Output-Calculation-sheet'!F8*'Output-Calculation-sheet'!F80</f>
        <v>2599455703.5291071</v>
      </c>
      <c r="G97" s="2">
        <f>G9/'Output-Calculation-sheet'!G8*'Output-Calculation-sheet'!G80</f>
        <v>1592807921.5046899</v>
      </c>
      <c r="H97" s="2">
        <f>H9/'Output-Calculation-sheet'!H8*'Output-Calculation-sheet'!H80</f>
        <v>2085557126.0180964</v>
      </c>
      <c r="I97" s="2">
        <f>I9/'Output-Calculation-sheet'!I8*'Output-Calculation-sheet'!I80</f>
        <v>1201276411.9216661</v>
      </c>
      <c r="J97" s="2">
        <f>J9/'Output-Calculation-sheet'!J8*'Output-Calculation-sheet'!J80</f>
        <v>897684688.23316324</v>
      </c>
      <c r="K97" s="2">
        <f>K9/'Output-Calculation-sheet'!K8*'Output-Calculation-sheet'!K80</f>
        <v>1107150071.9890823</v>
      </c>
      <c r="L97" s="2">
        <f>L9/'Output-Calculation-sheet'!L8*'Output-Calculation-sheet'!L80</f>
        <v>1067923090.1754215</v>
      </c>
      <c r="M97" s="2">
        <f>M9/'Output-Calculation-sheet'!M8*'Output-Calculation-sheet'!M80</f>
        <v>1645363302.5105233</v>
      </c>
      <c r="N97" s="2">
        <f>N9/'Output-Calculation-sheet'!N8*'Output-Calculation-sheet'!N80</f>
        <v>1033789963.7553802</v>
      </c>
      <c r="O97" s="2">
        <f>O9/'Output-Calculation-sheet'!O8*'Output-Calculation-sheet'!O80</f>
        <v>384277785.5664587</v>
      </c>
      <c r="P97" s="2">
        <f>P9/'Output-Calculation-sheet'!P8*'Output-Calculation-sheet'!P80</f>
        <v>1938106266.9501147</v>
      </c>
      <c r="Q97" s="2">
        <f>Q9/'Output-Calculation-sheet'!Q8*'Output-Calculation-sheet'!Q80</f>
        <v>838298186.38216484</v>
      </c>
      <c r="R97" s="2">
        <f>R9/'Output-Calculation-sheet'!R8*'Output-Calculation-sheet'!R80</f>
        <v>1123325852.7614818</v>
      </c>
      <c r="S97" s="2">
        <f>S9/'Output-Calculation-sheet'!S8*'Output-Calculation-sheet'!S80</f>
        <v>625199840.98757589</v>
      </c>
      <c r="T97" s="2">
        <f>T9/'Output-Calculation-sheet'!T8*'Output-Calculation-sheet'!T80</f>
        <v>364549779.10477883</v>
      </c>
      <c r="U97" s="2">
        <f>U9/'Output-Calculation-sheet'!U8*'Output-Calculation-sheet'!U80</f>
        <v>290080652.70257187</v>
      </c>
      <c r="V97" s="2">
        <f>V9/'Output-Calculation-sheet'!V8*'Output-Calculation-sheet'!V80</f>
        <v>133802007.76115119</v>
      </c>
      <c r="W97" s="2">
        <f>W9/'Output-Calculation-sheet'!W8*'Output-Calculation-sheet'!W80</f>
        <v>414048978.85438293</v>
      </c>
      <c r="X97" s="2">
        <f>X9/'Output-Calculation-sheet'!X8*'Output-Calculation-sheet'!X80</f>
        <v>200536471.13063657</v>
      </c>
      <c r="Y97" s="2">
        <f>Y9/'Output-Calculation-sheet'!Y8*'Output-Calculation-sheet'!Y80</f>
        <v>263245533.51121101</v>
      </c>
      <c r="AA97" s="2">
        <f t="shared" si="8"/>
        <v>46.964655671068208</v>
      </c>
    </row>
    <row r="98" spans="1:27" x14ac:dyDescent="0.25">
      <c r="A98" s="2">
        <v>2033</v>
      </c>
      <c r="B98" s="2">
        <f>B10/'Output-Calculation-sheet'!B9*'Output-Calculation-sheet'!B81</f>
        <v>14233130556.475412</v>
      </c>
      <c r="C98" s="2">
        <f>C10/'Output-Calculation-sheet'!C9*'Output-Calculation-sheet'!C81</f>
        <v>3295839757.1180463</v>
      </c>
      <c r="D98" s="2">
        <f>D10/'Output-Calculation-sheet'!D9*'Output-Calculation-sheet'!D81</f>
        <v>2371005821.1804924</v>
      </c>
      <c r="E98" s="2">
        <f>E10/'Output-Calculation-sheet'!E9*'Output-Calculation-sheet'!E81</f>
        <v>11192062823.896505</v>
      </c>
      <c r="F98" s="2">
        <f>F10/'Output-Calculation-sheet'!F9*'Output-Calculation-sheet'!F81</f>
        <v>2883642350.0362282</v>
      </c>
      <c r="G98" s="2">
        <f>G10/'Output-Calculation-sheet'!G9*'Output-Calculation-sheet'!G81</f>
        <v>1684686234.1000035</v>
      </c>
      <c r="H98" s="2">
        <f>H10/'Output-Calculation-sheet'!H9*'Output-Calculation-sheet'!H81</f>
        <v>2345344242.8998079</v>
      </c>
      <c r="I98" s="2">
        <f>I10/'Output-Calculation-sheet'!I9*'Output-Calculation-sheet'!I81</f>
        <v>1336590644.3152227</v>
      </c>
      <c r="J98" s="2">
        <f>J10/'Output-Calculation-sheet'!J9*'Output-Calculation-sheet'!J81</f>
        <v>985991501.57452762</v>
      </c>
      <c r="K98" s="2">
        <f>K10/'Output-Calculation-sheet'!K9*'Output-Calculation-sheet'!K81</f>
        <v>1193987485.0323548</v>
      </c>
      <c r="L98" s="2">
        <f>L10/'Output-Calculation-sheet'!L9*'Output-Calculation-sheet'!L81</f>
        <v>1223720389.5552034</v>
      </c>
      <c r="M98" s="2">
        <f>M10/'Output-Calculation-sheet'!M9*'Output-Calculation-sheet'!M81</f>
        <v>1896333343.2005002</v>
      </c>
      <c r="N98" s="2">
        <f>N10/'Output-Calculation-sheet'!N9*'Output-Calculation-sheet'!N81</f>
        <v>1152428881.4740982</v>
      </c>
      <c r="O98" s="2">
        <f>O10/'Output-Calculation-sheet'!O9*'Output-Calculation-sheet'!O81</f>
        <v>425049793.75159663</v>
      </c>
      <c r="P98" s="2">
        <f>P10/'Output-Calculation-sheet'!P9*'Output-Calculation-sheet'!P81</f>
        <v>2108690319.3722038</v>
      </c>
      <c r="Q98" s="2">
        <f>Q10/'Output-Calculation-sheet'!Q9*'Output-Calculation-sheet'!Q81</f>
        <v>936959394.437675</v>
      </c>
      <c r="R98" s="2">
        <f>R10/'Output-Calculation-sheet'!R9*'Output-Calculation-sheet'!R81</f>
        <v>1264686706.9996686</v>
      </c>
      <c r="S98" s="2">
        <f>S10/'Output-Calculation-sheet'!S9*'Output-Calculation-sheet'!S81</f>
        <v>694564370.20384991</v>
      </c>
      <c r="T98" s="2">
        <f>T10/'Output-Calculation-sheet'!T9*'Output-Calculation-sheet'!T81</f>
        <v>391326685.20473808</v>
      </c>
      <c r="U98" s="2">
        <f>U10/'Output-Calculation-sheet'!U9*'Output-Calculation-sheet'!U81</f>
        <v>314442971.50542367</v>
      </c>
      <c r="V98" s="2">
        <f>V10/'Output-Calculation-sheet'!V9*'Output-Calculation-sheet'!V81</f>
        <v>146041799.03956279</v>
      </c>
      <c r="W98" s="2">
        <f>W10/'Output-Calculation-sheet'!W9*'Output-Calculation-sheet'!W81</f>
        <v>451634884.95023173</v>
      </c>
      <c r="X98" s="2">
        <f>X10/'Output-Calculation-sheet'!X9*'Output-Calculation-sheet'!X81</f>
        <v>236762414.93622333</v>
      </c>
      <c r="Y98" s="2">
        <f>Y10/'Output-Calculation-sheet'!Y9*'Output-Calculation-sheet'!Y81</f>
        <v>294764063.73199236</v>
      </c>
      <c r="AA98" s="2">
        <f t="shared" si="8"/>
        <v>53.059687434991588</v>
      </c>
    </row>
    <row r="99" spans="1:27" x14ac:dyDescent="0.25">
      <c r="A99" s="2">
        <v>2034</v>
      </c>
      <c r="B99" s="2">
        <f>B11/'Output-Calculation-sheet'!B10*'Output-Calculation-sheet'!B82</f>
        <v>14883940942.700472</v>
      </c>
      <c r="C99" s="2">
        <f>C11/'Output-Calculation-sheet'!C10*'Output-Calculation-sheet'!C82</f>
        <v>3388079863.0844026</v>
      </c>
      <c r="D99" s="2">
        <f>D11/'Output-Calculation-sheet'!D10*'Output-Calculation-sheet'!D82</f>
        <v>2298222744.2307286</v>
      </c>
      <c r="E99" s="2">
        <f>E11/'Output-Calculation-sheet'!E10*'Output-Calculation-sheet'!E82</f>
        <v>12129638192.069407</v>
      </c>
      <c r="F99" s="2">
        <f>F11/'Output-Calculation-sheet'!F10*'Output-Calculation-sheet'!F82</f>
        <v>2936053974.1215796</v>
      </c>
      <c r="G99" s="2">
        <f>G11/'Output-Calculation-sheet'!G10*'Output-Calculation-sheet'!G82</f>
        <v>1634094126.2043586</v>
      </c>
      <c r="H99" s="2">
        <f>H11/'Output-Calculation-sheet'!H10*'Output-Calculation-sheet'!H82</f>
        <v>2418037103.2258148</v>
      </c>
      <c r="I99" s="2">
        <f>I11/'Output-Calculation-sheet'!I10*'Output-Calculation-sheet'!I82</f>
        <v>1367290863.6443214</v>
      </c>
      <c r="J99" s="2">
        <f>J11/'Output-Calculation-sheet'!J10*'Output-Calculation-sheet'!J82</f>
        <v>996745515.05166435</v>
      </c>
      <c r="K99" s="2">
        <f>K11/'Output-Calculation-sheet'!K10*'Output-Calculation-sheet'!K82</f>
        <v>1183491889.917625</v>
      </c>
      <c r="L99" s="2">
        <f>L11/'Output-Calculation-sheet'!L10*'Output-Calculation-sheet'!L82</f>
        <v>1288336836.1175818</v>
      </c>
      <c r="M99" s="2">
        <f>M11/'Output-Calculation-sheet'!M10*'Output-Calculation-sheet'!M82</f>
        <v>2008327027.4653847</v>
      </c>
      <c r="N99" s="2">
        <f>N11/'Output-Calculation-sheet'!N10*'Output-Calculation-sheet'!N82</f>
        <v>1181639970.8655059</v>
      </c>
      <c r="O99" s="2">
        <f>O11/'Output-Calculation-sheet'!O10*'Output-Calculation-sheet'!O82</f>
        <v>433068321.94205099</v>
      </c>
      <c r="P99" s="2">
        <f>P11/'Output-Calculation-sheet'!P10*'Output-Calculation-sheet'!P82</f>
        <v>2093302339.4690595</v>
      </c>
      <c r="Q99" s="2">
        <f>Q11/'Output-Calculation-sheet'!Q10*'Output-Calculation-sheet'!Q82</f>
        <v>962894352.12542474</v>
      </c>
      <c r="R99" s="2">
        <f>R11/'Output-Calculation-sheet'!R10*'Output-Calculation-sheet'!R82</f>
        <v>1306143451.7186117</v>
      </c>
      <c r="S99" s="2">
        <f>S11/'Output-Calculation-sheet'!S10*'Output-Calculation-sheet'!S82</f>
        <v>707818406.26933479</v>
      </c>
      <c r="T99" s="2">
        <f>T11/'Output-Calculation-sheet'!T10*'Output-Calculation-sheet'!T82</f>
        <v>385435131.05984813</v>
      </c>
      <c r="U99" s="2">
        <f>U11/'Output-Calculation-sheet'!U10*'Output-Calculation-sheet'!U82</f>
        <v>312370351.81290346</v>
      </c>
      <c r="V99" s="2">
        <f>V11/'Output-Calculation-sheet'!V10*'Output-Calculation-sheet'!V82</f>
        <v>146320745.67110318</v>
      </c>
      <c r="W99" s="2">
        <f>W11/'Output-Calculation-sheet'!W10*'Output-Calculation-sheet'!W82</f>
        <v>449789808.48445714</v>
      </c>
      <c r="X99" s="2">
        <f>X11/'Output-Calculation-sheet'!X10*'Output-Calculation-sheet'!X82</f>
        <v>257072335.54921544</v>
      </c>
      <c r="Y99" s="2">
        <f>Y11/'Output-Calculation-sheet'!Y10*'Output-Calculation-sheet'!Y82</f>
        <v>301899876.90932965</v>
      </c>
      <c r="AA99" s="2">
        <f t="shared" si="8"/>
        <v>55.070014169710205</v>
      </c>
    </row>
    <row r="100" spans="1:27" x14ac:dyDescent="0.25">
      <c r="A100" s="2">
        <v>2035</v>
      </c>
      <c r="B100" s="2">
        <f>B12/'Output-Calculation-sheet'!B11*'Output-Calculation-sheet'!B83</f>
        <v>14377807721.95038</v>
      </c>
      <c r="C100" s="2">
        <f>C12/'Output-Calculation-sheet'!C11*'Output-Calculation-sheet'!C83</f>
        <v>3226427721.7295237</v>
      </c>
      <c r="D100" s="2">
        <f>D12/'Output-Calculation-sheet'!D11*'Output-Calculation-sheet'!D83</f>
        <v>2066785955.1945307</v>
      </c>
      <c r="E100" s="2">
        <f>E12/'Output-Calculation-sheet'!E11*'Output-Calculation-sheet'!E83</f>
        <v>12153889893.627546</v>
      </c>
      <c r="F100" s="2">
        <f>F12/'Output-Calculation-sheet'!F11*'Output-Calculation-sheet'!F83</f>
        <v>2765155916.3873086</v>
      </c>
      <c r="G100" s="2">
        <f>G12/'Output-Calculation-sheet'!G11*'Output-Calculation-sheet'!G83</f>
        <v>1465444888.2150862</v>
      </c>
      <c r="H100" s="2">
        <f>H12/'Output-Calculation-sheet'!H11*'Output-Calculation-sheet'!H83</f>
        <v>2302809122.7939491</v>
      </c>
      <c r="I100" s="2">
        <f>I12/'Output-Calculation-sheet'!I11*'Output-Calculation-sheet'!I83</f>
        <v>1295902059.1944137</v>
      </c>
      <c r="J100" s="2">
        <f>J12/'Output-Calculation-sheet'!J11*'Output-Calculation-sheet'!J83</f>
        <v>934498397.76133442</v>
      </c>
      <c r="K100" s="2">
        <f>K12/'Output-Calculation-sheet'!K11*'Output-Calculation-sheet'!K83</f>
        <v>1086734303.7964997</v>
      </c>
      <c r="L100" s="2">
        <f>L12/'Output-Calculation-sheet'!L11*'Output-Calculation-sheet'!L83</f>
        <v>1255557716.7221735</v>
      </c>
      <c r="M100" s="2">
        <f>M12/'Output-Calculation-sheet'!M11*'Output-Calculation-sheet'!M83</f>
        <v>1969005350.0953963</v>
      </c>
      <c r="N100" s="2">
        <f>N12/'Output-Calculation-sheet'!N11*'Output-Calculation-sheet'!N83</f>
        <v>1122969256.9464986</v>
      </c>
      <c r="O100" s="2">
        <f>O12/'Output-Calculation-sheet'!O11*'Output-Calculation-sheet'!O83</f>
        <v>409511583.13235325</v>
      </c>
      <c r="P100" s="2">
        <f>P12/'Output-Calculation-sheet'!P11*'Output-Calculation-sheet'!P83</f>
        <v>1911825701.0109706</v>
      </c>
      <c r="Q100" s="2">
        <f>Q12/'Output-Calculation-sheet'!Q11*'Output-Calculation-sheet'!Q83</f>
        <v>916720287.00276673</v>
      </c>
      <c r="R100" s="2">
        <f>R12/'Output-Calculation-sheet'!R11*'Output-Calculation-sheet'!R83</f>
        <v>1246807811.9782937</v>
      </c>
      <c r="S100" s="2">
        <f>S12/'Output-Calculation-sheet'!S11*'Output-Calculation-sheet'!S83</f>
        <v>666728403.86274552</v>
      </c>
      <c r="T100" s="2">
        <f>T12/'Output-Calculation-sheet'!T11*'Output-Calculation-sheet'!T83</f>
        <v>351166502.35119218</v>
      </c>
      <c r="U100" s="2">
        <f>U12/'Output-Calculation-sheet'!U11*'Output-Calculation-sheet'!U83</f>
        <v>286677778.70587575</v>
      </c>
      <c r="V100" s="2">
        <f>V12/'Output-Calculation-sheet'!V11*'Output-Calculation-sheet'!V83</f>
        <v>135618029.43717891</v>
      </c>
      <c r="W100" s="2">
        <f>W12/'Output-Calculation-sheet'!W11*'Output-Calculation-sheet'!W83</f>
        <v>412373244.18286127</v>
      </c>
      <c r="X100" s="2">
        <f>X12/'Output-Calculation-sheet'!X11*'Output-Calculation-sheet'!X83</f>
        <v>258603356.46681613</v>
      </c>
      <c r="Y100" s="2">
        <f>Y12/'Output-Calculation-sheet'!Y11*'Output-Calculation-sheet'!Y83</f>
        <v>285059571.43368256</v>
      </c>
      <c r="AA100" s="2">
        <f t="shared" si="8"/>
        <v>52.9040805739794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2041.6311173740689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628.47737903534596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432.4535998950758</v>
      </c>
      <c r="N107" s="2">
        <f>N8/'Output-Calculation-sheet'!N7*'Output-Calculation-sheet'!N88</f>
        <v>170.01270222469586</v>
      </c>
      <c r="O107" s="2">
        <f>O8/'Output-Calculation-sheet'!O7*'Output-Calculation-sheet'!O88</f>
        <v>475.95864956742213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47.441059339349316</v>
      </c>
      <c r="Y107" s="2">
        <f>Y8/'Output-Calculation-sheet'!Y7*'Output-Calculation-sheet'!Y88</f>
        <v>0</v>
      </c>
      <c r="AA107" s="2">
        <f t="shared" si="9"/>
        <v>3.7959745074359579</v>
      </c>
    </row>
    <row r="108" spans="1:27" x14ac:dyDescent="0.25">
      <c r="A108" s="2">
        <v>2032</v>
      </c>
      <c r="B108" s="2">
        <f>B9/'Output-Calculation-sheet'!B8*'Output-Calculation-sheet'!B89</f>
        <v>949.89697751453252</v>
      </c>
      <c r="C108" s="2">
        <f>C9/'Output-Calculation-sheet'!C8*'Output-Calculation-sheet'!C89</f>
        <v>3606.7447302138939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971.48440462821111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668.47581478309098</v>
      </c>
      <c r="N108" s="2">
        <f>N9/'Output-Calculation-sheet'!N8*'Output-Calculation-sheet'!N89</f>
        <v>469.28808279209784</v>
      </c>
      <c r="O108" s="2">
        <f>O9/'Output-Calculation-sheet'!O8*'Output-Calculation-sheet'!O89</f>
        <v>700.69030284919882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215.20970374277391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73.33318719913288</v>
      </c>
      <c r="Y108" s="2">
        <f>Y9/'Output-Calculation-sheet'!Y8*'Output-Calculation-sheet'!Y89</f>
        <v>0</v>
      </c>
      <c r="AA108" s="2">
        <f t="shared" si="9"/>
        <v>7.6551232037229333</v>
      </c>
    </row>
    <row r="109" spans="1:27" x14ac:dyDescent="0.25">
      <c r="A109" s="2">
        <v>2033</v>
      </c>
      <c r="B109" s="2">
        <f>B10/'Output-Calculation-sheet'!B9*'Output-Calculation-sheet'!B90</f>
        <v>4948.28920993877</v>
      </c>
      <c r="C109" s="2">
        <f>C10/'Output-Calculation-sheet'!C9*'Output-Calculation-sheet'!C90</f>
        <v>4697.1451783695884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1445.9269676723661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994.93847068140622</v>
      </c>
      <c r="N109" s="2">
        <f>N10/'Output-Calculation-sheet'!N9*'Output-Calculation-sheet'!N90</f>
        <v>782.2905300771821</v>
      </c>
      <c r="O109" s="2">
        <f>O10/'Output-Calculation-sheet'!O9*'Output-Calculation-sheet'!O90</f>
        <v>912.5248177359249</v>
      </c>
      <c r="P109" s="2">
        <f>P10/'Output-Calculation-sheet'!P9*'Output-Calculation-sheet'!P90</f>
        <v>0</v>
      </c>
      <c r="Q109" s="2">
        <f>Q10/'Output-Calculation-sheet'!Q9*'Output-Calculation-sheet'!Q90</f>
        <v>171.35156945687464</v>
      </c>
      <c r="R109" s="2">
        <f>R10/'Output-Calculation-sheet'!R9*'Output-Calculation-sheet'!R90</f>
        <v>0</v>
      </c>
      <c r="S109" s="2">
        <f>S10/'Output-Calculation-sheet'!S9*'Output-Calculation-sheet'!S90</f>
        <v>392.38144560878794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109.14681953867466</v>
      </c>
      <c r="Y109" s="2">
        <f>Y10/'Output-Calculation-sheet'!Y9*'Output-Calculation-sheet'!Y90</f>
        <v>0</v>
      </c>
      <c r="AA109" s="2">
        <f t="shared" si="9"/>
        <v>14.453995009079572</v>
      </c>
    </row>
    <row r="110" spans="1:27" x14ac:dyDescent="0.25">
      <c r="A110" s="2">
        <v>2034</v>
      </c>
      <c r="B110" s="2">
        <f>B11/'Output-Calculation-sheet'!B10*'Output-Calculation-sheet'!B91</f>
        <v>8798.268655017122</v>
      </c>
      <c r="C110" s="2">
        <f>C11/'Output-Calculation-sheet'!C10*'Output-Calculation-sheet'!C91</f>
        <v>6031.8005845423795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1713.9464270552271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1179.3619422627623</v>
      </c>
      <c r="N110" s="2">
        <f>N11/'Output-Calculation-sheet'!N10*'Output-Calculation-sheet'!N91</f>
        <v>1062.5280657714713</v>
      </c>
      <c r="O110" s="2">
        <f>O11/'Output-Calculation-sheet'!O10*'Output-Calculation-sheet'!O91</f>
        <v>1171.811285368768</v>
      </c>
      <c r="P110" s="2">
        <f>P11/'Output-Calculation-sheet'!P10*'Output-Calculation-sheet'!P91</f>
        <v>267.70617235700337</v>
      </c>
      <c r="Q110" s="2">
        <f>Q11/'Output-Calculation-sheet'!Q10*'Output-Calculation-sheet'!Q91</f>
        <v>592.41462329751175</v>
      </c>
      <c r="R110" s="2">
        <f>R11/'Output-Calculation-sheet'!R10*'Output-Calculation-sheet'!R91</f>
        <v>0</v>
      </c>
      <c r="S110" s="2">
        <f>S11/'Output-Calculation-sheet'!S10*'Output-Calculation-sheet'!S91</f>
        <v>609.07776757449585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129.37845794099741</v>
      </c>
      <c r="Y110" s="2">
        <f>Y11/'Output-Calculation-sheet'!Y10*'Output-Calculation-sheet'!Y91</f>
        <v>20.808781115339219</v>
      </c>
      <c r="AA110" s="2">
        <f t="shared" si="9"/>
        <v>21.577102762303081</v>
      </c>
    </row>
    <row r="111" spans="1:27" x14ac:dyDescent="0.25">
      <c r="A111" s="2">
        <v>2035</v>
      </c>
      <c r="B111" s="2">
        <f>B12/'Output-Calculation-sheet'!B11*'Output-Calculation-sheet'!B92</f>
        <v>12816.28912603921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2141.175107342433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752.07160219849482</v>
      </c>
      <c r="Q111" s="2">
        <f>Q12/'Output-Calculation-sheet'!Q11*'Output-Calculation-sheet'!Q92</f>
        <v>871.76607896547853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58.458470402173141</v>
      </c>
      <c r="AA111" s="2">
        <f t="shared" si="9"/>
        <v>30.096091792814878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9597670762.2097263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2953006255.7636709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2051117314.997412</v>
      </c>
      <c r="N118" s="2">
        <f>N8/'Output-Calculation-sheet'!N7*'Output-Calculation-sheet'!N97</f>
        <v>1609542267.3401861</v>
      </c>
      <c r="O118" s="2">
        <f>O8/'Output-Calculation-sheet'!O7*'Output-Calculation-sheet'!O97</f>
        <v>1071007922.4523656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582633712.36332476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221071516.5919145</v>
      </c>
      <c r="Y118" s="2">
        <f>Y8/'Output-Calculation-sheet'!Y7*'Output-Calculation-sheet'!Y97</f>
        <v>0</v>
      </c>
      <c r="AA118" s="2">
        <f t="shared" si="10"/>
        <v>19723.287200408184</v>
      </c>
    </row>
    <row r="119" spans="1:27" x14ac:dyDescent="0.25">
      <c r="A119" s="2">
        <v>2032</v>
      </c>
      <c r="B119" s="2">
        <f>B9/'Output-Calculation-sheet'!B8*'Output-Calculation-sheet'!B98</f>
        <v>7126176470.611557</v>
      </c>
      <c r="C119" s="2">
        <f>C9/'Output-Calculation-sheet'!C8*'Output-Calculation-sheet'!C98</f>
        <v>5664028996.7753582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3385969207.6537843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2363419187.140708</v>
      </c>
      <c r="N119" s="2">
        <f>N9/'Output-Calculation-sheet'!N8*'Output-Calculation-sheet'!N98</f>
        <v>1596078023.897969</v>
      </c>
      <c r="O119" s="2">
        <f>O9/'Output-Calculation-sheet'!O8*'Output-Calculation-sheet'!O98</f>
        <v>1106646604.6474609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662589382.71526325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252894325.97855774</v>
      </c>
      <c r="Y119" s="2">
        <f>Y9/'Output-Calculation-sheet'!Y8*'Output-Calculation-sheet'!Y98</f>
        <v>0</v>
      </c>
      <c r="AA119" s="2">
        <f t="shared" si="10"/>
        <v>22157.802199420657</v>
      </c>
    </row>
    <row r="120" spans="1:27" x14ac:dyDescent="0.25">
      <c r="A120" s="2">
        <v>2033</v>
      </c>
      <c r="B120" s="2">
        <f>B10/'Output-Calculation-sheet'!B9*'Output-Calculation-sheet'!B99</f>
        <v>7118773371.9682713</v>
      </c>
      <c r="C120" s="2">
        <f>C10/'Output-Calculation-sheet'!C9*'Output-Calculation-sheet'!C99</f>
        <v>5852073744.6574144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1918756353.0646143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1358111686.5262635</v>
      </c>
      <c r="N120" s="2">
        <f>N10/'Output-Calculation-sheet'!N9*'Output-Calculation-sheet'!N99</f>
        <v>1354163956.8459904</v>
      </c>
      <c r="O120" s="2">
        <f>O10/'Output-Calculation-sheet'!O9*'Output-Calculation-sheet'!O99</f>
        <v>1145709987.5435641</v>
      </c>
      <c r="P120" s="2">
        <f>P10/'Output-Calculation-sheet'!P9*'Output-Calculation-sheet'!P99</f>
        <v>0</v>
      </c>
      <c r="Q120" s="2">
        <f>Q10/'Output-Calculation-sheet'!Q9*'Output-Calculation-sheet'!Q99</f>
        <v>8277680.7793570105</v>
      </c>
      <c r="R120" s="2">
        <f>R10/'Output-Calculation-sheet'!R9*'Output-Calculation-sheet'!R99</f>
        <v>0</v>
      </c>
      <c r="S120" s="2">
        <f>S10/'Output-Calculation-sheet'!S9*'Output-Calculation-sheet'!S99</f>
        <v>567168379.33857834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-9.3691652302843238E-9</v>
      </c>
      <c r="W120" s="2">
        <f>W10/'Output-Calculation-sheet'!W9*'Output-Calculation-sheet'!W99</f>
        <v>0</v>
      </c>
      <c r="X120" s="2">
        <f>X10/'Output-Calculation-sheet'!X9*'Output-Calculation-sheet'!X99</f>
        <v>135613477.43581715</v>
      </c>
      <c r="Y120" s="2">
        <f>Y10/'Output-Calculation-sheet'!Y9*'Output-Calculation-sheet'!Y99</f>
        <v>0</v>
      </c>
      <c r="AA120" s="2">
        <f t="shared" si="10"/>
        <v>19458.64863815987</v>
      </c>
    </row>
    <row r="121" spans="1:27" x14ac:dyDescent="0.25">
      <c r="A121" s="2">
        <v>2034</v>
      </c>
      <c r="B121" s="2">
        <f>B11/'Output-Calculation-sheet'!B10*'Output-Calculation-sheet'!B100</f>
        <v>6596513985.2177334</v>
      </c>
      <c r="C121" s="2">
        <f>C11/'Output-Calculation-sheet'!C10*'Output-Calculation-sheet'!C100</f>
        <v>791848875.47940993</v>
      </c>
      <c r="D121" s="2">
        <f>D11/'Output-Calculation-sheet'!D10*'Output-Calculation-sheet'!D100</f>
        <v>0</v>
      </c>
      <c r="E121" s="2">
        <f>E11/'Output-Calculation-sheet'!E10*'Output-Calculation-sheet'!E100</f>
        <v>915935886.5195291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2085012118.6719327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761049514.36578906</v>
      </c>
      <c r="M121" s="2">
        <f>M11/'Output-Calculation-sheet'!M10*'Output-Calculation-sheet'!M100</f>
        <v>1483895149.2457078</v>
      </c>
      <c r="N121" s="2">
        <f>N11/'Output-Calculation-sheet'!N10*'Output-Calculation-sheet'!N100</f>
        <v>989279739.30297554</v>
      </c>
      <c r="O121" s="2">
        <f>O11/'Output-Calculation-sheet'!O10*'Output-Calculation-sheet'!O100</f>
        <v>155323761.47172692</v>
      </c>
      <c r="P121" s="2">
        <f>P11/'Output-Calculation-sheet'!P10*'Output-Calculation-sheet'!P100</f>
        <v>0</v>
      </c>
      <c r="Q121" s="2">
        <f>Q11/'Output-Calculation-sheet'!Q10*'Output-Calculation-sheet'!Q100</f>
        <v>336146938.34392589</v>
      </c>
      <c r="R121" s="2">
        <f>R11/'Output-Calculation-sheet'!R10*'Output-Calculation-sheet'!R100</f>
        <v>0</v>
      </c>
      <c r="S121" s="2">
        <f>S11/'Output-Calculation-sheet'!S10*'Output-Calculation-sheet'!S100</f>
        <v>369884370.95704192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145803081.18060225</v>
      </c>
      <c r="Y121" s="2">
        <f>Y11/'Output-Calculation-sheet'!Y10*'Output-Calculation-sheet'!Y100</f>
        <v>21160030.63812704</v>
      </c>
      <c r="AA121" s="2">
        <f t="shared" si="10"/>
        <v>14651.853451394503</v>
      </c>
    </row>
    <row r="122" spans="1:27" x14ac:dyDescent="0.25">
      <c r="A122" s="2">
        <v>2035</v>
      </c>
      <c r="B122" s="2">
        <f>B12/'Output-Calculation-sheet'!B11*'Output-Calculation-sheet'!B101</f>
        <v>3310034934.6579003</v>
      </c>
      <c r="C122" s="2">
        <f>C12/'Output-Calculation-sheet'!C11*'Output-Calculation-sheet'!C101</f>
        <v>287741780.28372836</v>
      </c>
      <c r="D122" s="2">
        <f>D12/'Output-Calculation-sheet'!D11*'Output-Calculation-sheet'!D101</f>
        <v>0</v>
      </c>
      <c r="E122" s="2">
        <f>E12/'Output-Calculation-sheet'!E11*'Output-Calculation-sheet'!E101</f>
        <v>2577491376.5305243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487903040.70597702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1789032199.6313198</v>
      </c>
      <c r="M122" s="2">
        <f>M12/'Output-Calculation-sheet'!M11*'Output-Calculation-sheet'!M101</f>
        <v>447580960.09144735</v>
      </c>
      <c r="N122" s="2">
        <f>N12/'Output-Calculation-sheet'!N11*'Output-Calculation-sheet'!N101</f>
        <v>372036755.75052172</v>
      </c>
      <c r="O122" s="2">
        <f>O12/'Output-Calculation-sheet'!O11*'Output-Calculation-sheet'!O101</f>
        <v>51018332.818717584</v>
      </c>
      <c r="P122" s="2">
        <f>P12/'Output-Calculation-sheet'!P11*'Output-Calculation-sheet'!P101</f>
        <v>115788748.53120697</v>
      </c>
      <c r="Q122" s="2">
        <f>Q12/'Output-Calculation-sheet'!Q11*'Output-Calculation-sheet'!Q101</f>
        <v>572035712.7131108</v>
      </c>
      <c r="R122" s="2">
        <f>R12/'Output-Calculation-sheet'!R11*'Output-Calculation-sheet'!R101</f>
        <v>0</v>
      </c>
      <c r="S122" s="2">
        <f>S12/'Output-Calculation-sheet'!S11*'Output-Calculation-sheet'!S101</f>
        <v>155419814.36371285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14372529.184124473</v>
      </c>
      <c r="Y122" s="2">
        <f>Y12/'Output-Calculation-sheet'!Y11*'Output-Calculation-sheet'!Y101</f>
        <v>66295435.720315903</v>
      </c>
      <c r="AA122" s="2">
        <f t="shared" si="10"/>
        <v>10246.751620982606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2670898447.971386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2680415890.3888345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175562.67922298086</v>
      </c>
    </row>
    <row r="130" spans="1:27" x14ac:dyDescent="0.25">
      <c r="A130" s="2">
        <v>2032</v>
      </c>
      <c r="B130" s="2">
        <f>B9/'Output-Calculation-sheet'!B8*'Output-Calculation-sheet'!B107</f>
        <v>64487814969.29615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2346077172.7951074</v>
      </c>
      <c r="O130" s="2">
        <f>O9/'Output-Calculation-sheet'!O8*'Output-Calculation-sheet'!O107</f>
        <v>0</v>
      </c>
      <c r="P130" s="2">
        <f>P9/'Output-Calculation-sheet'!P8*'Output-Calculation-sheet'!P107</f>
        <v>7158730093.393487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2084396816.0133321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227109.6627124048</v>
      </c>
    </row>
    <row r="131" spans="1:27" x14ac:dyDescent="0.25">
      <c r="A131" s="2">
        <v>2033</v>
      </c>
      <c r="B131" s="2">
        <f>B10/'Output-Calculation-sheet'!B9*'Output-Calculation-sheet'!B108</f>
        <v>53103883058.130684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1945599726.6753652</v>
      </c>
      <c r="O131" s="2">
        <f>O10/'Output-Calculation-sheet'!O9*'Output-Calculation-sheet'!O108</f>
        <v>0</v>
      </c>
      <c r="P131" s="2">
        <f>P10/'Output-Calculation-sheet'!P9*'Output-Calculation-sheet'!P108</f>
        <v>8949602218.3611736</v>
      </c>
      <c r="Q131" s="2">
        <f>Q10/'Output-Calculation-sheet'!Q9*'Output-Calculation-sheet'!Q108</f>
        <v>7549646671.7247047</v>
      </c>
      <c r="R131" s="2">
        <f>R10/'Output-Calculation-sheet'!R9*'Output-Calculation-sheet'!R108</f>
        <v>8470875308.5066118</v>
      </c>
      <c r="S131" s="2">
        <f>S10/'Output-Calculation-sheet'!S9*'Output-Calculation-sheet'!S108</f>
        <v>1887223716.9029274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253456.13909545966</v>
      </c>
    </row>
    <row r="132" spans="1:27" x14ac:dyDescent="0.25">
      <c r="A132" s="2">
        <v>2034</v>
      </c>
      <c r="B132" s="2">
        <f>B11/'Output-Calculation-sheet'!B10*'Output-Calculation-sheet'!B109</f>
        <v>38339426901.686035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37014026219.470886</v>
      </c>
      <c r="F132" s="2">
        <f>F11/'Output-Calculation-sheet'!F10*'Output-Calculation-sheet'!F109</f>
        <v>24412693549.05537</v>
      </c>
      <c r="G132" s="2">
        <f>G11/'Output-Calculation-sheet'!G10*'Output-Calculation-sheet'!G109</f>
        <v>17105253816.785162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15210636953.730299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11324145281.037292</v>
      </c>
      <c r="M132" s="2">
        <f>M11/'Output-Calculation-sheet'!M10*'Output-Calculation-sheet'!M109</f>
        <v>0</v>
      </c>
      <c r="N132" s="2">
        <f>N11/'Output-Calculation-sheet'!N10*'Output-Calculation-sheet'!N109</f>
        <v>1489054680.3958237</v>
      </c>
      <c r="O132" s="2">
        <f>O11/'Output-Calculation-sheet'!O10*'Output-Calculation-sheet'!O109</f>
        <v>0</v>
      </c>
      <c r="P132" s="2">
        <f>P11/'Output-Calculation-sheet'!P10*'Output-Calculation-sheet'!P109</f>
        <v>8460402764.7844467</v>
      </c>
      <c r="Q132" s="2">
        <f>Q11/'Output-Calculation-sheet'!Q10*'Output-Calculation-sheet'!Q109</f>
        <v>5447797614.5659933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1021953392.981228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3039802207.2665977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1065230151.1487371</v>
      </c>
      <c r="AA132" s="2">
        <f t="shared" si="11"/>
        <v>260262.54230221279</v>
      </c>
    </row>
    <row r="133" spans="1:27" x14ac:dyDescent="0.25">
      <c r="A133" s="2">
        <v>2035</v>
      </c>
      <c r="B133" s="2">
        <f>B12/'Output-Calculation-sheet'!B11*'Output-Calculation-sheet'!B110</f>
        <v>9520649333.1937466</v>
      </c>
      <c r="C133" s="2">
        <f>C12/'Output-Calculation-sheet'!C11*'Output-Calculation-sheet'!C110</f>
        <v>0</v>
      </c>
      <c r="D133" s="2">
        <f>D12/'Output-Calculation-sheet'!D11*'Output-Calculation-sheet'!D110</f>
        <v>45279962035.152771</v>
      </c>
      <c r="E133" s="2">
        <f>E12/'Output-Calculation-sheet'!E11*'Output-Calculation-sheet'!E110</f>
        <v>24095334697.152</v>
      </c>
      <c r="F133" s="2">
        <f>F12/'Output-Calculation-sheet'!F11*'Output-Calculation-sheet'!F110</f>
        <v>23952701322.81329</v>
      </c>
      <c r="G133" s="2">
        <f>G12/'Output-Calculation-sheet'!G11*'Output-Calculation-sheet'!G110</f>
        <v>16227889514.179087</v>
      </c>
      <c r="H133" s="2">
        <f>H12/'Output-Calculation-sheet'!H11*'Output-Calculation-sheet'!H110</f>
        <v>0</v>
      </c>
      <c r="I133" s="2">
        <f>I12/'Output-Calculation-sheet'!I11*'Output-Calculation-sheet'!I110</f>
        <v>14890552464.289278</v>
      </c>
      <c r="J133" s="2">
        <f>J12/'Output-Calculation-sheet'!J11*'Output-Calculation-sheet'!J110</f>
        <v>14916186817.519453</v>
      </c>
      <c r="K133" s="2">
        <f>K12/'Output-Calculation-sheet'!K11*'Output-Calculation-sheet'!K110</f>
        <v>14635534218.809265</v>
      </c>
      <c r="L133" s="2">
        <f>L12/'Output-Calculation-sheet'!L11*'Output-Calculation-sheet'!L110</f>
        <v>10518605480.740343</v>
      </c>
      <c r="M133" s="2">
        <f>M12/'Output-Calculation-sheet'!M11*'Output-Calculation-sheet'!M110</f>
        <v>0</v>
      </c>
      <c r="N133" s="2">
        <f>N12/'Output-Calculation-sheet'!N11*'Output-Calculation-sheet'!N110</f>
        <v>56504.590407429168</v>
      </c>
      <c r="O133" s="2">
        <f>O12/'Output-Calculation-sheet'!O11*'Output-Calculation-sheet'!O110</f>
        <v>0</v>
      </c>
      <c r="P133" s="2">
        <f>P12/'Output-Calculation-sheet'!P11*'Output-Calculation-sheet'!P110</f>
        <v>5255810610.2085028</v>
      </c>
      <c r="Q133" s="2">
        <f>Q12/'Output-Calculation-sheet'!Q11*'Output-Calculation-sheet'!Q110</f>
        <v>3342575521.0219026</v>
      </c>
      <c r="R133" s="2">
        <f>R12/'Output-Calculation-sheet'!R11*'Output-Calculation-sheet'!R110</f>
        <v>9734925028.5813122</v>
      </c>
      <c r="S133" s="2">
        <f>S12/'Output-Calculation-sheet'!S11*'Output-Calculation-sheet'!S110</f>
        <v>9368397.8259492628</v>
      </c>
      <c r="T133" s="2">
        <f>T12/'Output-Calculation-sheet'!T11*'Output-Calculation-sheet'!T110</f>
        <v>3637015481.4246159</v>
      </c>
      <c r="U133" s="2">
        <f>U12/'Output-Calculation-sheet'!U11*'Output-Calculation-sheet'!U110</f>
        <v>2874512998.6576967</v>
      </c>
      <c r="V133" s="2">
        <f>V12/'Output-Calculation-sheet'!V11*'Output-Calculation-sheet'!V110</f>
        <v>2503360177.4984188</v>
      </c>
      <c r="W133" s="2">
        <f>W12/'Output-Calculation-sheet'!W11*'Output-Calculation-sheet'!W110</f>
        <v>2108124859.9994707</v>
      </c>
      <c r="X133" s="2">
        <f>X12/'Output-Calculation-sheet'!X11*'Output-Calculation-sheet'!X110</f>
        <v>0</v>
      </c>
      <c r="Y133" s="2">
        <f>Y12/'Output-Calculation-sheet'!Y11*'Output-Calculation-sheet'!Y110</f>
        <v>798747310.34009266</v>
      </c>
      <c r="AA133" s="2">
        <f t="shared" si="11"/>
        <v>204301.91277399758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17372074786.65897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5461342728.3413486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3754045456.4813814</v>
      </c>
      <c r="N140" s="2">
        <f>N8/'Output-Calculation-sheet'!N7*'Output-Calculation-sheet'!N115</f>
        <v>1417300956.2889042</v>
      </c>
      <c r="O140" s="2">
        <f>O8/'Output-Calculation-sheet'!O7*'Output-Calculation-sheet'!O115</f>
        <v>4169213361.9892488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407644264.50284648</v>
      </c>
      <c r="Y140" s="2">
        <f>Y8/'Output-Calculation-sheet'!Y7*'Output-Calculation-sheet'!Y115</f>
        <v>0</v>
      </c>
      <c r="AA140" s="2">
        <f t="shared" si="12"/>
        <v>32581.621554262703</v>
      </c>
    </row>
    <row r="141" spans="1:27" x14ac:dyDescent="0.25">
      <c r="A141" s="2">
        <v>2032</v>
      </c>
      <c r="B141" s="2">
        <f>B9/'Output-Calculation-sheet'!B8*'Output-Calculation-sheet'!B116</f>
        <v>7372445280.6430483</v>
      </c>
      <c r="C141" s="2">
        <f>C9/'Output-Calculation-sheet'!C8*'Output-Calculation-sheet'!C116</f>
        <v>31558425023.758339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8227144550.9742117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5648610713.1981611</v>
      </c>
      <c r="N141" s="2">
        <f>N9/'Output-Calculation-sheet'!N8*'Output-Calculation-sheet'!N116</f>
        <v>3921616224.7578897</v>
      </c>
      <c r="O141" s="2">
        <f>O9/'Output-Calculation-sheet'!O8*'Output-Calculation-sheet'!O116</f>
        <v>6125675774.1703653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1756531120.9564552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614831427.86015856</v>
      </c>
      <c r="Y141" s="2">
        <f>Y9/'Output-Calculation-sheet'!Y8*'Output-Calculation-sheet'!Y116</f>
        <v>0</v>
      </c>
      <c r="AA141" s="2">
        <f t="shared" si="12"/>
        <v>65225.280116318623</v>
      </c>
    </row>
    <row r="142" spans="1:27" x14ac:dyDescent="0.25">
      <c r="A142" s="2">
        <v>2033</v>
      </c>
      <c r="B142" s="2">
        <f>B10/'Output-Calculation-sheet'!B9*'Output-Calculation-sheet'!B117</f>
        <v>38528536531.515457</v>
      </c>
      <c r="C142" s="2">
        <f>C10/'Output-Calculation-sheet'!C9*'Output-Calculation-sheet'!C117</f>
        <v>40684542569.235756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12600303342.685915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8658766028.1807499</v>
      </c>
      <c r="N142" s="2">
        <f>N10/'Output-Calculation-sheet'!N9*'Output-Calculation-sheet'!N117</f>
        <v>6531756370.0661383</v>
      </c>
      <c r="O142" s="2">
        <f>O10/'Output-Calculation-sheet'!O9*'Output-Calculation-sheet'!O117</f>
        <v>7896353375.5086107</v>
      </c>
      <c r="P142" s="2">
        <f>P10/'Output-Calculation-sheet'!P9*'Output-Calculation-sheet'!P117</f>
        <v>0</v>
      </c>
      <c r="Q142" s="2">
        <f>Q10/'Output-Calculation-sheet'!Q9*'Output-Calculation-sheet'!Q117</f>
        <v>1247475031.1669736</v>
      </c>
      <c r="R142" s="2">
        <f>R10/'Output-Calculation-sheet'!R9*'Output-Calculation-sheet'!R117</f>
        <v>0</v>
      </c>
      <c r="S142" s="2">
        <f>S10/'Output-Calculation-sheet'!S9*'Output-Calculation-sheet'!S117</f>
        <v>3176038793.9769664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949243085.57027185</v>
      </c>
      <c r="Y142" s="2">
        <f>Y10/'Output-Calculation-sheet'!Y9*'Output-Calculation-sheet'!Y117</f>
        <v>0</v>
      </c>
      <c r="AA142" s="2">
        <f t="shared" si="12"/>
        <v>120273.01512790682</v>
      </c>
    </row>
    <row r="143" spans="1:27" x14ac:dyDescent="0.25">
      <c r="A143" s="2">
        <v>2034</v>
      </c>
      <c r="B143" s="2">
        <f>B11/'Output-Calculation-sheet'!B10*'Output-Calculation-sheet'!B118</f>
        <v>68867870233.042908</v>
      </c>
      <c r="C143" s="2">
        <f>C11/'Output-Calculation-sheet'!C10*'Output-Calculation-sheet'!C118</f>
        <v>52838573120.59124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14647115347.239134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10059801650.881281</v>
      </c>
      <c r="N143" s="2">
        <f>N11/'Output-Calculation-sheet'!N10*'Output-Calculation-sheet'!N118</f>
        <v>8851818450.1789722</v>
      </c>
      <c r="O143" s="2">
        <f>O11/'Output-Calculation-sheet'!O10*'Output-Calculation-sheet'!O118</f>
        <v>10265066859.830408</v>
      </c>
      <c r="P143" s="2">
        <f>P11/'Output-Calculation-sheet'!P10*'Output-Calculation-sheet'!P118</f>
        <v>1853327513.4251761</v>
      </c>
      <c r="Q143" s="2">
        <f>Q11/'Output-Calculation-sheet'!Q10*'Output-Calculation-sheet'!Q118</f>
        <v>4363606313.365428</v>
      </c>
      <c r="R143" s="2">
        <f>R11/'Output-Calculation-sheet'!R10*'Output-Calculation-sheet'!R118</f>
        <v>0</v>
      </c>
      <c r="S143" s="2">
        <f>S11/'Output-Calculation-sheet'!S10*'Output-Calculation-sheet'!S118</f>
        <v>5096867747.6750288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1104413162.4977648</v>
      </c>
      <c r="Y143" s="2">
        <f>Y11/'Output-Calculation-sheet'!Y10*'Output-Calculation-sheet'!Y118</f>
        <v>129420916.78101981</v>
      </c>
      <c r="AA143" s="2">
        <f t="shared" si="12"/>
        <v>178077.88131550836</v>
      </c>
    </row>
    <row r="144" spans="1:27" x14ac:dyDescent="0.25">
      <c r="A144" s="2">
        <v>2035</v>
      </c>
      <c r="B144" s="2">
        <f>B12/'Output-Calculation-sheet'!B11*'Output-Calculation-sheet'!B119</f>
        <v>107755495062.67833</v>
      </c>
      <c r="C144" s="2">
        <f>C12/'Output-Calculation-sheet'!C11*'Output-Calculation-sheet'!C119</f>
        <v>57029796660.159706</v>
      </c>
      <c r="D144" s="2">
        <f>D12/'Output-Calculation-sheet'!D11*'Output-Calculation-sheet'!D119</f>
        <v>0</v>
      </c>
      <c r="E144" s="2">
        <f>E12/'Output-Calculation-sheet'!E11*'Output-Calculation-sheet'!E119</f>
        <v>13001489353.976959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17309880396.176994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11824449802.097004</v>
      </c>
      <c r="N144" s="2">
        <f>N12/'Output-Calculation-sheet'!N11*'Output-Calculation-sheet'!N119</f>
        <v>11670644738.716953</v>
      </c>
      <c r="O144" s="2">
        <f>O12/'Output-Calculation-sheet'!O11*'Output-Calculation-sheet'!O119</f>
        <v>11081388002.086147</v>
      </c>
      <c r="P144" s="2">
        <f>P12/'Output-Calculation-sheet'!P11*'Output-Calculation-sheet'!P119</f>
        <v>5366277231.2586975</v>
      </c>
      <c r="Q144" s="2">
        <f>Q12/'Output-Calculation-sheet'!Q11*'Output-Calculation-sheet'!Q119</f>
        <v>6527902761.8662081</v>
      </c>
      <c r="R144" s="2">
        <f>R12/'Output-Calculation-sheet'!R11*'Output-Calculation-sheet'!R119</f>
        <v>0</v>
      </c>
      <c r="S144" s="2">
        <f>S12/'Output-Calculation-sheet'!S11*'Output-Calculation-sheet'!S119</f>
        <v>6725900918.2883148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1321075190.5224116</v>
      </c>
      <c r="Y144" s="2">
        <f>Y12/'Output-Calculation-sheet'!Y11*'Output-Calculation-sheet'!Y119</f>
        <v>372551403.20104927</v>
      </c>
      <c r="AA144" s="2">
        <f t="shared" si="12"/>
        <v>249986.85152102882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2503780724.178328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545971507.18657553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64884.78077595897</v>
      </c>
    </row>
    <row r="155" spans="1:27" x14ac:dyDescent="0.25">
      <c r="A155" s="2">
        <v>2035</v>
      </c>
      <c r="B155" s="2">
        <f>B12/'Output-Calculation-sheet'!B11*'Output-Calculation-sheet'!B128</f>
        <v>1415763623.9274015</v>
      </c>
      <c r="C155" s="2">
        <f>C12/'Output-Calculation-sheet'!C11*'Output-Calculation-sheet'!C128</f>
        <v>84624020.42553775</v>
      </c>
      <c r="D155" s="2">
        <f>D12/'Output-Calculation-sheet'!D11*'Output-Calculation-sheet'!D128</f>
        <v>6185234840.3612022</v>
      </c>
      <c r="E155" s="2">
        <f>E12/'Output-Calculation-sheet'!E11*'Output-Calculation-sheet'!E128</f>
        <v>1448479933.3951221</v>
      </c>
      <c r="F155" s="2">
        <f>F12/'Output-Calculation-sheet'!F11*'Output-Calculation-sheet'!F128</f>
        <v>2502848625.9061947</v>
      </c>
      <c r="G155" s="2">
        <f>G12/'Output-Calculation-sheet'!G11*'Output-Calculation-sheet'!G128</f>
        <v>2362836227.0979619</v>
      </c>
      <c r="H155" s="2">
        <f>H12/'Output-Calculation-sheet'!H11*'Output-Calculation-sheet'!H128</f>
        <v>130090483.67577729</v>
      </c>
      <c r="I155" s="2">
        <f>I12/'Output-Calculation-sheet'!I11*'Output-Calculation-sheet'!I128</f>
        <v>2029080077.3721449</v>
      </c>
      <c r="J155" s="2">
        <f>J12/'Output-Calculation-sheet'!J11*'Output-Calculation-sheet'!J128</f>
        <v>1466684808.5710158</v>
      </c>
      <c r="K155" s="2">
        <f>K12/'Output-Calculation-sheet'!K11*'Output-Calculation-sheet'!K128</f>
        <v>1623201941.5623841</v>
      </c>
      <c r="L155" s="2">
        <f>L12/'Output-Calculation-sheet'!L11*'Output-Calculation-sheet'!L128</f>
        <v>711838254.63028574</v>
      </c>
      <c r="M155" s="2">
        <f>M12/'Output-Calculation-sheet'!M11*'Output-Calculation-sheet'!M128</f>
        <v>102590730.14617726</v>
      </c>
      <c r="N155" s="2">
        <f>N12/'Output-Calculation-sheet'!N11*'Output-Calculation-sheet'!N128</f>
        <v>93766540.611137331</v>
      </c>
      <c r="O155" s="2">
        <f>O12/'Output-Calculation-sheet'!O11*'Output-Calculation-sheet'!O128</f>
        <v>20534189.291505929</v>
      </c>
      <c r="P155" s="2">
        <f>P12/'Output-Calculation-sheet'!P11*'Output-Calculation-sheet'!P128</f>
        <v>382516639.76304102</v>
      </c>
      <c r="Q155" s="2">
        <f>Q12/'Output-Calculation-sheet'!Q11*'Output-Calculation-sheet'!Q128</f>
        <v>466399380.90148669</v>
      </c>
      <c r="R155" s="2">
        <f>R12/'Output-Calculation-sheet'!R11*'Output-Calculation-sheet'!R128</f>
        <v>835826768.54994488</v>
      </c>
      <c r="S155" s="2">
        <f>S12/'Output-Calculation-sheet'!S11*'Output-Calculation-sheet'!S128</f>
        <v>60870700.602991089</v>
      </c>
      <c r="T155" s="2">
        <f>T12/'Output-Calculation-sheet'!T11*'Output-Calculation-sheet'!T128</f>
        <v>229219791.22654772</v>
      </c>
      <c r="U155" s="2">
        <f>U12/'Output-Calculation-sheet'!U11*'Output-Calculation-sheet'!U128</f>
        <v>527870477.19589883</v>
      </c>
      <c r="V155" s="2">
        <f>V12/'Output-Calculation-sheet'!V11*'Output-Calculation-sheet'!V128</f>
        <v>78736399.764981881</v>
      </c>
      <c r="W155" s="2">
        <f>W12/'Output-Calculation-sheet'!W11*'Output-Calculation-sheet'!W128</f>
        <v>158741038.70620257</v>
      </c>
      <c r="X155" s="2">
        <f>X12/'Output-Calculation-sheet'!X11*'Output-Calculation-sheet'!X128</f>
        <v>3372959.2165526394</v>
      </c>
      <c r="Y155" s="2">
        <f>Y12/'Output-Calculation-sheet'!Y11*'Output-Calculation-sheet'!Y128</f>
        <v>87277749.762878761</v>
      </c>
      <c r="AA155" s="2">
        <f t="shared" si="13"/>
        <v>23008.406202664377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6083.6828994352509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1842.820704779693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1280.0964267880909</v>
      </c>
      <c r="N19" s="2">
        <f>N8/'Output-Calculation-sheet'!N7*'Output-Calculation-sheet'!N25</f>
        <v>1064.8889570357198</v>
      </c>
      <c r="O19" s="2">
        <f>O8/'Output-Calculation-sheet'!O7*'Output-Calculation-sheet'!O25</f>
        <v>668.33292563684722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138.54204210247619</v>
      </c>
      <c r="Y19" s="2">
        <f>Y8/'Output-Calculation-sheet'!Y7*'Output-Calculation-sheet'!Y25</f>
        <v>0</v>
      </c>
      <c r="AA19" s="2">
        <f t="shared" si="0"/>
        <v>12.863878861587326</v>
      </c>
    </row>
    <row r="20" spans="1:27" x14ac:dyDescent="0.25">
      <c r="A20" s="2">
        <v>2032</v>
      </c>
      <c r="B20" s="2">
        <f>B9/'Output-Calculation-sheet'!B8*'Output-Calculation-sheet'!B26</f>
        <v>6694.8787721551826</v>
      </c>
      <c r="C20" s="2">
        <f>C9/'Output-Calculation-sheet'!C8*'Output-Calculation-sheet'!C26</f>
        <v>3671.3080722852601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2203.9043635171511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1540.1035793181231</v>
      </c>
      <c r="N20" s="2">
        <f>N9/'Output-Calculation-sheet'!N8*'Output-Calculation-sheet'!N26</f>
        <v>1067.3337480592766</v>
      </c>
      <c r="O20" s="2">
        <f>O9/'Output-Calculation-sheet'!O8*'Output-Calculation-sheet'!O26</f>
        <v>717.30556025191265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506.29319083059858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167.58576253553093</v>
      </c>
      <c r="Y20" s="2">
        <f>Y9/'Output-Calculation-sheet'!Y8*'Output-Calculation-sheet'!Y26</f>
        <v>0</v>
      </c>
      <c r="AA20" s="2">
        <f t="shared" si="0"/>
        <v>16.568713048953036</v>
      </c>
    </row>
    <row r="21" spans="1:27" x14ac:dyDescent="0.25">
      <c r="A21" s="2">
        <v>2033</v>
      </c>
      <c r="B21" s="2">
        <f>B10/'Output-Calculation-sheet'!B9*'Output-Calculation-sheet'!B27</f>
        <v>6561.0418829001774</v>
      </c>
      <c r="C21" s="2">
        <f>C10/'Output-Calculation-sheet'!C9*'Output-Calculation-sheet'!C27</f>
        <v>4032.6940058886812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1322.2267757745167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935.88301937259973</v>
      </c>
      <c r="N21" s="2">
        <f>N10/'Output-Calculation-sheet'!N9*'Output-Calculation-sheet'!N27</f>
        <v>947.76619921261863</v>
      </c>
      <c r="O21" s="2">
        <f>O10/'Output-Calculation-sheet'!O9*'Output-Calculation-sheet'!O27</f>
        <v>789.51502831300786</v>
      </c>
      <c r="P21" s="2">
        <f>P10/'Output-Calculation-sheet'!P9*'Output-Calculation-sheet'!P27</f>
        <v>0</v>
      </c>
      <c r="Q21" s="2">
        <f>Q10/'Output-Calculation-sheet'!Q9*'Output-Calculation-sheet'!Q27</f>
        <v>11.044675537567336</v>
      </c>
      <c r="R21" s="2">
        <f>R10/'Output-Calculation-sheet'!R9*'Output-Calculation-sheet'!R27</f>
        <v>0</v>
      </c>
      <c r="S21" s="2">
        <f>S10/'Output-Calculation-sheet'!S9*'Output-Calculation-sheet'!S27</f>
        <v>451.29117361352655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93.451941652923324</v>
      </c>
      <c r="Y21" s="2">
        <f>Y10/'Output-Calculation-sheet'!Y9*'Output-Calculation-sheet'!Y27</f>
        <v>0</v>
      </c>
      <c r="AA21" s="2">
        <f t="shared" si="0"/>
        <v>15.14491470226562</v>
      </c>
    </row>
    <row r="22" spans="1:27" x14ac:dyDescent="0.25">
      <c r="A22" s="2">
        <v>2034</v>
      </c>
      <c r="B22" s="2">
        <f>B11/'Output-Calculation-sheet'!B10*'Output-Calculation-sheet'!B28</f>
        <v>5933.7778743434792</v>
      </c>
      <c r="C22" s="2">
        <f>C11/'Output-Calculation-sheet'!C10*'Output-Calculation-sheet'!C28</f>
        <v>598.53708914630874</v>
      </c>
      <c r="D22" s="2">
        <f>D11/'Output-Calculation-sheet'!D10*'Output-Calculation-sheet'!D28</f>
        <v>0</v>
      </c>
      <c r="E22" s="2">
        <f>E11/'Output-Calculation-sheet'!E10*'Output-Calculation-sheet'!E28</f>
        <v>1987.4665573235429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1575.9950491111451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1205.3297365616645</v>
      </c>
      <c r="M22" s="2">
        <f>M11/'Output-Calculation-sheet'!M10*'Output-Calculation-sheet'!M28</f>
        <v>1121.6296692596197</v>
      </c>
      <c r="N22" s="2">
        <f>N11/'Output-Calculation-sheet'!N10*'Output-Calculation-sheet'!N28</f>
        <v>749.81583300116665</v>
      </c>
      <c r="O22" s="2">
        <f>O11/'Output-Calculation-sheet'!O10*'Output-Calculation-sheet'!O28</f>
        <v>117.40444301088634</v>
      </c>
      <c r="P22" s="2">
        <f>P11/'Output-Calculation-sheet'!P10*'Output-Calculation-sheet'!P28</f>
        <v>0</v>
      </c>
      <c r="Q22" s="2">
        <f>Q11/'Output-Calculation-sheet'!Q10*'Output-Calculation-sheet'!Q28</f>
        <v>385.95485450663574</v>
      </c>
      <c r="R22" s="2">
        <f>R11/'Output-Calculation-sheet'!R10*'Output-Calculation-sheet'!R28</f>
        <v>0</v>
      </c>
      <c r="S22" s="2">
        <f>S11/'Output-Calculation-sheet'!S10*'Output-Calculation-sheet'!S28</f>
        <v>280.75483588040754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110.20792441445016</v>
      </c>
      <c r="Y22" s="2">
        <f>Y11/'Output-Calculation-sheet'!Y10*'Output-Calculation-sheet'!Y28</f>
        <v>44.923862794284581</v>
      </c>
      <c r="AA22" s="2">
        <f t="shared" si="0"/>
        <v>14.11179772935359</v>
      </c>
    </row>
    <row r="23" spans="1:27" x14ac:dyDescent="0.25">
      <c r="A23" s="2">
        <v>2035</v>
      </c>
      <c r="B23" s="2">
        <f>B12/'Output-Calculation-sheet'!B11*'Output-Calculation-sheet'!B29</f>
        <v>2851.098882030738</v>
      </c>
      <c r="C23" s="2">
        <f>C12/'Output-Calculation-sheet'!C11*'Output-Calculation-sheet'!C29</f>
        <v>247.84402673554942</v>
      </c>
      <c r="D23" s="2">
        <f>D12/'Output-Calculation-sheet'!D11*'Output-Calculation-sheet'!D29</f>
        <v>0</v>
      </c>
      <c r="E23" s="2">
        <f>E12/'Output-Calculation-sheet'!E11*'Output-Calculation-sheet'!E29</f>
        <v>3935.6934671063914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420.25697067439319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2641.0282781254582</v>
      </c>
      <c r="M23" s="2">
        <f>M12/'Output-Calculation-sheet'!M11*'Output-Calculation-sheet'!M29</f>
        <v>385.52443732113619</v>
      </c>
      <c r="N23" s="2">
        <f>N12/'Output-Calculation-sheet'!N11*'Output-Calculation-sheet'!N29</f>
        <v>320.45527086586139</v>
      </c>
      <c r="O23" s="2">
        <f>O12/'Output-Calculation-sheet'!O11*'Output-Calculation-sheet'!O29</f>
        <v>43.945474853201837</v>
      </c>
      <c r="P23" s="2">
        <f>P12/'Output-Calculation-sheet'!P11*'Output-Calculation-sheet'!P29</f>
        <v>155.62688908819129</v>
      </c>
      <c r="Q23" s="2">
        <f>Q12/'Output-Calculation-sheet'!Q11*'Output-Calculation-sheet'!Q29</f>
        <v>585.29615344292131</v>
      </c>
      <c r="R23" s="2">
        <f>R12/'Output-Calculation-sheet'!R11*'Output-Calculation-sheet'!R29</f>
        <v>0</v>
      </c>
      <c r="S23" s="2">
        <f>S12/'Output-Calculation-sheet'!S11*'Output-Calculation-sheet'!S29</f>
        <v>133.87075604123598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12.379838873934569</v>
      </c>
      <c r="Y23" s="2">
        <f>Y12/'Output-Calculation-sheet'!Y11*'Output-Calculation-sheet'!Y29</f>
        <v>107.54747574752987</v>
      </c>
      <c r="AA23" s="2">
        <f t="shared" si="0"/>
        <v>11.840567920906542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1213.9508853692137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47.59592343848275</v>
      </c>
    </row>
    <row r="31" spans="1:27" x14ac:dyDescent="0.25">
      <c r="A31" s="2">
        <v>2032</v>
      </c>
      <c r="B31" s="2">
        <f>B9/'Output-Calculation-sheet'!B8*'Output-Calculation-sheet'!B17</f>
        <v>28148.042621175198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1100.618132245593</v>
      </c>
      <c r="O31" s="2">
        <f>O9/'Output-Calculation-sheet'!O8*'Output-Calculation-sheet'!O17</f>
        <v>0</v>
      </c>
      <c r="P31" s="2">
        <f>P9/'Output-Calculation-sheet'!P8*'Output-Calculation-sheet'!P17</f>
        <v>2750.8241540692275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910.94616308401487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64.490513589354961</v>
      </c>
    </row>
    <row r="32" spans="1:27" x14ac:dyDescent="0.25">
      <c r="A32" s="2">
        <v>2033</v>
      </c>
      <c r="B32" s="2">
        <f>B10/'Output-Calculation-sheet'!B9*'Output-Calculation-sheet'!B18</f>
        <v>23733.023126516251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3715.9208490228552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960.59865389325898</v>
      </c>
      <c r="O32" s="2">
        <f>O10/'Output-Calculation-sheet'!O9*'Output-Calculation-sheet'!O18</f>
        <v>0</v>
      </c>
      <c r="P32" s="2">
        <f>P10/'Output-Calculation-sheet'!P9*'Output-Calculation-sheet'!P18</f>
        <v>3824.1805686076145</v>
      </c>
      <c r="Q32" s="2">
        <f>Q10/'Output-Calculation-sheet'!Q9*'Output-Calculation-sheet'!Q18</f>
        <v>3540.8410724474948</v>
      </c>
      <c r="R32" s="2">
        <f>R10/'Output-Calculation-sheet'!R9*'Output-Calculation-sheet'!R18</f>
        <v>2746.0285161565666</v>
      </c>
      <c r="S32" s="2">
        <f>S10/'Output-Calculation-sheet'!S9*'Output-Calculation-sheet'!S18</f>
        <v>873.86084009753597</v>
      </c>
      <c r="T32" s="2">
        <f>T10/'Output-Calculation-sheet'!T9*'Output-Calculation-sheet'!T18</f>
        <v>801.79565195952762</v>
      </c>
      <c r="U32" s="2">
        <f>U10/'Output-Calculation-sheet'!U9*'Output-Calculation-sheet'!U18</f>
        <v>886.34961987896975</v>
      </c>
      <c r="V32" s="2">
        <f>V10/'Output-Calculation-sheet'!V9*'Output-Calculation-sheet'!V18</f>
        <v>654.21877898761829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378.75797382567254</v>
      </c>
      <c r="AA32" s="2">
        <f t="shared" si="1"/>
        <v>75.449680168597595</v>
      </c>
    </row>
    <row r="33" spans="1:27" x14ac:dyDescent="0.25">
      <c r="A33" s="2">
        <v>2034</v>
      </c>
      <c r="B33" s="2">
        <f>B11/'Output-Calculation-sheet'!B10*'Output-Calculation-sheet'!B19</f>
        <v>17936.237670152052</v>
      </c>
      <c r="C33" s="2">
        <f>C11/'Output-Calculation-sheet'!C10*'Output-Calculation-sheet'!C19</f>
        <v>0</v>
      </c>
      <c r="D33" s="2">
        <f>D11/'Output-Calculation-sheet'!D10*'Output-Calculation-sheet'!D19</f>
        <v>11928.371502319063</v>
      </c>
      <c r="E33" s="2">
        <f>E11/'Output-Calculation-sheet'!E10*'Output-Calculation-sheet'!E19</f>
        <v>14788.16888847392</v>
      </c>
      <c r="F33" s="2">
        <f>F11/'Output-Calculation-sheet'!F10*'Output-Calculation-sheet'!F19</f>
        <v>6771.2462333726371</v>
      </c>
      <c r="G33" s="2">
        <f>G11/'Output-Calculation-sheet'!G10*'Output-Calculation-sheet'!G19</f>
        <v>4033.7271171833627</v>
      </c>
      <c r="H33" s="2">
        <f>H11/'Output-Calculation-sheet'!H10*'Output-Calculation-sheet'!H19</f>
        <v>0</v>
      </c>
      <c r="I33" s="2">
        <f>I11/'Output-Calculation-sheet'!I10*'Output-Calculation-sheet'!I19</f>
        <v>4430.9495360660512</v>
      </c>
      <c r="J33" s="2">
        <f>J11/'Output-Calculation-sheet'!J10*'Output-Calculation-sheet'!J19</f>
        <v>3746.8831372870054</v>
      </c>
      <c r="K33" s="2">
        <f>K11/'Output-Calculation-sheet'!K10*'Output-Calculation-sheet'!K19</f>
        <v>5197.0152442817398</v>
      </c>
      <c r="L33" s="2">
        <f>L11/'Output-Calculation-sheet'!L10*'Output-Calculation-sheet'!L19</f>
        <v>4226.8403187633467</v>
      </c>
      <c r="M33" s="2">
        <f>M11/'Output-Calculation-sheet'!M10*'Output-Calculation-sheet'!M19</f>
        <v>0</v>
      </c>
      <c r="N33" s="2">
        <f>N11/'Output-Calculation-sheet'!N10*'Output-Calculation-sheet'!N19</f>
        <v>802.32063591620056</v>
      </c>
      <c r="O33" s="2">
        <f>O11/'Output-Calculation-sheet'!O10*'Output-Calculation-sheet'!O19</f>
        <v>0</v>
      </c>
      <c r="P33" s="2">
        <f>P11/'Output-Calculation-sheet'!P10*'Output-Calculation-sheet'!P19</f>
        <v>3971.6178753829704</v>
      </c>
      <c r="Q33" s="2">
        <f>Q11/'Output-Calculation-sheet'!Q10*'Output-Calculation-sheet'!Q19</f>
        <v>2530.6010801861871</v>
      </c>
      <c r="R33" s="2">
        <f>R11/'Output-Calculation-sheet'!R10*'Output-Calculation-sheet'!R19</f>
        <v>3754.467241926071</v>
      </c>
      <c r="S33" s="2">
        <f>S11/'Output-Calculation-sheet'!S10*'Output-Calculation-sheet'!S19</f>
        <v>510.03447048613776</v>
      </c>
      <c r="T33" s="2">
        <f>T11/'Output-Calculation-sheet'!T10*'Output-Calculation-sheet'!T19</f>
        <v>1101.4006174767321</v>
      </c>
      <c r="U33" s="2">
        <f>U11/'Output-Calculation-sheet'!U10*'Output-Calculation-sheet'!U19</f>
        <v>1191.2258615778555</v>
      </c>
      <c r="V33" s="2">
        <f>V11/'Output-Calculation-sheet'!V10*'Output-Calculation-sheet'!V19</f>
        <v>863.93571658714359</v>
      </c>
      <c r="W33" s="2">
        <f>W11/'Output-Calculation-sheet'!W10*'Output-Calculation-sheet'!W19</f>
        <v>537.92632636046403</v>
      </c>
      <c r="X33" s="2">
        <f>X11/'Output-Calculation-sheet'!X10*'Output-Calculation-sheet'!X19</f>
        <v>0</v>
      </c>
      <c r="Y33" s="2">
        <f>Y11/'Output-Calculation-sheet'!Y10*'Output-Calculation-sheet'!Y19</f>
        <v>440.40809369685115</v>
      </c>
      <c r="AA33" s="2">
        <f t="shared" si="1"/>
        <v>88.763377567495795</v>
      </c>
    </row>
    <row r="34" spans="1:27" x14ac:dyDescent="0.25">
      <c r="A34" s="2">
        <v>2035</v>
      </c>
      <c r="B34" s="2">
        <f>B12/'Output-Calculation-sheet'!B11*'Output-Calculation-sheet'!B20</f>
        <v>4878.7148419477062</v>
      </c>
      <c r="C34" s="2">
        <f>C12/'Output-Calculation-sheet'!C11*'Output-Calculation-sheet'!C20</f>
        <v>0</v>
      </c>
      <c r="D34" s="2">
        <f>D12/'Output-Calculation-sheet'!D11*'Output-Calculation-sheet'!D20</f>
        <v>12774.82461253445</v>
      </c>
      <c r="E34" s="2">
        <f>E12/'Output-Calculation-sheet'!E11*'Output-Calculation-sheet'!E20</f>
        <v>8339.1132936829181</v>
      </c>
      <c r="F34" s="2">
        <f>F12/'Output-Calculation-sheet'!F11*'Output-Calculation-sheet'!F20</f>
        <v>7938.6662208489015</v>
      </c>
      <c r="G34" s="2">
        <f>G12/'Output-Calculation-sheet'!G11*'Output-Calculation-sheet'!G20</f>
        <v>4283.1903676401716</v>
      </c>
      <c r="H34" s="2">
        <f>H12/'Output-Calculation-sheet'!H11*'Output-Calculation-sheet'!H20</f>
        <v>0</v>
      </c>
      <c r="I34" s="2">
        <f>I12/'Output-Calculation-sheet'!I11*'Output-Calculation-sheet'!I20</f>
        <v>4761.7294568687694</v>
      </c>
      <c r="J34" s="2">
        <f>J12/'Output-Calculation-sheet'!J11*'Output-Calculation-sheet'!J20</f>
        <v>4415.8606427714922</v>
      </c>
      <c r="K34" s="2">
        <f>K12/'Output-Calculation-sheet'!K11*'Output-Calculation-sheet'!K20</f>
        <v>5886.7801753932836</v>
      </c>
      <c r="L34" s="2">
        <f>L12/'Output-Calculation-sheet'!L11*'Output-Calculation-sheet'!L20</f>
        <v>4686.8506351968026</v>
      </c>
      <c r="M34" s="2">
        <f>M12/'Output-Calculation-sheet'!M11*'Output-Calculation-sheet'!M20</f>
        <v>0</v>
      </c>
      <c r="N34" s="2">
        <f>N12/'Output-Calculation-sheet'!N11*'Output-Calculation-sheet'!N20</f>
        <v>3.4601062718818909E-2</v>
      </c>
      <c r="O34" s="2">
        <f>O12/'Output-Calculation-sheet'!O11*'Output-Calculation-sheet'!O20</f>
        <v>0</v>
      </c>
      <c r="P34" s="2">
        <f>P12/'Output-Calculation-sheet'!P11*'Output-Calculation-sheet'!P20</f>
        <v>2409.7881788233603</v>
      </c>
      <c r="Q34" s="2">
        <f>Q12/'Output-Calculation-sheet'!Q11*'Output-Calculation-sheet'!Q20</f>
        <v>1620.4431126916875</v>
      </c>
      <c r="R34" s="2">
        <f>R12/'Output-Calculation-sheet'!R11*'Output-Calculation-sheet'!R20</f>
        <v>4497.1952244558888</v>
      </c>
      <c r="S34" s="2">
        <f>S12/'Output-Calculation-sheet'!S11*'Output-Calculation-sheet'!S20</f>
        <v>5.3279308495919357</v>
      </c>
      <c r="T34" s="2">
        <f>T12/'Output-Calculation-sheet'!T11*'Output-Calculation-sheet'!T20</f>
        <v>1363.1750881366174</v>
      </c>
      <c r="U34" s="2">
        <f>U12/'Output-Calculation-sheet'!U11*'Output-Calculation-sheet'!U20</f>
        <v>1255.5869142776621</v>
      </c>
      <c r="V34" s="2">
        <f>V12/'Output-Calculation-sheet'!V11*'Output-Calculation-sheet'!V20</f>
        <v>1235.8633115884613</v>
      </c>
      <c r="W34" s="2">
        <f>W12/'Output-Calculation-sheet'!W11*'Output-Calculation-sheet'!W20</f>
        <v>670.22019611482733</v>
      </c>
      <c r="X34" s="2">
        <f>X12/'Output-Calculation-sheet'!X11*'Output-Calculation-sheet'!X20</f>
        <v>0</v>
      </c>
      <c r="Y34" s="2">
        <f>Y12/'Output-Calculation-sheet'!Y11*'Output-Calculation-sheet'!Y20</f>
        <v>306.15208879048942</v>
      </c>
      <c r="AA34" s="2">
        <f t="shared" si="1"/>
        <v>71.329516893675802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2.6867349212164927E-2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4.9205499366043407E-3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3.1787899148769269E-2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7.9924506338120802E-2</v>
      </c>
      <c r="E45" s="2">
        <f>E12/'Output-Calculation-sheet'!E11*'Output-Calculation-sheet'!E38*0.0114</f>
        <v>0.19055621530619585</v>
      </c>
      <c r="F45" s="2">
        <f>F12/'Output-Calculation-sheet'!F11*'Output-Calculation-sheet'!F38*0.0114</f>
        <v>7.9897833125948767E-2</v>
      </c>
      <c r="G45" s="2">
        <f>G12/'Output-Calculation-sheet'!G11*'Output-Calculation-sheet'!G38*0.0114</f>
        <v>5.7341454559341469E-2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5.1575094970636108E-2</v>
      </c>
      <c r="J45" s="2">
        <f>J12/'Output-Calculation-sheet'!J11*'Output-Calculation-sheet'!J38*0.0114</f>
        <v>2.5521129789935697E-2</v>
      </c>
      <c r="K45" s="2">
        <f>K12/'Output-Calculation-sheet'!K11*'Output-Calculation-sheet'!K38*0.0114</f>
        <v>5.0690108790746397E-2</v>
      </c>
      <c r="L45" s="2">
        <f>L12/'Output-Calculation-sheet'!L11*'Output-Calculation-sheet'!L38*0.0114</f>
        <v>2.0153220489048915E-2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5.2057781191656403E-2</v>
      </c>
      <c r="Q45" s="2">
        <f>Q12/'Output-Calculation-sheet'!Q11*'Output-Calculation-sheet'!Q38*0.0114</f>
        <v>1.6457164084484482E-2</v>
      </c>
      <c r="R45" s="2">
        <f>R12/'Output-Calculation-sheet'!R11*'Output-Calculation-sheet'!R38*0.0114</f>
        <v>3.2640759901823822E-2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6.0379257790370211E-3</v>
      </c>
      <c r="U45" s="2">
        <f>U12/'Output-Calculation-sheet'!U11*'Output-Calculation-sheet'!U38*0.0114</f>
        <v>1.5752474594833671E-2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7.0120451693392472E-3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8.0928950171743185E-3</v>
      </c>
      <c r="AA45" s="2">
        <f t="shared" si="2"/>
        <v>1.0741466441293637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0.17947074358968468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243.46729932462475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0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22.717297132667575</v>
      </c>
      <c r="AA54" s="2">
        <f t="shared" si="3"/>
        <v>5.9972767759411614</v>
      </c>
    </row>
    <row r="55" spans="1:27" x14ac:dyDescent="0.25">
      <c r="A55" s="2">
        <v>2034</v>
      </c>
      <c r="B55" s="2">
        <f>B11/'Output-Calculation-sheet'!B10*'Output-Calculation-sheet'!B46</f>
        <v>2343.9832118894824</v>
      </c>
      <c r="C55" s="2">
        <f>C11/'Output-Calculation-sheet'!C10*'Output-Calculation-sheet'!C46</f>
        <v>0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390.78080756332236</v>
      </c>
      <c r="G55" s="2">
        <f>G11/'Output-Calculation-sheet'!G10*'Output-Calculation-sheet'!G46</f>
        <v>4404.8311997838809</v>
      </c>
      <c r="H55" s="2">
        <f>H11/'Output-Calculation-sheet'!H10*'Output-Calculation-sheet'!H46</f>
        <v>799.08424771819989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1812.5704596482215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592.26455373097815</v>
      </c>
      <c r="N55" s="2">
        <f>N11/'Output-Calculation-sheet'!N10*'Output-Calculation-sheet'!N46</f>
        <v>202.26817179442617</v>
      </c>
      <c r="O55" s="2">
        <f>O11/'Output-Calculation-sheet'!O10*'Output-Calculation-sheet'!O46</f>
        <v>0</v>
      </c>
      <c r="P55" s="2">
        <f>P11/'Output-Calculation-sheet'!P10*'Output-Calculation-sheet'!P46</f>
        <v>4399.0614382099147</v>
      </c>
      <c r="Q55" s="2">
        <f>Q11/'Output-Calculation-sheet'!Q10*'Output-Calculation-sheet'!Q46</f>
        <v>942.90738345078375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0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1676.8716231322685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111.24571026182183</v>
      </c>
      <c r="X55" s="2">
        <f>X11/'Output-Calculation-sheet'!X10*'Output-Calculation-sheet'!X46</f>
        <v>56.527931831486221</v>
      </c>
      <c r="Y55" s="2">
        <f>Y11/'Output-Calculation-sheet'!Y10*'Output-Calculation-sheet'!Y46</f>
        <v>393.16300582965437</v>
      </c>
      <c r="AA55" s="2">
        <f t="shared" si="3"/>
        <v>58.228916610560319</v>
      </c>
    </row>
    <row r="56" spans="1:27" x14ac:dyDescent="0.25">
      <c r="A56" s="2">
        <v>2035</v>
      </c>
      <c r="B56" s="2">
        <f>B12/'Output-Calculation-sheet'!B11*'Output-Calculation-sheet'!B47</f>
        <v>4485.6915547577937</v>
      </c>
      <c r="C56" s="2">
        <f>C12/'Output-Calculation-sheet'!C11*'Output-Calculation-sheet'!C47</f>
        <v>514.44552890981038</v>
      </c>
      <c r="D56" s="2">
        <f>D12/'Output-Calculation-sheet'!D11*'Output-Calculation-sheet'!D47</f>
        <v>12661.724425144401</v>
      </c>
      <c r="E56" s="2">
        <f>E12/'Output-Calculation-sheet'!E11*'Output-Calculation-sheet'!E47</f>
        <v>16592.87746145764</v>
      </c>
      <c r="F56" s="2">
        <f>F12/'Output-Calculation-sheet'!F11*'Output-Calculation-sheet'!F47</f>
        <v>1752.1454632883499</v>
      </c>
      <c r="G56" s="2">
        <f>G12/'Output-Calculation-sheet'!G11*'Output-Calculation-sheet'!G47</f>
        <v>4685.4004317567169</v>
      </c>
      <c r="H56" s="2">
        <f>H12/'Output-Calculation-sheet'!H11*'Output-Calculation-sheet'!H47</f>
        <v>199.78011881677867</v>
      </c>
      <c r="I56" s="2">
        <f>I12/'Output-Calculation-sheet'!I11*'Output-Calculation-sheet'!I47</f>
        <v>2985.9265509315637</v>
      </c>
      <c r="J56" s="2">
        <f>J12/'Output-Calculation-sheet'!J11*'Output-Calculation-sheet'!J47</f>
        <v>4985.5750914198943</v>
      </c>
      <c r="K56" s="2">
        <f>K12/'Output-Calculation-sheet'!K11*'Output-Calculation-sheet'!K47</f>
        <v>6658.6349047493622</v>
      </c>
      <c r="L56" s="2">
        <f>L12/'Output-Calculation-sheet'!L11*'Output-Calculation-sheet'!L47</f>
        <v>7210.9637170903961</v>
      </c>
      <c r="M56" s="2">
        <f>M12/'Output-Calculation-sheet'!M11*'Output-Calculation-sheet'!M47</f>
        <v>152.55613349896677</v>
      </c>
      <c r="N56" s="2">
        <f>N12/'Output-Calculation-sheet'!N11*'Output-Calculation-sheet'!N47</f>
        <v>143.34725983510688</v>
      </c>
      <c r="O56" s="2">
        <f>O12/'Output-Calculation-sheet'!O11*'Output-Calculation-sheet'!O47</f>
        <v>93.792168435160136</v>
      </c>
      <c r="P56" s="2">
        <f>P12/'Output-Calculation-sheet'!P11*'Output-Calculation-sheet'!P47</f>
        <v>3406.5881376294456</v>
      </c>
      <c r="Q56" s="2">
        <f>Q12/'Output-Calculation-sheet'!Q11*'Output-Calculation-sheet'!Q47</f>
        <v>1309.3550723357389</v>
      </c>
      <c r="R56" s="2">
        <f>R12/'Output-Calculation-sheet'!R11*'Output-Calculation-sheet'!R47</f>
        <v>7341.3077533575688</v>
      </c>
      <c r="S56" s="2">
        <f>S12/'Output-Calculation-sheet'!S11*'Output-Calculation-sheet'!S47</f>
        <v>61.392573164948736</v>
      </c>
      <c r="T56" s="2">
        <f>T12/'Output-Calculation-sheet'!T11*'Output-Calculation-sheet'!T47</f>
        <v>2469.7235006710198</v>
      </c>
      <c r="U56" s="2">
        <f>U12/'Output-Calculation-sheet'!U11*'Output-Calculation-sheet'!U47</f>
        <v>1731.390409414613</v>
      </c>
      <c r="V56" s="2">
        <f>V12/'Output-Calculation-sheet'!V11*'Output-Calculation-sheet'!V47</f>
        <v>1710.814457121859</v>
      </c>
      <c r="W56" s="2">
        <f>W12/'Output-Calculation-sheet'!W11*'Output-Calculation-sheet'!W47</f>
        <v>605.55776045741129</v>
      </c>
      <c r="X56" s="2">
        <f>X12/'Output-Calculation-sheet'!X11*'Output-Calculation-sheet'!X47</f>
        <v>15.632270731403676</v>
      </c>
      <c r="Y56" s="2">
        <f>Y12/'Output-Calculation-sheet'!Y11*'Output-Calculation-sheet'!Y47</f>
        <v>483.26651604749276</v>
      </c>
      <c r="AA56" s="2">
        <f t="shared" si="3"/>
        <v>82.25788926102345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8.7778515642589756</v>
      </c>
      <c r="C63" s="2">
        <f>C8*'Output-Calculation-sheet'!C52/10^9</f>
        <v>4.6895797546322786</v>
      </c>
      <c r="D63" s="2">
        <f>D8*'Output-Calculation-sheet'!D52/10^9</f>
        <v>3.010113412663642</v>
      </c>
      <c r="E63" s="2">
        <f>E8*'Output-Calculation-sheet'!E52/10^9</f>
        <v>2.9928601598075537</v>
      </c>
      <c r="F63" s="2">
        <f>F8*'Output-Calculation-sheet'!F52/10^9</f>
        <v>1.2674760302600185</v>
      </c>
      <c r="G63" s="2">
        <f>G8*'Output-Calculation-sheet'!G52/10^9</f>
        <v>0.91125800607947871</v>
      </c>
      <c r="H63" s="2">
        <f>H8*'Output-Calculation-sheet'!H52/10^9</f>
        <v>1.4820736046378717</v>
      </c>
      <c r="I63" s="2">
        <f>I8*'Output-Calculation-sheet'!I52/10^9</f>
        <v>0.84768150556492117</v>
      </c>
      <c r="J63" s="2">
        <f>J8*'Output-Calculation-sheet'!J52/10^9</f>
        <v>1.166467209147166</v>
      </c>
      <c r="K63" s="2">
        <f>K8*'Output-Calculation-sheet'!K52/10^9</f>
        <v>1.0248451912251655</v>
      </c>
      <c r="L63" s="2">
        <f>L8*'Output-Calculation-sheet'!L52/10^9</f>
        <v>1.3784660918032652</v>
      </c>
      <c r="M63" s="2">
        <f>M8*'Output-Calculation-sheet'!M52/10^9</f>
        <v>1.214163551022585</v>
      </c>
      <c r="N63" s="2">
        <f>N8*'Output-Calculation-sheet'!N52/10^9</f>
        <v>1.0713233288139576</v>
      </c>
      <c r="O63" s="2">
        <f>O8*'Output-Calculation-sheet'!O52/10^9</f>
        <v>0.95944753431022323</v>
      </c>
      <c r="P63" s="2">
        <f>P8*'Output-Calculation-sheet'!P52/10^9</f>
        <v>0.70814038194302775</v>
      </c>
      <c r="Q63" s="2">
        <f>Q8*'Output-Calculation-sheet'!Q52/10^9</f>
        <v>0.80140739471996525</v>
      </c>
      <c r="R63" s="2">
        <f>R8*'Output-Calculation-sheet'!R52/10^9</f>
        <v>0.71950476088426962</v>
      </c>
      <c r="S63" s="2">
        <f>S8*'Output-Calculation-sheet'!S52/10^9</f>
        <v>0.53317852113484809</v>
      </c>
      <c r="T63" s="2">
        <f>T8*'Output-Calculation-sheet'!T52/10^9</f>
        <v>0.27354543199228909</v>
      </c>
      <c r="U63" s="2">
        <f>U8*'Output-Calculation-sheet'!U52/10^9</f>
        <v>0.18786807147166196</v>
      </c>
      <c r="V63" s="2">
        <f>V8*'Output-Calculation-sheet'!V52/10^9</f>
        <v>0.33342143015593378</v>
      </c>
      <c r="W63" s="2">
        <f>W8*'Output-Calculation-sheet'!W52/10^9</f>
        <v>0.12068293676448454</v>
      </c>
      <c r="X63" s="2">
        <f>X8*'Output-Calculation-sheet'!X52/10^9</f>
        <v>0.12434946109659213</v>
      </c>
      <c r="Y63" s="2">
        <f>Y8*'Output-Calculation-sheet'!Y52/10^9</f>
        <v>7.8742259134164647E-2</v>
      </c>
      <c r="AA63" s="2">
        <f t="shared" si="4"/>
        <v>34.674447593524341</v>
      </c>
    </row>
    <row r="64" spans="1:27" x14ac:dyDescent="0.25">
      <c r="A64" s="2">
        <v>2032</v>
      </c>
      <c r="B64" s="2">
        <f>B9*'Output-Calculation-sheet'!B53/10^9</f>
        <v>9.5985749620864986</v>
      </c>
      <c r="C64" s="2">
        <f>C9*'Output-Calculation-sheet'!C53/10^9</f>
        <v>5.0885010368176404</v>
      </c>
      <c r="D64" s="2">
        <f>D9*'Output-Calculation-sheet'!D53/10^9</f>
        <v>2.8427850885687653</v>
      </c>
      <c r="E64" s="2">
        <f>E9*'Output-Calculation-sheet'!E53/10^9</f>
        <v>2.9111370072696907</v>
      </c>
      <c r="F64" s="2">
        <f>F9*'Output-Calculation-sheet'!F53/10^9</f>
        <v>1.2278993353385377</v>
      </c>
      <c r="G64" s="2">
        <f>G9*'Output-Calculation-sheet'!G53/10^9</f>
        <v>0.87398118410140024</v>
      </c>
      <c r="H64" s="2">
        <f>H9*'Output-Calculation-sheet'!H53/10^9</f>
        <v>1.5969883000544205</v>
      </c>
      <c r="I64" s="2">
        <f>I9*'Output-Calculation-sheet'!I53/10^9</f>
        <v>0.81702956683608374</v>
      </c>
      <c r="J64" s="2">
        <f>J9*'Output-Calculation-sheet'!J53/10^9</f>
        <v>1.0815811383118819</v>
      </c>
      <c r="K64" s="2">
        <f>K9*'Output-Calculation-sheet'!K53/10^9</f>
        <v>1.0035601434420698</v>
      </c>
      <c r="L64" s="2">
        <f>L9*'Output-Calculation-sheet'!L53/10^9</f>
        <v>1.291077124968466</v>
      </c>
      <c r="M64" s="2">
        <f>M9*'Output-Calculation-sheet'!M53/10^9</f>
        <v>1.2670234345453757</v>
      </c>
      <c r="N64" s="2">
        <f>N9*'Output-Calculation-sheet'!N53/10^9</f>
        <v>1.1407304756124408</v>
      </c>
      <c r="O64" s="2">
        <f>O9*'Output-Calculation-sheet'!O53/10^9</f>
        <v>1.0304595663497691</v>
      </c>
      <c r="P64" s="2">
        <f>P9*'Output-Calculation-sheet'!P53/10^9</f>
        <v>0.76515233976487163</v>
      </c>
      <c r="Q64" s="2">
        <f>Q9*'Output-Calculation-sheet'!Q53/10^9</f>
        <v>0.84560194894530971</v>
      </c>
      <c r="R64" s="2">
        <f>R9*'Output-Calculation-sheet'!R53/10^9</f>
        <v>0.7248805606644475</v>
      </c>
      <c r="S64" s="2">
        <f>S9*'Output-Calculation-sheet'!S53/10^9</f>
        <v>0.58329110332260148</v>
      </c>
      <c r="T64" s="2">
        <f>T9*'Output-Calculation-sheet'!T53/10^9</f>
        <v>0.26057465822454462</v>
      </c>
      <c r="U64" s="2">
        <f>U9*'Output-Calculation-sheet'!U53/10^9</f>
        <v>0.1961291123779115</v>
      </c>
      <c r="V64" s="2">
        <f>V9*'Output-Calculation-sheet'!V53/10^9</f>
        <v>0.3092844987135086</v>
      </c>
      <c r="W64" s="2">
        <f>W9*'Output-Calculation-sheet'!W53/10^9</f>
        <v>0.114924346374511</v>
      </c>
      <c r="X64" s="2">
        <f>X9*'Output-Calculation-sheet'!X53/10^9</f>
        <v>0.13175911892240152</v>
      </c>
      <c r="Y64" s="2">
        <f>Y9*'Output-Calculation-sheet'!Y53/10^9</f>
        <v>8.0519789495283878E-2</v>
      </c>
      <c r="AA64" s="2">
        <f t="shared" si="4"/>
        <v>35.783445841108424</v>
      </c>
    </row>
    <row r="65" spans="1:27" x14ac:dyDescent="0.25">
      <c r="A65" s="2">
        <v>2033</v>
      </c>
      <c r="B65" s="2">
        <f>B10*'Output-Calculation-sheet'!B54/10^9</f>
        <v>10.304276374840839</v>
      </c>
      <c r="C65" s="2">
        <f>C10*'Output-Calculation-sheet'!C54/10^9</f>
        <v>5.3264651239882008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1.6726898222217614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0.97457324049381222</v>
      </c>
      <c r="L65" s="2">
        <f>L10*'Output-Calculation-sheet'!L54/10^9</f>
        <v>1.1510652639468597</v>
      </c>
      <c r="M65" s="2">
        <f>M10*'Output-Calculation-sheet'!M54/10^9</f>
        <v>1.2755325149551227</v>
      </c>
      <c r="N65" s="2">
        <f>N10*'Output-Calculation-sheet'!N54/10^9</f>
        <v>1.1704573853182512</v>
      </c>
      <c r="O65" s="2">
        <f>O10*'Output-Calculation-sheet'!O54/10^9</f>
        <v>1.0674471640860694</v>
      </c>
      <c r="P65" s="2">
        <f>P10*'Output-Calculation-sheet'!P54/10^9</f>
        <v>0.82451979107606976</v>
      </c>
      <c r="Q65" s="2">
        <f>Q10*'Output-Calculation-sheet'!Q54/10^9</f>
        <v>0.89817947543651322</v>
      </c>
      <c r="R65" s="2">
        <f>R10*'Output-Calculation-sheet'!R54/10^9</f>
        <v>0.72589965156347214</v>
      </c>
      <c r="S65" s="2">
        <f>S10*'Output-Calculation-sheet'!S54/10^9</f>
        <v>0.6174145787297296</v>
      </c>
      <c r="T65" s="2">
        <f>T10*'Output-Calculation-sheet'!T54/10^9</f>
        <v>0.24270365841498376</v>
      </c>
      <c r="U65" s="2">
        <f>U10*'Output-Calculation-sheet'!U54/10^9</f>
        <v>0.20956597601975976</v>
      </c>
      <c r="V65" s="2">
        <f>V10*'Output-Calculation-sheet'!V54/10^9</f>
        <v>0.26859421217648066</v>
      </c>
      <c r="W65" s="2">
        <f>W10*'Output-Calculation-sheet'!W54/10^9</f>
        <v>0.10225999366502159</v>
      </c>
      <c r="X65" s="2">
        <f>X10*'Output-Calculation-sheet'!X54/10^9</f>
        <v>0.13374048490456875</v>
      </c>
      <c r="Y65" s="2">
        <f>Y10*'Output-Calculation-sheet'!Y54/10^9</f>
        <v>8.4167178323522052E-2</v>
      </c>
      <c r="AA65" s="2">
        <f t="shared" si="4"/>
        <v>35.971228067024995</v>
      </c>
    </row>
    <row r="66" spans="1:27" x14ac:dyDescent="0.25">
      <c r="A66" s="2">
        <v>2034</v>
      </c>
      <c r="B66" s="2">
        <f>B11*'Output-Calculation-sheet'!B55/10^9</f>
        <v>10.903349928139871</v>
      </c>
      <c r="C66" s="2">
        <f>C11*'Output-Calculation-sheet'!C55/10^9</f>
        <v>5.484799654148615</v>
      </c>
      <c r="D66" s="2">
        <f>D11*'Output-Calculation-sheet'!D55/10^9</f>
        <v>2.4607065713614529</v>
      </c>
      <c r="E66" s="2">
        <f>E11*'Output-Calculation-sheet'!E55/10^9</f>
        <v>2.979741139526999</v>
      </c>
      <c r="F66" s="2">
        <f>F11*'Output-Calculation-sheet'!F55/10^9</f>
        <v>1.1451588184069976</v>
      </c>
      <c r="G66" s="2">
        <f>G11*'Output-Calculation-sheet'!G55/10^9</f>
        <v>0.81858853943059817</v>
      </c>
      <c r="H66" s="2">
        <f>H11*'Output-Calculation-sheet'!H55/10^9</f>
        <v>1.708081089428177</v>
      </c>
      <c r="I66" s="2">
        <f>I11*'Output-Calculation-sheet'!I55/10^9</f>
        <v>0.80043213038694216</v>
      </c>
      <c r="J66" s="2">
        <f>J11*'Output-Calculation-sheet'!J55/10^9</f>
        <v>0.82311283574439498</v>
      </c>
      <c r="K66" s="2">
        <f>K11*'Output-Calculation-sheet'!K55/10^9</f>
        <v>0.98450098790450324</v>
      </c>
      <c r="L66" s="2">
        <f>L11*'Output-Calculation-sheet'!L55/10^9</f>
        <v>1.0426024046616647</v>
      </c>
      <c r="M66" s="2">
        <f>M11*'Output-Calculation-sheet'!M55/10^9</f>
        <v>1.2450730947683759</v>
      </c>
      <c r="N66" s="2">
        <f>N11*'Output-Calculation-sheet'!N55/10^9</f>
        <v>1.1762341768182139</v>
      </c>
      <c r="O66" s="2">
        <f>O11*'Output-Calculation-sheet'!O55/10^9</f>
        <v>1.0810724767633548</v>
      </c>
      <c r="P66" s="2">
        <f>P11*'Output-Calculation-sheet'!P55/10^9</f>
        <v>0.90268508491846966</v>
      </c>
      <c r="Q66" s="2">
        <f>Q11*'Output-Calculation-sheet'!Q55/10^9</f>
        <v>0.9548940058778933</v>
      </c>
      <c r="R66" s="2">
        <f>R11*'Output-Calculation-sheet'!R55/10^9</f>
        <v>0.73755066870957797</v>
      </c>
      <c r="S66" s="2">
        <f>S11*'Output-Calculation-sheet'!S55/10^9</f>
        <v>0.6433217358137856</v>
      </c>
      <c r="T66" s="2">
        <f>T11*'Output-Calculation-sheet'!T55/10^9</f>
        <v>0.2311661231388781</v>
      </c>
      <c r="U66" s="2">
        <f>U11*'Output-Calculation-sheet'!U55/10^9</f>
        <v>0.23479621584540811</v>
      </c>
      <c r="V66" s="2">
        <f>V11*'Output-Calculation-sheet'!V55/10^9</f>
        <v>0.21929327505314575</v>
      </c>
      <c r="W66" s="2">
        <f>W11*'Output-Calculation-sheet'!W55/10^9</f>
        <v>9.9297421939340588E-2</v>
      </c>
      <c r="X66" s="2">
        <f>X11*'Output-Calculation-sheet'!X55/10^9</f>
        <v>0.1330259259389612</v>
      </c>
      <c r="Y66" s="2">
        <f>Y11*'Output-Calculation-sheet'!Y55/10^9</f>
        <v>9.7078591687246182E-2</v>
      </c>
      <c r="AA66" s="2">
        <f t="shared" si="4"/>
        <v>36.906562896412865</v>
      </c>
    </row>
    <row r="67" spans="1:27" x14ac:dyDescent="0.25">
      <c r="A67" s="2">
        <v>2035</v>
      </c>
      <c r="B67" s="2">
        <f>B12*'Output-Calculation-sheet'!B56/10^9</f>
        <v>11.753115224581034</v>
      </c>
      <c r="C67" s="2">
        <f>C12*'Output-Calculation-sheet'!C56/10^9</f>
        <v>5.5163452678765239</v>
      </c>
      <c r="D67" s="2">
        <f>D12*'Output-Calculation-sheet'!D56/10^9</f>
        <v>2.7119676503963022</v>
      </c>
      <c r="E67" s="2">
        <f>E12*'Output-Calculation-sheet'!E56/10^9</f>
        <v>3.625409153001184</v>
      </c>
      <c r="F67" s="2">
        <f>F12*'Output-Calculation-sheet'!F56/10^9</f>
        <v>1.344846631943716</v>
      </c>
      <c r="G67" s="2">
        <f>G12*'Output-Calculation-sheet'!G56/10^9</f>
        <v>0.9420864492966744</v>
      </c>
      <c r="H67" s="2">
        <f>H12*'Output-Calculation-sheet'!H56/10^9</f>
        <v>1.7367117393528186</v>
      </c>
      <c r="I67" s="2">
        <f>I12*'Output-Calculation-sheet'!I56/10^9</f>
        <v>0.91515366207825066</v>
      </c>
      <c r="J67" s="2">
        <f>J12*'Output-Calculation-sheet'!J56/10^9</f>
        <v>0.90603962624913903</v>
      </c>
      <c r="K67" s="2">
        <f>K12*'Output-Calculation-sheet'!K56/10^9</f>
        <v>1.091793981040093</v>
      </c>
      <c r="L67" s="2">
        <f>L12*'Output-Calculation-sheet'!L56/10^9</f>
        <v>1.0967205602654362</v>
      </c>
      <c r="M67" s="2">
        <f>M12*'Output-Calculation-sheet'!M56/10^9</f>
        <v>1.2081289593436921</v>
      </c>
      <c r="N67" s="2">
        <f>N12*'Output-Calculation-sheet'!N56/10^9</f>
        <v>1.1785071436415222</v>
      </c>
      <c r="O67" s="2">
        <f>O12*'Output-Calculation-sheet'!O56/10^9</f>
        <v>1.0723235040056718</v>
      </c>
      <c r="P67" s="2">
        <f>P12*'Output-Calculation-sheet'!P56/10^9</f>
        <v>1.0249261437275217</v>
      </c>
      <c r="Q67" s="2">
        <f>Q12*'Output-Calculation-sheet'!Q56/10^9</f>
        <v>1.0402655568738768</v>
      </c>
      <c r="R67" s="2">
        <f>R12*'Output-Calculation-sheet'!R56/10^9</f>
        <v>0.82814368451414844</v>
      </c>
      <c r="S67" s="2">
        <f>S12*'Output-Calculation-sheet'!S56/10^9</f>
        <v>0.67334730381459362</v>
      </c>
      <c r="T67" s="2">
        <f>T12*'Output-Calculation-sheet'!T56/10^9</f>
        <v>0.25098353438907411</v>
      </c>
      <c r="U67" s="2">
        <f>U12*'Output-Calculation-sheet'!U56/10^9</f>
        <v>0.26242375113107386</v>
      </c>
      <c r="V67" s="2">
        <f>V12*'Output-Calculation-sheet'!V56/10^9</f>
        <v>0.20130471116825296</v>
      </c>
      <c r="W67" s="2">
        <f>W12*'Output-Calculation-sheet'!W56/10^9</f>
        <v>0.12154148380085579</v>
      </c>
      <c r="X67" s="2">
        <f>X12*'Output-Calculation-sheet'!X56/10^9</f>
        <v>0.12915130178870604</v>
      </c>
      <c r="Y67" s="2">
        <f>Y12*'Output-Calculation-sheet'!Y56/10^9</f>
        <v>0.11674428348789652</v>
      </c>
      <c r="AA67" s="2">
        <f t="shared" si="4"/>
        <v>39.747981307768057</v>
      </c>
    </row>
    <row r="68" spans="1:27" x14ac:dyDescent="0.25">
      <c r="B68" s="2">
        <f>SUM(B60:B67)</f>
        <v>51.33716805390722</v>
      </c>
      <c r="C68" s="2">
        <f t="shared" ref="C68:Y68" si="5">SUM(C60:C67)</f>
        <v>26.105690837463257</v>
      </c>
      <c r="D68" s="2">
        <f t="shared" si="5"/>
        <v>13.526136614595075</v>
      </c>
      <c r="E68" s="2">
        <f t="shared" si="5"/>
        <v>15.32473978157436</v>
      </c>
      <c r="F68" s="2">
        <f t="shared" si="5"/>
        <v>6.1284619286765434</v>
      </c>
      <c r="G68" s="2">
        <f t="shared" si="5"/>
        <v>4.3307434157172091</v>
      </c>
      <c r="H68" s="2">
        <f t="shared" si="5"/>
        <v>8.1965445556950485</v>
      </c>
      <c r="I68" s="2">
        <f t="shared" si="5"/>
        <v>4.1445065451984862</v>
      </c>
      <c r="J68" s="2">
        <f t="shared" si="5"/>
        <v>4.8906007428740779</v>
      </c>
      <c r="K68" s="2">
        <f t="shared" si="5"/>
        <v>5.0792735441056438</v>
      </c>
      <c r="L68" s="2">
        <f t="shared" si="5"/>
        <v>5.959931445645692</v>
      </c>
      <c r="M68" s="2">
        <f t="shared" si="5"/>
        <v>6.2099215546351507</v>
      </c>
      <c r="N68" s="2">
        <f t="shared" si="5"/>
        <v>5.7372525102043861</v>
      </c>
      <c r="O68" s="2">
        <f t="shared" si="5"/>
        <v>5.2107502455150883</v>
      </c>
      <c r="P68" s="2">
        <f t="shared" si="5"/>
        <v>4.2254237414299602</v>
      </c>
      <c r="Q68" s="2">
        <f t="shared" si="5"/>
        <v>4.5403483818535584</v>
      </c>
      <c r="R68" s="2">
        <f t="shared" si="5"/>
        <v>3.7359793263359156</v>
      </c>
      <c r="S68" s="2">
        <f t="shared" si="5"/>
        <v>3.0505532428155586</v>
      </c>
      <c r="T68" s="2">
        <f t="shared" si="5"/>
        <v>1.2589734061597697</v>
      </c>
      <c r="U68" s="2">
        <f t="shared" si="5"/>
        <v>1.0907831268458152</v>
      </c>
      <c r="V68" s="2">
        <f t="shared" si="5"/>
        <v>1.3318981272673216</v>
      </c>
      <c r="W68" s="2">
        <f t="shared" si="5"/>
        <v>0.55870618254421356</v>
      </c>
      <c r="X68" s="2">
        <f t="shared" si="5"/>
        <v>0.65202629265122969</v>
      </c>
      <c r="Y68" s="2">
        <f t="shared" si="5"/>
        <v>0.45725210212811329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65.739776812510257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6.5739776812510253E-2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647.81915962543303</v>
      </c>
      <c r="Q76" s="2">
        <f>Q10/'Output-Calculation-sheet'!Q9*'Output-Calculation-sheet'!Q63</f>
        <v>76.953146290122675</v>
      </c>
      <c r="R76" s="2">
        <f>R10/'Output-Calculation-sheet'!R9*'Output-Calculation-sheet'!R63</f>
        <v>493.79944720796215</v>
      </c>
      <c r="S76" s="2">
        <f>S10/'Output-Calculation-sheet'!S9*'Output-Calculation-sheet'!S63</f>
        <v>0</v>
      </c>
      <c r="T76" s="2">
        <f>T10/'Output-Calculation-sheet'!T9*'Output-Calculation-sheet'!T63</f>
        <v>32.43874601851855</v>
      </c>
      <c r="U76" s="2">
        <f>U10/'Output-Calculation-sheet'!U9*'Output-Calculation-sheet'!U63</f>
        <v>175.21102670139692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8.3212845415957748</v>
      </c>
      <c r="AA76" s="2">
        <f t="shared" si="6"/>
        <v>1.5707679593111519</v>
      </c>
    </row>
    <row r="77" spans="1:27" x14ac:dyDescent="0.25">
      <c r="A77" s="2">
        <v>2034</v>
      </c>
      <c r="B77" s="2">
        <f>B11/'Output-Calculation-sheet'!B10*'Output-Calculation-sheet'!B64</f>
        <v>709.47683857470861</v>
      </c>
      <c r="C77" s="2">
        <f>C11/'Output-Calculation-sheet'!C10*'Output-Calculation-sheet'!C64</f>
        <v>0</v>
      </c>
      <c r="D77" s="2">
        <f>D11/'Output-Calculation-sheet'!D10*'Output-Calculation-sheet'!D64</f>
        <v>2386.339178113577</v>
      </c>
      <c r="E77" s="2">
        <f>E11/'Output-Calculation-sheet'!E10*'Output-Calculation-sheet'!E64</f>
        <v>2958.9934182271663</v>
      </c>
      <c r="F77" s="2">
        <f>F11/'Output-Calculation-sheet'!F10*'Output-Calculation-sheet'!F64</f>
        <v>185.38116091230819</v>
      </c>
      <c r="G77" s="2">
        <f>G11/'Output-Calculation-sheet'!G10*'Output-Calculation-sheet'!G64</f>
        <v>1195.5216228207437</v>
      </c>
      <c r="H77" s="2">
        <f>H11/'Output-Calculation-sheet'!H10*'Output-Calculation-sheet'!H64</f>
        <v>195.65235340702532</v>
      </c>
      <c r="I77" s="2">
        <f>I11/'Output-Calculation-sheet'!I10*'Output-Calculation-sheet'!I64</f>
        <v>739.71505713648492</v>
      </c>
      <c r="J77" s="2">
        <f>J11/'Output-Calculation-sheet'!J10*'Output-Calculation-sheet'!J64</f>
        <v>519.84059248566177</v>
      </c>
      <c r="K77" s="2">
        <f>K11/'Output-Calculation-sheet'!K10*'Output-Calculation-sheet'!K64</f>
        <v>1134.1473124606462</v>
      </c>
      <c r="L77" s="2">
        <f>L11/'Output-Calculation-sheet'!L10*'Output-Calculation-sheet'!L64</f>
        <v>468.95902963922271</v>
      </c>
      <c r="M77" s="2">
        <f>M11/'Output-Calculation-sheet'!M10*'Output-Calculation-sheet'!M64</f>
        <v>140.91183398263613</v>
      </c>
      <c r="N77" s="2">
        <f>N11/'Output-Calculation-sheet'!N10*'Output-Calculation-sheet'!N64</f>
        <v>46.60351320054324</v>
      </c>
      <c r="O77" s="2">
        <f>O11/'Output-Calculation-sheet'!O10*'Output-Calculation-sheet'!O64</f>
        <v>0</v>
      </c>
      <c r="P77" s="2">
        <f>P11/'Output-Calculation-sheet'!P10*'Output-Calculation-sheet'!P64</f>
        <v>959.60589881366354</v>
      </c>
      <c r="Q77" s="2">
        <f>Q11/'Output-Calculation-sheet'!Q10*'Output-Calculation-sheet'!Q64</f>
        <v>231.45873568366116</v>
      </c>
      <c r="R77" s="2">
        <f>R11/'Output-Calculation-sheet'!R10*'Output-Calculation-sheet'!R64</f>
        <v>1193.16322690009</v>
      </c>
      <c r="S77" s="2">
        <f>S11/'Output-Calculation-sheet'!S10*'Output-Calculation-sheet'!S64</f>
        <v>0</v>
      </c>
      <c r="T77" s="2">
        <f>T11/'Output-Calculation-sheet'!T10*'Output-Calculation-sheet'!T64</f>
        <v>330.83605871650173</v>
      </c>
      <c r="U77" s="2">
        <f>U11/'Output-Calculation-sheet'!U10*'Output-Calculation-sheet'!U64</f>
        <v>362.85473276801412</v>
      </c>
      <c r="V77" s="2">
        <f>V11/'Output-Calculation-sheet'!V10*'Output-Calculation-sheet'!V64</f>
        <v>170.98244785142089</v>
      </c>
      <c r="W77" s="2">
        <f>W11/'Output-Calculation-sheet'!W10*'Output-Calculation-sheet'!W64</f>
        <v>37.516607081172687</v>
      </c>
      <c r="X77" s="2">
        <f>X11/'Output-Calculation-sheet'!X10*'Output-Calculation-sheet'!X64</f>
        <v>14.04736340137991</v>
      </c>
      <c r="Y77" s="2">
        <f>Y11/'Output-Calculation-sheet'!Y10*'Output-Calculation-sheet'!Y64</f>
        <v>79.178272833497331</v>
      </c>
      <c r="AA77" s="2">
        <f t="shared" si="6"/>
        <v>14.061185255010123</v>
      </c>
    </row>
    <row r="78" spans="1:27" x14ac:dyDescent="0.25">
      <c r="A78" s="2">
        <v>2035</v>
      </c>
      <c r="B78" s="2">
        <f>B12/'Output-Calculation-sheet'!B11*'Output-Calculation-sheet'!B65</f>
        <v>904.25872096598823</v>
      </c>
      <c r="C78" s="2">
        <f>C12/'Output-Calculation-sheet'!C11*'Output-Calculation-sheet'!C65</f>
        <v>92.441904271793604</v>
      </c>
      <c r="D78" s="2">
        <f>D12/'Output-Calculation-sheet'!D11*'Output-Calculation-sheet'!D65</f>
        <v>2874.2605209590392</v>
      </c>
      <c r="E78" s="2">
        <f>E12/'Output-Calculation-sheet'!E11*'Output-Calculation-sheet'!E65</f>
        <v>2683.6388397997866</v>
      </c>
      <c r="F78" s="2">
        <f>F12/'Output-Calculation-sheet'!F11*'Output-Calculation-sheet'!F65</f>
        <v>634.86537858604754</v>
      </c>
      <c r="G78" s="2">
        <f>G12/'Output-Calculation-sheet'!G11*'Output-Calculation-sheet'!G65</f>
        <v>1256.8768993952988</v>
      </c>
      <c r="H78" s="2">
        <f>H12/'Output-Calculation-sheet'!H11*'Output-Calculation-sheet'!H65</f>
        <v>36.321000138055325</v>
      </c>
      <c r="I78" s="2">
        <f>I12/'Output-Calculation-sheet'!I11*'Output-Calculation-sheet'!I65</f>
        <v>833.53496908595935</v>
      </c>
      <c r="J78" s="2">
        <f>J12/'Output-Calculation-sheet'!J11*'Output-Calculation-sheet'!J65</f>
        <v>1216.2318270953419</v>
      </c>
      <c r="K78" s="2">
        <f>K12/'Output-Calculation-sheet'!K11*'Output-Calculation-sheet'!K65</f>
        <v>1518.2643580494337</v>
      </c>
      <c r="L78" s="2">
        <f>L12/'Output-Calculation-sheet'!L11*'Output-Calculation-sheet'!L65</f>
        <v>1280.9351586312316</v>
      </c>
      <c r="M78" s="2">
        <f>M12/'Output-Calculation-sheet'!M11*'Output-Calculation-sheet'!M65</f>
        <v>30.360347007321849</v>
      </c>
      <c r="N78" s="2">
        <f>N12/'Output-Calculation-sheet'!N11*'Output-Calculation-sheet'!N65</f>
        <v>24.644195004065448</v>
      </c>
      <c r="O78" s="2">
        <f>O12/'Output-Calculation-sheet'!O11*'Output-Calculation-sheet'!O65</f>
        <v>16.799561185615733</v>
      </c>
      <c r="P78" s="2">
        <f>P12/'Output-Calculation-sheet'!P11*'Output-Calculation-sheet'!P65</f>
        <v>702.78156824470625</v>
      </c>
      <c r="Q78" s="2">
        <f>Q12/'Output-Calculation-sheet'!Q11*'Output-Calculation-sheet'!Q65</f>
        <v>266.01995214949937</v>
      </c>
      <c r="R78" s="2">
        <f>R12/'Output-Calculation-sheet'!R11*'Output-Calculation-sheet'!R65</f>
        <v>1612.1700799193707</v>
      </c>
      <c r="S78" s="2">
        <f>S12/'Output-Calculation-sheet'!S11*'Output-Calculation-sheet'!S65</f>
        <v>9.5904644294906074</v>
      </c>
      <c r="T78" s="2">
        <f>T12/'Output-Calculation-sheet'!T11*'Output-Calculation-sheet'!T65</f>
        <v>555.33398638603239</v>
      </c>
      <c r="U78" s="2">
        <f>U12/'Output-Calculation-sheet'!U11*'Output-Calculation-sheet'!U65</f>
        <v>380.49872084484548</v>
      </c>
      <c r="V78" s="2">
        <f>V12/'Output-Calculation-sheet'!V11*'Output-Calculation-sheet'!V65</f>
        <v>313.68921364942548</v>
      </c>
      <c r="W78" s="2">
        <f>W12/'Output-Calculation-sheet'!W11*'Output-Calculation-sheet'!W65</f>
        <v>148.33243445719353</v>
      </c>
      <c r="X78" s="2">
        <f>X12/'Output-Calculation-sheet'!X11*'Output-Calculation-sheet'!X65</f>
        <v>3.2526157665365343</v>
      </c>
      <c r="Y78" s="2">
        <f>Y12/'Output-Calculation-sheet'!Y11*'Output-Calculation-sheet'!Y65</f>
        <v>83.589844360175078</v>
      </c>
      <c r="AA78" s="2">
        <f t="shared" si="6"/>
        <v>17.478692560382253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2.3567850186109585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1.7265087496857334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4.083293768296691E-3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42.065529651642528</v>
      </c>
      <c r="E89" s="2">
        <f>E12/'Output-Calculation-sheet'!E11*'Output-Calculation-sheet'!E74</f>
        <v>94.720925736997941</v>
      </c>
      <c r="F89" s="2">
        <f>F12/'Output-Calculation-sheet'!F11*'Output-Calculation-sheet'!F74</f>
        <v>42.051491118920396</v>
      </c>
      <c r="G89" s="2">
        <f>G12/'Output-Calculation-sheet'!G11*'Output-Calculation-sheet'!G74</f>
        <v>30.179712925969191</v>
      </c>
      <c r="H89" s="2">
        <f>H12/'Output-Calculation-sheet'!H11*'Output-Calculation-sheet'!H74</f>
        <v>4.87268582479948</v>
      </c>
      <c r="I89" s="2">
        <f>I12/'Output-Calculation-sheet'!I11*'Output-Calculation-sheet'!I74</f>
        <v>27.144786826650581</v>
      </c>
      <c r="J89" s="2">
        <f>J12/'Output-Calculation-sheet'!J11*'Output-Calculation-sheet'!J74</f>
        <v>13.432173573650367</v>
      </c>
      <c r="K89" s="2">
        <f>K12/'Output-Calculation-sheet'!K11*'Output-Calculation-sheet'!K74</f>
        <v>20.009253470031471</v>
      </c>
      <c r="L89" s="2">
        <f>L12/'Output-Calculation-sheet'!L11*'Output-Calculation-sheet'!L74</f>
        <v>10.606958152131007</v>
      </c>
      <c r="M89" s="2">
        <f>M12/'Output-Calculation-sheet'!M11*'Output-Calculation-sheet'!M74</f>
        <v>3.3528820549223468</v>
      </c>
      <c r="N89" s="2">
        <f>N12/'Output-Calculation-sheet'!N11*'Output-Calculation-sheet'!N74</f>
        <v>1.6476696532770907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31.965304240490774</v>
      </c>
      <c r="Q89" s="2">
        <f>Q12/'Output-Calculation-sheet'!Q11*'Output-Calculation-sheet'!Q74</f>
        <v>7.2180544230195087</v>
      </c>
      <c r="R89" s="2">
        <f>R12/'Output-Calculation-sheet'!R11*'Output-Calculation-sheet'!R74</f>
        <v>17.179347316749379</v>
      </c>
      <c r="S89" s="2">
        <f>S12/'Output-Calculation-sheet'!S11*'Output-Calculation-sheet'!S74</f>
        <v>1.889002251229192</v>
      </c>
      <c r="T89" s="2">
        <f>T12/'Output-Calculation-sheet'!T11*'Output-Calculation-sheet'!T74</f>
        <v>3.7074982853736094</v>
      </c>
      <c r="U89" s="2">
        <f>U12/'Output-Calculation-sheet'!U11*'Output-Calculation-sheet'!U74</f>
        <v>9.2119734472711521</v>
      </c>
      <c r="V89" s="2">
        <f>V12/'Output-Calculation-sheet'!V11*'Output-Calculation-sheet'!V74</f>
        <v>0.71032362761962176</v>
      </c>
      <c r="W89" s="2">
        <f>W12/'Output-Calculation-sheet'!W11*'Output-Calculation-sheet'!W74</f>
        <v>4.3056417706469059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4.4368941980122356</v>
      </c>
      <c r="AA89" s="2">
        <f t="shared" si="7"/>
        <v>0.41369500732529429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10020194359.247684</v>
      </c>
      <c r="C96" s="2">
        <f>C8/'Output-Calculation-sheet'!C7*'Output-Calculation-sheet'!C79</f>
        <v>2419713033.4933319</v>
      </c>
      <c r="D96" s="2">
        <f>D8/'Output-Calculation-sheet'!D7*'Output-Calculation-sheet'!D79</f>
        <v>1964437275.5363545</v>
      </c>
      <c r="E96" s="2">
        <f>E8/'Output-Calculation-sheet'!E7*'Output-Calculation-sheet'!E79</f>
        <v>7360042242.780179</v>
      </c>
      <c r="F96" s="2">
        <f>F8/'Output-Calculation-sheet'!F7*'Output-Calculation-sheet'!F79</f>
        <v>2147036181.9158053</v>
      </c>
      <c r="G96" s="2">
        <f>G8/'Output-Calculation-sheet'!G7*'Output-Calculation-sheet'!G79</f>
        <v>1378091210.1283808</v>
      </c>
      <c r="H96" s="2">
        <f>H8/'Output-Calculation-sheet'!H7*'Output-Calculation-sheet'!H79</f>
        <v>1697762687.1851251</v>
      </c>
      <c r="I96" s="2">
        <f>I8/'Output-Calculation-sheet'!I7*'Output-Calculation-sheet'!I79</f>
        <v>990979302.48625875</v>
      </c>
      <c r="J96" s="2">
        <f>J8/'Output-Calculation-sheet'!J7*'Output-Calculation-sheet'!J79</f>
        <v>750965931.43678391</v>
      </c>
      <c r="K96" s="2">
        <f>K8/'Output-Calculation-sheet'!K7*'Output-Calculation-sheet'!K79</f>
        <v>941809829.37472558</v>
      </c>
      <c r="L96" s="2">
        <f>L8/'Output-Calculation-sheet'!L7*'Output-Calculation-sheet'!L79</f>
        <v>855002692.14822769</v>
      </c>
      <c r="M96" s="2">
        <f>M8/'Output-Calculation-sheet'!M7*'Output-Calculation-sheet'!M79</f>
        <v>1309984708.8954558</v>
      </c>
      <c r="N96" s="2">
        <f>N8/'Output-Calculation-sheet'!N7*'Output-Calculation-sheet'!N79</f>
        <v>851577431.4989289</v>
      </c>
      <c r="O96" s="2">
        <f>O8/'Output-Calculation-sheet'!O7*'Output-Calculation-sheet'!O79</f>
        <v>319529757.24948913</v>
      </c>
      <c r="P96" s="2">
        <f>P8/'Output-Calculation-sheet'!P7*'Output-Calculation-sheet'!P79</f>
        <v>1621845018.5640378</v>
      </c>
      <c r="Q96" s="2">
        <f>Q8/'Output-Calculation-sheet'!Q7*'Output-Calculation-sheet'!Q79</f>
        <v>688582399.42245054</v>
      </c>
      <c r="R96" s="2">
        <f>R8/'Output-Calculation-sheet'!R7*'Output-Calculation-sheet'!R79</f>
        <v>913943527.48860049</v>
      </c>
      <c r="S96" s="2">
        <f>S8/'Output-Calculation-sheet'!S7*'Output-Calculation-sheet'!S79</f>
        <v>515427082.35847837</v>
      </c>
      <c r="T96" s="2">
        <f>T8/'Output-Calculation-sheet'!T7*'Output-Calculation-sheet'!T79</f>
        <v>310946354.19343972</v>
      </c>
      <c r="U96" s="2">
        <f>U8/'Output-Calculation-sheet'!U7*'Output-Calculation-sheet'!U79</f>
        <v>244753784.98556623</v>
      </c>
      <c r="V96" s="2">
        <f>V8/'Output-Calculation-sheet'!V7*'Output-Calculation-sheet'!V79</f>
        <v>112333465.49961807</v>
      </c>
      <c r="W96" s="2">
        <f>W8/'Output-Calculation-sheet'!W7*'Output-Calculation-sheet'!W79</f>
        <v>345864586.7243948</v>
      </c>
      <c r="X96" s="2">
        <f>X8/'Output-Calculation-sheet'!X7*'Output-Calculation-sheet'!X79</f>
        <v>155991739.72266889</v>
      </c>
      <c r="Y96" s="2">
        <f>Y8/'Output-Calculation-sheet'!Y7*'Output-Calculation-sheet'!Y79</f>
        <v>214673332.45066544</v>
      </c>
      <c r="AA96" s="2">
        <f t="shared" si="8"/>
        <v>38.131487934786655</v>
      </c>
    </row>
    <row r="97" spans="1:27" x14ac:dyDescent="0.25">
      <c r="A97" s="2">
        <v>2032</v>
      </c>
      <c r="B97" s="2">
        <f>B9/'Output-Calculation-sheet'!B8*'Output-Calculation-sheet'!B80</f>
        <v>13172389997.609341</v>
      </c>
      <c r="C97" s="2">
        <f>C9/'Output-Calculation-sheet'!C8*'Output-Calculation-sheet'!C80</f>
        <v>3111085506.9835219</v>
      </c>
      <c r="D97" s="2">
        <f>D9/'Output-Calculation-sheet'!D8*'Output-Calculation-sheet'!D80</f>
        <v>2376521089.5751877</v>
      </c>
      <c r="E97" s="2">
        <f>E9/'Output-Calculation-sheet'!E8*'Output-Calculation-sheet'!E80</f>
        <v>10004816412.546942</v>
      </c>
      <c r="F97" s="2">
        <f>F9/'Output-Calculation-sheet'!F8*'Output-Calculation-sheet'!F80</f>
        <v>2743664065.0278187</v>
      </c>
      <c r="G97" s="2">
        <f>G9/'Output-Calculation-sheet'!G8*'Output-Calculation-sheet'!G80</f>
        <v>1681171120.0891151</v>
      </c>
      <c r="H97" s="2">
        <f>H9/'Output-Calculation-sheet'!H8*'Output-Calculation-sheet'!H80</f>
        <v>2201256260.8587928</v>
      </c>
      <c r="I97" s="2">
        <f>I9/'Output-Calculation-sheet'!I8*'Output-Calculation-sheet'!I80</f>
        <v>1267918864.3531833</v>
      </c>
      <c r="J97" s="2">
        <f>J9/'Output-Calculation-sheet'!J8*'Output-Calculation-sheet'!J80</f>
        <v>947484974.44570971</v>
      </c>
      <c r="K97" s="2">
        <f>K9/'Output-Calculation-sheet'!K8*'Output-Calculation-sheet'!K80</f>
        <v>1168570736.9375045</v>
      </c>
      <c r="L97" s="2">
        <f>L9/'Output-Calculation-sheet'!L8*'Output-Calculation-sheet'!L80</f>
        <v>1127167584.6408427</v>
      </c>
      <c r="M97" s="2">
        <f>M9/'Output-Calculation-sheet'!M8*'Output-Calculation-sheet'!M80</f>
        <v>1736642082.7578719</v>
      </c>
      <c r="N97" s="2">
        <f>N9/'Output-Calculation-sheet'!N8*'Output-Calculation-sheet'!N80</f>
        <v>1091140876.3347244</v>
      </c>
      <c r="O97" s="2">
        <f>O9/'Output-Calculation-sheet'!O8*'Output-Calculation-sheet'!O80</f>
        <v>405596121.45564407</v>
      </c>
      <c r="P97" s="2">
        <f>P9/'Output-Calculation-sheet'!P8*'Output-Calculation-sheet'!P80</f>
        <v>2045625363.6547875</v>
      </c>
      <c r="Q97" s="2">
        <f>Q9/'Output-Calculation-sheet'!Q8*'Output-Calculation-sheet'!Q80</f>
        <v>884803925.15716672</v>
      </c>
      <c r="R97" s="2">
        <f>R9/'Output-Calculation-sheet'!R8*'Output-Calculation-sheet'!R80</f>
        <v>1185643891.2785251</v>
      </c>
      <c r="S97" s="2">
        <f>S9/'Output-Calculation-sheet'!S8*'Output-Calculation-sheet'!S80</f>
        <v>659883657.50950015</v>
      </c>
      <c r="T97" s="2">
        <f>T9/'Output-Calculation-sheet'!T8*'Output-Calculation-sheet'!T80</f>
        <v>384773676.84538847</v>
      </c>
      <c r="U97" s="2">
        <f>U9/'Output-Calculation-sheet'!U8*'Output-Calculation-sheet'!U80</f>
        <v>306173273.77394533</v>
      </c>
      <c r="V97" s="2">
        <f>V9/'Output-Calculation-sheet'!V8*'Output-Calculation-sheet'!V80</f>
        <v>141224857.19777647</v>
      </c>
      <c r="W97" s="2">
        <f>W9/'Output-Calculation-sheet'!W8*'Output-Calculation-sheet'!W80</f>
        <v>437018912.42152995</v>
      </c>
      <c r="X97" s="2">
        <f>X9/'Output-Calculation-sheet'!X8*'Output-Calculation-sheet'!X80</f>
        <v>211661506.22287583</v>
      </c>
      <c r="Y97" s="2">
        <f>Y9/'Output-Calculation-sheet'!Y8*'Output-Calculation-sheet'!Y80</f>
        <v>277849439.63200665</v>
      </c>
      <c r="AA97" s="2">
        <f t="shared" si="8"/>
        <v>49.570084197309704</v>
      </c>
    </row>
    <row r="98" spans="1:27" x14ac:dyDescent="0.25">
      <c r="A98" s="2">
        <v>2033</v>
      </c>
      <c r="B98" s="2">
        <f>B10/'Output-Calculation-sheet'!B9*'Output-Calculation-sheet'!B81</f>
        <v>15971256856.165716</v>
      </c>
      <c r="C98" s="2">
        <f>C10/'Output-Calculation-sheet'!C9*'Output-Calculation-sheet'!C81</f>
        <v>3698322242.5193725</v>
      </c>
      <c r="D98" s="2">
        <f>D10/'Output-Calculation-sheet'!D9*'Output-Calculation-sheet'!D81</f>
        <v>2660549120.0465112</v>
      </c>
      <c r="E98" s="2">
        <f>E10/'Output-Calculation-sheet'!E9*'Output-Calculation-sheet'!E81</f>
        <v>12558818975.314671</v>
      </c>
      <c r="F98" s="2">
        <f>F10/'Output-Calculation-sheet'!F9*'Output-Calculation-sheet'!F81</f>
        <v>3235787971.6625566</v>
      </c>
      <c r="G98" s="2">
        <f>G10/'Output-Calculation-sheet'!G9*'Output-Calculation-sheet'!G81</f>
        <v>1890417323.16693</v>
      </c>
      <c r="H98" s="2">
        <f>H10/'Output-Calculation-sheet'!H9*'Output-Calculation-sheet'!H81</f>
        <v>2631753792.3827062</v>
      </c>
      <c r="I98" s="2">
        <f>I10/'Output-Calculation-sheet'!I9*'Output-Calculation-sheet'!I81</f>
        <v>1499812877.2306206</v>
      </c>
      <c r="J98" s="2">
        <f>J10/'Output-Calculation-sheet'!J9*'Output-Calculation-sheet'!J81</f>
        <v>1106399148.6032503</v>
      </c>
      <c r="K98" s="2">
        <f>K10/'Output-Calculation-sheet'!K9*'Output-Calculation-sheet'!K81</f>
        <v>1339795256.6256289</v>
      </c>
      <c r="L98" s="2">
        <f>L10/'Output-Calculation-sheet'!L9*'Output-Calculation-sheet'!L81</f>
        <v>1373159094.1405051</v>
      </c>
      <c r="M98" s="2">
        <f>M10/'Output-Calculation-sheet'!M9*'Output-Calculation-sheet'!M81</f>
        <v>2127910426.2405252</v>
      </c>
      <c r="N98" s="2">
        <f>N10/'Output-Calculation-sheet'!N9*'Output-Calculation-sheet'!N81</f>
        <v>1293161585.3205831</v>
      </c>
      <c r="O98" s="2">
        <f>O10/'Output-Calculation-sheet'!O9*'Output-Calculation-sheet'!O81</f>
        <v>476956169.6726321</v>
      </c>
      <c r="P98" s="2">
        <f>P10/'Output-Calculation-sheet'!P9*'Output-Calculation-sheet'!P81</f>
        <v>2366200084.1748381</v>
      </c>
      <c r="Q98" s="2">
        <f>Q10/'Output-Calculation-sheet'!Q9*'Output-Calculation-sheet'!Q81</f>
        <v>1051379321.8564612</v>
      </c>
      <c r="R98" s="2">
        <f>R10/'Output-Calculation-sheet'!R9*'Output-Calculation-sheet'!R81</f>
        <v>1419128150.333776</v>
      </c>
      <c r="S98" s="2">
        <f>S10/'Output-Calculation-sheet'!S9*'Output-Calculation-sheet'!S81</f>
        <v>779383419.2450254</v>
      </c>
      <c r="T98" s="2">
        <f>T10/'Output-Calculation-sheet'!T9*'Output-Calculation-sheet'!T81</f>
        <v>439114851.03558803</v>
      </c>
      <c r="U98" s="2">
        <f>U10/'Output-Calculation-sheet'!U9*'Output-Calculation-sheet'!U81</f>
        <v>352842225.72133428</v>
      </c>
      <c r="V98" s="2">
        <f>V10/'Output-Calculation-sheet'!V9*'Output-Calculation-sheet'!V81</f>
        <v>163876181.34622023</v>
      </c>
      <c r="W98" s="2">
        <f>W10/'Output-Calculation-sheet'!W9*'Output-Calculation-sheet'!W81</f>
        <v>506787788.12039655</v>
      </c>
      <c r="X98" s="2">
        <f>X10/'Output-Calculation-sheet'!X9*'Output-Calculation-sheet'!X81</f>
        <v>265675448.4073886</v>
      </c>
      <c r="Y98" s="2">
        <f>Y10/'Output-Calculation-sheet'!Y9*'Output-Calculation-sheet'!Y81</f>
        <v>330760162.36561841</v>
      </c>
      <c r="AA98" s="2">
        <f t="shared" si="8"/>
        <v>59.539248471698855</v>
      </c>
    </row>
    <row r="99" spans="1:27" x14ac:dyDescent="0.25">
      <c r="A99" s="2">
        <v>2034</v>
      </c>
      <c r="B99" s="2">
        <f>B11/'Output-Calculation-sheet'!B10*'Output-Calculation-sheet'!B82</f>
        <v>18319650817.398186</v>
      </c>
      <c r="C99" s="2">
        <f>C11/'Output-Calculation-sheet'!C10*'Output-Calculation-sheet'!C82</f>
        <v>4170161671.0327468</v>
      </c>
      <c r="D99" s="2">
        <f>D11/'Output-Calculation-sheet'!D10*'Output-Calculation-sheet'!D82</f>
        <v>2828729187.8538365</v>
      </c>
      <c r="E99" s="2">
        <f>E11/'Output-Calculation-sheet'!E10*'Output-Calculation-sheet'!E82</f>
        <v>14929563149.675579</v>
      </c>
      <c r="F99" s="2">
        <f>F11/'Output-Calculation-sheet'!F10*'Output-Calculation-sheet'!F82</f>
        <v>3613793134.0906444</v>
      </c>
      <c r="G99" s="2">
        <f>G11/'Output-Calculation-sheet'!G10*'Output-Calculation-sheet'!G82</f>
        <v>2011297539.4132278</v>
      </c>
      <c r="H99" s="2">
        <f>H11/'Output-Calculation-sheet'!H10*'Output-Calculation-sheet'!H82</f>
        <v>2976200696.1156888</v>
      </c>
      <c r="I99" s="2">
        <f>I11/'Output-Calculation-sheet'!I10*'Output-Calculation-sheet'!I82</f>
        <v>1682907187.2975409</v>
      </c>
      <c r="J99" s="2">
        <f>J11/'Output-Calculation-sheet'!J10*'Output-Calculation-sheet'!J82</f>
        <v>1226827616.4122689</v>
      </c>
      <c r="K99" s="2">
        <f>K11/'Output-Calculation-sheet'!K10*'Output-Calculation-sheet'!K82</f>
        <v>1456681281.6565647</v>
      </c>
      <c r="L99" s="2">
        <f>L11/'Output-Calculation-sheet'!L10*'Output-Calculation-sheet'!L82</f>
        <v>1585727937.4949901</v>
      </c>
      <c r="M99" s="2">
        <f>M11/'Output-Calculation-sheet'!M10*'Output-Calculation-sheet'!M82</f>
        <v>2471915873.0841999</v>
      </c>
      <c r="N99" s="2">
        <f>N11/'Output-Calculation-sheet'!N10*'Output-Calculation-sheet'!N82</f>
        <v>1454401877.9349618</v>
      </c>
      <c r="O99" s="2">
        <f>O11/'Output-Calculation-sheet'!O10*'Output-Calculation-sheet'!O82</f>
        <v>533034931.31272191</v>
      </c>
      <c r="P99" s="2">
        <f>P11/'Output-Calculation-sheet'!P10*'Output-Calculation-sheet'!P82</f>
        <v>2576506320.60074</v>
      </c>
      <c r="Q99" s="2">
        <f>Q11/'Output-Calculation-sheet'!Q10*'Output-Calculation-sheet'!Q82</f>
        <v>1185162476.3153713</v>
      </c>
      <c r="R99" s="2">
        <f>R11/'Output-Calculation-sheet'!R10*'Output-Calculation-sheet'!R82</f>
        <v>1607644913.7384682</v>
      </c>
      <c r="S99" s="2">
        <f>S11/'Output-Calculation-sheet'!S10*'Output-Calculation-sheet'!S82</f>
        <v>871206496.64636695</v>
      </c>
      <c r="T99" s="2">
        <f>T11/'Output-Calculation-sheet'!T10*'Output-Calculation-sheet'!T82</f>
        <v>474406411.64579916</v>
      </c>
      <c r="U99" s="2">
        <f>U11/'Output-Calculation-sheet'!U10*'Output-Calculation-sheet'!U82</f>
        <v>384475845.00304729</v>
      </c>
      <c r="V99" s="2">
        <f>V11/'Output-Calculation-sheet'!V10*'Output-Calculation-sheet'!V82</f>
        <v>180096452.83835638</v>
      </c>
      <c r="W99" s="2">
        <f>W11/'Output-Calculation-sheet'!W10*'Output-Calculation-sheet'!W82</f>
        <v>553616294.52720976</v>
      </c>
      <c r="X99" s="2">
        <f>X11/'Output-Calculation-sheet'!X10*'Output-Calculation-sheet'!X82</f>
        <v>316413202.67293268</v>
      </c>
      <c r="Y99" s="2">
        <f>Y11/'Output-Calculation-sheet'!Y10*'Output-Calculation-sheet'!Y82</f>
        <v>371588435.3536644</v>
      </c>
      <c r="AA99" s="2">
        <f t="shared" si="8"/>
        <v>67.782009750115094</v>
      </c>
    </row>
    <row r="100" spans="1:27" x14ac:dyDescent="0.25">
      <c r="A100" s="2">
        <v>2035</v>
      </c>
      <c r="B100" s="2">
        <f>B12/'Output-Calculation-sheet'!B11*'Output-Calculation-sheet'!B83</f>
        <v>20166301844.661335</v>
      </c>
      <c r="C100" s="2">
        <f>C12/'Output-Calculation-sheet'!C11*'Output-Calculation-sheet'!C83</f>
        <v>4525384994.3372555</v>
      </c>
      <c r="D100" s="2">
        <f>D12/'Output-Calculation-sheet'!D11*'Output-Calculation-sheet'!D83</f>
        <v>2898872361.2660546</v>
      </c>
      <c r="E100" s="2">
        <f>E12/'Output-Calculation-sheet'!E11*'Output-Calculation-sheet'!E83</f>
        <v>17047036441.270739</v>
      </c>
      <c r="F100" s="2">
        <f>F12/'Output-Calculation-sheet'!F11*'Output-Calculation-sheet'!F83</f>
        <v>3878405521.6071019</v>
      </c>
      <c r="G100" s="2">
        <f>G12/'Output-Calculation-sheet'!G11*'Output-Calculation-sheet'!G83</f>
        <v>2055431851.9188359</v>
      </c>
      <c r="H100" s="2">
        <f>H12/'Output-Calculation-sheet'!H11*'Output-Calculation-sheet'!H83</f>
        <v>3229918271.1982331</v>
      </c>
      <c r="I100" s="2">
        <f>I12/'Output-Calculation-sheet'!I11*'Output-Calculation-sheet'!I83</f>
        <v>1817631212.7846189</v>
      </c>
      <c r="J100" s="2">
        <f>J12/'Output-Calculation-sheet'!J11*'Output-Calculation-sheet'!J83</f>
        <v>1310726720.4468529</v>
      </c>
      <c r="K100" s="2">
        <f>K12/'Output-Calculation-sheet'!K11*'Output-Calculation-sheet'!K83</f>
        <v>1524252682.9629369</v>
      </c>
      <c r="L100" s="2">
        <f>L12/'Output-Calculation-sheet'!L11*'Output-Calculation-sheet'!L83</f>
        <v>1761044269.6460288</v>
      </c>
      <c r="M100" s="2">
        <f>M12/'Output-Calculation-sheet'!M11*'Output-Calculation-sheet'!M83</f>
        <v>2761725361.172823</v>
      </c>
      <c r="N100" s="2">
        <f>N12/'Output-Calculation-sheet'!N11*'Output-Calculation-sheet'!N83</f>
        <v>1575075799.858182</v>
      </c>
      <c r="O100" s="2">
        <f>O12/'Output-Calculation-sheet'!O11*'Output-Calculation-sheet'!O83</f>
        <v>574380625.61681676</v>
      </c>
      <c r="P100" s="2">
        <f>P12/'Output-Calculation-sheet'!P11*'Output-Calculation-sheet'!P83</f>
        <v>2681525230.1717725</v>
      </c>
      <c r="Q100" s="2">
        <f>Q12/'Output-Calculation-sheet'!Q11*'Output-Calculation-sheet'!Q83</f>
        <v>1285791156.227438</v>
      </c>
      <c r="R100" s="2">
        <f>R12/'Output-Calculation-sheet'!R11*'Output-Calculation-sheet'!R83</f>
        <v>1748771660.1085031</v>
      </c>
      <c r="S100" s="2">
        <f>S12/'Output-Calculation-sheet'!S11*'Output-Calculation-sheet'!S83</f>
        <v>935152736.82360041</v>
      </c>
      <c r="T100" s="2">
        <f>T12/'Output-Calculation-sheet'!T11*'Output-Calculation-sheet'!T83</f>
        <v>492545861.03113252</v>
      </c>
      <c r="U100" s="2">
        <f>U12/'Output-Calculation-sheet'!U11*'Output-Calculation-sheet'!U83</f>
        <v>402094027.77821261</v>
      </c>
      <c r="V100" s="2">
        <f>V12/'Output-Calculation-sheet'!V11*'Output-Calculation-sheet'!V83</f>
        <v>190217741.82116541</v>
      </c>
      <c r="W100" s="2">
        <f>W12/'Output-Calculation-sheet'!W11*'Output-Calculation-sheet'!W83</f>
        <v>578394389.16392219</v>
      </c>
      <c r="X100" s="2">
        <f>X12/'Output-Calculation-sheet'!X11*'Output-Calculation-sheet'!X83</f>
        <v>362716865.1442315</v>
      </c>
      <c r="Y100" s="2">
        <f>Y12/'Output-Calculation-sheet'!Y11*'Output-Calculation-sheet'!Y83</f>
        <v>399824331.52622753</v>
      </c>
      <c r="AA100" s="2">
        <f t="shared" si="8"/>
        <v>74.20322195854402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2074.5804425500719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638.62020324652462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439.43285004718109</v>
      </c>
      <c r="N107" s="2">
        <f>N8/'Output-Calculation-sheet'!N7*'Output-Calculation-sheet'!N88</f>
        <v>172.75649064072346</v>
      </c>
      <c r="O107" s="2">
        <f>O8/'Output-Calculation-sheet'!O7*'Output-Calculation-sheet'!O88</f>
        <v>483.64001579537182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48.206697596703471</v>
      </c>
      <c r="Y107" s="2">
        <f>Y8/'Output-Calculation-sheet'!Y7*'Output-Calculation-sheet'!Y88</f>
        <v>0</v>
      </c>
      <c r="AA107" s="2">
        <f t="shared" si="9"/>
        <v>3.8572366998765761</v>
      </c>
    </row>
    <row r="108" spans="1:27" x14ac:dyDescent="0.25">
      <c r="A108" s="2">
        <v>2032</v>
      </c>
      <c r="B108" s="2">
        <f>B9/'Output-Calculation-sheet'!B8*'Output-Calculation-sheet'!B89</f>
        <v>1002.5938119072003</v>
      </c>
      <c r="C108" s="2">
        <f>C9/'Output-Calculation-sheet'!C8*'Output-Calculation-sheet'!C89</f>
        <v>3806.8338285517193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1025.3788310740192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705.56042515768206</v>
      </c>
      <c r="N108" s="2">
        <f>N9/'Output-Calculation-sheet'!N8*'Output-Calculation-sheet'!N89</f>
        <v>495.32248122344708</v>
      </c>
      <c r="O108" s="2">
        <f>O9/'Output-Calculation-sheet'!O8*'Output-Calculation-sheet'!O89</f>
        <v>739.56205602227124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227.14875648879081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77.401446086986951</v>
      </c>
      <c r="Y108" s="2">
        <f>Y9/'Output-Calculation-sheet'!Y8*'Output-Calculation-sheet'!Y89</f>
        <v>0</v>
      </c>
      <c r="AA108" s="2">
        <f t="shared" si="9"/>
        <v>8.0798016365121175</v>
      </c>
    </row>
    <row r="109" spans="1:27" x14ac:dyDescent="0.25">
      <c r="A109" s="2">
        <v>2033</v>
      </c>
      <c r="B109" s="2">
        <f>B10/'Output-Calculation-sheet'!B9*'Output-Calculation-sheet'!B90</f>
        <v>5552.5660821378651</v>
      </c>
      <c r="C109" s="2">
        <f>C10/'Output-Calculation-sheet'!C9*'Output-Calculation-sheet'!C90</f>
        <v>5270.7527579244152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1622.5011710755239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1116.4387067400319</v>
      </c>
      <c r="N109" s="2">
        <f>N10/'Output-Calculation-sheet'!N9*'Output-Calculation-sheet'!N90</f>
        <v>877.82255227922735</v>
      </c>
      <c r="O109" s="2">
        <f>O10/'Output-Calculation-sheet'!O9*'Output-Calculation-sheet'!O90</f>
        <v>1023.9608351695821</v>
      </c>
      <c r="P109" s="2">
        <f>P10/'Output-Calculation-sheet'!P9*'Output-Calculation-sheet'!P90</f>
        <v>0</v>
      </c>
      <c r="Q109" s="2">
        <f>Q10/'Output-Calculation-sheet'!Q9*'Output-Calculation-sheet'!Q90</f>
        <v>192.27673895380622</v>
      </c>
      <c r="R109" s="2">
        <f>R10/'Output-Calculation-sheet'!R9*'Output-Calculation-sheet'!R90</f>
        <v>0</v>
      </c>
      <c r="S109" s="2">
        <f>S10/'Output-Calculation-sheet'!S9*'Output-Calculation-sheet'!S90</f>
        <v>440.29841703099214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122.47564813439161</v>
      </c>
      <c r="Y109" s="2">
        <f>Y10/'Output-Calculation-sheet'!Y9*'Output-Calculation-sheet'!Y90</f>
        <v>0</v>
      </c>
      <c r="AA109" s="2">
        <f t="shared" si="9"/>
        <v>16.219092909445834</v>
      </c>
    </row>
    <row r="110" spans="1:27" x14ac:dyDescent="0.25">
      <c r="A110" s="2">
        <v>2034</v>
      </c>
      <c r="B110" s="2">
        <f>B11/'Output-Calculation-sheet'!B10*'Output-Calculation-sheet'!B91</f>
        <v>10829.202438929409</v>
      </c>
      <c r="C110" s="2">
        <f>C11/'Output-Calculation-sheet'!C10*'Output-Calculation-sheet'!C91</f>
        <v>7424.1412898905237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2109.5824139760475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1451.5980043698246</v>
      </c>
      <c r="N110" s="2">
        <f>N11/'Output-Calculation-sheet'!N10*'Output-Calculation-sheet'!N91</f>
        <v>1307.7949733578546</v>
      </c>
      <c r="O110" s="2">
        <f>O11/'Output-Calculation-sheet'!O10*'Output-Calculation-sheet'!O91</f>
        <v>1442.3044040879854</v>
      </c>
      <c r="P110" s="2">
        <f>P11/'Output-Calculation-sheet'!P10*'Output-Calculation-sheet'!P91</f>
        <v>329.50168360132631</v>
      </c>
      <c r="Q110" s="2">
        <f>Q11/'Output-Calculation-sheet'!Q10*'Output-Calculation-sheet'!Q91</f>
        <v>729.16367242463764</v>
      </c>
      <c r="R110" s="2">
        <f>R11/'Output-Calculation-sheet'!R10*'Output-Calculation-sheet'!R91</f>
        <v>0</v>
      </c>
      <c r="S110" s="2">
        <f>S11/'Output-Calculation-sheet'!S10*'Output-Calculation-sheet'!S91</f>
        <v>749.67322603342075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159.24332015943068</v>
      </c>
      <c r="Y110" s="2">
        <f>Y11/'Output-Calculation-sheet'!Y10*'Output-Calculation-sheet'!Y91</f>
        <v>25.612141665721985</v>
      </c>
      <c r="AA110" s="2">
        <f t="shared" si="9"/>
        <v>26.557817568496191</v>
      </c>
    </row>
    <row r="111" spans="1:27" x14ac:dyDescent="0.25">
      <c r="A111" s="2">
        <v>2035</v>
      </c>
      <c r="B111" s="2">
        <f>B12/'Output-Calculation-sheet'!B11*'Output-Calculation-sheet'!B92</f>
        <v>17976.117085609298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3003.2105277789346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1054.8550399361955</v>
      </c>
      <c r="Q111" s="2">
        <f>Q12/'Output-Calculation-sheet'!Q11*'Output-Calculation-sheet'!Q92</f>
        <v>1222.7384192595048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81.993804779266128</v>
      </c>
      <c r="AA111" s="2">
        <f t="shared" si="9"/>
        <v>42.212754765940659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9752564940.7834778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3000664014.5722618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2084219735.3175449</v>
      </c>
      <c r="N118" s="2">
        <f>N8/'Output-Calculation-sheet'!N7*'Output-Calculation-sheet'!N97</f>
        <v>1635518228.9621482</v>
      </c>
      <c r="O118" s="2">
        <f>O8/'Output-Calculation-sheet'!O7*'Output-Calculation-sheet'!O97</f>
        <v>1088292625.8459675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592036678.19970596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224639329.22239012</v>
      </c>
      <c r="Y118" s="2">
        <f>Y8/'Output-Calculation-sheet'!Y7*'Output-Calculation-sheet'!Y97</f>
        <v>0</v>
      </c>
      <c r="AA118" s="2">
        <f t="shared" si="10"/>
        <v>20041.595928158084</v>
      </c>
    </row>
    <row r="119" spans="1:27" x14ac:dyDescent="0.25">
      <c r="A119" s="2">
        <v>2032</v>
      </c>
      <c r="B119" s="2">
        <f>B9/'Output-Calculation-sheet'!B8*'Output-Calculation-sheet'!B98</f>
        <v>7521510859.7232409</v>
      </c>
      <c r="C119" s="2">
        <f>C9/'Output-Calculation-sheet'!C8*'Output-Calculation-sheet'!C98</f>
        <v>5978248754.3950968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3573810481.8320408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2494533099.968483</v>
      </c>
      <c r="N119" s="2">
        <f>N9/'Output-Calculation-sheet'!N8*'Output-Calculation-sheet'!N98</f>
        <v>1684622635.8865261</v>
      </c>
      <c r="O119" s="2">
        <f>O9/'Output-Calculation-sheet'!O8*'Output-Calculation-sheet'!O98</f>
        <v>1168039339.0563068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699347435.2175957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266923984.69987261</v>
      </c>
      <c r="Y119" s="2">
        <f>Y9/'Output-Calculation-sheet'!Y8*'Output-Calculation-sheet'!Y98</f>
        <v>0</v>
      </c>
      <c r="AA119" s="2">
        <f t="shared" si="10"/>
        <v>23387.03659077916</v>
      </c>
    </row>
    <row r="120" spans="1:27" x14ac:dyDescent="0.25">
      <c r="A120" s="2">
        <v>2033</v>
      </c>
      <c r="B120" s="2">
        <f>B10/'Output-Calculation-sheet'!B9*'Output-Calculation-sheet'!B99</f>
        <v>7988106170.5579519</v>
      </c>
      <c r="C120" s="2">
        <f>C10/'Output-Calculation-sheet'!C9*'Output-Calculation-sheet'!C99</f>
        <v>6566719285.4227638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2153071696.8834882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1523962033.4265172</v>
      </c>
      <c r="N120" s="2">
        <f>N10/'Output-Calculation-sheet'!N9*'Output-Calculation-sheet'!N99</f>
        <v>1519532213.5445051</v>
      </c>
      <c r="O120" s="2">
        <f>O10/'Output-Calculation-sheet'!O9*'Output-Calculation-sheet'!O99</f>
        <v>1285622191.2056973</v>
      </c>
      <c r="P120" s="2">
        <f>P10/'Output-Calculation-sheet'!P9*'Output-Calculation-sheet'!P99</f>
        <v>0</v>
      </c>
      <c r="Q120" s="2">
        <f>Q10/'Output-Calculation-sheet'!Q9*'Output-Calculation-sheet'!Q99</f>
        <v>9288537.4286340494</v>
      </c>
      <c r="R120" s="2">
        <f>R10/'Output-Calculation-sheet'!R9*'Output-Calculation-sheet'!R99</f>
        <v>0</v>
      </c>
      <c r="S120" s="2">
        <f>S10/'Output-Calculation-sheet'!S9*'Output-Calculation-sheet'!S99</f>
        <v>636430041.24560058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-1.0513312150618187E-8</v>
      </c>
      <c r="W120" s="2">
        <f>W10/'Output-Calculation-sheet'!W9*'Output-Calculation-sheet'!W99</f>
        <v>0</v>
      </c>
      <c r="X120" s="2">
        <f>X10/'Output-Calculation-sheet'!X9*'Output-Calculation-sheet'!X99</f>
        <v>152174370.40229198</v>
      </c>
      <c r="Y120" s="2">
        <f>Y10/'Output-Calculation-sheet'!Y9*'Output-Calculation-sheet'!Y99</f>
        <v>0</v>
      </c>
      <c r="AA120" s="2">
        <f t="shared" si="10"/>
        <v>21834.906540117452</v>
      </c>
    </row>
    <row r="121" spans="1:27" x14ac:dyDescent="0.25">
      <c r="A121" s="2">
        <v>2034</v>
      </c>
      <c r="B121" s="2">
        <f>B11/'Output-Calculation-sheet'!B10*'Output-Calculation-sheet'!B100</f>
        <v>8119209373.814333</v>
      </c>
      <c r="C121" s="2">
        <f>C11/'Output-Calculation-sheet'!C10*'Output-Calculation-sheet'!C100</f>
        <v>974634000.14675391</v>
      </c>
      <c r="D121" s="2">
        <f>D11/'Output-Calculation-sheet'!D10*'Output-Calculation-sheet'!D100</f>
        <v>0</v>
      </c>
      <c r="E121" s="2">
        <f>E11/'Output-Calculation-sheet'!E10*'Output-Calculation-sheet'!E100</f>
        <v>1127364431.017247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2566302440.4061608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936725119.48318195</v>
      </c>
      <c r="M121" s="2">
        <f>M11/'Output-Calculation-sheet'!M10*'Output-Calculation-sheet'!M100</f>
        <v>1826427630.1865063</v>
      </c>
      <c r="N121" s="2">
        <f>N11/'Output-Calculation-sheet'!N10*'Output-Calculation-sheet'!N100</f>
        <v>1217638490.6744342</v>
      </c>
      <c r="O121" s="2">
        <f>O11/'Output-Calculation-sheet'!O10*'Output-Calculation-sheet'!O100</f>
        <v>191177664.89139354</v>
      </c>
      <c r="P121" s="2">
        <f>P11/'Output-Calculation-sheet'!P10*'Output-Calculation-sheet'!P100</f>
        <v>0</v>
      </c>
      <c r="Q121" s="2">
        <f>Q11/'Output-Calculation-sheet'!Q10*'Output-Calculation-sheet'!Q100</f>
        <v>413740860.53588599</v>
      </c>
      <c r="R121" s="2">
        <f>R11/'Output-Calculation-sheet'!R10*'Output-Calculation-sheet'!R100</f>
        <v>0</v>
      </c>
      <c r="S121" s="2">
        <f>S11/'Output-Calculation-sheet'!S10*'Output-Calculation-sheet'!S100</f>
        <v>455266017.57105297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179459294.12192154</v>
      </c>
      <c r="Y121" s="2">
        <f>Y11/'Output-Calculation-sheet'!Y10*'Output-Calculation-sheet'!Y100</f>
        <v>26044471.290787205</v>
      </c>
      <c r="AA121" s="2">
        <f t="shared" si="10"/>
        <v>18033.989794139656</v>
      </c>
    </row>
    <row r="122" spans="1:27" x14ac:dyDescent="0.25">
      <c r="A122" s="2">
        <v>2035</v>
      </c>
      <c r="B122" s="2">
        <f>B12/'Output-Calculation-sheet'!B11*'Output-Calculation-sheet'!B101</f>
        <v>4642652405.6777515</v>
      </c>
      <c r="C122" s="2">
        <f>C12/'Output-Calculation-sheet'!C11*'Output-Calculation-sheet'!C101</f>
        <v>403586395.55757952</v>
      </c>
      <c r="D122" s="2">
        <f>D12/'Output-Calculation-sheet'!D11*'Output-Calculation-sheet'!D101</f>
        <v>0</v>
      </c>
      <c r="E122" s="2">
        <f>E12/'Output-Calculation-sheet'!E11*'Output-Calculation-sheet'!E101</f>
        <v>3615187385.0539436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684332422.58369219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2509295161.3550673</v>
      </c>
      <c r="M122" s="2">
        <f>M12/'Output-Calculation-sheet'!M11*'Output-Calculation-sheet'!M101</f>
        <v>627776703.9092828</v>
      </c>
      <c r="N122" s="2">
        <f>N12/'Output-Calculation-sheet'!N11*'Output-Calculation-sheet'!N101</f>
        <v>521818462.09554255</v>
      </c>
      <c r="O122" s="2">
        <f>O12/'Output-Calculation-sheet'!O11*'Output-Calculation-sheet'!O101</f>
        <v>71558273.634645909</v>
      </c>
      <c r="P122" s="2">
        <f>P12/'Output-Calculation-sheet'!P11*'Output-Calculation-sheet'!P101</f>
        <v>162405207.96025461</v>
      </c>
      <c r="Q122" s="2">
        <f>Q12/'Output-Calculation-sheet'!Q11*'Output-Calculation-sheet'!Q101</f>
        <v>802336842.41631413</v>
      </c>
      <c r="R122" s="2">
        <f>R12/'Output-Calculation-sheet'!R11*'Output-Calculation-sheet'!R101</f>
        <v>0</v>
      </c>
      <c r="S122" s="2">
        <f>S12/'Output-Calculation-sheet'!S11*'Output-Calculation-sheet'!S101</f>
        <v>217991709.8428618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20158898.171642866</v>
      </c>
      <c r="Y122" s="2">
        <f>Y12/'Output-Calculation-sheet'!Y11*'Output-Calculation-sheet'!Y101</f>
        <v>92985926.193612769</v>
      </c>
      <c r="AA122" s="2">
        <f t="shared" si="10"/>
        <v>14372.085794452192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2714003346.1703715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2723674387.9831214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178396.03719703472</v>
      </c>
    </row>
    <row r="130" spans="1:27" x14ac:dyDescent="0.25">
      <c r="A130" s="2">
        <v>2032</v>
      </c>
      <c r="B130" s="2">
        <f>B9/'Output-Calculation-sheet'!B8*'Output-Calculation-sheet'!B107</f>
        <v>68065364731.243896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2476229013.6512494</v>
      </c>
      <c r="O130" s="2">
        <f>O9/'Output-Calculation-sheet'!O8*'Output-Calculation-sheet'!O107</f>
        <v>0</v>
      </c>
      <c r="P130" s="2">
        <f>P9/'Output-Calculation-sheet'!P8*'Output-Calculation-sheet'!P107</f>
        <v>7555870439.2659855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2200031581.0690804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239708.88196273349</v>
      </c>
    </row>
    <row r="131" spans="1:27" x14ac:dyDescent="0.25">
      <c r="A131" s="2">
        <v>2033</v>
      </c>
      <c r="B131" s="2">
        <f>B10/'Output-Calculation-sheet'!B9*'Output-Calculation-sheet'!B108</f>
        <v>59588841191.042809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2183193138.763207</v>
      </c>
      <c r="O131" s="2">
        <f>O10/'Output-Calculation-sheet'!O9*'Output-Calculation-sheet'!O108</f>
        <v>0</v>
      </c>
      <c r="P131" s="2">
        <f>P10/'Output-Calculation-sheet'!P9*'Output-Calculation-sheet'!P108</f>
        <v>10042512799.471746</v>
      </c>
      <c r="Q131" s="2">
        <f>Q10/'Output-Calculation-sheet'!Q9*'Output-Calculation-sheet'!Q108</f>
        <v>8471597003.1311779</v>
      </c>
      <c r="R131" s="2">
        <f>R10/'Output-Calculation-sheet'!R9*'Output-Calculation-sheet'!R108</f>
        <v>9505324553.2944412</v>
      </c>
      <c r="S131" s="2">
        <f>S10/'Output-Calculation-sheet'!S9*'Output-Calculation-sheet'!S108</f>
        <v>2117688347.4866683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284407.78247649764</v>
      </c>
    </row>
    <row r="132" spans="1:27" x14ac:dyDescent="0.25">
      <c r="A132" s="2">
        <v>2034</v>
      </c>
      <c r="B132" s="2">
        <f>B11/'Output-Calculation-sheet'!B10*'Output-Calculation-sheet'!B109</f>
        <v>47189445059.072968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45558097703.906868</v>
      </c>
      <c r="F132" s="2">
        <f>F11/'Output-Calculation-sheet'!F10*'Output-Calculation-sheet'!F109</f>
        <v>30047957261.626976</v>
      </c>
      <c r="G132" s="2">
        <f>G11/'Output-Calculation-sheet'!G10*'Output-Calculation-sheet'!G109</f>
        <v>21053716772.516083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18721759161.454636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13938135615.61009</v>
      </c>
      <c r="M132" s="2">
        <f>M11/'Output-Calculation-sheet'!M10*'Output-Calculation-sheet'!M109</f>
        <v>0</v>
      </c>
      <c r="N132" s="2">
        <f>N11/'Output-Calculation-sheet'!N10*'Output-Calculation-sheet'!N109</f>
        <v>1832778153.1706734</v>
      </c>
      <c r="O132" s="2">
        <f>O11/'Output-Calculation-sheet'!O10*'Output-Calculation-sheet'!O109</f>
        <v>0</v>
      </c>
      <c r="P132" s="2">
        <f>P11/'Output-Calculation-sheet'!P10*'Output-Calculation-sheet'!P109</f>
        <v>10413345835.090391</v>
      </c>
      <c r="Q132" s="2">
        <f>Q11/'Output-Calculation-sheet'!Q10*'Output-Calculation-sheet'!Q109</f>
        <v>6705330960.8601694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1257854313.1248548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3741489918.9311452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1311120790.1412508</v>
      </c>
      <c r="AA132" s="2">
        <f t="shared" si="11"/>
        <v>320339.81552199012</v>
      </c>
    </row>
    <row r="133" spans="1:27" x14ac:dyDescent="0.25">
      <c r="A133" s="2">
        <v>2035</v>
      </c>
      <c r="B133" s="2">
        <f>B12/'Output-Calculation-sheet'!B11*'Output-Calculation-sheet'!B110</f>
        <v>13353655294.557943</v>
      </c>
      <c r="C133" s="2">
        <f>C12/'Output-Calculation-sheet'!C11*'Output-Calculation-sheet'!C110</f>
        <v>0</v>
      </c>
      <c r="D133" s="2">
        <f>D12/'Output-Calculation-sheet'!D11*'Output-Calculation-sheet'!D110</f>
        <v>63509639270.083984</v>
      </c>
      <c r="E133" s="2">
        <f>E12/'Output-Calculation-sheet'!E11*'Output-Calculation-sheet'!E110</f>
        <v>33796097565.630367</v>
      </c>
      <c r="F133" s="2">
        <f>F12/'Output-Calculation-sheet'!F11*'Output-Calculation-sheet'!F110</f>
        <v>33596040106.547379</v>
      </c>
      <c r="G133" s="2">
        <f>G12/'Output-Calculation-sheet'!G11*'Output-Calculation-sheet'!G110</f>
        <v>22761225116.756321</v>
      </c>
      <c r="H133" s="2">
        <f>H12/'Output-Calculation-sheet'!H11*'Output-Calculation-sheet'!H110</f>
        <v>0</v>
      </c>
      <c r="I133" s="2">
        <f>I12/'Output-Calculation-sheet'!I11*'Output-Calculation-sheet'!I110</f>
        <v>20885477218.489929</v>
      </c>
      <c r="J133" s="2">
        <f>J12/'Output-Calculation-sheet'!J11*'Output-Calculation-sheet'!J110</f>
        <v>20921431942.244034</v>
      </c>
      <c r="K133" s="2">
        <f>K12/'Output-Calculation-sheet'!K11*'Output-Calculation-sheet'!K110</f>
        <v>20527788827.206566</v>
      </c>
      <c r="L133" s="2">
        <f>L12/'Output-Calculation-sheet'!L11*'Output-Calculation-sheet'!L110</f>
        <v>14753387805.129452</v>
      </c>
      <c r="M133" s="2">
        <f>M12/'Output-Calculation-sheet'!M11*'Output-Calculation-sheet'!M110</f>
        <v>0</v>
      </c>
      <c r="N133" s="2">
        <f>N12/'Output-Calculation-sheet'!N11*'Output-Calculation-sheet'!N110</f>
        <v>79253.294229657273</v>
      </c>
      <c r="O133" s="2">
        <f>O12/'Output-Calculation-sheet'!O11*'Output-Calculation-sheet'!O110</f>
        <v>0</v>
      </c>
      <c r="P133" s="2">
        <f>P12/'Output-Calculation-sheet'!P11*'Output-Calculation-sheet'!P110</f>
        <v>7371795843.5363283</v>
      </c>
      <c r="Q133" s="2">
        <f>Q12/'Output-Calculation-sheet'!Q11*'Output-Calculation-sheet'!Q110</f>
        <v>4688293806.6137848</v>
      </c>
      <c r="R133" s="2">
        <f>R12/'Output-Calculation-sheet'!R11*'Output-Calculation-sheet'!R110</f>
        <v>13654198217.006634</v>
      </c>
      <c r="S133" s="2">
        <f>S12/'Output-Calculation-sheet'!S11*'Output-Calculation-sheet'!S110</f>
        <v>13140107.449797895</v>
      </c>
      <c r="T133" s="2">
        <f>T12/'Output-Calculation-sheet'!T11*'Output-Calculation-sheet'!T110</f>
        <v>5101275064.3577003</v>
      </c>
      <c r="U133" s="2">
        <f>U12/'Output-Calculation-sheet'!U11*'Output-Calculation-sheet'!U110</f>
        <v>4031789679.5096498</v>
      </c>
      <c r="V133" s="2">
        <f>V12/'Output-Calculation-sheet'!V11*'Output-Calculation-sheet'!V110</f>
        <v>3511211023.3791528</v>
      </c>
      <c r="W133" s="2">
        <f>W12/'Output-Calculation-sheet'!W11*'Output-Calculation-sheet'!W110</f>
        <v>2956854276.753171</v>
      </c>
      <c r="X133" s="2">
        <f>X12/'Output-Calculation-sheet'!X11*'Output-Calculation-sheet'!X110</f>
        <v>0</v>
      </c>
      <c r="Y133" s="2">
        <f>Y12/'Output-Calculation-sheet'!Y11*'Output-Calculation-sheet'!Y110</f>
        <v>1120322351.6015027</v>
      </c>
      <c r="AA133" s="2">
        <f t="shared" si="11"/>
        <v>286553.70277014788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17652437941.519032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5549481842.1716499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3814630967.4576216</v>
      </c>
      <c r="N140" s="2">
        <f>N8/'Output-Calculation-sheet'!N7*'Output-Calculation-sheet'!N115</f>
        <v>1440174388.067847</v>
      </c>
      <c r="O140" s="2">
        <f>O8/'Output-Calculation-sheet'!O7*'Output-Calculation-sheet'!O115</f>
        <v>4236499154.0323329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414223123.58906209</v>
      </c>
      <c r="Y140" s="2">
        <f>Y8/'Output-Calculation-sheet'!Y7*'Output-Calculation-sheet'!Y115</f>
        <v>0</v>
      </c>
      <c r="AA140" s="2">
        <f t="shared" si="12"/>
        <v>33107.447416837545</v>
      </c>
    </row>
    <row r="141" spans="1:27" x14ac:dyDescent="0.25">
      <c r="A141" s="2">
        <v>2032</v>
      </c>
      <c r="B141" s="2">
        <f>B9/'Output-Calculation-sheet'!B8*'Output-Calculation-sheet'!B116</f>
        <v>7781441768.9144392</v>
      </c>
      <c r="C141" s="2">
        <f>C9/'Output-Calculation-sheet'!C8*'Output-Calculation-sheet'!C116</f>
        <v>33309171827.397861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8683556650.5911884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5961975120.442522</v>
      </c>
      <c r="N141" s="2">
        <f>N9/'Output-Calculation-sheet'!N8*'Output-Calculation-sheet'!N116</f>
        <v>4139173250.0348792</v>
      </c>
      <c r="O141" s="2">
        <f>O9/'Output-Calculation-sheet'!O8*'Output-Calculation-sheet'!O116</f>
        <v>6465506018.3503914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1853977088.0220711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648940042.47869349</v>
      </c>
      <c r="Y141" s="2">
        <f>Y9/'Output-Calculation-sheet'!Y8*'Output-Calculation-sheet'!Y116</f>
        <v>0</v>
      </c>
      <c r="AA141" s="2">
        <f t="shared" si="12"/>
        <v>68843.741766232037</v>
      </c>
    </row>
    <row r="142" spans="1:27" x14ac:dyDescent="0.25">
      <c r="A142" s="2">
        <v>2033</v>
      </c>
      <c r="B142" s="2">
        <f>B10/'Output-Calculation-sheet'!B9*'Output-Calculation-sheet'!B117</f>
        <v>43233577517.986176</v>
      </c>
      <c r="C142" s="2">
        <f>C10/'Output-Calculation-sheet'!C9*'Output-Calculation-sheet'!C117</f>
        <v>45652871437.566589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14139031490.867912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9716160176.0619297</v>
      </c>
      <c r="N142" s="2">
        <f>N10/'Output-Calculation-sheet'!N9*'Output-Calculation-sheet'!N117</f>
        <v>7329403625.8777933</v>
      </c>
      <c r="O142" s="2">
        <f>O10/'Output-Calculation-sheet'!O9*'Output-Calculation-sheet'!O117</f>
        <v>8860642954.6114769</v>
      </c>
      <c r="P142" s="2">
        <f>P10/'Output-Calculation-sheet'!P9*'Output-Calculation-sheet'!P117</f>
        <v>0</v>
      </c>
      <c r="Q142" s="2">
        <f>Q10/'Output-Calculation-sheet'!Q9*'Output-Calculation-sheet'!Q117</f>
        <v>1399814613.1918035</v>
      </c>
      <c r="R142" s="2">
        <f>R10/'Output-Calculation-sheet'!R9*'Output-Calculation-sheet'!R117</f>
        <v>0</v>
      </c>
      <c r="S142" s="2">
        <f>S10/'Output-Calculation-sheet'!S9*'Output-Calculation-sheet'!S117</f>
        <v>3563891384.434413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1065163076.9792057</v>
      </c>
      <c r="Y142" s="2">
        <f>Y10/'Output-Calculation-sheet'!Y9*'Output-Calculation-sheet'!Y117</f>
        <v>0</v>
      </c>
      <c r="AA142" s="2">
        <f t="shared" si="12"/>
        <v>134960.55627757733</v>
      </c>
    </row>
    <row r="143" spans="1:27" x14ac:dyDescent="0.25">
      <c r="A143" s="2">
        <v>2034</v>
      </c>
      <c r="B143" s="2">
        <f>B11/'Output-Calculation-sheet'!B10*'Output-Calculation-sheet'!B118</f>
        <v>84764871082.479019</v>
      </c>
      <c r="C143" s="2">
        <f>C11/'Output-Calculation-sheet'!C10*'Output-Calculation-sheet'!C118</f>
        <v>65035477699.440987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18028157977.553112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12381939316.066235</v>
      </c>
      <c r="N143" s="2">
        <f>N11/'Output-Calculation-sheet'!N10*'Output-Calculation-sheet'!N118</f>
        <v>10895113312.432936</v>
      </c>
      <c r="O143" s="2">
        <f>O11/'Output-Calculation-sheet'!O10*'Output-Calculation-sheet'!O118</f>
        <v>12634586579.810751</v>
      </c>
      <c r="P143" s="2">
        <f>P11/'Output-Calculation-sheet'!P10*'Output-Calculation-sheet'!P118</f>
        <v>2281137302.7435527</v>
      </c>
      <c r="Q143" s="2">
        <f>Q11/'Output-Calculation-sheet'!Q10*'Output-Calculation-sheet'!Q118</f>
        <v>5370872154.9754391</v>
      </c>
      <c r="R143" s="2">
        <f>R11/'Output-Calculation-sheet'!R10*'Output-Calculation-sheet'!R118</f>
        <v>0</v>
      </c>
      <c r="S143" s="2">
        <f>S11/'Output-Calculation-sheet'!S10*'Output-Calculation-sheet'!S118</f>
        <v>6273394778.9317274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1359348547.0674415</v>
      </c>
      <c r="Y143" s="2">
        <f>Y11/'Output-Calculation-sheet'!Y10*'Output-Calculation-sheet'!Y118</f>
        <v>159295579.91552061</v>
      </c>
      <c r="AA143" s="2">
        <f t="shared" si="12"/>
        <v>219184.19433141671</v>
      </c>
    </row>
    <row r="144" spans="1:27" x14ac:dyDescent="0.25">
      <c r="A144" s="2">
        <v>2035</v>
      </c>
      <c r="B144" s="2">
        <f>B12/'Output-Calculation-sheet'!B11*'Output-Calculation-sheet'!B119</f>
        <v>151137772939.98404</v>
      </c>
      <c r="C144" s="2">
        <f>C12/'Output-Calculation-sheet'!C11*'Output-Calculation-sheet'!C119</f>
        <v>79989948108.196625</v>
      </c>
      <c r="D144" s="2">
        <f>D12/'Output-Calculation-sheet'!D11*'Output-Calculation-sheet'!D119</f>
        <v>0</v>
      </c>
      <c r="E144" s="2">
        <f>E12/'Output-Calculation-sheet'!E11*'Output-Calculation-sheet'!E119</f>
        <v>18235878780.195801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24278824680.021408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16584964027.03229</v>
      </c>
      <c r="N144" s="2">
        <f>N12/'Output-Calculation-sheet'!N11*'Output-Calculation-sheet'!N119</f>
        <v>16369237165.653828</v>
      </c>
      <c r="O144" s="2">
        <f>O12/'Output-Calculation-sheet'!O11*'Output-Calculation-sheet'!O119</f>
        <v>15542746128.584587</v>
      </c>
      <c r="P144" s="2">
        <f>P12/'Output-Calculation-sheet'!P11*'Output-Calculation-sheet'!P119</f>
        <v>7526736239.6620216</v>
      </c>
      <c r="Q144" s="2">
        <f>Q12/'Output-Calculation-sheet'!Q11*'Output-Calculation-sheet'!Q119</f>
        <v>9156031298.6669006</v>
      </c>
      <c r="R144" s="2">
        <f>R12/'Output-Calculation-sheet'!R11*'Output-Calculation-sheet'!R119</f>
        <v>0</v>
      </c>
      <c r="S144" s="2">
        <f>S12/'Output-Calculation-sheet'!S11*'Output-Calculation-sheet'!S119</f>
        <v>9433743357.7173786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1852939027.0601346</v>
      </c>
      <c r="Y144" s="2">
        <f>Y12/'Output-Calculation-sheet'!Y11*'Output-Calculation-sheet'!Y119</f>
        <v>522540306.20638579</v>
      </c>
      <c r="AA144" s="2">
        <f t="shared" si="12"/>
        <v>350631.36205898144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3081736803.9057264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671999936.46924222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79862.351762552236</v>
      </c>
    </row>
    <row r="155" spans="1:27" x14ac:dyDescent="0.25">
      <c r="A155" s="2">
        <v>2035</v>
      </c>
      <c r="B155" s="2">
        <f>B12/'Output-Calculation-sheet'!B11*'Output-Calculation-sheet'!B128</f>
        <v>1985748949.5581188</v>
      </c>
      <c r="C155" s="2">
        <f>C12/'Output-Calculation-sheet'!C11*'Output-Calculation-sheet'!C128</f>
        <v>118693584.73926532</v>
      </c>
      <c r="D155" s="2">
        <f>D12/'Output-Calculation-sheet'!D11*'Output-Calculation-sheet'!D128</f>
        <v>8675405540.471323</v>
      </c>
      <c r="E155" s="2">
        <f>E12/'Output-Calculation-sheet'!E11*'Output-Calculation-sheet'!E128</f>
        <v>2031636819.5817351</v>
      </c>
      <c r="F155" s="2">
        <f>F12/'Output-Calculation-sheet'!F11*'Output-Calculation-sheet'!F128</f>
        <v>3510493521.5167408</v>
      </c>
      <c r="G155" s="2">
        <f>G12/'Output-Calculation-sheet'!G11*'Output-Calculation-sheet'!G128</f>
        <v>3314112240.6590691</v>
      </c>
      <c r="H155" s="2">
        <f>H12/'Output-Calculation-sheet'!H11*'Output-Calculation-sheet'!H128</f>
        <v>182464810.4674916</v>
      </c>
      <c r="I155" s="2">
        <f>I12/'Output-Calculation-sheet'!I11*'Output-Calculation-sheet'!I128</f>
        <v>2845986126.5779047</v>
      </c>
      <c r="J155" s="2">
        <f>J12/'Output-Calculation-sheet'!J11*'Output-Calculation-sheet'!J128</f>
        <v>2057170963.2384877</v>
      </c>
      <c r="K155" s="2">
        <f>K12/'Output-Calculation-sheet'!K11*'Output-Calculation-sheet'!K128</f>
        <v>2276701771.3286633</v>
      </c>
      <c r="L155" s="2">
        <f>L12/'Output-Calculation-sheet'!L11*'Output-Calculation-sheet'!L128</f>
        <v>998423778.16302657</v>
      </c>
      <c r="M155" s="2">
        <f>M12/'Output-Calculation-sheet'!M11*'Output-Calculation-sheet'!M128</f>
        <v>143893677.71510023</v>
      </c>
      <c r="N155" s="2">
        <f>N12/'Output-Calculation-sheet'!N11*'Output-Calculation-sheet'!N128</f>
        <v>131516876.38770165</v>
      </c>
      <c r="O155" s="2">
        <f>O12/'Output-Calculation-sheet'!O11*'Output-Calculation-sheet'!O128</f>
        <v>28801237.810109459</v>
      </c>
      <c r="P155" s="2">
        <f>P12/'Output-Calculation-sheet'!P11*'Output-Calculation-sheet'!P128</f>
        <v>536517539.19968647</v>
      </c>
      <c r="Q155" s="2">
        <f>Q12/'Output-Calculation-sheet'!Q11*'Output-Calculation-sheet'!Q128</f>
        <v>654171406.19172728</v>
      </c>
      <c r="R155" s="2">
        <f>R12/'Output-Calculation-sheet'!R11*'Output-Calculation-sheet'!R128</f>
        <v>1172329970.6319613</v>
      </c>
      <c r="S155" s="2">
        <f>S12/'Output-Calculation-sheet'!S11*'Output-Calculation-sheet'!S128</f>
        <v>85377196.968760759</v>
      </c>
      <c r="T155" s="2">
        <f>T12/'Output-Calculation-sheet'!T11*'Output-Calculation-sheet'!T128</f>
        <v>321503499.56257182</v>
      </c>
      <c r="U155" s="2">
        <f>U12/'Output-Calculation-sheet'!U11*'Output-Calculation-sheet'!U128</f>
        <v>740390717.68681777</v>
      </c>
      <c r="V155" s="2">
        <f>V12/'Output-Calculation-sheet'!V11*'Output-Calculation-sheet'!V128</f>
        <v>110435612.61418474</v>
      </c>
      <c r="W155" s="2">
        <f>W12/'Output-Calculation-sheet'!W11*'Output-Calculation-sheet'!W128</f>
        <v>222650056.50319669</v>
      </c>
      <c r="X155" s="2">
        <f>X12/'Output-Calculation-sheet'!X11*'Output-Calculation-sheet'!X128</f>
        <v>4730909.9541571736</v>
      </c>
      <c r="Y155" s="2">
        <f>Y12/'Output-Calculation-sheet'!Y11*'Output-Calculation-sheet'!Y128</f>
        <v>122415703.42841358</v>
      </c>
      <c r="AA155" s="2">
        <f t="shared" si="13"/>
        <v>32271.572510956215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6090.6801647873244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1844.9402605949433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1281.5687544097866</v>
      </c>
      <c r="N19" s="2">
        <f>N8/'Output-Calculation-sheet'!N7*'Output-Calculation-sheet'!N25</f>
        <v>1066.1137596307999</v>
      </c>
      <c r="O19" s="2">
        <f>O8/'Output-Calculation-sheet'!O7*'Output-Calculation-sheet'!O25</f>
        <v>669.10162165560962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138.70138890720509</v>
      </c>
      <c r="Y19" s="2">
        <f>Y8/'Output-Calculation-sheet'!Y7*'Output-Calculation-sheet'!Y25</f>
        <v>0</v>
      </c>
      <c r="AA19" s="2">
        <f t="shared" si="0"/>
        <v>12.878674500239006</v>
      </c>
    </row>
    <row r="20" spans="1:27" x14ac:dyDescent="0.25">
      <c r="A20" s="2">
        <v>2032</v>
      </c>
      <c r="B20" s="2">
        <f>B9/'Output-Calculation-sheet'!B8*'Output-Calculation-sheet'!B26</f>
        <v>6704.5637751697514</v>
      </c>
      <c r="C20" s="2">
        <f>C9/'Output-Calculation-sheet'!C8*'Output-Calculation-sheet'!C26</f>
        <v>3676.6190914922663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2207.0925945712006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1542.3315371820477</v>
      </c>
      <c r="N20" s="2">
        <f>N9/'Output-Calculation-sheet'!N8*'Output-Calculation-sheet'!N26</f>
        <v>1068.8777835704943</v>
      </c>
      <c r="O20" s="2">
        <f>O9/'Output-Calculation-sheet'!O8*'Output-Calculation-sheet'!O26</f>
        <v>718.34323498058734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507.02560903357545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167.8281968902956</v>
      </c>
      <c r="Y20" s="2">
        <f>Y9/'Output-Calculation-sheet'!Y8*'Output-Calculation-sheet'!Y26</f>
        <v>0</v>
      </c>
      <c r="AA20" s="2">
        <f t="shared" si="0"/>
        <v>16.592681822890221</v>
      </c>
    </row>
    <row r="21" spans="1:27" x14ac:dyDescent="0.25">
      <c r="A21" s="2">
        <v>2033</v>
      </c>
      <c r="B21" s="2">
        <f>B10/'Output-Calculation-sheet'!B9*'Output-Calculation-sheet'!B27</f>
        <v>6566.0283345977568</v>
      </c>
      <c r="C21" s="2">
        <f>C10/'Output-Calculation-sheet'!C9*'Output-Calculation-sheet'!C27</f>
        <v>4035.7588901296867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1323.2316801888339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936.59429900683722</v>
      </c>
      <c r="N21" s="2">
        <f>N10/'Output-Calculation-sheet'!N9*'Output-Calculation-sheet'!N27</f>
        <v>948.48651017196335</v>
      </c>
      <c r="O21" s="2">
        <f>O10/'Output-Calculation-sheet'!O9*'Output-Calculation-sheet'!O27</f>
        <v>790.11506693849765</v>
      </c>
      <c r="P21" s="2">
        <f>P10/'Output-Calculation-sheet'!P9*'Output-Calculation-sheet'!P27</f>
        <v>0</v>
      </c>
      <c r="Q21" s="2">
        <f>Q10/'Output-Calculation-sheet'!Q9*'Output-Calculation-sheet'!Q27</f>
        <v>11.053069591753616</v>
      </c>
      <c r="R21" s="2">
        <f>R10/'Output-Calculation-sheet'!R9*'Output-Calculation-sheet'!R27</f>
        <v>0</v>
      </c>
      <c r="S21" s="2">
        <f>S10/'Output-Calculation-sheet'!S9*'Output-Calculation-sheet'!S27</f>
        <v>451.63415902330314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93.522965981286745</v>
      </c>
      <c r="Y21" s="2">
        <f>Y10/'Output-Calculation-sheet'!Y9*'Output-Calculation-sheet'!Y27</f>
        <v>0</v>
      </c>
      <c r="AA21" s="2">
        <f t="shared" si="0"/>
        <v>15.156424975629918</v>
      </c>
    </row>
    <row r="22" spans="1:27" x14ac:dyDescent="0.25">
      <c r="A22" s="2">
        <v>2034</v>
      </c>
      <c r="B22" s="2">
        <f>B11/'Output-Calculation-sheet'!B10*'Output-Calculation-sheet'!B28</f>
        <v>5937.225115803687</v>
      </c>
      <c r="C22" s="2">
        <f>C11/'Output-Calculation-sheet'!C10*'Output-Calculation-sheet'!C28</f>
        <v>598.88481060013976</v>
      </c>
      <c r="D22" s="2">
        <f>D11/'Output-Calculation-sheet'!D10*'Output-Calculation-sheet'!D28</f>
        <v>0</v>
      </c>
      <c r="E22" s="2">
        <f>E11/'Output-Calculation-sheet'!E10*'Output-Calculation-sheet'!E28</f>
        <v>1988.6211804426196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1576.910626941901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1206.0299755542737</v>
      </c>
      <c r="M22" s="2">
        <f>M11/'Output-Calculation-sheet'!M10*'Output-Calculation-sheet'!M28</f>
        <v>1122.2812825118765</v>
      </c>
      <c r="N22" s="2">
        <f>N11/'Output-Calculation-sheet'!N10*'Output-Calculation-sheet'!N28</f>
        <v>750.25144017787238</v>
      </c>
      <c r="O22" s="2">
        <f>O11/'Output-Calculation-sheet'!O10*'Output-Calculation-sheet'!O28</f>
        <v>117.47264938330713</v>
      </c>
      <c r="P22" s="2">
        <f>P11/'Output-Calculation-sheet'!P10*'Output-Calculation-sheet'!P28</f>
        <v>0</v>
      </c>
      <c r="Q22" s="2">
        <f>Q11/'Output-Calculation-sheet'!Q10*'Output-Calculation-sheet'!Q28</f>
        <v>386.17907583820539</v>
      </c>
      <c r="R22" s="2">
        <f>R11/'Output-Calculation-sheet'!R10*'Output-Calculation-sheet'!R28</f>
        <v>0</v>
      </c>
      <c r="S22" s="2">
        <f>S11/'Output-Calculation-sheet'!S10*'Output-Calculation-sheet'!S28</f>
        <v>280.91794102706046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110.27194995337831</v>
      </c>
      <c r="Y22" s="2">
        <f>Y11/'Output-Calculation-sheet'!Y10*'Output-Calculation-sheet'!Y28</f>
        <v>44.949961412341501</v>
      </c>
      <c r="AA22" s="2">
        <f t="shared" si="0"/>
        <v>14.119996009646661</v>
      </c>
    </row>
    <row r="23" spans="1:27" x14ac:dyDescent="0.25">
      <c r="A23" s="2">
        <v>2035</v>
      </c>
      <c r="B23" s="2">
        <f>B12/'Output-Calculation-sheet'!B11*'Output-Calculation-sheet'!B29</f>
        <v>2858.1714201287214</v>
      </c>
      <c r="C23" s="2">
        <f>C12/'Output-Calculation-sheet'!C11*'Output-Calculation-sheet'!C29</f>
        <v>248.45883751341918</v>
      </c>
      <c r="D23" s="2">
        <f>D12/'Output-Calculation-sheet'!D11*'Output-Calculation-sheet'!D29</f>
        <v>0</v>
      </c>
      <c r="E23" s="2">
        <f>E12/'Output-Calculation-sheet'!E11*'Output-Calculation-sheet'!E29</f>
        <v>3945.4564894145733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421.29947518196076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2647.5797075524142</v>
      </c>
      <c r="M23" s="2">
        <f>M12/'Output-Calculation-sheet'!M11*'Output-Calculation-sheet'!M29</f>
        <v>386.4807830613147</v>
      </c>
      <c r="N23" s="2">
        <f>N12/'Output-Calculation-sheet'!N11*'Output-Calculation-sheet'!N29</f>
        <v>321.25020369901671</v>
      </c>
      <c r="O23" s="2">
        <f>O12/'Output-Calculation-sheet'!O11*'Output-Calculation-sheet'!O29</f>
        <v>44.054487573557537</v>
      </c>
      <c r="P23" s="2">
        <f>P12/'Output-Calculation-sheet'!P11*'Output-Calculation-sheet'!P29</f>
        <v>156.01294272845053</v>
      </c>
      <c r="Q23" s="2">
        <f>Q12/'Output-Calculation-sheet'!Q11*'Output-Calculation-sheet'!Q29</f>
        <v>586.74806006388008</v>
      </c>
      <c r="R23" s="2">
        <f>R12/'Output-Calculation-sheet'!R11*'Output-Calculation-sheet'!R29</f>
        <v>0</v>
      </c>
      <c r="S23" s="2">
        <f>S12/'Output-Calculation-sheet'!S11*'Output-Calculation-sheet'!S29</f>
        <v>134.20284063790675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12.41054874605954</v>
      </c>
      <c r="Y23" s="2">
        <f>Y12/'Output-Calculation-sheet'!Y11*'Output-Calculation-sheet'!Y29</f>
        <v>107.8142618714207</v>
      </c>
      <c r="AA23" s="2">
        <f t="shared" si="0"/>
        <v>11.869940058172695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1215.3471344192919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47.650666808819636</v>
      </c>
    </row>
    <row r="31" spans="1:27" x14ac:dyDescent="0.25">
      <c r="A31" s="2">
        <v>2032</v>
      </c>
      <c r="B31" s="2">
        <f>B9/'Output-Calculation-sheet'!B8*'Output-Calculation-sheet'!B17</f>
        <v>28188.762384283404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1102.2103178984569</v>
      </c>
      <c r="O31" s="2">
        <f>O9/'Output-Calculation-sheet'!O8*'Output-Calculation-sheet'!O17</f>
        <v>0</v>
      </c>
      <c r="P31" s="2">
        <f>P9/'Output-Calculation-sheet'!P8*'Output-Calculation-sheet'!P17</f>
        <v>2754.803574926781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912.26396384424254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64.583807409867703</v>
      </c>
    </row>
    <row r="32" spans="1:27" x14ac:dyDescent="0.25">
      <c r="A32" s="2">
        <v>2033</v>
      </c>
      <c r="B32" s="2">
        <f>B10/'Output-Calculation-sheet'!B9*'Output-Calculation-sheet'!B18</f>
        <v>23751.060440645633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3718.7449827742298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961.32871763525134</v>
      </c>
      <c r="O32" s="2">
        <f>O10/'Output-Calculation-sheet'!O9*'Output-Calculation-sheet'!O18</f>
        <v>0</v>
      </c>
      <c r="P32" s="2">
        <f>P10/'Output-Calculation-sheet'!P9*'Output-Calculation-sheet'!P18</f>
        <v>3827.0869807336958</v>
      </c>
      <c r="Q32" s="2">
        <f>Q10/'Output-Calculation-sheet'!Q9*'Output-Calculation-sheet'!Q18</f>
        <v>3543.532143971147</v>
      </c>
      <c r="R32" s="2">
        <f>R10/'Output-Calculation-sheet'!R9*'Output-Calculation-sheet'!R18</f>
        <v>2748.1155228851294</v>
      </c>
      <c r="S32" s="2">
        <f>S10/'Output-Calculation-sheet'!S9*'Output-Calculation-sheet'!S18</f>
        <v>874.52498230959986</v>
      </c>
      <c r="T32" s="2">
        <f>T10/'Output-Calculation-sheet'!T9*'Output-Calculation-sheet'!T18</f>
        <v>802.40502397104399</v>
      </c>
      <c r="U32" s="2">
        <f>U10/'Output-Calculation-sheet'!U9*'Output-Calculation-sheet'!U18</f>
        <v>887.02325367762205</v>
      </c>
      <c r="V32" s="2">
        <f>V10/'Output-Calculation-sheet'!V9*'Output-Calculation-sheet'!V18</f>
        <v>654.715991229103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379.04583334177727</v>
      </c>
      <c r="AA32" s="2">
        <f t="shared" si="1"/>
        <v>75.507022613970349</v>
      </c>
    </row>
    <row r="33" spans="1:27" x14ac:dyDescent="0.25">
      <c r="A33" s="2">
        <v>2034</v>
      </c>
      <c r="B33" s="2">
        <f>B11/'Output-Calculation-sheet'!B10*'Output-Calculation-sheet'!B19</f>
        <v>17946.657767339042</v>
      </c>
      <c r="C33" s="2">
        <f>C11/'Output-Calculation-sheet'!C10*'Output-Calculation-sheet'!C19</f>
        <v>0</v>
      </c>
      <c r="D33" s="2">
        <f>D11/'Output-Calculation-sheet'!D10*'Output-Calculation-sheet'!D19</f>
        <v>11935.301316286881</v>
      </c>
      <c r="E33" s="2">
        <f>E11/'Output-Calculation-sheet'!E10*'Output-Calculation-sheet'!E19</f>
        <v>14796.760108096974</v>
      </c>
      <c r="F33" s="2">
        <f>F11/'Output-Calculation-sheet'!F10*'Output-Calculation-sheet'!F19</f>
        <v>6775.1800039395939</v>
      </c>
      <c r="G33" s="2">
        <f>G11/'Output-Calculation-sheet'!G10*'Output-Calculation-sheet'!G19</f>
        <v>4036.0705199281197</v>
      </c>
      <c r="H33" s="2">
        <f>H11/'Output-Calculation-sheet'!H10*'Output-Calculation-sheet'!H19</f>
        <v>0</v>
      </c>
      <c r="I33" s="2">
        <f>I11/'Output-Calculation-sheet'!I10*'Output-Calculation-sheet'!I19</f>
        <v>4433.5237060589761</v>
      </c>
      <c r="J33" s="2">
        <f>J11/'Output-Calculation-sheet'!J10*'Output-Calculation-sheet'!J19</f>
        <v>3749.0598973833435</v>
      </c>
      <c r="K33" s="2">
        <f>K11/'Output-Calculation-sheet'!K10*'Output-Calculation-sheet'!K19</f>
        <v>5200.0344618525351</v>
      </c>
      <c r="L33" s="2">
        <f>L11/'Output-Calculation-sheet'!L10*'Output-Calculation-sheet'!L19</f>
        <v>4229.295911052287</v>
      </c>
      <c r="M33" s="2">
        <f>M11/'Output-Calculation-sheet'!M10*'Output-Calculation-sheet'!M19</f>
        <v>0</v>
      </c>
      <c r="N33" s="2">
        <f>N11/'Output-Calculation-sheet'!N10*'Output-Calculation-sheet'!N19</f>
        <v>802.78674587499586</v>
      </c>
      <c r="O33" s="2">
        <f>O11/'Output-Calculation-sheet'!O10*'Output-Calculation-sheet'!O19</f>
        <v>0</v>
      </c>
      <c r="P33" s="2">
        <f>P11/'Output-Calculation-sheet'!P10*'Output-Calculation-sheet'!P19</f>
        <v>3973.9251956254952</v>
      </c>
      <c r="Q33" s="2">
        <f>Q11/'Output-Calculation-sheet'!Q10*'Output-Calculation-sheet'!Q19</f>
        <v>2532.0712385149282</v>
      </c>
      <c r="R33" s="2">
        <f>R11/'Output-Calculation-sheet'!R10*'Output-Calculation-sheet'!R19</f>
        <v>3756.6484080248761</v>
      </c>
      <c r="S33" s="2">
        <f>S11/'Output-Calculation-sheet'!S10*'Output-Calculation-sheet'!S19</f>
        <v>510.33077614671822</v>
      </c>
      <c r="T33" s="2">
        <f>T11/'Output-Calculation-sheet'!T10*'Output-Calculation-sheet'!T19</f>
        <v>1102.040478616341</v>
      </c>
      <c r="U33" s="2">
        <f>U11/'Output-Calculation-sheet'!U10*'Output-Calculation-sheet'!U19</f>
        <v>1191.9179068929079</v>
      </c>
      <c r="V33" s="2">
        <f>V11/'Output-Calculation-sheet'!V10*'Output-Calculation-sheet'!V19</f>
        <v>864.43762196416321</v>
      </c>
      <c r="W33" s="2">
        <f>W11/'Output-Calculation-sheet'!W10*'Output-Calculation-sheet'!W19</f>
        <v>538.23883585678061</v>
      </c>
      <c r="X33" s="2">
        <f>X11/'Output-Calculation-sheet'!X10*'Output-Calculation-sheet'!X19</f>
        <v>0</v>
      </c>
      <c r="Y33" s="2">
        <f>Y11/'Output-Calculation-sheet'!Y10*'Output-Calculation-sheet'!Y19</f>
        <v>440.66394975890006</v>
      </c>
      <c r="AA33" s="2">
        <f t="shared" si="1"/>
        <v>88.814944849213859</v>
      </c>
    </row>
    <row r="34" spans="1:27" x14ac:dyDescent="0.25">
      <c r="A34" s="2">
        <v>2035</v>
      </c>
      <c r="B34" s="2">
        <f>B12/'Output-Calculation-sheet'!B11*'Output-Calculation-sheet'!B20</f>
        <v>4890.8171568854104</v>
      </c>
      <c r="C34" s="2">
        <f>C12/'Output-Calculation-sheet'!C11*'Output-Calculation-sheet'!C20</f>
        <v>0</v>
      </c>
      <c r="D34" s="2">
        <f>D12/'Output-Calculation-sheet'!D11*'Output-Calculation-sheet'!D20</f>
        <v>12806.514300442734</v>
      </c>
      <c r="E34" s="2">
        <f>E12/'Output-Calculation-sheet'!E11*'Output-Calculation-sheet'!E20</f>
        <v>8359.7995970744632</v>
      </c>
      <c r="F34" s="2">
        <f>F12/'Output-Calculation-sheet'!F11*'Output-Calculation-sheet'!F20</f>
        <v>7958.3591608756415</v>
      </c>
      <c r="G34" s="2">
        <f>G12/'Output-Calculation-sheet'!G11*'Output-Calculation-sheet'!G20</f>
        <v>4293.8154032174989</v>
      </c>
      <c r="H34" s="2">
        <f>H12/'Output-Calculation-sheet'!H11*'Output-Calculation-sheet'!H20</f>
        <v>0</v>
      </c>
      <c r="I34" s="2">
        <f>I12/'Output-Calculation-sheet'!I11*'Output-Calculation-sheet'!I20</f>
        <v>4773.5415736663499</v>
      </c>
      <c r="J34" s="2">
        <f>J12/'Output-Calculation-sheet'!J11*'Output-Calculation-sheet'!J20</f>
        <v>4426.8147849895086</v>
      </c>
      <c r="K34" s="2">
        <f>K12/'Output-Calculation-sheet'!K11*'Output-Calculation-sheet'!K20</f>
        <v>5901.3831333360395</v>
      </c>
      <c r="L34" s="2">
        <f>L12/'Output-Calculation-sheet'!L11*'Output-Calculation-sheet'!L20</f>
        <v>4698.4770049049557</v>
      </c>
      <c r="M34" s="2">
        <f>M12/'Output-Calculation-sheet'!M11*'Output-Calculation-sheet'!M20</f>
        <v>0</v>
      </c>
      <c r="N34" s="2">
        <f>N12/'Output-Calculation-sheet'!N11*'Output-Calculation-sheet'!N20</f>
        <v>3.4686895355439104E-2</v>
      </c>
      <c r="O34" s="2">
        <f>O12/'Output-Calculation-sheet'!O11*'Output-Calculation-sheet'!O20</f>
        <v>0</v>
      </c>
      <c r="P34" s="2">
        <f>P12/'Output-Calculation-sheet'!P11*'Output-Calculation-sheet'!P20</f>
        <v>2415.7659857700842</v>
      </c>
      <c r="Q34" s="2">
        <f>Q12/'Output-Calculation-sheet'!Q11*'Output-Calculation-sheet'!Q20</f>
        <v>1624.4628419695316</v>
      </c>
      <c r="R34" s="2">
        <f>R12/'Output-Calculation-sheet'!R11*'Output-Calculation-sheet'!R20</f>
        <v>4508.3511281530564</v>
      </c>
      <c r="S34" s="2">
        <f>S12/'Output-Calculation-sheet'!S11*'Output-Calculation-sheet'!S20</f>
        <v>5.3411475058624918</v>
      </c>
      <c r="T34" s="2">
        <f>T12/'Output-Calculation-sheet'!T11*'Output-Calculation-sheet'!T20</f>
        <v>1366.5566291297528</v>
      </c>
      <c r="U34" s="2">
        <f>U12/'Output-Calculation-sheet'!U11*'Output-Calculation-sheet'!U20</f>
        <v>1258.7015681897126</v>
      </c>
      <c r="V34" s="2">
        <f>V12/'Output-Calculation-sheet'!V11*'Output-Calculation-sheet'!V20</f>
        <v>1238.9290384245944</v>
      </c>
      <c r="W34" s="2">
        <f>W12/'Output-Calculation-sheet'!W11*'Output-Calculation-sheet'!W20</f>
        <v>671.8827683605449</v>
      </c>
      <c r="X34" s="2">
        <f>X12/'Output-Calculation-sheet'!X11*'Output-Calculation-sheet'!X20</f>
        <v>0</v>
      </c>
      <c r="Y34" s="2">
        <f>Y12/'Output-Calculation-sheet'!Y11*'Output-Calculation-sheet'!Y20</f>
        <v>306.91154063742289</v>
      </c>
      <c r="AA34" s="2">
        <f t="shared" si="1"/>
        <v>71.506459450428551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2.6882957858476157E-2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4.9234085410394379E-3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3.1806366399515597E-2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8.0122769933817728E-2</v>
      </c>
      <c r="E45" s="2">
        <f>E12/'Output-Calculation-sheet'!E11*'Output-Calculation-sheet'!E38*0.0114</f>
        <v>0.19102891588527957</v>
      </c>
      <c r="F45" s="2">
        <f>F12/'Output-Calculation-sheet'!F11*'Output-Calculation-sheet'!F38*0.0114</f>
        <v>8.0096030555119366E-2</v>
      </c>
      <c r="G45" s="2">
        <f>G12/'Output-Calculation-sheet'!G11*'Output-Calculation-sheet'!G38*0.0114</f>
        <v>5.7483697827198928E-2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5.1703034000175195E-2</v>
      </c>
      <c r="J45" s="2">
        <f>J12/'Output-Calculation-sheet'!J11*'Output-Calculation-sheet'!J38*0.0114</f>
        <v>2.5584438419419063E-2</v>
      </c>
      <c r="K45" s="2">
        <f>K12/'Output-Calculation-sheet'!K11*'Output-Calculation-sheet'!K38*0.0114</f>
        <v>5.0815852491841118E-2</v>
      </c>
      <c r="L45" s="2">
        <f>L12/'Output-Calculation-sheet'!L11*'Output-Calculation-sheet'!L38*0.0114</f>
        <v>2.0203213290282226E-2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5.2186917589939534E-2</v>
      </c>
      <c r="Q45" s="2">
        <f>Q12/'Output-Calculation-sheet'!Q11*'Output-Calculation-sheet'!Q38*0.0114</f>
        <v>1.6497988315697883E-2</v>
      </c>
      <c r="R45" s="2">
        <f>R12/'Output-Calculation-sheet'!R11*'Output-Calculation-sheet'!R38*0.0114</f>
        <v>3.2721729740999787E-2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6.0529036741827072E-3</v>
      </c>
      <c r="U45" s="2">
        <f>U12/'Output-Calculation-sheet'!U11*'Output-Calculation-sheet'!U38*0.0114</f>
        <v>1.5791550748036096E-2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7.0294394999664668E-3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8.1129705426822886E-3</v>
      </c>
      <c r="AA45" s="2">
        <f t="shared" si="2"/>
        <v>1.0768112108026935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0.17973037109779164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243.65233669364176</v>
      </c>
      <c r="R54" s="2">
        <f>R10/'Output-Calculation-sheet'!R9*'Output-Calculation-sheet'!R45</f>
        <v>1823.975688455718</v>
      </c>
      <c r="S54" s="2">
        <f>S10/'Output-Calculation-sheet'!S9*'Output-Calculation-sheet'!S45</f>
        <v>0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22.734562485773587</v>
      </c>
      <c r="AA54" s="2">
        <f t="shared" si="3"/>
        <v>6.0018347610133498</v>
      </c>
    </row>
    <row r="55" spans="1:27" x14ac:dyDescent="0.25">
      <c r="A55" s="2">
        <v>2034</v>
      </c>
      <c r="B55" s="2">
        <f>B11/'Output-Calculation-sheet'!B10*'Output-Calculation-sheet'!B46</f>
        <v>2345.344954152366</v>
      </c>
      <c r="C55" s="2">
        <f>C11/'Output-Calculation-sheet'!C10*'Output-Calculation-sheet'!C46</f>
        <v>0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391.00783254305918</v>
      </c>
      <c r="G55" s="2">
        <f>G11/'Output-Calculation-sheet'!G10*'Output-Calculation-sheet'!G46</f>
        <v>4407.3901962712225</v>
      </c>
      <c r="H55" s="2">
        <f>H11/'Output-Calculation-sheet'!H10*'Output-Calculation-sheet'!H46</f>
        <v>799.54847749006979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1813.6234764901667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592.6086311414017</v>
      </c>
      <c r="N55" s="2">
        <f>N11/'Output-Calculation-sheet'!N10*'Output-Calculation-sheet'!N46</f>
        <v>202.38567993892633</v>
      </c>
      <c r="O55" s="2">
        <f>O11/'Output-Calculation-sheet'!O10*'Output-Calculation-sheet'!O46</f>
        <v>0</v>
      </c>
      <c r="P55" s="2">
        <f>P11/'Output-Calculation-sheet'!P10*'Output-Calculation-sheet'!P46</f>
        <v>4401.6170827414307</v>
      </c>
      <c r="Q55" s="2">
        <f>Q11/'Output-Calculation-sheet'!Q10*'Output-Calculation-sheet'!Q46</f>
        <v>943.45516759339921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0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1677.8458054331768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111.31033870474732</v>
      </c>
      <c r="X55" s="2">
        <f>X11/'Output-Calculation-sheet'!X10*'Output-Calculation-sheet'!X46</f>
        <v>56.560771859272194</v>
      </c>
      <c r="Y55" s="2">
        <f>Y11/'Output-Calculation-sheet'!Y10*'Output-Calculation-sheet'!Y46</f>
        <v>393.39141475277495</v>
      </c>
      <c r="AA55" s="2">
        <f t="shared" si="3"/>
        <v>58.262744829238784</v>
      </c>
    </row>
    <row r="56" spans="1:27" x14ac:dyDescent="0.25">
      <c r="A56" s="2">
        <v>2035</v>
      </c>
      <c r="B56" s="2">
        <f>B12/'Output-Calculation-sheet'!B11*'Output-Calculation-sheet'!B47</f>
        <v>4496.8189220395034</v>
      </c>
      <c r="C56" s="2">
        <f>C12/'Output-Calculation-sheet'!C11*'Output-Calculation-sheet'!C47</f>
        <v>515.72168093157416</v>
      </c>
      <c r="D56" s="2">
        <f>D12/'Output-Calculation-sheet'!D11*'Output-Calculation-sheet'!D47</f>
        <v>12693.133552673229</v>
      </c>
      <c r="E56" s="2">
        <f>E12/'Output-Calculation-sheet'!E11*'Output-Calculation-sheet'!E47</f>
        <v>16634.038348139253</v>
      </c>
      <c r="F56" s="2">
        <f>F12/'Output-Calculation-sheet'!F11*'Output-Calculation-sheet'!F47</f>
        <v>1756.4918981385827</v>
      </c>
      <c r="G56" s="2">
        <f>G12/'Output-Calculation-sheet'!G11*'Output-Calculation-sheet'!G47</f>
        <v>4697.023204038228</v>
      </c>
      <c r="H56" s="2">
        <f>H12/'Output-Calculation-sheet'!H11*'Output-Calculation-sheet'!H47</f>
        <v>200.27570054158545</v>
      </c>
      <c r="I56" s="2">
        <f>I12/'Output-Calculation-sheet'!I11*'Output-Calculation-sheet'!I47</f>
        <v>2993.3335473785637</v>
      </c>
      <c r="J56" s="2">
        <f>J12/'Output-Calculation-sheet'!J11*'Output-Calculation-sheet'!J47</f>
        <v>4997.942487723356</v>
      </c>
      <c r="K56" s="2">
        <f>K12/'Output-Calculation-sheet'!K11*'Output-Calculation-sheet'!K47</f>
        <v>6675.152553204568</v>
      </c>
      <c r="L56" s="2">
        <f>L12/'Output-Calculation-sheet'!L11*'Output-Calculation-sheet'!L47</f>
        <v>7228.8514921983515</v>
      </c>
      <c r="M56" s="2">
        <f>M12/'Output-Calculation-sheet'!M11*'Output-Calculation-sheet'!M47</f>
        <v>152.93456971282552</v>
      </c>
      <c r="N56" s="2">
        <f>N12/'Output-Calculation-sheet'!N11*'Output-Calculation-sheet'!N47</f>
        <v>143.70285218681914</v>
      </c>
      <c r="O56" s="2">
        <f>O12/'Output-Calculation-sheet'!O11*'Output-Calculation-sheet'!O47</f>
        <v>94.024832650607394</v>
      </c>
      <c r="P56" s="2">
        <f>P12/'Output-Calculation-sheet'!P11*'Output-Calculation-sheet'!P47</f>
        <v>3415.0386422890256</v>
      </c>
      <c r="Q56" s="2">
        <f>Q12/'Output-Calculation-sheet'!Q11*'Output-Calculation-sheet'!Q47</f>
        <v>1312.6031054682437</v>
      </c>
      <c r="R56" s="2">
        <f>R12/'Output-Calculation-sheet'!R11*'Output-Calculation-sheet'!R47</f>
        <v>7359.5188645546887</v>
      </c>
      <c r="S56" s="2">
        <f>S12/'Output-Calculation-sheet'!S11*'Output-Calculation-sheet'!S47</f>
        <v>61.544865782850898</v>
      </c>
      <c r="T56" s="2">
        <f>T12/'Output-Calculation-sheet'!T11*'Output-Calculation-sheet'!T47</f>
        <v>2475.8499853257863</v>
      </c>
      <c r="U56" s="2">
        <f>U12/'Output-Calculation-sheet'!U11*'Output-Calculation-sheet'!U47</f>
        <v>1735.685358534143</v>
      </c>
      <c r="V56" s="2">
        <f>V12/'Output-Calculation-sheet'!V11*'Output-Calculation-sheet'!V47</f>
        <v>1715.0583647964884</v>
      </c>
      <c r="W56" s="2">
        <f>W12/'Output-Calculation-sheet'!W11*'Output-Calculation-sheet'!W47</f>
        <v>607.0599287471041</v>
      </c>
      <c r="X56" s="2">
        <f>X12/'Output-Calculation-sheet'!X11*'Output-Calculation-sheet'!X47</f>
        <v>15.671048702593195</v>
      </c>
      <c r="Y56" s="2">
        <f>Y12/'Output-Calculation-sheet'!Y11*'Output-Calculation-sheet'!Y47</f>
        <v>484.46532429219013</v>
      </c>
      <c r="AA56" s="2">
        <f t="shared" si="3"/>
        <v>82.46194113005015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8.7879475797205853</v>
      </c>
      <c r="C63" s="2">
        <f>C8*'Output-Calculation-sheet'!C52/10^9</f>
        <v>4.6949735653346591</v>
      </c>
      <c r="D63" s="2">
        <f>D8*'Output-Calculation-sheet'!D52/10^9</f>
        <v>3.0135755527252472</v>
      </c>
      <c r="E63" s="2">
        <f>E8*'Output-Calculation-sheet'!E52/10^9</f>
        <v>2.9963024557072573</v>
      </c>
      <c r="F63" s="2">
        <f>F8*'Output-Calculation-sheet'!F52/10^9</f>
        <v>1.2689338422889698</v>
      </c>
      <c r="G63" s="2">
        <f>G8*'Output-Calculation-sheet'!G52/10^9</f>
        <v>0.91230610706997106</v>
      </c>
      <c r="H63" s="2">
        <f>H8*'Output-Calculation-sheet'!H52/10^9</f>
        <v>1.4837782402104978</v>
      </c>
      <c r="I63" s="2">
        <f>I8*'Output-Calculation-sheet'!I52/10^9</f>
        <v>0.84865648281579542</v>
      </c>
      <c r="J63" s="2">
        <f>J8*'Output-Calculation-sheet'!J52/10^9</f>
        <v>1.1678088439302103</v>
      </c>
      <c r="K63" s="2">
        <f>K8*'Output-Calculation-sheet'!K52/10^9</f>
        <v>1.0260239367098232</v>
      </c>
      <c r="L63" s="2">
        <f>L8*'Output-Calculation-sheet'!L52/10^9</f>
        <v>1.3800515611945245</v>
      </c>
      <c r="M63" s="2">
        <f>M8*'Output-Calculation-sheet'!M52/10^9</f>
        <v>1.2155600446741703</v>
      </c>
      <c r="N63" s="2">
        <f>N8*'Output-Calculation-sheet'!N52/10^9</f>
        <v>1.072555532025975</v>
      </c>
      <c r="O63" s="2">
        <f>O8*'Output-Calculation-sheet'!O52/10^9</f>
        <v>0.9605510614170657</v>
      </c>
      <c r="P63" s="2">
        <f>P8*'Output-Calculation-sheet'!P52/10^9</f>
        <v>0.708954863276273</v>
      </c>
      <c r="Q63" s="2">
        <f>Q8*'Output-Calculation-sheet'!Q52/10^9</f>
        <v>0.80232914890877893</v>
      </c>
      <c r="R63" s="2">
        <f>R8*'Output-Calculation-sheet'!R52/10^9</f>
        <v>0.72033231317738045</v>
      </c>
      <c r="S63" s="2">
        <f>S8*'Output-Calculation-sheet'!S52/10^9</f>
        <v>0.53379176670567707</v>
      </c>
      <c r="T63" s="2">
        <f>T8*'Output-Calculation-sheet'!T52/10^9</f>
        <v>0.27386005555257936</v>
      </c>
      <c r="U63" s="2">
        <f>U8*'Output-Calculation-sheet'!U52/10^9</f>
        <v>0.18808415156146935</v>
      </c>
      <c r="V63" s="2">
        <f>V8*'Output-Calculation-sheet'!V52/10^9</f>
        <v>0.33380492125161298</v>
      </c>
      <c r="W63" s="2">
        <f>W8*'Output-Calculation-sheet'!W52/10^9</f>
        <v>0.12082174257438087</v>
      </c>
      <c r="X63" s="2">
        <f>X8*'Output-Calculation-sheet'!X52/10^9</f>
        <v>0.12449248403024317</v>
      </c>
      <c r="Y63" s="2">
        <f>Y8*'Output-Calculation-sheet'!Y52/10^9</f>
        <v>7.8832826063883255E-2</v>
      </c>
      <c r="AA63" s="2">
        <f t="shared" si="4"/>
        <v>34.714329078927022</v>
      </c>
    </row>
    <row r="64" spans="1:27" x14ac:dyDescent="0.25">
      <c r="A64" s="2">
        <v>2032</v>
      </c>
      <c r="B64" s="2">
        <f>B9*'Output-Calculation-sheet'!B53/10^9</f>
        <v>9.6124605350157655</v>
      </c>
      <c r="C64" s="2">
        <f>C9*'Output-Calculation-sheet'!C53/10^9</f>
        <v>5.0958622078796445</v>
      </c>
      <c r="D64" s="2">
        <f>D9*'Output-Calculation-sheet'!D53/10^9</f>
        <v>2.8468975427430019</v>
      </c>
      <c r="E64" s="2">
        <f>E9*'Output-Calculation-sheet'!E53/10^9</f>
        <v>2.9153483412834582</v>
      </c>
      <c r="F64" s="2">
        <f>F9*'Output-Calculation-sheet'!F53/10^9</f>
        <v>1.2296756496183125</v>
      </c>
      <c r="G64" s="2">
        <f>G9*'Output-Calculation-sheet'!G53/10^9</f>
        <v>0.87524551026633468</v>
      </c>
      <c r="H64" s="2">
        <f>H9*'Output-Calculation-sheet'!H53/10^9</f>
        <v>1.5992985489814937</v>
      </c>
      <c r="I64" s="2">
        <f>I9*'Output-Calculation-sheet'!I53/10^9</f>
        <v>0.81821150516343788</v>
      </c>
      <c r="J64" s="2">
        <f>J9*'Output-Calculation-sheet'!J53/10^9</f>
        <v>1.0831457845051209</v>
      </c>
      <c r="K64" s="2">
        <f>K9*'Output-Calculation-sheet'!K53/10^9</f>
        <v>1.0050119222337877</v>
      </c>
      <c r="L64" s="2">
        <f>L9*'Output-Calculation-sheet'!L53/10^9</f>
        <v>1.2929448340447476</v>
      </c>
      <c r="M64" s="2">
        <f>M9*'Output-Calculation-sheet'!M53/10^9</f>
        <v>1.2688563468654819</v>
      </c>
      <c r="N64" s="2">
        <f>N9*'Output-Calculation-sheet'!N53/10^9</f>
        <v>1.1423806889278885</v>
      </c>
      <c r="O64" s="2">
        <f>O9*'Output-Calculation-sheet'!O53/10^9</f>
        <v>1.0319502586156239</v>
      </c>
      <c r="P64" s="2">
        <f>P9*'Output-Calculation-sheet'!P53/10^9</f>
        <v>0.76625923101255911</v>
      </c>
      <c r="Q64" s="2">
        <f>Q9*'Output-Calculation-sheet'!Q53/10^9</f>
        <v>0.84682522089740586</v>
      </c>
      <c r="R64" s="2">
        <f>R9*'Output-Calculation-sheet'!R53/10^9</f>
        <v>0.72592919360526154</v>
      </c>
      <c r="S64" s="2">
        <f>S9*'Output-Calculation-sheet'!S53/10^9</f>
        <v>0.58413490890688557</v>
      </c>
      <c r="T64" s="2">
        <f>T9*'Output-Calculation-sheet'!T53/10^9</f>
        <v>0.26095161297403485</v>
      </c>
      <c r="U64" s="2">
        <f>U9*'Output-Calculation-sheet'!U53/10^9</f>
        <v>0.19641283835851106</v>
      </c>
      <c r="V64" s="2">
        <f>V9*'Output-Calculation-sheet'!V53/10^9</f>
        <v>0.30973191851069115</v>
      </c>
      <c r="W64" s="2">
        <f>W9*'Output-Calculation-sheet'!W53/10^9</f>
        <v>0.11509059921925463</v>
      </c>
      <c r="X64" s="2">
        <f>X9*'Output-Calculation-sheet'!X53/10^9</f>
        <v>0.13194972543035915</v>
      </c>
      <c r="Y64" s="2">
        <f>Y9*'Output-Calculation-sheet'!Y53/10^9</f>
        <v>8.0636271724542102E-2</v>
      </c>
      <c r="AA64" s="2">
        <f t="shared" si="4"/>
        <v>35.835211196783611</v>
      </c>
    </row>
    <row r="65" spans="1:27" x14ac:dyDescent="0.25">
      <c r="A65" s="2">
        <v>2033</v>
      </c>
      <c r="B65" s="2">
        <f>B10*'Output-Calculation-sheet'!B54/10^9</f>
        <v>10.312107718907635</v>
      </c>
      <c r="C65" s="2">
        <f>C10*'Output-Calculation-sheet'!C54/10^9</f>
        <v>5.3305132860840461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1.6739610817491974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0.97531392504913283</v>
      </c>
      <c r="L65" s="2">
        <f>L10*'Output-Calculation-sheet'!L54/10^9</f>
        <v>1.1519400840504155</v>
      </c>
      <c r="M65" s="2">
        <f>M10*'Output-Calculation-sheet'!M54/10^9</f>
        <v>1.2765019313051527</v>
      </c>
      <c r="N65" s="2">
        <f>N10*'Output-Calculation-sheet'!N54/10^9</f>
        <v>1.1713469436109938</v>
      </c>
      <c r="O65" s="2">
        <f>O10*'Output-Calculation-sheet'!O54/10^9</f>
        <v>1.0682584336707532</v>
      </c>
      <c r="P65" s="2">
        <f>P10*'Output-Calculation-sheet'!P54/10^9</f>
        <v>0.82514643364066231</v>
      </c>
      <c r="Q65" s="2">
        <f>Q10*'Output-Calculation-sheet'!Q54/10^9</f>
        <v>0.89886210003333122</v>
      </c>
      <c r="R65" s="2">
        <f>R10*'Output-Calculation-sheet'!R54/10^9</f>
        <v>0.72645134192217042</v>
      </c>
      <c r="S65" s="2">
        <f>S10*'Output-Calculation-sheet'!S54/10^9</f>
        <v>0.61788381944319637</v>
      </c>
      <c r="T65" s="2">
        <f>T10*'Output-Calculation-sheet'!T54/10^9</f>
        <v>0.24288811540994162</v>
      </c>
      <c r="U65" s="2">
        <f>U10*'Output-Calculation-sheet'!U54/10^9</f>
        <v>0.20972524807373072</v>
      </c>
      <c r="V65" s="2">
        <f>V10*'Output-Calculation-sheet'!V54/10^9</f>
        <v>0.26879834622853699</v>
      </c>
      <c r="W65" s="2">
        <f>W10*'Output-Calculation-sheet'!W54/10^9</f>
        <v>0.10233771219328373</v>
      </c>
      <c r="X65" s="2">
        <f>X10*'Output-Calculation-sheet'!X54/10^9</f>
        <v>0.1338421288934184</v>
      </c>
      <c r="Y65" s="2">
        <f>Y10*'Output-Calculation-sheet'!Y54/10^9</f>
        <v>8.4231146147035821E-2</v>
      </c>
      <c r="AA65" s="2">
        <f t="shared" si="4"/>
        <v>35.998566528577321</v>
      </c>
    </row>
    <row r="66" spans="1:27" x14ac:dyDescent="0.25">
      <c r="A66" s="2">
        <v>2034</v>
      </c>
      <c r="B66" s="2">
        <f>B11*'Output-Calculation-sheet'!B55/10^9</f>
        <v>10.909684253543245</v>
      </c>
      <c r="C66" s="2">
        <f>C11*'Output-Calculation-sheet'!C55/10^9</f>
        <v>5.4879860607127124</v>
      </c>
      <c r="D66" s="2">
        <f>D11*'Output-Calculation-sheet'!D55/10^9</f>
        <v>2.4621361243197599</v>
      </c>
      <c r="E66" s="2">
        <f>E11*'Output-Calculation-sheet'!E55/10^9</f>
        <v>2.9814722267726608</v>
      </c>
      <c r="F66" s="2">
        <f>F11*'Output-Calculation-sheet'!F55/10^9</f>
        <v>1.1458241009708097</v>
      </c>
      <c r="G66" s="2">
        <f>G11*'Output-Calculation-sheet'!G55/10^9</f>
        <v>0.81906410026414</v>
      </c>
      <c r="H66" s="2">
        <f>H11*'Output-Calculation-sheet'!H55/10^9</f>
        <v>1.7090734029379788</v>
      </c>
      <c r="I66" s="2">
        <f>I11*'Output-Calculation-sheet'!I55/10^9</f>
        <v>0.80089714321424788</v>
      </c>
      <c r="J66" s="2">
        <f>J11*'Output-Calculation-sheet'!J55/10^9</f>
        <v>0.82359102497794812</v>
      </c>
      <c r="K66" s="2">
        <f>K11*'Output-Calculation-sheet'!K55/10^9</f>
        <v>0.98507293594418188</v>
      </c>
      <c r="L66" s="2">
        <f>L11*'Output-Calculation-sheet'!L55/10^9</f>
        <v>1.0432081068486982</v>
      </c>
      <c r="M66" s="2">
        <f>M11*'Output-Calculation-sheet'!M55/10^9</f>
        <v>1.2457964227533735</v>
      </c>
      <c r="N66" s="2">
        <f>N11*'Output-Calculation-sheet'!N55/10^9</f>
        <v>1.1769175126806455</v>
      </c>
      <c r="O66" s="2">
        <f>O11*'Output-Calculation-sheet'!O55/10^9</f>
        <v>1.0817005282243812</v>
      </c>
      <c r="P66" s="2">
        <f>P11*'Output-Calculation-sheet'!P55/10^9</f>
        <v>0.90320950182724824</v>
      </c>
      <c r="Q66" s="2">
        <f>Q11*'Output-Calculation-sheet'!Q55/10^9</f>
        <v>0.95544875367548099</v>
      </c>
      <c r="R66" s="2">
        <f>R11*'Output-Calculation-sheet'!R55/10^9</f>
        <v>0.73797915041179551</v>
      </c>
      <c r="S66" s="2">
        <f>S11*'Output-Calculation-sheet'!S55/10^9</f>
        <v>0.64369547500775481</v>
      </c>
      <c r="T66" s="2">
        <f>T11*'Output-Calculation-sheet'!T55/10^9</f>
        <v>0.23130041961251682</v>
      </c>
      <c r="U66" s="2">
        <f>U11*'Output-Calculation-sheet'!U55/10^9</f>
        <v>0.23493262122948252</v>
      </c>
      <c r="V66" s="2">
        <f>V11*'Output-Calculation-sheet'!V55/10^9</f>
        <v>0.21942067396926904</v>
      </c>
      <c r="W66" s="2">
        <f>W11*'Output-Calculation-sheet'!W55/10^9</f>
        <v>9.9355108997577296E-2</v>
      </c>
      <c r="X66" s="2">
        <f>X11*'Output-Calculation-sheet'!X55/10^9</f>
        <v>0.13310320764665065</v>
      </c>
      <c r="Y66" s="2">
        <f>Y11*'Output-Calculation-sheet'!Y55/10^9</f>
        <v>9.7134989711110481E-2</v>
      </c>
      <c r="AA66" s="2">
        <f t="shared" si="4"/>
        <v>36.92800384625366</v>
      </c>
    </row>
    <row r="67" spans="1:27" x14ac:dyDescent="0.25">
      <c r="A67" s="2">
        <v>2035</v>
      </c>
      <c r="B67" s="2">
        <f>B12*'Output-Calculation-sheet'!B56/10^9</f>
        <v>11.78227042355352</v>
      </c>
      <c r="C67" s="2">
        <f>C12*'Output-Calculation-sheet'!C56/10^9</f>
        <v>5.530029311707688</v>
      </c>
      <c r="D67" s="2">
        <f>D12*'Output-Calculation-sheet'!D56/10^9</f>
        <v>2.7186950545732715</v>
      </c>
      <c r="E67" s="2">
        <f>E12*'Output-Calculation-sheet'!E56/10^9</f>
        <v>3.6344024729161775</v>
      </c>
      <c r="F67" s="2">
        <f>F12*'Output-Calculation-sheet'!F56/10^9</f>
        <v>1.3481827067113488</v>
      </c>
      <c r="G67" s="2">
        <f>G12*'Output-Calculation-sheet'!G56/10^9</f>
        <v>0.94442342271637558</v>
      </c>
      <c r="H67" s="2">
        <f>H12*'Output-Calculation-sheet'!H56/10^9</f>
        <v>1.7410198887541612</v>
      </c>
      <c r="I67" s="2">
        <f>I12*'Output-Calculation-sheet'!I56/10^9</f>
        <v>0.91742382506044373</v>
      </c>
      <c r="J67" s="2">
        <f>J12*'Output-Calculation-sheet'!J56/10^9</f>
        <v>0.90828718062731861</v>
      </c>
      <c r="K67" s="2">
        <f>K12*'Output-Calculation-sheet'!K56/10^9</f>
        <v>1.0945023243300165</v>
      </c>
      <c r="L67" s="2">
        <f>L12*'Output-Calculation-sheet'!L56/10^9</f>
        <v>1.0994411246044025</v>
      </c>
      <c r="M67" s="2">
        <f>M12*'Output-Calculation-sheet'!M56/10^9</f>
        <v>1.2111258873513768</v>
      </c>
      <c r="N67" s="2">
        <f>N12*'Output-Calculation-sheet'!N56/10^9</f>
        <v>1.181430590711241</v>
      </c>
      <c r="O67" s="2">
        <f>O12*'Output-Calculation-sheet'!O56/10^9</f>
        <v>1.0749835481322516</v>
      </c>
      <c r="P67" s="2">
        <f>P12*'Output-Calculation-sheet'!P56/10^9</f>
        <v>1.0274686122630112</v>
      </c>
      <c r="Q67" s="2">
        <f>Q12*'Output-Calculation-sheet'!Q56/10^9</f>
        <v>1.0428460769075316</v>
      </c>
      <c r="R67" s="2">
        <f>R12*'Output-Calculation-sheet'!R56/10^9</f>
        <v>0.83019800742670891</v>
      </c>
      <c r="S67" s="2">
        <f>S12*'Output-Calculation-sheet'!S56/10^9</f>
        <v>0.67501763327577735</v>
      </c>
      <c r="T67" s="2">
        <f>T12*'Output-Calculation-sheet'!T56/10^9</f>
        <v>0.25160613314217983</v>
      </c>
      <c r="U67" s="2">
        <f>U12*'Output-Calculation-sheet'!U56/10^9</f>
        <v>0.2630747288959589</v>
      </c>
      <c r="V67" s="2">
        <f>V12*'Output-Calculation-sheet'!V56/10^9</f>
        <v>0.20180407485150315</v>
      </c>
      <c r="W67" s="2">
        <f>W12*'Output-Calculation-sheet'!W56/10^9</f>
        <v>0.12184298396280557</v>
      </c>
      <c r="X67" s="2">
        <f>X12*'Output-Calculation-sheet'!X56/10^9</f>
        <v>0.12947167913796667</v>
      </c>
      <c r="Y67" s="2">
        <f>Y12*'Output-Calculation-sheet'!Y56/10^9</f>
        <v>0.11703388354277147</v>
      </c>
      <c r="AA67" s="2">
        <f t="shared" si="4"/>
        <v>39.846581575155817</v>
      </c>
    </row>
    <row r="68" spans="1:27" x14ac:dyDescent="0.25">
      <c r="B68" s="2">
        <f>SUM(B60:B67)</f>
        <v>51.404470510740751</v>
      </c>
      <c r="C68" s="2">
        <f t="shared" ref="C68:Y68" si="5">SUM(C60:C67)</f>
        <v>26.139364431718747</v>
      </c>
      <c r="D68" s="2">
        <f t="shared" si="5"/>
        <v>13.543768617340341</v>
      </c>
      <c r="E68" s="2">
        <f t="shared" si="5"/>
        <v>15.345257694504204</v>
      </c>
      <c r="F68" s="2">
        <f t="shared" si="5"/>
        <v>6.1365661643924909</v>
      </c>
      <c r="G68" s="2">
        <f t="shared" si="5"/>
        <v>4.3364648545070708</v>
      </c>
      <c r="H68" s="2">
        <f t="shared" si="5"/>
        <v>8.2071311626333294</v>
      </c>
      <c r="I68" s="2">
        <f t="shared" si="5"/>
        <v>4.1499794429163375</v>
      </c>
      <c r="J68" s="2">
        <f t="shared" si="5"/>
        <v>4.8969269597458602</v>
      </c>
      <c r="K68" s="2">
        <f t="shared" si="5"/>
        <v>5.0859250442669417</v>
      </c>
      <c r="L68" s="2">
        <f t="shared" si="5"/>
        <v>5.967585710742787</v>
      </c>
      <c r="M68" s="2">
        <f t="shared" si="5"/>
        <v>6.2178406329495548</v>
      </c>
      <c r="N68" s="2">
        <f t="shared" si="5"/>
        <v>5.7446312679567431</v>
      </c>
      <c r="O68" s="2">
        <f t="shared" si="5"/>
        <v>5.2174438300600752</v>
      </c>
      <c r="P68" s="2">
        <f t="shared" si="5"/>
        <v>4.2310386420197537</v>
      </c>
      <c r="Q68" s="2">
        <f t="shared" si="5"/>
        <v>4.5463113004225288</v>
      </c>
      <c r="R68" s="2">
        <f t="shared" si="5"/>
        <v>3.7408900065433168</v>
      </c>
      <c r="S68" s="2">
        <f t="shared" si="5"/>
        <v>3.0545236033392911</v>
      </c>
      <c r="T68" s="2">
        <f t="shared" si="5"/>
        <v>1.2606063366912523</v>
      </c>
      <c r="U68" s="2">
        <f t="shared" si="5"/>
        <v>1.0922295881191526</v>
      </c>
      <c r="V68" s="2">
        <f t="shared" si="5"/>
        <v>1.3335599348116132</v>
      </c>
      <c r="W68" s="2">
        <f t="shared" si="5"/>
        <v>0.55944814694730216</v>
      </c>
      <c r="X68" s="2">
        <f t="shared" si="5"/>
        <v>0.65285922513863803</v>
      </c>
      <c r="Y68" s="2">
        <f t="shared" si="5"/>
        <v>0.45786911718934309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65.834877852913593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6.5834877852913587E-2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648.31150809780877</v>
      </c>
      <c r="Q76" s="2">
        <f>Q10/'Output-Calculation-sheet'!Q9*'Output-Calculation-sheet'!Q63</f>
        <v>77.011631383466238</v>
      </c>
      <c r="R76" s="2">
        <f>R10/'Output-Calculation-sheet'!R9*'Output-Calculation-sheet'!R63</f>
        <v>494.17473929353957</v>
      </c>
      <c r="S76" s="2">
        <f>S10/'Output-Calculation-sheet'!S9*'Output-Calculation-sheet'!S63</f>
        <v>0</v>
      </c>
      <c r="T76" s="2">
        <f>T10/'Output-Calculation-sheet'!T9*'Output-Calculation-sheet'!T63</f>
        <v>32.463399761481696</v>
      </c>
      <c r="U76" s="2">
        <f>U10/'Output-Calculation-sheet'!U9*'Output-Calculation-sheet'!U63</f>
        <v>175.34418868041232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8.32760879377539</v>
      </c>
      <c r="AA76" s="2">
        <f t="shared" si="6"/>
        <v>1.5719617572927844</v>
      </c>
    </row>
    <row r="77" spans="1:27" x14ac:dyDescent="0.25">
      <c r="A77" s="2">
        <v>2034</v>
      </c>
      <c r="B77" s="2">
        <f>B11/'Output-Calculation-sheet'!B10*'Output-Calculation-sheet'!B64</f>
        <v>709.88901072283818</v>
      </c>
      <c r="C77" s="2">
        <f>C11/'Output-Calculation-sheet'!C10*'Output-Calculation-sheet'!C64</f>
        <v>0</v>
      </c>
      <c r="D77" s="2">
        <f>D11/'Output-Calculation-sheet'!D10*'Output-Calculation-sheet'!D64</f>
        <v>2387.7255271692907</v>
      </c>
      <c r="E77" s="2">
        <f>E11/'Output-Calculation-sheet'!E10*'Output-Calculation-sheet'!E64</f>
        <v>2960.7124520379703</v>
      </c>
      <c r="F77" s="2">
        <f>F11/'Output-Calculation-sheet'!F10*'Output-Calculation-sheet'!F64</f>
        <v>185.48885851025864</v>
      </c>
      <c r="G77" s="2">
        <f>G11/'Output-Calculation-sheet'!G10*'Output-Calculation-sheet'!G64</f>
        <v>1196.2161637678494</v>
      </c>
      <c r="H77" s="2">
        <f>H11/'Output-Calculation-sheet'!H10*'Output-Calculation-sheet'!H64</f>
        <v>195.76601807711148</v>
      </c>
      <c r="I77" s="2">
        <f>I11/'Output-Calculation-sheet'!I10*'Output-Calculation-sheet'!I64</f>
        <v>740.1447962449754</v>
      </c>
      <c r="J77" s="2">
        <f>J11/'Output-Calculation-sheet'!J10*'Output-Calculation-sheet'!J64</f>
        <v>520.14259503463882</v>
      </c>
      <c r="K77" s="2">
        <f>K11/'Output-Calculation-sheet'!K10*'Output-Calculation-sheet'!K64</f>
        <v>1134.8061978655753</v>
      </c>
      <c r="L77" s="2">
        <f>L11/'Output-Calculation-sheet'!L10*'Output-Calculation-sheet'!L64</f>
        <v>469.23147243104023</v>
      </c>
      <c r="M77" s="2">
        <f>M11/'Output-Calculation-sheet'!M10*'Output-Calculation-sheet'!M64</f>
        <v>140.99369702615164</v>
      </c>
      <c r="N77" s="2">
        <f>N11/'Output-Calculation-sheet'!N10*'Output-Calculation-sheet'!N64</f>
        <v>46.630587615241325</v>
      </c>
      <c r="O77" s="2">
        <f>O11/'Output-Calculation-sheet'!O10*'Output-Calculation-sheet'!O64</f>
        <v>0</v>
      </c>
      <c r="P77" s="2">
        <f>P11/'Output-Calculation-sheet'!P10*'Output-Calculation-sheet'!P64</f>
        <v>960.16338399593724</v>
      </c>
      <c r="Q77" s="2">
        <f>Q11/'Output-Calculation-sheet'!Q10*'Output-Calculation-sheet'!Q64</f>
        <v>231.59320215120894</v>
      </c>
      <c r="R77" s="2">
        <f>R11/'Output-Calculation-sheet'!R10*'Output-Calculation-sheet'!R64</f>
        <v>1193.8563977318377</v>
      </c>
      <c r="S77" s="2">
        <f>S11/'Output-Calculation-sheet'!S10*'Output-Calculation-sheet'!S64</f>
        <v>0</v>
      </c>
      <c r="T77" s="2">
        <f>T11/'Output-Calculation-sheet'!T10*'Output-Calculation-sheet'!T64</f>
        <v>331.02825866100426</v>
      </c>
      <c r="U77" s="2">
        <f>U11/'Output-Calculation-sheet'!U10*'Output-Calculation-sheet'!U64</f>
        <v>363.06553403245624</v>
      </c>
      <c r="V77" s="2">
        <f>V11/'Output-Calculation-sheet'!V10*'Output-Calculation-sheet'!V64</f>
        <v>171.08178048497794</v>
      </c>
      <c r="W77" s="2">
        <f>W11/'Output-Calculation-sheet'!W10*'Output-Calculation-sheet'!W64</f>
        <v>37.538402437540114</v>
      </c>
      <c r="X77" s="2">
        <f>X11/'Output-Calculation-sheet'!X10*'Output-Calculation-sheet'!X64</f>
        <v>14.05552424840676</v>
      </c>
      <c r="Y77" s="2">
        <f>Y11/'Output-Calculation-sheet'!Y10*'Output-Calculation-sheet'!Y64</f>
        <v>79.224271627290975</v>
      </c>
      <c r="AA77" s="2">
        <f t="shared" si="6"/>
        <v>14.069354131873599</v>
      </c>
    </row>
    <row r="78" spans="1:27" x14ac:dyDescent="0.25">
      <c r="A78" s="2">
        <v>2035</v>
      </c>
      <c r="B78" s="2">
        <f>B12/'Output-Calculation-sheet'!B11*'Output-Calculation-sheet'!B65</f>
        <v>906.50185756667702</v>
      </c>
      <c r="C78" s="2">
        <f>C12/'Output-Calculation-sheet'!C11*'Output-Calculation-sheet'!C65</f>
        <v>92.671218973550566</v>
      </c>
      <c r="D78" s="2">
        <f>D12/'Output-Calculation-sheet'!D11*'Output-Calculation-sheet'!D65</f>
        <v>2881.3905146488878</v>
      </c>
      <c r="E78" s="2">
        <f>E12/'Output-Calculation-sheet'!E11*'Output-Calculation-sheet'!E65</f>
        <v>2690.29597051361</v>
      </c>
      <c r="F78" s="2">
        <f>F12/'Output-Calculation-sheet'!F11*'Output-Calculation-sheet'!F65</f>
        <v>636.4402484039415</v>
      </c>
      <c r="G78" s="2">
        <f>G12/'Output-Calculation-sheet'!G11*'Output-Calculation-sheet'!G65</f>
        <v>1259.9947532906776</v>
      </c>
      <c r="H78" s="2">
        <f>H12/'Output-Calculation-sheet'!H11*'Output-Calculation-sheet'!H65</f>
        <v>36.411099313097026</v>
      </c>
      <c r="I78" s="2">
        <f>I12/'Output-Calculation-sheet'!I11*'Output-Calculation-sheet'!I65</f>
        <v>835.60266581230496</v>
      </c>
      <c r="J78" s="2">
        <f>J12/'Output-Calculation-sheet'!J11*'Output-Calculation-sheet'!J65</f>
        <v>1219.2488553672572</v>
      </c>
      <c r="K78" s="2">
        <f>K12/'Output-Calculation-sheet'!K11*'Output-Calculation-sheet'!K65</f>
        <v>1522.0306190454287</v>
      </c>
      <c r="L78" s="2">
        <f>L12/'Output-Calculation-sheet'!L11*'Output-Calculation-sheet'!L65</f>
        <v>1284.1126923069542</v>
      </c>
      <c r="M78" s="2">
        <f>M12/'Output-Calculation-sheet'!M11*'Output-Calculation-sheet'!M65</f>
        <v>30.435659972519453</v>
      </c>
      <c r="N78" s="2">
        <f>N12/'Output-Calculation-sheet'!N11*'Output-Calculation-sheet'!N65</f>
        <v>24.70532827768108</v>
      </c>
      <c r="O78" s="2">
        <f>O12/'Output-Calculation-sheet'!O11*'Output-Calculation-sheet'!O65</f>
        <v>16.841234779353055</v>
      </c>
      <c r="P78" s="2">
        <f>P12/'Output-Calculation-sheet'!P11*'Output-Calculation-sheet'!P65</f>
        <v>704.52491339744654</v>
      </c>
      <c r="Q78" s="2">
        <f>Q12/'Output-Calculation-sheet'!Q11*'Output-Calculation-sheet'!Q65</f>
        <v>266.67985077955365</v>
      </c>
      <c r="R78" s="2">
        <f>R12/'Output-Calculation-sheet'!R11*'Output-Calculation-sheet'!R65</f>
        <v>1616.1692868155335</v>
      </c>
      <c r="S78" s="2">
        <f>S12/'Output-Calculation-sheet'!S11*'Output-Calculation-sheet'!S65</f>
        <v>9.6142548793702769</v>
      </c>
      <c r="T78" s="2">
        <f>T12/'Output-Calculation-sheet'!T11*'Output-Calculation-sheet'!T65</f>
        <v>556.71156778125328</v>
      </c>
      <c r="U78" s="2">
        <f>U12/'Output-Calculation-sheet'!U11*'Output-Calculation-sheet'!U65</f>
        <v>381.44259961256222</v>
      </c>
      <c r="V78" s="2">
        <f>V12/'Output-Calculation-sheet'!V11*'Output-Calculation-sheet'!V65</f>
        <v>314.46736235848817</v>
      </c>
      <c r="W78" s="2">
        <f>W12/'Output-Calculation-sheet'!W11*'Output-Calculation-sheet'!W65</f>
        <v>148.70039321179064</v>
      </c>
      <c r="X78" s="2">
        <f>X12/'Output-Calculation-sheet'!X11*'Output-Calculation-sheet'!X65</f>
        <v>3.2606843218125086</v>
      </c>
      <c r="Y78" s="2">
        <f>Y12/'Output-Calculation-sheet'!Y11*'Output-Calculation-sheet'!Y65</f>
        <v>83.797200324771026</v>
      </c>
      <c r="AA78" s="2">
        <f t="shared" si="6"/>
        <v>17.52205083175452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2.3581541981119436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1.7275117687857675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4.0856659668977108E-3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42.169878912535644</v>
      </c>
      <c r="E89" s="2">
        <f>E12/'Output-Calculation-sheet'!E11*'Output-Calculation-sheet'!E74</f>
        <v>94.955893861103874</v>
      </c>
      <c r="F89" s="2">
        <f>F12/'Output-Calculation-sheet'!F11*'Output-Calculation-sheet'!F74</f>
        <v>42.155805555325983</v>
      </c>
      <c r="G89" s="2">
        <f>G12/'Output-Calculation-sheet'!G11*'Output-Calculation-sheet'!G74</f>
        <v>30.254577803788905</v>
      </c>
      <c r="H89" s="2">
        <f>H12/'Output-Calculation-sheet'!H11*'Output-Calculation-sheet'!H74</f>
        <v>4.8847731839411086</v>
      </c>
      <c r="I89" s="2">
        <f>I12/'Output-Calculation-sheet'!I11*'Output-Calculation-sheet'!I74</f>
        <v>27.212123157986944</v>
      </c>
      <c r="J89" s="2">
        <f>J12/'Output-Calculation-sheet'!J11*'Output-Calculation-sheet'!J74</f>
        <v>13.465493904957402</v>
      </c>
      <c r="K89" s="2">
        <f>K12/'Output-Calculation-sheet'!K11*'Output-Calculation-sheet'!K74</f>
        <v>20.058889141516232</v>
      </c>
      <c r="L89" s="2">
        <f>L12/'Output-Calculation-sheet'!L11*'Output-Calculation-sheet'!L74</f>
        <v>10.633270152780121</v>
      </c>
      <c r="M89" s="2">
        <f>M12/'Output-Calculation-sheet'!M11*'Output-Calculation-sheet'!M74</f>
        <v>3.3611993343478139</v>
      </c>
      <c r="N89" s="2">
        <f>N12/'Output-Calculation-sheet'!N11*'Output-Calculation-sheet'!N74</f>
        <v>1.6517569216875763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32.044598520138308</v>
      </c>
      <c r="Q89" s="2">
        <f>Q12/'Output-Calculation-sheet'!Q11*'Output-Calculation-sheet'!Q74</f>
        <v>7.2359597875867898</v>
      </c>
      <c r="R89" s="2">
        <f>R12/'Output-Calculation-sheet'!R11*'Output-Calculation-sheet'!R74</f>
        <v>17.221963021578837</v>
      </c>
      <c r="S89" s="2">
        <f>S12/'Output-Calculation-sheet'!S11*'Output-Calculation-sheet'!S74</f>
        <v>1.8936881779338739</v>
      </c>
      <c r="T89" s="2">
        <f>T12/'Output-Calculation-sheet'!T11*'Output-Calculation-sheet'!T74</f>
        <v>3.7166952385332412</v>
      </c>
      <c r="U89" s="2">
        <f>U12/'Output-Calculation-sheet'!U11*'Output-Calculation-sheet'!U74</f>
        <v>9.2348249988515185</v>
      </c>
      <c r="V89" s="2">
        <f>V12/'Output-Calculation-sheet'!V11*'Output-Calculation-sheet'!V74</f>
        <v>0.71208568187522869</v>
      </c>
      <c r="W89" s="2">
        <f>W12/'Output-Calculation-sheet'!W11*'Output-Calculation-sheet'!W74</f>
        <v>4.3163224999794094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4.4479005168214298</v>
      </c>
      <c r="AA89" s="2">
        <f t="shared" si="7"/>
        <v>0.41472123399133354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10031719279.262419</v>
      </c>
      <c r="C96" s="2">
        <f>C8/'Output-Calculation-sheet'!C7*'Output-Calculation-sheet'!C79</f>
        <v>2422496113.1592355</v>
      </c>
      <c r="D96" s="2">
        <f>D8/'Output-Calculation-sheet'!D7*'Output-Calculation-sheet'!D79</f>
        <v>1966696710.9986641</v>
      </c>
      <c r="E96" s="2">
        <f>E8/'Output-Calculation-sheet'!E7*'Output-Calculation-sheet'!E79</f>
        <v>7368507537.4752703</v>
      </c>
      <c r="F96" s="2">
        <f>F8/'Output-Calculation-sheet'!F7*'Output-Calculation-sheet'!F79</f>
        <v>2149505637.035953</v>
      </c>
      <c r="G96" s="2">
        <f>G8/'Output-Calculation-sheet'!G7*'Output-Calculation-sheet'!G79</f>
        <v>1379676248.3422434</v>
      </c>
      <c r="H96" s="2">
        <f>H8/'Output-Calculation-sheet'!H7*'Output-Calculation-sheet'!H79</f>
        <v>1699715401.7206223</v>
      </c>
      <c r="I96" s="2">
        <f>I8/'Output-Calculation-sheet'!I7*'Output-Calculation-sheet'!I79</f>
        <v>992119096.4650923</v>
      </c>
      <c r="J96" s="2">
        <f>J8/'Output-Calculation-sheet'!J7*'Output-Calculation-sheet'!J79</f>
        <v>751829669.40266597</v>
      </c>
      <c r="K96" s="2">
        <f>K8/'Output-Calculation-sheet'!K7*'Output-Calculation-sheet'!K79</f>
        <v>942893070.13468325</v>
      </c>
      <c r="L96" s="2">
        <f>L8/'Output-Calculation-sheet'!L7*'Output-Calculation-sheet'!L79</f>
        <v>855986090.00321019</v>
      </c>
      <c r="M96" s="2">
        <f>M8/'Output-Calculation-sheet'!M7*'Output-Calculation-sheet'!M79</f>
        <v>1311491413.101908</v>
      </c>
      <c r="N96" s="2">
        <f>N8/'Output-Calculation-sheet'!N7*'Output-Calculation-sheet'!N79</f>
        <v>852556889.72423995</v>
      </c>
      <c r="O96" s="2">
        <f>O8/'Output-Calculation-sheet'!O7*'Output-Calculation-sheet'!O79</f>
        <v>319897270.56935102</v>
      </c>
      <c r="P96" s="2">
        <f>P8/'Output-Calculation-sheet'!P7*'Output-Calculation-sheet'!P79</f>
        <v>1623710414.9271331</v>
      </c>
      <c r="Q96" s="2">
        <f>Q8/'Output-Calculation-sheet'!Q7*'Output-Calculation-sheet'!Q79</f>
        <v>689374385.76446927</v>
      </c>
      <c r="R96" s="2">
        <f>R8/'Output-Calculation-sheet'!R7*'Output-Calculation-sheet'!R79</f>
        <v>914994717.28339422</v>
      </c>
      <c r="S96" s="2">
        <f>S8/'Output-Calculation-sheet'!S7*'Output-Calculation-sheet'!S79</f>
        <v>516019910.76924938</v>
      </c>
      <c r="T96" s="2">
        <f>T8/'Output-Calculation-sheet'!T7*'Output-Calculation-sheet'!T79</f>
        <v>311303995.14654613</v>
      </c>
      <c r="U96" s="2">
        <f>U8/'Output-Calculation-sheet'!U7*'Output-Calculation-sheet'!U79</f>
        <v>245035293.27713534</v>
      </c>
      <c r="V96" s="2">
        <f>V8/'Output-Calculation-sheet'!V7*'Output-Calculation-sheet'!V79</f>
        <v>112462668.00392543</v>
      </c>
      <c r="W96" s="2">
        <f>W8/'Output-Calculation-sheet'!W7*'Output-Calculation-sheet'!W79</f>
        <v>346262389.55685675</v>
      </c>
      <c r="X96" s="2">
        <f>X8/'Output-Calculation-sheet'!X7*'Output-Calculation-sheet'!X79</f>
        <v>156171156.63403884</v>
      </c>
      <c r="Y96" s="2">
        <f>Y8/'Output-Calculation-sheet'!Y7*'Output-Calculation-sheet'!Y79</f>
        <v>214920243.12895057</v>
      </c>
      <c r="AA96" s="2">
        <f t="shared" si="8"/>
        <v>38.175345601887265</v>
      </c>
    </row>
    <row r="97" spans="1:27" x14ac:dyDescent="0.25">
      <c r="A97" s="2">
        <v>2032</v>
      </c>
      <c r="B97" s="2">
        <f>B9/'Output-Calculation-sheet'!B8*'Output-Calculation-sheet'!B80</f>
        <v>13191445553.531656</v>
      </c>
      <c r="C97" s="2">
        <f>C9/'Output-Calculation-sheet'!C8*'Output-Calculation-sheet'!C80</f>
        <v>3115586092.2127924</v>
      </c>
      <c r="D97" s="2">
        <f>D9/'Output-Calculation-sheet'!D8*'Output-Calculation-sheet'!D80</f>
        <v>2379959032.919651</v>
      </c>
      <c r="E97" s="2">
        <f>E9/'Output-Calculation-sheet'!E8*'Output-Calculation-sheet'!E80</f>
        <v>10019289665.971443</v>
      </c>
      <c r="F97" s="2">
        <f>F9/'Output-Calculation-sheet'!F8*'Output-Calculation-sheet'!F80</f>
        <v>2747633127.8958836</v>
      </c>
      <c r="G97" s="2">
        <f>G9/'Output-Calculation-sheet'!G8*'Output-Calculation-sheet'!G80</f>
        <v>1683603150.2901385</v>
      </c>
      <c r="H97" s="2">
        <f>H9/'Output-Calculation-sheet'!H8*'Output-Calculation-sheet'!H80</f>
        <v>2204440661.0918374</v>
      </c>
      <c r="I97" s="2">
        <f>I9/'Output-Calculation-sheet'!I8*'Output-Calculation-sheet'!I80</f>
        <v>1269753072.0276468</v>
      </c>
      <c r="J97" s="2">
        <f>J9/'Output-Calculation-sheet'!J8*'Output-Calculation-sheet'!J80</f>
        <v>948855633.29496789</v>
      </c>
      <c r="K97" s="2">
        <f>K9/'Output-Calculation-sheet'!K8*'Output-Calculation-sheet'!K80</f>
        <v>1170261224.7708387</v>
      </c>
      <c r="L97" s="2">
        <f>L9/'Output-Calculation-sheet'!L8*'Output-Calculation-sheet'!L80</f>
        <v>1128798177.4904957</v>
      </c>
      <c r="M97" s="2">
        <f>M9/'Output-Calculation-sheet'!M8*'Output-Calculation-sheet'!M80</f>
        <v>1739154358.8392091</v>
      </c>
      <c r="N97" s="2">
        <f>N9/'Output-Calculation-sheet'!N8*'Output-Calculation-sheet'!N80</f>
        <v>1092719351.9182665</v>
      </c>
      <c r="O97" s="2">
        <f>O9/'Output-Calculation-sheet'!O8*'Output-Calculation-sheet'!O80</f>
        <v>406182868.39949203</v>
      </c>
      <c r="P97" s="2">
        <f>P9/'Output-Calculation-sheet'!P8*'Output-Calculation-sheet'!P80</f>
        <v>2048584623.7830031</v>
      </c>
      <c r="Q97" s="2">
        <f>Q9/'Output-Calculation-sheet'!Q8*'Output-Calculation-sheet'!Q80</f>
        <v>886083907.80869591</v>
      </c>
      <c r="R97" s="2">
        <f>R9/'Output-Calculation-sheet'!R8*'Output-Calculation-sheet'!R80</f>
        <v>1187359077.6249902</v>
      </c>
      <c r="S97" s="2">
        <f>S9/'Output-Calculation-sheet'!S8*'Output-Calculation-sheet'!S80</f>
        <v>660838264.07217979</v>
      </c>
      <c r="T97" s="2">
        <f>T9/'Output-Calculation-sheet'!T8*'Output-Calculation-sheet'!T80</f>
        <v>385330301.4456237</v>
      </c>
      <c r="U97" s="2">
        <f>U9/'Output-Calculation-sheet'!U8*'Output-Calculation-sheet'!U80</f>
        <v>306616192.78419155</v>
      </c>
      <c r="V97" s="2">
        <f>V9/'Output-Calculation-sheet'!V8*'Output-Calculation-sheet'!V80</f>
        <v>141429157.11331508</v>
      </c>
      <c r="W97" s="2">
        <f>W9/'Output-Calculation-sheet'!W8*'Output-Calculation-sheet'!W80</f>
        <v>437651116.47305512</v>
      </c>
      <c r="X97" s="2">
        <f>X9/'Output-Calculation-sheet'!X8*'Output-Calculation-sheet'!X80</f>
        <v>211967701.80842733</v>
      </c>
      <c r="Y97" s="2">
        <f>Y9/'Output-Calculation-sheet'!Y8*'Output-Calculation-sheet'!Y80</f>
        <v>278251384.57410538</v>
      </c>
      <c r="AA97" s="2">
        <f t="shared" si="8"/>
        <v>49.641793698141896</v>
      </c>
    </row>
    <row r="98" spans="1:27" x14ac:dyDescent="0.25">
      <c r="A98" s="2">
        <v>2033</v>
      </c>
      <c r="B98" s="2">
        <f>B10/'Output-Calculation-sheet'!B9*'Output-Calculation-sheet'!B81</f>
        <v>15983395157.106983</v>
      </c>
      <c r="C98" s="2">
        <f>C10/'Output-Calculation-sheet'!C9*'Output-Calculation-sheet'!C81</f>
        <v>3701133001.1692247</v>
      </c>
      <c r="D98" s="2">
        <f>D10/'Output-Calculation-sheet'!D9*'Output-Calculation-sheet'!D81</f>
        <v>2662571161.654068</v>
      </c>
      <c r="E98" s="2">
        <f>E10/'Output-Calculation-sheet'!E9*'Output-Calculation-sheet'!E81</f>
        <v>12568363792.329523</v>
      </c>
      <c r="F98" s="2">
        <f>F10/'Output-Calculation-sheet'!F9*'Output-Calculation-sheet'!F81</f>
        <v>3238247200.0461397</v>
      </c>
      <c r="G98" s="2">
        <f>G10/'Output-Calculation-sheet'!G9*'Output-Calculation-sheet'!G81</f>
        <v>1891854057.5817504</v>
      </c>
      <c r="H98" s="2">
        <f>H10/'Output-Calculation-sheet'!H9*'Output-Calculation-sheet'!H81</f>
        <v>2633753949.2784948</v>
      </c>
      <c r="I98" s="2">
        <f>I10/'Output-Calculation-sheet'!I9*'Output-Calculation-sheet'!I81</f>
        <v>1500952748.7024384</v>
      </c>
      <c r="J98" s="2">
        <f>J10/'Output-Calculation-sheet'!J9*'Output-Calculation-sheet'!J81</f>
        <v>1107240022.0515866</v>
      </c>
      <c r="K98" s="2">
        <f>K10/'Output-Calculation-sheet'!K9*'Output-Calculation-sheet'!K81</f>
        <v>1340813513.2456975</v>
      </c>
      <c r="L98" s="2">
        <f>L10/'Output-Calculation-sheet'!L9*'Output-Calculation-sheet'!L81</f>
        <v>1374202707.5815151</v>
      </c>
      <c r="M98" s="2">
        <f>M10/'Output-Calculation-sheet'!M9*'Output-Calculation-sheet'!M81</f>
        <v>2129527657.5806997</v>
      </c>
      <c r="N98" s="2">
        <f>N10/'Output-Calculation-sheet'!N9*'Output-Calculation-sheet'!N81</f>
        <v>1294144399.9249485</v>
      </c>
      <c r="O98" s="2">
        <f>O10/'Output-Calculation-sheet'!O9*'Output-Calculation-sheet'!O81</f>
        <v>477318660.71359527</v>
      </c>
      <c r="P98" s="2">
        <f>P10/'Output-Calculation-sheet'!P9*'Output-Calculation-sheet'!P81</f>
        <v>2367998417.8293295</v>
      </c>
      <c r="Q98" s="2">
        <f>Q10/'Output-Calculation-sheet'!Q9*'Output-Calculation-sheet'!Q81</f>
        <v>1052178379.7344385</v>
      </c>
      <c r="R98" s="2">
        <f>R10/'Output-Calculation-sheet'!R9*'Output-Calculation-sheet'!R81</f>
        <v>1420206700.6769402</v>
      </c>
      <c r="S98" s="2">
        <f>S10/'Output-Calculation-sheet'!S9*'Output-Calculation-sheet'!S81</f>
        <v>779975757.75517714</v>
      </c>
      <c r="T98" s="2">
        <f>T10/'Output-Calculation-sheet'!T9*'Output-Calculation-sheet'!T81</f>
        <v>439448582.32910192</v>
      </c>
      <c r="U98" s="2">
        <f>U10/'Output-Calculation-sheet'!U9*'Output-Calculation-sheet'!U81</f>
        <v>353110389.03241014</v>
      </c>
      <c r="V98" s="2">
        <f>V10/'Output-Calculation-sheet'!V9*'Output-Calculation-sheet'!V81</f>
        <v>164000728.73934031</v>
      </c>
      <c r="W98" s="2">
        <f>W10/'Output-Calculation-sheet'!W9*'Output-Calculation-sheet'!W81</f>
        <v>507172951.46358013</v>
      </c>
      <c r="X98" s="2">
        <f>X10/'Output-Calculation-sheet'!X9*'Output-Calculation-sheet'!X81</f>
        <v>265877364.17234793</v>
      </c>
      <c r="Y98" s="2">
        <f>Y10/'Output-Calculation-sheet'!Y9*'Output-Calculation-sheet'!Y81</f>
        <v>331011543.10705489</v>
      </c>
      <c r="AA98" s="2">
        <f t="shared" si="8"/>
        <v>59.584498843806379</v>
      </c>
    </row>
    <row r="99" spans="1:27" x14ac:dyDescent="0.25">
      <c r="A99" s="2">
        <v>2034</v>
      </c>
      <c r="B99" s="2">
        <f>B11/'Output-Calculation-sheet'!B10*'Output-Calculation-sheet'!B82</f>
        <v>18330293659.306259</v>
      </c>
      <c r="C99" s="2">
        <f>C11/'Output-Calculation-sheet'!C10*'Output-Calculation-sheet'!C82</f>
        <v>4172584335.7351627</v>
      </c>
      <c r="D99" s="2">
        <f>D11/'Output-Calculation-sheet'!D10*'Output-Calculation-sheet'!D82</f>
        <v>2830372544.3701348</v>
      </c>
      <c r="E99" s="2">
        <f>E11/'Output-Calculation-sheet'!E10*'Output-Calculation-sheet'!E82</f>
        <v>14938236512.609314</v>
      </c>
      <c r="F99" s="2">
        <f>F11/'Output-Calculation-sheet'!F10*'Output-Calculation-sheet'!F82</f>
        <v>3615892575.2534685</v>
      </c>
      <c r="G99" s="2">
        <f>G11/'Output-Calculation-sheet'!G10*'Output-Calculation-sheet'!G82</f>
        <v>2012466007.1943789</v>
      </c>
      <c r="H99" s="2">
        <f>H11/'Output-Calculation-sheet'!H10*'Output-Calculation-sheet'!H82</f>
        <v>2977929726.5328722</v>
      </c>
      <c r="I99" s="2">
        <f>I11/'Output-Calculation-sheet'!I10*'Output-Calculation-sheet'!I82</f>
        <v>1683884875.9728818</v>
      </c>
      <c r="J99" s="2">
        <f>J11/'Output-Calculation-sheet'!J10*'Output-Calculation-sheet'!J82</f>
        <v>1227540344.6460152</v>
      </c>
      <c r="K99" s="2">
        <f>K11/'Output-Calculation-sheet'!K10*'Output-Calculation-sheet'!K82</f>
        <v>1457527543.8886151</v>
      </c>
      <c r="L99" s="2">
        <f>L11/'Output-Calculation-sheet'!L10*'Output-Calculation-sheet'!L82</f>
        <v>1586649169.6689105</v>
      </c>
      <c r="M99" s="2">
        <f>M11/'Output-Calculation-sheet'!M10*'Output-Calculation-sheet'!M82</f>
        <v>2473351938.1112857</v>
      </c>
      <c r="N99" s="2">
        <f>N11/'Output-Calculation-sheet'!N10*'Output-Calculation-sheet'!N82</f>
        <v>1455246815.9423482</v>
      </c>
      <c r="O99" s="2">
        <f>O11/'Output-Calculation-sheet'!O10*'Output-Calculation-sheet'!O82</f>
        <v>533344599.14220119</v>
      </c>
      <c r="P99" s="2">
        <f>P11/'Output-Calculation-sheet'!P10*'Output-Calculation-sheet'!P82</f>
        <v>2578003147.6810498</v>
      </c>
      <c r="Q99" s="2">
        <f>Q11/'Output-Calculation-sheet'!Q10*'Output-Calculation-sheet'!Q82</f>
        <v>1185850999.0932631</v>
      </c>
      <c r="R99" s="2">
        <f>R11/'Output-Calculation-sheet'!R10*'Output-Calculation-sheet'!R82</f>
        <v>1608578878.6285079</v>
      </c>
      <c r="S99" s="2">
        <f>S11/'Output-Calculation-sheet'!S10*'Output-Calculation-sheet'!S82</f>
        <v>871712625.99924135</v>
      </c>
      <c r="T99" s="2">
        <f>T11/'Output-Calculation-sheet'!T10*'Output-Calculation-sheet'!T82</f>
        <v>474682019.10631514</v>
      </c>
      <c r="U99" s="2">
        <f>U11/'Output-Calculation-sheet'!U10*'Output-Calculation-sheet'!U82</f>
        <v>384699207.10075462</v>
      </c>
      <c r="V99" s="2">
        <f>V11/'Output-Calculation-sheet'!V10*'Output-Calculation-sheet'!V82</f>
        <v>180201080.27339149</v>
      </c>
      <c r="W99" s="2">
        <f>W11/'Output-Calculation-sheet'!W10*'Output-Calculation-sheet'!W82</f>
        <v>553937919.1454469</v>
      </c>
      <c r="X99" s="2">
        <f>X11/'Output-Calculation-sheet'!X10*'Output-Calculation-sheet'!X82</f>
        <v>316597023.62712228</v>
      </c>
      <c r="Y99" s="2">
        <f>Y11/'Output-Calculation-sheet'!Y10*'Output-Calculation-sheet'!Y82</f>
        <v>371804310.48205829</v>
      </c>
      <c r="AA99" s="2">
        <f t="shared" si="8"/>
        <v>67.821387859511006</v>
      </c>
    </row>
    <row r="100" spans="1:27" x14ac:dyDescent="0.25">
      <c r="A100" s="2">
        <v>2035</v>
      </c>
      <c r="B100" s="2">
        <f>B12/'Output-Calculation-sheet'!B11*'Output-Calculation-sheet'!B83</f>
        <v>20216327095.974335</v>
      </c>
      <c r="C100" s="2">
        <f>C12/'Output-Calculation-sheet'!C11*'Output-Calculation-sheet'!C83</f>
        <v>4536610826.5881872</v>
      </c>
      <c r="D100" s="2">
        <f>D12/'Output-Calculation-sheet'!D11*'Output-Calculation-sheet'!D83</f>
        <v>2906063407.9692969</v>
      </c>
      <c r="E100" s="2">
        <f>E12/'Output-Calculation-sheet'!E11*'Output-Calculation-sheet'!E83</f>
        <v>17089323930.99917</v>
      </c>
      <c r="F100" s="2">
        <f>F12/'Output-Calculation-sheet'!F11*'Output-Calculation-sheet'!F83</f>
        <v>3888026433.3839192</v>
      </c>
      <c r="G100" s="2">
        <f>G12/'Output-Calculation-sheet'!G11*'Output-Calculation-sheet'!G83</f>
        <v>2060530629.8574505</v>
      </c>
      <c r="H100" s="2">
        <f>H12/'Output-Calculation-sheet'!H11*'Output-Calculation-sheet'!H83</f>
        <v>3237930522.253571</v>
      </c>
      <c r="I100" s="2">
        <f>I12/'Output-Calculation-sheet'!I11*'Output-Calculation-sheet'!I83</f>
        <v>1822140093.9327004</v>
      </c>
      <c r="J100" s="2">
        <f>J12/'Output-Calculation-sheet'!J11*'Output-Calculation-sheet'!J83</f>
        <v>1313978156.1388357</v>
      </c>
      <c r="K100" s="2">
        <f>K12/'Output-Calculation-sheet'!K11*'Output-Calculation-sheet'!K83</f>
        <v>1528033798.8123925</v>
      </c>
      <c r="L100" s="2">
        <f>L12/'Output-Calculation-sheet'!L11*'Output-Calculation-sheet'!L83</f>
        <v>1765412779.1943324</v>
      </c>
      <c r="M100" s="2">
        <f>M12/'Output-Calculation-sheet'!M11*'Output-Calculation-sheet'!M83</f>
        <v>2768576196.1109476</v>
      </c>
      <c r="N100" s="2">
        <f>N12/'Output-Calculation-sheet'!N11*'Output-Calculation-sheet'!N83</f>
        <v>1578982989.3534043</v>
      </c>
      <c r="O100" s="2">
        <f>O12/'Output-Calculation-sheet'!O11*'Output-Calculation-sheet'!O83</f>
        <v>575805454.788131</v>
      </c>
      <c r="P100" s="2">
        <f>P12/'Output-Calculation-sheet'!P11*'Output-Calculation-sheet'!P83</f>
        <v>2688177117.7897797</v>
      </c>
      <c r="Q100" s="2">
        <f>Q12/'Output-Calculation-sheet'!Q11*'Output-Calculation-sheet'!Q83</f>
        <v>1288980735.8648837</v>
      </c>
      <c r="R100" s="2">
        <f>R12/'Output-Calculation-sheet'!R11*'Output-Calculation-sheet'!R83</f>
        <v>1753109725.7816176</v>
      </c>
      <c r="S100" s="2">
        <f>S12/'Output-Calculation-sheet'!S11*'Output-Calculation-sheet'!S83</f>
        <v>937472510.22756886</v>
      </c>
      <c r="T100" s="2">
        <f>T12/'Output-Calculation-sheet'!T11*'Output-Calculation-sheet'!T83</f>
        <v>493767687.95165867</v>
      </c>
      <c r="U100" s="2">
        <f>U12/'Output-Calculation-sheet'!U11*'Output-Calculation-sheet'!U83</f>
        <v>403091476.63849485</v>
      </c>
      <c r="V100" s="2">
        <f>V12/'Output-Calculation-sheet'!V11*'Output-Calculation-sheet'!V83</f>
        <v>190689602.77078795</v>
      </c>
      <c r="W100" s="2">
        <f>W12/'Output-Calculation-sheet'!W11*'Output-Calculation-sheet'!W83</f>
        <v>579829175.02098405</v>
      </c>
      <c r="X100" s="2">
        <f>X12/'Output-Calculation-sheet'!X11*'Output-Calculation-sheet'!X83</f>
        <v>363616633.60322189</v>
      </c>
      <c r="Y100" s="2">
        <f>Y12/'Output-Calculation-sheet'!Y11*'Output-Calculation-sheet'!Y83</f>
        <v>400816150.09661895</v>
      </c>
      <c r="AA100" s="2">
        <f t="shared" si="8"/>
        <v>74.387293131102282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2076.9665613025945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639.35472460392896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439.93827222434339</v>
      </c>
      <c r="N107" s="2">
        <f>N8/'Output-Calculation-sheet'!N7*'Output-Calculation-sheet'!N88</f>
        <v>172.95518985405994</v>
      </c>
      <c r="O107" s="2">
        <f>O8/'Output-Calculation-sheet'!O7*'Output-Calculation-sheet'!O88</f>
        <v>484.19628369778258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48.262143460731409</v>
      </c>
      <c r="Y107" s="2">
        <f>Y8/'Output-Calculation-sheet'!Y7*'Output-Calculation-sheet'!Y88</f>
        <v>0</v>
      </c>
      <c r="AA107" s="2">
        <f t="shared" si="9"/>
        <v>3.8616731751434408</v>
      </c>
    </row>
    <row r="108" spans="1:27" x14ac:dyDescent="0.25">
      <c r="A108" s="2">
        <v>2032</v>
      </c>
      <c r="B108" s="2">
        <f>B9/'Output-Calculation-sheet'!B8*'Output-Calculation-sheet'!B89</f>
        <v>1004.044192776096</v>
      </c>
      <c r="C108" s="2">
        <f>C9/'Output-Calculation-sheet'!C8*'Output-Calculation-sheet'!C89</f>
        <v>3812.3409031919405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1026.8621734029841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706.58110903817783</v>
      </c>
      <c r="N108" s="2">
        <f>N9/'Output-Calculation-sheet'!N8*'Output-Calculation-sheet'!N89</f>
        <v>496.03902888429269</v>
      </c>
      <c r="O108" s="2">
        <f>O9/'Output-Calculation-sheet'!O8*'Output-Calculation-sheet'!O89</f>
        <v>740.63192763396137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227.47735637330243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77.513417231528379</v>
      </c>
      <c r="Y108" s="2">
        <f>Y9/'Output-Calculation-sheet'!Y8*'Output-Calculation-sheet'!Y89</f>
        <v>0</v>
      </c>
      <c r="AA108" s="2">
        <f t="shared" si="9"/>
        <v>8.0914901085322821</v>
      </c>
    </row>
    <row r="109" spans="1:27" x14ac:dyDescent="0.25">
      <c r="A109" s="2">
        <v>2033</v>
      </c>
      <c r="B109" s="2">
        <f>B10/'Output-Calculation-sheet'!B9*'Output-Calculation-sheet'!B90</f>
        <v>5556.7860830249738</v>
      </c>
      <c r="C109" s="2">
        <f>C10/'Output-Calculation-sheet'!C9*'Output-Calculation-sheet'!C90</f>
        <v>5274.7585781137004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1623.7342867701395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1117.2872103441587</v>
      </c>
      <c r="N109" s="2">
        <f>N10/'Output-Calculation-sheet'!N9*'Output-Calculation-sheet'!N90</f>
        <v>878.48970542869813</v>
      </c>
      <c r="O109" s="2">
        <f>O10/'Output-Calculation-sheet'!O9*'Output-Calculation-sheet'!O90</f>
        <v>1024.7390547474961</v>
      </c>
      <c r="P109" s="2">
        <f>P10/'Output-Calculation-sheet'!P9*'Output-Calculation-sheet'!P90</f>
        <v>0</v>
      </c>
      <c r="Q109" s="2">
        <f>Q10/'Output-Calculation-sheet'!Q9*'Output-Calculation-sheet'!Q90</f>
        <v>192.4228710298504</v>
      </c>
      <c r="R109" s="2">
        <f>R10/'Output-Calculation-sheet'!R9*'Output-Calculation-sheet'!R90</f>
        <v>0</v>
      </c>
      <c r="S109" s="2">
        <f>S10/'Output-Calculation-sheet'!S9*'Output-Calculation-sheet'!S90</f>
        <v>440.63304784546199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122.5687307445093</v>
      </c>
      <c r="Y109" s="2">
        <f>Y10/'Output-Calculation-sheet'!Y9*'Output-Calculation-sheet'!Y90</f>
        <v>0</v>
      </c>
      <c r="AA109" s="2">
        <f t="shared" si="9"/>
        <v>16.231419568048988</v>
      </c>
    </row>
    <row r="110" spans="1:27" x14ac:dyDescent="0.25">
      <c r="A110" s="2">
        <v>2034</v>
      </c>
      <c r="B110" s="2">
        <f>B11/'Output-Calculation-sheet'!B10*'Output-Calculation-sheet'!B91</f>
        <v>10835.493688183931</v>
      </c>
      <c r="C110" s="2">
        <f>C11/'Output-Calculation-sheet'!C10*'Output-Calculation-sheet'!C91</f>
        <v>7428.4543612934158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2110.8079805737843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1452.4413134606236</v>
      </c>
      <c r="N110" s="2">
        <f>N11/'Output-Calculation-sheet'!N10*'Output-Calculation-sheet'!N91</f>
        <v>1308.5547397577909</v>
      </c>
      <c r="O110" s="2">
        <f>O11/'Output-Calculation-sheet'!O10*'Output-Calculation-sheet'!O91</f>
        <v>1443.1423140410204</v>
      </c>
      <c r="P110" s="2">
        <f>P11/'Output-Calculation-sheet'!P10*'Output-Calculation-sheet'!P91</f>
        <v>329.69310833763637</v>
      </c>
      <c r="Q110" s="2">
        <f>Q11/'Output-Calculation-sheet'!Q10*'Output-Calculation-sheet'!Q91</f>
        <v>729.58728168270034</v>
      </c>
      <c r="R110" s="2">
        <f>R11/'Output-Calculation-sheet'!R10*'Output-Calculation-sheet'!R91</f>
        <v>0</v>
      </c>
      <c r="S110" s="2">
        <f>S11/'Output-Calculation-sheet'!S10*'Output-Calculation-sheet'!S91</f>
        <v>750.10875036229129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159.33583292063264</v>
      </c>
      <c r="Y110" s="2">
        <f>Y11/'Output-Calculation-sheet'!Y10*'Output-Calculation-sheet'!Y91</f>
        <v>25.627021096415966</v>
      </c>
      <c r="AA110" s="2">
        <f t="shared" si="9"/>
        <v>26.573246391710235</v>
      </c>
    </row>
    <row r="111" spans="1:27" x14ac:dyDescent="0.25">
      <c r="A111" s="2">
        <v>2035</v>
      </c>
      <c r="B111" s="2">
        <f>B12/'Output-Calculation-sheet'!B11*'Output-Calculation-sheet'!B92</f>
        <v>18020.709286091391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3010.6603994785287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1057.4717511645642</v>
      </c>
      <c r="Q111" s="2">
        <f>Q12/'Output-Calculation-sheet'!Q11*'Output-Calculation-sheet'!Q92</f>
        <v>1225.7715880172022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82.197201550860029</v>
      </c>
      <c r="AA111" s="2">
        <f t="shared" si="9"/>
        <v>42.317469238730297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9763782041.6551094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3004115286.2262015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2086616940.888762</v>
      </c>
      <c r="N118" s="2">
        <f>N8/'Output-Calculation-sheet'!N7*'Output-Calculation-sheet'!N97</f>
        <v>1637399351.8321891</v>
      </c>
      <c r="O118" s="2">
        <f>O8/'Output-Calculation-sheet'!O7*'Output-Calculation-sheet'!O97</f>
        <v>1089544346.6226134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592717620.61633122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224897702.48428816</v>
      </c>
      <c r="Y118" s="2">
        <f>Y8/'Output-Calculation-sheet'!Y7*'Output-Calculation-sheet'!Y97</f>
        <v>0</v>
      </c>
      <c r="AA118" s="2">
        <f t="shared" si="10"/>
        <v>20064.647156683055</v>
      </c>
    </row>
    <row r="119" spans="1:27" x14ac:dyDescent="0.25">
      <c r="A119" s="2">
        <v>2032</v>
      </c>
      <c r="B119" s="2">
        <f>B9/'Output-Calculation-sheet'!B8*'Output-Calculation-sheet'!B98</f>
        <v>7532391692.3461561</v>
      </c>
      <c r="C119" s="2">
        <f>C9/'Output-Calculation-sheet'!C8*'Output-Calculation-sheet'!C98</f>
        <v>5986897059.9400721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3578980458.2375875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2498141762.8607249</v>
      </c>
      <c r="N119" s="2">
        <f>N9/'Output-Calculation-sheet'!N8*'Output-Calculation-sheet'!N98</f>
        <v>1687059659.1489685</v>
      </c>
      <c r="O119" s="2">
        <f>O9/'Output-Calculation-sheet'!O8*'Output-Calculation-sheet'!O98</f>
        <v>1169729058.1542754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700359131.20923686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267310124.56654662</v>
      </c>
      <c r="Y119" s="2">
        <f>Y9/'Output-Calculation-sheet'!Y8*'Output-Calculation-sheet'!Y98</f>
        <v>0</v>
      </c>
      <c r="AA119" s="2">
        <f t="shared" si="10"/>
        <v>23420.868946463564</v>
      </c>
    </row>
    <row r="120" spans="1:27" x14ac:dyDescent="0.25">
      <c r="A120" s="2">
        <v>2033</v>
      </c>
      <c r="B120" s="2">
        <f>B10/'Output-Calculation-sheet'!B9*'Output-Calculation-sheet'!B99</f>
        <v>7994177204.1354752</v>
      </c>
      <c r="C120" s="2">
        <f>C10/'Output-Calculation-sheet'!C9*'Output-Calculation-sheet'!C99</f>
        <v>6571710051.9980631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2154708051.0189371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1525120258.4773941</v>
      </c>
      <c r="N120" s="2">
        <f>N10/'Output-Calculation-sheet'!N9*'Output-Calculation-sheet'!N99</f>
        <v>1520687071.8918517</v>
      </c>
      <c r="O120" s="2">
        <f>O10/'Output-Calculation-sheet'!O9*'Output-Calculation-sheet'!O99</f>
        <v>1286599275.8017418</v>
      </c>
      <c r="P120" s="2">
        <f>P10/'Output-Calculation-sheet'!P9*'Output-Calculation-sheet'!P99</f>
        <v>0</v>
      </c>
      <c r="Q120" s="2">
        <f>Q10/'Output-Calculation-sheet'!Q9*'Output-Calculation-sheet'!Q99</f>
        <v>9295596.8018335644</v>
      </c>
      <c r="R120" s="2">
        <f>R10/'Output-Calculation-sheet'!R9*'Output-Calculation-sheet'!R99</f>
        <v>0</v>
      </c>
      <c r="S120" s="2">
        <f>S10/'Output-Calculation-sheet'!S9*'Output-Calculation-sheet'!S99</f>
        <v>636913733.88408697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-1.0521302363781934E-8</v>
      </c>
      <c r="W120" s="2">
        <f>W10/'Output-Calculation-sheet'!W9*'Output-Calculation-sheet'!W99</f>
        <v>0</v>
      </c>
      <c r="X120" s="2">
        <f>X10/'Output-Calculation-sheet'!X9*'Output-Calculation-sheet'!X99</f>
        <v>152290024.31232086</v>
      </c>
      <c r="Y120" s="2">
        <f>Y10/'Output-Calculation-sheet'!Y9*'Output-Calculation-sheet'!Y99</f>
        <v>0</v>
      </c>
      <c r="AA120" s="2">
        <f t="shared" si="10"/>
        <v>21851.501268321706</v>
      </c>
    </row>
    <row r="121" spans="1:27" x14ac:dyDescent="0.25">
      <c r="A121" s="2">
        <v>2034</v>
      </c>
      <c r="B121" s="2">
        <f>B11/'Output-Calculation-sheet'!B10*'Output-Calculation-sheet'!B100</f>
        <v>8123926246.5672789</v>
      </c>
      <c r="C121" s="2">
        <f>C11/'Output-Calculation-sheet'!C10*'Output-Calculation-sheet'!C100</f>
        <v>975200215.93793821</v>
      </c>
      <c r="D121" s="2">
        <f>D11/'Output-Calculation-sheet'!D10*'Output-Calculation-sheet'!D100</f>
        <v>0</v>
      </c>
      <c r="E121" s="2">
        <f>E11/'Output-Calculation-sheet'!E10*'Output-Calculation-sheet'!E100</f>
        <v>1128019375.8921082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2567793339.5195661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937269312.02578831</v>
      </c>
      <c r="M121" s="2">
        <f>M11/'Output-Calculation-sheet'!M10*'Output-Calculation-sheet'!M100</f>
        <v>1827488697.3825111</v>
      </c>
      <c r="N121" s="2">
        <f>N11/'Output-Calculation-sheet'!N10*'Output-Calculation-sheet'!N100</f>
        <v>1218345880.4651351</v>
      </c>
      <c r="O121" s="2">
        <f>O11/'Output-Calculation-sheet'!O10*'Output-Calculation-sheet'!O100</f>
        <v>191288729.98122928</v>
      </c>
      <c r="P121" s="2">
        <f>P11/'Output-Calculation-sheet'!P10*'Output-Calculation-sheet'!P100</f>
        <v>0</v>
      </c>
      <c r="Q121" s="2">
        <f>Q11/'Output-Calculation-sheet'!Q10*'Output-Calculation-sheet'!Q100</f>
        <v>413981224.20948899</v>
      </c>
      <c r="R121" s="2">
        <f>R11/'Output-Calculation-sheet'!R10*'Output-Calculation-sheet'!R100</f>
        <v>0</v>
      </c>
      <c r="S121" s="2">
        <f>S11/'Output-Calculation-sheet'!S10*'Output-Calculation-sheet'!S100</f>
        <v>455530505.37703919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179563551.39818248</v>
      </c>
      <c r="Y121" s="2">
        <f>Y11/'Output-Calculation-sheet'!Y10*'Output-Calculation-sheet'!Y100</f>
        <v>26059601.884338908</v>
      </c>
      <c r="AA121" s="2">
        <f t="shared" si="10"/>
        <v>18044.466680640606</v>
      </c>
    </row>
    <row r="122" spans="1:27" x14ac:dyDescent="0.25">
      <c r="A122" s="2">
        <v>2035</v>
      </c>
      <c r="B122" s="2">
        <f>B12/'Output-Calculation-sheet'!B11*'Output-Calculation-sheet'!B101</f>
        <v>4654169135.6732626</v>
      </c>
      <c r="C122" s="2">
        <f>C12/'Output-Calculation-sheet'!C11*'Output-Calculation-sheet'!C101</f>
        <v>404587546.43887621</v>
      </c>
      <c r="D122" s="2">
        <f>D12/'Output-Calculation-sheet'!D11*'Output-Calculation-sheet'!D101</f>
        <v>0</v>
      </c>
      <c r="E122" s="2">
        <f>E12/'Output-Calculation-sheet'!E11*'Output-Calculation-sheet'!E101</f>
        <v>3624155348.4849191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686030002.12430835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2515519808.8899612</v>
      </c>
      <c r="M122" s="2">
        <f>M12/'Output-Calculation-sheet'!M11*'Output-Calculation-sheet'!M101</f>
        <v>629333989.30664623</v>
      </c>
      <c r="N122" s="2">
        <f>N12/'Output-Calculation-sheet'!N11*'Output-Calculation-sheet'!N101</f>
        <v>523112903.67968494</v>
      </c>
      <c r="O122" s="2">
        <f>O12/'Output-Calculation-sheet'!O11*'Output-Calculation-sheet'!O101</f>
        <v>71735783.653571144</v>
      </c>
      <c r="P122" s="2">
        <f>P12/'Output-Calculation-sheet'!P11*'Output-Calculation-sheet'!P101</f>
        <v>162808076.14130899</v>
      </c>
      <c r="Q122" s="2">
        <f>Q12/'Output-Calculation-sheet'!Q11*'Output-Calculation-sheet'!Q101</f>
        <v>804327147.9511975</v>
      </c>
      <c r="R122" s="2">
        <f>R12/'Output-Calculation-sheet'!R11*'Output-Calculation-sheet'!R101</f>
        <v>0</v>
      </c>
      <c r="S122" s="2">
        <f>S12/'Output-Calculation-sheet'!S11*'Output-Calculation-sheet'!S101</f>
        <v>218532467.89324912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20208905.057139162</v>
      </c>
      <c r="Y122" s="2">
        <f>Y12/'Output-Calculation-sheet'!Y11*'Output-Calculation-sheet'!Y101</f>
        <v>93216590.415652037</v>
      </c>
      <c r="AA122" s="2">
        <f t="shared" si="10"/>
        <v>14407.737705709776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2717124909.5216331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2726807074.6698537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178601.22284373271</v>
      </c>
    </row>
    <row r="130" spans="1:27" x14ac:dyDescent="0.25">
      <c r="A130" s="2">
        <v>2032</v>
      </c>
      <c r="B130" s="2">
        <f>B9/'Output-Calculation-sheet'!B8*'Output-Calculation-sheet'!B107</f>
        <v>68163830033.610771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2479811197.3289766</v>
      </c>
      <c r="O130" s="2">
        <f>O9/'Output-Calculation-sheet'!O8*'Output-Calculation-sheet'!O107</f>
        <v>0</v>
      </c>
      <c r="P130" s="2">
        <f>P9/'Output-Calculation-sheet'!P8*'Output-Calculation-sheet'!P107</f>
        <v>7566800977.4388857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2203214209.6453319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240055.65168380502</v>
      </c>
    </row>
    <row r="131" spans="1:27" x14ac:dyDescent="0.25">
      <c r="A131" s="2">
        <v>2033</v>
      </c>
      <c r="B131" s="2">
        <f>B10/'Output-Calculation-sheet'!B9*'Output-Calculation-sheet'!B108</f>
        <v>59634129254.06955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2184852385.4693294</v>
      </c>
      <c r="O131" s="2">
        <f>O10/'Output-Calculation-sheet'!O9*'Output-Calculation-sheet'!O108</f>
        <v>0</v>
      </c>
      <c r="P131" s="2">
        <f>P10/'Output-Calculation-sheet'!P9*'Output-Calculation-sheet'!P108</f>
        <v>10050145200.832788</v>
      </c>
      <c r="Q131" s="2">
        <f>Q10/'Output-Calculation-sheet'!Q9*'Output-Calculation-sheet'!Q108</f>
        <v>8478035494.1530933</v>
      </c>
      <c r="R131" s="2">
        <f>R10/'Output-Calculation-sheet'!R9*'Output-Calculation-sheet'!R108</f>
        <v>9512548686.6867847</v>
      </c>
      <c r="S131" s="2">
        <f>S10/'Output-Calculation-sheet'!S9*'Output-Calculation-sheet'!S108</f>
        <v>2119297809.9537182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284623.93498627382</v>
      </c>
    </row>
    <row r="132" spans="1:27" x14ac:dyDescent="0.25">
      <c r="A132" s="2">
        <v>2034</v>
      </c>
      <c r="B132" s="2">
        <f>B11/'Output-Calculation-sheet'!B10*'Output-Calculation-sheet'!B109</f>
        <v>47216859872.188095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45584564782.145866</v>
      </c>
      <c r="F132" s="2">
        <f>F11/'Output-Calculation-sheet'!F10*'Output-Calculation-sheet'!F109</f>
        <v>30065413689.262173</v>
      </c>
      <c r="G132" s="2">
        <f>G11/'Output-Calculation-sheet'!G10*'Output-Calculation-sheet'!G109</f>
        <v>21065947976.124748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18732635609.099976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13946233006.511742</v>
      </c>
      <c r="M132" s="2">
        <f>M11/'Output-Calculation-sheet'!M10*'Output-Calculation-sheet'!M109</f>
        <v>0</v>
      </c>
      <c r="N132" s="2">
        <f>N11/'Output-Calculation-sheet'!N10*'Output-Calculation-sheet'!N109</f>
        <v>1833842909.7171378</v>
      </c>
      <c r="O132" s="2">
        <f>O11/'Output-Calculation-sheet'!O10*'Output-Calculation-sheet'!O109</f>
        <v>0</v>
      </c>
      <c r="P132" s="2">
        <f>P11/'Output-Calculation-sheet'!P10*'Output-Calculation-sheet'!P109</f>
        <v>10419395491.525528</v>
      </c>
      <c r="Q132" s="2">
        <f>Q11/'Output-Calculation-sheet'!Q10*'Output-Calculation-sheet'!Q109</f>
        <v>6709226437.8028841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1258585066.3870983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3743663545.8252783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1311882488.6818478</v>
      </c>
      <c r="AA132" s="2">
        <f t="shared" si="11"/>
        <v>320525.91765065194</v>
      </c>
    </row>
    <row r="133" spans="1:27" x14ac:dyDescent="0.25">
      <c r="A133" s="2">
        <v>2035</v>
      </c>
      <c r="B133" s="2">
        <f>B12/'Output-Calculation-sheet'!B11*'Output-Calculation-sheet'!B110</f>
        <v>13386780850.606997</v>
      </c>
      <c r="C133" s="2">
        <f>C12/'Output-Calculation-sheet'!C11*'Output-Calculation-sheet'!C110</f>
        <v>0</v>
      </c>
      <c r="D133" s="2">
        <f>D12/'Output-Calculation-sheet'!D11*'Output-Calculation-sheet'!D110</f>
        <v>63667183558.062851</v>
      </c>
      <c r="E133" s="2">
        <f>E12/'Output-Calculation-sheet'!E11*'Output-Calculation-sheet'!E110</f>
        <v>33879933376.833755</v>
      </c>
      <c r="F133" s="2">
        <f>F12/'Output-Calculation-sheet'!F11*'Output-Calculation-sheet'!F110</f>
        <v>33679379648.045757</v>
      </c>
      <c r="G133" s="2">
        <f>G12/'Output-Calculation-sheet'!G11*'Output-Calculation-sheet'!G110</f>
        <v>22817687427.765472</v>
      </c>
      <c r="H133" s="2">
        <f>H12/'Output-Calculation-sheet'!H11*'Output-Calculation-sheet'!H110</f>
        <v>0</v>
      </c>
      <c r="I133" s="2">
        <f>I12/'Output-Calculation-sheet'!I11*'Output-Calculation-sheet'!I110</f>
        <v>20937286482.017525</v>
      </c>
      <c r="J133" s="2">
        <f>J12/'Output-Calculation-sheet'!J11*'Output-Calculation-sheet'!J110</f>
        <v>20973330396.348339</v>
      </c>
      <c r="K133" s="2">
        <f>K12/'Output-Calculation-sheet'!K11*'Output-Calculation-sheet'!K110</f>
        <v>20578710796.087704</v>
      </c>
      <c r="L133" s="2">
        <f>L12/'Output-Calculation-sheet'!L11*'Output-Calculation-sheet'!L110</f>
        <v>14789985587.824312</v>
      </c>
      <c r="M133" s="2">
        <f>M12/'Output-Calculation-sheet'!M11*'Output-Calculation-sheet'!M110</f>
        <v>0</v>
      </c>
      <c r="N133" s="2">
        <f>N12/'Output-Calculation-sheet'!N11*'Output-Calculation-sheet'!N110</f>
        <v>79449.892792535175</v>
      </c>
      <c r="O133" s="2">
        <f>O12/'Output-Calculation-sheet'!O11*'Output-Calculation-sheet'!O110</f>
        <v>0</v>
      </c>
      <c r="P133" s="2">
        <f>P12/'Output-Calculation-sheet'!P11*'Output-Calculation-sheet'!P110</f>
        <v>7390082584.5829363</v>
      </c>
      <c r="Q133" s="2">
        <f>Q12/'Output-Calculation-sheet'!Q11*'Output-Calculation-sheet'!Q110</f>
        <v>4699923756.3046923</v>
      </c>
      <c r="R133" s="2">
        <f>R12/'Output-Calculation-sheet'!R11*'Output-Calculation-sheet'!R110</f>
        <v>13688069310.603508</v>
      </c>
      <c r="S133" s="2">
        <f>S12/'Output-Calculation-sheet'!S11*'Output-Calculation-sheet'!S110</f>
        <v>13172703.271407599</v>
      </c>
      <c r="T133" s="2">
        <f>T12/'Output-Calculation-sheet'!T11*'Output-Calculation-sheet'!T110</f>
        <v>5113929470.1618471</v>
      </c>
      <c r="U133" s="2">
        <f>U12/'Output-Calculation-sheet'!U11*'Output-Calculation-sheet'!U110</f>
        <v>4041791081.5273461</v>
      </c>
      <c r="V133" s="2">
        <f>V12/'Output-Calculation-sheet'!V11*'Output-Calculation-sheet'!V110</f>
        <v>3519921059.3198299</v>
      </c>
      <c r="W133" s="2">
        <f>W12/'Output-Calculation-sheet'!W11*'Output-Calculation-sheet'!W110</f>
        <v>2964189155.4746099</v>
      </c>
      <c r="X133" s="2">
        <f>X12/'Output-Calculation-sheet'!X11*'Output-Calculation-sheet'!X110</f>
        <v>0</v>
      </c>
      <c r="Y133" s="2">
        <f>Y12/'Output-Calculation-sheet'!Y11*'Output-Calculation-sheet'!Y110</f>
        <v>1123101463.3901758</v>
      </c>
      <c r="AA133" s="2">
        <f t="shared" si="11"/>
        <v>287264.53815812181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17672741233.855206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5555864685.8632221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3819018438.9187021</v>
      </c>
      <c r="N140" s="2">
        <f>N8/'Output-Calculation-sheet'!N7*'Output-Calculation-sheet'!N115</f>
        <v>1441830832.447535</v>
      </c>
      <c r="O140" s="2">
        <f>O8/'Output-Calculation-sheet'!O7*'Output-Calculation-sheet'!O115</f>
        <v>4241371845.3337402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414699550.31258279</v>
      </c>
      <c r="Y140" s="2">
        <f>Y8/'Output-Calculation-sheet'!Y7*'Output-Calculation-sheet'!Y115</f>
        <v>0</v>
      </c>
      <c r="AA140" s="2">
        <f t="shared" si="12"/>
        <v>33145.526586730994</v>
      </c>
    </row>
    <row r="141" spans="1:27" x14ac:dyDescent="0.25">
      <c r="A141" s="2">
        <v>2032</v>
      </c>
      <c r="B141" s="2">
        <f>B9/'Output-Calculation-sheet'!B8*'Output-Calculation-sheet'!B116</f>
        <v>7792698625.0210905</v>
      </c>
      <c r="C141" s="2">
        <f>C9/'Output-Calculation-sheet'!C8*'Output-Calculation-sheet'!C116</f>
        <v>33357357827.554115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8696118531.8739281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5970599884.083415</v>
      </c>
      <c r="N141" s="2">
        <f>N9/'Output-Calculation-sheet'!N8*'Output-Calculation-sheet'!N116</f>
        <v>4145161096.3826194</v>
      </c>
      <c r="O141" s="2">
        <f>O9/'Output-Calculation-sheet'!O8*'Output-Calculation-sheet'!O116</f>
        <v>6474859204.182354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1856659104.2762139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649878817.69503045</v>
      </c>
      <c r="Y141" s="2">
        <f>Y9/'Output-Calculation-sheet'!Y8*'Output-Calculation-sheet'!Y116</f>
        <v>0</v>
      </c>
      <c r="AA141" s="2">
        <f t="shared" si="12"/>
        <v>68943.333091068765</v>
      </c>
    </row>
    <row r="142" spans="1:27" x14ac:dyDescent="0.25">
      <c r="A142" s="2">
        <v>2033</v>
      </c>
      <c r="B142" s="2">
        <f>B10/'Output-Calculation-sheet'!B9*'Output-Calculation-sheet'!B117</f>
        <v>43266435431.386917</v>
      </c>
      <c r="C142" s="2">
        <f>C10/'Output-Calculation-sheet'!C9*'Output-Calculation-sheet'!C117</f>
        <v>45687568036.421181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14149777283.813316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9723544546.4513569</v>
      </c>
      <c r="N142" s="2">
        <f>N10/'Output-Calculation-sheet'!N9*'Output-Calculation-sheet'!N117</f>
        <v>7334974039.510994</v>
      </c>
      <c r="O142" s="2">
        <f>O10/'Output-Calculation-sheet'!O9*'Output-Calculation-sheet'!O117</f>
        <v>8867377124.10639</v>
      </c>
      <c r="P142" s="2">
        <f>P10/'Output-Calculation-sheet'!P9*'Output-Calculation-sheet'!P117</f>
        <v>0</v>
      </c>
      <c r="Q142" s="2">
        <f>Q10/'Output-Calculation-sheet'!Q9*'Output-Calculation-sheet'!Q117</f>
        <v>1400878485.0705121</v>
      </c>
      <c r="R142" s="2">
        <f>R10/'Output-Calculation-sheet'!R9*'Output-Calculation-sheet'!R117</f>
        <v>0</v>
      </c>
      <c r="S142" s="2">
        <f>S10/'Output-Calculation-sheet'!S9*'Output-Calculation-sheet'!S117</f>
        <v>3566599974.4054999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1065972610.636847</v>
      </c>
      <c r="Y142" s="2">
        <f>Y10/'Output-Calculation-sheet'!Y9*'Output-Calculation-sheet'!Y117</f>
        <v>0</v>
      </c>
      <c r="AA142" s="2">
        <f t="shared" si="12"/>
        <v>135063.12753180301</v>
      </c>
    </row>
    <row r="143" spans="1:27" x14ac:dyDescent="0.25">
      <c r="A143" s="2">
        <v>2034</v>
      </c>
      <c r="B143" s="2">
        <f>B11/'Output-Calculation-sheet'!B10*'Output-Calculation-sheet'!B118</f>
        <v>84814115422.956955</v>
      </c>
      <c r="C143" s="2">
        <f>C11/'Output-Calculation-sheet'!C10*'Output-Calculation-sheet'!C118</f>
        <v>65073260204.930321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18038631476.047237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12389132631.264746</v>
      </c>
      <c r="N143" s="2">
        <f>N11/'Output-Calculation-sheet'!N10*'Output-Calculation-sheet'!N118</f>
        <v>10901442852.756086</v>
      </c>
      <c r="O143" s="2">
        <f>O11/'Output-Calculation-sheet'!O10*'Output-Calculation-sheet'!O118</f>
        <v>12641926670.99934</v>
      </c>
      <c r="P143" s="2">
        <f>P11/'Output-Calculation-sheet'!P10*'Output-Calculation-sheet'!P118</f>
        <v>2282462534.5356703</v>
      </c>
      <c r="Q143" s="2">
        <f>Q11/'Output-Calculation-sheet'!Q10*'Output-Calculation-sheet'!Q118</f>
        <v>5373992375.1053772</v>
      </c>
      <c r="R143" s="2">
        <f>R11/'Output-Calculation-sheet'!R10*'Output-Calculation-sheet'!R118</f>
        <v>0</v>
      </c>
      <c r="S143" s="2">
        <f>S11/'Output-Calculation-sheet'!S10*'Output-Calculation-sheet'!S118</f>
        <v>6277039321.5883865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1360138263.6307433</v>
      </c>
      <c r="Y143" s="2">
        <f>Y11/'Output-Calculation-sheet'!Y10*'Output-Calculation-sheet'!Y118</f>
        <v>159388123.03714415</v>
      </c>
      <c r="AA143" s="2">
        <f t="shared" si="12"/>
        <v>219311.52987685197</v>
      </c>
    </row>
    <row r="144" spans="1:27" x14ac:dyDescent="0.25">
      <c r="A144" s="2">
        <v>2035</v>
      </c>
      <c r="B144" s="2">
        <f>B12/'Output-Calculation-sheet'!B11*'Output-Calculation-sheet'!B119</f>
        <v>151512690717.79224</v>
      </c>
      <c r="C144" s="2">
        <f>C12/'Output-Calculation-sheet'!C11*'Output-Calculation-sheet'!C119</f>
        <v>80188374041.094482</v>
      </c>
      <c r="D144" s="2">
        <f>D12/'Output-Calculation-sheet'!D11*'Output-Calculation-sheet'!D119</f>
        <v>0</v>
      </c>
      <c r="E144" s="2">
        <f>E12/'Output-Calculation-sheet'!E11*'Output-Calculation-sheet'!E119</f>
        <v>18281115354.849884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24339051602.912773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16626105283.364775</v>
      </c>
      <c r="N144" s="2">
        <f>N12/'Output-Calculation-sheet'!N11*'Output-Calculation-sheet'!N119</f>
        <v>16409843282.20022</v>
      </c>
      <c r="O144" s="2">
        <f>O12/'Output-Calculation-sheet'!O11*'Output-Calculation-sheet'!O119</f>
        <v>15581302021.834915</v>
      </c>
      <c r="P144" s="2">
        <f>P12/'Output-Calculation-sheet'!P11*'Output-Calculation-sheet'!P119</f>
        <v>7545407331.4098358</v>
      </c>
      <c r="Q144" s="2">
        <f>Q12/'Output-Calculation-sheet'!Q11*'Output-Calculation-sheet'!Q119</f>
        <v>9178744078.1479244</v>
      </c>
      <c r="R144" s="2">
        <f>R12/'Output-Calculation-sheet'!R11*'Output-Calculation-sheet'!R119</f>
        <v>0</v>
      </c>
      <c r="S144" s="2">
        <f>S12/'Output-Calculation-sheet'!S11*'Output-Calculation-sheet'!S119</f>
        <v>9457145039.687994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1857535494.038085</v>
      </c>
      <c r="Y144" s="2">
        <f>Y12/'Output-Calculation-sheet'!Y11*'Output-Calculation-sheet'!Y119</f>
        <v>523836538.42290741</v>
      </c>
      <c r="AA144" s="2">
        <f t="shared" si="12"/>
        <v>351501.15078575606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3083527145.7595735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672390336.32769811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79908.747973521968</v>
      </c>
    </row>
    <row r="155" spans="1:27" x14ac:dyDescent="0.25">
      <c r="A155" s="2">
        <v>2035</v>
      </c>
      <c r="B155" s="2">
        <f>B12/'Output-Calculation-sheet'!B11*'Output-Calculation-sheet'!B128</f>
        <v>1990674869.5910213</v>
      </c>
      <c r="C155" s="2">
        <f>C12/'Output-Calculation-sheet'!C11*'Output-Calculation-sheet'!C128</f>
        <v>118988020.3007064</v>
      </c>
      <c r="D155" s="2">
        <f>D12/'Output-Calculation-sheet'!D11*'Output-Calculation-sheet'!D128</f>
        <v>8696926062.4662457</v>
      </c>
      <c r="E155" s="2">
        <f>E12/'Output-Calculation-sheet'!E11*'Output-Calculation-sheet'!E128</f>
        <v>2036676570.7100878</v>
      </c>
      <c r="F155" s="2">
        <f>F12/'Output-Calculation-sheet'!F11*'Output-Calculation-sheet'!F128</f>
        <v>3519201777.5965757</v>
      </c>
      <c r="G155" s="2">
        <f>G12/'Output-Calculation-sheet'!G11*'Output-Calculation-sheet'!G128</f>
        <v>3322333346.2933865</v>
      </c>
      <c r="H155" s="2">
        <f>H12/'Output-Calculation-sheet'!H11*'Output-Calculation-sheet'!H128</f>
        <v>182917439.21765745</v>
      </c>
      <c r="I155" s="2">
        <f>I12/'Output-Calculation-sheet'!I11*'Output-Calculation-sheet'!I128</f>
        <v>2853045981.7914219</v>
      </c>
      <c r="J155" s="2">
        <f>J12/'Output-Calculation-sheet'!J11*'Output-Calculation-sheet'!J128</f>
        <v>2062274055.2789886</v>
      </c>
      <c r="K155" s="2">
        <f>K12/'Output-Calculation-sheet'!K11*'Output-Calculation-sheet'!K128</f>
        <v>2282349439.3618402</v>
      </c>
      <c r="L155" s="2">
        <f>L12/'Output-Calculation-sheet'!L11*'Output-Calculation-sheet'!L128</f>
        <v>1000900503.9803935</v>
      </c>
      <c r="M155" s="2">
        <f>M12/'Output-Calculation-sheet'!M11*'Output-Calculation-sheet'!M128</f>
        <v>144250625.53059453</v>
      </c>
      <c r="N155" s="2">
        <f>N12/'Output-Calculation-sheet'!N11*'Output-Calculation-sheet'!N128</f>
        <v>131843121.86611782</v>
      </c>
      <c r="O155" s="2">
        <f>O12/'Output-Calculation-sheet'!O11*'Output-Calculation-sheet'!O128</f>
        <v>28872683.19313876</v>
      </c>
      <c r="P155" s="2">
        <f>P12/'Output-Calculation-sheet'!P11*'Output-Calculation-sheet'!P128</f>
        <v>537848443.84145176</v>
      </c>
      <c r="Q155" s="2">
        <f>Q12/'Output-Calculation-sheet'!Q11*'Output-Calculation-sheet'!Q128</f>
        <v>655794167.23381627</v>
      </c>
      <c r="R155" s="2">
        <f>R12/'Output-Calculation-sheet'!R11*'Output-Calculation-sheet'!R128</f>
        <v>1175238094.3848622</v>
      </c>
      <c r="S155" s="2">
        <f>S12/'Output-Calculation-sheet'!S11*'Output-Calculation-sheet'!S128</f>
        <v>85588986.70431374</v>
      </c>
      <c r="T155" s="2">
        <f>T12/'Output-Calculation-sheet'!T11*'Output-Calculation-sheet'!T128</f>
        <v>322301032.66941094</v>
      </c>
      <c r="U155" s="2">
        <f>U12/'Output-Calculation-sheet'!U11*'Output-Calculation-sheet'!U128</f>
        <v>742227357.4439435</v>
      </c>
      <c r="V155" s="2">
        <f>V12/'Output-Calculation-sheet'!V11*'Output-Calculation-sheet'!V128</f>
        <v>110709563.15392603</v>
      </c>
      <c r="W155" s="2">
        <f>W12/'Output-Calculation-sheet'!W11*'Output-Calculation-sheet'!W128</f>
        <v>223202370.21531025</v>
      </c>
      <c r="X155" s="2">
        <f>X12/'Output-Calculation-sheet'!X11*'Output-Calculation-sheet'!X128</f>
        <v>4742645.6189914569</v>
      </c>
      <c r="Y155" s="2">
        <f>Y12/'Output-Calculation-sheet'!Y11*'Output-Calculation-sheet'!Y128</f>
        <v>122719372.21091205</v>
      </c>
      <c r="AA155" s="2">
        <f t="shared" si="13"/>
        <v>32351.626530655114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5922.8652290752007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1794.1070986413049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1246.2580218949963</v>
      </c>
      <c r="N19" s="2">
        <f>N8/'Output-Calculation-sheet'!N7*'Output-Calculation-sheet'!N25</f>
        <v>1036.7394028769183</v>
      </c>
      <c r="O19" s="2">
        <f>O8/'Output-Calculation-sheet'!O7*'Output-Calculation-sheet'!O25</f>
        <v>650.6660376838588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134.87978540268784</v>
      </c>
      <c r="Y19" s="2">
        <f>Y8/'Output-Calculation-sheet'!Y7*'Output-Calculation-sheet'!Y25</f>
        <v>0</v>
      </c>
      <c r="AA19" s="2">
        <f t="shared" si="0"/>
        <v>12.523831711775092</v>
      </c>
    </row>
    <row r="20" spans="1:27" x14ac:dyDescent="0.25">
      <c r="A20" s="2">
        <v>2032</v>
      </c>
      <c r="B20" s="2">
        <f>B9/'Output-Calculation-sheet'!B8*'Output-Calculation-sheet'!B26</f>
        <v>6060.8962722300912</v>
      </c>
      <c r="C20" s="2">
        <f>C9/'Output-Calculation-sheet'!C8*'Output-Calculation-sheet'!C26</f>
        <v>3323.6475471472818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1995.2020336423066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1394.2609508570006</v>
      </c>
      <c r="N20" s="2">
        <f>N9/'Output-Calculation-sheet'!N8*'Output-Calculation-sheet'!N26</f>
        <v>966.26083234594125</v>
      </c>
      <c r="O20" s="2">
        <f>O9/'Output-Calculation-sheet'!O8*'Output-Calculation-sheet'!O26</f>
        <v>649.37913652187081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458.34892869506393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151.71595453750999</v>
      </c>
      <c r="Y20" s="2">
        <f>Y9/'Output-Calculation-sheet'!Y8*'Output-Calculation-sheet'!Y26</f>
        <v>0</v>
      </c>
      <c r="AA20" s="2">
        <f t="shared" si="0"/>
        <v>14.999711655977068</v>
      </c>
    </row>
    <row r="21" spans="1:27" x14ac:dyDescent="0.25">
      <c r="A21" s="2">
        <v>2033</v>
      </c>
      <c r="B21" s="2">
        <f>B10/'Output-Calculation-sheet'!B9*'Output-Calculation-sheet'!B27</f>
        <v>5250.9045853247426</v>
      </c>
      <c r="C21" s="2">
        <f>C10/'Output-Calculation-sheet'!C9*'Output-Calculation-sheet'!C27</f>
        <v>3227.4281775156669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1058.1987988597623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749.00183925954639</v>
      </c>
      <c r="N21" s="2">
        <f>N10/'Output-Calculation-sheet'!N9*'Output-Calculation-sheet'!N27</f>
        <v>758.51213421328202</v>
      </c>
      <c r="O21" s="2">
        <f>O10/'Output-Calculation-sheet'!O9*'Output-Calculation-sheet'!O27</f>
        <v>631.86124343395556</v>
      </c>
      <c r="P21" s="2">
        <f>P10/'Output-Calculation-sheet'!P9*'Output-Calculation-sheet'!P27</f>
        <v>0</v>
      </c>
      <c r="Q21" s="2">
        <f>Q10/'Output-Calculation-sheet'!Q9*'Output-Calculation-sheet'!Q27</f>
        <v>8.8392268268833263</v>
      </c>
      <c r="R21" s="2">
        <f>R10/'Output-Calculation-sheet'!R9*'Output-Calculation-sheet'!R27</f>
        <v>0</v>
      </c>
      <c r="S21" s="2">
        <f>S10/'Output-Calculation-sheet'!S9*'Output-Calculation-sheet'!S27</f>
        <v>361.17539487438523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74.791052654571388</v>
      </c>
      <c r="Y21" s="2">
        <f>Y10/'Output-Calculation-sheet'!Y9*'Output-Calculation-sheet'!Y27</f>
        <v>0</v>
      </c>
      <c r="AA21" s="2">
        <f t="shared" si="0"/>
        <v>12.120712452962795</v>
      </c>
    </row>
    <row r="22" spans="1:27" x14ac:dyDescent="0.25">
      <c r="A22" s="2">
        <v>2034</v>
      </c>
      <c r="B22" s="2">
        <f>B11/'Output-Calculation-sheet'!B10*'Output-Calculation-sheet'!B28</f>
        <v>3953.4269149056481</v>
      </c>
      <c r="C22" s="2">
        <f>C11/'Output-Calculation-sheet'!C10*'Output-Calculation-sheet'!C28</f>
        <v>398.78011747483987</v>
      </c>
      <c r="D22" s="2">
        <f>D11/'Output-Calculation-sheet'!D10*'Output-Calculation-sheet'!D28</f>
        <v>0</v>
      </c>
      <c r="E22" s="2">
        <f>E11/'Output-Calculation-sheet'!E10*'Output-Calculation-sheet'!E28</f>
        <v>1324.1654720799784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1050.019292406258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803.06056660171907</v>
      </c>
      <c r="M22" s="2">
        <f>M11/'Output-Calculation-sheet'!M10*'Output-Calculation-sheet'!M28</f>
        <v>747.29472806535</v>
      </c>
      <c r="N22" s="2">
        <f>N11/'Output-Calculation-sheet'!N10*'Output-Calculation-sheet'!N28</f>
        <v>499.57078916392516</v>
      </c>
      <c r="O22" s="2">
        <f>O11/'Output-Calculation-sheet'!O10*'Output-Calculation-sheet'!O28</f>
        <v>78.221648123304334</v>
      </c>
      <c r="P22" s="2">
        <f>P11/'Output-Calculation-sheet'!P10*'Output-Calculation-sheet'!P28</f>
        <v>0</v>
      </c>
      <c r="Q22" s="2">
        <f>Q11/'Output-Calculation-sheet'!Q10*'Output-Calculation-sheet'!Q28</f>
        <v>257.14550528466629</v>
      </c>
      <c r="R22" s="2">
        <f>R11/'Output-Calculation-sheet'!R10*'Output-Calculation-sheet'!R28</f>
        <v>0</v>
      </c>
      <c r="S22" s="2">
        <f>S11/'Output-Calculation-sheet'!S10*'Output-Calculation-sheet'!S28</f>
        <v>187.0551524111992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73.426910114019179</v>
      </c>
      <c r="Y22" s="2">
        <f>Y11/'Output-Calculation-sheet'!Y10*'Output-Calculation-sheet'!Y28</f>
        <v>29.930882492311586</v>
      </c>
      <c r="AA22" s="2">
        <f t="shared" si="0"/>
        <v>9.4020979791232229</v>
      </c>
    </row>
    <row r="23" spans="1:27" x14ac:dyDescent="0.25">
      <c r="A23" s="2">
        <v>2035</v>
      </c>
      <c r="B23" s="2">
        <f>B12/'Output-Calculation-sheet'!B11*'Output-Calculation-sheet'!B29</f>
        <v>1476.9944683613148</v>
      </c>
      <c r="C23" s="2">
        <f>C12/'Output-Calculation-sheet'!C11*'Output-Calculation-sheet'!C29</f>
        <v>128.39409352371024</v>
      </c>
      <c r="D23" s="2">
        <f>D12/'Output-Calculation-sheet'!D11*'Output-Calculation-sheet'!D29</f>
        <v>0</v>
      </c>
      <c r="E23" s="2">
        <f>E12/'Output-Calculation-sheet'!E11*'Output-Calculation-sheet'!E29</f>
        <v>2038.8621091743794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217.71157250577258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1368.1686672328667</v>
      </c>
      <c r="M23" s="2">
        <f>M12/'Output-Calculation-sheet'!M11*'Output-Calculation-sheet'!M29</f>
        <v>199.71859444448683</v>
      </c>
      <c r="N23" s="2">
        <f>N12/'Output-Calculation-sheet'!N11*'Output-Calculation-sheet'!N29</f>
        <v>166.00990776194394</v>
      </c>
      <c r="O23" s="2">
        <f>O12/'Output-Calculation-sheet'!O11*'Output-Calculation-sheet'!O29</f>
        <v>22.765686478561992</v>
      </c>
      <c r="P23" s="2">
        <f>P12/'Output-Calculation-sheet'!P11*'Output-Calculation-sheet'!P29</f>
        <v>80.621565165715054</v>
      </c>
      <c r="Q23" s="2">
        <f>Q12/'Output-Calculation-sheet'!Q11*'Output-Calculation-sheet'!Q29</f>
        <v>303.20911927565703</v>
      </c>
      <c r="R23" s="2">
        <f>R12/'Output-Calculation-sheet'!R11*'Output-Calculation-sheet'!R29</f>
        <v>0</v>
      </c>
      <c r="S23" s="2">
        <f>S12/'Output-Calculation-sheet'!S11*'Output-Calculation-sheet'!S29</f>
        <v>69.350932510421771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6.4133003773555535</v>
      </c>
      <c r="Y23" s="2">
        <f>Y12/'Output-Calculation-sheet'!Y11*'Output-Calculation-sheet'!Y29</f>
        <v>55.714316948622681</v>
      </c>
      <c r="AA23" s="2">
        <f t="shared" si="0"/>
        <v>6.1339343337608083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1181.8609890771634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46.337760307277684</v>
      </c>
    </row>
    <row r="31" spans="1:27" x14ac:dyDescent="0.25">
      <c r="A31" s="2">
        <v>2032</v>
      </c>
      <c r="B31" s="2">
        <f>B9/'Output-Calculation-sheet'!B8*'Output-Calculation-sheet'!B17</f>
        <v>25482.517667505876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996.39329730966142</v>
      </c>
      <c r="O31" s="2">
        <f>O9/'Output-Calculation-sheet'!O8*'Output-Calculation-sheet'!O17</f>
        <v>0</v>
      </c>
      <c r="P31" s="2">
        <f>P9/'Output-Calculation-sheet'!P8*'Output-Calculation-sheet'!P17</f>
        <v>2490.3303597223398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824.68262562144469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58.383478881440382</v>
      </c>
    </row>
    <row r="32" spans="1:27" x14ac:dyDescent="0.25">
      <c r="A32" s="2">
        <v>2033</v>
      </c>
      <c r="B32" s="2">
        <f>B10/'Output-Calculation-sheet'!B9*'Output-Calculation-sheet'!B18</f>
        <v>18993.910141533292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2973.9096584173999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768.78214869058047</v>
      </c>
      <c r="O32" s="2">
        <f>O10/'Output-Calculation-sheet'!O9*'Output-Calculation-sheet'!O18</f>
        <v>0</v>
      </c>
      <c r="P32" s="2">
        <f>P10/'Output-Calculation-sheet'!P9*'Output-Calculation-sheet'!P18</f>
        <v>3060.5516076869435</v>
      </c>
      <c r="Q32" s="2">
        <f>Q10/'Output-Calculation-sheet'!Q9*'Output-Calculation-sheet'!Q18</f>
        <v>2833.7905709271636</v>
      </c>
      <c r="R32" s="2">
        <f>R10/'Output-Calculation-sheet'!R9*'Output-Calculation-sheet'!R18</f>
        <v>2197.6896328766193</v>
      </c>
      <c r="S32" s="2">
        <f>S10/'Output-Calculation-sheet'!S9*'Output-Calculation-sheet'!S18</f>
        <v>699.36451772437147</v>
      </c>
      <c r="T32" s="2">
        <f>T10/'Output-Calculation-sheet'!T9*'Output-Calculation-sheet'!T18</f>
        <v>641.68961889124705</v>
      </c>
      <c r="U32" s="2">
        <f>U10/'Output-Calculation-sheet'!U9*'Output-Calculation-sheet'!U18</f>
        <v>709.35948379681076</v>
      </c>
      <c r="V32" s="2">
        <f>V10/'Output-Calculation-sheet'!V9*'Output-Calculation-sheet'!V18</f>
        <v>523.58153593635654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303.12593898736304</v>
      </c>
      <c r="AA32" s="2">
        <f t="shared" si="1"/>
        <v>60.383560816937113</v>
      </c>
    </row>
    <row r="33" spans="1:27" x14ac:dyDescent="0.25">
      <c r="A33" s="2">
        <v>2034</v>
      </c>
      <c r="B33" s="2">
        <f>B11/'Output-Calculation-sheet'!B10*'Output-Calculation-sheet'!B19</f>
        <v>11950.161643886817</v>
      </c>
      <c r="C33" s="2">
        <f>C11/'Output-Calculation-sheet'!C10*'Output-Calculation-sheet'!C19</f>
        <v>0</v>
      </c>
      <c r="D33" s="2">
        <f>D11/'Output-Calculation-sheet'!D10*'Output-Calculation-sheet'!D19</f>
        <v>7947.3728115377626</v>
      </c>
      <c r="E33" s="2">
        <f>E11/'Output-Calculation-sheet'!E10*'Output-Calculation-sheet'!E19</f>
        <v>9852.7356675500196</v>
      </c>
      <c r="F33" s="2">
        <f>F11/'Output-Calculation-sheet'!F10*'Output-Calculation-sheet'!F19</f>
        <v>4511.3968998090777</v>
      </c>
      <c r="G33" s="2">
        <f>G11/'Output-Calculation-sheet'!G10*'Output-Calculation-sheet'!G19</f>
        <v>2687.5029180666584</v>
      </c>
      <c r="H33" s="2">
        <f>H11/'Output-Calculation-sheet'!H10*'Output-Calculation-sheet'!H19</f>
        <v>0</v>
      </c>
      <c r="I33" s="2">
        <f>I11/'Output-Calculation-sheet'!I10*'Output-Calculation-sheet'!I19</f>
        <v>2952.1555281356696</v>
      </c>
      <c r="J33" s="2">
        <f>J11/'Output-Calculation-sheet'!J10*'Output-Calculation-sheet'!J19</f>
        <v>2496.3908248074576</v>
      </c>
      <c r="K33" s="2">
        <f>K11/'Output-Calculation-sheet'!K10*'Output-Calculation-sheet'!K19</f>
        <v>3462.5529264847341</v>
      </c>
      <c r="L33" s="2">
        <f>L11/'Output-Calculation-sheet'!L10*'Output-Calculation-sheet'!L19</f>
        <v>2816.1661314388607</v>
      </c>
      <c r="M33" s="2">
        <f>M11/'Output-Calculation-sheet'!M10*'Output-Calculation-sheet'!M19</f>
        <v>0</v>
      </c>
      <c r="N33" s="2">
        <f>N11/'Output-Calculation-sheet'!N10*'Output-Calculation-sheet'!N19</f>
        <v>534.5525335773151</v>
      </c>
      <c r="O33" s="2">
        <f>O11/'Output-Calculation-sheet'!O10*'Output-Calculation-sheet'!O19</f>
        <v>0</v>
      </c>
      <c r="P33" s="2">
        <f>P11/'Output-Calculation-sheet'!P10*'Output-Calculation-sheet'!P19</f>
        <v>2646.1221395141374</v>
      </c>
      <c r="Q33" s="2">
        <f>Q11/'Output-Calculation-sheet'!Q10*'Output-Calculation-sheet'!Q19</f>
        <v>1686.0331871462736</v>
      </c>
      <c r="R33" s="2">
        <f>R11/'Output-Calculation-sheet'!R10*'Output-Calculation-sheet'!R19</f>
        <v>2501.4437951141463</v>
      </c>
      <c r="S33" s="2">
        <f>S11/'Output-Calculation-sheet'!S10*'Output-Calculation-sheet'!S19</f>
        <v>339.81454072758709</v>
      </c>
      <c r="T33" s="2">
        <f>T11/'Output-Calculation-sheet'!T10*'Output-Calculation-sheet'!T19</f>
        <v>733.81696070110786</v>
      </c>
      <c r="U33" s="2">
        <f>U11/'Output-Calculation-sheet'!U10*'Output-Calculation-sheet'!U19</f>
        <v>793.66374721511113</v>
      </c>
      <c r="V33" s="2">
        <f>V11/'Output-Calculation-sheet'!V10*'Output-Calculation-sheet'!V19</f>
        <v>575.60407332938917</v>
      </c>
      <c r="W33" s="2">
        <f>W11/'Output-Calculation-sheet'!W10*'Output-Calculation-sheet'!W19</f>
        <v>358.39771253740651</v>
      </c>
      <c r="X33" s="2">
        <f>X11/'Output-Calculation-sheet'!X10*'Output-Calculation-sheet'!X19</f>
        <v>0</v>
      </c>
      <c r="Y33" s="2">
        <f>Y11/'Output-Calculation-sheet'!Y10*'Output-Calculation-sheet'!Y19</f>
        <v>293.42541093283842</v>
      </c>
      <c r="AA33" s="2">
        <f t="shared" si="1"/>
        <v>59.139309452512379</v>
      </c>
    </row>
    <row r="34" spans="1:27" x14ac:dyDescent="0.25">
      <c r="A34" s="2">
        <v>2035</v>
      </c>
      <c r="B34" s="2">
        <f>B12/'Output-Calculation-sheet'!B11*'Output-Calculation-sheet'!B20</f>
        <v>2527.3886078397059</v>
      </c>
      <c r="C34" s="2">
        <f>C12/'Output-Calculation-sheet'!C11*'Output-Calculation-sheet'!C20</f>
        <v>0</v>
      </c>
      <c r="D34" s="2">
        <f>D12/'Output-Calculation-sheet'!D11*'Output-Calculation-sheet'!D20</f>
        <v>6617.9203414930671</v>
      </c>
      <c r="E34" s="2">
        <f>E12/'Output-Calculation-sheet'!E11*'Output-Calculation-sheet'!E20</f>
        <v>4320.0270195592566</v>
      </c>
      <c r="F34" s="2">
        <f>F12/'Output-Calculation-sheet'!F11*'Output-Calculation-sheet'!F20</f>
        <v>4112.5778443745476</v>
      </c>
      <c r="G34" s="2">
        <f>G12/'Output-Calculation-sheet'!G11*'Output-Calculation-sheet'!G20</f>
        <v>2218.880769030724</v>
      </c>
      <c r="H34" s="2">
        <f>H12/'Output-Calculation-sheet'!H11*'Output-Calculation-sheet'!H20</f>
        <v>0</v>
      </c>
      <c r="I34" s="2">
        <f>I12/'Output-Calculation-sheet'!I11*'Output-Calculation-sheet'!I20</f>
        <v>2466.7850392543764</v>
      </c>
      <c r="J34" s="2">
        <f>J12/'Output-Calculation-sheet'!J11*'Output-Calculation-sheet'!J20</f>
        <v>2287.6097996932326</v>
      </c>
      <c r="K34" s="2">
        <f>K12/'Output-Calculation-sheet'!K11*'Output-Calculation-sheet'!K20</f>
        <v>3049.6107344133834</v>
      </c>
      <c r="L34" s="2">
        <f>L12/'Output-Calculation-sheet'!L11*'Output-Calculation-sheet'!L20</f>
        <v>2427.9945202359213</v>
      </c>
      <c r="M34" s="2">
        <f>M12/'Output-Calculation-sheet'!M11*'Output-Calculation-sheet'!M20</f>
        <v>0</v>
      </c>
      <c r="N34" s="2">
        <f>N12/'Output-Calculation-sheet'!N11*'Output-Calculation-sheet'!N20</f>
        <v>1.7924870497202029E-2</v>
      </c>
      <c r="O34" s="2">
        <f>O12/'Output-Calculation-sheet'!O11*'Output-Calculation-sheet'!O20</f>
        <v>0</v>
      </c>
      <c r="P34" s="2">
        <f>P12/'Output-Calculation-sheet'!P11*'Output-Calculation-sheet'!P20</f>
        <v>1248.3761375226195</v>
      </c>
      <c r="Q34" s="2">
        <f>Q12/'Output-Calculation-sheet'!Q11*'Output-Calculation-sheet'!Q20</f>
        <v>839.46071769881542</v>
      </c>
      <c r="R34" s="2">
        <f>R12/'Output-Calculation-sheet'!R11*'Output-Calculation-sheet'!R20</f>
        <v>2329.7446859967094</v>
      </c>
      <c r="S34" s="2">
        <f>S12/'Output-Calculation-sheet'!S11*'Output-Calculation-sheet'!S20</f>
        <v>2.7601022336530985</v>
      </c>
      <c r="T34" s="2">
        <f>T12/'Output-Calculation-sheet'!T11*'Output-Calculation-sheet'!T20</f>
        <v>706.18457931268108</v>
      </c>
      <c r="U34" s="2">
        <f>U12/'Output-Calculation-sheet'!U11*'Output-Calculation-sheet'!U20</f>
        <v>650.44917895449078</v>
      </c>
      <c r="V34" s="2">
        <f>V12/'Output-Calculation-sheet'!V11*'Output-Calculation-sheet'!V20</f>
        <v>640.23148631264303</v>
      </c>
      <c r="W34" s="2">
        <f>W12/'Output-Calculation-sheet'!W11*'Output-Calculation-sheet'!W20</f>
        <v>347.20350405404264</v>
      </c>
      <c r="X34" s="2">
        <f>X12/'Output-Calculation-sheet'!X11*'Output-Calculation-sheet'!X20</f>
        <v>0</v>
      </c>
      <c r="Y34" s="2">
        <f>Y12/'Output-Calculation-sheet'!Y11*'Output-Calculation-sheet'!Y20</f>
        <v>158.60023111465696</v>
      </c>
      <c r="AA34" s="2">
        <f t="shared" si="1"/>
        <v>36.951823223965022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1.790058606116832E-2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3.2783557065086772E-3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2.1178941767676998E-2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4.1404405330141267E-2</v>
      </c>
      <c r="E45" s="2">
        <f>E12/'Output-Calculation-sheet'!E11*'Output-Calculation-sheet'!E38*0.0114</f>
        <v>9.8716490575960575E-2</v>
      </c>
      <c r="F45" s="2">
        <f>F12/'Output-Calculation-sheet'!F11*'Output-Calculation-sheet'!F38*0.0114</f>
        <v>4.1390587434494149E-2</v>
      </c>
      <c r="G45" s="2">
        <f>G12/'Output-Calculation-sheet'!G11*'Output-Calculation-sheet'!G38*0.0114</f>
        <v>2.9705392445601605E-2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2.6718164865113841E-2</v>
      </c>
      <c r="J45" s="2">
        <f>J12/'Output-Calculation-sheet'!J11*'Output-Calculation-sheet'!J38*0.0114</f>
        <v>1.3221066362741399E-2</v>
      </c>
      <c r="K45" s="2">
        <f>K12/'Output-Calculation-sheet'!K11*'Output-Calculation-sheet'!K38*0.0114</f>
        <v>2.6259703146893014E-2</v>
      </c>
      <c r="L45" s="2">
        <f>L12/'Output-Calculation-sheet'!L11*'Output-Calculation-sheet'!L38*0.0114</f>
        <v>1.0440253535082496E-2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2.6968217531787197E-2</v>
      </c>
      <c r="Q45" s="2">
        <f>Q12/'Output-Calculation-sheet'!Q11*'Output-Calculation-sheet'!Q38*0.0114</f>
        <v>8.5255339514513639E-3</v>
      </c>
      <c r="R45" s="2">
        <f>R12/'Output-Calculation-sheet'!R11*'Output-Calculation-sheet'!R38*0.0114</f>
        <v>1.6909347522792741E-2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3.1279107968580511E-3</v>
      </c>
      <c r="U45" s="2">
        <f>U12/'Output-Calculation-sheet'!U11*'Output-Calculation-sheet'!U38*0.0114</f>
        <v>8.1604738391253904E-3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3.6325474336537209E-3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4.19247513607157E-3</v>
      </c>
      <c r="AA45" s="2">
        <f t="shared" si="2"/>
        <v>0.55645514842962085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0.16247546786376207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194.85069310900391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0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18.181008719209796</v>
      </c>
      <c r="AA54" s="2">
        <f t="shared" si="3"/>
        <v>4.7997145399003331</v>
      </c>
    </row>
    <row r="55" spans="1:27" x14ac:dyDescent="0.25">
      <c r="A55" s="2">
        <v>2034</v>
      </c>
      <c r="B55" s="2">
        <f>B11/'Output-Calculation-sheet'!B10*'Output-Calculation-sheet'!B46</f>
        <v>1561.6975414665578</v>
      </c>
      <c r="C55" s="2">
        <f>C11/'Output-Calculation-sheet'!C10*'Output-Calculation-sheet'!C46</f>
        <v>0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260.36083506417663</v>
      </c>
      <c r="G55" s="2">
        <f>G11/'Output-Calculation-sheet'!G10*'Output-Calculation-sheet'!G46</f>
        <v>2934.753977923122</v>
      </c>
      <c r="H55" s="2">
        <f>H11/'Output-Calculation-sheet'!H10*'Output-Calculation-sheet'!H46</f>
        <v>532.39626408425227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1207.6395497243013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394.60099064185061</v>
      </c>
      <c r="N55" s="2">
        <f>N11/'Output-Calculation-sheet'!N10*'Output-Calculation-sheet'!N46</f>
        <v>134.7627854184411</v>
      </c>
      <c r="O55" s="2">
        <f>O11/'Output-Calculation-sheet'!O10*'Output-Calculation-sheet'!O46</f>
        <v>0</v>
      </c>
      <c r="P55" s="2">
        <f>P11/'Output-Calculation-sheet'!P10*'Output-Calculation-sheet'!P46</f>
        <v>2930.909828178701</v>
      </c>
      <c r="Q55" s="2">
        <f>Q11/'Output-Calculation-sheet'!Q10*'Output-Calculation-sheet'!Q46</f>
        <v>628.21957729754536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0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1117.2291157707202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74.118343225906813</v>
      </c>
      <c r="X55" s="2">
        <f>X11/'Output-Calculation-sheet'!X10*'Output-Calculation-sheet'!X46</f>
        <v>37.662186195548365</v>
      </c>
      <c r="Y55" s="2">
        <f>Y11/'Output-Calculation-sheet'!Y10*'Output-Calculation-sheet'!Y46</f>
        <v>261.94799369097314</v>
      </c>
      <c r="AA55" s="2">
        <f t="shared" si="3"/>
        <v>38.795480894110092</v>
      </c>
    </row>
    <row r="56" spans="1:27" x14ac:dyDescent="0.25">
      <c r="A56" s="2">
        <v>2035</v>
      </c>
      <c r="B56" s="2">
        <f>B12/'Output-Calculation-sheet'!B11*'Output-Calculation-sheet'!B47</f>
        <v>2323.7852797421492</v>
      </c>
      <c r="C56" s="2">
        <f>C12/'Output-Calculation-sheet'!C11*'Output-Calculation-sheet'!C47</f>
        <v>266.50538333198676</v>
      </c>
      <c r="D56" s="2">
        <f>D12/'Output-Calculation-sheet'!D11*'Output-Calculation-sheet'!D47</f>
        <v>6559.3294759855371</v>
      </c>
      <c r="E56" s="2">
        <f>E12/'Output-Calculation-sheet'!E11*'Output-Calculation-sheet'!E47</f>
        <v>8595.8394425500173</v>
      </c>
      <c r="F56" s="2">
        <f>F12/'Output-Calculation-sheet'!F11*'Output-Calculation-sheet'!F47</f>
        <v>907.68832093188928</v>
      </c>
      <c r="G56" s="2">
        <f>G12/'Output-Calculation-sheet'!G11*'Output-Calculation-sheet'!G47</f>
        <v>2427.2432511471834</v>
      </c>
      <c r="H56" s="2">
        <f>H12/'Output-Calculation-sheet'!H11*'Output-Calculation-sheet'!H47</f>
        <v>103.49487779630337</v>
      </c>
      <c r="I56" s="2">
        <f>I12/'Output-Calculation-sheet'!I11*'Output-Calculation-sheet'!I47</f>
        <v>1546.8411237697487</v>
      </c>
      <c r="J56" s="2">
        <f>J12/'Output-Calculation-sheet'!J11*'Output-Calculation-sheet'!J47</f>
        <v>2582.7469113881662</v>
      </c>
      <c r="K56" s="2">
        <f>K12/'Output-Calculation-sheet'!K11*'Output-Calculation-sheet'!K47</f>
        <v>3449.4653914449373</v>
      </c>
      <c r="L56" s="2">
        <f>L12/'Output-Calculation-sheet'!L11*'Output-Calculation-sheet'!L47</f>
        <v>3735.5959797896053</v>
      </c>
      <c r="M56" s="2">
        <f>M12/'Output-Calculation-sheet'!M11*'Output-Calculation-sheet'!M47</f>
        <v>79.03077887360871</v>
      </c>
      <c r="N56" s="2">
        <f>N12/'Output-Calculation-sheet'!N11*'Output-Calculation-sheet'!N47</f>
        <v>74.260177774122681</v>
      </c>
      <c r="O56" s="2">
        <f>O12/'Output-Calculation-sheet'!O11*'Output-Calculation-sheet'!O47</f>
        <v>48.588463496458544</v>
      </c>
      <c r="P56" s="2">
        <f>P12/'Output-Calculation-sheet'!P11*'Output-Calculation-sheet'!P47</f>
        <v>1764.7623051502851</v>
      </c>
      <c r="Q56" s="2">
        <f>Q12/'Output-Calculation-sheet'!Q11*'Output-Calculation-sheet'!Q47</f>
        <v>678.30344683915678</v>
      </c>
      <c r="R56" s="2">
        <f>R12/'Output-Calculation-sheet'!R11*'Output-Calculation-sheet'!R47</f>
        <v>3803.1199165298758</v>
      </c>
      <c r="S56" s="2">
        <f>S12/'Output-Calculation-sheet'!S11*'Output-Calculation-sheet'!S47</f>
        <v>31.804049847092962</v>
      </c>
      <c r="T56" s="2">
        <f>T12/'Output-Calculation-sheet'!T11*'Output-Calculation-sheet'!T47</f>
        <v>1279.4252671709728</v>
      </c>
      <c r="U56" s="2">
        <f>U12/'Output-Calculation-sheet'!U11*'Output-Calculation-sheet'!U47</f>
        <v>896.9362912652731</v>
      </c>
      <c r="V56" s="2">
        <f>V12/'Output-Calculation-sheet'!V11*'Output-Calculation-sheet'!V47</f>
        <v>886.27704408545674</v>
      </c>
      <c r="W56" s="2">
        <f>W12/'Output-Calculation-sheet'!W11*'Output-Calculation-sheet'!W47</f>
        <v>313.70552179228844</v>
      </c>
      <c r="X56" s="2">
        <f>X12/'Output-Calculation-sheet'!X11*'Output-Calculation-sheet'!X47</f>
        <v>8.0982029573679277</v>
      </c>
      <c r="Y56" s="2">
        <f>Y12/'Output-Calculation-sheet'!Y11*'Output-Calculation-sheet'!Y47</f>
        <v>250.35328498953695</v>
      </c>
      <c r="AA56" s="2">
        <f t="shared" si="3"/>
        <v>42.613200188649024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8.5458155323577252</v>
      </c>
      <c r="C63" s="2">
        <f>C8*'Output-Calculation-sheet'!C52/10^9</f>
        <v>4.5656141726691502</v>
      </c>
      <c r="D63" s="2">
        <f>D8*'Output-Calculation-sheet'!D52/10^9</f>
        <v>2.9305432847417796</v>
      </c>
      <c r="E63" s="2">
        <f>E8*'Output-Calculation-sheet'!E52/10^9</f>
        <v>2.9137461088996179</v>
      </c>
      <c r="F63" s="2">
        <f>F8*'Output-Calculation-sheet'!F52/10^9</f>
        <v>1.2339712362408328</v>
      </c>
      <c r="G63" s="2">
        <f>G8*'Output-Calculation-sheet'!G52/10^9</f>
        <v>0.8871695727970258</v>
      </c>
      <c r="H63" s="2">
        <f>H8*'Output-Calculation-sheet'!H52/10^9</f>
        <v>1.4428960820187835</v>
      </c>
      <c r="I63" s="2">
        <f>I8*'Output-Calculation-sheet'!I52/10^9</f>
        <v>0.82527367018203068</v>
      </c>
      <c r="J63" s="2">
        <f>J8*'Output-Calculation-sheet'!J52/10^9</f>
        <v>1.1356325088139434</v>
      </c>
      <c r="K63" s="2">
        <f>K8*'Output-Calculation-sheet'!K52/10^9</f>
        <v>0.99775416448085075</v>
      </c>
      <c r="L63" s="2">
        <f>L8*'Output-Calculation-sheet'!L52/10^9</f>
        <v>1.3420273573691113</v>
      </c>
      <c r="M63" s="2">
        <f>M8*'Output-Calculation-sheet'!M52/10^9</f>
        <v>1.1820680330708415</v>
      </c>
      <c r="N63" s="2">
        <f>N8*'Output-Calculation-sheet'!N52/10^9</f>
        <v>1.0430036867829393</v>
      </c>
      <c r="O63" s="2">
        <f>O8*'Output-Calculation-sheet'!O52/10^9</f>
        <v>0.93408524639170154</v>
      </c>
      <c r="P63" s="2">
        <f>P8*'Output-Calculation-sheet'!P52/10^9</f>
        <v>0.68942121324300787</v>
      </c>
      <c r="Q63" s="2">
        <f>Q8*'Output-Calculation-sheet'!Q52/10^9</f>
        <v>0.78022278132728706</v>
      </c>
      <c r="R63" s="2">
        <f>R8*'Output-Calculation-sheet'!R52/10^9</f>
        <v>0.70048518320885944</v>
      </c>
      <c r="S63" s="2">
        <f>S8*'Output-Calculation-sheet'!S52/10^9</f>
        <v>0.51908434018026839</v>
      </c>
      <c r="T63" s="2">
        <f>T8*'Output-Calculation-sheet'!T52/10^9</f>
        <v>0.26631446025398275</v>
      </c>
      <c r="U63" s="2">
        <f>U8*'Output-Calculation-sheet'!U52/10^9</f>
        <v>0.18290191756644894</v>
      </c>
      <c r="V63" s="2">
        <f>V8*'Output-Calculation-sheet'!V52/10^9</f>
        <v>0.32460768056836564</v>
      </c>
      <c r="W63" s="2">
        <f>W8*'Output-Calculation-sheet'!W52/10^9</f>
        <v>0.11749277234212857</v>
      </c>
      <c r="X63" s="2">
        <f>X8*'Output-Calculation-sheet'!X52/10^9</f>
        <v>0.1210623748078018</v>
      </c>
      <c r="Y63" s="2">
        <f>Y8*'Output-Calculation-sheet'!Y52/10^9</f>
        <v>7.6660765591163055E-2</v>
      </c>
      <c r="AA63" s="2">
        <f t="shared" si="4"/>
        <v>33.757854145905647</v>
      </c>
    </row>
    <row r="64" spans="1:27" x14ac:dyDescent="0.25">
      <c r="A64" s="2">
        <v>2032</v>
      </c>
      <c r="B64" s="2">
        <f>B9*'Output-Calculation-sheet'!B53/10^9</f>
        <v>8.6896222002393948</v>
      </c>
      <c r="C64" s="2">
        <f>C9*'Output-Calculation-sheet'!C53/10^9</f>
        <v>4.6066371050000132</v>
      </c>
      <c r="D64" s="2">
        <f>D9*'Output-Calculation-sheet'!D53/10^9</f>
        <v>2.5735829030569848</v>
      </c>
      <c r="E64" s="2">
        <f>E9*'Output-Calculation-sheet'!E53/10^9</f>
        <v>2.6354621249746737</v>
      </c>
      <c r="F64" s="2">
        <f>F9*'Output-Calculation-sheet'!F53/10^9</f>
        <v>1.1116213986099412</v>
      </c>
      <c r="G64" s="2">
        <f>G9*'Output-Calculation-sheet'!G53/10^9</f>
        <v>0.7912181058080906</v>
      </c>
      <c r="H64" s="2">
        <f>H9*'Output-Calculation-sheet'!H53/10^9</f>
        <v>1.4457588798846961</v>
      </c>
      <c r="I64" s="2">
        <f>I9*'Output-Calculation-sheet'!I53/10^9</f>
        <v>0.73965961512765155</v>
      </c>
      <c r="J64" s="2">
        <f>J9*'Output-Calculation-sheet'!J53/10^9</f>
        <v>0.97915904266607012</v>
      </c>
      <c r="K64" s="2">
        <f>K9*'Output-Calculation-sheet'!K53/10^9</f>
        <v>0.90852637356847843</v>
      </c>
      <c r="L64" s="2">
        <f>L9*'Output-Calculation-sheet'!L53/10^9</f>
        <v>1.168816464075257</v>
      </c>
      <c r="M64" s="2">
        <f>M9*'Output-Calculation-sheet'!M53/10^9</f>
        <v>1.1470405772249932</v>
      </c>
      <c r="N64" s="2">
        <f>N9*'Output-Calculation-sheet'!N53/10^9</f>
        <v>1.0327071366869618</v>
      </c>
      <c r="O64" s="2">
        <f>O9*'Output-Calculation-sheet'!O53/10^9</f>
        <v>0.93287851160934876</v>
      </c>
      <c r="P64" s="2">
        <f>P9*'Output-Calculation-sheet'!P53/10^9</f>
        <v>0.69269498695883891</v>
      </c>
      <c r="Q64" s="2">
        <f>Q9*'Output-Calculation-sheet'!Q53/10^9</f>
        <v>0.76552628876105533</v>
      </c>
      <c r="R64" s="2">
        <f>R9*'Output-Calculation-sheet'!R53/10^9</f>
        <v>0.65623680987563249</v>
      </c>
      <c r="S64" s="2">
        <f>S9*'Output-Calculation-sheet'!S53/10^9</f>
        <v>0.52805539787464684</v>
      </c>
      <c r="T64" s="2">
        <f>T9*'Output-Calculation-sheet'!T53/10^9</f>
        <v>0.23589911459477661</v>
      </c>
      <c r="U64" s="2">
        <f>U9*'Output-Calculation-sheet'!U53/10^9</f>
        <v>0.17755634516208191</v>
      </c>
      <c r="V64" s="2">
        <f>V9*'Output-Calculation-sheet'!V53/10^9</f>
        <v>0.27999629703643064</v>
      </c>
      <c r="W64" s="2">
        <f>W9*'Output-Calculation-sheet'!W53/10^9</f>
        <v>0.10404139734789034</v>
      </c>
      <c r="X64" s="2">
        <f>X9*'Output-Calculation-sheet'!X53/10^9</f>
        <v>0.11928197356320912</v>
      </c>
      <c r="Y64" s="2">
        <f>Y9*'Output-Calculation-sheet'!Y53/10^9</f>
        <v>7.2894836277314093E-2</v>
      </c>
      <c r="AA64" s="2">
        <f t="shared" si="4"/>
        <v>32.394873885984431</v>
      </c>
    </row>
    <row r="65" spans="1:27" x14ac:dyDescent="0.25">
      <c r="A65" s="2">
        <v>2033</v>
      </c>
      <c r="B65" s="2">
        <f>B10*'Output-Calculation-sheet'!B54/10^9</f>
        <v>8.2466737799863523</v>
      </c>
      <c r="C65" s="2">
        <f>C10*'Output-Calculation-sheet'!C54/10^9</f>
        <v>4.2628534678335175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1.3386798642790965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0.77996622923274361</v>
      </c>
      <c r="L65" s="2">
        <f>L10*'Output-Calculation-sheet'!L54/10^9</f>
        <v>0.92121556001939608</v>
      </c>
      <c r="M65" s="2">
        <f>M10*'Output-Calculation-sheet'!M54/10^9</f>
        <v>1.0208286505478108</v>
      </c>
      <c r="N65" s="2">
        <f>N10*'Output-Calculation-sheet'!N54/10^9</f>
        <v>0.93673537849420285</v>
      </c>
      <c r="O65" s="2">
        <f>O10*'Output-Calculation-sheet'!O54/10^9</f>
        <v>0.85429468497979288</v>
      </c>
      <c r="P65" s="2">
        <f>P10*'Output-Calculation-sheet'!P54/10^9</f>
        <v>0.65987610335731861</v>
      </c>
      <c r="Q65" s="2">
        <f>Q10*'Output-Calculation-sheet'!Q54/10^9</f>
        <v>0.71882710249205617</v>
      </c>
      <c r="R65" s="2">
        <f>R10*'Output-Calculation-sheet'!R54/10^9</f>
        <v>0.58094886100550436</v>
      </c>
      <c r="S65" s="2">
        <f>S10*'Output-Calculation-sheet'!S54/10^9</f>
        <v>0.49412655800106364</v>
      </c>
      <c r="T65" s="2">
        <f>T10*'Output-Calculation-sheet'!T54/10^9</f>
        <v>0.19423953932801283</v>
      </c>
      <c r="U65" s="2">
        <f>U10*'Output-Calculation-sheet'!U54/10^9</f>
        <v>0.16771893306734953</v>
      </c>
      <c r="V65" s="2">
        <f>V10*'Output-Calculation-sheet'!V54/10^9</f>
        <v>0.21496015503039995</v>
      </c>
      <c r="W65" s="2">
        <f>W10*'Output-Calculation-sheet'!W54/10^9</f>
        <v>8.184027464150094E-2</v>
      </c>
      <c r="X65" s="2">
        <f>X10*'Output-Calculation-sheet'!X54/10^9</f>
        <v>0.10703460486347866</v>
      </c>
      <c r="Y65" s="2">
        <f>Y10*'Output-Calculation-sheet'!Y54/10^9</f>
        <v>6.7360311133613793E-2</v>
      </c>
      <c r="AA65" s="2">
        <f t="shared" si="4"/>
        <v>28.788337243994597</v>
      </c>
    </row>
    <row r="66" spans="1:27" x14ac:dyDescent="0.25">
      <c r="A66" s="2">
        <v>2034</v>
      </c>
      <c r="B66" s="2">
        <f>B11*'Output-Calculation-sheet'!B55/10^9</f>
        <v>7.2644439986409148</v>
      </c>
      <c r="C66" s="2">
        <f>C11*'Output-Calculation-sheet'!C55/10^9</f>
        <v>3.6542915887250733</v>
      </c>
      <c r="D66" s="2">
        <f>D11*'Output-Calculation-sheet'!D55/10^9</f>
        <v>1.6394654122407484</v>
      </c>
      <c r="E66" s="2">
        <f>E11*'Output-Calculation-sheet'!E55/10^9</f>
        <v>1.9852763399508004</v>
      </c>
      <c r="F66" s="2">
        <f>F11*'Output-Calculation-sheet'!F55/10^9</f>
        <v>0.76297121166381388</v>
      </c>
      <c r="G66" s="2">
        <f>G11*'Output-Calculation-sheet'!G55/10^9</f>
        <v>0.54539115426127915</v>
      </c>
      <c r="H66" s="2">
        <f>H11*'Output-Calculation-sheet'!H55/10^9</f>
        <v>1.1380226720289646</v>
      </c>
      <c r="I66" s="2">
        <f>I11*'Output-Calculation-sheet'!I55/10^9</f>
        <v>0.53329430168080283</v>
      </c>
      <c r="J66" s="2">
        <f>J11*'Output-Calculation-sheet'!J55/10^9</f>
        <v>0.54840550282584388</v>
      </c>
      <c r="K66" s="2">
        <f>K11*'Output-Calculation-sheet'!K55/10^9</f>
        <v>0.65593164856436348</v>
      </c>
      <c r="L66" s="2">
        <f>L11*'Output-Calculation-sheet'!L55/10^9</f>
        <v>0.69464218166252489</v>
      </c>
      <c r="M66" s="2">
        <f>M11*'Output-Calculation-sheet'!M55/10^9</f>
        <v>0.82953989652448479</v>
      </c>
      <c r="N66" s="2">
        <f>N11*'Output-Calculation-sheet'!N55/10^9</f>
        <v>0.78367541747246727</v>
      </c>
      <c r="O66" s="2">
        <f>O11*'Output-Calculation-sheet'!O55/10^9</f>
        <v>0.72027317454528617</v>
      </c>
      <c r="P66" s="2">
        <f>P11*'Output-Calculation-sheet'!P55/10^9</f>
        <v>0.60142114955649795</v>
      </c>
      <c r="Q66" s="2">
        <f>Q11*'Output-Calculation-sheet'!Q55/10^9</f>
        <v>0.63620576025310305</v>
      </c>
      <c r="R66" s="2">
        <f>R11*'Output-Calculation-sheet'!R55/10^9</f>
        <v>0.49139902546583247</v>
      </c>
      <c r="S66" s="2">
        <f>S11*'Output-Calculation-sheet'!S55/10^9</f>
        <v>0.42861824611044053</v>
      </c>
      <c r="T66" s="2">
        <f>T11*'Output-Calculation-sheet'!T55/10^9</f>
        <v>0.1540162763731274</v>
      </c>
      <c r="U66" s="2">
        <f>U11*'Output-Calculation-sheet'!U55/10^9</f>
        <v>0.1564348546403812</v>
      </c>
      <c r="V66" s="2">
        <f>V11*'Output-Calculation-sheet'!V55/10^9</f>
        <v>0.14610589648147809</v>
      </c>
      <c r="W66" s="2">
        <f>W11*'Output-Calculation-sheet'!W55/10^9</f>
        <v>6.61577006738166E-2</v>
      </c>
      <c r="X66" s="2">
        <f>X11*'Output-Calculation-sheet'!X55/10^9</f>
        <v>8.8629585927249011E-2</v>
      </c>
      <c r="Y66" s="2">
        <f>Y11*'Output-Calculation-sheet'!Y55/10^9</f>
        <v>6.467938729168525E-2</v>
      </c>
      <c r="AA66" s="2">
        <f t="shared" si="4"/>
        <v>24.589292383560977</v>
      </c>
    </row>
    <row r="67" spans="1:27" x14ac:dyDescent="0.25">
      <c r="A67" s="2">
        <v>2035</v>
      </c>
      <c r="B67" s="2">
        <f>B12*'Output-Calculation-sheet'!B56/10^9</f>
        <v>6.088629995307258</v>
      </c>
      <c r="C67" s="2">
        <f>C12*'Output-Calculation-sheet'!C56/10^9</f>
        <v>2.8577091792837024</v>
      </c>
      <c r="D67" s="2">
        <f>D12*'Output-Calculation-sheet'!D56/10^9</f>
        <v>1.4049183784033299</v>
      </c>
      <c r="E67" s="2">
        <f>E12*'Output-Calculation-sheet'!E56/10^9</f>
        <v>1.8781212038199313</v>
      </c>
      <c r="F67" s="2">
        <f>F12*'Output-Calculation-sheet'!F56/10^9</f>
        <v>0.6966896338440639</v>
      </c>
      <c r="G67" s="2">
        <f>G12*'Output-Calculation-sheet'!G56/10^9</f>
        <v>0.48804216616235174</v>
      </c>
      <c r="H67" s="2">
        <f>H12*'Output-Calculation-sheet'!H56/10^9</f>
        <v>0.89969297393685288</v>
      </c>
      <c r="I67" s="2">
        <f>I12*'Output-Calculation-sheet'!I56/10^9</f>
        <v>0.47408979923818856</v>
      </c>
      <c r="J67" s="2">
        <f>J12*'Output-Calculation-sheet'!J56/10^9</f>
        <v>0.46936832830328495</v>
      </c>
      <c r="K67" s="2">
        <f>K12*'Output-Calculation-sheet'!K56/10^9</f>
        <v>0.56559724418881474</v>
      </c>
      <c r="L67" s="2">
        <f>L12*'Output-Calculation-sheet'!L56/10^9</f>
        <v>0.56814942864991369</v>
      </c>
      <c r="M67" s="2">
        <f>M12*'Output-Calculation-sheet'!M56/10^9</f>
        <v>0.62586387349244788</v>
      </c>
      <c r="N67" s="2">
        <f>N12*'Output-Calculation-sheet'!N56/10^9</f>
        <v>0.61051847168591344</v>
      </c>
      <c r="O67" s="2">
        <f>O12*'Output-Calculation-sheet'!O56/10^9</f>
        <v>0.55551068175583695</v>
      </c>
      <c r="P67" s="2">
        <f>P12*'Output-Calculation-sheet'!P56/10^9</f>
        <v>0.53095676698740446</v>
      </c>
      <c r="Q67" s="2">
        <f>Q12*'Output-Calculation-sheet'!Q56/10^9</f>
        <v>0.53890325685061757</v>
      </c>
      <c r="R67" s="2">
        <f>R12*'Output-Calculation-sheet'!R56/10^9</f>
        <v>0.42901480855147989</v>
      </c>
      <c r="S67" s="2">
        <f>S12*'Output-Calculation-sheet'!S56/10^9</f>
        <v>0.34882348321493201</v>
      </c>
      <c r="T67" s="2">
        <f>T12*'Output-Calculation-sheet'!T56/10^9</f>
        <v>0.13002049640537083</v>
      </c>
      <c r="U67" s="2">
        <f>U12*'Output-Calculation-sheet'!U56/10^9</f>
        <v>0.13594703124121382</v>
      </c>
      <c r="V67" s="2">
        <f>V12*'Output-Calculation-sheet'!V56/10^9</f>
        <v>0.10428468360901151</v>
      </c>
      <c r="W67" s="2">
        <f>W12*'Output-Calculation-sheet'!W56/10^9</f>
        <v>6.2963827870616454E-2</v>
      </c>
      <c r="X67" s="2">
        <f>X12*'Output-Calculation-sheet'!X56/10^9</f>
        <v>6.6906047884145295E-2</v>
      </c>
      <c r="Y67" s="2">
        <f>Y12*'Output-Calculation-sheet'!Y56/10^9</f>
        <v>6.0478667369688717E-2</v>
      </c>
      <c r="AA67" s="2">
        <f t="shared" si="4"/>
        <v>20.591200428056375</v>
      </c>
    </row>
    <row r="68" spans="1:27" x14ac:dyDescent="0.25">
      <c r="B68" s="2">
        <f>SUM(B60:B67)</f>
        <v>38.835185506531644</v>
      </c>
      <c r="C68" s="2">
        <f t="shared" ref="C68:Y68" si="5">SUM(C60:C67)</f>
        <v>19.947105513511456</v>
      </c>
      <c r="D68" s="2">
        <f t="shared" si="5"/>
        <v>10.549750427546906</v>
      </c>
      <c r="E68" s="2">
        <f t="shared" si="5"/>
        <v>11.665968413900083</v>
      </c>
      <c r="F68" s="2">
        <f t="shared" si="5"/>
        <v>4.7200791991002289</v>
      </c>
      <c r="G68" s="2">
        <f t="shared" si="5"/>
        <v>3.3399321301279397</v>
      </c>
      <c r="H68" s="2">
        <f t="shared" si="5"/>
        <v>6.2650504721483928</v>
      </c>
      <c r="I68" s="2">
        <f t="shared" si="5"/>
        <v>3.1839263633127515</v>
      </c>
      <c r="J68" s="2">
        <f t="shared" si="5"/>
        <v>3.863573656026563</v>
      </c>
      <c r="K68" s="2">
        <f t="shared" si="5"/>
        <v>3.9077756600352513</v>
      </c>
      <c r="L68" s="2">
        <f t="shared" si="5"/>
        <v>4.6948509917762031</v>
      </c>
      <c r="M68" s="2">
        <f t="shared" si="5"/>
        <v>4.8053410308605784</v>
      </c>
      <c r="N68" s="2">
        <f t="shared" si="5"/>
        <v>4.406640091122485</v>
      </c>
      <c r="O68" s="2">
        <f t="shared" si="5"/>
        <v>3.9970422992819663</v>
      </c>
      <c r="P68" s="2">
        <f t="shared" si="5"/>
        <v>3.1743702201030679</v>
      </c>
      <c r="Q68" s="2">
        <f t="shared" si="5"/>
        <v>3.4396851896841194</v>
      </c>
      <c r="R68" s="2">
        <f t="shared" si="5"/>
        <v>2.8580846881073088</v>
      </c>
      <c r="S68" s="2">
        <f t="shared" si="5"/>
        <v>2.3187080253813512</v>
      </c>
      <c r="T68" s="2">
        <f t="shared" si="5"/>
        <v>0.98048988695527051</v>
      </c>
      <c r="U68" s="2">
        <f t="shared" si="5"/>
        <v>0.82055908167747549</v>
      </c>
      <c r="V68" s="2">
        <f t="shared" si="5"/>
        <v>1.0699547127256857</v>
      </c>
      <c r="W68" s="2">
        <f t="shared" si="5"/>
        <v>0.43249597287595287</v>
      </c>
      <c r="X68" s="2">
        <f t="shared" si="5"/>
        <v>0.50291458704588388</v>
      </c>
      <c r="Y68" s="2">
        <f t="shared" si="5"/>
        <v>0.34207396766346493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59.514441079553272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5.9514441079553275E-2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518.45982032274162</v>
      </c>
      <c r="Q76" s="2">
        <f>Q10/'Output-Calculation-sheet'!Q9*'Output-Calculation-sheet'!Q63</f>
        <v>61.586808302976138</v>
      </c>
      <c r="R76" s="2">
        <f>R10/'Output-Calculation-sheet'!R9*'Output-Calculation-sheet'!R63</f>
        <v>395.19543204454817</v>
      </c>
      <c r="S76" s="2">
        <f>S10/'Output-Calculation-sheet'!S9*'Output-Calculation-sheet'!S63</f>
        <v>0</v>
      </c>
      <c r="T76" s="2">
        <f>T10/'Output-Calculation-sheet'!T9*'Output-Calculation-sheet'!T63</f>
        <v>25.961236530855921</v>
      </c>
      <c r="U76" s="2">
        <f>U10/'Output-Calculation-sheet'!U9*'Output-Calculation-sheet'!U63</f>
        <v>140.22412902189035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6.659654355985146</v>
      </c>
      <c r="AA76" s="2">
        <f t="shared" si="6"/>
        <v>1.2571102009765367</v>
      </c>
    </row>
    <row r="77" spans="1:27" x14ac:dyDescent="0.25">
      <c r="A77" s="2">
        <v>2034</v>
      </c>
      <c r="B77" s="2">
        <f>B11/'Output-Calculation-sheet'!B10*'Output-Calculation-sheet'!B64</f>
        <v>472.69461185109776</v>
      </c>
      <c r="C77" s="2">
        <f>C11/'Output-Calculation-sheet'!C10*'Output-Calculation-sheet'!C64</f>
        <v>0</v>
      </c>
      <c r="D77" s="2">
        <f>D11/'Output-Calculation-sheet'!D10*'Output-Calculation-sheet'!D64</f>
        <v>1589.9175423535471</v>
      </c>
      <c r="E77" s="2">
        <f>E11/'Output-Calculation-sheet'!E10*'Output-Calculation-sheet'!E64</f>
        <v>1971.4530048771405</v>
      </c>
      <c r="F77" s="2">
        <f>F11/'Output-Calculation-sheet'!F10*'Output-Calculation-sheet'!F64</f>
        <v>123.51167950456217</v>
      </c>
      <c r="G77" s="2">
        <f>G11/'Output-Calculation-sheet'!G10*'Output-Calculation-sheet'!G64</f>
        <v>796.52583246287122</v>
      </c>
      <c r="H77" s="2">
        <f>H11/'Output-Calculation-sheet'!H10*'Output-Calculation-sheet'!H64</f>
        <v>130.3549435627545</v>
      </c>
      <c r="I77" s="2">
        <f>I11/'Output-Calculation-sheet'!I10*'Output-Calculation-sheet'!I64</f>
        <v>492.84106654698621</v>
      </c>
      <c r="J77" s="2">
        <f>J11/'Output-Calculation-sheet'!J10*'Output-Calculation-sheet'!J64</f>
        <v>346.3479478528169</v>
      </c>
      <c r="K77" s="2">
        <f>K11/'Output-Calculation-sheet'!K10*'Output-Calculation-sheet'!K64</f>
        <v>755.63470785395953</v>
      </c>
      <c r="L77" s="2">
        <f>L11/'Output-Calculation-sheet'!L10*'Output-Calculation-sheet'!L64</f>
        <v>312.44770010351402</v>
      </c>
      <c r="M77" s="2">
        <f>M11/'Output-Calculation-sheet'!M10*'Output-Calculation-sheet'!M64</f>
        <v>93.883635163425538</v>
      </c>
      <c r="N77" s="2">
        <f>N11/'Output-Calculation-sheet'!N10*'Output-Calculation-sheet'!N64</f>
        <v>31.049962994540515</v>
      </c>
      <c r="O77" s="2">
        <f>O11/'Output-Calculation-sheet'!O10*'Output-Calculation-sheet'!O64</f>
        <v>0</v>
      </c>
      <c r="P77" s="2">
        <f>P11/'Output-Calculation-sheet'!P10*'Output-Calculation-sheet'!P64</f>
        <v>639.34509656580394</v>
      </c>
      <c r="Q77" s="2">
        <f>Q11/'Output-Calculation-sheet'!Q10*'Output-Calculation-sheet'!Q64</f>
        <v>154.21123181882859</v>
      </c>
      <c r="R77" s="2">
        <f>R11/'Output-Calculation-sheet'!R10*'Output-Calculation-sheet'!R64</f>
        <v>794.95453233904459</v>
      </c>
      <c r="S77" s="2">
        <f>S11/'Output-Calculation-sheet'!S10*'Output-Calculation-sheet'!S64</f>
        <v>0</v>
      </c>
      <c r="T77" s="2">
        <f>T11/'Output-Calculation-sheet'!T10*'Output-Calculation-sheet'!T64</f>
        <v>220.42216723453518</v>
      </c>
      <c r="U77" s="2">
        <f>U11/'Output-Calculation-sheet'!U10*'Output-Calculation-sheet'!U64</f>
        <v>241.75486462487109</v>
      </c>
      <c r="V77" s="2">
        <f>V11/'Output-Calculation-sheet'!V10*'Output-Calculation-sheet'!V64</f>
        <v>113.91842189358132</v>
      </c>
      <c r="W77" s="2">
        <f>W11/'Output-Calculation-sheet'!W10*'Output-Calculation-sheet'!W64</f>
        <v>24.995739195420775</v>
      </c>
      <c r="X77" s="2">
        <f>X11/'Output-Calculation-sheet'!X10*'Output-Calculation-sheet'!X64</f>
        <v>9.359168093332169</v>
      </c>
      <c r="Y77" s="2">
        <f>Y11/'Output-Calculation-sheet'!Y10*'Output-Calculation-sheet'!Y64</f>
        <v>52.753156846189583</v>
      </c>
      <c r="AA77" s="2">
        <f t="shared" si="6"/>
        <v>9.3683770137388223</v>
      </c>
    </row>
    <row r="78" spans="1:27" x14ac:dyDescent="0.25">
      <c r="A78" s="2">
        <v>2035</v>
      </c>
      <c r="B78" s="2">
        <f>B12/'Output-Calculation-sheet'!B11*'Output-Calculation-sheet'!B65</f>
        <v>468.44574113225843</v>
      </c>
      <c r="C78" s="2">
        <f>C12/'Output-Calculation-sheet'!C11*'Output-Calculation-sheet'!C65</f>
        <v>47.888967343347772</v>
      </c>
      <c r="D78" s="2">
        <f>D12/'Output-Calculation-sheet'!D11*'Output-Calculation-sheet'!D65</f>
        <v>1488.9932148063758</v>
      </c>
      <c r="E78" s="2">
        <f>E12/'Output-Calculation-sheet'!E11*'Output-Calculation-sheet'!E65</f>
        <v>1390.2428100426471</v>
      </c>
      <c r="F78" s="2">
        <f>F12/'Output-Calculation-sheet'!F11*'Output-Calculation-sheet'!F65</f>
        <v>328.88815545317703</v>
      </c>
      <c r="G78" s="2">
        <f>G12/'Output-Calculation-sheet'!G11*'Output-Calculation-sheet'!G65</f>
        <v>651.11744791388242</v>
      </c>
      <c r="H78" s="2">
        <f>H12/'Output-Calculation-sheet'!H11*'Output-Calculation-sheet'!H65</f>
        <v>18.815873636430375</v>
      </c>
      <c r="I78" s="2">
        <f>I12/'Output-Calculation-sheet'!I11*'Output-Calculation-sheet'!I65</f>
        <v>431.80773079634247</v>
      </c>
      <c r="J78" s="2">
        <f>J12/'Output-Calculation-sheet'!J11*'Output-Calculation-sheet'!J65</f>
        <v>630.06151494307539</v>
      </c>
      <c r="K78" s="2">
        <f>K12/'Output-Calculation-sheet'!K11*'Output-Calculation-sheet'!K65</f>
        <v>786.52763412818763</v>
      </c>
      <c r="L78" s="2">
        <f>L12/'Output-Calculation-sheet'!L11*'Output-Calculation-sheet'!L65</f>
        <v>663.58068306641621</v>
      </c>
      <c r="M78" s="2">
        <f>M12/'Output-Calculation-sheet'!M11*'Output-Calculation-sheet'!M65</f>
        <v>15.727993465945644</v>
      </c>
      <c r="N78" s="2">
        <f>N12/'Output-Calculation-sheet'!N11*'Output-Calculation-sheet'!N65</f>
        <v>12.766775620316702</v>
      </c>
      <c r="O78" s="2">
        <f>O12/'Output-Calculation-sheet'!O11*'Output-Calculation-sheet'!O65</f>
        <v>8.7029106911853447</v>
      </c>
      <c r="P78" s="2">
        <f>P12/'Output-Calculation-sheet'!P11*'Output-Calculation-sheet'!P65</f>
        <v>364.07172522349947</v>
      </c>
      <c r="Q78" s="2">
        <f>Q12/'Output-Calculation-sheet'!Q11*'Output-Calculation-sheet'!Q65</f>
        <v>137.81002134822359</v>
      </c>
      <c r="R78" s="2">
        <f>R12/'Output-Calculation-sheet'!R11*'Output-Calculation-sheet'!R65</f>
        <v>835.17492329221091</v>
      </c>
      <c r="S78" s="2">
        <f>S12/'Output-Calculation-sheet'!S11*'Output-Calculation-sheet'!S65</f>
        <v>4.9682818791904912</v>
      </c>
      <c r="T78" s="2">
        <f>T12/'Output-Calculation-sheet'!T11*'Output-Calculation-sheet'!T65</f>
        <v>287.68740051589862</v>
      </c>
      <c r="U78" s="2">
        <f>U12/'Output-Calculation-sheet'!U11*'Output-Calculation-sheet'!U65</f>
        <v>197.11505253234293</v>
      </c>
      <c r="V78" s="2">
        <f>V12/'Output-Calculation-sheet'!V11*'Output-Calculation-sheet'!V65</f>
        <v>162.50479289403236</v>
      </c>
      <c r="W78" s="2">
        <f>W12/'Output-Calculation-sheet'!W11*'Output-Calculation-sheet'!W65</f>
        <v>76.842717224803778</v>
      </c>
      <c r="X78" s="2">
        <f>X12/'Output-Calculation-sheet'!X11*'Output-Calculation-sheet'!X65</f>
        <v>1.6849978529883431</v>
      </c>
      <c r="Y78" s="2">
        <f>Y12/'Output-Calculation-sheet'!Y11*'Output-Calculation-sheet'!Y65</f>
        <v>43.303211442187653</v>
      </c>
      <c r="AA78" s="2">
        <f t="shared" si="6"/>
        <v>9.0547305772449658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1.5702268474709054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1.1503002478977815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2.7205270953686868E-3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21.79179227902172</v>
      </c>
      <c r="E89" s="2">
        <f>E12/'Output-Calculation-sheet'!E11*'Output-Calculation-sheet'!E74</f>
        <v>49.069600578693851</v>
      </c>
      <c r="F89" s="2">
        <f>F12/'Output-Calculation-sheet'!F11*'Output-Calculation-sheet'!F74</f>
        <v>21.784519702365341</v>
      </c>
      <c r="G89" s="2">
        <f>G12/'Output-Calculation-sheet'!G11*'Output-Calculation-sheet'!G74</f>
        <v>15.634417076632422</v>
      </c>
      <c r="H89" s="2">
        <f>H12/'Output-Calculation-sheet'!H11*'Output-Calculation-sheet'!H74</f>
        <v>2.5242653121049603</v>
      </c>
      <c r="I89" s="2">
        <f>I12/'Output-Calculation-sheet'!I11*'Output-Calculation-sheet'!I74</f>
        <v>14.062192034270442</v>
      </c>
      <c r="J89" s="2">
        <f>J12/'Output-Calculation-sheet'!J11*'Output-Calculation-sheet'!J74</f>
        <v>6.9584559803902097</v>
      </c>
      <c r="K89" s="2">
        <f>K12/'Output-Calculation-sheet'!K11*'Output-Calculation-sheet'!K74</f>
        <v>10.365672294826188</v>
      </c>
      <c r="L89" s="2">
        <f>L12/'Output-Calculation-sheet'!L11*'Output-Calculation-sheet'!L74</f>
        <v>5.494870281622366</v>
      </c>
      <c r="M89" s="2">
        <f>M12/'Output-Calculation-sheet'!M11*'Output-Calculation-sheet'!M74</f>
        <v>1.7369401950243673</v>
      </c>
      <c r="N89" s="2">
        <f>N12/'Output-Calculation-sheet'!N11*'Output-Calculation-sheet'!N74</f>
        <v>0.85356526177152514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16.559431817764068</v>
      </c>
      <c r="Q89" s="2">
        <f>Q12/'Output-Calculation-sheet'!Q11*'Output-Calculation-sheet'!Q74</f>
        <v>3.7392692769523528</v>
      </c>
      <c r="R89" s="2">
        <f>R12/'Output-Calculation-sheet'!R11*'Output-Calculation-sheet'!R74</f>
        <v>8.8996565909435468</v>
      </c>
      <c r="S89" s="2">
        <f>S12/'Output-Calculation-sheet'!S11*'Output-Calculation-sheet'!S74</f>
        <v>0.97858614914132191</v>
      </c>
      <c r="T89" s="2">
        <f>T12/'Output-Calculation-sheet'!T11*'Output-Calculation-sheet'!T74</f>
        <v>1.9206469805268733</v>
      </c>
      <c r="U89" s="2">
        <f>U12/'Output-Calculation-sheet'!U11*'Output-Calculation-sheet'!U74</f>
        <v>4.7722069234651405</v>
      </c>
      <c r="V89" s="2">
        <f>V12/'Output-Calculation-sheet'!V11*'Output-Calculation-sheet'!V74</f>
        <v>0.36797884329892327</v>
      </c>
      <c r="W89" s="2">
        <f>W12/'Output-Calculation-sheet'!W11*'Output-Calculation-sheet'!W74</f>
        <v>2.2305115820680741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2.2985061053023959</v>
      </c>
      <c r="AA89" s="2">
        <f t="shared" si="7"/>
        <v>0.21431218722689185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9755317911.8643532</v>
      </c>
      <c r="C96" s="2">
        <f>C8/'Output-Calculation-sheet'!C7*'Output-Calculation-sheet'!C79</f>
        <v>2355749704.1386127</v>
      </c>
      <c r="D96" s="2">
        <f>D8/'Output-Calculation-sheet'!D7*'Output-Calculation-sheet'!D79</f>
        <v>1912508825.0496395</v>
      </c>
      <c r="E96" s="2">
        <f>E8/'Output-Calculation-sheet'!E7*'Output-Calculation-sheet'!E79</f>
        <v>7165484954.5715275</v>
      </c>
      <c r="F96" s="2">
        <f>F8/'Output-Calculation-sheet'!F7*'Output-Calculation-sheet'!F79</f>
        <v>2090280864.0167596</v>
      </c>
      <c r="G96" s="2">
        <f>G8/'Output-Calculation-sheet'!G7*'Output-Calculation-sheet'!G79</f>
        <v>1341662385.4148047</v>
      </c>
      <c r="H96" s="2">
        <f>H8/'Output-Calculation-sheet'!H7*'Output-Calculation-sheet'!H79</f>
        <v>1652883582.7527301</v>
      </c>
      <c r="I96" s="2">
        <f>I8/'Output-Calculation-sheet'!I7*'Output-Calculation-sheet'!I79</f>
        <v>964783495.53260219</v>
      </c>
      <c r="J96" s="2">
        <f>J8/'Output-Calculation-sheet'!J7*'Output-Calculation-sheet'!J79</f>
        <v>731114700.92234683</v>
      </c>
      <c r="K96" s="2">
        <f>K8/'Output-Calculation-sheet'!K7*'Output-Calculation-sheet'!K79</f>
        <v>916913781.17729247</v>
      </c>
      <c r="L96" s="2">
        <f>L8/'Output-Calculation-sheet'!L7*'Output-Calculation-sheet'!L79</f>
        <v>832401326.59782839</v>
      </c>
      <c r="M96" s="2">
        <f>M8/'Output-Calculation-sheet'!M7*'Output-Calculation-sheet'!M79</f>
        <v>1275356229.3092809</v>
      </c>
      <c r="N96" s="2">
        <f>N8/'Output-Calculation-sheet'!N7*'Output-Calculation-sheet'!N79</f>
        <v>829066610.18745565</v>
      </c>
      <c r="O96" s="2">
        <f>O8/'Output-Calculation-sheet'!O7*'Output-Calculation-sheet'!O79</f>
        <v>311083223.78924829</v>
      </c>
      <c r="P96" s="2">
        <f>P8/'Output-Calculation-sheet'!P7*'Output-Calculation-sheet'!P79</f>
        <v>1578972741.7077386</v>
      </c>
      <c r="Q96" s="2">
        <f>Q8/'Output-Calculation-sheet'!Q7*'Output-Calculation-sheet'!Q79</f>
        <v>670380231.5651592</v>
      </c>
      <c r="R96" s="2">
        <f>R8/'Output-Calculation-sheet'!R7*'Output-Calculation-sheet'!R79</f>
        <v>889784104.42843294</v>
      </c>
      <c r="S96" s="2">
        <f>S8/'Output-Calculation-sheet'!S7*'Output-Calculation-sheet'!S79</f>
        <v>501802147.5951851</v>
      </c>
      <c r="T96" s="2">
        <f>T8/'Output-Calculation-sheet'!T7*'Output-Calculation-sheet'!T79</f>
        <v>302726716.66220319</v>
      </c>
      <c r="U96" s="2">
        <f>U8/'Output-Calculation-sheet'!U7*'Output-Calculation-sheet'!U79</f>
        <v>238283899.20029008</v>
      </c>
      <c r="V96" s="2">
        <f>V8/'Output-Calculation-sheet'!V7*'Output-Calculation-sheet'!V79</f>
        <v>109364013.1919055</v>
      </c>
      <c r="W96" s="2">
        <f>W8/'Output-Calculation-sheet'!W7*'Output-Calculation-sheet'!W79</f>
        <v>336721911.47052473</v>
      </c>
      <c r="X96" s="2">
        <f>X8/'Output-Calculation-sheet'!X7*'Output-Calculation-sheet'!X79</f>
        <v>151868213.1365051</v>
      </c>
      <c r="Y96" s="2">
        <f>Y8/'Output-Calculation-sheet'!Y7*'Output-Calculation-sheet'!Y79</f>
        <v>208998601.2419844</v>
      </c>
      <c r="AA96" s="2">
        <f t="shared" si="8"/>
        <v>37.123510175524402</v>
      </c>
    </row>
    <row r="97" spans="1:27" x14ac:dyDescent="0.25">
      <c r="A97" s="2">
        <v>2032</v>
      </c>
      <c r="B97" s="2">
        <f>B9/'Output-Calculation-sheet'!B8*'Output-Calculation-sheet'!B80</f>
        <v>11925008973.264921</v>
      </c>
      <c r="C97" s="2">
        <f>C9/'Output-Calculation-sheet'!C8*'Output-Calculation-sheet'!C80</f>
        <v>2816476174.3393712</v>
      </c>
      <c r="D97" s="2">
        <f>D9/'Output-Calculation-sheet'!D8*'Output-Calculation-sheet'!D80</f>
        <v>2151472536.3795695</v>
      </c>
      <c r="E97" s="2">
        <f>E9/'Output-Calculation-sheet'!E8*'Output-Calculation-sheet'!E80</f>
        <v>9057393951.8298187</v>
      </c>
      <c r="F97" s="2">
        <f>F9/'Output-Calculation-sheet'!F8*'Output-Calculation-sheet'!F80</f>
        <v>2483848307.0285106</v>
      </c>
      <c r="G97" s="2">
        <f>G9/'Output-Calculation-sheet'!G8*'Output-Calculation-sheet'!G80</f>
        <v>1521969870.0308032</v>
      </c>
      <c r="H97" s="2">
        <f>H9/'Output-Calculation-sheet'!H8*'Output-Calculation-sheet'!H80</f>
        <v>1992804697.3981795</v>
      </c>
      <c r="I97" s="2">
        <f>I9/'Output-Calculation-sheet'!I8*'Output-Calculation-sheet'!I80</f>
        <v>1147851212.84199</v>
      </c>
      <c r="J97" s="2">
        <f>J9/'Output-Calculation-sheet'!J8*'Output-Calculation-sheet'!J80</f>
        <v>857761334.45406556</v>
      </c>
      <c r="K97" s="2">
        <f>K9/'Output-Calculation-sheet'!K8*'Output-Calculation-sheet'!K80</f>
        <v>1057911018.9118032</v>
      </c>
      <c r="L97" s="2">
        <f>L9/'Output-Calculation-sheet'!L8*'Output-Calculation-sheet'!L80</f>
        <v>1020428605.868403</v>
      </c>
      <c r="M97" s="2">
        <f>M9/'Output-Calculation-sheet'!M8*'Output-Calculation-sheet'!M80</f>
        <v>1572187919.1244469</v>
      </c>
      <c r="N97" s="2">
        <f>N9/'Output-Calculation-sheet'!N8*'Output-Calculation-sheet'!N80</f>
        <v>987813505.65457475</v>
      </c>
      <c r="O97" s="2">
        <f>O9/'Output-Calculation-sheet'!O8*'Output-Calculation-sheet'!O80</f>
        <v>367187533.07166159</v>
      </c>
      <c r="P97" s="2">
        <f>P9/'Output-Calculation-sheet'!P8*'Output-Calculation-sheet'!P80</f>
        <v>1851911522.658299</v>
      </c>
      <c r="Q97" s="2">
        <f>Q9/'Output-Calculation-sheet'!Q8*'Output-Calculation-sheet'!Q80</f>
        <v>801015969.69070864</v>
      </c>
      <c r="R97" s="2">
        <f>R9/'Output-Calculation-sheet'!R8*'Output-Calculation-sheet'!R80</f>
        <v>1073367402.9662961</v>
      </c>
      <c r="S97" s="2">
        <f>S9/'Output-Calculation-sheet'!S8*'Output-Calculation-sheet'!S80</f>
        <v>597394894.81710088</v>
      </c>
      <c r="T97" s="2">
        <f>T9/'Output-Calculation-sheet'!T8*'Output-Calculation-sheet'!T80</f>
        <v>348336903.92481166</v>
      </c>
      <c r="U97" s="2">
        <f>U9/'Output-Calculation-sheet'!U8*'Output-Calculation-sheet'!U80</f>
        <v>277179694.63330787</v>
      </c>
      <c r="V97" s="2">
        <f>V9/'Output-Calculation-sheet'!V8*'Output-Calculation-sheet'!V80</f>
        <v>127851338.26414114</v>
      </c>
      <c r="W97" s="2">
        <f>W9/'Output-Calculation-sheet'!W8*'Output-Calculation-sheet'!W80</f>
        <v>395634691.43101966</v>
      </c>
      <c r="X97" s="2">
        <f>X9/'Output-Calculation-sheet'!X8*'Output-Calculation-sheet'!X80</f>
        <v>191617873.55678472</v>
      </c>
      <c r="Y97" s="2">
        <f>Y9/'Output-Calculation-sheet'!Y8*'Output-Calculation-sheet'!Y80</f>
        <v>251538032.31073868</v>
      </c>
      <c r="AA97" s="2">
        <f t="shared" si="8"/>
        <v>44.87596396445133</v>
      </c>
    </row>
    <row r="98" spans="1:27" x14ac:dyDescent="0.25">
      <c r="A98" s="2">
        <v>2033</v>
      </c>
      <c r="B98" s="2">
        <f>B10/'Output-Calculation-sheet'!B9*'Output-Calculation-sheet'!B81</f>
        <v>12782047021.832085</v>
      </c>
      <c r="C98" s="2">
        <f>C10/'Output-Calculation-sheet'!C9*'Output-Calculation-sheet'!C81</f>
        <v>2959825217.9834337</v>
      </c>
      <c r="D98" s="2">
        <f>D10/'Output-Calculation-sheet'!D9*'Output-Calculation-sheet'!D81</f>
        <v>2129279133.2950075</v>
      </c>
      <c r="E98" s="2">
        <f>E10/'Output-Calculation-sheet'!E9*'Output-Calculation-sheet'!E81</f>
        <v>10051019536.335203</v>
      </c>
      <c r="F98" s="2">
        <f>F10/'Output-Calculation-sheet'!F9*'Output-Calculation-sheet'!F81</f>
        <v>2589651796.2831717</v>
      </c>
      <c r="G98" s="2">
        <f>G10/'Output-Calculation-sheet'!G9*'Output-Calculation-sheet'!G81</f>
        <v>1512930593.5792613</v>
      </c>
      <c r="H98" s="2">
        <f>H10/'Output-Calculation-sheet'!H9*'Output-Calculation-sheet'!H81</f>
        <v>2106233781.5407577</v>
      </c>
      <c r="I98" s="2">
        <f>I10/'Output-Calculation-sheet'!I9*'Output-Calculation-sheet'!I81</f>
        <v>1200323737.4089448</v>
      </c>
      <c r="J98" s="2">
        <f>J10/'Output-Calculation-sheet'!J9*'Output-Calculation-sheet'!J81</f>
        <v>885468568.29881752</v>
      </c>
      <c r="K98" s="2">
        <f>K10/'Output-Calculation-sheet'!K9*'Output-Calculation-sheet'!K81</f>
        <v>1072259129.2622741</v>
      </c>
      <c r="L98" s="2">
        <f>L10/'Output-Calculation-sheet'!L9*'Output-Calculation-sheet'!L81</f>
        <v>1098960731.0074918</v>
      </c>
      <c r="M98" s="2">
        <f>M10/'Output-Calculation-sheet'!M9*'Output-Calculation-sheet'!M81</f>
        <v>1703000043.853965</v>
      </c>
      <c r="N98" s="2">
        <f>N10/'Output-Calculation-sheet'!N9*'Output-Calculation-sheet'!N81</f>
        <v>1034937471.6876769</v>
      </c>
      <c r="O98" s="2">
        <f>O10/'Output-Calculation-sheet'!O9*'Output-Calculation-sheet'!O81</f>
        <v>381715493.21460927</v>
      </c>
      <c r="P98" s="2">
        <f>P10/'Output-Calculation-sheet'!P9*'Output-Calculation-sheet'!P81</f>
        <v>1893706989.4602416</v>
      </c>
      <c r="Q98" s="2">
        <f>Q10/'Output-Calculation-sheet'!Q9*'Output-Calculation-sheet'!Q81</f>
        <v>841435339.17076576</v>
      </c>
      <c r="R98" s="2">
        <f>R10/'Output-Calculation-sheet'!R9*'Output-Calculation-sheet'!R81</f>
        <v>1135750486.6981838</v>
      </c>
      <c r="S98" s="2">
        <f>S10/'Output-Calculation-sheet'!S9*'Output-Calculation-sheet'!S81</f>
        <v>623752758.00415826</v>
      </c>
      <c r="T98" s="2">
        <f>T10/'Output-Calculation-sheet'!T9*'Output-Calculation-sheet'!T81</f>
        <v>351430493.1959601</v>
      </c>
      <c r="U98" s="2">
        <f>U10/'Output-Calculation-sheet'!U9*'Output-Calculation-sheet'!U81</f>
        <v>282385159.85777777</v>
      </c>
      <c r="V98" s="2">
        <f>V10/'Output-Calculation-sheet'!V9*'Output-Calculation-sheet'!V81</f>
        <v>131152674.74500726</v>
      </c>
      <c r="W98" s="2">
        <f>W10/'Output-Calculation-sheet'!W9*'Output-Calculation-sheet'!W81</f>
        <v>405590204.71481758</v>
      </c>
      <c r="X98" s="2">
        <f>X10/'Output-Calculation-sheet'!X9*'Output-Calculation-sheet'!X81</f>
        <v>212624222.66902462</v>
      </c>
      <c r="Y98" s="2">
        <f>Y10/'Output-Calculation-sheet'!Y9*'Output-Calculation-sheet'!Y81</f>
        <v>264712538.68001047</v>
      </c>
      <c r="AA98" s="2">
        <f t="shared" si="8"/>
        <v>47.650193122778646</v>
      </c>
    </row>
    <row r="99" spans="1:27" x14ac:dyDescent="0.25">
      <c r="A99" s="2">
        <v>2034</v>
      </c>
      <c r="B99" s="2">
        <f>B11/'Output-Calculation-sheet'!B10*'Output-Calculation-sheet'!B82</f>
        <v>12205613716.402973</v>
      </c>
      <c r="C99" s="2">
        <f>C11/'Output-Calculation-sheet'!C10*'Output-Calculation-sheet'!C82</f>
        <v>2778403529.5714283</v>
      </c>
      <c r="D99" s="2">
        <f>D11/'Output-Calculation-sheet'!D10*'Output-Calculation-sheet'!D82</f>
        <v>1884663420.6842253</v>
      </c>
      <c r="E99" s="2">
        <f>E11/'Output-Calculation-sheet'!E10*'Output-Calculation-sheet'!E82</f>
        <v>9946940723.7023239</v>
      </c>
      <c r="F99" s="2">
        <f>F11/'Output-Calculation-sheet'!F10*'Output-Calculation-sheet'!F82</f>
        <v>2407718546.8955398</v>
      </c>
      <c r="G99" s="2">
        <f>G11/'Output-Calculation-sheet'!G10*'Output-Calculation-sheet'!G82</f>
        <v>1340043054.2876573</v>
      </c>
      <c r="H99" s="2">
        <f>H11/'Output-Calculation-sheet'!H10*'Output-Calculation-sheet'!H82</f>
        <v>1982917491.242713</v>
      </c>
      <c r="I99" s="2">
        <f>I11/'Output-Calculation-sheet'!I10*'Output-Calculation-sheet'!I82</f>
        <v>1121250358.6151485</v>
      </c>
      <c r="J99" s="2">
        <f>J11/'Output-Calculation-sheet'!J10*'Output-Calculation-sheet'!J82</f>
        <v>817383700.80299568</v>
      </c>
      <c r="K99" s="2">
        <f>K11/'Output-Calculation-sheet'!K10*'Output-Calculation-sheet'!K82</f>
        <v>970525541.61837196</v>
      </c>
      <c r="L99" s="2">
        <f>L11/'Output-Calculation-sheet'!L10*'Output-Calculation-sheet'!L82</f>
        <v>1056503907.0499636</v>
      </c>
      <c r="M99" s="2">
        <f>M11/'Output-Calculation-sheet'!M10*'Output-Calculation-sheet'!M82</f>
        <v>1646933699.0668557</v>
      </c>
      <c r="N99" s="2">
        <f>N11/'Output-Calculation-sheet'!N10*'Output-Calculation-sheet'!N82</f>
        <v>969006870.67824709</v>
      </c>
      <c r="O99" s="2">
        <f>O11/'Output-Calculation-sheet'!O10*'Output-Calculation-sheet'!O82</f>
        <v>355138781.50852662</v>
      </c>
      <c r="P99" s="2">
        <f>P11/'Output-Calculation-sheet'!P10*'Output-Calculation-sheet'!P82</f>
        <v>1716617920.3185086</v>
      </c>
      <c r="Q99" s="2">
        <f>Q11/'Output-Calculation-sheet'!Q10*'Output-Calculation-sheet'!Q82</f>
        <v>789623968.34239769</v>
      </c>
      <c r="R99" s="2">
        <f>R11/'Output-Calculation-sheet'!R10*'Output-Calculation-sheet'!R82</f>
        <v>1071106267.5712364</v>
      </c>
      <c r="S99" s="2">
        <f>S11/'Output-Calculation-sheet'!S10*'Output-Calculation-sheet'!S82</f>
        <v>580448288.63154578</v>
      </c>
      <c r="T99" s="2">
        <f>T11/'Output-Calculation-sheet'!T10*'Output-Calculation-sheet'!T82</f>
        <v>316077061.88560718</v>
      </c>
      <c r="U99" s="2">
        <f>U11/'Output-Calculation-sheet'!U10*'Output-Calculation-sheet'!U82</f>
        <v>256160103.38680118</v>
      </c>
      <c r="V99" s="2">
        <f>V11/'Output-Calculation-sheet'!V10*'Output-Calculation-sheet'!V82</f>
        <v>119990700.52971441</v>
      </c>
      <c r="W99" s="2">
        <f>W11/'Output-Calculation-sheet'!W10*'Output-Calculation-sheet'!W82</f>
        <v>368851279.17875785</v>
      </c>
      <c r="X99" s="2">
        <f>X11/'Output-Calculation-sheet'!X10*'Output-Calculation-sheet'!X82</f>
        <v>210812824.16845953</v>
      </c>
      <c r="Y99" s="2">
        <f>Y11/'Output-Calculation-sheet'!Y10*'Output-Calculation-sheet'!Y82</f>
        <v>247573763.74783686</v>
      </c>
      <c r="AA99" s="2">
        <f t="shared" si="8"/>
        <v>45.160305519887835</v>
      </c>
    </row>
    <row r="100" spans="1:27" x14ac:dyDescent="0.25">
      <c r="A100" s="2">
        <v>2035</v>
      </c>
      <c r="B100" s="2">
        <f>B12/'Output-Calculation-sheet'!B11*'Output-Calculation-sheet'!B83</f>
        <v>10447030251.947697</v>
      </c>
      <c r="C100" s="2">
        <f>C12/'Output-Calculation-sheet'!C11*'Output-Calculation-sheet'!C83</f>
        <v>2344348225.1589494</v>
      </c>
      <c r="D100" s="2">
        <f>D12/'Output-Calculation-sheet'!D11*'Output-Calculation-sheet'!D83</f>
        <v>1501743229.2722936</v>
      </c>
      <c r="E100" s="2">
        <f>E12/'Output-Calculation-sheet'!E11*'Output-Calculation-sheet'!E83</f>
        <v>8831113745.0893898</v>
      </c>
      <c r="F100" s="2">
        <f>F12/'Output-Calculation-sheet'!F11*'Output-Calculation-sheet'!F83</f>
        <v>2009184436.7725136</v>
      </c>
      <c r="G100" s="2">
        <f>G12/'Output-Calculation-sheet'!G11*'Output-Calculation-sheet'!G83</f>
        <v>1064803993.4747673</v>
      </c>
      <c r="H100" s="2">
        <f>H12/'Output-Calculation-sheet'!H11*'Output-Calculation-sheet'!H83</f>
        <v>1673239553.3125181</v>
      </c>
      <c r="I100" s="2">
        <f>I12/'Output-Calculation-sheet'!I11*'Output-Calculation-sheet'!I83</f>
        <v>941612815.92996931</v>
      </c>
      <c r="J100" s="2">
        <f>J12/'Output-Calculation-sheet'!J11*'Output-Calculation-sheet'!J83</f>
        <v>679014020.81658781</v>
      </c>
      <c r="K100" s="2">
        <f>K12/'Output-Calculation-sheet'!K11*'Output-Calculation-sheet'!K83</f>
        <v>789629849.49775589</v>
      </c>
      <c r="L100" s="2">
        <f>L12/'Output-Calculation-sheet'!L11*'Output-Calculation-sheet'!L83</f>
        <v>912298293.54565835</v>
      </c>
      <c r="M100" s="2">
        <f>M12/'Output-Calculation-sheet'!M11*'Output-Calculation-sheet'!M83</f>
        <v>1430695058.4190359</v>
      </c>
      <c r="N100" s="2">
        <f>N12/'Output-Calculation-sheet'!N11*'Output-Calculation-sheet'!N83</f>
        <v>815958456.68576443</v>
      </c>
      <c r="O100" s="2">
        <f>O12/'Output-Calculation-sheet'!O11*'Output-Calculation-sheet'!O83</f>
        <v>297554396.34759176</v>
      </c>
      <c r="P100" s="2">
        <f>P12/'Output-Calculation-sheet'!P11*'Output-Calculation-sheet'!P83</f>
        <v>1389147867.4054317</v>
      </c>
      <c r="Q100" s="2">
        <f>Q12/'Output-Calculation-sheet'!Q11*'Output-Calculation-sheet'!Q83</f>
        <v>666096303.1430037</v>
      </c>
      <c r="R100" s="2">
        <f>R12/'Output-Calculation-sheet'!R11*'Output-Calculation-sheet'!R83</f>
        <v>905940542.67509842</v>
      </c>
      <c r="S100" s="2">
        <f>S12/'Output-Calculation-sheet'!S11*'Output-Calculation-sheet'!S83</f>
        <v>484450198.5064829</v>
      </c>
      <c r="T100" s="2">
        <f>T12/'Output-Calculation-sheet'!T11*'Output-Calculation-sheet'!T83</f>
        <v>255160393.3284418</v>
      </c>
      <c r="U100" s="2">
        <f>U12/'Output-Calculation-sheet'!U11*'Output-Calculation-sheet'!U83</f>
        <v>208302370.19577995</v>
      </c>
      <c r="V100" s="2">
        <f>V12/'Output-Calculation-sheet'!V11*'Output-Calculation-sheet'!V83</f>
        <v>98541146.441729486</v>
      </c>
      <c r="W100" s="2">
        <f>W12/'Output-Calculation-sheet'!W11*'Output-Calculation-sheet'!W83</f>
        <v>299633702.18778855</v>
      </c>
      <c r="X100" s="2">
        <f>X12/'Output-Calculation-sheet'!X11*'Output-Calculation-sheet'!X83</f>
        <v>187903270.13063982</v>
      </c>
      <c r="Y100" s="2">
        <f>Y12/'Output-Calculation-sheet'!Y11*'Output-Calculation-sheet'!Y83</f>
        <v>207126567.83053377</v>
      </c>
      <c r="AA100" s="2">
        <f t="shared" si="8"/>
        <v>38.440528688115435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2019.74043868064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621.73874919498269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427.81676676466401</v>
      </c>
      <c r="N107" s="2">
        <f>N8/'Output-Calculation-sheet'!N7*'Output-Calculation-sheet'!N88</f>
        <v>168.18980022906544</v>
      </c>
      <c r="O107" s="2">
        <f>O8/'Output-Calculation-sheet'!O7*'Output-Calculation-sheet'!O88</f>
        <v>470.85534869177746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46.93238910110896</v>
      </c>
      <c r="Y107" s="2">
        <f>Y8/'Output-Calculation-sheet'!Y7*'Output-Calculation-sheet'!Y88</f>
        <v>0</v>
      </c>
      <c r="AA107" s="2">
        <f t="shared" si="9"/>
        <v>3.7552734926622389</v>
      </c>
    </row>
    <row r="108" spans="1:27" x14ac:dyDescent="0.25">
      <c r="A108" s="2">
        <v>2032</v>
      </c>
      <c r="B108" s="2">
        <f>B9/'Output-Calculation-sheet'!B8*'Output-Calculation-sheet'!B89</f>
        <v>907.65155037947807</v>
      </c>
      <c r="C108" s="2">
        <f>C9/'Output-Calculation-sheet'!C8*'Output-Calculation-sheet'!C89</f>
        <v>3446.3394701680363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928.2789048739653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638.74622621354195</v>
      </c>
      <c r="N108" s="2">
        <f>N9/'Output-Calculation-sheet'!N8*'Output-Calculation-sheet'!N89</f>
        <v>448.4171083851499</v>
      </c>
      <c r="O108" s="2">
        <f>O9/'Output-Calculation-sheet'!O8*'Output-Calculation-sheet'!O89</f>
        <v>669.52801700773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205.63853331752327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70.071789500502035</v>
      </c>
      <c r="Y108" s="2">
        <f>Y9/'Output-Calculation-sheet'!Y8*'Output-Calculation-sheet'!Y89</f>
        <v>0</v>
      </c>
      <c r="AA108" s="2">
        <f t="shared" si="9"/>
        <v>7.3146715998459264</v>
      </c>
    </row>
    <row r="109" spans="1:27" x14ac:dyDescent="0.25">
      <c r="A109" s="2">
        <v>2033</v>
      </c>
      <c r="B109" s="2">
        <f>B10/'Output-Calculation-sheet'!B9*'Output-Calculation-sheet'!B90</f>
        <v>4443.805606088973</v>
      </c>
      <c r="C109" s="2">
        <f>C10/'Output-Calculation-sheet'!C9*'Output-Calculation-sheet'!C90</f>
        <v>4218.26598864274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1298.5131006554884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893.50338392656954</v>
      </c>
      <c r="N109" s="2">
        <f>N10/'Output-Calculation-sheet'!N9*'Output-Calculation-sheet'!N90</f>
        <v>702.53513803618455</v>
      </c>
      <c r="O109" s="2">
        <f>O10/'Output-Calculation-sheet'!O9*'Output-Calculation-sheet'!O90</f>
        <v>819.49189481598614</v>
      </c>
      <c r="P109" s="2">
        <f>P10/'Output-Calculation-sheet'!P9*'Output-Calculation-sheet'!P90</f>
        <v>0</v>
      </c>
      <c r="Q109" s="2">
        <f>Q10/'Output-Calculation-sheet'!Q9*'Output-Calculation-sheet'!Q90</f>
        <v>153.88208583993128</v>
      </c>
      <c r="R109" s="2">
        <f>R10/'Output-Calculation-sheet'!R9*'Output-Calculation-sheet'!R90</f>
        <v>0</v>
      </c>
      <c r="S109" s="2">
        <f>S10/'Output-Calculation-sheet'!S9*'Output-Calculation-sheet'!S90</f>
        <v>352.37771960042795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98.019179553724115</v>
      </c>
      <c r="Y109" s="2">
        <f>Y10/'Output-Calculation-sheet'!Y9*'Output-Calculation-sheet'!Y90</f>
        <v>0</v>
      </c>
      <c r="AA109" s="2">
        <f t="shared" si="9"/>
        <v>12.980394097160026</v>
      </c>
    </row>
    <row r="110" spans="1:27" x14ac:dyDescent="0.25">
      <c r="A110" s="2">
        <v>2034</v>
      </c>
      <c r="B110" s="2">
        <f>B11/'Output-Calculation-sheet'!B10*'Output-Calculation-sheet'!B91</f>
        <v>7215.0426415754973</v>
      </c>
      <c r="C110" s="2">
        <f>C11/'Output-Calculation-sheet'!C10*'Output-Calculation-sheet'!C91</f>
        <v>4946.3934473217769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1405.5261371824258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967.13876751477437</v>
      </c>
      <c r="N110" s="2">
        <f>N11/'Output-Calculation-sheet'!N10*'Output-Calculation-sheet'!N91</f>
        <v>871.3288492322107</v>
      </c>
      <c r="O110" s="2">
        <f>O11/'Output-Calculation-sheet'!O10*'Output-Calculation-sheet'!O91</f>
        <v>960.94683207858952</v>
      </c>
      <c r="P110" s="2">
        <f>P11/'Output-Calculation-sheet'!P10*'Output-Calculation-sheet'!P91</f>
        <v>219.53312915346302</v>
      </c>
      <c r="Q110" s="2">
        <f>Q11/'Output-Calculation-sheet'!Q10*'Output-Calculation-sheet'!Q91</f>
        <v>485.81112218561975</v>
      </c>
      <c r="R110" s="2">
        <f>R11/'Output-Calculation-sheet'!R10*'Output-Calculation-sheet'!R91</f>
        <v>0</v>
      </c>
      <c r="S110" s="2">
        <f>S11/'Output-Calculation-sheet'!S10*'Output-Calculation-sheet'!S91</f>
        <v>499.47577613234927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106.09713428258137</v>
      </c>
      <c r="Y110" s="2">
        <f>Y11/'Output-Calculation-sheet'!Y10*'Output-Calculation-sheet'!Y91</f>
        <v>17.064294005249518</v>
      </c>
      <c r="AA110" s="2">
        <f t="shared" si="9"/>
        <v>17.694358130664533</v>
      </c>
    </row>
    <row r="111" spans="1:27" x14ac:dyDescent="0.25">
      <c r="A111" s="2">
        <v>2035</v>
      </c>
      <c r="B111" s="2">
        <f>B12/'Output-Calculation-sheet'!B11*'Output-Calculation-sheet'!B92</f>
        <v>9312.4183329443749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1555.7949830538814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546.46124998621428</v>
      </c>
      <c r="Q111" s="2">
        <f>Q12/'Output-Calculation-sheet'!Q11*'Output-Calculation-sheet'!Q92</f>
        <v>633.43221551572856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42.476392825988277</v>
      </c>
      <c r="AA111" s="2">
        <f t="shared" si="9"/>
        <v>21.868061355760062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9494763079.6842575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2921343674.5194392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2029124923.8533704</v>
      </c>
      <c r="N118" s="2">
        <f>N8/'Output-Calculation-sheet'!N7*'Output-Calculation-sheet'!N97</f>
        <v>1592284510.8738003</v>
      </c>
      <c r="O118" s="2">
        <f>O8/'Output-Calculation-sheet'!O7*'Output-Calculation-sheet'!O97</f>
        <v>1059524412.9637976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576386625.27459085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218701154.2395778</v>
      </c>
      <c r="Y118" s="2">
        <f>Y8/'Output-Calculation-sheet'!Y7*'Output-Calculation-sheet'!Y97</f>
        <v>0</v>
      </c>
      <c r="AA118" s="2">
        <f t="shared" si="10"/>
        <v>19511.811121694383</v>
      </c>
    </row>
    <row r="119" spans="1:27" x14ac:dyDescent="0.25">
      <c r="A119" s="2">
        <v>2032</v>
      </c>
      <c r="B119" s="2">
        <f>B9/'Output-Calculation-sheet'!B8*'Output-Calculation-sheet'!B98</f>
        <v>6809249081.676734</v>
      </c>
      <c r="C119" s="2">
        <f>C9/'Output-Calculation-sheet'!C8*'Output-Calculation-sheet'!C98</f>
        <v>5412128706.5984182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3235382650.5539246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2258309206.3497491</v>
      </c>
      <c r="N119" s="2">
        <f>N9/'Output-Calculation-sheet'!N8*'Output-Calculation-sheet'!N98</f>
        <v>1525094538.8921838</v>
      </c>
      <c r="O119" s="2">
        <f>O9/'Output-Calculation-sheet'!O8*'Output-Calculation-sheet'!O98</f>
        <v>1057429942.6224735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633121585.52192998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241647181.21034262</v>
      </c>
      <c r="Y119" s="2">
        <f>Y9/'Output-Calculation-sheet'!Y8*'Output-Calculation-sheet'!Y98</f>
        <v>0</v>
      </c>
      <c r="AA119" s="2">
        <f t="shared" si="10"/>
        <v>21172.362893425758</v>
      </c>
    </row>
    <row r="120" spans="1:27" x14ac:dyDescent="0.25">
      <c r="A120" s="2">
        <v>2033</v>
      </c>
      <c r="B120" s="2">
        <f>B10/'Output-Calculation-sheet'!B9*'Output-Calculation-sheet'!B99</f>
        <v>6393006487.028059</v>
      </c>
      <c r="C120" s="2">
        <f>C10/'Output-Calculation-sheet'!C9*'Output-Calculation-sheet'!C99</f>
        <v>5255448299.4894514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1723137002.8537343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1219650685.3638492</v>
      </c>
      <c r="N120" s="2">
        <f>N10/'Output-Calculation-sheet'!N9*'Output-Calculation-sheet'!N99</f>
        <v>1216105431.1274383</v>
      </c>
      <c r="O120" s="2">
        <f>O10/'Output-Calculation-sheet'!O9*'Output-Calculation-sheet'!O99</f>
        <v>1028903576.4870375</v>
      </c>
      <c r="P120" s="2">
        <f>P10/'Output-Calculation-sheet'!P9*'Output-Calculation-sheet'!P99</f>
        <v>0</v>
      </c>
      <c r="Q120" s="2">
        <f>Q10/'Output-Calculation-sheet'!Q9*'Output-Calculation-sheet'!Q99</f>
        <v>7433761.9916877886</v>
      </c>
      <c r="R120" s="2">
        <f>R10/'Output-Calculation-sheet'!R9*'Output-Calculation-sheet'!R99</f>
        <v>0</v>
      </c>
      <c r="S120" s="2">
        <f>S10/'Output-Calculation-sheet'!S9*'Output-Calculation-sheet'!S99</f>
        <v>509344930.49414116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-8.4139683854951067E-9</v>
      </c>
      <c r="W120" s="2">
        <f>W10/'Output-Calculation-sheet'!W9*'Output-Calculation-sheet'!W99</f>
        <v>0</v>
      </c>
      <c r="X120" s="2">
        <f>X10/'Output-Calculation-sheet'!X9*'Output-Calculation-sheet'!X99</f>
        <v>121787532.1596172</v>
      </c>
      <c r="Y120" s="2">
        <f>Y10/'Output-Calculation-sheet'!Y9*'Output-Calculation-sheet'!Y99</f>
        <v>0</v>
      </c>
      <c r="AA120" s="2">
        <f t="shared" si="10"/>
        <v>17474.817706995018</v>
      </c>
    </row>
    <row r="121" spans="1:27" x14ac:dyDescent="0.25">
      <c r="A121" s="2">
        <v>2034</v>
      </c>
      <c r="B121" s="2">
        <f>B11/'Output-Calculation-sheet'!B10*'Output-Calculation-sheet'!B100</f>
        <v>5409488111.2723246</v>
      </c>
      <c r="C121" s="2">
        <f>C11/'Output-Calculation-sheet'!C10*'Output-Calculation-sheet'!C100</f>
        <v>649357689.14144742</v>
      </c>
      <c r="D121" s="2">
        <f>D11/'Output-Calculation-sheet'!D10*'Output-Calculation-sheet'!D100</f>
        <v>0</v>
      </c>
      <c r="E121" s="2">
        <f>E11/'Output-Calculation-sheet'!E10*'Output-Calculation-sheet'!E100</f>
        <v>751115558.90251434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1709819503.6180549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624100594.53780198</v>
      </c>
      <c r="M121" s="2">
        <f>M11/'Output-Calculation-sheet'!M10*'Output-Calculation-sheet'!M100</f>
        <v>1216872000.3031077</v>
      </c>
      <c r="N121" s="2">
        <f>N11/'Output-Calculation-sheet'!N10*'Output-Calculation-sheet'!N100</f>
        <v>811261372.36642134</v>
      </c>
      <c r="O121" s="2">
        <f>O11/'Output-Calculation-sheet'!O10*'Output-Calculation-sheet'!O100</f>
        <v>127373646.59004383</v>
      </c>
      <c r="P121" s="2">
        <f>P11/'Output-Calculation-sheet'!P10*'Output-Calculation-sheet'!P100</f>
        <v>0</v>
      </c>
      <c r="Q121" s="2">
        <f>Q11/'Output-Calculation-sheet'!Q10*'Output-Calculation-sheet'!Q100</f>
        <v>275658153.78954858</v>
      </c>
      <c r="R121" s="2">
        <f>R11/'Output-Calculation-sheet'!R10*'Output-Calculation-sheet'!R100</f>
        <v>0</v>
      </c>
      <c r="S121" s="2">
        <f>S11/'Output-Calculation-sheet'!S10*'Output-Calculation-sheet'!S100</f>
        <v>303324621.41691601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119566188.44450274</v>
      </c>
      <c r="Y121" s="2">
        <f>Y11/'Output-Calculation-sheet'!Y10*'Output-Calculation-sheet'!Y100</f>
        <v>17352337.071916051</v>
      </c>
      <c r="AA121" s="2">
        <f t="shared" si="10"/>
        <v>12015.2897774546</v>
      </c>
    </row>
    <row r="122" spans="1:27" x14ac:dyDescent="0.25">
      <c r="A122" s="2">
        <v>2035</v>
      </c>
      <c r="B122" s="2">
        <f>B12/'Output-Calculation-sheet'!B11*'Output-Calculation-sheet'!B101</f>
        <v>2405097895.7370524</v>
      </c>
      <c r="C122" s="2">
        <f>C12/'Output-Calculation-sheet'!C11*'Output-Calculation-sheet'!C101</f>
        <v>209075482.26452565</v>
      </c>
      <c r="D122" s="2">
        <f>D12/'Output-Calculation-sheet'!D11*'Output-Calculation-sheet'!D101</f>
        <v>0</v>
      </c>
      <c r="E122" s="2">
        <f>E12/'Output-Calculation-sheet'!E11*'Output-Calculation-sheet'!E101</f>
        <v>1872825878.9856718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354514257.30856651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1299925125.7702577</v>
      </c>
      <c r="M122" s="2">
        <f>M12/'Output-Calculation-sheet'!M11*'Output-Calculation-sheet'!M101</f>
        <v>325215910.56837767</v>
      </c>
      <c r="N122" s="2">
        <f>N12/'Output-Calculation-sheet'!N11*'Output-Calculation-sheet'!N101</f>
        <v>270324886.6117776</v>
      </c>
      <c r="O122" s="2">
        <f>O12/'Output-Calculation-sheet'!O11*'Output-Calculation-sheet'!O101</f>
        <v>37070329.264966503</v>
      </c>
      <c r="P122" s="2">
        <f>P12/'Output-Calculation-sheet'!P11*'Output-Calculation-sheet'!P101</f>
        <v>84133032.109890535</v>
      </c>
      <c r="Q122" s="2">
        <f>Q12/'Output-Calculation-sheet'!Q11*'Output-Calculation-sheet'!Q101</f>
        <v>415645730.66203606</v>
      </c>
      <c r="R122" s="2">
        <f>R12/'Output-Calculation-sheet'!R11*'Output-Calculation-sheet'!R101</f>
        <v>0</v>
      </c>
      <c r="S122" s="2">
        <f>S12/'Output-Calculation-sheet'!S11*'Output-Calculation-sheet'!S101</f>
        <v>112929281.97467566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10443194.824084161</v>
      </c>
      <c r="Y122" s="2">
        <f>Y12/'Output-Calculation-sheet'!Y11*'Output-Calculation-sheet'!Y101</f>
        <v>48170794.597484224</v>
      </c>
      <c r="AA122" s="2">
        <f t="shared" si="10"/>
        <v>7445.3718006793679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2642260669.457058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2651676064.4124694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173680.26953166953</v>
      </c>
    </row>
    <row r="130" spans="1:27" x14ac:dyDescent="0.25">
      <c r="A130" s="2">
        <v>2032</v>
      </c>
      <c r="B130" s="2">
        <f>B9/'Output-Calculation-sheet'!B8*'Output-Calculation-sheet'!B107</f>
        <v>61619803645.044304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2241738455.4366617</v>
      </c>
      <c r="O130" s="2">
        <f>O9/'Output-Calculation-sheet'!O8*'Output-Calculation-sheet'!O107</f>
        <v>0</v>
      </c>
      <c r="P130" s="2">
        <f>P9/'Output-Calculation-sheet'!P8*'Output-Calculation-sheet'!P107</f>
        <v>6840354924.6133013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1991695990.6650548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217009.25715801725</v>
      </c>
    </row>
    <row r="131" spans="1:27" x14ac:dyDescent="0.25">
      <c r="A131" s="2">
        <v>2033</v>
      </c>
      <c r="B131" s="2">
        <f>B10/'Output-Calculation-sheet'!B9*'Output-Calculation-sheet'!B108</f>
        <v>47689882952.846733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1747243664.5860775</v>
      </c>
      <c r="O131" s="2">
        <f>O10/'Output-Calculation-sheet'!O9*'Output-Calculation-sheet'!O108</f>
        <v>0</v>
      </c>
      <c r="P131" s="2">
        <f>P10/'Output-Calculation-sheet'!P9*'Output-Calculation-sheet'!P108</f>
        <v>8037180290.5820456</v>
      </c>
      <c r="Q131" s="2">
        <f>Q10/'Output-Calculation-sheet'!Q9*'Output-Calculation-sheet'!Q108</f>
        <v>6779951773.3152742</v>
      </c>
      <c r="R131" s="2">
        <f>R10/'Output-Calculation-sheet'!R9*'Output-Calculation-sheet'!R108</f>
        <v>7607260123.1180115</v>
      </c>
      <c r="S131" s="2">
        <f>S10/'Output-Calculation-sheet'!S9*'Output-Calculation-sheet'!S108</f>
        <v>1694819154.1175241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227616.00303148144</v>
      </c>
    </row>
    <row r="132" spans="1:27" x14ac:dyDescent="0.25">
      <c r="A132" s="2">
        <v>2034</v>
      </c>
      <c r="B132" s="2">
        <f>B11/'Output-Calculation-sheet'!B10*'Output-Calculation-sheet'!B109</f>
        <v>31440344776.411377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30353446567.875488</v>
      </c>
      <c r="F132" s="2">
        <f>F11/'Output-Calculation-sheet'!F10*'Output-Calculation-sheet'!F109</f>
        <v>20019691584.628792</v>
      </c>
      <c r="G132" s="2">
        <f>G11/'Output-Calculation-sheet'!G10*'Output-Calculation-sheet'!G109</f>
        <v>14027207001.993601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12473521613.153624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9286394208.4206581</v>
      </c>
      <c r="M132" s="2">
        <f>M11/'Output-Calculation-sheet'!M10*'Output-Calculation-sheet'!M109</f>
        <v>0</v>
      </c>
      <c r="N132" s="2">
        <f>N11/'Output-Calculation-sheet'!N10*'Output-Calculation-sheet'!N109</f>
        <v>1221103086.9768925</v>
      </c>
      <c r="O132" s="2">
        <f>O11/'Output-Calculation-sheet'!O10*'Output-Calculation-sheet'!O109</f>
        <v>0</v>
      </c>
      <c r="P132" s="2">
        <f>P11/'Output-Calculation-sheet'!P10*'Output-Calculation-sheet'!P109</f>
        <v>6937974856.9071436</v>
      </c>
      <c r="Q132" s="2">
        <f>Q11/'Output-Calculation-sheet'!Q10*'Output-Calculation-sheet'!Q109</f>
        <v>4467480322.8875046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838055485.36616874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2492797549.9903779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873544701.23475599</v>
      </c>
      <c r="AA132" s="2">
        <f t="shared" si="11"/>
        <v>213428.96134963029</v>
      </c>
    </row>
    <row r="133" spans="1:27" x14ac:dyDescent="0.25">
      <c r="A133" s="2">
        <v>2035</v>
      </c>
      <c r="B133" s="2">
        <f>B12/'Output-Calculation-sheet'!B11*'Output-Calculation-sheet'!B110</f>
        <v>6917780062.5482588</v>
      </c>
      <c r="C133" s="2">
        <f>C12/'Output-Calculation-sheet'!C11*'Output-Calculation-sheet'!C110</f>
        <v>0</v>
      </c>
      <c r="D133" s="2">
        <f>D12/'Output-Calculation-sheet'!D11*'Output-Calculation-sheet'!D110</f>
        <v>32900783091.29837</v>
      </c>
      <c r="E133" s="2">
        <f>E12/'Output-Calculation-sheet'!E11*'Output-Calculation-sheet'!E110</f>
        <v>17507863186.099487</v>
      </c>
      <c r="F133" s="2">
        <f>F12/'Output-Calculation-sheet'!F11*'Output-Calculation-sheet'!F110</f>
        <v>17404224633.861858</v>
      </c>
      <c r="G133" s="2">
        <f>G12/'Output-Calculation-sheet'!G11*'Output-Calculation-sheet'!G110</f>
        <v>11791314500.684958</v>
      </c>
      <c r="H133" s="2">
        <f>H12/'Output-Calculation-sheet'!H11*'Output-Calculation-sheet'!H110</f>
        <v>0</v>
      </c>
      <c r="I133" s="2">
        <f>I12/'Output-Calculation-sheet'!I11*'Output-Calculation-sheet'!I110</f>
        <v>10819594688.63603</v>
      </c>
      <c r="J133" s="2">
        <f>J12/'Output-Calculation-sheet'!J11*'Output-Calculation-sheet'!J110</f>
        <v>10838220815.015219</v>
      </c>
      <c r="K133" s="2">
        <f>K12/'Output-Calculation-sheet'!K11*'Output-Calculation-sheet'!K110</f>
        <v>10634296388.863878</v>
      </c>
      <c r="L133" s="2">
        <f>L12/'Output-Calculation-sheet'!L11*'Output-Calculation-sheet'!L110</f>
        <v>7642902992.6330547</v>
      </c>
      <c r="M133" s="2">
        <f>M12/'Output-Calculation-sheet'!M11*'Output-Calculation-sheet'!M110</f>
        <v>0</v>
      </c>
      <c r="N133" s="2">
        <f>N12/'Output-Calculation-sheet'!N11*'Output-Calculation-sheet'!N110</f>
        <v>41056.687971916355</v>
      </c>
      <c r="O133" s="2">
        <f>O12/'Output-Calculation-sheet'!O11*'Output-Calculation-sheet'!O110</f>
        <v>0</v>
      </c>
      <c r="P133" s="2">
        <f>P12/'Output-Calculation-sheet'!P11*'Output-Calculation-sheet'!P110</f>
        <v>3818914086.5703259</v>
      </c>
      <c r="Q133" s="2">
        <f>Q12/'Output-Calculation-sheet'!Q11*'Output-Calculation-sheet'!Q110</f>
        <v>2428742146.4277782</v>
      </c>
      <c r="R133" s="2">
        <f>R12/'Output-Calculation-sheet'!R11*'Output-Calculation-sheet'!R110</f>
        <v>7073474499.0897541</v>
      </c>
      <c r="S133" s="2">
        <f>S12/'Output-Calculation-sheet'!S11*'Output-Calculation-sheet'!S110</f>
        <v>6807152.8979034405</v>
      </c>
      <c r="T133" s="2">
        <f>T12/'Output-Calculation-sheet'!T11*'Output-Calculation-sheet'!T110</f>
        <v>2642684580.0168233</v>
      </c>
      <c r="U133" s="2">
        <f>U12/'Output-Calculation-sheet'!U11*'Output-Calculation-sheet'!U110</f>
        <v>2088644168.6619105</v>
      </c>
      <c r="V133" s="2">
        <f>V12/'Output-Calculation-sheet'!V11*'Output-Calculation-sheet'!V110</f>
        <v>1818961556.0041354</v>
      </c>
      <c r="W133" s="2">
        <f>W12/'Output-Calculation-sheet'!W11*'Output-Calculation-sheet'!W110</f>
        <v>1531780408.6136382</v>
      </c>
      <c r="X133" s="2">
        <f>X12/'Output-Calculation-sheet'!X11*'Output-Calculation-sheet'!X110</f>
        <v>0</v>
      </c>
      <c r="Y133" s="2">
        <f>Y12/'Output-Calculation-sheet'!Y11*'Output-Calculation-sheet'!Y110</f>
        <v>580376193.37789083</v>
      </c>
      <c r="AA133" s="2">
        <f t="shared" si="11"/>
        <v>148447.40620798923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17185808764.282658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5402785382.7545605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3713794011.3554578</v>
      </c>
      <c r="N140" s="2">
        <f>N8/'Output-Calculation-sheet'!N7*'Output-Calculation-sheet'!N115</f>
        <v>1402104440.3355646</v>
      </c>
      <c r="O140" s="2">
        <f>O8/'Output-Calculation-sheet'!O7*'Output-Calculation-sheet'!O115</f>
        <v>4124510423.571538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403273440.83175719</v>
      </c>
      <c r="Y140" s="2">
        <f>Y8/'Output-Calculation-sheet'!Y7*'Output-Calculation-sheet'!Y115</f>
        <v>0</v>
      </c>
      <c r="AA140" s="2">
        <f t="shared" si="12"/>
        <v>32232.276463131529</v>
      </c>
    </row>
    <row r="141" spans="1:27" x14ac:dyDescent="0.25">
      <c r="A141" s="2">
        <v>2032</v>
      </c>
      <c r="B141" s="2">
        <f>B9/'Output-Calculation-sheet'!B8*'Output-Calculation-sheet'!B116</f>
        <v>7044565408.1062202</v>
      </c>
      <c r="C141" s="2">
        <f>C9/'Output-Calculation-sheet'!C8*'Output-Calculation-sheet'!C116</f>
        <v>30154905298.570179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7861253044.9635763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5397396131.0409603</v>
      </c>
      <c r="N141" s="2">
        <f>N9/'Output-Calculation-sheet'!N8*'Output-Calculation-sheet'!N116</f>
        <v>3747207466.3384824</v>
      </c>
      <c r="O141" s="2">
        <f>O9/'Output-Calculation-sheet'!O8*'Output-Calculation-sheet'!O116</f>
        <v>5853244346.6614552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1678411694.0739894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587487603.31829071</v>
      </c>
      <c r="Y141" s="2">
        <f>Y9/'Output-Calculation-sheet'!Y8*'Output-Calculation-sheet'!Y116</f>
        <v>0</v>
      </c>
      <c r="AA141" s="2">
        <f t="shared" si="12"/>
        <v>62324.470993073155</v>
      </c>
    </row>
    <row r="142" spans="1:27" x14ac:dyDescent="0.25">
      <c r="A142" s="2">
        <v>2033</v>
      </c>
      <c r="B142" s="2">
        <f>B10/'Output-Calculation-sheet'!B9*'Output-Calculation-sheet'!B117</f>
        <v>34600509260.70887</v>
      </c>
      <c r="C142" s="2">
        <f>C10/'Output-Calculation-sheet'!C9*'Output-Calculation-sheet'!C117</f>
        <v>36536708078.259735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11315688363.603579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7775995174.3642111</v>
      </c>
      <c r="N142" s="2">
        <f>N10/'Output-Calculation-sheet'!N9*'Output-Calculation-sheet'!N117</f>
        <v>5865836523.1781664</v>
      </c>
      <c r="O142" s="2">
        <f>O10/'Output-Calculation-sheet'!O9*'Output-Calculation-sheet'!O117</f>
        <v>7091311341.9615488</v>
      </c>
      <c r="P142" s="2">
        <f>P10/'Output-Calculation-sheet'!P9*'Output-Calculation-sheet'!P117</f>
        <v>0</v>
      </c>
      <c r="Q142" s="2">
        <f>Q10/'Output-Calculation-sheet'!Q9*'Output-Calculation-sheet'!Q117</f>
        <v>1120293560.4130561</v>
      </c>
      <c r="R142" s="2">
        <f>R10/'Output-Calculation-sheet'!R9*'Output-Calculation-sheet'!R117</f>
        <v>0</v>
      </c>
      <c r="S142" s="2">
        <f>S10/'Output-Calculation-sheet'!S9*'Output-Calculation-sheet'!S117</f>
        <v>2852238096.6502857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852466694.29222095</v>
      </c>
      <c r="Y142" s="2">
        <f>Y10/'Output-Calculation-sheet'!Y9*'Output-Calculation-sheet'!Y117</f>
        <v>0</v>
      </c>
      <c r="AA142" s="2">
        <f t="shared" si="12"/>
        <v>108011.04709343165</v>
      </c>
    </row>
    <row r="143" spans="1:27" x14ac:dyDescent="0.25">
      <c r="A143" s="2">
        <v>2034</v>
      </c>
      <c r="B143" s="2">
        <f>B11/'Output-Calculation-sheet'!B10*'Output-Calculation-sheet'!B118</f>
        <v>56475272562.011292</v>
      </c>
      <c r="C143" s="2">
        <f>C11/'Output-Calculation-sheet'!C10*'Output-Calculation-sheet'!C118</f>
        <v>43330406598.538765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12011404283.062279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8249565991.0897303</v>
      </c>
      <c r="N143" s="2">
        <f>N11/'Output-Calculation-sheet'!N10*'Output-Calculation-sheet'!N118</f>
        <v>7258956287.6222162</v>
      </c>
      <c r="O143" s="2">
        <f>O11/'Output-Calculation-sheet'!O10*'Output-Calculation-sheet'!O118</f>
        <v>8417894249.0084448</v>
      </c>
      <c r="P143" s="2">
        <f>P11/'Output-Calculation-sheet'!P10*'Output-Calculation-sheet'!P118</f>
        <v>1519825952.4096916</v>
      </c>
      <c r="Q143" s="2">
        <f>Q11/'Output-Calculation-sheet'!Q10*'Output-Calculation-sheet'!Q118</f>
        <v>3578386482.2116346</v>
      </c>
      <c r="R143" s="2">
        <f>R11/'Output-Calculation-sheet'!R10*'Output-Calculation-sheet'!R118</f>
        <v>0</v>
      </c>
      <c r="S143" s="2">
        <f>S11/'Output-Calculation-sheet'!S10*'Output-Calculation-sheet'!S118</f>
        <v>4179699390.854147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905676829.58791316</v>
      </c>
      <c r="Y143" s="2">
        <f>Y11/'Output-Calculation-sheet'!Y10*'Output-Calculation-sheet'!Y118</f>
        <v>106131952.76258981</v>
      </c>
      <c r="AA143" s="2">
        <f t="shared" si="12"/>
        <v>146033.22057915875</v>
      </c>
    </row>
    <row r="144" spans="1:27" x14ac:dyDescent="0.25">
      <c r="A144" s="2">
        <v>2035</v>
      </c>
      <c r="B144" s="2">
        <f>B12/'Output-Calculation-sheet'!B11*'Output-Calculation-sheet'!B119</f>
        <v>78296005796.125244</v>
      </c>
      <c r="C144" s="2">
        <f>C12/'Output-Calculation-sheet'!C11*'Output-Calculation-sheet'!C119</f>
        <v>41438307041.867546</v>
      </c>
      <c r="D144" s="2">
        <f>D12/'Output-Calculation-sheet'!D11*'Output-Calculation-sheet'!D119</f>
        <v>0</v>
      </c>
      <c r="E144" s="2">
        <f>E12/'Output-Calculation-sheet'!E11*'Output-Calculation-sheet'!E119</f>
        <v>9446986301.9525757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12577497741.910723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8591739935.8841324</v>
      </c>
      <c r="N144" s="2">
        <f>N12/'Output-Calculation-sheet'!N11*'Output-Calculation-sheet'!N119</f>
        <v>8479983944.907774</v>
      </c>
      <c r="O144" s="2">
        <f>O12/'Output-Calculation-sheet'!O11*'Output-Calculation-sheet'!O119</f>
        <v>8051825280.3328009</v>
      </c>
      <c r="P144" s="2">
        <f>P12/'Output-Calculation-sheet'!P11*'Output-Calculation-sheet'!P119</f>
        <v>3899180018.2241454</v>
      </c>
      <c r="Q144" s="2">
        <f>Q12/'Output-Calculation-sheet'!Q11*'Output-Calculation-sheet'!Q119</f>
        <v>4743226432.9751453</v>
      </c>
      <c r="R144" s="2">
        <f>R12/'Output-Calculation-sheet'!R11*'Output-Calculation-sheet'!R119</f>
        <v>0</v>
      </c>
      <c r="S144" s="2">
        <f>S12/'Output-Calculation-sheet'!S11*'Output-Calculation-sheet'!S119</f>
        <v>4887093479.3269815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959903814.78081274</v>
      </c>
      <c r="Y144" s="2">
        <f>Y12/'Output-Calculation-sheet'!Y11*'Output-Calculation-sheet'!Y119</f>
        <v>270698833.57147586</v>
      </c>
      <c r="AA144" s="2">
        <f t="shared" si="12"/>
        <v>181642.4486218594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2053231766.2066507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447725326.41295201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53208.929897914197</v>
      </c>
    </row>
    <row r="155" spans="1:27" x14ac:dyDescent="0.25">
      <c r="A155" s="2">
        <v>2035</v>
      </c>
      <c r="B155" s="2">
        <f>B12/'Output-Calculation-sheet'!B11*'Output-Calculation-sheet'!B128</f>
        <v>1028705188.9138979</v>
      </c>
      <c r="C155" s="2">
        <f>C12/'Output-Calculation-sheet'!C11*'Output-Calculation-sheet'!C128</f>
        <v>61488491.049809828</v>
      </c>
      <c r="D155" s="2">
        <f>D12/'Output-Calculation-sheet'!D11*'Output-Calculation-sheet'!D128</f>
        <v>4494241176.5601835</v>
      </c>
      <c r="E155" s="2">
        <f>E12/'Output-Calculation-sheet'!E11*'Output-Calculation-sheet'!E128</f>
        <v>1052477121.4192657</v>
      </c>
      <c r="F155" s="2">
        <f>F12/'Output-Calculation-sheet'!F11*'Output-Calculation-sheet'!F128</f>
        <v>1818589858.5198774</v>
      </c>
      <c r="G155" s="2">
        <f>G12/'Output-Calculation-sheet'!G11*'Output-Calculation-sheet'!G128</f>
        <v>1716855728.0957875</v>
      </c>
      <c r="H155" s="2">
        <f>H12/'Output-Calculation-sheet'!H11*'Output-Calculation-sheet'!H128</f>
        <v>94524787.417799354</v>
      </c>
      <c r="I155" s="2">
        <f>I12/'Output-Calculation-sheet'!I11*'Output-Calculation-sheet'!I128</f>
        <v>1474345836.4357398</v>
      </c>
      <c r="J155" s="2">
        <f>J12/'Output-Calculation-sheet'!J11*'Output-Calculation-sheet'!J128</f>
        <v>1065704929.5367116</v>
      </c>
      <c r="K155" s="2">
        <f>K12/'Output-Calculation-sheet'!K11*'Output-Calculation-sheet'!K128</f>
        <v>1179431532.0153778</v>
      </c>
      <c r="L155" s="2">
        <f>L12/'Output-Calculation-sheet'!L11*'Output-Calculation-sheet'!L128</f>
        <v>517227377.38820261</v>
      </c>
      <c r="M155" s="2">
        <f>M12/'Output-Calculation-sheet'!M11*'Output-Calculation-sheet'!M128</f>
        <v>74543246.239846677</v>
      </c>
      <c r="N155" s="2">
        <f>N12/'Output-Calculation-sheet'!N11*'Output-Calculation-sheet'!N128</f>
        <v>68131519.445034817</v>
      </c>
      <c r="O155" s="2">
        <f>O12/'Output-Calculation-sheet'!O11*'Output-Calculation-sheet'!O128</f>
        <v>14920306.41083595</v>
      </c>
      <c r="P155" s="2">
        <f>P12/'Output-Calculation-sheet'!P11*'Output-Calculation-sheet'!P128</f>
        <v>277939654.27545589</v>
      </c>
      <c r="Q155" s="2">
        <f>Q12/'Output-Calculation-sheet'!Q11*'Output-Calculation-sheet'!Q128</f>
        <v>338889525.85787851</v>
      </c>
      <c r="R155" s="2">
        <f>R12/'Output-Calculation-sheet'!R11*'Output-Calculation-sheet'!R128</f>
        <v>607318424.7065767</v>
      </c>
      <c r="S155" s="2">
        <f>S12/'Output-Calculation-sheet'!S11*'Output-Calculation-sheet'!S128</f>
        <v>44229138.611017346</v>
      </c>
      <c r="T155" s="2">
        <f>T12/'Output-Calculation-sheet'!T11*'Output-Calculation-sheet'!T128</f>
        <v>166552936.27504691</v>
      </c>
      <c r="U155" s="2">
        <f>U12/'Output-Calculation-sheet'!U11*'Output-Calculation-sheet'!U128</f>
        <v>383554916.78724051</v>
      </c>
      <c r="V155" s="2">
        <f>V12/'Output-Calculation-sheet'!V11*'Output-Calculation-sheet'!V128</f>
        <v>57210498.720081024</v>
      </c>
      <c r="W155" s="2">
        <f>W12/'Output-Calculation-sheet'!W11*'Output-Calculation-sheet'!W128</f>
        <v>115342510.18376653</v>
      </c>
      <c r="X155" s="2">
        <f>X12/'Output-Calculation-sheet'!X11*'Output-Calculation-sheet'!X128</f>
        <v>2450819.1829631166</v>
      </c>
      <c r="Y155" s="2">
        <f>Y12/'Output-Calculation-sheet'!Y11*'Output-Calculation-sheet'!Y128</f>
        <v>63416712.04175964</v>
      </c>
      <c r="AA155" s="2">
        <f t="shared" si="13"/>
        <v>16718.092236090153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6038.1744506921323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1829.0356484293679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1270.520779341025</v>
      </c>
      <c r="N19" s="2">
        <f>N8/'Output-Calculation-sheet'!N7*'Output-Calculation-sheet'!N25</f>
        <v>1056.9231499219284</v>
      </c>
      <c r="O19" s="2">
        <f>O8/'Output-Calculation-sheet'!O7*'Output-Calculation-sheet'!O25</f>
        <v>663.33352063950485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137.50569068081137</v>
      </c>
      <c r="Y19" s="2">
        <f>Y8/'Output-Calculation-sheet'!Y7*'Output-Calculation-sheet'!Y25</f>
        <v>0</v>
      </c>
      <c r="AA19" s="2">
        <f t="shared" si="0"/>
        <v>12.767651760095136</v>
      </c>
    </row>
    <row r="20" spans="1:27" x14ac:dyDescent="0.25">
      <c r="A20" s="2">
        <v>2032</v>
      </c>
      <c r="B20" s="2">
        <f>B9/'Output-Calculation-sheet'!B8*'Output-Calculation-sheet'!B26</f>
        <v>6507.3378098620306</v>
      </c>
      <c r="C20" s="2">
        <f>C9/'Output-Calculation-sheet'!C8*'Output-Calculation-sheet'!C26</f>
        <v>3568.4651871213596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2142.1672717485681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1496.9612735160019</v>
      </c>
      <c r="N20" s="2">
        <f>N9/'Output-Calculation-sheet'!N8*'Output-Calculation-sheet'!N26</f>
        <v>1037.4349545170367</v>
      </c>
      <c r="O20" s="2">
        <f>O9/'Output-Calculation-sheet'!O8*'Output-Calculation-sheet'!O26</f>
        <v>697.21196638619926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492.11060210236775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162.89124957388282</v>
      </c>
      <c r="Y20" s="2">
        <f>Y9/'Output-Calculation-sheet'!Y8*'Output-Calculation-sheet'!Y26</f>
        <v>0</v>
      </c>
      <c r="AA20" s="2">
        <f t="shared" si="0"/>
        <v>16.104580314827448</v>
      </c>
    </row>
    <row r="21" spans="1:27" x14ac:dyDescent="0.25">
      <c r="A21" s="2">
        <v>2033</v>
      </c>
      <c r="B21" s="2">
        <f>B10/'Output-Calculation-sheet'!B9*'Output-Calculation-sheet'!B27</f>
        <v>6159.5781656747904</v>
      </c>
      <c r="C21" s="2">
        <f>C10/'Output-Calculation-sheet'!C9*'Output-Calculation-sheet'!C27</f>
        <v>3785.9374152538758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1241.3210163095678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878.61725540534349</v>
      </c>
      <c r="N21" s="2">
        <f>N10/'Output-Calculation-sheet'!N9*'Output-Calculation-sheet'!N27</f>
        <v>889.77331512691535</v>
      </c>
      <c r="O21" s="2">
        <f>O10/'Output-Calculation-sheet'!O9*'Output-Calculation-sheet'!O27</f>
        <v>741.20537814937552</v>
      </c>
      <c r="P21" s="2">
        <f>P10/'Output-Calculation-sheet'!P9*'Output-Calculation-sheet'!P27</f>
        <v>0</v>
      </c>
      <c r="Q21" s="2">
        <f>Q10/'Output-Calculation-sheet'!Q9*'Output-Calculation-sheet'!Q27</f>
        <v>10.368862674915691</v>
      </c>
      <c r="R21" s="2">
        <f>R10/'Output-Calculation-sheet'!R9*'Output-Calculation-sheet'!R27</f>
        <v>0</v>
      </c>
      <c r="S21" s="2">
        <f>S10/'Output-Calculation-sheet'!S9*'Output-Calculation-sheet'!S27</f>
        <v>423.6771093622238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87.733709008243295</v>
      </c>
      <c r="Y21" s="2">
        <f>Y10/'Output-Calculation-sheet'!Y9*'Output-Calculation-sheet'!Y27</f>
        <v>0</v>
      </c>
      <c r="AA21" s="2">
        <f t="shared" si="0"/>
        <v>14.218212226965251</v>
      </c>
    </row>
    <row r="22" spans="1:27" x14ac:dyDescent="0.25">
      <c r="A22" s="2">
        <v>2034</v>
      </c>
      <c r="B22" s="2">
        <f>B11/'Output-Calculation-sheet'!B10*'Output-Calculation-sheet'!B28</f>
        <v>5301.3755157368614</v>
      </c>
      <c r="C22" s="2">
        <f>C11/'Output-Calculation-sheet'!C10*'Output-Calculation-sheet'!C28</f>
        <v>534.74699202685019</v>
      </c>
      <c r="D22" s="2">
        <f>D11/'Output-Calculation-sheet'!D10*'Output-Calculation-sheet'!D28</f>
        <v>0</v>
      </c>
      <c r="E22" s="2">
        <f>E11/'Output-Calculation-sheet'!E10*'Output-Calculation-sheet'!E28</f>
        <v>1775.6489657116822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1408.0307256538044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1076.8696923129362</v>
      </c>
      <c r="M22" s="2">
        <f>M11/'Output-Calculation-sheet'!M10*'Output-Calculation-sheet'!M28</f>
        <v>1002.0901004817061</v>
      </c>
      <c r="N22" s="2">
        <f>N11/'Output-Calculation-sheet'!N10*'Output-Calculation-sheet'!N28</f>
        <v>669.90294927816626</v>
      </c>
      <c r="O22" s="2">
        <f>O11/'Output-Calculation-sheet'!O10*'Output-Calculation-sheet'!O28</f>
        <v>104.89186700226799</v>
      </c>
      <c r="P22" s="2">
        <f>P11/'Output-Calculation-sheet'!P10*'Output-Calculation-sheet'!P28</f>
        <v>0</v>
      </c>
      <c r="Q22" s="2">
        <f>Q11/'Output-Calculation-sheet'!Q10*'Output-Calculation-sheet'!Q28</f>
        <v>344.82106664426561</v>
      </c>
      <c r="R22" s="2">
        <f>R11/'Output-Calculation-sheet'!R10*'Output-Calculation-sheet'!R28</f>
        <v>0</v>
      </c>
      <c r="S22" s="2">
        <f>S11/'Output-Calculation-sheet'!S10*'Output-Calculation-sheet'!S28</f>
        <v>250.83291696789215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98.462329481045387</v>
      </c>
      <c r="Y22" s="2">
        <f>Y11/'Output-Calculation-sheet'!Y10*'Output-Calculation-sheet'!Y28</f>
        <v>40.136026547217632</v>
      </c>
      <c r="AA22" s="2">
        <f t="shared" si="0"/>
        <v>12.607809147844696</v>
      </c>
    </row>
    <row r="23" spans="1:27" x14ac:dyDescent="0.25">
      <c r="A23" s="2">
        <v>2035</v>
      </c>
      <c r="B23" s="2">
        <f>B12/'Output-Calculation-sheet'!B11*'Output-Calculation-sheet'!B29</f>
        <v>2389.7521997169788</v>
      </c>
      <c r="C23" s="2">
        <f>C12/'Output-Calculation-sheet'!C11*'Output-Calculation-sheet'!C29</f>
        <v>207.73948312032186</v>
      </c>
      <c r="D23" s="2">
        <f>D12/'Output-Calculation-sheet'!D11*'Output-Calculation-sheet'!D29</f>
        <v>0</v>
      </c>
      <c r="E23" s="2">
        <f>E12/'Output-Calculation-sheet'!E11*'Output-Calculation-sheet'!E29</f>
        <v>3298.8445892589161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352.25366136729366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2213.67388446018</v>
      </c>
      <c r="M23" s="2">
        <f>M12/'Output-Calculation-sheet'!M11*'Output-Calculation-sheet'!M29</f>
        <v>323.14132559184361</v>
      </c>
      <c r="N23" s="2">
        <f>N12/'Output-Calculation-sheet'!N11*'Output-Calculation-sheet'!N29</f>
        <v>268.60123768037607</v>
      </c>
      <c r="O23" s="2">
        <f>O12/'Output-Calculation-sheet'!O11*'Output-Calculation-sheet'!O29</f>
        <v>36.834497694883552</v>
      </c>
      <c r="P23" s="2">
        <f>P12/'Output-Calculation-sheet'!P11*'Output-Calculation-sheet'!P29</f>
        <v>130.44433599886835</v>
      </c>
      <c r="Q23" s="2">
        <f>Q12/'Output-Calculation-sheet'!Q11*'Output-Calculation-sheet'!Q29</f>
        <v>490.58725356444097</v>
      </c>
      <c r="R23" s="2">
        <f>R12/'Output-Calculation-sheet'!R11*'Output-Calculation-sheet'!R29</f>
        <v>0</v>
      </c>
      <c r="S23" s="2">
        <f>S12/'Output-Calculation-sheet'!S11*'Output-Calculation-sheet'!S29</f>
        <v>112.20864198840148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10.376612108260073</v>
      </c>
      <c r="Y23" s="2">
        <f>Y12/'Output-Calculation-sheet'!Y11*'Output-Calculation-sheet'!Y29</f>
        <v>90.144827442325507</v>
      </c>
      <c r="AA23" s="2">
        <f t="shared" si="0"/>
        <v>9.9246025499930912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1204.8700337606238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47.239886367191147</v>
      </c>
    </row>
    <row r="31" spans="1:27" x14ac:dyDescent="0.25">
      <c r="A31" s="2">
        <v>2032</v>
      </c>
      <c r="B31" s="2">
        <f>B9/'Output-Calculation-sheet'!B8*'Output-Calculation-sheet'!B17</f>
        <v>27359.542757398802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1069.7869565569281</v>
      </c>
      <c r="O31" s="2">
        <f>O9/'Output-Calculation-sheet'!O8*'Output-Calculation-sheet'!O17</f>
        <v>0</v>
      </c>
      <c r="P31" s="2">
        <f>P9/'Output-Calculation-sheet'!P8*'Output-Calculation-sheet'!P17</f>
        <v>2673.7664168777719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885.42819243269059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62.683966616819745</v>
      </c>
    </row>
    <row r="32" spans="1:27" x14ac:dyDescent="0.25">
      <c r="A32" s="2">
        <v>2033</v>
      </c>
      <c r="B32" s="2">
        <f>B10/'Output-Calculation-sheet'!B9*'Output-Calculation-sheet'!B18</f>
        <v>22280.822720632597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3488.5472971404802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901.82056449273466</v>
      </c>
      <c r="O32" s="2">
        <f>O10/'Output-Calculation-sheet'!O9*'Output-Calculation-sheet'!O18</f>
        <v>0</v>
      </c>
      <c r="P32" s="2">
        <f>P10/'Output-Calculation-sheet'!P9*'Output-Calculation-sheet'!P18</f>
        <v>3590.1827106735518</v>
      </c>
      <c r="Q32" s="2">
        <f>Q10/'Output-Calculation-sheet'!Q9*'Output-Calculation-sheet'!Q18</f>
        <v>3324.180480361661</v>
      </c>
      <c r="R32" s="2">
        <f>R10/'Output-Calculation-sheet'!R9*'Output-Calculation-sheet'!R18</f>
        <v>2578.0017247751011</v>
      </c>
      <c r="S32" s="2">
        <f>S10/'Output-Calculation-sheet'!S9*'Output-Calculation-sheet'!S18</f>
        <v>820.3901524438578</v>
      </c>
      <c r="T32" s="2">
        <f>T10/'Output-Calculation-sheet'!T9*'Output-Calculation-sheet'!T18</f>
        <v>752.73456248077252</v>
      </c>
      <c r="U32" s="2">
        <f>U10/'Output-Calculation-sheet'!U9*'Output-Calculation-sheet'!U18</f>
        <v>832.11475604044949</v>
      </c>
      <c r="V32" s="2">
        <f>V10/'Output-Calculation-sheet'!V9*'Output-Calculation-sheet'!V18</f>
        <v>614.18777361093464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355.58214492308417</v>
      </c>
      <c r="AA32" s="2">
        <f t="shared" si="1"/>
        <v>70.832988246100285</v>
      </c>
    </row>
    <row r="33" spans="1:27" x14ac:dyDescent="0.25">
      <c r="A33" s="2">
        <v>2034</v>
      </c>
      <c r="B33" s="2">
        <f>B11/'Output-Calculation-sheet'!B10*'Output-Calculation-sheet'!B19</f>
        <v>16024.652968578097</v>
      </c>
      <c r="C33" s="2">
        <f>C11/'Output-Calculation-sheet'!C10*'Output-Calculation-sheet'!C19</f>
        <v>0</v>
      </c>
      <c r="D33" s="2">
        <f>D11/'Output-Calculation-sheet'!D10*'Output-Calculation-sheet'!D19</f>
        <v>10657.085243859794</v>
      </c>
      <c r="E33" s="2">
        <f>E11/'Output-Calculation-sheet'!E10*'Output-Calculation-sheet'!E19</f>
        <v>13212.094912907614</v>
      </c>
      <c r="F33" s="2">
        <f>F11/'Output-Calculation-sheet'!F10*'Output-Calculation-sheet'!F19</f>
        <v>6049.5892756347612</v>
      </c>
      <c r="G33" s="2">
        <f>G11/'Output-Calculation-sheet'!G10*'Output-Calculation-sheet'!G19</f>
        <v>3603.825864237579</v>
      </c>
      <c r="H33" s="2">
        <f>H11/'Output-Calculation-sheet'!H10*'Output-Calculation-sheet'!H19</f>
        <v>0</v>
      </c>
      <c r="I33" s="2">
        <f>I11/'Output-Calculation-sheet'!I10*'Output-Calculation-sheet'!I19</f>
        <v>3958.7136356305136</v>
      </c>
      <c r="J33" s="2">
        <f>J11/'Output-Calculation-sheet'!J10*'Output-Calculation-sheet'!J19</f>
        <v>3347.5527640202395</v>
      </c>
      <c r="K33" s="2">
        <f>K11/'Output-Calculation-sheet'!K10*'Output-Calculation-sheet'!K19</f>
        <v>4643.1346023370925</v>
      </c>
      <c r="L33" s="2">
        <f>L11/'Output-Calculation-sheet'!L10*'Output-Calculation-sheet'!L19</f>
        <v>3776.3577015091182</v>
      </c>
      <c r="M33" s="2">
        <f>M11/'Output-Calculation-sheet'!M10*'Output-Calculation-sheet'!M19</f>
        <v>0</v>
      </c>
      <c r="N33" s="2">
        <f>N11/'Output-Calculation-sheet'!N10*'Output-Calculation-sheet'!N19</f>
        <v>716.811964500302</v>
      </c>
      <c r="O33" s="2">
        <f>O11/'Output-Calculation-sheet'!O10*'Output-Calculation-sheet'!O19</f>
        <v>0</v>
      </c>
      <c r="P33" s="2">
        <f>P11/'Output-Calculation-sheet'!P10*'Output-Calculation-sheet'!P19</f>
        <v>3548.3360193606322</v>
      </c>
      <c r="Q33" s="2">
        <f>Q11/'Output-Calculation-sheet'!Q10*'Output-Calculation-sheet'!Q19</f>
        <v>2260.8980131533208</v>
      </c>
      <c r="R33" s="2">
        <f>R11/'Output-Calculation-sheet'!R10*'Output-Calculation-sheet'!R19</f>
        <v>3354.3285799496102</v>
      </c>
      <c r="S33" s="2">
        <f>S11/'Output-Calculation-sheet'!S10*'Output-Calculation-sheet'!S19</f>
        <v>455.67668882721478</v>
      </c>
      <c r="T33" s="2">
        <f>T11/'Output-Calculation-sheet'!T10*'Output-Calculation-sheet'!T19</f>
        <v>984.01699392137027</v>
      </c>
      <c r="U33" s="2">
        <f>U11/'Output-Calculation-sheet'!U10*'Output-Calculation-sheet'!U19</f>
        <v>1064.268961530702</v>
      </c>
      <c r="V33" s="2">
        <f>V11/'Output-Calculation-sheet'!V10*'Output-Calculation-sheet'!V19</f>
        <v>771.86031430143601</v>
      </c>
      <c r="W33" s="2">
        <f>W11/'Output-Calculation-sheet'!W10*'Output-Calculation-sheet'!W19</f>
        <v>480.59592324277247</v>
      </c>
      <c r="X33" s="2">
        <f>X11/'Output-Calculation-sheet'!X10*'Output-Calculation-sheet'!X19</f>
        <v>0</v>
      </c>
      <c r="Y33" s="2">
        <f>Y11/'Output-Calculation-sheet'!Y10*'Output-Calculation-sheet'!Y19</f>
        <v>393.47086026794602</v>
      </c>
      <c r="AA33" s="2">
        <f t="shared" si="1"/>
        <v>79.303271287770116</v>
      </c>
    </row>
    <row r="34" spans="1:27" x14ac:dyDescent="0.25">
      <c r="A34" s="2">
        <v>2035</v>
      </c>
      <c r="B34" s="2">
        <f>B12/'Output-Calculation-sheet'!B11*'Output-Calculation-sheet'!B20</f>
        <v>4089.2722447536312</v>
      </c>
      <c r="C34" s="2">
        <f>C12/'Output-Calculation-sheet'!C11*'Output-Calculation-sheet'!C20</f>
        <v>0</v>
      </c>
      <c r="D34" s="2">
        <f>D12/'Output-Calculation-sheet'!D11*'Output-Calculation-sheet'!D20</f>
        <v>10707.683767550814</v>
      </c>
      <c r="E34" s="2">
        <f>E12/'Output-Calculation-sheet'!E11*'Output-Calculation-sheet'!E20</f>
        <v>6989.7310341876146</v>
      </c>
      <c r="F34" s="2">
        <f>F12/'Output-Calculation-sheet'!F11*'Output-Calculation-sheet'!F20</f>
        <v>6654.0817590233301</v>
      </c>
      <c r="G34" s="2">
        <f>G12/'Output-Calculation-sheet'!G11*'Output-Calculation-sheet'!G20</f>
        <v>3590.1117521340057</v>
      </c>
      <c r="H34" s="2">
        <f>H12/'Output-Calculation-sheet'!H11*'Output-Calculation-sheet'!H20</f>
        <v>0</v>
      </c>
      <c r="I34" s="2">
        <f>I12/'Output-Calculation-sheet'!I11*'Output-Calculation-sheet'!I20</f>
        <v>3991.216690423646</v>
      </c>
      <c r="J34" s="2">
        <f>J12/'Output-Calculation-sheet'!J11*'Output-Calculation-sheet'!J20</f>
        <v>3701.3141673958394</v>
      </c>
      <c r="K34" s="2">
        <f>K12/'Output-Calculation-sheet'!K11*'Output-Calculation-sheet'!K20</f>
        <v>4934.2188592828816</v>
      </c>
      <c r="L34" s="2">
        <f>L12/'Output-Calculation-sheet'!L11*'Output-Calculation-sheet'!L20</f>
        <v>3928.4542832933312</v>
      </c>
      <c r="M34" s="2">
        <f>M12/'Output-Calculation-sheet'!M11*'Output-Calculation-sheet'!M20</f>
        <v>0</v>
      </c>
      <c r="N34" s="2">
        <f>N12/'Output-Calculation-sheet'!N11*'Output-Calculation-sheet'!N20</f>
        <v>2.9002138882656681E-2</v>
      </c>
      <c r="O34" s="2">
        <f>O12/'Output-Calculation-sheet'!O11*'Output-Calculation-sheet'!O20</f>
        <v>0</v>
      </c>
      <c r="P34" s="2">
        <f>P12/'Output-Calculation-sheet'!P11*'Output-Calculation-sheet'!P20</f>
        <v>2019.8515868707123</v>
      </c>
      <c r="Q34" s="2">
        <f>Q12/'Output-Calculation-sheet'!Q11*'Output-Calculation-sheet'!Q20</f>
        <v>1358.233317503521</v>
      </c>
      <c r="R34" s="2">
        <f>R12/'Output-Calculation-sheet'!R11*'Output-Calculation-sheet'!R20</f>
        <v>3769.4877045251096</v>
      </c>
      <c r="S34" s="2">
        <f>S12/'Output-Calculation-sheet'!S11*'Output-Calculation-sheet'!S20</f>
        <v>4.4657989759665639</v>
      </c>
      <c r="T34" s="2">
        <f>T12/'Output-Calculation-sheet'!T11*'Output-Calculation-sheet'!T20</f>
        <v>1142.5947679350775</v>
      </c>
      <c r="U34" s="2">
        <f>U12/'Output-Calculation-sheet'!U11*'Output-Calculation-sheet'!U20</f>
        <v>1052.4158278907946</v>
      </c>
      <c r="V34" s="2">
        <f>V12/'Output-Calculation-sheet'!V11*'Output-Calculation-sheet'!V20</f>
        <v>1035.8837731066094</v>
      </c>
      <c r="W34" s="2">
        <f>W12/'Output-Calculation-sheet'!W11*'Output-Calculation-sheet'!W20</f>
        <v>561.76942794048136</v>
      </c>
      <c r="X34" s="2">
        <f>X12/'Output-Calculation-sheet'!X11*'Output-Calculation-sheet'!X20</f>
        <v>0</v>
      </c>
      <c r="Y34" s="2">
        <f>Y12/'Output-Calculation-sheet'!Y11*'Output-Calculation-sheet'!Y20</f>
        <v>256.61250553116815</v>
      </c>
      <c r="AA34" s="2">
        <f t="shared" si="1"/>
        <v>59.787428270463415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2.4003916274314915E-2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4.396134049888238E-3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2.8400050324203154E-2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6.6991631204588523E-2</v>
      </c>
      <c r="E45" s="2">
        <f>E12/'Output-Calculation-sheet'!E11*'Output-Calculation-sheet'!E38*0.0114</f>
        <v>0.15972162086969471</v>
      </c>
      <c r="F45" s="2">
        <f>F12/'Output-Calculation-sheet'!F11*'Output-Calculation-sheet'!F38*0.0114</f>
        <v>6.6969274081914387E-2</v>
      </c>
      <c r="G45" s="2">
        <f>G12/'Output-Calculation-sheet'!G11*'Output-Calculation-sheet'!G38*0.0114</f>
        <v>4.8062825190599665E-2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4.3229541224786242E-2</v>
      </c>
      <c r="J45" s="2">
        <f>J12/'Output-Calculation-sheet'!J11*'Output-Calculation-sheet'!J38*0.0114</f>
        <v>2.1391462933520185E-2</v>
      </c>
      <c r="K45" s="2">
        <f>K12/'Output-Calculation-sheet'!K11*'Output-Calculation-sheet'!K38*0.0114</f>
        <v>4.2487757878217722E-2</v>
      </c>
      <c r="L45" s="2">
        <f>L12/'Output-Calculation-sheet'!L11*'Output-Calculation-sheet'!L38*0.0114</f>
        <v>1.68921545649032E-2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4.3634122232385227E-2</v>
      </c>
      <c r="Q45" s="2">
        <f>Q12/'Output-Calculation-sheet'!Q11*'Output-Calculation-sheet'!Q38*0.0114</f>
        <v>1.3794170493303868E-2</v>
      </c>
      <c r="R45" s="2">
        <f>R12/'Output-Calculation-sheet'!R11*'Output-Calculation-sheet'!R38*0.0114</f>
        <v>2.7359039796002519E-2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5.0609070429378459E-3</v>
      </c>
      <c r="U45" s="2">
        <f>U12/'Output-Calculation-sheet'!U11*'Output-Calculation-sheet'!U38*0.0114</f>
        <v>1.3203509373612725E-2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5.8774006308780925E-3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6.7833542327355887E-3</v>
      </c>
      <c r="AA45" s="2">
        <f t="shared" si="2"/>
        <v>0.90033506792946205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0.17444330140562822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228.56977409095182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0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21.327248004043057</v>
      </c>
      <c r="AA54" s="2">
        <f t="shared" si="3"/>
        <v>5.6303092926251503</v>
      </c>
    </row>
    <row r="55" spans="1:27" x14ac:dyDescent="0.25">
      <c r="A55" s="2">
        <v>2034</v>
      </c>
      <c r="B55" s="2">
        <f>B11/'Output-Calculation-sheet'!B10*'Output-Calculation-sheet'!B46</f>
        <v>2094.169258094114</v>
      </c>
      <c r="C55" s="2">
        <f>C11/'Output-Calculation-sheet'!C10*'Output-Calculation-sheet'!C46</f>
        <v>0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349.13268563584177</v>
      </c>
      <c r="G55" s="2">
        <f>G11/'Output-Calculation-sheet'!G10*'Output-Calculation-sheet'!G46</f>
        <v>3935.3789049732081</v>
      </c>
      <c r="H55" s="2">
        <f>H11/'Output-Calculation-sheet'!H10*'Output-Calculation-sheet'!H46</f>
        <v>713.92049981867217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1619.3927138518238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529.14296262490609</v>
      </c>
      <c r="N55" s="2">
        <f>N11/'Output-Calculation-sheet'!N10*'Output-Calculation-sheet'!N46</f>
        <v>180.71110113512111</v>
      </c>
      <c r="O55" s="2">
        <f>O11/'Output-Calculation-sheet'!O10*'Output-Calculation-sheet'!O46</f>
        <v>0</v>
      </c>
      <c r="P55" s="2">
        <f>P11/'Output-Calculation-sheet'!P10*'Output-Calculation-sheet'!P46</f>
        <v>3930.2240654447323</v>
      </c>
      <c r="Q55" s="2">
        <f>Q11/'Output-Calculation-sheet'!Q10*'Output-Calculation-sheet'!Q46</f>
        <v>842.41544292497747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0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1498.1562091066494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99.389511555996762</v>
      </c>
      <c r="X55" s="2">
        <f>X11/'Output-Calculation-sheet'!X10*'Output-Calculation-sheet'!X46</f>
        <v>50.50337240671314</v>
      </c>
      <c r="Y55" s="2">
        <f>Y11/'Output-Calculation-sheet'!Y10*'Output-Calculation-sheet'!Y46</f>
        <v>351.26099711466685</v>
      </c>
      <c r="AA55" s="2">
        <f t="shared" si="3"/>
        <v>52.023071871604579</v>
      </c>
    </row>
    <row r="56" spans="1:27" x14ac:dyDescent="0.25">
      <c r="A56" s="2">
        <v>2035</v>
      </c>
      <c r="B56" s="2">
        <f>B12/'Output-Calculation-sheet'!B11*'Output-Calculation-sheet'!B47</f>
        <v>3759.8454854708689</v>
      </c>
      <c r="C56" s="2">
        <f>C12/'Output-Calculation-sheet'!C11*'Output-Calculation-sheet'!C47</f>
        <v>431.20122633948336</v>
      </c>
      <c r="D56" s="2">
        <f>D12/'Output-Calculation-sheet'!D11*'Output-Calculation-sheet'!D47</f>
        <v>10612.884732937444</v>
      </c>
      <c r="E56" s="2">
        <f>E12/'Output-Calculation-sheet'!E11*'Output-Calculation-sheet'!E47</f>
        <v>13907.923595027802</v>
      </c>
      <c r="F56" s="2">
        <f>F12/'Output-Calculation-sheet'!F11*'Output-Calculation-sheet'!F47</f>
        <v>1468.6244316209295</v>
      </c>
      <c r="G56" s="2">
        <f>G12/'Output-Calculation-sheet'!G11*'Output-Calculation-sheet'!G47</f>
        <v>3927.2387425476827</v>
      </c>
      <c r="H56" s="2">
        <f>H12/'Output-Calculation-sheet'!H11*'Output-Calculation-sheet'!H47</f>
        <v>167.45297099694528</v>
      </c>
      <c r="I56" s="2">
        <f>I12/'Output-Calculation-sheet'!I11*'Output-Calculation-sheet'!I47</f>
        <v>2502.7629130139403</v>
      </c>
      <c r="J56" s="2">
        <f>J12/'Output-Calculation-sheet'!J11*'Output-Calculation-sheet'!J47</f>
        <v>4178.8410485043378</v>
      </c>
      <c r="K56" s="2">
        <f>K12/'Output-Calculation-sheet'!K11*'Output-Calculation-sheet'!K47</f>
        <v>5581.1769668974594</v>
      </c>
      <c r="L56" s="2">
        <f>L12/'Output-Calculation-sheet'!L11*'Output-Calculation-sheet'!L47</f>
        <v>6044.131444757908</v>
      </c>
      <c r="M56" s="2">
        <f>M12/'Output-Calculation-sheet'!M11*'Output-Calculation-sheet'!M47</f>
        <v>127.87047054285316</v>
      </c>
      <c r="N56" s="2">
        <f>N12/'Output-Calculation-sheet'!N11*'Output-Calculation-sheet'!N47</f>
        <v>120.15171822814909</v>
      </c>
      <c r="O56" s="2">
        <f>O12/'Output-Calculation-sheet'!O11*'Output-Calculation-sheet'!O47</f>
        <v>78.615316447566457</v>
      </c>
      <c r="P56" s="2">
        <f>P12/'Output-Calculation-sheet'!P11*'Output-Calculation-sheet'!P47</f>
        <v>2855.3557180139805</v>
      </c>
      <c r="Q56" s="2">
        <f>Q12/'Output-Calculation-sheet'!Q11*'Output-Calculation-sheet'!Q47</f>
        <v>1097.4835646865447</v>
      </c>
      <c r="R56" s="2">
        <f>R12/'Output-Calculation-sheet'!R11*'Output-Calculation-sheet'!R47</f>
        <v>6153.3840383289871</v>
      </c>
      <c r="S56" s="2">
        <f>S12/'Output-Calculation-sheet'!S11*'Output-Calculation-sheet'!S47</f>
        <v>51.458417556785434</v>
      </c>
      <c r="T56" s="2">
        <f>T12/'Output-Calculation-sheet'!T11*'Output-Calculation-sheet'!T47</f>
        <v>2070.0885562472959</v>
      </c>
      <c r="U56" s="2">
        <f>U12/'Output-Calculation-sheet'!U11*'Output-Calculation-sheet'!U47</f>
        <v>1451.2278285207669</v>
      </c>
      <c r="V56" s="2">
        <f>V12/'Output-Calculation-sheet'!V11*'Output-Calculation-sheet'!V47</f>
        <v>1433.9813459232016</v>
      </c>
      <c r="W56" s="2">
        <f>W12/'Output-Calculation-sheet'!W11*'Output-Calculation-sheet'!W47</f>
        <v>507.57025623679664</v>
      </c>
      <c r="X56" s="2">
        <f>X12/'Output-Calculation-sheet'!X11*'Output-Calculation-sheet'!X47</f>
        <v>13.102756134622389</v>
      </c>
      <c r="Y56" s="2">
        <f>Y12/'Output-Calculation-sheet'!Y11*'Output-Calculation-sheet'!Y47</f>
        <v>405.06740297673264</v>
      </c>
      <c r="AA56" s="2">
        <f t="shared" si="3"/>
        <v>68.94744094795908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8.7121896264837719</v>
      </c>
      <c r="C63" s="2">
        <f>C8*'Output-Calculation-sheet'!C52/10^9</f>
        <v>4.6544997704486404</v>
      </c>
      <c r="D63" s="2">
        <f>D8*'Output-Calculation-sheet'!D52/10^9</f>
        <v>2.9875965270508344</v>
      </c>
      <c r="E63" s="2">
        <f>E8*'Output-Calculation-sheet'!E52/10^9</f>
        <v>2.9704723356179397</v>
      </c>
      <c r="F63" s="2">
        <f>F8*'Output-Calculation-sheet'!F52/10^9</f>
        <v>1.2579947885665086</v>
      </c>
      <c r="G63" s="2">
        <f>G8*'Output-Calculation-sheet'!G52/10^9</f>
        <v>0.90444142162776886</v>
      </c>
      <c r="H63" s="2">
        <f>H8*'Output-Calculation-sheet'!H52/10^9</f>
        <v>1.4709870848791822</v>
      </c>
      <c r="I63" s="2">
        <f>I8*'Output-Calculation-sheet'!I52/10^9</f>
        <v>0.84134049946973632</v>
      </c>
      <c r="J63" s="2">
        <f>J8*'Output-Calculation-sheet'!J52/10^9</f>
        <v>1.1577415549545502</v>
      </c>
      <c r="K63" s="2">
        <f>K8*'Output-Calculation-sheet'!K52/10^9</f>
        <v>1.0171789279393471</v>
      </c>
      <c r="L63" s="2">
        <f>L8*'Output-Calculation-sheet'!L52/10^9</f>
        <v>1.3681545988277226</v>
      </c>
      <c r="M63" s="2">
        <f>M8*'Output-Calculation-sheet'!M52/10^9</f>
        <v>1.2050811085874926</v>
      </c>
      <c r="N63" s="2">
        <f>N8*'Output-Calculation-sheet'!N52/10^9</f>
        <v>1.0633093899544614</v>
      </c>
      <c r="O63" s="2">
        <f>O8*'Output-Calculation-sheet'!O52/10^9</f>
        <v>0.95227047237937845</v>
      </c>
      <c r="P63" s="2">
        <f>P8*'Output-Calculation-sheet'!P52/10^9</f>
        <v>0.70284320080993845</v>
      </c>
      <c r="Q63" s="2">
        <f>Q8*'Output-Calculation-sheet'!Q52/10^9</f>
        <v>0.79541253799455058</v>
      </c>
      <c r="R63" s="2">
        <f>R8*'Output-Calculation-sheet'!R52/10^9</f>
        <v>0.71412256952545128</v>
      </c>
      <c r="S63" s="2">
        <f>S8*'Output-Calculation-sheet'!S52/10^9</f>
        <v>0.52919012663745424</v>
      </c>
      <c r="T63" s="2">
        <f>T8*'Output-Calculation-sheet'!T52/10^9</f>
        <v>0.27149919972204839</v>
      </c>
      <c r="U63" s="2">
        <f>U8*'Output-Calculation-sheet'!U52/10^9</f>
        <v>0.186462741075196</v>
      </c>
      <c r="V63" s="2">
        <f>V8*'Output-Calculation-sheet'!V52/10^9</f>
        <v>0.33092730080781851</v>
      </c>
      <c r="W63" s="2">
        <f>W8*'Output-Calculation-sheet'!W52/10^9</f>
        <v>0.11978017879160838</v>
      </c>
      <c r="X63" s="2">
        <f>X8*'Output-Calculation-sheet'!X52/10^9</f>
        <v>0.12341927601461258</v>
      </c>
      <c r="Y63" s="2">
        <f>Y8*'Output-Calculation-sheet'!Y52/10^9</f>
        <v>7.8153234669385743E-2</v>
      </c>
      <c r="AA63" s="2">
        <f t="shared" si="4"/>
        <v>34.415068472835401</v>
      </c>
    </row>
    <row r="64" spans="1:27" x14ac:dyDescent="0.25">
      <c r="A64" s="2">
        <v>2032</v>
      </c>
      <c r="B64" s="2">
        <f>B9*'Output-Calculation-sheet'!B53/10^9</f>
        <v>9.3296939193826915</v>
      </c>
      <c r="C64" s="2">
        <f>C9*'Output-Calculation-sheet'!C53/10^9</f>
        <v>4.9459588917614008</v>
      </c>
      <c r="D64" s="2">
        <f>D9*'Output-Calculation-sheet'!D53/10^9</f>
        <v>2.7631512864870609</v>
      </c>
      <c r="E64" s="2">
        <f>E9*'Output-Calculation-sheet'!E53/10^9</f>
        <v>2.8295884902179305</v>
      </c>
      <c r="F64" s="2">
        <f>F9*'Output-Calculation-sheet'!F53/10^9</f>
        <v>1.1935026821972921</v>
      </c>
      <c r="G64" s="2">
        <f>G9*'Output-Calculation-sheet'!G53/10^9</f>
        <v>0.8494986986269516</v>
      </c>
      <c r="H64" s="2">
        <f>H9*'Output-Calculation-sheet'!H53/10^9</f>
        <v>1.5522525053140033</v>
      </c>
      <c r="I64" s="2">
        <f>I9*'Output-Calculation-sheet'!I53/10^9</f>
        <v>0.79414244424565195</v>
      </c>
      <c r="J64" s="2">
        <f>J9*'Output-Calculation-sheet'!J53/10^9</f>
        <v>1.0512832383228972</v>
      </c>
      <c r="K64" s="2">
        <f>K9*'Output-Calculation-sheet'!K53/10^9</f>
        <v>0.97544781438796313</v>
      </c>
      <c r="L64" s="2">
        <f>L9*'Output-Calculation-sheet'!L53/10^9</f>
        <v>1.254910697666106</v>
      </c>
      <c r="M64" s="2">
        <f>M9*'Output-Calculation-sheet'!M53/10^9</f>
        <v>1.2315308136556742</v>
      </c>
      <c r="N64" s="2">
        <f>N9*'Output-Calculation-sheet'!N53/10^9</f>
        <v>1.1087756488867864</v>
      </c>
      <c r="O64" s="2">
        <f>O9*'Output-Calculation-sheet'!O53/10^9</f>
        <v>1.0015937145166955</v>
      </c>
      <c r="P64" s="2">
        <f>P9*'Output-Calculation-sheet'!P53/10^9</f>
        <v>0.74371843319479547</v>
      </c>
      <c r="Q64" s="2">
        <f>Q9*'Output-Calculation-sheet'!Q53/10^9</f>
        <v>0.82191443963868238</v>
      </c>
      <c r="R64" s="2">
        <f>R9*'Output-Calculation-sheet'!R53/10^9</f>
        <v>0.70457477134082003</v>
      </c>
      <c r="S64" s="2">
        <f>S9*'Output-Calculation-sheet'!S53/10^9</f>
        <v>0.56695160285709267</v>
      </c>
      <c r="T64" s="2">
        <f>T9*'Output-Calculation-sheet'!T53/10^9</f>
        <v>0.25327528450684722</v>
      </c>
      <c r="U64" s="2">
        <f>U9*'Output-Calculation-sheet'!U53/10^9</f>
        <v>0.19063502596935145</v>
      </c>
      <c r="V64" s="2">
        <f>V9*'Output-Calculation-sheet'!V53/10^9</f>
        <v>0.30062063570939718</v>
      </c>
      <c r="W64" s="2">
        <f>W9*'Output-Calculation-sheet'!W53/10^9</f>
        <v>0.11170501660865639</v>
      </c>
      <c r="X64" s="2">
        <f>X9*'Output-Calculation-sheet'!X53/10^9</f>
        <v>0.12806820340405367</v>
      </c>
      <c r="Y64" s="2">
        <f>Y9*'Output-Calculation-sheet'!Y53/10^9</f>
        <v>7.8264220825632475E-2</v>
      </c>
      <c r="AA64" s="2">
        <f t="shared" si="4"/>
        <v>34.781058479724436</v>
      </c>
    </row>
    <row r="65" spans="1:27" x14ac:dyDescent="0.25">
      <c r="A65" s="2">
        <v>2033</v>
      </c>
      <c r="B65" s="2">
        <f>B10*'Output-Calculation-sheet'!B54/10^9</f>
        <v>9.6737678107143203</v>
      </c>
      <c r="C65" s="2">
        <f>C10*'Output-Calculation-sheet'!C54/10^9</f>
        <v>5.0005439476700193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1.5703395727066054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0.91494005984658067</v>
      </c>
      <c r="L65" s="2">
        <f>L10*'Output-Calculation-sheet'!L54/10^9</f>
        <v>1.0806327095018846</v>
      </c>
      <c r="M65" s="2">
        <f>M10*'Output-Calculation-sheet'!M54/10^9</f>
        <v>1.197483931508285</v>
      </c>
      <c r="N65" s="2">
        <f>N10*'Output-Calculation-sheet'!N54/10^9</f>
        <v>1.0988382459878885</v>
      </c>
      <c r="O65" s="2">
        <f>O10*'Output-Calculation-sheet'!O54/10^9</f>
        <v>1.0021311191523241</v>
      </c>
      <c r="P65" s="2">
        <f>P10*'Output-Calculation-sheet'!P54/10^9</f>
        <v>0.77406823381440792</v>
      </c>
      <c r="Q65" s="2">
        <f>Q10*'Output-Calculation-sheet'!Q54/10^9</f>
        <v>0.84322075434008537</v>
      </c>
      <c r="R65" s="2">
        <f>R10*'Output-Calculation-sheet'!R54/10^9</f>
        <v>0.68148256390414641</v>
      </c>
      <c r="S65" s="2">
        <f>S10*'Output-Calculation-sheet'!S54/10^9</f>
        <v>0.57963558626635314</v>
      </c>
      <c r="T65" s="2">
        <f>T10*'Output-Calculation-sheet'!T54/10^9</f>
        <v>0.22785285961953233</v>
      </c>
      <c r="U65" s="2">
        <f>U10*'Output-Calculation-sheet'!U54/10^9</f>
        <v>0.19674283950600996</v>
      </c>
      <c r="V65" s="2">
        <f>V10*'Output-Calculation-sheet'!V54/10^9</f>
        <v>0.25215919579186802</v>
      </c>
      <c r="W65" s="2">
        <f>W10*'Output-Calculation-sheet'!W54/10^9</f>
        <v>9.6002804957355956E-2</v>
      </c>
      <c r="X65" s="2">
        <f>X10*'Output-Calculation-sheet'!X54/10^9</f>
        <v>0.12555703581651315</v>
      </c>
      <c r="Y65" s="2">
        <f>Y10*'Output-Calculation-sheet'!Y54/10^9</f>
        <v>7.901707123973721E-2</v>
      </c>
      <c r="AA65" s="2">
        <f t="shared" si="4"/>
        <v>33.770183905031843</v>
      </c>
    </row>
    <row r="66" spans="1:27" x14ac:dyDescent="0.25">
      <c r="A66" s="2">
        <v>2034</v>
      </c>
      <c r="B66" s="2">
        <f>B11*'Output-Calculation-sheet'!B55/10^9</f>
        <v>9.7413070682136631</v>
      </c>
      <c r="C66" s="2">
        <f>C11*'Output-Calculation-sheet'!C55/10^9</f>
        <v>4.9002479046188743</v>
      </c>
      <c r="D66" s="2">
        <f>D11*'Output-Calculation-sheet'!D55/10^9</f>
        <v>2.1984526291813276</v>
      </c>
      <c r="E66" s="2">
        <f>E11*'Output-Calculation-sheet'!E55/10^9</f>
        <v>2.6621702151380346</v>
      </c>
      <c r="F66" s="2">
        <f>F11*'Output-Calculation-sheet'!F55/10^9</f>
        <v>1.0231115909785731</v>
      </c>
      <c r="G66" s="2">
        <f>G11*'Output-Calculation-sheet'!G55/10^9</f>
        <v>0.73134608883220376</v>
      </c>
      <c r="H66" s="2">
        <f>H11*'Output-Calculation-sheet'!H55/10^9</f>
        <v>1.5260394740323104</v>
      </c>
      <c r="I66" s="2">
        <f>I11*'Output-Calculation-sheet'!I55/10^9</f>
        <v>0.7151247296246197</v>
      </c>
      <c r="J66" s="2">
        <f>J11*'Output-Calculation-sheet'!J55/10^9</f>
        <v>0.73538820065570309</v>
      </c>
      <c r="K66" s="2">
        <f>K11*'Output-Calculation-sheet'!K55/10^9</f>
        <v>0.87957613901635079</v>
      </c>
      <c r="L66" s="2">
        <f>L11*'Output-Calculation-sheet'!L55/10^9</f>
        <v>0.93148529954590942</v>
      </c>
      <c r="M66" s="2">
        <f>M11*'Output-Calculation-sheet'!M55/10^9</f>
        <v>1.1123773352635125</v>
      </c>
      <c r="N66" s="2">
        <f>N11*'Output-Calculation-sheet'!N55/10^9</f>
        <v>1.0508750407929459</v>
      </c>
      <c r="O66" s="2">
        <f>O11*'Output-Calculation-sheet'!O55/10^9</f>
        <v>0.96585535899999664</v>
      </c>
      <c r="P66" s="2">
        <f>P11*'Output-Calculation-sheet'!P55/10^9</f>
        <v>0.80647990351966059</v>
      </c>
      <c r="Q66" s="2">
        <f>Q11*'Output-Calculation-sheet'!Q55/10^9</f>
        <v>0.85312457090333005</v>
      </c>
      <c r="R66" s="2">
        <f>R11*'Output-Calculation-sheet'!R55/10^9</f>
        <v>0.65894496550309745</v>
      </c>
      <c r="S66" s="2">
        <f>S11*'Output-Calculation-sheet'!S55/10^9</f>
        <v>0.57475863964016027</v>
      </c>
      <c r="T66" s="2">
        <f>T11*'Output-Calculation-sheet'!T55/10^9</f>
        <v>0.20652920470364786</v>
      </c>
      <c r="U66" s="2">
        <f>U11*'Output-Calculation-sheet'!U55/10^9</f>
        <v>0.2097724141735309</v>
      </c>
      <c r="V66" s="2">
        <f>V11*'Output-Calculation-sheet'!V55/10^9</f>
        <v>0.195921725374852</v>
      </c>
      <c r="W66" s="2">
        <f>W11*'Output-Calculation-sheet'!W55/10^9</f>
        <v>8.8714632160587156E-2</v>
      </c>
      <c r="X66" s="2">
        <f>X11*'Output-Calculation-sheet'!X55/10^9</f>
        <v>0.11884846410922661</v>
      </c>
      <c r="Y66" s="2">
        <f>Y11*'Output-Calculation-sheet'!Y55/10^9</f>
        <v>8.6732277475068884E-2</v>
      </c>
      <c r="AA66" s="2">
        <f t="shared" si="4"/>
        <v>32.973183872457184</v>
      </c>
    </row>
    <row r="67" spans="1:27" x14ac:dyDescent="0.25">
      <c r="A67" s="2">
        <v>2035</v>
      </c>
      <c r="B67" s="2">
        <f>B12*'Output-Calculation-sheet'!B56/10^9</f>
        <v>9.8513008926103023</v>
      </c>
      <c r="C67" s="2">
        <f>C12*'Output-Calculation-sheet'!C56/10^9</f>
        <v>4.62372537178251</v>
      </c>
      <c r="D67" s="2">
        <f>D12*'Output-Calculation-sheet'!D56/10^9</f>
        <v>2.2731342988285661</v>
      </c>
      <c r="E67" s="2">
        <f>E12*'Output-Calculation-sheet'!E56/10^9</f>
        <v>3.0387685088241168</v>
      </c>
      <c r="F67" s="2">
        <f>F12*'Output-Calculation-sheet'!F56/10^9</f>
        <v>1.127232105917124</v>
      </c>
      <c r="G67" s="2">
        <f>G12*'Output-Calculation-sheet'!G56/10^9</f>
        <v>0.78964401365368508</v>
      </c>
      <c r="H67" s="2">
        <f>H12*'Output-Calculation-sheet'!H56/10^9</f>
        <v>1.4556880947028319</v>
      </c>
      <c r="I67" s="2">
        <f>I12*'Output-Calculation-sheet'!I56/10^9</f>
        <v>0.76706931871574791</v>
      </c>
      <c r="J67" s="2">
        <f>J12*'Output-Calculation-sheet'!J56/10^9</f>
        <v>0.7594300581807345</v>
      </c>
      <c r="K67" s="2">
        <f>K12*'Output-Calculation-sheet'!K56/10^9</f>
        <v>0.91512682505418308</v>
      </c>
      <c r="L67" s="2">
        <f>L12*'Output-Calculation-sheet'!L56/10^9</f>
        <v>0.9192562165723257</v>
      </c>
      <c r="M67" s="2">
        <f>M12*'Output-Calculation-sheet'!M56/10^9</f>
        <v>1.0126372172953091</v>
      </c>
      <c r="N67" s="2">
        <f>N12*'Output-Calculation-sheet'!N56/10^9</f>
        <v>0.98780861535518616</v>
      </c>
      <c r="O67" s="2">
        <f>O12*'Output-Calculation-sheet'!O56/10^9</f>
        <v>0.89880693674171419</v>
      </c>
      <c r="P67" s="2">
        <f>P12*'Output-Calculation-sheet'!P56/10^9</f>
        <v>0.8590791157603489</v>
      </c>
      <c r="Q67" s="2">
        <f>Q12*'Output-Calculation-sheet'!Q56/10^9</f>
        <v>0.87193640266116668</v>
      </c>
      <c r="R67" s="2">
        <f>R12*'Output-Calculation-sheet'!R56/10^9</f>
        <v>0.69413874216098614</v>
      </c>
      <c r="S67" s="2">
        <f>S12*'Output-Calculation-sheet'!S56/10^9</f>
        <v>0.5643905269670243</v>
      </c>
      <c r="T67" s="2">
        <f>T12*'Output-Calculation-sheet'!T56/10^9</f>
        <v>0.21037097561899493</v>
      </c>
      <c r="U67" s="2">
        <f>U12*'Output-Calculation-sheet'!U56/10^9</f>
        <v>0.21996000927080575</v>
      </c>
      <c r="V67" s="2">
        <f>V12*'Output-Calculation-sheet'!V56/10^9</f>
        <v>0.16873086351360625</v>
      </c>
      <c r="W67" s="2">
        <f>W12*'Output-Calculation-sheet'!W56/10^9</f>
        <v>0.10187441414276044</v>
      </c>
      <c r="X67" s="2">
        <f>X12*'Output-Calculation-sheet'!X56/10^9</f>
        <v>0.1082528597977067</v>
      </c>
      <c r="Y67" s="2">
        <f>Y12*'Output-Calculation-sheet'!Y56/10^9</f>
        <v>9.7853466264512232E-2</v>
      </c>
      <c r="AA67" s="2">
        <f t="shared" si="4"/>
        <v>33.316215850392254</v>
      </c>
    </row>
    <row r="68" spans="1:27" x14ac:dyDescent="0.25">
      <c r="B68" s="2">
        <f>SUM(B60:B67)</f>
        <v>47.308259317404747</v>
      </c>
      <c r="C68" s="2">
        <f t="shared" ref="C68:Y68" si="5">SUM(C60:C67)</f>
        <v>24.124975886281444</v>
      </c>
      <c r="D68" s="2">
        <f t="shared" si="5"/>
        <v>12.569891581376416</v>
      </c>
      <c r="E68" s="2">
        <f t="shared" si="5"/>
        <v>14.144308539341518</v>
      </c>
      <c r="F68" s="2">
        <f t="shared" si="5"/>
        <v>5.6749782683234349</v>
      </c>
      <c r="G68" s="2">
        <f t="shared" si="5"/>
        <v>4.0117365283719666</v>
      </c>
      <c r="H68" s="2">
        <f t="shared" si="5"/>
        <v>7.5753067316349325</v>
      </c>
      <c r="I68" s="2">
        <f t="shared" si="5"/>
        <v>3.8351254316458632</v>
      </c>
      <c r="J68" s="2">
        <f t="shared" si="5"/>
        <v>4.5613529395442818</v>
      </c>
      <c r="K68" s="2">
        <f t="shared" si="5"/>
        <v>4.7022697662444246</v>
      </c>
      <c r="L68" s="2">
        <f t="shared" si="5"/>
        <v>5.5544395221139489</v>
      </c>
      <c r="M68" s="2">
        <f t="shared" si="5"/>
        <v>5.759110406310274</v>
      </c>
      <c r="N68" s="2">
        <f t="shared" si="5"/>
        <v>5.3096069409772682</v>
      </c>
      <c r="O68" s="2">
        <f t="shared" si="5"/>
        <v>4.820657601790109</v>
      </c>
      <c r="P68" s="2">
        <f t="shared" si="5"/>
        <v>3.8861888870991517</v>
      </c>
      <c r="Q68" s="2">
        <f t="shared" si="5"/>
        <v>4.1856087055378151</v>
      </c>
      <c r="R68" s="2">
        <f t="shared" si="5"/>
        <v>3.4532636124345011</v>
      </c>
      <c r="S68" s="2">
        <f t="shared" si="5"/>
        <v>2.8149264823680844</v>
      </c>
      <c r="T68" s="2">
        <f t="shared" si="5"/>
        <v>1.1695275241710708</v>
      </c>
      <c r="U68" s="2">
        <f t="shared" si="5"/>
        <v>1.0035730299948942</v>
      </c>
      <c r="V68" s="2">
        <f t="shared" si="5"/>
        <v>1.2483597211975419</v>
      </c>
      <c r="W68" s="2">
        <f t="shared" si="5"/>
        <v>0.51807704666096832</v>
      </c>
      <c r="X68" s="2">
        <f t="shared" si="5"/>
        <v>0.60414583914211262</v>
      </c>
      <c r="Y68" s="2">
        <f t="shared" si="5"/>
        <v>0.4200202704743366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63.898234728786115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6.3898234728786113E-2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608.1797406802682</v>
      </c>
      <c r="Q76" s="2">
        <f>Q10/'Output-Calculation-sheet'!Q9*'Output-Calculation-sheet'!Q63</f>
        <v>72.244458750367812</v>
      </c>
      <c r="R76" s="2">
        <f>R10/'Output-Calculation-sheet'!R9*'Output-Calculation-sheet'!R63</f>
        <v>463.58434339089581</v>
      </c>
      <c r="S76" s="2">
        <f>S10/'Output-Calculation-sheet'!S9*'Output-Calculation-sheet'!S63</f>
        <v>0</v>
      </c>
      <c r="T76" s="2">
        <f>T10/'Output-Calculation-sheet'!T9*'Output-Calculation-sheet'!T63</f>
        <v>30.453850968135466</v>
      </c>
      <c r="U76" s="2">
        <f>U10/'Output-Calculation-sheet'!U9*'Output-Calculation-sheet'!U63</f>
        <v>164.49003583838379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7.8121133026701495</v>
      </c>
      <c r="AA76" s="2">
        <f t="shared" si="6"/>
        <v>1.4746542086144645</v>
      </c>
    </row>
    <row r="77" spans="1:27" x14ac:dyDescent="0.25">
      <c r="A77" s="2">
        <v>2034</v>
      </c>
      <c r="B77" s="2">
        <f>B11/'Output-Calculation-sheet'!B10*'Output-Calculation-sheet'!B64</f>
        <v>633.86315103992638</v>
      </c>
      <c r="C77" s="2">
        <f>C11/'Output-Calculation-sheet'!C10*'Output-Calculation-sheet'!C64</f>
        <v>0</v>
      </c>
      <c r="D77" s="2">
        <f>D11/'Output-Calculation-sheet'!D10*'Output-Calculation-sheet'!D64</f>
        <v>2132.0110659677594</v>
      </c>
      <c r="E77" s="2">
        <f>E11/'Output-Calculation-sheet'!E10*'Output-Calculation-sheet'!E64</f>
        <v>2643.6337171370142</v>
      </c>
      <c r="F77" s="2">
        <f>F11/'Output-Calculation-sheet'!F10*'Output-Calculation-sheet'!F64</f>
        <v>165.62385184466001</v>
      </c>
      <c r="G77" s="2">
        <f>G11/'Output-Calculation-sheet'!G10*'Output-Calculation-sheet'!G64</f>
        <v>1068.1068947929102</v>
      </c>
      <c r="H77" s="2">
        <f>H11/'Output-Calculation-sheet'!H10*'Output-Calculation-sheet'!H64</f>
        <v>174.80037472131693</v>
      </c>
      <c r="I77" s="2">
        <f>I11/'Output-Calculation-sheet'!I10*'Output-Calculation-sheet'!I64</f>
        <v>660.87868059252833</v>
      </c>
      <c r="J77" s="2">
        <f>J11/'Output-Calculation-sheet'!J10*'Output-Calculation-sheet'!J64</f>
        <v>464.43770687903356</v>
      </c>
      <c r="K77" s="2">
        <f>K11/'Output-Calculation-sheet'!K10*'Output-Calculation-sheet'!K64</f>
        <v>1013.273654801726</v>
      </c>
      <c r="L77" s="2">
        <f>L11/'Output-Calculation-sheet'!L10*'Output-Calculation-sheet'!L64</f>
        <v>418.9789321846095</v>
      </c>
      <c r="M77" s="2">
        <f>M11/'Output-Calculation-sheet'!M10*'Output-Calculation-sheet'!M64</f>
        <v>125.89391823767528</v>
      </c>
      <c r="N77" s="2">
        <f>N11/'Output-Calculation-sheet'!N10*'Output-Calculation-sheet'!N64</f>
        <v>41.636665385964584</v>
      </c>
      <c r="O77" s="2">
        <f>O11/'Output-Calculation-sheet'!O10*'Output-Calculation-sheet'!O64</f>
        <v>0</v>
      </c>
      <c r="P77" s="2">
        <f>P11/'Output-Calculation-sheet'!P10*'Output-Calculation-sheet'!P64</f>
        <v>857.3342859232456</v>
      </c>
      <c r="Q77" s="2">
        <f>Q11/'Output-Calculation-sheet'!Q10*'Output-Calculation-sheet'!Q64</f>
        <v>206.79063157424537</v>
      </c>
      <c r="R77" s="2">
        <f>R11/'Output-Calculation-sheet'!R10*'Output-Calculation-sheet'!R64</f>
        <v>1065.9998488847334</v>
      </c>
      <c r="S77" s="2">
        <f>S11/'Output-Calculation-sheet'!S10*'Output-Calculation-sheet'!S64</f>
        <v>0</v>
      </c>
      <c r="T77" s="2">
        <f>T11/'Output-Calculation-sheet'!T10*'Output-Calculation-sheet'!T64</f>
        <v>295.57664923488517</v>
      </c>
      <c r="U77" s="2">
        <f>U11/'Output-Calculation-sheet'!U10*'Output-Calculation-sheet'!U64</f>
        <v>324.182879238368</v>
      </c>
      <c r="V77" s="2">
        <f>V11/'Output-Calculation-sheet'!V10*'Output-Calculation-sheet'!V64</f>
        <v>152.75970584938142</v>
      </c>
      <c r="W77" s="2">
        <f>W11/'Output-Calculation-sheet'!W10*'Output-Calculation-sheet'!W64</f>
        <v>33.518211572025599</v>
      </c>
      <c r="X77" s="2">
        <f>X11/'Output-Calculation-sheet'!X10*'Output-Calculation-sheet'!X64</f>
        <v>12.550242016764578</v>
      </c>
      <c r="Y77" s="2">
        <f>Y11/'Output-Calculation-sheet'!Y10*'Output-Calculation-sheet'!Y64</f>
        <v>70.739715214614094</v>
      </c>
      <c r="AA77" s="2">
        <f t="shared" si="6"/>
        <v>12.562590783093386</v>
      </c>
    </row>
    <row r="78" spans="1:27" x14ac:dyDescent="0.25">
      <c r="A78" s="2">
        <v>2035</v>
      </c>
      <c r="B78" s="2">
        <f>B12/'Output-Calculation-sheet'!B11*'Output-Calculation-sheet'!B65</f>
        <v>757.93732766033008</v>
      </c>
      <c r="C78" s="2">
        <f>C12/'Output-Calculation-sheet'!C11*'Output-Calculation-sheet'!C65</f>
        <v>77.483543440694845</v>
      </c>
      <c r="D78" s="2">
        <f>D12/'Output-Calculation-sheet'!D11*'Output-Calculation-sheet'!D65</f>
        <v>2409.165969588943</v>
      </c>
      <c r="E78" s="2">
        <f>E12/'Output-Calculation-sheet'!E11*'Output-Calculation-sheet'!E65</f>
        <v>2249.389476134038</v>
      </c>
      <c r="F78" s="2">
        <f>F12/'Output-Calculation-sheet'!F11*'Output-Calculation-sheet'!F65</f>
        <v>532.13550205580111</v>
      </c>
      <c r="G78" s="2">
        <f>G12/'Output-Calculation-sheet'!G11*'Output-Calculation-sheet'!G65</f>
        <v>1053.4970758236191</v>
      </c>
      <c r="H78" s="2">
        <f>H12/'Output-Calculation-sheet'!H11*'Output-Calculation-sheet'!H65</f>
        <v>30.443766971005612</v>
      </c>
      <c r="I78" s="2">
        <f>I12/'Output-Calculation-sheet'!I11*'Output-Calculation-sheet'!I65</f>
        <v>698.65764336290056</v>
      </c>
      <c r="J78" s="2">
        <f>J12/'Output-Calculation-sheet'!J11*'Output-Calculation-sheet'!J65</f>
        <v>1019.4289305380743</v>
      </c>
      <c r="K78" s="2">
        <f>K12/'Output-Calculation-sheet'!K11*'Output-Calculation-sheet'!K65</f>
        <v>1272.5884788731805</v>
      </c>
      <c r="L78" s="2">
        <f>L12/'Output-Calculation-sheet'!L11*'Output-Calculation-sheet'!L65</f>
        <v>1073.6623806093589</v>
      </c>
      <c r="M78" s="2">
        <f>M12/'Output-Calculation-sheet'!M11*'Output-Calculation-sheet'!M65</f>
        <v>25.447628808033741</v>
      </c>
      <c r="N78" s="2">
        <f>N12/'Output-Calculation-sheet'!N11*'Output-Calculation-sheet'!N65</f>
        <v>20.656428155614094</v>
      </c>
      <c r="O78" s="2">
        <f>O12/'Output-Calculation-sheet'!O11*'Output-Calculation-sheet'!O65</f>
        <v>14.081163073870673</v>
      </c>
      <c r="P78" s="2">
        <f>P12/'Output-Calculation-sheet'!P11*'Output-Calculation-sheet'!P65</f>
        <v>589.06192598872792</v>
      </c>
      <c r="Q78" s="2">
        <f>Q12/'Output-Calculation-sheet'!Q11*'Output-Calculation-sheet'!Q65</f>
        <v>222.97429591956816</v>
      </c>
      <c r="R78" s="2">
        <f>R12/'Output-Calculation-sheet'!R11*'Output-Calculation-sheet'!R65</f>
        <v>1351.298974261138</v>
      </c>
      <c r="S78" s="2">
        <f>S12/'Output-Calculation-sheet'!S11*'Output-Calculation-sheet'!S65</f>
        <v>8.0385964903322975</v>
      </c>
      <c r="T78" s="2">
        <f>T12/'Output-Calculation-sheet'!T11*'Output-Calculation-sheet'!T65</f>
        <v>465.47337376049404</v>
      </c>
      <c r="U78" s="2">
        <f>U12/'Output-Calculation-sheet'!U11*'Output-Calculation-sheet'!U65</f>
        <v>318.92883858198763</v>
      </c>
      <c r="V78" s="2">
        <f>V12/'Output-Calculation-sheet'!V11*'Output-Calculation-sheet'!V65</f>
        <v>262.93002079684527</v>
      </c>
      <c r="W78" s="2">
        <f>W12/'Output-Calculation-sheet'!W11*'Output-Calculation-sheet'!W65</f>
        <v>124.33022360871985</v>
      </c>
      <c r="X78" s="2">
        <f>X12/'Output-Calculation-sheet'!X11*'Output-Calculation-sheet'!X65</f>
        <v>2.7262981764344891</v>
      </c>
      <c r="Y78" s="2">
        <f>Y12/'Output-Calculation-sheet'!Y11*'Output-Calculation-sheet'!Y65</f>
        <v>70.063867546904234</v>
      </c>
      <c r="AA78" s="2">
        <f t="shared" si="6"/>
        <v>14.650401730226616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2.1056066907293784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1.5425031753993816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3.6481098661287599E-3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35.258753265572906</v>
      </c>
      <c r="E89" s="2">
        <f>E12/'Output-Calculation-sheet'!E11*'Output-Calculation-sheet'!E74</f>
        <v>79.393788151602621</v>
      </c>
      <c r="F89" s="2">
        <f>F12/'Output-Calculation-sheet'!F11*'Output-Calculation-sheet'!F74</f>
        <v>35.246986358902312</v>
      </c>
      <c r="G89" s="2">
        <f>G12/'Output-Calculation-sheet'!G11*'Output-Calculation-sheet'!G74</f>
        <v>25.296223784526138</v>
      </c>
      <c r="H89" s="2">
        <f>H12/'Output-Calculation-sheet'!H11*'Output-Calculation-sheet'!H74</f>
        <v>4.0842188048035437</v>
      </c>
      <c r="I89" s="2">
        <f>I12/'Output-Calculation-sheet'!I11*'Output-Calculation-sheet'!I74</f>
        <v>22.752390118308547</v>
      </c>
      <c r="J89" s="2">
        <f>J12/'Output-Calculation-sheet'!J11*'Output-Calculation-sheet'!J74</f>
        <v>11.25866470185273</v>
      </c>
      <c r="K89" s="2">
        <f>K12/'Output-Calculation-sheet'!K11*'Output-Calculation-sheet'!K74</f>
        <v>16.771483372980679</v>
      </c>
      <c r="L89" s="2">
        <f>L12/'Output-Calculation-sheet'!L11*'Output-Calculation-sheet'!L74</f>
        <v>8.8906076657385267</v>
      </c>
      <c r="M89" s="2">
        <f>M12/'Output-Calculation-sheet'!M11*'Output-Calculation-sheet'!M74</f>
        <v>2.8103400119308386</v>
      </c>
      <c r="N89" s="2">
        <f>N12/'Output-Calculation-sheet'!N11*'Output-Calculation-sheet'!N74</f>
        <v>1.3810542325074608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26.792882072517244</v>
      </c>
      <c r="Q89" s="2">
        <f>Q12/'Output-Calculation-sheet'!Q11*'Output-Calculation-sheet'!Q74</f>
        <v>6.0500747777648547</v>
      </c>
      <c r="R89" s="2">
        <f>R12/'Output-Calculation-sheet'!R11*'Output-Calculation-sheet'!R74</f>
        <v>14.399494629475008</v>
      </c>
      <c r="S89" s="2">
        <f>S12/'Output-Calculation-sheet'!S11*'Output-Calculation-sheet'!S74</f>
        <v>1.5833359248241672</v>
      </c>
      <c r="T89" s="2">
        <f>T12/'Output-Calculation-sheet'!T11*'Output-Calculation-sheet'!T74</f>
        <v>3.1075745000495543</v>
      </c>
      <c r="U89" s="2">
        <f>U12/'Output-Calculation-sheet'!U11*'Output-Calculation-sheet'!U74</f>
        <v>7.7213505108846334</v>
      </c>
      <c r="V89" s="2">
        <f>V12/'Output-Calculation-sheet'!V11*'Output-Calculation-sheet'!V74</f>
        <v>0.59538357729840219</v>
      </c>
      <c r="W89" s="2">
        <f>W12/'Output-Calculation-sheet'!W11*'Output-Calculation-sheet'!W74</f>
        <v>3.6089302119426883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3.7189442065436342</v>
      </c>
      <c r="AA89" s="2">
        <f t="shared" si="7"/>
        <v>0.34675351317993863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9945239186.7096424</v>
      </c>
      <c r="C96" s="2">
        <f>C8/'Output-Calculation-sheet'!C7*'Output-Calculation-sheet'!C79</f>
        <v>2401612585.3966684</v>
      </c>
      <c r="D96" s="2">
        <f>D8/'Output-Calculation-sheet'!D7*'Output-Calculation-sheet'!D79</f>
        <v>1949742477.2471285</v>
      </c>
      <c r="E96" s="2">
        <f>E8/'Output-Calculation-sheet'!E7*'Output-Calculation-sheet'!E79</f>
        <v>7304986101.510253</v>
      </c>
      <c r="F96" s="2">
        <f>F8/'Output-Calculation-sheet'!F7*'Output-Calculation-sheet'!F79</f>
        <v>2130975468.7508562</v>
      </c>
      <c r="G96" s="2">
        <f>G8/'Output-Calculation-sheet'!G7*'Output-Calculation-sheet'!G79</f>
        <v>1367782521.421859</v>
      </c>
      <c r="H96" s="2">
        <f>H8/'Output-Calculation-sheet'!H7*'Output-Calculation-sheet'!H79</f>
        <v>1685062724.4314919</v>
      </c>
      <c r="I96" s="2">
        <f>I8/'Output-Calculation-sheet'!I7*'Output-Calculation-sheet'!I79</f>
        <v>983566369.96854424</v>
      </c>
      <c r="J96" s="2">
        <f>J8/'Output-Calculation-sheet'!J7*'Output-Calculation-sheet'!J79</f>
        <v>745348397.59033859</v>
      </c>
      <c r="K96" s="2">
        <f>K8/'Output-Calculation-sheet'!K7*'Output-Calculation-sheet'!K79</f>
        <v>934764704.7266537</v>
      </c>
      <c r="L96" s="2">
        <f>L8/'Output-Calculation-sheet'!L7*'Output-Calculation-sheet'!L79</f>
        <v>848606920.56807721</v>
      </c>
      <c r="M96" s="2">
        <f>M8/'Output-Calculation-sheet'!M7*'Output-Calculation-sheet'!M79</f>
        <v>1300185484.8128574</v>
      </c>
      <c r="N96" s="2">
        <f>N8/'Output-Calculation-sheet'!N7*'Output-Calculation-sheet'!N79</f>
        <v>845207282.27636468</v>
      </c>
      <c r="O96" s="2">
        <f>O8/'Output-Calculation-sheet'!O7*'Output-Calculation-sheet'!O79</f>
        <v>317139543.32478911</v>
      </c>
      <c r="P96" s="2">
        <f>P8/'Output-Calculation-sheet'!P7*'Output-Calculation-sheet'!P79</f>
        <v>1609712951.1771176</v>
      </c>
      <c r="Q96" s="2">
        <f>Q8/'Output-Calculation-sheet'!Q7*'Output-Calculation-sheet'!Q79</f>
        <v>683431520.03778696</v>
      </c>
      <c r="R96" s="2">
        <f>R8/'Output-Calculation-sheet'!R7*'Output-Calculation-sheet'!R79</f>
        <v>907106854.2328856</v>
      </c>
      <c r="S96" s="2">
        <f>S8/'Output-Calculation-sheet'!S7*'Output-Calculation-sheet'!S79</f>
        <v>511571475.91973662</v>
      </c>
      <c r="T96" s="2">
        <f>T8/'Output-Calculation-sheet'!T7*'Output-Calculation-sheet'!T79</f>
        <v>308620347.65174681</v>
      </c>
      <c r="U96" s="2">
        <f>U8/'Output-Calculation-sheet'!U7*'Output-Calculation-sheet'!U79</f>
        <v>242922926.06954122</v>
      </c>
      <c r="V96" s="2">
        <f>V8/'Output-Calculation-sheet'!V7*'Output-Calculation-sheet'!V79</f>
        <v>111493165.00379492</v>
      </c>
      <c r="W96" s="2">
        <f>W8/'Output-Calculation-sheet'!W7*'Output-Calculation-sheet'!W79</f>
        <v>343277377.45047492</v>
      </c>
      <c r="X96" s="2">
        <f>X8/'Output-Calculation-sheet'!X7*'Output-Calculation-sheet'!X79</f>
        <v>154824857.39022875</v>
      </c>
      <c r="Y96" s="2">
        <f>Y8/'Output-Calculation-sheet'!Y7*'Output-Calculation-sheet'!Y79</f>
        <v>213067487.68396136</v>
      </c>
      <c r="AA96" s="2">
        <f t="shared" si="8"/>
        <v>37.846248731352809</v>
      </c>
    </row>
    <row r="97" spans="1:27" x14ac:dyDescent="0.25">
      <c r="A97" s="2">
        <v>2032</v>
      </c>
      <c r="B97" s="2">
        <f>B9/'Output-Calculation-sheet'!B8*'Output-Calculation-sheet'!B80</f>
        <v>12803397103.200724</v>
      </c>
      <c r="C97" s="2">
        <f>C9/'Output-Calculation-sheet'!C8*'Output-Calculation-sheet'!C80</f>
        <v>3023935912.5528312</v>
      </c>
      <c r="D97" s="2">
        <f>D9/'Output-Calculation-sheet'!D8*'Output-Calculation-sheet'!D80</f>
        <v>2309948554.4752846</v>
      </c>
      <c r="E97" s="2">
        <f>E9/'Output-Calculation-sheet'!E8*'Output-Calculation-sheet'!E80</f>
        <v>9724555490.5151367</v>
      </c>
      <c r="F97" s="2">
        <f>F9/'Output-Calculation-sheet'!F8*'Output-Calculation-sheet'!F80</f>
        <v>2666806900.5479279</v>
      </c>
      <c r="G97" s="2">
        <f>G9/'Output-Calculation-sheet'!G8*'Output-Calculation-sheet'!G80</f>
        <v>1634077145.6691017</v>
      </c>
      <c r="H97" s="2">
        <f>H9/'Output-Calculation-sheet'!H8*'Output-Calculation-sheet'!H80</f>
        <v>2139593349.3312123</v>
      </c>
      <c r="I97" s="2">
        <f>I9/'Output-Calculation-sheet'!I8*'Output-Calculation-sheet'!I80</f>
        <v>1232401160.1462872</v>
      </c>
      <c r="J97" s="2">
        <f>J9/'Output-Calculation-sheet'!J8*'Output-Calculation-sheet'!J80</f>
        <v>920943456.68068385</v>
      </c>
      <c r="K97" s="2">
        <f>K9/'Output-Calculation-sheet'!K8*'Output-Calculation-sheet'!K80</f>
        <v>1135836032.1024642</v>
      </c>
      <c r="L97" s="2">
        <f>L9/'Output-Calculation-sheet'!L8*'Output-Calculation-sheet'!L80</f>
        <v>1095592689.7572505</v>
      </c>
      <c r="M97" s="2">
        <f>M9/'Output-Calculation-sheet'!M8*'Output-Calculation-sheet'!M80</f>
        <v>1687994222.4390583</v>
      </c>
      <c r="N97" s="2">
        <f>N9/'Output-Calculation-sheet'!N8*'Output-Calculation-sheet'!N80</f>
        <v>1060575183.2266874</v>
      </c>
      <c r="O97" s="2">
        <f>O9/'Output-Calculation-sheet'!O8*'Output-Calculation-sheet'!O80</f>
        <v>394234319.47103912</v>
      </c>
      <c r="P97" s="2">
        <f>P9/'Output-Calculation-sheet'!P8*'Output-Calculation-sheet'!P80</f>
        <v>1988322078.226126</v>
      </c>
      <c r="Q97" s="2">
        <f>Q9/'Output-Calculation-sheet'!Q8*'Output-Calculation-sheet'!Q80</f>
        <v>860018266.56467867</v>
      </c>
      <c r="R97" s="2">
        <f>R9/'Output-Calculation-sheet'!R8*'Output-Calculation-sheet'!R80</f>
        <v>1152430922.9971309</v>
      </c>
      <c r="S97" s="2">
        <f>S9/'Output-Calculation-sheet'!S8*'Output-Calculation-sheet'!S80</f>
        <v>641398600.44684374</v>
      </c>
      <c r="T97" s="2">
        <f>T9/'Output-Calculation-sheet'!T8*'Output-Calculation-sheet'!T80</f>
        <v>373995165.67640603</v>
      </c>
      <c r="U97" s="2">
        <f>U9/'Output-Calculation-sheet'!U8*'Output-Calculation-sheet'!U80</f>
        <v>297596564.27013367</v>
      </c>
      <c r="V97" s="2">
        <f>V9/'Output-Calculation-sheet'!V8*'Output-Calculation-sheet'!V80</f>
        <v>137268781.73771882</v>
      </c>
      <c r="W97" s="2">
        <f>W9/'Output-Calculation-sheet'!W8*'Output-Calculation-sheet'!W80</f>
        <v>424776876.35708052</v>
      </c>
      <c r="X97" s="2">
        <f>X9/'Output-Calculation-sheet'!X8*'Output-Calculation-sheet'!X80</f>
        <v>205732317.07570955</v>
      </c>
      <c r="Y97" s="2">
        <f>Y9/'Output-Calculation-sheet'!Y8*'Output-Calculation-sheet'!Y80</f>
        <v>270066154.36955744</v>
      </c>
      <c r="AA97" s="2">
        <f t="shared" si="8"/>
        <v>48.181497247837072</v>
      </c>
    </row>
    <row r="98" spans="1:27" x14ac:dyDescent="0.25">
      <c r="A98" s="2">
        <v>2033</v>
      </c>
      <c r="B98" s="2">
        <f>B10/'Output-Calculation-sheet'!B9*'Output-Calculation-sheet'!B81</f>
        <v>14993991315.010004</v>
      </c>
      <c r="C98" s="2">
        <f>C10/'Output-Calculation-sheet'!C9*'Output-Calculation-sheet'!C81</f>
        <v>3472025532.1068397</v>
      </c>
      <c r="D98" s="2">
        <f>D10/'Output-Calculation-sheet'!D9*'Output-Calculation-sheet'!D81</f>
        <v>2497752729.0680609</v>
      </c>
      <c r="E98" s="2">
        <f>E10/'Output-Calculation-sheet'!E9*'Output-Calculation-sheet'!E81</f>
        <v>11790357160.899019</v>
      </c>
      <c r="F98" s="2">
        <f>F10/'Output-Calculation-sheet'!F9*'Output-Calculation-sheet'!F81</f>
        <v>3037793279.593524</v>
      </c>
      <c r="G98" s="2">
        <f>G10/'Output-Calculation-sheet'!G9*'Output-Calculation-sheet'!G81</f>
        <v>1774744541.4333086</v>
      </c>
      <c r="H98" s="2">
        <f>H10/'Output-Calculation-sheet'!H9*'Output-Calculation-sheet'!H81</f>
        <v>2470719359.2592664</v>
      </c>
      <c r="I98" s="2">
        <f>I10/'Output-Calculation-sheet'!I9*'Output-Calculation-sheet'!I81</f>
        <v>1408040798.4080796</v>
      </c>
      <c r="J98" s="2">
        <f>J10/'Output-Calculation-sheet'!J9*'Output-Calculation-sheet'!J81</f>
        <v>1038699669.9440888</v>
      </c>
      <c r="K98" s="2">
        <f>K10/'Output-Calculation-sheet'!K9*'Output-Calculation-sheet'!K81</f>
        <v>1257814499.049957</v>
      </c>
      <c r="L98" s="2">
        <f>L10/'Output-Calculation-sheet'!L9*'Output-Calculation-sheet'!L81</f>
        <v>1289136836.0731914</v>
      </c>
      <c r="M98" s="2">
        <f>M10/'Output-Calculation-sheet'!M9*'Output-Calculation-sheet'!M81</f>
        <v>1997705674.4818664</v>
      </c>
      <c r="N98" s="2">
        <f>N10/'Output-Calculation-sheet'!N9*'Output-Calculation-sheet'!N81</f>
        <v>1214034296.350071</v>
      </c>
      <c r="O98" s="2">
        <f>O10/'Output-Calculation-sheet'!O9*'Output-Calculation-sheet'!O81</f>
        <v>447771689.48673254</v>
      </c>
      <c r="P98" s="2">
        <f>P10/'Output-Calculation-sheet'!P9*'Output-Calculation-sheet'!P81</f>
        <v>2221414621.9805388</v>
      </c>
      <c r="Q98" s="2">
        <f>Q10/'Output-Calculation-sheet'!Q9*'Output-Calculation-sheet'!Q81</f>
        <v>987046452.42813396</v>
      </c>
      <c r="R98" s="2">
        <f>R10/'Output-Calculation-sheet'!R9*'Output-Calculation-sheet'!R81</f>
        <v>1332293090.8080857</v>
      </c>
      <c r="S98" s="2">
        <f>S10/'Output-Calculation-sheet'!S9*'Output-Calculation-sheet'!S81</f>
        <v>731693712.30237877</v>
      </c>
      <c r="T98" s="2">
        <f>T10/'Output-Calculation-sheet'!T9*'Output-Calculation-sheet'!T81</f>
        <v>412245844.01932818</v>
      </c>
      <c r="U98" s="2">
        <f>U10/'Output-Calculation-sheet'!U9*'Output-Calculation-sheet'!U81</f>
        <v>331252156.02503312</v>
      </c>
      <c r="V98" s="2">
        <f>V10/'Output-Calculation-sheet'!V9*'Output-Calculation-sheet'!V81</f>
        <v>153848758.55237669</v>
      </c>
      <c r="W98" s="2">
        <f>W10/'Output-Calculation-sheet'!W9*'Output-Calculation-sheet'!W81</f>
        <v>475777940.46289128</v>
      </c>
      <c r="X98" s="2">
        <f>X10/'Output-Calculation-sheet'!X9*'Output-Calculation-sheet'!X81</f>
        <v>249419028.31485206</v>
      </c>
      <c r="Y98" s="2">
        <f>Y10/'Output-Calculation-sheet'!Y9*'Output-Calculation-sheet'!Y81</f>
        <v>310521272.46621758</v>
      </c>
      <c r="AA98" s="2">
        <f t="shared" si="8"/>
        <v>55.896100258523823</v>
      </c>
    </row>
    <row r="99" spans="1:27" x14ac:dyDescent="0.25">
      <c r="A99" s="2">
        <v>2034</v>
      </c>
      <c r="B99" s="2">
        <f>B11/'Output-Calculation-sheet'!B10*'Output-Calculation-sheet'!B82</f>
        <v>16367203214.688744</v>
      </c>
      <c r="C99" s="2">
        <f>C11/'Output-Calculation-sheet'!C10*'Output-Calculation-sheet'!C82</f>
        <v>3725719676.0037684</v>
      </c>
      <c r="D99" s="2">
        <f>D11/'Output-Calculation-sheet'!D10*'Output-Calculation-sheet'!D82</f>
        <v>2527252616.2428594</v>
      </c>
      <c r="E99" s="2">
        <f>E11/'Output-Calculation-sheet'!E10*'Output-Calculation-sheet'!E82</f>
        <v>13338419842.871918</v>
      </c>
      <c r="F99" s="2">
        <f>F11/'Output-Calculation-sheet'!F10*'Output-Calculation-sheet'!F82</f>
        <v>3228647051.7951083</v>
      </c>
      <c r="G99" s="2">
        <f>G11/'Output-Calculation-sheet'!G10*'Output-Calculation-sheet'!G82</f>
        <v>1796940120.7972939</v>
      </c>
      <c r="H99" s="2">
        <f>H11/'Output-Calculation-sheet'!H10*'Output-Calculation-sheet'!H82</f>
        <v>2659007100.4389277</v>
      </c>
      <c r="I99" s="2">
        <f>I11/'Output-Calculation-sheet'!I10*'Output-Calculation-sheet'!I82</f>
        <v>1503548522.8681374</v>
      </c>
      <c r="J99" s="2">
        <f>J11/'Output-Calculation-sheet'!J10*'Output-Calculation-sheet'!J82</f>
        <v>1096076399.4552822</v>
      </c>
      <c r="K99" s="2">
        <f>K11/'Output-Calculation-sheet'!K10*'Output-Calculation-sheet'!K82</f>
        <v>1301433023.6722455</v>
      </c>
      <c r="L99" s="2">
        <f>L11/'Output-Calculation-sheet'!L10*'Output-Calculation-sheet'!L82</f>
        <v>1416726315.0857267</v>
      </c>
      <c r="M99" s="2">
        <f>M11/'Output-Calculation-sheet'!M10*'Output-Calculation-sheet'!M82</f>
        <v>2208467280.7169733</v>
      </c>
      <c r="N99" s="2">
        <f>N11/'Output-Calculation-sheet'!N10*'Output-Calculation-sheet'!N82</f>
        <v>1299396551.2366269</v>
      </c>
      <c r="O99" s="2">
        <f>O11/'Output-Calculation-sheet'!O10*'Output-Calculation-sheet'!O82</f>
        <v>476225836.8504225</v>
      </c>
      <c r="P99" s="2">
        <f>P11/'Output-Calculation-sheet'!P10*'Output-Calculation-sheet'!P82</f>
        <v>2301910825.3500786</v>
      </c>
      <c r="Q99" s="2">
        <f>Q11/'Output-Calculation-sheet'!Q10*'Output-Calculation-sheet'!Q82</f>
        <v>1058851791.7522377</v>
      </c>
      <c r="R99" s="2">
        <f>R11/'Output-Calculation-sheet'!R10*'Output-Calculation-sheet'!R82</f>
        <v>1436307452.7178829</v>
      </c>
      <c r="S99" s="2">
        <f>S11/'Output-Calculation-sheet'!S10*'Output-Calculation-sheet'!S82</f>
        <v>778356198.74512827</v>
      </c>
      <c r="T99" s="2">
        <f>T11/'Output-Calculation-sheet'!T10*'Output-Calculation-sheet'!T82</f>
        <v>423845750.29038918</v>
      </c>
      <c r="U99" s="2">
        <f>U11/'Output-Calculation-sheet'!U10*'Output-Calculation-sheet'!U82</f>
        <v>343499685.06647384</v>
      </c>
      <c r="V99" s="2">
        <f>V11/'Output-Calculation-sheet'!V10*'Output-Calculation-sheet'!V82</f>
        <v>160902370.4234896</v>
      </c>
      <c r="W99" s="2">
        <f>W11/'Output-Calculation-sheet'!W10*'Output-Calculation-sheet'!W82</f>
        <v>494613706.65888655</v>
      </c>
      <c r="X99" s="2">
        <f>X11/'Output-Calculation-sheet'!X10*'Output-Calculation-sheet'!X82</f>
        <v>282690933.33591682</v>
      </c>
      <c r="Y99" s="2">
        <f>Y11/'Output-Calculation-sheet'!Y10*'Output-Calculation-sheet'!Y82</f>
        <v>331985772.77934289</v>
      </c>
      <c r="AA99" s="2">
        <f t="shared" si="8"/>
        <v>60.558028039843855</v>
      </c>
    </row>
    <row r="100" spans="1:27" x14ac:dyDescent="0.25">
      <c r="A100" s="2">
        <v>2035</v>
      </c>
      <c r="B100" s="2">
        <f>B12/'Output-Calculation-sheet'!B11*'Output-Calculation-sheet'!B83</f>
        <v>16903119178.774393</v>
      </c>
      <c r="C100" s="2">
        <f>C12/'Output-Calculation-sheet'!C11*'Output-Calculation-sheet'!C83</f>
        <v>3793115985.1884341</v>
      </c>
      <c r="D100" s="2">
        <f>D12/'Output-Calculation-sheet'!D11*'Output-Calculation-sheet'!D83</f>
        <v>2429795278.4787416</v>
      </c>
      <c r="E100" s="2">
        <f>E12/'Output-Calculation-sheet'!E11*'Output-Calculation-sheet'!E83</f>
        <v>14288593458.100573</v>
      </c>
      <c r="F100" s="2">
        <f>F12/'Output-Calculation-sheet'!F11*'Output-Calculation-sheet'!F83</f>
        <v>3250826614.6326966</v>
      </c>
      <c r="G100" s="2">
        <f>G12/'Output-Calculation-sheet'!G11*'Output-Calculation-sheet'!G83</f>
        <v>1722834946.3603158</v>
      </c>
      <c r="H100" s="2">
        <f>H12/'Output-Calculation-sheet'!H11*'Output-Calculation-sheet'!H83</f>
        <v>2707273445.3896866</v>
      </c>
      <c r="I100" s="2">
        <f>I12/'Output-Calculation-sheet'!I11*'Output-Calculation-sheet'!I83</f>
        <v>1523513693.7560112</v>
      </c>
      <c r="J100" s="2">
        <f>J12/'Output-Calculation-sheet'!J11*'Output-Calculation-sheet'!J83</f>
        <v>1098633261.4267848</v>
      </c>
      <c r="K100" s="2">
        <f>K12/'Output-Calculation-sheet'!K11*'Output-Calculation-sheet'!K83</f>
        <v>1277607811.147083</v>
      </c>
      <c r="L100" s="2">
        <f>L12/'Output-Calculation-sheet'!L11*'Output-Calculation-sheet'!L83</f>
        <v>1476083289.7482812</v>
      </c>
      <c r="M100" s="2">
        <f>M12/'Output-Calculation-sheet'!M11*'Output-Calculation-sheet'!M83</f>
        <v>2314840533.4072766</v>
      </c>
      <c r="N100" s="2">
        <f>N12/'Output-Calculation-sheet'!N11*'Output-Calculation-sheet'!N83</f>
        <v>1320207054.6045308</v>
      </c>
      <c r="O100" s="2">
        <f>O12/'Output-Calculation-sheet'!O11*'Output-Calculation-sheet'!O83</f>
        <v>481438007.00624186</v>
      </c>
      <c r="P100" s="2">
        <f>P12/'Output-Calculation-sheet'!P11*'Output-Calculation-sheet'!P83</f>
        <v>2247617877.3691812</v>
      </c>
      <c r="Q100" s="2">
        <f>Q12/'Output-Calculation-sheet'!Q11*'Output-Calculation-sheet'!Q83</f>
        <v>1077732611.5685489</v>
      </c>
      <c r="R100" s="2">
        <f>R12/'Output-Calculation-sheet'!R11*'Output-Calculation-sheet'!R83</f>
        <v>1465796555.8074086</v>
      </c>
      <c r="S100" s="2">
        <f>S12/'Output-Calculation-sheet'!S11*'Output-Calculation-sheet'!S83</f>
        <v>783832270.42051756</v>
      </c>
      <c r="T100" s="2">
        <f>T12/'Output-Calculation-sheet'!T11*'Output-Calculation-sheet'!T83</f>
        <v>412845223.39059049</v>
      </c>
      <c r="U100" s="2">
        <f>U12/'Output-Calculation-sheet'!U11*'Output-Calculation-sheet'!U83</f>
        <v>337029730.33738661</v>
      </c>
      <c r="V100" s="2">
        <f>V12/'Output-Calculation-sheet'!V11*'Output-Calculation-sheet'!V83</f>
        <v>159437917.01063344</v>
      </c>
      <c r="W100" s="2">
        <f>W12/'Output-Calculation-sheet'!W11*'Output-Calculation-sheet'!W83</f>
        <v>484802288.87183845</v>
      </c>
      <c r="X100" s="2">
        <f>X12/'Output-Calculation-sheet'!X11*'Output-Calculation-sheet'!X83</f>
        <v>304024329.64214849</v>
      </c>
      <c r="Y100" s="2">
        <f>Y12/'Output-Calculation-sheet'!Y11*'Output-Calculation-sheet'!Y83</f>
        <v>335127301.89302218</v>
      </c>
      <c r="AA100" s="2">
        <f t="shared" si="8"/>
        <v>62.196128664332328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2059.0617280980036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633.84306162586881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436.14571170302588</v>
      </c>
      <c r="N107" s="2">
        <f>N8/'Output-Calculation-sheet'!N7*'Output-Calculation-sheet'!N88</f>
        <v>171.46420108038262</v>
      </c>
      <c r="O107" s="2">
        <f>O8/'Output-Calculation-sheet'!O7*'Output-Calculation-sheet'!O88</f>
        <v>480.02218968037363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47.846091683653938</v>
      </c>
      <c r="Y107" s="2">
        <f>Y8/'Output-Calculation-sheet'!Y7*'Output-Calculation-sheet'!Y88</f>
        <v>0</v>
      </c>
      <c r="AA107" s="2">
        <f t="shared" si="9"/>
        <v>3.8283829838713088</v>
      </c>
    </row>
    <row r="108" spans="1:27" x14ac:dyDescent="0.25">
      <c r="A108" s="2">
        <v>2032</v>
      </c>
      <c r="B108" s="2">
        <f>B9/'Output-Calculation-sheet'!B8*'Output-Calculation-sheet'!B89</f>
        <v>974.5085523120207</v>
      </c>
      <c r="C108" s="2">
        <f>C9/'Output-Calculation-sheet'!C8*'Output-Calculation-sheet'!C89</f>
        <v>3700.1945145635318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996.65530384684223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685.79584306541494</v>
      </c>
      <c r="N108" s="2">
        <f>N9/'Output-Calculation-sheet'!N8*'Output-Calculation-sheet'!N89</f>
        <v>481.4472105971243</v>
      </c>
      <c r="O108" s="2">
        <f>O9/'Output-Calculation-sheet'!O8*'Output-Calculation-sheet'!O89</f>
        <v>718.84499983915077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220.78572919204905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75.233230324453842</v>
      </c>
      <c r="Y108" s="2">
        <f>Y9/'Output-Calculation-sheet'!Y8*'Output-Calculation-sheet'!Y89</f>
        <v>0</v>
      </c>
      <c r="AA108" s="2">
        <f t="shared" si="9"/>
        <v>7.8534653837405877</v>
      </c>
    </row>
    <row r="109" spans="1:27" x14ac:dyDescent="0.25">
      <c r="A109" s="2">
        <v>2033</v>
      </c>
      <c r="B109" s="2">
        <f>B10/'Output-Calculation-sheet'!B9*'Output-Calculation-sheet'!B90</f>
        <v>5212.8100099682242</v>
      </c>
      <c r="C109" s="2">
        <f>C10/'Output-Calculation-sheet'!C9*'Output-Calculation-sheet'!C90</f>
        <v>4948.2405666385757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1523.2219158950038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1048.124917366074</v>
      </c>
      <c r="N109" s="2">
        <f>N10/'Output-Calculation-sheet'!N9*'Output-Calculation-sheet'!N90</f>
        <v>824.10945134311237</v>
      </c>
      <c r="O109" s="2">
        <f>O10/'Output-Calculation-sheet'!O9*'Output-Calculation-sheet'!O90</f>
        <v>961.30567604740293</v>
      </c>
      <c r="P109" s="2">
        <f>P10/'Output-Calculation-sheet'!P9*'Output-Calculation-sheet'!P90</f>
        <v>0</v>
      </c>
      <c r="Q109" s="2">
        <f>Q10/'Output-Calculation-sheet'!Q9*'Output-Calculation-sheet'!Q90</f>
        <v>180.51151389746963</v>
      </c>
      <c r="R109" s="2">
        <f>R10/'Output-Calculation-sheet'!R9*'Output-Calculation-sheet'!R90</f>
        <v>0</v>
      </c>
      <c r="S109" s="2">
        <f>S10/'Output-Calculation-sheet'!S9*'Output-Calculation-sheet'!S90</f>
        <v>413.35698877240878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114.98148335885946</v>
      </c>
      <c r="Y109" s="2">
        <f>Y10/'Output-Calculation-sheet'!Y9*'Output-Calculation-sheet'!Y90</f>
        <v>0</v>
      </c>
      <c r="AA109" s="2">
        <f t="shared" si="9"/>
        <v>15.22666252328713</v>
      </c>
    </row>
    <row r="110" spans="1:27" x14ac:dyDescent="0.25">
      <c r="A110" s="2">
        <v>2034</v>
      </c>
      <c r="B110" s="2">
        <f>B11/'Output-Calculation-sheet'!B10*'Output-Calculation-sheet'!B91</f>
        <v>9675.0619723948057</v>
      </c>
      <c r="C110" s="2">
        <f>C11/'Output-Calculation-sheet'!C10*'Output-Calculation-sheet'!C91</f>
        <v>6632.9009432209896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1884.7501195212944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1296.8915052132979</v>
      </c>
      <c r="N110" s="2">
        <f>N11/'Output-Calculation-sheet'!N10*'Output-Calculation-sheet'!N91</f>
        <v>1168.4145241331876</v>
      </c>
      <c r="O110" s="2">
        <f>O11/'Output-Calculation-sheet'!O10*'Output-Calculation-sheet'!O91</f>
        <v>1288.5883860149513</v>
      </c>
      <c r="P110" s="2">
        <f>P11/'Output-Calculation-sheet'!P10*'Output-Calculation-sheet'!P91</f>
        <v>294.38448739226106</v>
      </c>
      <c r="Q110" s="2">
        <f>Q11/'Output-Calculation-sheet'!Q10*'Output-Calculation-sheet'!Q91</f>
        <v>651.45182745561385</v>
      </c>
      <c r="R110" s="2">
        <f>R11/'Output-Calculation-sheet'!R10*'Output-Calculation-sheet'!R91</f>
        <v>0</v>
      </c>
      <c r="S110" s="2">
        <f>S11/'Output-Calculation-sheet'!S10*'Output-Calculation-sheet'!S91</f>
        <v>669.77554088789748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142.27169543842362</v>
      </c>
      <c r="Y110" s="2">
        <f>Y11/'Output-Calculation-sheet'!Y10*'Output-Calculation-sheet'!Y91</f>
        <v>22.882484583611969</v>
      </c>
      <c r="AA110" s="2">
        <f t="shared" si="9"/>
        <v>23.727373486256337</v>
      </c>
    </row>
    <row r="111" spans="1:27" x14ac:dyDescent="0.25">
      <c r="A111" s="2">
        <v>2035</v>
      </c>
      <c r="B111" s="2">
        <f>B12/'Output-Calculation-sheet'!B11*'Output-Calculation-sheet'!B92</f>
        <v>15067.33618341114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2517.2501066890482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884.16510839306909</v>
      </c>
      <c r="Q111" s="2">
        <f>Q12/'Output-Calculation-sheet'!Q11*'Output-Calculation-sheet'!Q92</f>
        <v>1024.8826673533663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68.726088936926359</v>
      </c>
      <c r="AA111" s="2">
        <f t="shared" si="9"/>
        <v>35.382155348525906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9679611746.3027496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2978217814.3412871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2068628914.993412</v>
      </c>
      <c r="N118" s="2">
        <f>N8/'Output-Calculation-sheet'!N7*'Output-Calculation-sheet'!N97</f>
        <v>1623283880.3411727</v>
      </c>
      <c r="O118" s="2">
        <f>O8/'Output-Calculation-sheet'!O7*'Output-Calculation-sheet'!O97</f>
        <v>1080151749.6695607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587608000.49423277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222958934.70338011</v>
      </c>
      <c r="Y118" s="2">
        <f>Y8/'Output-Calculation-sheet'!Y7*'Output-Calculation-sheet'!Y97</f>
        <v>0</v>
      </c>
      <c r="AA118" s="2">
        <f t="shared" si="10"/>
        <v>19891.676552657504</v>
      </c>
    </row>
    <row r="119" spans="1:27" x14ac:dyDescent="0.25">
      <c r="A119" s="2">
        <v>2032</v>
      </c>
      <c r="B119" s="2">
        <f>B9/'Output-Calculation-sheet'!B8*'Output-Calculation-sheet'!B98</f>
        <v>7310813783.2656784</v>
      </c>
      <c r="C119" s="2">
        <f>C9/'Output-Calculation-sheet'!C8*'Output-Calculation-sheet'!C98</f>
        <v>5810782462.2659321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3473698757.6879492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2424654741.6050782</v>
      </c>
      <c r="N119" s="2">
        <f>N9/'Output-Calculation-sheet'!N8*'Output-Calculation-sheet'!N98</f>
        <v>1637431975.5344675</v>
      </c>
      <c r="O119" s="2">
        <f>O9/'Output-Calculation-sheet'!O8*'Output-Calculation-sheet'!O98</f>
        <v>1135319520.0576484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679756895.12843835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259446749.83821401</v>
      </c>
      <c r="Y119" s="2">
        <f>Y9/'Output-Calculation-sheet'!Y8*'Output-Calculation-sheet'!Y98</f>
        <v>0</v>
      </c>
      <c r="AA119" s="2">
        <f t="shared" si="10"/>
        <v>22731.904885383403</v>
      </c>
    </row>
    <row r="120" spans="1:27" x14ac:dyDescent="0.25">
      <c r="A120" s="2">
        <v>2033</v>
      </c>
      <c r="B120" s="2">
        <f>B10/'Output-Calculation-sheet'!B9*'Output-Calculation-sheet'!B99</f>
        <v>7499321789.3484106</v>
      </c>
      <c r="C120" s="2">
        <f>C10/'Output-Calculation-sheet'!C9*'Output-Calculation-sheet'!C99</f>
        <v>6164908173.5058641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2021327351.6543524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1430712291.4237533</v>
      </c>
      <c r="N120" s="2">
        <f>N10/'Output-Calculation-sheet'!N9*'Output-Calculation-sheet'!N99</f>
        <v>1426553527.8752036</v>
      </c>
      <c r="O120" s="2">
        <f>O10/'Output-Calculation-sheet'!O9*'Output-Calculation-sheet'!O99</f>
        <v>1206956230.3658404</v>
      </c>
      <c r="P120" s="2">
        <f>P10/'Output-Calculation-sheet'!P9*'Output-Calculation-sheet'!P99</f>
        <v>0</v>
      </c>
      <c r="Q120" s="2">
        <f>Q10/'Output-Calculation-sheet'!Q9*'Output-Calculation-sheet'!Q99</f>
        <v>8720180.9343087543</v>
      </c>
      <c r="R120" s="2">
        <f>R10/'Output-Calculation-sheet'!R9*'Output-Calculation-sheet'!R99</f>
        <v>0</v>
      </c>
      <c r="S120" s="2">
        <f>S10/'Output-Calculation-sheet'!S9*'Output-Calculation-sheet'!S99</f>
        <v>597487511.28274882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-9.8700128924106882E-9</v>
      </c>
      <c r="W120" s="2">
        <f>W10/'Output-Calculation-sheet'!W9*'Output-Calculation-sheet'!W99</f>
        <v>0</v>
      </c>
      <c r="X120" s="2">
        <f>X10/'Output-Calculation-sheet'!X9*'Output-Calculation-sheet'!X99</f>
        <v>142862969.94204488</v>
      </c>
      <c r="Y120" s="2">
        <f>Y10/'Output-Calculation-sheet'!Y9*'Output-Calculation-sheet'!Y99</f>
        <v>0</v>
      </c>
      <c r="AA120" s="2">
        <f t="shared" si="10"/>
        <v>20498.850026332522</v>
      </c>
    </row>
    <row r="121" spans="1:27" x14ac:dyDescent="0.25">
      <c r="A121" s="2">
        <v>2034</v>
      </c>
      <c r="B121" s="2">
        <f>B11/'Output-Calculation-sheet'!B10*'Output-Calculation-sheet'!B100</f>
        <v>7253890976.8749733</v>
      </c>
      <c r="C121" s="2">
        <f>C11/'Output-Calculation-sheet'!C10*'Output-Calculation-sheet'!C100</f>
        <v>870760742.07687628</v>
      </c>
      <c r="D121" s="2">
        <f>D11/'Output-Calculation-sheet'!D10*'Output-Calculation-sheet'!D100</f>
        <v>0</v>
      </c>
      <c r="E121" s="2">
        <f>E11/'Output-Calculation-sheet'!E10*'Output-Calculation-sheet'!E100</f>
        <v>1007213670.3581456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2292794440.8519416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836892064.1393683</v>
      </c>
      <c r="M121" s="2">
        <f>M11/'Output-Calculation-sheet'!M10*'Output-Calculation-sheet'!M100</f>
        <v>1631773033.1298146</v>
      </c>
      <c r="N121" s="2">
        <f>N11/'Output-Calculation-sheet'!N10*'Output-Calculation-sheet'!N100</f>
        <v>1087866620.250668</v>
      </c>
      <c r="O121" s="2">
        <f>O11/'Output-Calculation-sheet'!O10*'Output-Calculation-sheet'!O100</f>
        <v>170802583.66144454</v>
      </c>
      <c r="P121" s="2">
        <f>P11/'Output-Calculation-sheet'!P10*'Output-Calculation-sheet'!P100</f>
        <v>0</v>
      </c>
      <c r="Q121" s="2">
        <f>Q11/'Output-Calculation-sheet'!Q10*'Output-Calculation-sheet'!Q100</f>
        <v>369645732.34004408</v>
      </c>
      <c r="R121" s="2">
        <f>R11/'Output-Calculation-sheet'!R10*'Output-Calculation-sheet'!R100</f>
        <v>0</v>
      </c>
      <c r="S121" s="2">
        <f>S11/'Output-Calculation-sheet'!S10*'Output-Calculation-sheet'!S100</f>
        <v>406745275.91163743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160333117.96907076</v>
      </c>
      <c r="Y121" s="2">
        <f>Y11/'Output-Calculation-sheet'!Y10*'Output-Calculation-sheet'!Y100</f>
        <v>23268737.951632094</v>
      </c>
      <c r="AA121" s="2">
        <f t="shared" si="10"/>
        <v>16111.986995515615</v>
      </c>
    </row>
    <row r="122" spans="1:27" x14ac:dyDescent="0.25">
      <c r="A122" s="2">
        <v>2035</v>
      </c>
      <c r="B122" s="2">
        <f>B12/'Output-Calculation-sheet'!B11*'Output-Calculation-sheet'!B101</f>
        <v>3891407930.0845928</v>
      </c>
      <c r="C122" s="2">
        <f>C12/'Output-Calculation-sheet'!C11*'Output-Calculation-sheet'!C101</f>
        <v>338280612.65718478</v>
      </c>
      <c r="D122" s="2">
        <f>D12/'Output-Calculation-sheet'!D11*'Output-Calculation-sheet'!D101</f>
        <v>0</v>
      </c>
      <c r="E122" s="2">
        <f>E12/'Output-Calculation-sheet'!E11*'Output-Calculation-sheet'!E101</f>
        <v>3030200762.3349047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573598103.70456195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2103256982.5555403</v>
      </c>
      <c r="M122" s="2">
        <f>M12/'Output-Calculation-sheet'!M11*'Output-Calculation-sheet'!M101</f>
        <v>526193871.61686999</v>
      </c>
      <c r="N122" s="2">
        <f>N12/'Output-Calculation-sheet'!N11*'Output-Calculation-sheet'!N101</f>
        <v>437381118.3839221</v>
      </c>
      <c r="O122" s="2">
        <f>O12/'Output-Calculation-sheet'!O11*'Output-Calculation-sheet'!O101</f>
        <v>59979169.050966986</v>
      </c>
      <c r="P122" s="2">
        <f>P12/'Output-Calculation-sheet'!P11*'Output-Calculation-sheet'!P101</f>
        <v>136125830.43492201</v>
      </c>
      <c r="Q122" s="2">
        <f>Q12/'Output-Calculation-sheet'!Q11*'Output-Calculation-sheet'!Q101</f>
        <v>672507799.06752121</v>
      </c>
      <c r="R122" s="2">
        <f>R12/'Output-Calculation-sheet'!R11*'Output-Calculation-sheet'!R101</f>
        <v>0</v>
      </c>
      <c r="S122" s="2">
        <f>S12/'Output-Calculation-sheet'!S11*'Output-Calculation-sheet'!S101</f>
        <v>182717678.22587505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16896913.521021385</v>
      </c>
      <c r="Y122" s="2">
        <f>Y12/'Output-Calculation-sheet'!Y11*'Output-Calculation-sheet'!Y101</f>
        <v>77939535.196208984</v>
      </c>
      <c r="AA122" s="2">
        <f t="shared" si="10"/>
        <v>12046.486306834093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2693701485.5689077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2703300184.0136838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177061.56151035649</v>
      </c>
    </row>
    <row r="130" spans="1:27" x14ac:dyDescent="0.25">
      <c r="A130" s="2">
        <v>2032</v>
      </c>
      <c r="B130" s="2">
        <f>B9/'Output-Calculation-sheet'!B8*'Output-Calculation-sheet'!B107</f>
        <v>66158676882.970497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2406863400.3394971</v>
      </c>
      <c r="O130" s="2">
        <f>O9/'Output-Calculation-sheet'!O8*'Output-Calculation-sheet'!O107</f>
        <v>0</v>
      </c>
      <c r="P130" s="2">
        <f>P9/'Output-Calculation-sheet'!P8*'Output-Calculation-sheet'!P107</f>
        <v>7344210861.6443653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2138402976.0067968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232994.01289288851</v>
      </c>
    </row>
    <row r="131" spans="1:27" x14ac:dyDescent="0.25">
      <c r="A131" s="2">
        <v>2033</v>
      </c>
      <c r="B131" s="2">
        <f>B10/'Output-Calculation-sheet'!B9*'Output-Calculation-sheet'!B108</f>
        <v>55942658448.01561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2049605692.0509465</v>
      </c>
      <c r="O131" s="2">
        <f>O10/'Output-Calculation-sheet'!O9*'Output-Calculation-sheet'!O108</f>
        <v>0</v>
      </c>
      <c r="P131" s="2">
        <f>P10/'Output-Calculation-sheet'!P9*'Output-Calculation-sheet'!P108</f>
        <v>9428021291.7636242</v>
      </c>
      <c r="Q131" s="2">
        <f>Q10/'Output-Calculation-sheet'!Q9*'Output-Calculation-sheet'!Q108</f>
        <v>7953228292.1225615</v>
      </c>
      <c r="R131" s="2">
        <f>R10/'Output-Calculation-sheet'!R9*'Output-Calculation-sheet'!R108</f>
        <v>8923703067.4531536</v>
      </c>
      <c r="S131" s="2">
        <f>S10/'Output-Calculation-sheet'!S9*'Output-Calculation-sheet'!S108</f>
        <v>1988109074.7003343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267005.14923642861</v>
      </c>
    </row>
    <row r="132" spans="1:27" x14ac:dyDescent="0.25">
      <c r="A132" s="2">
        <v>2034</v>
      </c>
      <c r="B132" s="2">
        <f>B11/'Output-Calculation-sheet'!B10*'Output-Calculation-sheet'!B109</f>
        <v>42160150571.031998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40702666804.453262</v>
      </c>
      <c r="F132" s="2">
        <f>F11/'Output-Calculation-sheet'!F10*'Output-Calculation-sheet'!F109</f>
        <v>26845545670.568523</v>
      </c>
      <c r="G132" s="2">
        <f>G11/'Output-Calculation-sheet'!G10*'Output-Calculation-sheet'!G109</f>
        <v>18809881491.46455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16726456185.561071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12452655366.003349</v>
      </c>
      <c r="M132" s="2">
        <f>M11/'Output-Calculation-sheet'!M10*'Output-Calculation-sheet'!M109</f>
        <v>0</v>
      </c>
      <c r="N132" s="2">
        <f>N11/'Output-Calculation-sheet'!N10*'Output-Calculation-sheet'!N109</f>
        <v>1637446738.4442582</v>
      </c>
      <c r="O132" s="2">
        <f>O11/'Output-Calculation-sheet'!O10*'Output-Calculation-sheet'!O109</f>
        <v>0</v>
      </c>
      <c r="P132" s="2">
        <f>P11/'Output-Calculation-sheet'!P10*'Output-Calculation-sheet'!P109</f>
        <v>9303525985.6532097</v>
      </c>
      <c r="Q132" s="2">
        <f>Q11/'Output-Calculation-sheet'!Q10*'Output-Calculation-sheet'!Q109</f>
        <v>5990699034.1712856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1123796373.7734129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3342734336.9829874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1171385886.3982897</v>
      </c>
      <c r="AA132" s="2">
        <f t="shared" si="11"/>
        <v>286199.06081533886</v>
      </c>
    </row>
    <row r="133" spans="1:27" x14ac:dyDescent="0.25">
      <c r="A133" s="2">
        <v>2035</v>
      </c>
      <c r="B133" s="2">
        <f>B12/'Output-Calculation-sheet'!B11*'Output-Calculation-sheet'!B110</f>
        <v>11192851751.147396</v>
      </c>
      <c r="C133" s="2">
        <f>C12/'Output-Calculation-sheet'!C11*'Output-Calculation-sheet'!C110</f>
        <v>0</v>
      </c>
      <c r="D133" s="2">
        <f>D12/'Output-Calculation-sheet'!D11*'Output-Calculation-sheet'!D110</f>
        <v>53232913493.625633</v>
      </c>
      <c r="E133" s="2">
        <f>E12/'Output-Calculation-sheet'!E11*'Output-Calculation-sheet'!E110</f>
        <v>28327428069.344704</v>
      </c>
      <c r="F133" s="2">
        <f>F12/'Output-Calculation-sheet'!F11*'Output-Calculation-sheet'!F110</f>
        <v>28159742635.518978</v>
      </c>
      <c r="G133" s="2">
        <f>G12/'Output-Calculation-sheet'!G11*'Output-Calculation-sheet'!G110</f>
        <v>19078148475.958523</v>
      </c>
      <c r="H133" s="2">
        <f>H12/'Output-Calculation-sheet'!H11*'Output-Calculation-sheet'!H110</f>
        <v>0</v>
      </c>
      <c r="I133" s="2">
        <f>I12/'Output-Calculation-sheet'!I11*'Output-Calculation-sheet'!I110</f>
        <v>17505922169.025311</v>
      </c>
      <c r="J133" s="2">
        <f>J12/'Output-Calculation-sheet'!J11*'Output-Calculation-sheet'!J110</f>
        <v>17536058928.126556</v>
      </c>
      <c r="K133" s="2">
        <f>K12/'Output-Calculation-sheet'!K11*'Output-Calculation-sheet'!K110</f>
        <v>17206112637.595169</v>
      </c>
      <c r="L133" s="2">
        <f>L12/'Output-Calculation-sheet'!L11*'Output-Calculation-sheet'!L110</f>
        <v>12366088451.998369</v>
      </c>
      <c r="M133" s="2">
        <f>M12/'Output-Calculation-sheet'!M11*'Output-Calculation-sheet'!M110</f>
        <v>0</v>
      </c>
      <c r="N133" s="2">
        <f>N12/'Output-Calculation-sheet'!N11*'Output-Calculation-sheet'!N110</f>
        <v>66429.03036924504</v>
      </c>
      <c r="O133" s="2">
        <f>O12/'Output-Calculation-sheet'!O11*'Output-Calculation-sheet'!O110</f>
        <v>0</v>
      </c>
      <c r="P133" s="2">
        <f>P12/'Output-Calculation-sheet'!P11*'Output-Calculation-sheet'!P110</f>
        <v>6178938739.7211637</v>
      </c>
      <c r="Q133" s="2">
        <f>Q12/'Output-Calculation-sheet'!Q11*'Output-Calculation-sheet'!Q110</f>
        <v>3929663929.893117</v>
      </c>
      <c r="R133" s="2">
        <f>R12/'Output-Calculation-sheet'!R11*'Output-Calculation-sheet'!R110</f>
        <v>11444762729.948511</v>
      </c>
      <c r="S133" s="2">
        <f>S12/'Output-Calculation-sheet'!S11*'Output-Calculation-sheet'!S110</f>
        <v>11013858.860028638</v>
      </c>
      <c r="T133" s="2">
        <f>T12/'Output-Calculation-sheet'!T11*'Output-Calculation-sheet'!T110</f>
        <v>4275819187.9080405</v>
      </c>
      <c r="U133" s="2">
        <f>U12/'Output-Calculation-sheet'!U11*'Output-Calculation-sheet'!U110</f>
        <v>3379391123.9380603</v>
      </c>
      <c r="V133" s="2">
        <f>V12/'Output-Calculation-sheet'!V11*'Output-Calculation-sheet'!V110</f>
        <v>2943049194.0056028</v>
      </c>
      <c r="W133" s="2">
        <f>W12/'Output-Calculation-sheet'!W11*'Output-Calculation-sheet'!W110</f>
        <v>2478394929.2844157</v>
      </c>
      <c r="X133" s="2">
        <f>X12/'Output-Calculation-sheet'!X11*'Output-Calculation-sheet'!X110</f>
        <v>0</v>
      </c>
      <c r="Y133" s="2">
        <f>Y12/'Output-Calculation-sheet'!Y11*'Output-Calculation-sheet'!Y110</f>
        <v>939038916.18969321</v>
      </c>
      <c r="AA133" s="2">
        <f t="shared" si="11"/>
        <v>240185.40565111968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17520390449.80521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5507969436.9164753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3786095959.843636</v>
      </c>
      <c r="N140" s="2">
        <f>N8/'Output-Calculation-sheet'!N7*'Output-Calculation-sheet'!N115</f>
        <v>1429401291.6714816</v>
      </c>
      <c r="O140" s="2">
        <f>O8/'Output-Calculation-sheet'!O7*'Output-Calculation-sheet'!O115</f>
        <v>4204808398.9767985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411124564.36109555</v>
      </c>
      <c r="Y140" s="2">
        <f>Y8/'Output-Calculation-sheet'!Y7*'Output-Calculation-sheet'!Y115</f>
        <v>0</v>
      </c>
      <c r="AA140" s="2">
        <f t="shared" si="12"/>
        <v>32859.790101574697</v>
      </c>
    </row>
    <row r="141" spans="1:27" x14ac:dyDescent="0.25">
      <c r="A141" s="2">
        <v>2032</v>
      </c>
      <c r="B141" s="2">
        <f>B9/'Output-Calculation-sheet'!B8*'Output-Calculation-sheet'!B116</f>
        <v>7563463351.8234663</v>
      </c>
      <c r="C141" s="2">
        <f>C9/'Output-Calculation-sheet'!C8*'Output-Calculation-sheet'!C116</f>
        <v>32376095314.693935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8440307650.0040245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5794964695.1147327</v>
      </c>
      <c r="N141" s="2">
        <f>N9/'Output-Calculation-sheet'!N8*'Output-Calculation-sheet'!N116</f>
        <v>4023224244.7088695</v>
      </c>
      <c r="O141" s="2">
        <f>O9/'Output-Calculation-sheet'!O8*'Output-Calculation-sheet'!O116</f>
        <v>6284390383.3015928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1802042369.1137581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630761544.52841079</v>
      </c>
      <c r="Y141" s="2">
        <f>Y9/'Output-Calculation-sheet'!Y8*'Output-Calculation-sheet'!Y116</f>
        <v>0</v>
      </c>
      <c r="AA141" s="2">
        <f t="shared" si="12"/>
        <v>66915.249553288784</v>
      </c>
    </row>
    <row r="142" spans="1:27" x14ac:dyDescent="0.25">
      <c r="A142" s="2">
        <v>2033</v>
      </c>
      <c r="B142" s="2">
        <f>B10/'Output-Calculation-sheet'!B9*'Output-Calculation-sheet'!B117</f>
        <v>40588157316.575958</v>
      </c>
      <c r="C142" s="2">
        <f>C10/'Output-Calculation-sheet'!C9*'Output-Calculation-sheet'!C117</f>
        <v>42859417014.252235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13273878022.623085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9121637865.267765</v>
      </c>
      <c r="N142" s="2">
        <f>N10/'Output-Calculation-sheet'!N9*'Output-Calculation-sheet'!N117</f>
        <v>6880924607.2696295</v>
      </c>
      <c r="O142" s="2">
        <f>O10/'Output-Calculation-sheet'!O9*'Output-Calculation-sheet'!O117</f>
        <v>8318468903.4388514</v>
      </c>
      <c r="P142" s="2">
        <f>P10/'Output-Calculation-sheet'!P9*'Output-Calculation-sheet'!P117</f>
        <v>0</v>
      </c>
      <c r="Q142" s="2">
        <f>Q10/'Output-Calculation-sheet'!Q9*'Output-Calculation-sheet'!Q117</f>
        <v>1314161330.0595837</v>
      </c>
      <c r="R142" s="2">
        <f>R10/'Output-Calculation-sheet'!R9*'Output-Calculation-sheet'!R117</f>
        <v>0</v>
      </c>
      <c r="S142" s="2">
        <f>S10/'Output-Calculation-sheet'!S9*'Output-Calculation-sheet'!S117</f>
        <v>3345820366.367672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999986793.09511602</v>
      </c>
      <c r="Y142" s="2">
        <f>Y10/'Output-Calculation-sheet'!Y9*'Output-Calculation-sheet'!Y117</f>
        <v>0</v>
      </c>
      <c r="AA142" s="2">
        <f t="shared" si="12"/>
        <v>126702.4522189499</v>
      </c>
    </row>
    <row r="143" spans="1:27" x14ac:dyDescent="0.25">
      <c r="A143" s="2">
        <v>2034</v>
      </c>
      <c r="B143" s="2">
        <f>B11/'Output-Calculation-sheet'!B10*'Output-Calculation-sheet'!B118</f>
        <v>75730912357.57872</v>
      </c>
      <c r="C143" s="2">
        <f>C11/'Output-Calculation-sheet'!C10*'Output-Calculation-sheet'!C118</f>
        <v>58104212262.615868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16106776714.591915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11062313304.876751</v>
      </c>
      <c r="N143" s="2">
        <f>N11/'Output-Calculation-sheet'!N10*'Output-Calculation-sheet'!N118</f>
        <v>9733948283.6811199</v>
      </c>
      <c r="O143" s="2">
        <f>O11/'Output-Calculation-sheet'!O10*'Output-Calculation-sheet'!O118</f>
        <v>11288034261.490973</v>
      </c>
      <c r="P143" s="2">
        <f>P11/'Output-Calculation-sheet'!P10*'Output-Calculation-sheet'!P118</f>
        <v>2038021257.433183</v>
      </c>
      <c r="Q143" s="2">
        <f>Q11/'Output-Calculation-sheet'!Q10*'Output-Calculation-sheet'!Q118</f>
        <v>4798462420.3159876</v>
      </c>
      <c r="R143" s="2">
        <f>R11/'Output-Calculation-sheet'!R10*'Output-Calculation-sheet'!R118</f>
        <v>0</v>
      </c>
      <c r="S143" s="2">
        <f>S11/'Output-Calculation-sheet'!S10*'Output-Calculation-sheet'!S118</f>
        <v>5604797177.4237986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1214473689.0025799</v>
      </c>
      <c r="Y143" s="2">
        <f>Y11/'Output-Calculation-sheet'!Y10*'Output-Calculation-sheet'!Y118</f>
        <v>142318385.52309826</v>
      </c>
      <c r="AA143" s="2">
        <f t="shared" si="12"/>
        <v>195824.27011453401</v>
      </c>
    </row>
    <row r="144" spans="1:27" x14ac:dyDescent="0.25">
      <c r="A144" s="2">
        <v>2035</v>
      </c>
      <c r="B144" s="2">
        <f>B12/'Output-Calculation-sheet'!B11*'Output-Calculation-sheet'!B119</f>
        <v>126681620065.87262</v>
      </c>
      <c r="C144" s="2">
        <f>C12/'Output-Calculation-sheet'!C11*'Output-Calculation-sheet'!C119</f>
        <v>67046483603.77317</v>
      </c>
      <c r="D144" s="2">
        <f>D12/'Output-Calculation-sheet'!D11*'Output-Calculation-sheet'!D119</f>
        <v>0</v>
      </c>
      <c r="E144" s="2">
        <f>E12/'Output-Calculation-sheet'!E11*'Output-Calculation-sheet'!E119</f>
        <v>15285064893.191338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20350179732.909916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13901290662.215654</v>
      </c>
      <c r="N144" s="2">
        <f>N12/'Output-Calculation-sheet'!N11*'Output-Calculation-sheet'!N119</f>
        <v>13720471349.084703</v>
      </c>
      <c r="O144" s="2">
        <f>O12/'Output-Calculation-sheet'!O11*'Output-Calculation-sheet'!O119</f>
        <v>13027717833.473282</v>
      </c>
      <c r="P144" s="2">
        <f>P12/'Output-Calculation-sheet'!P11*'Output-Calculation-sheet'!P119</f>
        <v>6308807666.6812372</v>
      </c>
      <c r="Q144" s="2">
        <f>Q12/'Output-Calculation-sheet'!Q11*'Output-Calculation-sheet'!Q119</f>
        <v>7674460564.8618956</v>
      </c>
      <c r="R144" s="2">
        <f>R12/'Output-Calculation-sheet'!R11*'Output-Calculation-sheet'!R119</f>
        <v>0</v>
      </c>
      <c r="S144" s="2">
        <f>S12/'Output-Calculation-sheet'!S11*'Output-Calculation-sheet'!S119</f>
        <v>7907235025.3292599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1553108222.1548347</v>
      </c>
      <c r="Y144" s="2">
        <f>Y12/'Output-Calculation-sheet'!Y11*'Output-Calculation-sheet'!Y119</f>
        <v>437986158.27314252</v>
      </c>
      <c r="AA144" s="2">
        <f t="shared" si="12"/>
        <v>293894.42577782104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2753295520.0111165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600380412.81903052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71350.887281064992</v>
      </c>
    </row>
    <row r="155" spans="1:27" x14ac:dyDescent="0.25">
      <c r="A155" s="2">
        <v>2035</v>
      </c>
      <c r="B155" s="2">
        <f>B12/'Output-Calculation-sheet'!B11*'Output-Calculation-sheet'!B128</f>
        <v>1664427687.9348984</v>
      </c>
      <c r="C155" s="2">
        <f>C12/'Output-Calculation-sheet'!C11*'Output-Calculation-sheet'!C128</f>
        <v>99487343.988897443</v>
      </c>
      <c r="D155" s="2">
        <f>D12/'Output-Calculation-sheet'!D11*'Output-Calculation-sheet'!D128</f>
        <v>7271606609.1020603</v>
      </c>
      <c r="E155" s="2">
        <f>E12/'Output-Calculation-sheet'!E11*'Output-Calculation-sheet'!E128</f>
        <v>1702890274.7712965</v>
      </c>
      <c r="F155" s="2">
        <f>F12/'Output-Calculation-sheet'!F11*'Output-Calculation-sheet'!F128</f>
        <v>2942447793.7297974</v>
      </c>
      <c r="G155" s="2">
        <f>G12/'Output-Calculation-sheet'!G11*'Output-Calculation-sheet'!G128</f>
        <v>2777843682.356925</v>
      </c>
      <c r="H155" s="2">
        <f>H12/'Output-Calculation-sheet'!H11*'Output-Calculation-sheet'!H128</f>
        <v>152939515.68422967</v>
      </c>
      <c r="I155" s="2">
        <f>I12/'Output-Calculation-sheet'!I11*'Output-Calculation-sheet'!I128</f>
        <v>2385466757.8240204</v>
      </c>
      <c r="J155" s="2">
        <f>J12/'Output-Calculation-sheet'!J11*'Output-Calculation-sheet'!J128</f>
        <v>1724292645.7505002</v>
      </c>
      <c r="K155" s="2">
        <f>K12/'Output-Calculation-sheet'!K11*'Output-Calculation-sheet'!K128</f>
        <v>1908300375.1370978</v>
      </c>
      <c r="L155" s="2">
        <f>L12/'Output-Calculation-sheet'!L11*'Output-Calculation-sheet'!L128</f>
        <v>836865194.38265717</v>
      </c>
      <c r="M155" s="2">
        <f>M12/'Output-Calculation-sheet'!M11*'Output-Calculation-sheet'!M128</f>
        <v>120609718.24312882</v>
      </c>
      <c r="N155" s="2">
        <f>N12/'Output-Calculation-sheet'!N11*'Output-Calculation-sheet'!N128</f>
        <v>110235652.16494925</v>
      </c>
      <c r="O155" s="2">
        <f>O12/'Output-Calculation-sheet'!O11*'Output-Calculation-sheet'!O128</f>
        <v>24140804.742014866</v>
      </c>
      <c r="P155" s="2">
        <f>P12/'Output-Calculation-sheet'!P11*'Output-Calculation-sheet'!P128</f>
        <v>449701684.34704208</v>
      </c>
      <c r="Q155" s="2">
        <f>Q12/'Output-Calculation-sheet'!Q11*'Output-Calculation-sheet'!Q128</f>
        <v>548317551.09985542</v>
      </c>
      <c r="R155" s="2">
        <f>R12/'Output-Calculation-sheet'!R11*'Output-Calculation-sheet'!R128</f>
        <v>982630993.18267238</v>
      </c>
      <c r="S155" s="2">
        <f>S12/'Output-Calculation-sheet'!S11*'Output-Calculation-sheet'!S128</f>
        <v>71562002.127559394</v>
      </c>
      <c r="T155" s="2">
        <f>T12/'Output-Calculation-sheet'!T11*'Output-Calculation-sheet'!T128</f>
        <v>269479848.67824721</v>
      </c>
      <c r="U155" s="2">
        <f>U12/'Output-Calculation-sheet'!U11*'Output-Calculation-sheet'!U128</f>
        <v>620585402.13865185</v>
      </c>
      <c r="V155" s="2">
        <f>V12/'Output-Calculation-sheet'!V11*'Output-Calculation-sheet'!V128</f>
        <v>92565624.375631511</v>
      </c>
      <c r="W155" s="2">
        <f>W12/'Output-Calculation-sheet'!W11*'Output-Calculation-sheet'!W128</f>
        <v>186622240.86617544</v>
      </c>
      <c r="X155" s="2">
        <f>X12/'Output-Calculation-sheet'!X11*'Output-Calculation-sheet'!X128</f>
        <v>3965384.203566242</v>
      </c>
      <c r="Y155" s="2">
        <f>Y12/'Output-Calculation-sheet'!Y11*'Output-Calculation-sheet'!Y128</f>
        <v>102607173.1119983</v>
      </c>
      <c r="AA155" s="2">
        <f t="shared" si="13"/>
        <v>27049.591959943875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6054.7848326899111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1834.0671328715712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1274.0158481988899</v>
      </c>
      <c r="N19" s="2">
        <f>N8/'Output-Calculation-sheet'!N7*'Output-Calculation-sheet'!N25</f>
        <v>1059.8306341964983</v>
      </c>
      <c r="O19" s="2">
        <f>O8/'Output-Calculation-sheet'!O7*'Output-Calculation-sheet'!O25</f>
        <v>665.15828129518457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137.88395435433188</v>
      </c>
      <c r="Y19" s="2">
        <f>Y8/'Output-Calculation-sheet'!Y7*'Output-Calculation-sheet'!Y25</f>
        <v>0</v>
      </c>
      <c r="AA19" s="2">
        <f t="shared" si="0"/>
        <v>12.80277422544979</v>
      </c>
    </row>
    <row r="20" spans="1:27" x14ac:dyDescent="0.25">
      <c r="A20" s="2">
        <v>2032</v>
      </c>
      <c r="B20" s="2">
        <f>B9/'Output-Calculation-sheet'!B8*'Output-Calculation-sheet'!B26</f>
        <v>6562.0990754947097</v>
      </c>
      <c r="C20" s="2">
        <f>C9/'Output-Calculation-sheet'!C8*'Output-Calculation-sheet'!C26</f>
        <v>3598.4949282724592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2160.1942736386609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1509.5586668488959</v>
      </c>
      <c r="N20" s="2">
        <f>N9/'Output-Calculation-sheet'!N8*'Output-Calculation-sheet'!N26</f>
        <v>1046.165291373813</v>
      </c>
      <c r="O20" s="2">
        <f>O9/'Output-Calculation-sheet'!O8*'Output-Calculation-sheet'!O26</f>
        <v>703.07922129275948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496.25186542537267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164.26202995255562</v>
      </c>
      <c r="Y20" s="2">
        <f>Y9/'Output-Calculation-sheet'!Y8*'Output-Calculation-sheet'!Y26</f>
        <v>0</v>
      </c>
      <c r="AA20" s="2">
        <f t="shared" si="0"/>
        <v>16.240105352299224</v>
      </c>
    </row>
    <row r="21" spans="1:27" x14ac:dyDescent="0.25">
      <c r="A21" s="2">
        <v>2033</v>
      </c>
      <c r="B21" s="2">
        <f>B10/'Output-Calculation-sheet'!B9*'Output-Calculation-sheet'!B27</f>
        <v>6268.0447937248809</v>
      </c>
      <c r="C21" s="2">
        <f>C10/'Output-Calculation-sheet'!C9*'Output-Calculation-sheet'!C27</f>
        <v>3852.6055951837388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1263.179965306615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894.08919982704458</v>
      </c>
      <c r="N21" s="2">
        <f>N10/'Output-Calculation-sheet'!N9*'Output-Calculation-sheet'!N27</f>
        <v>905.44171134251769</v>
      </c>
      <c r="O21" s="2">
        <f>O10/'Output-Calculation-sheet'!O9*'Output-Calculation-sheet'!O27</f>
        <v>754.25757846212991</v>
      </c>
      <c r="P21" s="2">
        <f>P10/'Output-Calculation-sheet'!P9*'Output-Calculation-sheet'!P27</f>
        <v>0</v>
      </c>
      <c r="Q21" s="2">
        <f>Q10/'Output-Calculation-sheet'!Q9*'Output-Calculation-sheet'!Q27</f>
        <v>10.551452381680024</v>
      </c>
      <c r="R21" s="2">
        <f>R10/'Output-Calculation-sheet'!R9*'Output-Calculation-sheet'!R27</f>
        <v>0</v>
      </c>
      <c r="S21" s="2">
        <f>S10/'Output-Calculation-sheet'!S9*'Output-Calculation-sheet'!S27</f>
        <v>431.13781952751083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89.278649152924388</v>
      </c>
      <c r="Y21" s="2">
        <f>Y10/'Output-Calculation-sheet'!Y9*'Output-Calculation-sheet'!Y27</f>
        <v>0</v>
      </c>
      <c r="AA21" s="2">
        <f t="shared" si="0"/>
        <v>14.468586764909041</v>
      </c>
    </row>
    <row r="22" spans="1:27" x14ac:dyDescent="0.25">
      <c r="A22" s="2">
        <v>2034</v>
      </c>
      <c r="B22" s="2">
        <f>B11/'Output-Calculation-sheet'!B10*'Output-Calculation-sheet'!B28</f>
        <v>5472.548771362859</v>
      </c>
      <c r="C22" s="2">
        <f>C11/'Output-Calculation-sheet'!C10*'Output-Calculation-sheet'!C28</f>
        <v>552.01314932691878</v>
      </c>
      <c r="D22" s="2">
        <f>D11/'Output-Calculation-sheet'!D10*'Output-Calculation-sheet'!D28</f>
        <v>0</v>
      </c>
      <c r="E22" s="2">
        <f>E11/'Output-Calculation-sheet'!E10*'Output-Calculation-sheet'!E28</f>
        <v>1832.9819377691342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1453.4938705708453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1111.640157180213</v>
      </c>
      <c r="M22" s="2">
        <f>M11/'Output-Calculation-sheet'!M10*'Output-Calculation-sheet'!M28</f>
        <v>1034.4460474280893</v>
      </c>
      <c r="N22" s="2">
        <f>N11/'Output-Calculation-sheet'!N10*'Output-Calculation-sheet'!N28</f>
        <v>691.53308440838111</v>
      </c>
      <c r="O22" s="2">
        <f>O11/'Output-Calculation-sheet'!O10*'Output-Calculation-sheet'!O28</f>
        <v>108.27866394018905</v>
      </c>
      <c r="P22" s="2">
        <f>P11/'Output-Calculation-sheet'!P10*'Output-Calculation-sheet'!P28</f>
        <v>0</v>
      </c>
      <c r="Q22" s="2">
        <f>Q11/'Output-Calculation-sheet'!Q10*'Output-Calculation-sheet'!Q28</f>
        <v>355.9548081441306</v>
      </c>
      <c r="R22" s="2">
        <f>R11/'Output-Calculation-sheet'!R10*'Output-Calculation-sheet'!R28</f>
        <v>0</v>
      </c>
      <c r="S22" s="2">
        <f>S11/'Output-Calculation-sheet'!S10*'Output-Calculation-sheet'!S28</f>
        <v>258.93192577949333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101.64152654862899</v>
      </c>
      <c r="Y22" s="2">
        <f>Y11/'Output-Calculation-sheet'!Y10*'Output-Calculation-sheet'!Y28</f>
        <v>41.431957067812668</v>
      </c>
      <c r="AA22" s="2">
        <f t="shared" si="0"/>
        <v>13.014895899526694</v>
      </c>
    </row>
    <row r="23" spans="1:27" x14ac:dyDescent="0.25">
      <c r="A23" s="2">
        <v>2035</v>
      </c>
      <c r="B23" s="2">
        <f>B12/'Output-Calculation-sheet'!B11*'Output-Calculation-sheet'!B29</f>
        <v>2518.8366652248806</v>
      </c>
      <c r="C23" s="2">
        <f>C12/'Output-Calculation-sheet'!C11*'Output-Calculation-sheet'!C29</f>
        <v>218.96070519792906</v>
      </c>
      <c r="D23" s="2">
        <f>D12/'Output-Calculation-sheet'!D11*'Output-Calculation-sheet'!D29</f>
        <v>0</v>
      </c>
      <c r="E23" s="2">
        <f>E12/'Output-Calculation-sheet'!E11*'Output-Calculation-sheet'!E29</f>
        <v>3477.034441181032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371.28093775443688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2333.2473323759027</v>
      </c>
      <c r="M23" s="2">
        <f>M12/'Output-Calculation-sheet'!M11*'Output-Calculation-sheet'!M29</f>
        <v>340.59607479240009</v>
      </c>
      <c r="N23" s="2">
        <f>N12/'Output-Calculation-sheet'!N11*'Output-Calculation-sheet'!N29</f>
        <v>283.10995837737494</v>
      </c>
      <c r="O23" s="2">
        <f>O12/'Output-Calculation-sheet'!O11*'Output-Calculation-sheet'!O29</f>
        <v>38.824143921701207</v>
      </c>
      <c r="P23" s="2">
        <f>P12/'Output-Calculation-sheet'!P11*'Output-Calculation-sheet'!P29</f>
        <v>137.49039600163402</v>
      </c>
      <c r="Q23" s="2">
        <f>Q12/'Output-Calculation-sheet'!Q11*'Output-Calculation-sheet'!Q29</f>
        <v>517.08673473192573</v>
      </c>
      <c r="R23" s="2">
        <f>R12/'Output-Calculation-sheet'!R11*'Output-Calculation-sheet'!R29</f>
        <v>0</v>
      </c>
      <c r="S23" s="2">
        <f>S12/'Output-Calculation-sheet'!S11*'Output-Calculation-sheet'!S29</f>
        <v>118.26968571425544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10.937113497456911</v>
      </c>
      <c r="Y23" s="2">
        <f>Y12/'Output-Calculation-sheet'!Y11*'Output-Calculation-sheet'!Y29</f>
        <v>95.014075756051383</v>
      </c>
      <c r="AA23" s="2">
        <f t="shared" si="0"/>
        <v>10.460688264526981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1208.1845043314672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47.369838319473814</v>
      </c>
    </row>
    <row r="31" spans="1:27" x14ac:dyDescent="0.25">
      <c r="A31" s="2">
        <v>2032</v>
      </c>
      <c r="B31" s="2">
        <f>B9/'Output-Calculation-sheet'!B8*'Output-Calculation-sheet'!B17</f>
        <v>27589.781794053077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1078.7895455434111</v>
      </c>
      <c r="O31" s="2">
        <f>O9/'Output-Calculation-sheet'!O8*'Output-Calculation-sheet'!O17</f>
        <v>0</v>
      </c>
      <c r="P31" s="2">
        <f>P9/'Output-Calculation-sheet'!P8*'Output-Calculation-sheet'!P17</f>
        <v>2696.2669904260642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892.87934524836055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63.211471634557022</v>
      </c>
    </row>
    <row r="32" spans="1:27" x14ac:dyDescent="0.25">
      <c r="A32" s="2">
        <v>2033</v>
      </c>
      <c r="B32" s="2">
        <f>B10/'Output-Calculation-sheet'!B9*'Output-Calculation-sheet'!B18</f>
        <v>22673.175191156708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3549.97860817128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917.70110583919541</v>
      </c>
      <c r="O32" s="2">
        <f>O10/'Output-Calculation-sheet'!O9*'Output-Calculation-sheet'!O18</f>
        <v>0</v>
      </c>
      <c r="P32" s="2">
        <f>P10/'Output-Calculation-sheet'!P9*'Output-Calculation-sheet'!P18</f>
        <v>3653.40376286842</v>
      </c>
      <c r="Q32" s="2">
        <f>Q10/'Output-Calculation-sheet'!Q9*'Output-Calculation-sheet'!Q18</f>
        <v>3382.7173863050016</v>
      </c>
      <c r="R32" s="2">
        <f>R10/'Output-Calculation-sheet'!R9*'Output-Calculation-sheet'!R18</f>
        <v>2623.3988520900748</v>
      </c>
      <c r="S32" s="2">
        <f>S10/'Output-Calculation-sheet'!S9*'Output-Calculation-sheet'!S18</f>
        <v>834.83675107896681</v>
      </c>
      <c r="T32" s="2">
        <f>T10/'Output-Calculation-sheet'!T9*'Output-Calculation-sheet'!T18</f>
        <v>765.98978509715846</v>
      </c>
      <c r="U32" s="2">
        <f>U10/'Output-Calculation-sheet'!U9*'Output-Calculation-sheet'!U18</f>
        <v>846.76781820003055</v>
      </c>
      <c r="V32" s="2">
        <f>V10/'Output-Calculation-sheet'!V9*'Output-Calculation-sheet'!V18</f>
        <v>625.00326697773937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361.84374193788562</v>
      </c>
      <c r="AA32" s="2">
        <f t="shared" si="1"/>
        <v>72.080316420711483</v>
      </c>
    </row>
    <row r="33" spans="1:27" x14ac:dyDescent="0.25">
      <c r="A33" s="2">
        <v>2034</v>
      </c>
      <c r="B33" s="2">
        <f>B11/'Output-Calculation-sheet'!B10*'Output-Calculation-sheet'!B19</f>
        <v>16542.064348090051</v>
      </c>
      <c r="C33" s="2">
        <f>C11/'Output-Calculation-sheet'!C10*'Output-Calculation-sheet'!C19</f>
        <v>0</v>
      </c>
      <c r="D33" s="2">
        <f>D11/'Output-Calculation-sheet'!D10*'Output-Calculation-sheet'!D19</f>
        <v>11001.186123199537</v>
      </c>
      <c r="E33" s="2">
        <f>E11/'Output-Calculation-sheet'!E10*'Output-Calculation-sheet'!E19</f>
        <v>13638.693121838251</v>
      </c>
      <c r="F33" s="2">
        <f>F11/'Output-Calculation-sheet'!F10*'Output-Calculation-sheet'!F19</f>
        <v>6244.9212019313636</v>
      </c>
      <c r="G33" s="2">
        <f>G11/'Output-Calculation-sheet'!G10*'Output-Calculation-sheet'!G19</f>
        <v>3720.1878544530523</v>
      </c>
      <c r="H33" s="2">
        <f>H11/'Output-Calculation-sheet'!H10*'Output-Calculation-sheet'!H19</f>
        <v>0</v>
      </c>
      <c r="I33" s="2">
        <f>I11/'Output-Calculation-sheet'!I10*'Output-Calculation-sheet'!I19</f>
        <v>4086.5344057477027</v>
      </c>
      <c r="J33" s="2">
        <f>J11/'Output-Calculation-sheet'!J10*'Output-Calculation-sheet'!J19</f>
        <v>3455.6400902804135</v>
      </c>
      <c r="K33" s="2">
        <f>K11/'Output-Calculation-sheet'!K10*'Output-Calculation-sheet'!K19</f>
        <v>4793.0542720214016</v>
      </c>
      <c r="L33" s="2">
        <f>L11/'Output-Calculation-sheet'!L10*'Output-Calculation-sheet'!L19</f>
        <v>3898.2904791923402</v>
      </c>
      <c r="M33" s="2">
        <f>M11/'Output-Calculation-sheet'!M10*'Output-Calculation-sheet'!M19</f>
        <v>0</v>
      </c>
      <c r="N33" s="2">
        <f>N11/'Output-Calculation-sheet'!N10*'Output-Calculation-sheet'!N19</f>
        <v>739.95671953056865</v>
      </c>
      <c r="O33" s="2">
        <f>O11/'Output-Calculation-sheet'!O10*'Output-Calculation-sheet'!O19</f>
        <v>0</v>
      </c>
      <c r="P33" s="2">
        <f>P11/'Output-Calculation-sheet'!P10*'Output-Calculation-sheet'!P19</f>
        <v>3662.9063278939493</v>
      </c>
      <c r="Q33" s="2">
        <f>Q11/'Output-Calculation-sheet'!Q10*'Output-Calculation-sheet'!Q19</f>
        <v>2333.8989300664871</v>
      </c>
      <c r="R33" s="2">
        <f>R11/'Output-Calculation-sheet'!R10*'Output-Calculation-sheet'!R19</f>
        <v>3462.6346868769356</v>
      </c>
      <c r="S33" s="2">
        <f>S11/'Output-Calculation-sheet'!S10*'Output-Calculation-sheet'!S19</f>
        <v>470.3897877404857</v>
      </c>
      <c r="T33" s="2">
        <f>T11/'Output-Calculation-sheet'!T10*'Output-Calculation-sheet'!T19</f>
        <v>1015.7893880747048</v>
      </c>
      <c r="U33" s="2">
        <f>U11/'Output-Calculation-sheet'!U10*'Output-Calculation-sheet'!U19</f>
        <v>1098.6325681958278</v>
      </c>
      <c r="V33" s="2">
        <f>V11/'Output-Calculation-sheet'!V10*'Output-Calculation-sheet'!V19</f>
        <v>796.7824958174001</v>
      </c>
      <c r="W33" s="2">
        <f>W11/'Output-Calculation-sheet'!W10*'Output-Calculation-sheet'!W19</f>
        <v>496.11362588010627</v>
      </c>
      <c r="X33" s="2">
        <f>X11/'Output-Calculation-sheet'!X10*'Output-Calculation-sheet'!X19</f>
        <v>0</v>
      </c>
      <c r="Y33" s="2">
        <f>Y11/'Output-Calculation-sheet'!Y10*'Output-Calculation-sheet'!Y19</f>
        <v>406.17542872307541</v>
      </c>
      <c r="AA33" s="2">
        <f t="shared" si="1"/>
        <v>81.863851855553648</v>
      </c>
    </row>
    <row r="34" spans="1:27" x14ac:dyDescent="0.25">
      <c r="A34" s="2">
        <v>2035</v>
      </c>
      <c r="B34" s="2">
        <f>B12/'Output-Calculation-sheet'!B11*'Output-Calculation-sheet'!B20</f>
        <v>4310.1577081472142</v>
      </c>
      <c r="C34" s="2">
        <f>C12/'Output-Calculation-sheet'!C11*'Output-Calculation-sheet'!C20</f>
        <v>0</v>
      </c>
      <c r="D34" s="2">
        <f>D12/'Output-Calculation-sheet'!D11*'Output-Calculation-sheet'!D20</f>
        <v>11286.06826956137</v>
      </c>
      <c r="E34" s="2">
        <f>E12/'Output-Calculation-sheet'!E11*'Output-Calculation-sheet'!E20</f>
        <v>7367.2872070405801</v>
      </c>
      <c r="F34" s="2">
        <f>F12/'Output-Calculation-sheet'!F11*'Output-Calculation-sheet'!F20</f>
        <v>7013.507555309292</v>
      </c>
      <c r="G34" s="2">
        <f>G12/'Output-Calculation-sheet'!G11*'Output-Calculation-sheet'!G20</f>
        <v>3784.0346436759573</v>
      </c>
      <c r="H34" s="2">
        <f>H12/'Output-Calculation-sheet'!H11*'Output-Calculation-sheet'!H20</f>
        <v>0</v>
      </c>
      <c r="I34" s="2">
        <f>I12/'Output-Calculation-sheet'!I11*'Output-Calculation-sheet'!I20</f>
        <v>4206.8056009686679</v>
      </c>
      <c r="J34" s="2">
        <f>J12/'Output-Calculation-sheet'!J11*'Output-Calculation-sheet'!J20</f>
        <v>3901.2437504847053</v>
      </c>
      <c r="K34" s="2">
        <f>K12/'Output-Calculation-sheet'!K11*'Output-Calculation-sheet'!K20</f>
        <v>5200.7448213575153</v>
      </c>
      <c r="L34" s="2">
        <f>L12/'Output-Calculation-sheet'!L11*'Output-Calculation-sheet'!L20</f>
        <v>4140.6530298793587</v>
      </c>
      <c r="M34" s="2">
        <f>M12/'Output-Calculation-sheet'!M11*'Output-Calculation-sheet'!M20</f>
        <v>0</v>
      </c>
      <c r="N34" s="2">
        <f>N12/'Output-Calculation-sheet'!N11*'Output-Calculation-sheet'!N20</f>
        <v>3.0568713691834407E-2</v>
      </c>
      <c r="O34" s="2">
        <f>O12/'Output-Calculation-sheet'!O11*'Output-Calculation-sheet'!O20</f>
        <v>0</v>
      </c>
      <c r="P34" s="2">
        <f>P12/'Output-Calculation-sheet'!P11*'Output-Calculation-sheet'!P20</f>
        <v>2128.9555611352284</v>
      </c>
      <c r="Q34" s="2">
        <f>Q12/'Output-Calculation-sheet'!Q11*'Output-Calculation-sheet'!Q20</f>
        <v>1431.5994271134339</v>
      </c>
      <c r="R34" s="2">
        <f>R12/'Output-Calculation-sheet'!R11*'Output-Calculation-sheet'!R20</f>
        <v>3973.0997382894716</v>
      </c>
      <c r="S34" s="2">
        <f>S12/'Output-Calculation-sheet'!S11*'Output-Calculation-sheet'!S20</f>
        <v>4.7070228459337722</v>
      </c>
      <c r="T34" s="2">
        <f>T12/'Output-Calculation-sheet'!T11*'Output-Calculation-sheet'!T20</f>
        <v>1204.3129807809496</v>
      </c>
      <c r="U34" s="2">
        <f>U12/'Output-Calculation-sheet'!U11*'Output-Calculation-sheet'!U20</f>
        <v>1109.2629498021911</v>
      </c>
      <c r="V34" s="2">
        <f>V12/'Output-Calculation-sheet'!V11*'Output-Calculation-sheet'!V20</f>
        <v>1091.8379022400029</v>
      </c>
      <c r="W34" s="2">
        <f>W12/'Output-Calculation-sheet'!W11*'Output-Calculation-sheet'!W20</f>
        <v>592.11387384284967</v>
      </c>
      <c r="X34" s="2">
        <f>X12/'Output-Calculation-sheet'!X11*'Output-Calculation-sheet'!X20</f>
        <v>0</v>
      </c>
      <c r="Y34" s="2">
        <f>Y12/'Output-Calculation-sheet'!Y11*'Output-Calculation-sheet'!Y20</f>
        <v>270.47364482546709</v>
      </c>
      <c r="AA34" s="2">
        <f t="shared" si="1"/>
        <v>63.016896256013887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2.4778965784437623E-2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4.538078451912563E-3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2.9317044236350186E-2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7.0610240242199598E-2</v>
      </c>
      <c r="E45" s="2">
        <f>E12/'Output-Calculation-sheet'!E11*'Output-Calculation-sheet'!E38*0.0114</f>
        <v>0.16834911792251128</v>
      </c>
      <c r="F45" s="2">
        <f>F12/'Output-Calculation-sheet'!F11*'Output-Calculation-sheet'!F38*0.0114</f>
        <v>7.0586675480829267E-2</v>
      </c>
      <c r="G45" s="2">
        <f>G12/'Output-Calculation-sheet'!G11*'Output-Calculation-sheet'!G38*0.0114</f>
        <v>5.065897892623094E-2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4.5564621081105323E-2</v>
      </c>
      <c r="J45" s="2">
        <f>J12/'Output-Calculation-sheet'!J11*'Output-Calculation-sheet'!J38*0.0114</f>
        <v>2.2546940710476544E-2</v>
      </c>
      <c r="K45" s="2">
        <f>K12/'Output-Calculation-sheet'!K11*'Output-Calculation-sheet'!K38*0.0114</f>
        <v>4.47827696861317E-2</v>
      </c>
      <c r="L45" s="2">
        <f>L12/'Output-Calculation-sheet'!L11*'Output-Calculation-sheet'!L38*0.0114</f>
        <v>1.7804598433997926E-2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4.599105587050091E-2</v>
      </c>
      <c r="Q45" s="2">
        <f>Q12/'Output-Calculation-sheet'!Q11*'Output-Calculation-sheet'!Q38*0.0114</f>
        <v>1.4539274159476404E-2</v>
      </c>
      <c r="R45" s="2">
        <f>R12/'Output-Calculation-sheet'!R11*'Output-Calculation-sheet'!R38*0.0114</f>
        <v>2.883686123259107E-2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5.3342761733021467E-3</v>
      </c>
      <c r="U45" s="2">
        <f>U12/'Output-Calculation-sheet'!U11*'Output-Calculation-sheet'!U38*0.0114</f>
        <v>1.3916707984968002E-2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6.1948733458744671E-3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7.1497627899019499E-3</v>
      </c>
      <c r="AA45" s="2">
        <f t="shared" si="2"/>
        <v>0.9489674202861037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0.17591129588282256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232.59475632236092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0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21.702808572375112</v>
      </c>
      <c r="AA54" s="2">
        <f t="shared" si="3"/>
        <v>5.7294558002956544</v>
      </c>
    </row>
    <row r="55" spans="1:27" x14ac:dyDescent="0.25">
      <c r="A55" s="2">
        <v>2034</v>
      </c>
      <c r="B55" s="2">
        <f>B11/'Output-Calculation-sheet'!B10*'Output-Calculation-sheet'!B46</f>
        <v>2161.7867601321718</v>
      </c>
      <c r="C55" s="2">
        <f>C11/'Output-Calculation-sheet'!C10*'Output-Calculation-sheet'!C46</f>
        <v>0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360.40564267658226</v>
      </c>
      <c r="G55" s="2">
        <f>G11/'Output-Calculation-sheet'!G10*'Output-Calculation-sheet'!G46</f>
        <v>4062.446232553852</v>
      </c>
      <c r="H55" s="2">
        <f>H11/'Output-Calculation-sheet'!H10*'Output-Calculation-sheet'!H46</f>
        <v>736.97189390485687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1671.6804120433951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546.22817444120233</v>
      </c>
      <c r="N55" s="2">
        <f>N11/'Output-Calculation-sheet'!N10*'Output-Calculation-sheet'!N46</f>
        <v>186.54598444365769</v>
      </c>
      <c r="O55" s="2">
        <f>O11/'Output-Calculation-sheet'!O10*'Output-Calculation-sheet'!O46</f>
        <v>0</v>
      </c>
      <c r="P55" s="2">
        <f>P11/'Output-Calculation-sheet'!P10*'Output-Calculation-sheet'!P46</f>
        <v>4057.1249511912315</v>
      </c>
      <c r="Q55" s="2">
        <f>Q11/'Output-Calculation-sheet'!Q10*'Output-Calculation-sheet'!Q46</f>
        <v>869.61574094707328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0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1546.5293671649392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102.59864590567939</v>
      </c>
      <c r="X55" s="2">
        <f>X11/'Output-Calculation-sheet'!X10*'Output-Calculation-sheet'!X46</f>
        <v>52.1340485678882</v>
      </c>
      <c r="Y55" s="2">
        <f>Y11/'Output-Calculation-sheet'!Y10*'Output-Calculation-sheet'!Y46</f>
        <v>362.60267405720163</v>
      </c>
      <c r="AA55" s="2">
        <f t="shared" si="3"/>
        <v>53.702816789408246</v>
      </c>
    </row>
    <row r="56" spans="1:27" x14ac:dyDescent="0.25">
      <c r="A56" s="2">
        <v>2035</v>
      </c>
      <c r="B56" s="2">
        <f>B12/'Output-Calculation-sheet'!B11*'Output-Calculation-sheet'!B47</f>
        <v>3962.9366867016006</v>
      </c>
      <c r="C56" s="2">
        <f>C12/'Output-Calculation-sheet'!C11*'Output-Calculation-sheet'!C47</f>
        <v>454.49292153489984</v>
      </c>
      <c r="D56" s="2">
        <f>D12/'Output-Calculation-sheet'!D11*'Output-Calculation-sheet'!D47</f>
        <v>11186.148585737936</v>
      </c>
      <c r="E56" s="2">
        <f>E12/'Output-Calculation-sheet'!E11*'Output-Calculation-sheet'!E47</f>
        <v>14659.171730211656</v>
      </c>
      <c r="F56" s="2">
        <f>F12/'Output-Calculation-sheet'!F11*'Output-Calculation-sheet'!F47</f>
        <v>1547.9534096673085</v>
      </c>
      <c r="G56" s="2">
        <f>G12/'Output-Calculation-sheet'!G11*'Output-Calculation-sheet'!G47</f>
        <v>4139.3718306828177</v>
      </c>
      <c r="H56" s="2">
        <f>H12/'Output-Calculation-sheet'!H11*'Output-Calculation-sheet'!H47</f>
        <v>176.49808339872939</v>
      </c>
      <c r="I56" s="2">
        <f>I12/'Output-Calculation-sheet'!I11*'Output-Calculation-sheet'!I47</f>
        <v>2637.9517468008344</v>
      </c>
      <c r="J56" s="2">
        <f>J12/'Output-Calculation-sheet'!J11*'Output-Calculation-sheet'!J47</f>
        <v>4404.5646458097599</v>
      </c>
      <c r="K56" s="2">
        <f>K12/'Output-Calculation-sheet'!K11*'Output-Calculation-sheet'!K47</f>
        <v>5882.6489127177392</v>
      </c>
      <c r="L56" s="2">
        <f>L12/'Output-Calculation-sheet'!L11*'Output-Calculation-sheet'!L47</f>
        <v>6370.6102642348715</v>
      </c>
      <c r="M56" s="2">
        <f>M12/'Output-Calculation-sheet'!M11*'Output-Calculation-sheet'!M47</f>
        <v>134.77750104845242</v>
      </c>
      <c r="N56" s="2">
        <f>N12/'Output-Calculation-sheet'!N11*'Output-Calculation-sheet'!N47</f>
        <v>126.64181386617111</v>
      </c>
      <c r="O56" s="2">
        <f>O12/'Output-Calculation-sheet'!O11*'Output-Calculation-sheet'!O47</f>
        <v>82.861788573659908</v>
      </c>
      <c r="P56" s="2">
        <f>P12/'Output-Calculation-sheet'!P11*'Output-Calculation-sheet'!P47</f>
        <v>3009.5901473152353</v>
      </c>
      <c r="Q56" s="2">
        <f>Q12/'Output-Calculation-sheet'!Q11*'Output-Calculation-sheet'!Q47</f>
        <v>1156.7650581267631</v>
      </c>
      <c r="R56" s="2">
        <f>R12/'Output-Calculation-sheet'!R11*'Output-Calculation-sheet'!R47</f>
        <v>6485.7642281020617</v>
      </c>
      <c r="S56" s="2">
        <f>S12/'Output-Calculation-sheet'!S11*'Output-Calculation-sheet'!S47</f>
        <v>54.237987056496216</v>
      </c>
      <c r="T56" s="2">
        <f>T12/'Output-Calculation-sheet'!T11*'Output-Calculation-sheet'!T47</f>
        <v>2181.9061224656061</v>
      </c>
      <c r="U56" s="2">
        <f>U12/'Output-Calculation-sheet'!U11*'Output-Calculation-sheet'!U47</f>
        <v>1529.6171144881496</v>
      </c>
      <c r="V56" s="2">
        <f>V12/'Output-Calculation-sheet'!V11*'Output-Calculation-sheet'!V47</f>
        <v>1511.4390486962004</v>
      </c>
      <c r="W56" s="2">
        <f>W12/'Output-Calculation-sheet'!W11*'Output-Calculation-sheet'!W47</f>
        <v>534.98708850994853</v>
      </c>
      <c r="X56" s="2">
        <f>X12/'Output-Calculation-sheet'!X11*'Output-Calculation-sheet'!X47</f>
        <v>13.810512475433967</v>
      </c>
      <c r="Y56" s="2">
        <f>Y12/'Output-Calculation-sheet'!Y11*'Output-Calculation-sheet'!Y47</f>
        <v>426.94745782682037</v>
      </c>
      <c r="AA56" s="2">
        <f t="shared" si="3"/>
        <v>72.671694686049179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8.7361559426137045</v>
      </c>
      <c r="C63" s="2">
        <f>C8*'Output-Calculation-sheet'!C52/10^9</f>
        <v>4.6673038091240828</v>
      </c>
      <c r="D63" s="2">
        <f>D8*'Output-Calculation-sheet'!D52/10^9</f>
        <v>2.9958150904551855</v>
      </c>
      <c r="E63" s="2">
        <f>E8*'Output-Calculation-sheet'!E52/10^9</f>
        <v>2.978643792175109</v>
      </c>
      <c r="F63" s="2">
        <f>F8*'Output-Calculation-sheet'!F52/10^9</f>
        <v>1.261455399742939</v>
      </c>
      <c r="G63" s="2">
        <f>G8*'Output-Calculation-sheet'!G52/10^9</f>
        <v>0.90692944472655956</v>
      </c>
      <c r="H63" s="2">
        <f>H8*'Output-Calculation-sheet'!H52/10^9</f>
        <v>1.4750336154312831</v>
      </c>
      <c r="I63" s="2">
        <f>I8*'Output-Calculation-sheet'!I52/10^9</f>
        <v>0.84365493857720386</v>
      </c>
      <c r="J63" s="2">
        <f>J8*'Output-Calculation-sheet'!J52/10^9</f>
        <v>1.1609263800435787</v>
      </c>
      <c r="K63" s="2">
        <f>K8*'Output-Calculation-sheet'!K52/10^9</f>
        <v>1.0199770800449435</v>
      </c>
      <c r="L63" s="2">
        <f>L8*'Output-Calculation-sheet'!L52/10^9</f>
        <v>1.3719182480405965</v>
      </c>
      <c r="M63" s="2">
        <f>M8*'Output-Calculation-sheet'!M52/10^9</f>
        <v>1.2083961598029556</v>
      </c>
      <c r="N63" s="2">
        <f>N8*'Output-Calculation-sheet'!N52/10^9</f>
        <v>1.0662344421027878</v>
      </c>
      <c r="O63" s="2">
        <f>O8*'Output-Calculation-sheet'!O52/10^9</f>
        <v>0.95489006815962507</v>
      </c>
      <c r="P63" s="2">
        <f>P8*'Output-Calculation-sheet'!P52/10^9</f>
        <v>0.70477664843476728</v>
      </c>
      <c r="Q63" s="2">
        <f>Q8*'Output-Calculation-sheet'!Q52/10^9</f>
        <v>0.79760063411694659</v>
      </c>
      <c r="R63" s="2">
        <f>R8*'Output-Calculation-sheet'!R52/10^9</f>
        <v>0.71608704550571911</v>
      </c>
      <c r="S63" s="2">
        <f>S8*'Output-Calculation-sheet'!S52/10^9</f>
        <v>0.53064587294367305</v>
      </c>
      <c r="T63" s="2">
        <f>T8*'Output-Calculation-sheet'!T52/10^9</f>
        <v>0.27224606542728774</v>
      </c>
      <c r="U63" s="2">
        <f>U8*'Output-Calculation-sheet'!U52/10^9</f>
        <v>0.18697568043839319</v>
      </c>
      <c r="V63" s="2">
        <f>V8*'Output-Calculation-sheet'!V52/10^9</f>
        <v>0.33183764696041784</v>
      </c>
      <c r="W63" s="2">
        <f>W8*'Output-Calculation-sheet'!W52/10^9</f>
        <v>0.12010968144870078</v>
      </c>
      <c r="X63" s="2">
        <f>X8*'Output-Calculation-sheet'!X52/10^9</f>
        <v>0.12375878944491053</v>
      </c>
      <c r="Y63" s="2">
        <f>Y8*'Output-Calculation-sheet'!Y52/10^9</f>
        <v>7.8368225987179102E-2</v>
      </c>
      <c r="AA63" s="2">
        <f t="shared" si="4"/>
        <v>34.509740701748548</v>
      </c>
    </row>
    <row r="64" spans="1:27" x14ac:dyDescent="0.25">
      <c r="A64" s="2">
        <v>2032</v>
      </c>
      <c r="B64" s="2">
        <f>B9*'Output-Calculation-sheet'!B53/10^9</f>
        <v>9.4082061869057672</v>
      </c>
      <c r="C64" s="2">
        <f>C9*'Output-Calculation-sheet'!C53/10^9</f>
        <v>4.9875806696057268</v>
      </c>
      <c r="D64" s="2">
        <f>D9*'Output-Calculation-sheet'!D53/10^9</f>
        <v>2.7864040614318748</v>
      </c>
      <c r="E64" s="2">
        <f>E9*'Output-Calculation-sheet'!E53/10^9</f>
        <v>2.8534003548346965</v>
      </c>
      <c r="F64" s="2">
        <f>F9*'Output-Calculation-sheet'!F53/10^9</f>
        <v>1.2035463773799935</v>
      </c>
      <c r="G64" s="2">
        <f>G9*'Output-Calculation-sheet'!G53/10^9</f>
        <v>0.85664749361030479</v>
      </c>
      <c r="H64" s="2">
        <f>H9*'Output-Calculation-sheet'!H53/10^9</f>
        <v>1.5653151915086048</v>
      </c>
      <c r="I64" s="2">
        <f>I9*'Output-Calculation-sheet'!I53/10^9</f>
        <v>0.80082539918209528</v>
      </c>
      <c r="J64" s="2">
        <f>J9*'Output-Calculation-sheet'!J53/10^9</f>
        <v>1.0601301127823324</v>
      </c>
      <c r="K64" s="2">
        <f>K9*'Output-Calculation-sheet'!K53/10^9</f>
        <v>0.98365651023798684</v>
      </c>
      <c r="L64" s="2">
        <f>L9*'Output-Calculation-sheet'!L53/10^9</f>
        <v>1.2654711603419546</v>
      </c>
      <c r="M64" s="2">
        <f>M9*'Output-Calculation-sheet'!M53/10^9</f>
        <v>1.2418945273573392</v>
      </c>
      <c r="N64" s="2">
        <f>N9*'Output-Calculation-sheet'!N53/10^9</f>
        <v>1.1181063398098419</v>
      </c>
      <c r="O64" s="2">
        <f>O9*'Output-Calculation-sheet'!O53/10^9</f>
        <v>1.0100224362242958</v>
      </c>
      <c r="P64" s="2">
        <f>P9*'Output-Calculation-sheet'!P53/10^9</f>
        <v>0.74997705444147145</v>
      </c>
      <c r="Q64" s="2">
        <f>Q9*'Output-Calculation-sheet'!Q53/10^9</f>
        <v>0.82883110452861275</v>
      </c>
      <c r="R64" s="2">
        <f>R9*'Output-Calculation-sheet'!R53/10^9</f>
        <v>0.71050398653432134</v>
      </c>
      <c r="S64" s="2">
        <f>S9*'Output-Calculation-sheet'!S53/10^9</f>
        <v>0.57172267641007124</v>
      </c>
      <c r="T64" s="2">
        <f>T9*'Output-Calculation-sheet'!T53/10^9</f>
        <v>0.2554066745680873</v>
      </c>
      <c r="U64" s="2">
        <f>U9*'Output-Calculation-sheet'!U53/10^9</f>
        <v>0.19223927882989594</v>
      </c>
      <c r="V64" s="2">
        <f>V9*'Output-Calculation-sheet'!V53/10^9</f>
        <v>0.30315045158307108</v>
      </c>
      <c r="W64" s="2">
        <f>W9*'Output-Calculation-sheet'!W53/10^9</f>
        <v>0.11264504896378308</v>
      </c>
      <c r="X64" s="2">
        <f>X9*'Output-Calculation-sheet'!X53/10^9</f>
        <v>0.12914593705038149</v>
      </c>
      <c r="Y64" s="2">
        <f>Y9*'Output-Calculation-sheet'!Y53/10^9</f>
        <v>7.8922838514062871E-2</v>
      </c>
      <c r="AA64" s="2">
        <f t="shared" si="4"/>
        <v>35.073751872636564</v>
      </c>
    </row>
    <row r="65" spans="1:27" x14ac:dyDescent="0.25">
      <c r="A65" s="2">
        <v>2033</v>
      </c>
      <c r="B65" s="2">
        <f>B10*'Output-Calculation-sheet'!B54/10^9</f>
        <v>9.8441172967903263</v>
      </c>
      <c r="C65" s="2">
        <f>C10*'Output-Calculation-sheet'!C54/10^9</f>
        <v>5.0886006499037233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1.5979923492058623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0.9310516279589135</v>
      </c>
      <c r="L65" s="2">
        <f>L10*'Output-Calculation-sheet'!L54/10^9</f>
        <v>1.0996620298559128</v>
      </c>
      <c r="M65" s="2">
        <f>M10*'Output-Calculation-sheet'!M54/10^9</f>
        <v>1.2185709346603328</v>
      </c>
      <c r="N65" s="2">
        <f>N10*'Output-Calculation-sheet'!N54/10^9</f>
        <v>1.1181881553662565</v>
      </c>
      <c r="O65" s="2">
        <f>O10*'Output-Calculation-sheet'!O54/10^9</f>
        <v>1.0197780716602494</v>
      </c>
      <c r="P65" s="2">
        <f>P10*'Output-Calculation-sheet'!P54/10^9</f>
        <v>0.78769913011026504</v>
      </c>
      <c r="Q65" s="2">
        <f>Q10*'Output-Calculation-sheet'!Q54/10^9</f>
        <v>0.85806938674072686</v>
      </c>
      <c r="R65" s="2">
        <f>R10*'Output-Calculation-sheet'!R54/10^9</f>
        <v>0.69348307981504642</v>
      </c>
      <c r="S65" s="2">
        <f>S10*'Output-Calculation-sheet'!S54/10^9</f>
        <v>0.58984263549100746</v>
      </c>
      <c r="T65" s="2">
        <f>T10*'Output-Calculation-sheet'!T54/10^9</f>
        <v>0.23186521739952226</v>
      </c>
      <c r="U65" s="2">
        <f>U10*'Output-Calculation-sheet'!U54/10^9</f>
        <v>0.20020736772859793</v>
      </c>
      <c r="V65" s="2">
        <f>V10*'Output-Calculation-sheet'!V54/10^9</f>
        <v>0.25659957416904056</v>
      </c>
      <c r="W65" s="2">
        <f>W10*'Output-Calculation-sheet'!W54/10^9</f>
        <v>9.7693359124701951E-2</v>
      </c>
      <c r="X65" s="2">
        <f>X10*'Output-Calculation-sheet'!X54/10^9</f>
        <v>0.1277680229874974</v>
      </c>
      <c r="Y65" s="2">
        <f>Y10*'Output-Calculation-sheet'!Y54/10^9</f>
        <v>8.0408516407773176E-2</v>
      </c>
      <c r="AA65" s="2">
        <f t="shared" si="4"/>
        <v>34.364857416478209</v>
      </c>
    </row>
    <row r="66" spans="1:27" x14ac:dyDescent="0.25">
      <c r="A66" s="2">
        <v>2034</v>
      </c>
      <c r="B66" s="2">
        <f>B11*'Output-Calculation-sheet'!B55/10^9</f>
        <v>10.055838879810281</v>
      </c>
      <c r="C66" s="2">
        <f>C11*'Output-Calculation-sheet'!C55/10^9</f>
        <v>5.0584693670899199</v>
      </c>
      <c r="D66" s="2">
        <f>D11*'Output-Calculation-sheet'!D55/10^9</f>
        <v>2.2694372807607945</v>
      </c>
      <c r="E66" s="2">
        <f>E11*'Output-Calculation-sheet'!E55/10^9</f>
        <v>2.7481275938226872</v>
      </c>
      <c r="F66" s="2">
        <f>F11*'Output-Calculation-sheet'!F55/10^9</f>
        <v>1.0561462894972187</v>
      </c>
      <c r="G66" s="2">
        <f>G11*'Output-Calculation-sheet'!G55/10^9</f>
        <v>0.75496012836649773</v>
      </c>
      <c r="H66" s="2">
        <f>H11*'Output-Calculation-sheet'!H55/10^9</f>
        <v>1.5753129397976546</v>
      </c>
      <c r="I66" s="2">
        <f>I11*'Output-Calculation-sheet'!I55/10^9</f>
        <v>0.73821500643771054</v>
      </c>
      <c r="J66" s="2">
        <f>J11*'Output-Calculation-sheet'!J55/10^9</f>
        <v>0.7591327537592355</v>
      </c>
      <c r="K66" s="2">
        <f>K11*'Output-Calculation-sheet'!K55/10^9</f>
        <v>0.90797629871819485</v>
      </c>
      <c r="L66" s="2">
        <f>L11*'Output-Calculation-sheet'!L55/10^9</f>
        <v>0.96156152614365253</v>
      </c>
      <c r="M66" s="2">
        <f>M11*'Output-Calculation-sheet'!M55/10^9</f>
        <v>1.1482942872689694</v>
      </c>
      <c r="N66" s="2">
        <f>N11*'Output-Calculation-sheet'!N55/10^9</f>
        <v>1.0848061783731193</v>
      </c>
      <c r="O66" s="2">
        <f>O11*'Output-Calculation-sheet'!O55/10^9</f>
        <v>0.99704134191576543</v>
      </c>
      <c r="P66" s="2">
        <f>P11*'Output-Calculation-sheet'!P55/10^9</f>
        <v>0.83251989828566264</v>
      </c>
      <c r="Q66" s="2">
        <f>Q11*'Output-Calculation-sheet'!Q55/10^9</f>
        <v>0.88067065018455915</v>
      </c>
      <c r="R66" s="2">
        <f>R11*'Output-Calculation-sheet'!R55/10^9</f>
        <v>0.68022128420353711</v>
      </c>
      <c r="S66" s="2">
        <f>S11*'Output-Calculation-sheet'!S55/10^9</f>
        <v>0.59331671145648979</v>
      </c>
      <c r="T66" s="2">
        <f>T11*'Output-Calculation-sheet'!T55/10^9</f>
        <v>0.21319771483767441</v>
      </c>
      <c r="U66" s="2">
        <f>U11*'Output-Calculation-sheet'!U55/10^9</f>
        <v>0.21654564254945313</v>
      </c>
      <c r="V66" s="2">
        <f>V11*'Output-Calculation-sheet'!V55/10^9</f>
        <v>0.20224773632818369</v>
      </c>
      <c r="W66" s="2">
        <f>W11*'Output-Calculation-sheet'!W55/10^9</f>
        <v>9.1579091085164904E-2</v>
      </c>
      <c r="X66" s="2">
        <f>X11*'Output-Calculation-sheet'!X55/10^9</f>
        <v>0.12268589808600049</v>
      </c>
      <c r="Y66" s="2">
        <f>Y11*'Output-Calculation-sheet'!Y55/10^9</f>
        <v>8.9532729218054163E-2</v>
      </c>
      <c r="AA66" s="2">
        <f t="shared" si="4"/>
        <v>34.037837227996484</v>
      </c>
    </row>
    <row r="67" spans="1:27" x14ac:dyDescent="0.25">
      <c r="A67" s="2">
        <v>2035</v>
      </c>
      <c r="B67" s="2">
        <f>B12*'Output-Calculation-sheet'!B56/10^9</f>
        <v>10.383427156760503</v>
      </c>
      <c r="C67" s="2">
        <f>C12*'Output-Calculation-sheet'!C56/10^9</f>
        <v>4.8734797682184894</v>
      </c>
      <c r="D67" s="2">
        <f>D12*'Output-Calculation-sheet'!D56/10^9</f>
        <v>2.3959195508001789</v>
      </c>
      <c r="E67" s="2">
        <f>E12*'Output-Calculation-sheet'!E56/10^9</f>
        <v>3.202910133554187</v>
      </c>
      <c r="F67" s="2">
        <f>F12*'Output-Calculation-sheet'!F56/10^9</f>
        <v>1.1881204917141497</v>
      </c>
      <c r="G67" s="2">
        <f>G12*'Output-Calculation-sheet'!G56/10^9</f>
        <v>0.83229729605512903</v>
      </c>
      <c r="H67" s="2">
        <f>H12*'Output-Calculation-sheet'!H56/10^9</f>
        <v>1.534318305681688</v>
      </c>
      <c r="I67" s="2">
        <f>I12*'Output-Calculation-sheet'!I56/10^9</f>
        <v>0.80850321007304404</v>
      </c>
      <c r="J67" s="2">
        <f>J12*'Output-Calculation-sheet'!J56/10^9</f>
        <v>0.80045130848547519</v>
      </c>
      <c r="K67" s="2">
        <f>K12*'Output-Calculation-sheet'!K56/10^9</f>
        <v>0.96455816655396398</v>
      </c>
      <c r="L67" s="2">
        <f>L12*'Output-Calculation-sheet'!L56/10^9</f>
        <v>0.96891061061163553</v>
      </c>
      <c r="M67" s="2">
        <f>M12*'Output-Calculation-sheet'!M56/10^9</f>
        <v>1.0673356642570713</v>
      </c>
      <c r="N67" s="2">
        <f>N12*'Output-Calculation-sheet'!N56/10^9</f>
        <v>1.0411659245993521</v>
      </c>
      <c r="O67" s="2">
        <f>O12*'Output-Calculation-sheet'!O56/10^9</f>
        <v>0.9473567458130645</v>
      </c>
      <c r="P67" s="2">
        <f>P12*'Output-Calculation-sheet'!P56/10^9</f>
        <v>0.90548299332558713</v>
      </c>
      <c r="Q67" s="2">
        <f>Q12*'Output-Calculation-sheet'!Q56/10^9</f>
        <v>0.91903477734107242</v>
      </c>
      <c r="R67" s="2">
        <f>R12*'Output-Calculation-sheet'!R56/10^9</f>
        <v>0.73163322737614356</v>
      </c>
      <c r="S67" s="2">
        <f>S12*'Output-Calculation-sheet'!S56/10^9</f>
        <v>0.59487655372740955</v>
      </c>
      <c r="T67" s="2">
        <f>T12*'Output-Calculation-sheet'!T56/10^9</f>
        <v>0.22173433996671674</v>
      </c>
      <c r="U67" s="2">
        <f>U12*'Output-Calculation-sheet'!U56/10^9</f>
        <v>0.23184133329812445</v>
      </c>
      <c r="V67" s="2">
        <f>V12*'Output-Calculation-sheet'!V56/10^9</f>
        <v>0.17784500234939019</v>
      </c>
      <c r="W67" s="2">
        <f>W12*'Output-Calculation-sheet'!W56/10^9</f>
        <v>0.10737724590084244</v>
      </c>
      <c r="X67" s="2">
        <f>X12*'Output-Calculation-sheet'!X56/10^9</f>
        <v>0.11410022863718038</v>
      </c>
      <c r="Y67" s="2">
        <f>Y12*'Output-Calculation-sheet'!Y56/10^9</f>
        <v>0.10313910315705113</v>
      </c>
      <c r="AA67" s="2">
        <f t="shared" si="4"/>
        <v>35.11581913825745</v>
      </c>
    </row>
    <row r="68" spans="1:27" x14ac:dyDescent="0.25">
      <c r="B68" s="2">
        <f>SUM(B60:B67)</f>
        <v>48.42774546288058</v>
      </c>
      <c r="C68" s="2">
        <f t="shared" ref="C68:Y68" si="5">SUM(C60:C67)</f>
        <v>24.675434263941938</v>
      </c>
      <c r="D68" s="2">
        <f t="shared" si="5"/>
        <v>12.836471948736762</v>
      </c>
      <c r="E68" s="2">
        <f t="shared" si="5"/>
        <v>14.472938014608124</v>
      </c>
      <c r="F68" s="2">
        <f t="shared" si="5"/>
        <v>5.8013029859926615</v>
      </c>
      <c r="G68" s="2">
        <f t="shared" si="5"/>
        <v>4.1006154035662341</v>
      </c>
      <c r="H68" s="2">
        <f t="shared" si="5"/>
        <v>7.7479724016250922</v>
      </c>
      <c r="I68" s="2">
        <f t="shared" si="5"/>
        <v>3.9212808481516443</v>
      </c>
      <c r="J68" s="2">
        <f t="shared" si="5"/>
        <v>4.6532506983152082</v>
      </c>
      <c r="K68" s="2">
        <f t="shared" si="5"/>
        <v>4.8072196835140026</v>
      </c>
      <c r="L68" s="2">
        <f t="shared" si="5"/>
        <v>5.6675235749937514</v>
      </c>
      <c r="M68" s="2">
        <f t="shared" si="5"/>
        <v>5.8844915733466685</v>
      </c>
      <c r="N68" s="2">
        <f t="shared" si="5"/>
        <v>5.4285010402513576</v>
      </c>
      <c r="O68" s="2">
        <f t="shared" si="5"/>
        <v>4.9290886637730003</v>
      </c>
      <c r="P68" s="2">
        <f t="shared" si="5"/>
        <v>3.9804557245977539</v>
      </c>
      <c r="Q68" s="2">
        <f t="shared" si="5"/>
        <v>4.2842065529119173</v>
      </c>
      <c r="R68" s="2">
        <f t="shared" si="5"/>
        <v>3.5319286234347675</v>
      </c>
      <c r="S68" s="2">
        <f t="shared" si="5"/>
        <v>2.8804044500286512</v>
      </c>
      <c r="T68" s="2">
        <f t="shared" si="5"/>
        <v>1.1944500121992883</v>
      </c>
      <c r="U68" s="2">
        <f t="shared" si="5"/>
        <v>1.0278093028444646</v>
      </c>
      <c r="V68" s="2">
        <f t="shared" si="5"/>
        <v>1.2716804113901035</v>
      </c>
      <c r="W68" s="2">
        <f t="shared" si="5"/>
        <v>0.52940442652319308</v>
      </c>
      <c r="X68" s="2">
        <f t="shared" si="5"/>
        <v>0.61745887620597029</v>
      </c>
      <c r="Y68" s="2">
        <f t="shared" si="5"/>
        <v>0.43037141328412043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64.43595818923707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6.4435958189237072E-2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618.88943604343115</v>
      </c>
      <c r="Q76" s="2">
        <f>Q10/'Output-Calculation-sheet'!Q9*'Output-Calculation-sheet'!Q63</f>
        <v>73.516642108576377</v>
      </c>
      <c r="R76" s="2">
        <f>R10/'Output-Calculation-sheet'!R9*'Output-Calculation-sheet'!R63</f>
        <v>471.74779698981882</v>
      </c>
      <c r="S76" s="2">
        <f>S10/'Output-Calculation-sheet'!S9*'Output-Calculation-sheet'!S63</f>
        <v>0</v>
      </c>
      <c r="T76" s="2">
        <f>T10/'Output-Calculation-sheet'!T9*'Output-Calculation-sheet'!T63</f>
        <v>30.990125764364429</v>
      </c>
      <c r="U76" s="2">
        <f>U10/'Output-Calculation-sheet'!U9*'Output-Calculation-sheet'!U63</f>
        <v>167.38661074259613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7.9496801238216195</v>
      </c>
      <c r="AA76" s="2">
        <f t="shared" si="6"/>
        <v>1.5006220208973959</v>
      </c>
    </row>
    <row r="77" spans="1:27" x14ac:dyDescent="0.25">
      <c r="A77" s="2">
        <v>2034</v>
      </c>
      <c r="B77" s="2">
        <f>B11/'Output-Calculation-sheet'!B10*'Output-Calculation-sheet'!B64</f>
        <v>654.32961655680583</v>
      </c>
      <c r="C77" s="2">
        <f>C11/'Output-Calculation-sheet'!C10*'Output-Calculation-sheet'!C64</f>
        <v>0</v>
      </c>
      <c r="D77" s="2">
        <f>D11/'Output-Calculation-sheet'!D10*'Output-Calculation-sheet'!D64</f>
        <v>2200.8504217366608</v>
      </c>
      <c r="E77" s="2">
        <f>E11/'Output-Calculation-sheet'!E10*'Output-Calculation-sheet'!E64</f>
        <v>2728.9925808322419</v>
      </c>
      <c r="F77" s="2">
        <f>F11/'Output-Calculation-sheet'!F10*'Output-Calculation-sheet'!F64</f>
        <v>170.97159109561699</v>
      </c>
      <c r="G77" s="2">
        <f>G11/'Output-Calculation-sheet'!G10*'Output-Calculation-sheet'!G64</f>
        <v>1102.5944224157984</v>
      </c>
      <c r="H77" s="2">
        <f>H11/'Output-Calculation-sheet'!H10*'Output-Calculation-sheet'!H64</f>
        <v>180.44440977163032</v>
      </c>
      <c r="I77" s="2">
        <f>I11/'Output-Calculation-sheet'!I10*'Output-Calculation-sheet'!I64</f>
        <v>682.21743597686782</v>
      </c>
      <c r="J77" s="2">
        <f>J11/'Output-Calculation-sheet'!J10*'Output-Calculation-sheet'!J64</f>
        <v>479.43368558040396</v>
      </c>
      <c r="K77" s="2">
        <f>K11/'Output-Calculation-sheet'!K10*'Output-Calculation-sheet'!K64</f>
        <v>1045.9907015035867</v>
      </c>
      <c r="L77" s="2">
        <f>L11/'Output-Calculation-sheet'!L10*'Output-Calculation-sheet'!L64</f>
        <v>432.50711702038501</v>
      </c>
      <c r="M77" s="2">
        <f>M11/'Output-Calculation-sheet'!M10*'Output-Calculation-sheet'!M64</f>
        <v>129.95883908402675</v>
      </c>
      <c r="N77" s="2">
        <f>N11/'Output-Calculation-sheet'!N10*'Output-Calculation-sheet'!N64</f>
        <v>42.981049224907785</v>
      </c>
      <c r="O77" s="2">
        <f>O11/'Output-Calculation-sheet'!O10*'Output-Calculation-sheet'!O64</f>
        <v>0</v>
      </c>
      <c r="P77" s="2">
        <f>P11/'Output-Calculation-sheet'!P10*'Output-Calculation-sheet'!P64</f>
        <v>885.01629042295372</v>
      </c>
      <c r="Q77" s="2">
        <f>Q11/'Output-Calculation-sheet'!Q10*'Output-Calculation-sheet'!Q64</f>
        <v>213.46758277954015</v>
      </c>
      <c r="R77" s="2">
        <f>R11/'Output-Calculation-sheet'!R10*'Output-Calculation-sheet'!R64</f>
        <v>1100.4193432383715</v>
      </c>
      <c r="S77" s="2">
        <f>S11/'Output-Calculation-sheet'!S10*'Output-Calculation-sheet'!S64</f>
        <v>0</v>
      </c>
      <c r="T77" s="2">
        <f>T11/'Output-Calculation-sheet'!T10*'Output-Calculation-sheet'!T64</f>
        <v>305.12036429267931</v>
      </c>
      <c r="U77" s="2">
        <f>U11/'Output-Calculation-sheet'!U10*'Output-Calculation-sheet'!U64</f>
        <v>334.65024543280515</v>
      </c>
      <c r="V77" s="2">
        <f>V11/'Output-Calculation-sheet'!V10*'Output-Calculation-sheet'!V64</f>
        <v>157.69208162640157</v>
      </c>
      <c r="W77" s="2">
        <f>W11/'Output-Calculation-sheet'!W10*'Output-Calculation-sheet'!W64</f>
        <v>34.600463033087607</v>
      </c>
      <c r="X77" s="2">
        <f>X11/'Output-Calculation-sheet'!X10*'Output-Calculation-sheet'!X64</f>
        <v>12.955470014390242</v>
      </c>
      <c r="Y77" s="2">
        <f>Y11/'Output-Calculation-sheet'!Y10*'Output-Calculation-sheet'!Y64</f>
        <v>73.023791737659323</v>
      </c>
      <c r="AA77" s="2">
        <f t="shared" si="6"/>
        <v>12.96821750337682</v>
      </c>
    </row>
    <row r="78" spans="1:27" x14ac:dyDescent="0.25">
      <c r="A78" s="2">
        <v>2035</v>
      </c>
      <c r="B78" s="2">
        <f>B12/'Output-Calculation-sheet'!B11*'Output-Calculation-sheet'!B65</f>
        <v>798.87794687645976</v>
      </c>
      <c r="C78" s="2">
        <f>C12/'Output-Calculation-sheet'!C11*'Output-Calculation-sheet'!C65</f>
        <v>81.668881900425077</v>
      </c>
      <c r="D78" s="2">
        <f>D12/'Output-Calculation-sheet'!D11*'Output-Calculation-sheet'!D65</f>
        <v>2539.2990861275721</v>
      </c>
      <c r="E78" s="2">
        <f>E12/'Output-Calculation-sheet'!E11*'Output-Calculation-sheet'!E65</f>
        <v>2370.8921316312262</v>
      </c>
      <c r="F78" s="2">
        <f>F12/'Output-Calculation-sheet'!F11*'Output-Calculation-sheet'!F65</f>
        <v>560.87924664521393</v>
      </c>
      <c r="G78" s="2">
        <f>G12/'Output-Calculation-sheet'!G11*'Output-Calculation-sheet'!G65</f>
        <v>1110.4026022472103</v>
      </c>
      <c r="H78" s="2">
        <f>H12/'Output-Calculation-sheet'!H11*'Output-Calculation-sheet'!H65</f>
        <v>32.088212528149484</v>
      </c>
      <c r="I78" s="2">
        <f>I12/'Output-Calculation-sheet'!I11*'Output-Calculation-sheet'!I65</f>
        <v>736.39622080921117</v>
      </c>
      <c r="J78" s="2">
        <f>J12/'Output-Calculation-sheet'!J11*'Output-Calculation-sheet'!J65</f>
        <v>1074.4942375759269</v>
      </c>
      <c r="K78" s="2">
        <f>K12/'Output-Calculation-sheet'!K11*'Output-Calculation-sheet'!K65</f>
        <v>1341.3284108319472</v>
      </c>
      <c r="L78" s="2">
        <f>L12/'Output-Calculation-sheet'!L11*'Output-Calculation-sheet'!L65</f>
        <v>1131.6571528511477</v>
      </c>
      <c r="M78" s="2">
        <f>M12/'Output-Calculation-sheet'!M11*'Output-Calculation-sheet'!M65</f>
        <v>26.822203780082123</v>
      </c>
      <c r="N78" s="2">
        <f>N12/'Output-Calculation-sheet'!N11*'Output-Calculation-sheet'!N65</f>
        <v>21.772202413750819</v>
      </c>
      <c r="O78" s="2">
        <f>O12/'Output-Calculation-sheet'!O11*'Output-Calculation-sheet'!O65</f>
        <v>14.841768884521445</v>
      </c>
      <c r="P78" s="2">
        <f>P12/'Output-Calculation-sheet'!P11*'Output-Calculation-sheet'!P65</f>
        <v>620.88059901947781</v>
      </c>
      <c r="Q78" s="2">
        <f>Q12/'Output-Calculation-sheet'!Q11*'Output-Calculation-sheet'!Q65</f>
        <v>235.01843916345217</v>
      </c>
      <c r="R78" s="2">
        <f>R12/'Output-Calculation-sheet'!R11*'Output-Calculation-sheet'!R65</f>
        <v>1424.2905195161368</v>
      </c>
      <c r="S78" s="2">
        <f>S12/'Output-Calculation-sheet'!S11*'Output-Calculation-sheet'!S65</f>
        <v>8.472808008794809</v>
      </c>
      <c r="T78" s="2">
        <f>T12/'Output-Calculation-sheet'!T11*'Output-Calculation-sheet'!T65</f>
        <v>490.61630768776433</v>
      </c>
      <c r="U78" s="2">
        <f>U12/'Output-Calculation-sheet'!U11*'Output-Calculation-sheet'!U65</f>
        <v>336.15604677047151</v>
      </c>
      <c r="V78" s="2">
        <f>V12/'Output-Calculation-sheet'!V11*'Output-Calculation-sheet'!V65</f>
        <v>277.13240596655521</v>
      </c>
      <c r="W78" s="2">
        <f>W12/'Output-Calculation-sheet'!W11*'Output-Calculation-sheet'!W65</f>
        <v>131.0460247126629</v>
      </c>
      <c r="X78" s="2">
        <f>X12/'Output-Calculation-sheet'!X11*'Output-Calculation-sheet'!X65</f>
        <v>2.8735614545944133</v>
      </c>
      <c r="Y78" s="2">
        <f>Y12/'Output-Calculation-sheet'!Y11*'Output-Calculation-sheet'!Y65</f>
        <v>73.848426002287042</v>
      </c>
      <c r="AA78" s="2">
        <f t="shared" si="6"/>
        <v>15.441755443405043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2.1735934898629492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1.5923082287412502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3.7659017186041995E-3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37.163284337999784</v>
      </c>
      <c r="E89" s="2">
        <f>E12/'Output-Calculation-sheet'!E11*'Output-Calculation-sheet'!E74</f>
        <v>83.682310078441276</v>
      </c>
      <c r="F89" s="2">
        <f>F12/'Output-Calculation-sheet'!F11*'Output-Calculation-sheet'!F74</f>
        <v>37.150881832015401</v>
      </c>
      <c r="G89" s="2">
        <f>G12/'Output-Calculation-sheet'!G11*'Output-Calculation-sheet'!G74</f>
        <v>26.662620487489967</v>
      </c>
      <c r="H89" s="2">
        <f>H12/'Output-Calculation-sheet'!H11*'Output-Calculation-sheet'!H74</f>
        <v>4.3048313024080338</v>
      </c>
      <c r="I89" s="2">
        <f>I12/'Output-Calculation-sheet'!I11*'Output-Calculation-sheet'!I74</f>
        <v>23.981379516371224</v>
      </c>
      <c r="J89" s="2">
        <f>J12/'Output-Calculation-sheet'!J11*'Output-Calculation-sheet'!J74</f>
        <v>11.866810900250812</v>
      </c>
      <c r="K89" s="2">
        <f>K12/'Output-Calculation-sheet'!K11*'Output-Calculation-sheet'!K74</f>
        <v>17.677409086630934</v>
      </c>
      <c r="L89" s="2">
        <f>L12/'Output-Calculation-sheet'!L11*'Output-Calculation-sheet'!L74</f>
        <v>9.3708412810515398</v>
      </c>
      <c r="M89" s="2">
        <f>M12/'Output-Calculation-sheet'!M11*'Output-Calculation-sheet'!M74</f>
        <v>2.9621428801857674</v>
      </c>
      <c r="N89" s="2">
        <f>N12/'Output-Calculation-sheet'!N11*'Output-Calculation-sheet'!N74</f>
        <v>1.4556530329444954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28.240122025746174</v>
      </c>
      <c r="Q89" s="2">
        <f>Q12/'Output-Calculation-sheet'!Q11*'Output-Calculation-sheet'!Q74</f>
        <v>6.3768746313492999</v>
      </c>
      <c r="R89" s="2">
        <f>R12/'Output-Calculation-sheet'!R11*'Output-Calculation-sheet'!R74</f>
        <v>15.177295385574247</v>
      </c>
      <c r="S89" s="2">
        <f>S12/'Output-Calculation-sheet'!S11*'Output-Calculation-sheet'!S74</f>
        <v>1.6688611401998836</v>
      </c>
      <c r="T89" s="2">
        <f>T12/'Output-Calculation-sheet'!T11*'Output-Calculation-sheet'!T74</f>
        <v>3.2754327379925456</v>
      </c>
      <c r="U89" s="2">
        <f>U12/'Output-Calculation-sheet'!U11*'Output-Calculation-sheet'!U74</f>
        <v>8.1384257222035092</v>
      </c>
      <c r="V89" s="2">
        <f>V12/'Output-Calculation-sheet'!V11*'Output-Calculation-sheet'!V74</f>
        <v>0.62754371961644195</v>
      </c>
      <c r="W89" s="2">
        <f>W12/'Output-Calculation-sheet'!W11*'Output-Calculation-sheet'!W74</f>
        <v>3.803869598343971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3.9198260909550164</v>
      </c>
      <c r="AA89" s="2">
        <f t="shared" si="7"/>
        <v>0.36548369445861723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9972597492.3199692</v>
      </c>
      <c r="C96" s="2">
        <f>C8/'Output-Calculation-sheet'!C7*'Output-Calculation-sheet'!C79</f>
        <v>2408219168.6909847</v>
      </c>
      <c r="D96" s="2">
        <f>D8/'Output-Calculation-sheet'!D7*'Output-Calculation-sheet'!D79</f>
        <v>1955106013.4630542</v>
      </c>
      <c r="E96" s="2">
        <f>E8/'Output-Calculation-sheet'!E7*'Output-Calculation-sheet'!E79</f>
        <v>7325081348.9439592</v>
      </c>
      <c r="F96" s="2">
        <f>F8/'Output-Calculation-sheet'!F7*'Output-Calculation-sheet'!F79</f>
        <v>2136837557.8396845</v>
      </c>
      <c r="G96" s="2">
        <f>G8/'Output-Calculation-sheet'!G7*'Output-Calculation-sheet'!G79</f>
        <v>1371545147.0889752</v>
      </c>
      <c r="H96" s="2">
        <f>H8/'Output-Calculation-sheet'!H7*'Output-Calculation-sheet'!H79</f>
        <v>1689698154.5224221</v>
      </c>
      <c r="I96" s="2">
        <f>I8/'Output-Calculation-sheet'!I7*'Output-Calculation-sheet'!I79</f>
        <v>986272057.46710157</v>
      </c>
      <c r="J96" s="2">
        <f>J8/'Output-Calculation-sheet'!J7*'Output-Calculation-sheet'!J79</f>
        <v>747398772.53503513</v>
      </c>
      <c r="K96" s="2">
        <f>K8/'Output-Calculation-sheet'!K7*'Output-Calculation-sheet'!K79</f>
        <v>937336143.98372424</v>
      </c>
      <c r="L96" s="2">
        <f>L8/'Output-Calculation-sheet'!L7*'Output-Calculation-sheet'!L79</f>
        <v>850941348.83471632</v>
      </c>
      <c r="M96" s="2">
        <f>M8/'Output-Calculation-sheet'!M7*'Output-Calculation-sheet'!M79</f>
        <v>1303762158.1513085</v>
      </c>
      <c r="N96" s="2">
        <f>N8/'Output-Calculation-sheet'!N7*'Output-Calculation-sheet'!N79</f>
        <v>847532358.49609923</v>
      </c>
      <c r="O96" s="2">
        <f>O8/'Output-Calculation-sheet'!O7*'Output-Calculation-sheet'!O79</f>
        <v>318011960.80862349</v>
      </c>
      <c r="P96" s="2">
        <f>P8/'Output-Calculation-sheet'!P7*'Output-Calculation-sheet'!P79</f>
        <v>1614141101.9773574</v>
      </c>
      <c r="Q96" s="2">
        <f>Q8/'Output-Calculation-sheet'!Q7*'Output-Calculation-sheet'!Q79</f>
        <v>685311568.17317128</v>
      </c>
      <c r="R96" s="2">
        <f>R8/'Output-Calculation-sheet'!R7*'Output-Calculation-sheet'!R79</f>
        <v>909602209.65606022</v>
      </c>
      <c r="S96" s="2">
        <f>S8/'Output-Calculation-sheet'!S7*'Output-Calculation-sheet'!S79</f>
        <v>512978755.17335588</v>
      </c>
      <c r="T96" s="2">
        <f>T8/'Output-Calculation-sheet'!T7*'Output-Calculation-sheet'!T79</f>
        <v>309469329.72549176</v>
      </c>
      <c r="U96" s="2">
        <f>U8/'Output-Calculation-sheet'!U7*'Output-Calculation-sheet'!U79</f>
        <v>243591181.45549983</v>
      </c>
      <c r="V96" s="2">
        <f>V8/'Output-Calculation-sheet'!V7*'Output-Calculation-sheet'!V79</f>
        <v>111799870.95871182</v>
      </c>
      <c r="W96" s="2">
        <f>W8/'Output-Calculation-sheet'!W7*'Output-Calculation-sheet'!W79</f>
        <v>344221697.36325806</v>
      </c>
      <c r="X96" s="2">
        <f>X8/'Output-Calculation-sheet'!X7*'Output-Calculation-sheet'!X79</f>
        <v>155250764.26738238</v>
      </c>
      <c r="Y96" s="2">
        <f>Y8/'Output-Calculation-sheet'!Y7*'Output-Calculation-sheet'!Y79</f>
        <v>213653613.90317515</v>
      </c>
      <c r="AA96" s="2">
        <f t="shared" si="8"/>
        <v>37.950359775799122</v>
      </c>
    </row>
    <row r="97" spans="1:27" x14ac:dyDescent="0.25">
      <c r="A97" s="2">
        <v>2032</v>
      </c>
      <c r="B97" s="2">
        <f>B9/'Output-Calculation-sheet'!B8*'Output-Calculation-sheet'!B80</f>
        <v>12911141660.230862</v>
      </c>
      <c r="C97" s="2">
        <f>C9/'Output-Calculation-sheet'!C8*'Output-Calculation-sheet'!C80</f>
        <v>3049383270.9967928</v>
      </c>
      <c r="D97" s="2">
        <f>D9/'Output-Calculation-sheet'!D8*'Output-Calculation-sheet'!D80</f>
        <v>2329387487.8894582</v>
      </c>
      <c r="E97" s="2">
        <f>E9/'Output-Calculation-sheet'!E8*'Output-Calculation-sheet'!E80</f>
        <v>9806390640.6081238</v>
      </c>
      <c r="F97" s="2">
        <f>F9/'Output-Calculation-sheet'!F8*'Output-Calculation-sheet'!F80</f>
        <v>2689248907.6081185</v>
      </c>
      <c r="G97" s="2">
        <f>G9/'Output-Calculation-sheet'!G8*'Output-Calculation-sheet'!G80</f>
        <v>1647828411.5865805</v>
      </c>
      <c r="H97" s="2">
        <f>H9/'Output-Calculation-sheet'!H8*'Output-Calculation-sheet'!H80</f>
        <v>2157598690.8659754</v>
      </c>
      <c r="I97" s="2">
        <f>I9/'Output-Calculation-sheet'!I8*'Output-Calculation-sheet'!I80</f>
        <v>1242772198.08357</v>
      </c>
      <c r="J97" s="2">
        <f>J9/'Output-Calculation-sheet'!J8*'Output-Calculation-sheet'!J80</f>
        <v>928693481.45848775</v>
      </c>
      <c r="K97" s="2">
        <f>K9/'Output-Calculation-sheet'!K8*'Output-Calculation-sheet'!K80</f>
        <v>1145394444.5418594</v>
      </c>
      <c r="L97" s="2">
        <f>L9/'Output-Calculation-sheet'!L8*'Output-Calculation-sheet'!L80</f>
        <v>1104812441.9911203</v>
      </c>
      <c r="M97" s="2">
        <f>M9/'Output-Calculation-sheet'!M8*'Output-Calculation-sheet'!M80</f>
        <v>1702199217.2775507</v>
      </c>
      <c r="N97" s="2">
        <f>N9/'Output-Calculation-sheet'!N8*'Output-Calculation-sheet'!N80</f>
        <v>1069500252.2839729</v>
      </c>
      <c r="O97" s="2">
        <f>O9/'Output-Calculation-sheet'!O8*'Output-Calculation-sheet'!O80</f>
        <v>397551923.52370632</v>
      </c>
      <c r="P97" s="2">
        <f>P9/'Output-Calculation-sheet'!P8*'Output-Calculation-sheet'!P80</f>
        <v>2005054425.1044528</v>
      </c>
      <c r="Q97" s="2">
        <f>Q9/'Output-Calculation-sheet'!Q8*'Output-Calculation-sheet'!Q80</f>
        <v>867255586.97440624</v>
      </c>
      <c r="R97" s="2">
        <f>R9/'Output-Calculation-sheet'!R8*'Output-Calculation-sheet'!R80</f>
        <v>1162128986.5895755</v>
      </c>
      <c r="S97" s="2">
        <f>S9/'Output-Calculation-sheet'!S8*'Output-Calculation-sheet'!S80</f>
        <v>646796168.57097995</v>
      </c>
      <c r="T97" s="2">
        <f>T9/'Output-Calculation-sheet'!T8*'Output-Calculation-sheet'!T80</f>
        <v>377142450.97361392</v>
      </c>
      <c r="U97" s="2">
        <f>U9/'Output-Calculation-sheet'!U8*'Output-Calculation-sheet'!U80</f>
        <v>300100931.64486432</v>
      </c>
      <c r="V97" s="2">
        <f>V9/'Output-Calculation-sheet'!V8*'Output-Calculation-sheet'!V80</f>
        <v>138423941.10387641</v>
      </c>
      <c r="W97" s="2">
        <f>W9/'Output-Calculation-sheet'!W8*'Output-Calculation-sheet'!W80</f>
        <v>428351505.49736542</v>
      </c>
      <c r="X97" s="2">
        <f>X9/'Output-Calculation-sheet'!X8*'Output-Calculation-sheet'!X80</f>
        <v>207463618.32267043</v>
      </c>
      <c r="Y97" s="2">
        <f>Y9/'Output-Calculation-sheet'!Y8*'Output-Calculation-sheet'!Y80</f>
        <v>272338844.80763704</v>
      </c>
      <c r="AA97" s="2">
        <f t="shared" si="8"/>
        <v>48.586959488535626</v>
      </c>
    </row>
    <row r="98" spans="1:27" x14ac:dyDescent="0.25">
      <c r="A98" s="2">
        <v>2033</v>
      </c>
      <c r="B98" s="2">
        <f>B10/'Output-Calculation-sheet'!B9*'Output-Calculation-sheet'!B81</f>
        <v>15258026876.408436</v>
      </c>
      <c r="C98" s="2">
        <f>C10/'Output-Calculation-sheet'!C9*'Output-Calculation-sheet'!C81</f>
        <v>3533165904.3599439</v>
      </c>
      <c r="D98" s="2">
        <f>D10/'Output-Calculation-sheet'!D9*'Output-Calculation-sheet'!D81</f>
        <v>2541736717.7338238</v>
      </c>
      <c r="E98" s="2">
        <f>E10/'Output-Calculation-sheet'!E9*'Output-Calculation-sheet'!E81</f>
        <v>11997978567.812172</v>
      </c>
      <c r="F98" s="2">
        <f>F10/'Output-Calculation-sheet'!F9*'Output-Calculation-sheet'!F81</f>
        <v>3091287071.6825538</v>
      </c>
      <c r="G98" s="2">
        <f>G10/'Output-Calculation-sheet'!G9*'Output-Calculation-sheet'!G81</f>
        <v>1805996771.8429027</v>
      </c>
      <c r="H98" s="2">
        <f>H10/'Output-Calculation-sheet'!H9*'Output-Calculation-sheet'!H81</f>
        <v>2514227305.8343019</v>
      </c>
      <c r="I98" s="2">
        <f>I10/'Output-Calculation-sheet'!I9*'Output-Calculation-sheet'!I81</f>
        <v>1432835586.858264</v>
      </c>
      <c r="J98" s="2">
        <f>J10/'Output-Calculation-sheet'!J9*'Output-Calculation-sheet'!J81</f>
        <v>1056990573.5945072</v>
      </c>
      <c r="K98" s="2">
        <f>K10/'Output-Calculation-sheet'!K9*'Output-Calculation-sheet'!K81</f>
        <v>1279963888.7897849</v>
      </c>
      <c r="L98" s="2">
        <f>L10/'Output-Calculation-sheet'!L9*'Output-Calculation-sheet'!L81</f>
        <v>1311837794.1490602</v>
      </c>
      <c r="M98" s="2">
        <f>M10/'Output-Calculation-sheet'!M9*'Output-Calculation-sheet'!M81</f>
        <v>2032884122.1806211</v>
      </c>
      <c r="N98" s="2">
        <f>N10/'Output-Calculation-sheet'!N9*'Output-Calculation-sheet'!N81</f>
        <v>1235412741.9059818</v>
      </c>
      <c r="O98" s="2">
        <f>O10/'Output-Calculation-sheet'!O9*'Output-Calculation-sheet'!O81</f>
        <v>455656691.34701782</v>
      </c>
      <c r="P98" s="2">
        <f>P10/'Output-Calculation-sheet'!P9*'Output-Calculation-sheet'!P81</f>
        <v>2260532455.5507212</v>
      </c>
      <c r="Q98" s="2">
        <f>Q10/'Output-Calculation-sheet'!Q9*'Output-Calculation-sheet'!Q81</f>
        <v>1004427772.6328683</v>
      </c>
      <c r="R98" s="2">
        <f>R10/'Output-Calculation-sheet'!R9*'Output-Calculation-sheet'!R81</f>
        <v>1355754005.7031488</v>
      </c>
      <c r="S98" s="2">
        <f>S10/'Output-Calculation-sheet'!S9*'Output-Calculation-sheet'!S81</f>
        <v>744578417.65138507</v>
      </c>
      <c r="T98" s="2">
        <f>T10/'Output-Calculation-sheet'!T9*'Output-Calculation-sheet'!T81</f>
        <v>419505256.17804068</v>
      </c>
      <c r="U98" s="2">
        <f>U10/'Output-Calculation-sheet'!U9*'Output-Calculation-sheet'!U81</f>
        <v>337085315.93175888</v>
      </c>
      <c r="V98" s="2">
        <f>V10/'Output-Calculation-sheet'!V9*'Output-Calculation-sheet'!V81</f>
        <v>156557946.68523654</v>
      </c>
      <c r="W98" s="2">
        <f>W10/'Output-Calculation-sheet'!W9*'Output-Calculation-sheet'!W81</f>
        <v>484156116.29158825</v>
      </c>
      <c r="X98" s="2">
        <f>X10/'Output-Calculation-sheet'!X9*'Output-Calculation-sheet'!X81</f>
        <v>253811153.91910249</v>
      </c>
      <c r="Y98" s="2">
        <f>Y10/'Output-Calculation-sheet'!Y9*'Output-Calculation-sheet'!Y81</f>
        <v>315989373.43941855</v>
      </c>
      <c r="AA98" s="2">
        <f t="shared" si="8"/>
        <v>56.880398428482636</v>
      </c>
    </row>
    <row r="99" spans="1:27" x14ac:dyDescent="0.25">
      <c r="A99" s="2">
        <v>2034</v>
      </c>
      <c r="B99" s="2">
        <f>B11/'Output-Calculation-sheet'!B10*'Output-Calculation-sheet'!B82</f>
        <v>16895675014.400738</v>
      </c>
      <c r="C99" s="2">
        <f>C11/'Output-Calculation-sheet'!C10*'Output-Calculation-sheet'!C82</f>
        <v>3846017429.7845163</v>
      </c>
      <c r="D99" s="2">
        <f>D11/'Output-Calculation-sheet'!D10*'Output-Calculation-sheet'!D82</f>
        <v>2608853713.3218083</v>
      </c>
      <c r="E99" s="2">
        <f>E11/'Output-Calculation-sheet'!E10*'Output-Calculation-sheet'!E82</f>
        <v>13769096889.354153</v>
      </c>
      <c r="F99" s="2">
        <f>F11/'Output-Calculation-sheet'!F10*'Output-Calculation-sheet'!F82</f>
        <v>3332895095.6249619</v>
      </c>
      <c r="G99" s="2">
        <f>G11/'Output-Calculation-sheet'!G10*'Output-Calculation-sheet'!G82</f>
        <v>1854960551.4815168</v>
      </c>
      <c r="H99" s="2">
        <f>H11/'Output-Calculation-sheet'!H10*'Output-Calculation-sheet'!H82</f>
        <v>2744862347.0185523</v>
      </c>
      <c r="I99" s="2">
        <f>I11/'Output-Calculation-sheet'!I10*'Output-Calculation-sheet'!I82</f>
        <v>1552095790.4380379</v>
      </c>
      <c r="J99" s="2">
        <f>J11/'Output-Calculation-sheet'!J10*'Output-Calculation-sheet'!J82</f>
        <v>1131467019.3335843</v>
      </c>
      <c r="K99" s="2">
        <f>K11/'Output-Calculation-sheet'!K10*'Output-Calculation-sheet'!K82</f>
        <v>1343454292.8654728</v>
      </c>
      <c r="L99" s="2">
        <f>L11/'Output-Calculation-sheet'!L10*'Output-Calculation-sheet'!L82</f>
        <v>1462470227.201437</v>
      </c>
      <c r="M99" s="2">
        <f>M11/'Output-Calculation-sheet'!M10*'Output-Calculation-sheet'!M82</f>
        <v>2279775289.9801641</v>
      </c>
      <c r="N99" s="2">
        <f>N11/'Output-Calculation-sheet'!N10*'Output-Calculation-sheet'!N82</f>
        <v>1341352065.8694081</v>
      </c>
      <c r="O99" s="2">
        <f>O11/'Output-Calculation-sheet'!O10*'Output-Calculation-sheet'!O82</f>
        <v>491602436.12450182</v>
      </c>
      <c r="P99" s="2">
        <f>P11/'Output-Calculation-sheet'!P10*'Output-Calculation-sheet'!P82</f>
        <v>2376235982.8429313</v>
      </c>
      <c r="Q99" s="2">
        <f>Q11/'Output-Calculation-sheet'!Q10*'Output-Calculation-sheet'!Q82</f>
        <v>1093040486.3432221</v>
      </c>
      <c r="R99" s="2">
        <f>R11/'Output-Calculation-sheet'!R10*'Output-Calculation-sheet'!R82</f>
        <v>1482683609.6288178</v>
      </c>
      <c r="S99" s="2">
        <f>S11/'Output-Calculation-sheet'!S10*'Output-Calculation-sheet'!S82</f>
        <v>803488122.3714366</v>
      </c>
      <c r="T99" s="2">
        <f>T11/'Output-Calculation-sheet'!T10*'Output-Calculation-sheet'!T82</f>
        <v>437531077.19188589</v>
      </c>
      <c r="U99" s="2">
        <f>U11/'Output-Calculation-sheet'!U10*'Output-Calculation-sheet'!U82</f>
        <v>354590761.18903756</v>
      </c>
      <c r="V99" s="2">
        <f>V11/'Output-Calculation-sheet'!V10*'Output-Calculation-sheet'!V82</f>
        <v>166097660.30657205</v>
      </c>
      <c r="W99" s="2">
        <f>W11/'Output-Calculation-sheet'!W10*'Output-Calculation-sheet'!W82</f>
        <v>510584021.94681901</v>
      </c>
      <c r="X99" s="2">
        <f>X11/'Output-Calculation-sheet'!X10*'Output-Calculation-sheet'!X82</f>
        <v>291818588.46078396</v>
      </c>
      <c r="Y99" s="2">
        <f>Y11/'Output-Calculation-sheet'!Y10*'Output-Calculation-sheet'!Y82</f>
        <v>342705082.3961516</v>
      </c>
      <c r="AA99" s="2">
        <f t="shared" si="8"/>
        <v>62.513353555476513</v>
      </c>
    </row>
    <row r="100" spans="1:27" x14ac:dyDescent="0.25">
      <c r="A100" s="2">
        <v>2035</v>
      </c>
      <c r="B100" s="2">
        <f>B12/'Output-Calculation-sheet'!B11*'Output-Calculation-sheet'!B83</f>
        <v>17816155310.665752</v>
      </c>
      <c r="C100" s="2">
        <f>C12/'Output-Calculation-sheet'!C11*'Output-Calculation-sheet'!C83</f>
        <v>3998004320.3118482</v>
      </c>
      <c r="D100" s="2">
        <f>D12/'Output-Calculation-sheet'!D11*'Output-Calculation-sheet'!D83</f>
        <v>2561042704.4056635</v>
      </c>
      <c r="E100" s="2">
        <f>E12/'Output-Calculation-sheet'!E11*'Output-Calculation-sheet'!E83</f>
        <v>15060403794.593639</v>
      </c>
      <c r="F100" s="2">
        <f>F12/'Output-Calculation-sheet'!F11*'Output-Calculation-sheet'!F83</f>
        <v>3426422735.4599614</v>
      </c>
      <c r="G100" s="2">
        <f>G12/'Output-Calculation-sheet'!G11*'Output-Calculation-sheet'!G83</f>
        <v>1815895318.1576908</v>
      </c>
      <c r="H100" s="2">
        <f>H12/'Output-Calculation-sheet'!H11*'Output-Calculation-sheet'!H83</f>
        <v>2853509086.776794</v>
      </c>
      <c r="I100" s="2">
        <f>I12/'Output-Calculation-sheet'!I11*'Output-Calculation-sheet'!I83</f>
        <v>1605807561.243927</v>
      </c>
      <c r="J100" s="2">
        <f>J12/'Output-Calculation-sheet'!J11*'Output-Calculation-sheet'!J83</f>
        <v>1157976856.698828</v>
      </c>
      <c r="K100" s="2">
        <f>K12/'Output-Calculation-sheet'!K11*'Output-Calculation-sheet'!K83</f>
        <v>1346618866.5402629</v>
      </c>
      <c r="L100" s="2">
        <f>L12/'Output-Calculation-sheet'!L11*'Output-Calculation-sheet'!L83</f>
        <v>1555815164.2601521</v>
      </c>
      <c r="M100" s="2">
        <f>M12/'Output-Calculation-sheet'!M11*'Output-Calculation-sheet'!M83</f>
        <v>2439878582.5515742</v>
      </c>
      <c r="N100" s="2">
        <f>N12/'Output-Calculation-sheet'!N11*'Output-Calculation-sheet'!N83</f>
        <v>1391519143.7925103</v>
      </c>
      <c r="O100" s="2">
        <f>O12/'Output-Calculation-sheet'!O11*'Output-Calculation-sheet'!O83</f>
        <v>507443283.96213299</v>
      </c>
      <c r="P100" s="2">
        <f>P12/'Output-Calculation-sheet'!P11*'Output-Calculation-sheet'!P83</f>
        <v>2369024838.4760966</v>
      </c>
      <c r="Q100" s="2">
        <f>Q12/'Output-Calculation-sheet'!Q11*'Output-Calculation-sheet'!Q83</f>
        <v>1135947240.7427526</v>
      </c>
      <c r="R100" s="2">
        <f>R12/'Output-Calculation-sheet'!R11*'Output-Calculation-sheet'!R83</f>
        <v>1544972783.7745304</v>
      </c>
      <c r="S100" s="2">
        <f>S12/'Output-Calculation-sheet'!S11*'Output-Calculation-sheet'!S83</f>
        <v>826171626.6462636</v>
      </c>
      <c r="T100" s="2">
        <f>T12/'Output-Calculation-sheet'!T11*'Output-Calculation-sheet'!T83</f>
        <v>435145403.72107661</v>
      </c>
      <c r="U100" s="2">
        <f>U12/'Output-Calculation-sheet'!U11*'Output-Calculation-sheet'!U83</f>
        <v>355234673.34613293</v>
      </c>
      <c r="V100" s="2">
        <f>V12/'Output-Calculation-sheet'!V11*'Output-Calculation-sheet'!V83</f>
        <v>168050089.5620169</v>
      </c>
      <c r="W100" s="2">
        <f>W12/'Output-Calculation-sheet'!W11*'Output-Calculation-sheet'!W83</f>
        <v>510989290.32891035</v>
      </c>
      <c r="X100" s="2">
        <f>X12/'Output-Calculation-sheet'!X11*'Output-Calculation-sheet'!X83</f>
        <v>320446458.30381584</v>
      </c>
      <c r="Y100" s="2">
        <f>Y12/'Output-Calculation-sheet'!Y11*'Output-Calculation-sheet'!Y83</f>
        <v>353229483.63684034</v>
      </c>
      <c r="AA100" s="2">
        <f t="shared" si="8"/>
        <v>65.555704617959179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2064.7259900599602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635.58669713461768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437.34550262282113</v>
      </c>
      <c r="N107" s="2">
        <f>N8/'Output-Calculation-sheet'!N7*'Output-Calculation-sheet'!N88</f>
        <v>171.93588103963955</v>
      </c>
      <c r="O107" s="2">
        <f>O8/'Output-Calculation-sheet'!O7*'Output-Calculation-sheet'!O88</f>
        <v>481.34268017019161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47.977711242919092</v>
      </c>
      <c r="Y107" s="2">
        <f>Y8/'Output-Calculation-sheet'!Y7*'Output-Calculation-sheet'!Y88</f>
        <v>0</v>
      </c>
      <c r="AA107" s="2">
        <f t="shared" si="9"/>
        <v>3.8389144622701497</v>
      </c>
    </row>
    <row r="108" spans="1:27" x14ac:dyDescent="0.25">
      <c r="A108" s="2">
        <v>2032</v>
      </c>
      <c r="B108" s="2">
        <f>B9/'Output-Calculation-sheet'!B8*'Output-Calculation-sheet'!B89</f>
        <v>982.70934398040458</v>
      </c>
      <c r="C108" s="2">
        <f>C9/'Output-Calculation-sheet'!C8*'Output-Calculation-sheet'!C89</f>
        <v>3731.3327988550755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1005.0424672972262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691.56702775402573</v>
      </c>
      <c r="N108" s="2">
        <f>N9/'Output-Calculation-sheet'!N8*'Output-Calculation-sheet'!N89</f>
        <v>485.49873817383394</v>
      </c>
      <c r="O108" s="2">
        <f>O9/'Output-Calculation-sheet'!O8*'Output-Calculation-sheet'!O89</f>
        <v>724.89430343074514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222.64370957011809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75.866341287889355</v>
      </c>
      <c r="Y108" s="2">
        <f>Y9/'Output-Calculation-sheet'!Y8*'Output-Calculation-sheet'!Y89</f>
        <v>0</v>
      </c>
      <c r="AA108" s="2">
        <f t="shared" si="9"/>
        <v>7.9195547303493186</v>
      </c>
    </row>
    <row r="109" spans="1:27" x14ac:dyDescent="0.25">
      <c r="A109" s="2">
        <v>2033</v>
      </c>
      <c r="B109" s="2">
        <f>B10/'Output-Calculation-sheet'!B9*'Output-Calculation-sheet'!B90</f>
        <v>5304.604595447775</v>
      </c>
      <c r="C109" s="2">
        <f>C10/'Output-Calculation-sheet'!C9*'Output-Calculation-sheet'!C90</f>
        <v>5035.3762364211116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1550.0449775633886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1066.5817942014903</v>
      </c>
      <c r="N109" s="2">
        <f>N10/'Output-Calculation-sheet'!N9*'Output-Calculation-sheet'!N90</f>
        <v>838.6215446922198</v>
      </c>
      <c r="O109" s="2">
        <f>O10/'Output-Calculation-sheet'!O9*'Output-Calculation-sheet'!O90</f>
        <v>978.2337159880816</v>
      </c>
      <c r="P109" s="2">
        <f>P10/'Output-Calculation-sheet'!P9*'Output-Calculation-sheet'!P90</f>
        <v>0</v>
      </c>
      <c r="Q109" s="2">
        <f>Q10/'Output-Calculation-sheet'!Q9*'Output-Calculation-sheet'!Q90</f>
        <v>183.69021781355681</v>
      </c>
      <c r="R109" s="2">
        <f>R10/'Output-Calculation-sheet'!R9*'Output-Calculation-sheet'!R90</f>
        <v>0</v>
      </c>
      <c r="S109" s="2">
        <f>S10/'Output-Calculation-sheet'!S9*'Output-Calculation-sheet'!S90</f>
        <v>420.63596755101003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117.00624113490871</v>
      </c>
      <c r="Y109" s="2">
        <f>Y10/'Output-Calculation-sheet'!Y9*'Output-Calculation-sheet'!Y90</f>
        <v>0</v>
      </c>
      <c r="AA109" s="2">
        <f t="shared" si="9"/>
        <v>15.494795290813542</v>
      </c>
    </row>
    <row r="110" spans="1:27" x14ac:dyDescent="0.25">
      <c r="A110" s="2">
        <v>2034</v>
      </c>
      <c r="B110" s="2">
        <f>B11/'Output-Calculation-sheet'!B10*'Output-Calculation-sheet'!B91</f>
        <v>9987.4548318106336</v>
      </c>
      <c r="C110" s="2">
        <f>C11/'Output-Calculation-sheet'!C10*'Output-Calculation-sheet'!C91</f>
        <v>6847.0671054416389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1945.6057999088221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1338.7661357657053</v>
      </c>
      <c r="N110" s="2">
        <f>N11/'Output-Calculation-sheet'!N10*'Output-Calculation-sheet'!N91</f>
        <v>1206.1408307158631</v>
      </c>
      <c r="O110" s="2">
        <f>O11/'Output-Calculation-sheet'!O10*'Output-Calculation-sheet'!O91</f>
        <v>1330.1949216284484</v>
      </c>
      <c r="P110" s="2">
        <f>P11/'Output-Calculation-sheet'!P10*'Output-Calculation-sheet'!P91</f>
        <v>303.88970937910977</v>
      </c>
      <c r="Q110" s="2">
        <f>Q11/'Output-Calculation-sheet'!Q10*'Output-Calculation-sheet'!Q91</f>
        <v>672.48620426179696</v>
      </c>
      <c r="R110" s="2">
        <f>R11/'Output-Calculation-sheet'!R10*'Output-Calculation-sheet'!R91</f>
        <v>0</v>
      </c>
      <c r="S110" s="2">
        <f>S11/'Output-Calculation-sheet'!S10*'Output-Calculation-sheet'!S91</f>
        <v>691.40156219729522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146.86542950222164</v>
      </c>
      <c r="Y110" s="2">
        <f>Y11/'Output-Calculation-sheet'!Y10*'Output-Calculation-sheet'!Y91</f>
        <v>23.621324790528366</v>
      </c>
      <c r="AA110" s="2">
        <f t="shared" si="9"/>
        <v>24.493493855402061</v>
      </c>
    </row>
    <row r="111" spans="1:27" x14ac:dyDescent="0.25">
      <c r="A111" s="2">
        <v>2035</v>
      </c>
      <c r="B111" s="2">
        <f>B12/'Output-Calculation-sheet'!B11*'Output-Calculation-sheet'!B92</f>
        <v>15881.210960090428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2653.221478369403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931.92402684962371</v>
      </c>
      <c r="Q111" s="2">
        <f>Q12/'Output-Calculation-sheet'!Q11*'Output-Calculation-sheet'!Q92</f>
        <v>1080.2425625505714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72.438386160848708</v>
      </c>
      <c r="AA111" s="2">
        <f t="shared" si="9"/>
        <v>37.293352087762251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9706239338.7993279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2986410577.8947029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2074319495.2789404</v>
      </c>
      <c r="N118" s="2">
        <f>N8/'Output-Calculation-sheet'!N7*'Output-Calculation-sheet'!N97</f>
        <v>1627749363.3383076</v>
      </c>
      <c r="O118" s="2">
        <f>O8/'Output-Calculation-sheet'!O7*'Output-Calculation-sheet'!O97</f>
        <v>1083123133.3756945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589224448.21909773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223572271.25161716</v>
      </c>
      <c r="Y118" s="2">
        <f>Y8/'Output-Calculation-sheet'!Y7*'Output-Calculation-sheet'!Y97</f>
        <v>0</v>
      </c>
      <c r="AA118" s="2">
        <f t="shared" si="10"/>
        <v>19946.396459943062</v>
      </c>
    </row>
    <row r="119" spans="1:27" x14ac:dyDescent="0.25">
      <c r="A119" s="2">
        <v>2032</v>
      </c>
      <c r="B119" s="2">
        <f>B9/'Output-Calculation-sheet'!B8*'Output-Calculation-sheet'!B98</f>
        <v>7372336548.3770466</v>
      </c>
      <c r="C119" s="2">
        <f>C9/'Output-Calculation-sheet'!C8*'Output-Calculation-sheet'!C98</f>
        <v>5859681998.6427908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3502931009.9477553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2445058963.154995</v>
      </c>
      <c r="N119" s="2">
        <f>N9/'Output-Calculation-sheet'!N8*'Output-Calculation-sheet'!N98</f>
        <v>1651211473.3856149</v>
      </c>
      <c r="O119" s="2">
        <f>O9/'Output-Calculation-sheet'!O8*'Output-Calculation-sheet'!O98</f>
        <v>1144873585.8880134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685477260.19744682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261630074.69402432</v>
      </c>
      <c r="Y119" s="2">
        <f>Y9/'Output-Calculation-sheet'!Y8*'Output-Calculation-sheet'!Y98</f>
        <v>0</v>
      </c>
      <c r="AA119" s="2">
        <f t="shared" si="10"/>
        <v>22923.200914287689</v>
      </c>
    </row>
    <row r="120" spans="1:27" x14ac:dyDescent="0.25">
      <c r="A120" s="2">
        <v>2033</v>
      </c>
      <c r="B120" s="2">
        <f>B10/'Output-Calculation-sheet'!B9*'Output-Calculation-sheet'!B99</f>
        <v>7631380531.8912258</v>
      </c>
      <c r="C120" s="2">
        <f>C10/'Output-Calculation-sheet'!C9*'Output-Calculation-sheet'!C99</f>
        <v>6273468659.9276428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2056921763.4991689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1455906311.8236151</v>
      </c>
      <c r="N120" s="2">
        <f>N10/'Output-Calculation-sheet'!N9*'Output-Calculation-sheet'!N99</f>
        <v>1451674314.8414052</v>
      </c>
      <c r="O120" s="2">
        <f>O10/'Output-Calculation-sheet'!O9*'Output-Calculation-sheet'!O99</f>
        <v>1228210035.2515991</v>
      </c>
      <c r="P120" s="2">
        <f>P10/'Output-Calculation-sheet'!P9*'Output-Calculation-sheet'!P99</f>
        <v>0</v>
      </c>
      <c r="Q120" s="2">
        <f>Q10/'Output-Calculation-sheet'!Q9*'Output-Calculation-sheet'!Q99</f>
        <v>8873738.3040653467</v>
      </c>
      <c r="R120" s="2">
        <f>R10/'Output-Calculation-sheet'!R9*'Output-Calculation-sheet'!R99</f>
        <v>0</v>
      </c>
      <c r="S120" s="2">
        <f>S10/'Output-Calculation-sheet'!S9*'Output-Calculation-sheet'!S99</f>
        <v>608008922.63718712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-1.0043818141480603E-8</v>
      </c>
      <c r="W120" s="2">
        <f>W10/'Output-Calculation-sheet'!W9*'Output-Calculation-sheet'!W99</f>
        <v>0</v>
      </c>
      <c r="X120" s="2">
        <f>X10/'Output-Calculation-sheet'!X9*'Output-Calculation-sheet'!X99</f>
        <v>145378704.65731943</v>
      </c>
      <c r="Y120" s="2">
        <f>Y10/'Output-Calculation-sheet'!Y9*'Output-Calculation-sheet'!Y99</f>
        <v>0</v>
      </c>
      <c r="AA120" s="2">
        <f t="shared" si="10"/>
        <v>20859.822982833226</v>
      </c>
    </row>
    <row r="121" spans="1:27" x14ac:dyDescent="0.25">
      <c r="A121" s="2">
        <v>2034</v>
      </c>
      <c r="B121" s="2">
        <f>B11/'Output-Calculation-sheet'!B10*'Output-Calculation-sheet'!B100</f>
        <v>7488107951.4661703</v>
      </c>
      <c r="C121" s="2">
        <f>C11/'Output-Calculation-sheet'!C10*'Output-Calculation-sheet'!C100</f>
        <v>898876266.18003738</v>
      </c>
      <c r="D121" s="2">
        <f>D11/'Output-Calculation-sheet'!D10*'Output-Calculation-sheet'!D100</f>
        <v>0</v>
      </c>
      <c r="E121" s="2">
        <f>E11/'Output-Calculation-sheet'!E10*'Output-Calculation-sheet'!E100</f>
        <v>1039735049.4897368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2366825244.3211169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863914020.76195705</v>
      </c>
      <c r="M121" s="2">
        <f>M11/'Output-Calculation-sheet'!M10*'Output-Calculation-sheet'!M100</f>
        <v>1684460472.7753186</v>
      </c>
      <c r="N121" s="2">
        <f>N11/'Output-Calculation-sheet'!N10*'Output-Calculation-sheet'!N100</f>
        <v>1122992158.9947906</v>
      </c>
      <c r="O121" s="2">
        <f>O11/'Output-Calculation-sheet'!O10*'Output-Calculation-sheet'!O100</f>
        <v>176317536.19175917</v>
      </c>
      <c r="P121" s="2">
        <f>P11/'Output-Calculation-sheet'!P10*'Output-Calculation-sheet'!P100</f>
        <v>0</v>
      </c>
      <c r="Q121" s="2">
        <f>Q11/'Output-Calculation-sheet'!Q10*'Output-Calculation-sheet'!Q100</f>
        <v>381581024.08556879</v>
      </c>
      <c r="R121" s="2">
        <f>R11/'Output-Calculation-sheet'!R10*'Output-Calculation-sheet'!R100</f>
        <v>0</v>
      </c>
      <c r="S121" s="2">
        <f>S11/'Output-Calculation-sheet'!S10*'Output-Calculation-sheet'!S100</f>
        <v>419878454.81617165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165510027.56658268</v>
      </c>
      <c r="Y121" s="2">
        <f>Y11/'Output-Calculation-sheet'!Y10*'Output-Calculation-sheet'!Y100</f>
        <v>24020049.685287964</v>
      </c>
      <c r="AA121" s="2">
        <f t="shared" si="10"/>
        <v>16632.218256334498</v>
      </c>
    </row>
    <row r="122" spans="1:27" x14ac:dyDescent="0.25">
      <c r="A122" s="2">
        <v>2035</v>
      </c>
      <c r="B122" s="2">
        <f>B12/'Output-Calculation-sheet'!B11*'Output-Calculation-sheet'!B101</f>
        <v>4101605586.8908796</v>
      </c>
      <c r="C122" s="2">
        <f>C12/'Output-Calculation-sheet'!C11*'Output-Calculation-sheet'!C101</f>
        <v>356553123.12153745</v>
      </c>
      <c r="D122" s="2">
        <f>D12/'Output-Calculation-sheet'!D11*'Output-Calculation-sheet'!D101</f>
        <v>0</v>
      </c>
      <c r="E122" s="2">
        <f>E12/'Output-Calculation-sheet'!E11*'Output-Calculation-sheet'!E101</f>
        <v>3193879593.0663762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604581485.43000543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2216866169.0858831</v>
      </c>
      <c r="M122" s="2">
        <f>M12/'Output-Calculation-sheet'!M11*'Output-Calculation-sheet'!M101</f>
        <v>554616674.0644381</v>
      </c>
      <c r="N122" s="2">
        <f>N12/'Output-Calculation-sheet'!N11*'Output-Calculation-sheet'!N101</f>
        <v>461006625.62125134</v>
      </c>
      <c r="O122" s="2">
        <f>O12/'Output-Calculation-sheet'!O11*'Output-Calculation-sheet'!O101</f>
        <v>63218994.075280838</v>
      </c>
      <c r="P122" s="2">
        <f>P12/'Output-Calculation-sheet'!P11*'Output-Calculation-sheet'!P101</f>
        <v>143478781.11557928</v>
      </c>
      <c r="Q122" s="2">
        <f>Q12/'Output-Calculation-sheet'!Q11*'Output-Calculation-sheet'!Q101</f>
        <v>708833870.7844162</v>
      </c>
      <c r="R122" s="2">
        <f>R12/'Output-Calculation-sheet'!R11*'Output-Calculation-sheet'!R101</f>
        <v>0</v>
      </c>
      <c r="S122" s="2">
        <f>S12/'Output-Calculation-sheet'!S11*'Output-Calculation-sheet'!S101</f>
        <v>192587326.56657967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17809614.449114513</v>
      </c>
      <c r="Y122" s="2">
        <f>Y12/'Output-Calculation-sheet'!Y11*'Output-Calculation-sheet'!Y101</f>
        <v>82149504.432319939</v>
      </c>
      <c r="AA122" s="2">
        <f t="shared" si="10"/>
        <v>12697.187348703661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2701111574.6659775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2710736678.1192789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177548.63921866487</v>
      </c>
    </row>
    <row r="130" spans="1:27" x14ac:dyDescent="0.25">
      <c r="A130" s="2">
        <v>2032</v>
      </c>
      <c r="B130" s="2">
        <f>B9/'Output-Calculation-sheet'!B8*'Output-Calculation-sheet'!B107</f>
        <v>66715422665.124954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2427117902.235466</v>
      </c>
      <c r="O130" s="2">
        <f>O9/'Output-Calculation-sheet'!O8*'Output-Calculation-sheet'!O107</f>
        <v>0</v>
      </c>
      <c r="P130" s="2">
        <f>P9/'Output-Calculation-sheet'!P8*'Output-Calculation-sheet'!P107</f>
        <v>7406014673.5269156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2156398300.1808925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234954.72976415878</v>
      </c>
    </row>
    <row r="131" spans="1:27" x14ac:dyDescent="0.25">
      <c r="A131" s="2">
        <v>2033</v>
      </c>
      <c r="B131" s="2">
        <f>B10/'Output-Calculation-sheet'!B9*'Output-Calculation-sheet'!B108</f>
        <v>56927776480.907623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2085698069.202342</v>
      </c>
      <c r="O131" s="2">
        <f>O10/'Output-Calculation-sheet'!O9*'Output-Calculation-sheet'!O108</f>
        <v>0</v>
      </c>
      <c r="P131" s="2">
        <f>P10/'Output-Calculation-sheet'!P9*'Output-Calculation-sheet'!P108</f>
        <v>9594043323.0125847</v>
      </c>
      <c r="Q131" s="2">
        <f>Q10/'Output-Calculation-sheet'!Q9*'Output-Calculation-sheet'!Q108</f>
        <v>8093280067.0584526</v>
      </c>
      <c r="R131" s="2">
        <f>R10/'Output-Calculation-sheet'!R9*'Output-Calculation-sheet'!R108</f>
        <v>9080844344.8933525</v>
      </c>
      <c r="S131" s="2">
        <f>S10/'Output-Calculation-sheet'!S9*'Output-Calculation-sheet'!S108</f>
        <v>2023118531.7976139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271706.95631326328</v>
      </c>
    </row>
    <row r="132" spans="1:27" x14ac:dyDescent="0.25">
      <c r="A132" s="2">
        <v>2034</v>
      </c>
      <c r="B132" s="2">
        <f>B11/'Output-Calculation-sheet'!B10*'Output-Calculation-sheet'!B109</f>
        <v>43521436940.862503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42016893266.792458</v>
      </c>
      <c r="F132" s="2">
        <f>F11/'Output-Calculation-sheet'!F10*'Output-Calculation-sheet'!F109</f>
        <v>27712347020.113914</v>
      </c>
      <c r="G132" s="2">
        <f>G11/'Output-Calculation-sheet'!G10*'Output-Calculation-sheet'!G109</f>
        <v>19417223613.009335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17266527710.747139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12854732440.879463</v>
      </c>
      <c r="M132" s="2">
        <f>M11/'Output-Calculation-sheet'!M10*'Output-Calculation-sheet'!M109</f>
        <v>0</v>
      </c>
      <c r="N132" s="2">
        <f>N11/'Output-Calculation-sheet'!N10*'Output-Calculation-sheet'!N109</f>
        <v>1690317373.3015053</v>
      </c>
      <c r="O132" s="2">
        <f>O11/'Output-Calculation-sheet'!O10*'Output-Calculation-sheet'!O109</f>
        <v>0</v>
      </c>
      <c r="P132" s="2">
        <f>P11/'Output-Calculation-sheet'!P10*'Output-Calculation-sheet'!P109</f>
        <v>9603922519.9183292</v>
      </c>
      <c r="Q132" s="2">
        <f>Q11/'Output-Calculation-sheet'!Q10*'Output-Calculation-sheet'!Q109</f>
        <v>6184129485.2137794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1160082028.9563863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3450666083.6505609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1209208133.6950405</v>
      </c>
      <c r="AA132" s="2">
        <f t="shared" si="11"/>
        <v>295439.98797687289</v>
      </c>
    </row>
    <row r="133" spans="1:27" x14ac:dyDescent="0.25">
      <c r="A133" s="2">
        <v>2035</v>
      </c>
      <c r="B133" s="2">
        <f>B12/'Output-Calculation-sheet'!B11*'Output-Calculation-sheet'!B110</f>
        <v>11797443007.921698</v>
      </c>
      <c r="C133" s="2">
        <f>C12/'Output-Calculation-sheet'!C11*'Output-Calculation-sheet'!C110</f>
        <v>0</v>
      </c>
      <c r="D133" s="2">
        <f>D12/'Output-Calculation-sheet'!D11*'Output-Calculation-sheet'!D110</f>
        <v>56108333876.779526</v>
      </c>
      <c r="E133" s="2">
        <f>E12/'Output-Calculation-sheet'!E11*'Output-Calculation-sheet'!E110</f>
        <v>29857557809.146988</v>
      </c>
      <c r="F133" s="2">
        <f>F12/'Output-Calculation-sheet'!F11*'Output-Calculation-sheet'!F110</f>
        <v>29680814706.245193</v>
      </c>
      <c r="G133" s="2">
        <f>G12/'Output-Calculation-sheet'!G11*'Output-Calculation-sheet'!G110</f>
        <v>20108670636.034855</v>
      </c>
      <c r="H133" s="2">
        <f>H12/'Output-Calculation-sheet'!H11*'Output-Calculation-sheet'!H110</f>
        <v>0</v>
      </c>
      <c r="I133" s="2">
        <f>I12/'Output-Calculation-sheet'!I11*'Output-Calculation-sheet'!I110</f>
        <v>18451519209.03606</v>
      </c>
      <c r="J133" s="2">
        <f>J12/'Output-Calculation-sheet'!J11*'Output-Calculation-sheet'!J110</f>
        <v>18483283830.407372</v>
      </c>
      <c r="K133" s="2">
        <f>K12/'Output-Calculation-sheet'!K11*'Output-Calculation-sheet'!K110</f>
        <v>18135515214.797844</v>
      </c>
      <c r="L133" s="2">
        <f>L12/'Output-Calculation-sheet'!L11*'Output-Calculation-sheet'!L110</f>
        <v>13034053071.275082</v>
      </c>
      <c r="M133" s="2">
        <f>M12/'Output-Calculation-sheet'!M11*'Output-Calculation-sheet'!M110</f>
        <v>0</v>
      </c>
      <c r="N133" s="2">
        <f>N12/'Output-Calculation-sheet'!N11*'Output-Calculation-sheet'!N110</f>
        <v>70017.250051786905</v>
      </c>
      <c r="O133" s="2">
        <f>O12/'Output-Calculation-sheet'!O11*'Output-Calculation-sheet'!O110</f>
        <v>0</v>
      </c>
      <c r="P133" s="2">
        <f>P12/'Output-Calculation-sheet'!P11*'Output-Calculation-sheet'!P110</f>
        <v>6512699288.0815487</v>
      </c>
      <c r="Q133" s="2">
        <f>Q12/'Output-Calculation-sheet'!Q11*'Output-Calculation-sheet'!Q110</f>
        <v>4141928016.5528173</v>
      </c>
      <c r="R133" s="2">
        <f>R12/'Output-Calculation-sheet'!R11*'Output-Calculation-sheet'!R110</f>
        <v>12062961169.115183</v>
      </c>
      <c r="S133" s="2">
        <f>S12/'Output-Calculation-sheet'!S11*'Output-Calculation-sheet'!S110</f>
        <v>11608781.665955812</v>
      </c>
      <c r="T133" s="2">
        <f>T12/'Output-Calculation-sheet'!T11*'Output-Calculation-sheet'!T110</f>
        <v>4506781140.592886</v>
      </c>
      <c r="U133" s="2">
        <f>U12/'Output-Calculation-sheet'!U11*'Output-Calculation-sheet'!U110</f>
        <v>3561931764.3556542</v>
      </c>
      <c r="V133" s="2">
        <f>V12/'Output-Calculation-sheet'!V11*'Output-Calculation-sheet'!V110</f>
        <v>3102020459.8199687</v>
      </c>
      <c r="W133" s="2">
        <f>W12/'Output-Calculation-sheet'!W11*'Output-Calculation-sheet'!W110</f>
        <v>2612267506.0319395</v>
      </c>
      <c r="X133" s="2">
        <f>X12/'Output-Calculation-sheet'!X11*'Output-Calculation-sheet'!X110</f>
        <v>0</v>
      </c>
      <c r="Y133" s="2">
        <f>Y12/'Output-Calculation-sheet'!Y11*'Output-Calculation-sheet'!Y110</f>
        <v>989761889.30875623</v>
      </c>
      <c r="AA133" s="2">
        <f t="shared" si="11"/>
        <v>253159.22139441944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17568587198.756069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5523121280.7604008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3796511111.0928745</v>
      </c>
      <c r="N140" s="2">
        <f>N8/'Output-Calculation-sheet'!N7*'Output-Calculation-sheet'!N115</f>
        <v>1433333424.0861151</v>
      </c>
      <c r="O140" s="2">
        <f>O8/'Output-Calculation-sheet'!O7*'Output-Calculation-sheet'!O115</f>
        <v>4216375384.0489945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412255524.73967898</v>
      </c>
      <c r="Y140" s="2">
        <f>Y8/'Output-Calculation-sheet'!Y7*'Output-Calculation-sheet'!Y115</f>
        <v>0</v>
      </c>
      <c r="AA140" s="2">
        <f t="shared" si="12"/>
        <v>32950.183923484132</v>
      </c>
    </row>
    <row r="141" spans="1:27" x14ac:dyDescent="0.25">
      <c r="A141" s="2">
        <v>2032</v>
      </c>
      <c r="B141" s="2">
        <f>B9/'Output-Calculation-sheet'!B8*'Output-Calculation-sheet'!B116</f>
        <v>7627112241.4023247</v>
      </c>
      <c r="C141" s="2">
        <f>C9/'Output-Calculation-sheet'!C8*'Output-Calculation-sheet'!C116</f>
        <v>32648550196.779503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8511335456.2665071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5843731120.0758362</v>
      </c>
      <c r="N141" s="2">
        <f>N9/'Output-Calculation-sheet'!N8*'Output-Calculation-sheet'!N116</f>
        <v>4057080924.3529534</v>
      </c>
      <c r="O141" s="2">
        <f>O9/'Output-Calculation-sheet'!O8*'Output-Calculation-sheet'!O116</f>
        <v>6337275477.2024946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1817207114.4735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636069598.52838171</v>
      </c>
      <c r="Y141" s="2">
        <f>Y9/'Output-Calculation-sheet'!Y8*'Output-Calculation-sheet'!Y116</f>
        <v>0</v>
      </c>
      <c r="AA141" s="2">
        <f t="shared" si="12"/>
        <v>67478.362129081492</v>
      </c>
    </row>
    <row r="142" spans="1:27" x14ac:dyDescent="0.25">
      <c r="A142" s="2">
        <v>2033</v>
      </c>
      <c r="B142" s="2">
        <f>B10/'Output-Calculation-sheet'!B9*'Output-Calculation-sheet'!B117</f>
        <v>41302891417.594276</v>
      </c>
      <c r="C142" s="2">
        <f>C10/'Output-Calculation-sheet'!C9*'Output-Calculation-sheet'!C117</f>
        <v>43614146691.949135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13507623378.479675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9282264660.6306648</v>
      </c>
      <c r="N142" s="2">
        <f>N10/'Output-Calculation-sheet'!N9*'Output-Calculation-sheet'!N117</f>
        <v>7002093731.1840849</v>
      </c>
      <c r="O142" s="2">
        <f>O10/'Output-Calculation-sheet'!O9*'Output-Calculation-sheet'!O117</f>
        <v>8464952355.4264612</v>
      </c>
      <c r="P142" s="2">
        <f>P10/'Output-Calculation-sheet'!P9*'Output-Calculation-sheet'!P117</f>
        <v>0</v>
      </c>
      <c r="Q142" s="2">
        <f>Q10/'Output-Calculation-sheet'!Q9*'Output-Calculation-sheet'!Q117</f>
        <v>1337302955.078603</v>
      </c>
      <c r="R142" s="2">
        <f>R10/'Output-Calculation-sheet'!R9*'Output-Calculation-sheet'!R117</f>
        <v>0</v>
      </c>
      <c r="S142" s="2">
        <f>S10/'Output-Calculation-sheet'!S9*'Output-Calculation-sheet'!S117</f>
        <v>3404738338.2547069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1017595985.2547498</v>
      </c>
      <c r="Y142" s="2">
        <f>Y10/'Output-Calculation-sheet'!Y9*'Output-Calculation-sheet'!Y117</f>
        <v>0</v>
      </c>
      <c r="AA142" s="2">
        <f t="shared" si="12"/>
        <v>128933.60951385234</v>
      </c>
    </row>
    <row r="143" spans="1:27" x14ac:dyDescent="0.25">
      <c r="A143" s="2">
        <v>2034</v>
      </c>
      <c r="B143" s="2">
        <f>B11/'Output-Calculation-sheet'!B10*'Output-Calculation-sheet'!B118</f>
        <v>78176146954.01384</v>
      </c>
      <c r="C143" s="2">
        <f>C11/'Output-Calculation-sheet'!C10*'Output-Calculation-sheet'!C118</f>
        <v>59980307843.668755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16626839743.459335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11419498374.587351</v>
      </c>
      <c r="N143" s="2">
        <f>N11/'Output-Calculation-sheet'!N10*'Output-Calculation-sheet'!N118</f>
        <v>10048242491.451683</v>
      </c>
      <c r="O143" s="2">
        <f>O11/'Output-Calculation-sheet'!O10*'Output-Calculation-sheet'!O118</f>
        <v>11652507513.465208</v>
      </c>
      <c r="P143" s="2">
        <f>P11/'Output-Calculation-sheet'!P10*'Output-Calculation-sheet'!P118</f>
        <v>2103825826.9518418</v>
      </c>
      <c r="Q143" s="2">
        <f>Q11/'Output-Calculation-sheet'!Q10*'Output-Calculation-sheet'!Q118</f>
        <v>4953397386.1651897</v>
      </c>
      <c r="R143" s="2">
        <f>R11/'Output-Calculation-sheet'!R10*'Output-Calculation-sheet'!R118</f>
        <v>0</v>
      </c>
      <c r="S143" s="2">
        <f>S11/'Output-Calculation-sheet'!S10*'Output-Calculation-sheet'!S118</f>
        <v>5785767451.4847717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1253687175.1254907</v>
      </c>
      <c r="Y143" s="2">
        <f>Y11/'Output-Calculation-sheet'!Y10*'Output-Calculation-sheet'!Y118</f>
        <v>146913627.1378659</v>
      </c>
      <c r="AA143" s="2">
        <f t="shared" si="12"/>
        <v>202147.13438751132</v>
      </c>
    </row>
    <row r="144" spans="1:27" x14ac:dyDescent="0.25">
      <c r="A144" s="2">
        <v>2035</v>
      </c>
      <c r="B144" s="2">
        <f>B12/'Output-Calculation-sheet'!B11*'Output-Calculation-sheet'!B119</f>
        <v>133524433817.78166</v>
      </c>
      <c r="C144" s="2">
        <f>C12/'Output-Calculation-sheet'!C11*'Output-Calculation-sheet'!C119</f>
        <v>70668055539.642654</v>
      </c>
      <c r="D144" s="2">
        <f>D12/'Output-Calculation-sheet'!D11*'Output-Calculation-sheet'!D119</f>
        <v>0</v>
      </c>
      <c r="E144" s="2">
        <f>E12/'Output-Calculation-sheet'!E11*'Output-Calculation-sheet'!E119</f>
        <v>16110700468.388157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21449411726.136459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14652180513.981295</v>
      </c>
      <c r="N144" s="2">
        <f>N12/'Output-Calculation-sheet'!N11*'Output-Calculation-sheet'!N119</f>
        <v>14461594094.289347</v>
      </c>
      <c r="O144" s="2">
        <f>O12/'Output-Calculation-sheet'!O11*'Output-Calculation-sheet'!O119</f>
        <v>13731420917.634401</v>
      </c>
      <c r="P144" s="2">
        <f>P12/'Output-Calculation-sheet'!P11*'Output-Calculation-sheet'!P119</f>
        <v>6649583193.8434868</v>
      </c>
      <c r="Q144" s="2">
        <f>Q12/'Output-Calculation-sheet'!Q11*'Output-Calculation-sheet'!Q119</f>
        <v>8089002976.4951992</v>
      </c>
      <c r="R144" s="2">
        <f>R12/'Output-Calculation-sheet'!R11*'Output-Calculation-sheet'!R119</f>
        <v>0</v>
      </c>
      <c r="S144" s="2">
        <f>S12/'Output-Calculation-sheet'!S11*'Output-Calculation-sheet'!S119</f>
        <v>8334350944.2981262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1637000662.8675275</v>
      </c>
      <c r="Y144" s="2">
        <f>Y12/'Output-Calculation-sheet'!Y11*'Output-Calculation-sheet'!Y119</f>
        <v>461644347.24656141</v>
      </c>
      <c r="AA144" s="2">
        <f t="shared" si="12"/>
        <v>309769.37920260488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2842195194.5317721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619765772.25475597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73654.697609431445</v>
      </c>
    </row>
    <row r="155" spans="1:27" x14ac:dyDescent="0.25">
      <c r="A155" s="2">
        <v>2035</v>
      </c>
      <c r="B155" s="2">
        <f>B12/'Output-Calculation-sheet'!B11*'Output-Calculation-sheet'!B128</f>
        <v>1754333142.7762306</v>
      </c>
      <c r="C155" s="2">
        <f>C12/'Output-Calculation-sheet'!C11*'Output-Calculation-sheet'!C128</f>
        <v>104861236.15442345</v>
      </c>
      <c r="D155" s="2">
        <f>D12/'Output-Calculation-sheet'!D11*'Output-Calculation-sheet'!D128</f>
        <v>7664388527.0895548</v>
      </c>
      <c r="E155" s="2">
        <f>E12/'Output-Calculation-sheet'!E11*'Output-Calculation-sheet'!E128</f>
        <v>1794873318.4372838</v>
      </c>
      <c r="F155" s="2">
        <f>F12/'Output-Calculation-sheet'!F11*'Output-Calculation-sheet'!F128</f>
        <v>3101386574.404839</v>
      </c>
      <c r="G155" s="2">
        <f>G12/'Output-Calculation-sheet'!G11*'Output-Calculation-sheet'!G128</f>
        <v>2927891234.1675324</v>
      </c>
      <c r="H155" s="2">
        <f>H12/'Output-Calculation-sheet'!H11*'Output-Calculation-sheet'!H128</f>
        <v>161200671.64821383</v>
      </c>
      <c r="I155" s="2">
        <f>I12/'Output-Calculation-sheet'!I11*'Output-Calculation-sheet'!I128</f>
        <v>2514319741.600769</v>
      </c>
      <c r="J155" s="2">
        <f>J12/'Output-Calculation-sheet'!J11*'Output-Calculation-sheet'!J128</f>
        <v>1817431756.4006627</v>
      </c>
      <c r="K155" s="2">
        <f>K12/'Output-Calculation-sheet'!K11*'Output-Calculation-sheet'!K128</f>
        <v>2011378817.3213017</v>
      </c>
      <c r="L155" s="2">
        <f>L12/'Output-Calculation-sheet'!L11*'Output-Calculation-sheet'!L128</f>
        <v>882069168.38960445</v>
      </c>
      <c r="M155" s="2">
        <f>M12/'Output-Calculation-sheet'!M11*'Output-Calculation-sheet'!M128</f>
        <v>127124553.13534768</v>
      </c>
      <c r="N155" s="2">
        <f>N12/'Output-Calculation-sheet'!N11*'Output-Calculation-sheet'!N128</f>
        <v>116190123.19391732</v>
      </c>
      <c r="O155" s="2">
        <f>O12/'Output-Calculation-sheet'!O11*'Output-Calculation-sheet'!O128</f>
        <v>25444790.5182065</v>
      </c>
      <c r="P155" s="2">
        <f>P12/'Output-Calculation-sheet'!P11*'Output-Calculation-sheet'!P128</f>
        <v>473992697.26830477</v>
      </c>
      <c r="Q155" s="2">
        <f>Q12/'Output-Calculation-sheet'!Q11*'Output-Calculation-sheet'!Q128</f>
        <v>577935382.61423123</v>
      </c>
      <c r="R155" s="2">
        <f>R12/'Output-Calculation-sheet'!R11*'Output-Calculation-sheet'!R128</f>
        <v>1035708628.8310487</v>
      </c>
      <c r="S155" s="2">
        <f>S12/'Output-Calculation-sheet'!S11*'Output-Calculation-sheet'!S128</f>
        <v>75427483.576391339</v>
      </c>
      <c r="T155" s="2">
        <f>T12/'Output-Calculation-sheet'!T11*'Output-Calculation-sheet'!T128</f>
        <v>284036028.28377342</v>
      </c>
      <c r="U155" s="2">
        <f>U12/'Output-Calculation-sheet'!U11*'Output-Calculation-sheet'!U128</f>
        <v>654106842.12165987</v>
      </c>
      <c r="V155" s="2">
        <f>V12/'Output-Calculation-sheet'!V11*'Output-Calculation-sheet'!V128</f>
        <v>97565634.062137365</v>
      </c>
      <c r="W155" s="2">
        <f>W12/'Output-Calculation-sheet'!W11*'Output-Calculation-sheet'!W128</f>
        <v>196702797.42637041</v>
      </c>
      <c r="X155" s="2">
        <f>X12/'Output-Calculation-sheet'!X11*'Output-Calculation-sheet'!X128</f>
        <v>4179577.7507095169</v>
      </c>
      <c r="Y155" s="2">
        <f>Y12/'Output-Calculation-sheet'!Y11*'Output-Calculation-sheet'!Y128</f>
        <v>108149585.45918964</v>
      </c>
      <c r="AA155" s="2">
        <f t="shared" si="13"/>
        <v>28510.698312631695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5858.1932021321054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1774.5171640176791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1232.6500755290399</v>
      </c>
      <c r="N19" s="2">
        <f>N8/'Output-Calculation-sheet'!N7*'Output-Calculation-sheet'!N25</f>
        <v>1025.4191995627032</v>
      </c>
      <c r="O19" s="2">
        <f>O8/'Output-Calculation-sheet'!O7*'Output-Calculation-sheet'!O25</f>
        <v>643.56138649012928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133.40702707065273</v>
      </c>
      <c r="Y19" s="2">
        <f>Y8/'Output-Calculation-sheet'!Y7*'Output-Calculation-sheet'!Y25</f>
        <v>0</v>
      </c>
      <c r="AA19" s="2">
        <f t="shared" si="0"/>
        <v>12.387083440360991</v>
      </c>
    </row>
    <row r="20" spans="1:27" x14ac:dyDescent="0.25">
      <c r="A20" s="2">
        <v>2032</v>
      </c>
      <c r="B20" s="2">
        <f>B9/'Output-Calculation-sheet'!B8*'Output-Calculation-sheet'!B26</f>
        <v>5803.7451777111264</v>
      </c>
      <c r="C20" s="2">
        <f>C9/'Output-Calculation-sheet'!C8*'Output-Calculation-sheet'!C26</f>
        <v>3182.6321649074998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1910.5498033957067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1335.1053881392099</v>
      </c>
      <c r="N20" s="2">
        <f>N9/'Output-Calculation-sheet'!N8*'Output-Calculation-sheet'!N26</f>
        <v>925.26441540229041</v>
      </c>
      <c r="O20" s="2">
        <f>O9/'Output-Calculation-sheet'!O8*'Output-Calculation-sheet'!O26</f>
        <v>621.82734414431593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438.9021466695134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145.27896535093302</v>
      </c>
      <c r="Y20" s="2">
        <f>Y9/'Output-Calculation-sheet'!Y8*'Output-Calculation-sheet'!Y26</f>
        <v>0</v>
      </c>
      <c r="AA20" s="2">
        <f t="shared" si="0"/>
        <v>14.363305405720597</v>
      </c>
    </row>
    <row r="21" spans="1:27" x14ac:dyDescent="0.25">
      <c r="A21" s="2">
        <v>2033</v>
      </c>
      <c r="B21" s="2">
        <f>B10/'Output-Calculation-sheet'!B9*'Output-Calculation-sheet'!B27</f>
        <v>4776.7548467730021</v>
      </c>
      <c r="C21" s="2">
        <f>C10/'Output-Calculation-sheet'!C9*'Output-Calculation-sheet'!C27</f>
        <v>2935.995682086133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962.64484702879577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681.36796389791198</v>
      </c>
      <c r="N21" s="2">
        <f>N10/'Output-Calculation-sheet'!N9*'Output-Calculation-sheet'!N27</f>
        <v>690.01949179683083</v>
      </c>
      <c r="O21" s="2">
        <f>O10/'Output-Calculation-sheet'!O9*'Output-Calculation-sheet'!O27</f>
        <v>574.80500893057069</v>
      </c>
      <c r="P21" s="2">
        <f>P10/'Output-Calculation-sheet'!P9*'Output-Calculation-sheet'!P27</f>
        <v>0</v>
      </c>
      <c r="Q21" s="2">
        <f>Q10/'Output-Calculation-sheet'!Q9*'Output-Calculation-sheet'!Q27</f>
        <v>8.0410563362825993</v>
      </c>
      <c r="R21" s="2">
        <f>R10/'Output-Calculation-sheet'!R9*'Output-Calculation-sheet'!R27</f>
        <v>0</v>
      </c>
      <c r="S21" s="2">
        <f>S10/'Output-Calculation-sheet'!S9*'Output-Calculation-sheet'!S27</f>
        <v>328.56173445297412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68.037519527863211</v>
      </c>
      <c r="Y21" s="2">
        <f>Y10/'Output-Calculation-sheet'!Y9*'Output-Calculation-sheet'!Y27</f>
        <v>0</v>
      </c>
      <c r="AA21" s="2">
        <f t="shared" si="0"/>
        <v>11.026228150830365</v>
      </c>
    </row>
    <row r="22" spans="1:27" x14ac:dyDescent="0.25">
      <c r="A22" s="2">
        <v>2034</v>
      </c>
      <c r="B22" s="2">
        <f>B11/'Output-Calculation-sheet'!B10*'Output-Calculation-sheet'!B28</f>
        <v>3358.4260721026467</v>
      </c>
      <c r="C22" s="2">
        <f>C11/'Output-Calculation-sheet'!C10*'Output-Calculation-sheet'!C28</f>
        <v>338.76269180901784</v>
      </c>
      <c r="D22" s="2">
        <f>D11/'Output-Calculation-sheet'!D10*'Output-Calculation-sheet'!D28</f>
        <v>0</v>
      </c>
      <c r="E22" s="2">
        <f>E11/'Output-Calculation-sheet'!E10*'Output-Calculation-sheet'!E28</f>
        <v>1124.8751882688193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891.9887084625949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682.19790131547279</v>
      </c>
      <c r="M22" s="2">
        <f>M11/'Output-Calculation-sheet'!M10*'Output-Calculation-sheet'!M28</f>
        <v>634.82496383505952</v>
      </c>
      <c r="N22" s="2">
        <f>N11/'Output-Calculation-sheet'!N10*'Output-Calculation-sheet'!N28</f>
        <v>424.38411011553075</v>
      </c>
      <c r="O22" s="2">
        <f>O11/'Output-Calculation-sheet'!O10*'Output-Calculation-sheet'!O28</f>
        <v>66.449090400451709</v>
      </c>
      <c r="P22" s="2">
        <f>P11/'Output-Calculation-sheet'!P10*'Output-Calculation-sheet'!P28</f>
        <v>0</v>
      </c>
      <c r="Q22" s="2">
        <f>Q11/'Output-Calculation-sheet'!Q10*'Output-Calculation-sheet'!Q28</f>
        <v>218.4444503111911</v>
      </c>
      <c r="R22" s="2">
        <f>R11/'Output-Calculation-sheet'!R10*'Output-Calculation-sheet'!R28</f>
        <v>0</v>
      </c>
      <c r="S22" s="2">
        <f>S11/'Output-Calculation-sheet'!S10*'Output-Calculation-sheet'!S28</f>
        <v>158.90287446831394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62.375972701330404</v>
      </c>
      <c r="Y22" s="2">
        <f>Y11/'Output-Calculation-sheet'!Y10*'Output-Calculation-sheet'!Y28</f>
        <v>25.426208271164892</v>
      </c>
      <c r="AA22" s="2">
        <f t="shared" si="0"/>
        <v>7.9870582320615933</v>
      </c>
    </row>
    <row r="23" spans="1:27" x14ac:dyDescent="0.25">
      <c r="A23" s="2">
        <v>2035</v>
      </c>
      <c r="B23" s="2">
        <f>B12/'Output-Calculation-sheet'!B11*'Output-Calculation-sheet'!B29</f>
        <v>1143.5048797740155</v>
      </c>
      <c r="C23" s="2">
        <f>C12/'Output-Calculation-sheet'!C11*'Output-Calculation-sheet'!C29</f>
        <v>99.404077417714362</v>
      </c>
      <c r="D23" s="2">
        <f>D12/'Output-Calculation-sheet'!D11*'Output-Calculation-sheet'!D29</f>
        <v>0</v>
      </c>
      <c r="E23" s="2">
        <f>E12/'Output-Calculation-sheet'!E11*'Output-Calculation-sheet'!E29</f>
        <v>1578.5088034987182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168.55462283473091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1059.2507831599889</v>
      </c>
      <c r="M23" s="2">
        <f>M12/'Output-Calculation-sheet'!M11*'Output-Calculation-sheet'!M29</f>
        <v>154.62426720003816</v>
      </c>
      <c r="N23" s="2">
        <f>N12/'Output-Calculation-sheet'!N11*'Output-Calculation-sheet'!N29</f>
        <v>128.526642233963</v>
      </c>
      <c r="O23" s="2">
        <f>O12/'Output-Calculation-sheet'!O11*'Output-Calculation-sheet'!O29</f>
        <v>17.625437425316498</v>
      </c>
      <c r="P23" s="2">
        <f>P12/'Output-Calculation-sheet'!P11*'Output-Calculation-sheet'!P29</f>
        <v>62.418076138292861</v>
      </c>
      <c r="Q23" s="2">
        <f>Q12/'Output-Calculation-sheet'!Q11*'Output-Calculation-sheet'!Q29</f>
        <v>234.74773596706348</v>
      </c>
      <c r="R23" s="2">
        <f>R12/'Output-Calculation-sheet'!R11*'Output-Calculation-sheet'!R29</f>
        <v>0</v>
      </c>
      <c r="S23" s="2">
        <f>S12/'Output-Calculation-sheet'!S11*'Output-Calculation-sheet'!S29</f>
        <v>53.692232057260426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4.965245594385391</v>
      </c>
      <c r="Y23" s="2">
        <f>Y12/'Output-Calculation-sheet'!Y11*'Output-Calculation-sheet'!Y29</f>
        <v>43.134618760427884</v>
      </c>
      <c r="AA23" s="2">
        <f t="shared" si="0"/>
        <v>4.7489574220619151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1168.9561967558079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45.831796256573988</v>
      </c>
    </row>
    <row r="31" spans="1:27" x14ac:dyDescent="0.25">
      <c r="A31" s="2">
        <v>2032</v>
      </c>
      <c r="B31" s="2">
        <f>B9/'Output-Calculation-sheet'!B8*'Output-Calculation-sheet'!B17</f>
        <v>24401.347983193351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954.11842318774177</v>
      </c>
      <c r="O31" s="2">
        <f>O9/'Output-Calculation-sheet'!O8*'Output-Calculation-sheet'!O17</f>
        <v>0</v>
      </c>
      <c r="P31" s="2">
        <f>P9/'Output-Calculation-sheet'!P8*'Output-Calculation-sheet'!P17</f>
        <v>2384.6708748948959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789.69307452468956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55.906390539741516</v>
      </c>
    </row>
    <row r="32" spans="1:27" x14ac:dyDescent="0.25">
      <c r="A32" s="2">
        <v>2033</v>
      </c>
      <c r="B32" s="2">
        <f>B10/'Output-Calculation-sheet'!B9*'Output-Calculation-sheet'!B18</f>
        <v>17278.785179473769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2705.3695499271407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699.36213755123481</v>
      </c>
      <c r="O32" s="2">
        <f>O10/'Output-Calculation-sheet'!O9*'Output-Calculation-sheet'!O18</f>
        <v>0</v>
      </c>
      <c r="P32" s="2">
        <f>P10/'Output-Calculation-sheet'!P9*'Output-Calculation-sheet'!P18</f>
        <v>2784.1878457811217</v>
      </c>
      <c r="Q32" s="2">
        <f>Q10/'Output-Calculation-sheet'!Q9*'Output-Calculation-sheet'!Q18</f>
        <v>2577.9030306982445</v>
      </c>
      <c r="R32" s="2">
        <f>R10/'Output-Calculation-sheet'!R9*'Output-Calculation-sheet'!R18</f>
        <v>1999.2411659670129</v>
      </c>
      <c r="S32" s="2">
        <f>S10/'Output-Calculation-sheet'!S9*'Output-Calculation-sheet'!S18</f>
        <v>636.2128268408344</v>
      </c>
      <c r="T32" s="2">
        <f>T10/'Output-Calculation-sheet'!T9*'Output-Calculation-sheet'!T18</f>
        <v>583.74589508430734</v>
      </c>
      <c r="U32" s="2">
        <f>U10/'Output-Calculation-sheet'!U9*'Output-Calculation-sheet'!U18</f>
        <v>645.30526069752477</v>
      </c>
      <c r="V32" s="2">
        <f>V10/'Output-Calculation-sheet'!V9*'Output-Calculation-sheet'!V18</f>
        <v>476.30281579572215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275.75406764908007</v>
      </c>
      <c r="AA32" s="2">
        <f t="shared" si="1"/>
        <v>54.931005146016808</v>
      </c>
    </row>
    <row r="33" spans="1:27" x14ac:dyDescent="0.25">
      <c r="A33" s="2">
        <v>2034</v>
      </c>
      <c r="B33" s="2">
        <f>B11/'Output-Calculation-sheet'!B10*'Output-Calculation-sheet'!B19</f>
        <v>10151.631810709301</v>
      </c>
      <c r="C33" s="2">
        <f>C11/'Output-Calculation-sheet'!C10*'Output-Calculation-sheet'!C19</f>
        <v>0</v>
      </c>
      <c r="D33" s="2">
        <f>D11/'Output-Calculation-sheet'!D10*'Output-Calculation-sheet'!D19</f>
        <v>6751.2729157471058</v>
      </c>
      <c r="E33" s="2">
        <f>E11/'Output-Calculation-sheet'!E10*'Output-Calculation-sheet'!E19</f>
        <v>8369.8737980148999</v>
      </c>
      <c r="F33" s="2">
        <f>F11/'Output-Calculation-sheet'!F10*'Output-Calculation-sheet'!F19</f>
        <v>3832.4201499203518</v>
      </c>
      <c r="G33" s="2">
        <f>G11/'Output-Calculation-sheet'!G10*'Output-Calculation-sheet'!G19</f>
        <v>2283.0268683751342</v>
      </c>
      <c r="H33" s="2">
        <f>H11/'Output-Calculation-sheet'!H10*'Output-Calculation-sheet'!H19</f>
        <v>0</v>
      </c>
      <c r="I33" s="2">
        <f>I11/'Output-Calculation-sheet'!I10*'Output-Calculation-sheet'!I19</f>
        <v>2507.8485850368661</v>
      </c>
      <c r="J33" s="2">
        <f>J11/'Output-Calculation-sheet'!J10*'Output-Calculation-sheet'!J19</f>
        <v>2120.6776330127982</v>
      </c>
      <c r="K33" s="2">
        <f>K11/'Output-Calculation-sheet'!K10*'Output-Calculation-sheet'!K19</f>
        <v>2941.4298720175484</v>
      </c>
      <c r="L33" s="2">
        <f>L11/'Output-Calculation-sheet'!L10*'Output-Calculation-sheet'!L19</f>
        <v>2392.3259396898297</v>
      </c>
      <c r="M33" s="2">
        <f>M11/'Output-Calculation-sheet'!M10*'Output-Calculation-sheet'!M19</f>
        <v>0</v>
      </c>
      <c r="N33" s="2">
        <f>N11/'Output-Calculation-sheet'!N10*'Output-Calculation-sheet'!N19</f>
        <v>454.10101269506498</v>
      </c>
      <c r="O33" s="2">
        <f>O11/'Output-Calculation-sheet'!O10*'Output-Calculation-sheet'!O19</f>
        <v>0</v>
      </c>
      <c r="P33" s="2">
        <f>P11/'Output-Calculation-sheet'!P10*'Output-Calculation-sheet'!P19</f>
        <v>2247.8740026295418</v>
      </c>
      <c r="Q33" s="2">
        <f>Q11/'Output-Calculation-sheet'!Q10*'Output-Calculation-sheet'!Q19</f>
        <v>1432.2808884599062</v>
      </c>
      <c r="R33" s="2">
        <f>R11/'Output-Calculation-sheet'!R10*'Output-Calculation-sheet'!R19</f>
        <v>2124.9701183893603</v>
      </c>
      <c r="S33" s="2">
        <f>S11/'Output-Calculation-sheet'!S10*'Output-Calculation-sheet'!S19</f>
        <v>288.67158488659004</v>
      </c>
      <c r="T33" s="2">
        <f>T11/'Output-Calculation-sheet'!T10*'Output-Calculation-sheet'!T19</f>
        <v>623.3756348645037</v>
      </c>
      <c r="U33" s="2">
        <f>U11/'Output-Calculation-sheet'!U10*'Output-Calculation-sheet'!U19</f>
        <v>674.21532723427811</v>
      </c>
      <c r="V33" s="2">
        <f>V11/'Output-Calculation-sheet'!V10*'Output-Calculation-sheet'!V19</f>
        <v>488.97419092014263</v>
      </c>
      <c r="W33" s="2">
        <f>W11/'Output-Calculation-sheet'!W10*'Output-Calculation-sheet'!W19</f>
        <v>304.45794190084382</v>
      </c>
      <c r="X33" s="2">
        <f>X11/'Output-Calculation-sheet'!X10*'Output-Calculation-sheet'!X19</f>
        <v>0</v>
      </c>
      <c r="Y33" s="2">
        <f>Y11/'Output-Calculation-sheet'!Y10*'Output-Calculation-sheet'!Y19</f>
        <v>249.26413754579201</v>
      </c>
      <c r="AA33" s="2">
        <f t="shared" si="1"/>
        <v>50.238692412049858</v>
      </c>
    </row>
    <row r="34" spans="1:27" x14ac:dyDescent="0.25">
      <c r="A34" s="2">
        <v>2035</v>
      </c>
      <c r="B34" s="2">
        <f>B12/'Output-Calculation-sheet'!B11*'Output-Calculation-sheet'!B20</f>
        <v>1956.7312322817472</v>
      </c>
      <c r="C34" s="2">
        <f>C12/'Output-Calculation-sheet'!C11*'Output-Calculation-sheet'!C20</f>
        <v>0</v>
      </c>
      <c r="D34" s="2">
        <f>D12/'Output-Calculation-sheet'!D11*'Output-Calculation-sheet'!D20</f>
        <v>5123.6645543088016</v>
      </c>
      <c r="E34" s="2">
        <f>E12/'Output-Calculation-sheet'!E11*'Output-Calculation-sheet'!E20</f>
        <v>3344.6110215310223</v>
      </c>
      <c r="F34" s="2">
        <f>F12/'Output-Calculation-sheet'!F11*'Output-Calculation-sheet'!F20</f>
        <v>3184.0016562217552</v>
      </c>
      <c r="G34" s="2">
        <f>G12/'Output-Calculation-sheet'!G11*'Output-Calculation-sheet'!G20</f>
        <v>1717.8811711044659</v>
      </c>
      <c r="H34" s="2">
        <f>H12/'Output-Calculation-sheet'!H11*'Output-Calculation-sheet'!H20</f>
        <v>0</v>
      </c>
      <c r="I34" s="2">
        <f>I12/'Output-Calculation-sheet'!I11*'Output-Calculation-sheet'!I20</f>
        <v>1909.8113027264721</v>
      </c>
      <c r="J34" s="2">
        <f>J12/'Output-Calculation-sheet'!J11*'Output-Calculation-sheet'!J20</f>
        <v>1771.0919201141842</v>
      </c>
      <c r="K34" s="2">
        <f>K12/'Output-Calculation-sheet'!K11*'Output-Calculation-sheet'!K20</f>
        <v>2361.0411757885095</v>
      </c>
      <c r="L34" s="2">
        <f>L12/'Output-Calculation-sheet'!L11*'Output-Calculation-sheet'!L20</f>
        <v>1879.7792689330192</v>
      </c>
      <c r="M34" s="2">
        <f>M12/'Output-Calculation-sheet'!M11*'Output-Calculation-sheet'!M20</f>
        <v>0</v>
      </c>
      <c r="N34" s="2">
        <f>N12/'Output-Calculation-sheet'!N11*'Output-Calculation-sheet'!N20</f>
        <v>1.3877626031740567E-2</v>
      </c>
      <c r="O34" s="2">
        <f>O12/'Output-Calculation-sheet'!O11*'Output-Calculation-sheet'!O20</f>
        <v>0</v>
      </c>
      <c r="P34" s="2">
        <f>P12/'Output-Calculation-sheet'!P11*'Output-Calculation-sheet'!P20</f>
        <v>966.50612824186942</v>
      </c>
      <c r="Q34" s="2">
        <f>Q12/'Output-Calculation-sheet'!Q11*'Output-Calculation-sheet'!Q20</f>
        <v>649.919446301113</v>
      </c>
      <c r="R34" s="2">
        <f>R12/'Output-Calculation-sheet'!R11*'Output-Calculation-sheet'!R20</f>
        <v>1803.7131987505254</v>
      </c>
      <c r="S34" s="2">
        <f>S12/'Output-Calculation-sheet'!S11*'Output-Calculation-sheet'!S20</f>
        <v>2.1369006048879693</v>
      </c>
      <c r="T34" s="2">
        <f>T12/'Output-Calculation-sheet'!T11*'Output-Calculation-sheet'!T20</f>
        <v>546.7356376501117</v>
      </c>
      <c r="U34" s="2">
        <f>U12/'Output-Calculation-sheet'!U11*'Output-Calculation-sheet'!U20</f>
        <v>503.58469588899595</v>
      </c>
      <c r="V34" s="2">
        <f>V12/'Output-Calculation-sheet'!V11*'Output-Calculation-sheet'!V20</f>
        <v>495.67404920326595</v>
      </c>
      <c r="W34" s="2">
        <f>W12/'Output-Calculation-sheet'!W11*'Output-Calculation-sheet'!W20</f>
        <v>268.80865816710042</v>
      </c>
      <c r="X34" s="2">
        <f>X12/'Output-Calculation-sheet'!X11*'Output-Calculation-sheet'!X20</f>
        <v>0</v>
      </c>
      <c r="Y34" s="2">
        <f>Y12/'Output-Calculation-sheet'!Y11*'Output-Calculation-sheet'!Y20</f>
        <v>122.78999149814759</v>
      </c>
      <c r="AA34" s="2">
        <f t="shared" si="1"/>
        <v>28.608495886942023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1.5206502163245298E-2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2.784954803857302E-3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1.7991456967102599E-2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3.2055732471149366E-2</v>
      </c>
      <c r="E45" s="2">
        <f>E12/'Output-Calculation-sheet'!E11*'Output-Calculation-sheet'!E38*0.0114</f>
        <v>7.6427360498524347E-2</v>
      </c>
      <c r="F45" s="2">
        <f>F12/'Output-Calculation-sheet'!F11*'Output-Calculation-sheet'!F38*0.0114</f>
        <v>3.2045034508875872E-2</v>
      </c>
      <c r="G45" s="2">
        <f>G12/'Output-Calculation-sheet'!G11*'Output-Calculation-sheet'!G38*0.0114</f>
        <v>2.2998231844994301E-2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2.0685488372723111E-2</v>
      </c>
      <c r="J45" s="2">
        <f>J12/'Output-Calculation-sheet'!J11*'Output-Calculation-sheet'!J38*0.0114</f>
        <v>1.0235890672213747E-2</v>
      </c>
      <c r="K45" s="2">
        <f>K12/'Output-Calculation-sheet'!K11*'Output-Calculation-sheet'!K38*0.0114</f>
        <v>2.0330542417809183E-2</v>
      </c>
      <c r="L45" s="2">
        <f>L12/'Output-Calculation-sheet'!L11*'Output-Calculation-sheet'!L38*0.0114</f>
        <v>8.0829557044246551E-3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2.0879081815803995E-2</v>
      </c>
      <c r="Q45" s="2">
        <f>Q12/'Output-Calculation-sheet'!Q11*'Output-Calculation-sheet'!Q38*0.0114</f>
        <v>6.6005593690407769E-3</v>
      </c>
      <c r="R45" s="2">
        <f>R12/'Output-Calculation-sheet'!R11*'Output-Calculation-sheet'!R38*0.0114</f>
        <v>1.3091397307371666E-2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2.4216619197452733E-3</v>
      </c>
      <c r="U45" s="2">
        <f>U12/'Output-Calculation-sheet'!U11*'Output-Calculation-sheet'!U38*0.0114</f>
        <v>6.3179259341852303E-3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2.8123569893949395E-3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3.2458589921111965E-3</v>
      </c>
      <c r="AA45" s="2">
        <f t="shared" si="2"/>
        <v>0.43081351435974791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0.15558197513314417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177.25593325515564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0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16.539287680341008</v>
      </c>
      <c r="AA54" s="2">
        <f t="shared" si="3"/>
        <v>4.3663066656500371</v>
      </c>
    </row>
    <row r="55" spans="1:27" x14ac:dyDescent="0.25">
      <c r="A55" s="2">
        <v>2034</v>
      </c>
      <c r="B55" s="2">
        <f>B11/'Output-Calculation-sheet'!B10*'Output-Calculation-sheet'!B46</f>
        <v>1326.6580748527799</v>
      </c>
      <c r="C55" s="2">
        <f>C11/'Output-Calculation-sheet'!C10*'Output-Calculation-sheet'!C46</f>
        <v>0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221.17586475095268</v>
      </c>
      <c r="G55" s="2">
        <f>G11/'Output-Calculation-sheet'!G10*'Output-Calculation-sheet'!G46</f>
        <v>2493.0660125531103</v>
      </c>
      <c r="H55" s="2">
        <f>H11/'Output-Calculation-sheet'!H10*'Output-Calculation-sheet'!H46</f>
        <v>452.26926726512443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1025.8867146891951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335.21253423265864</v>
      </c>
      <c r="N55" s="2">
        <f>N11/'Output-Calculation-sheet'!N10*'Output-Calculation-sheet'!N46</f>
        <v>114.48064219729444</v>
      </c>
      <c r="O55" s="2">
        <f>O11/'Output-Calculation-sheet'!O10*'Output-Calculation-sheet'!O46</f>
        <v>0</v>
      </c>
      <c r="P55" s="2">
        <f>P11/'Output-Calculation-sheet'!P10*'Output-Calculation-sheet'!P46</f>
        <v>2489.800417158378</v>
      </c>
      <c r="Q55" s="2">
        <f>Q11/'Output-Calculation-sheet'!Q10*'Output-Calculation-sheet'!Q46</f>
        <v>533.67092722687505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0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949.0832818408436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62.963343364823217</v>
      </c>
      <c r="X55" s="2">
        <f>X11/'Output-Calculation-sheet'!X10*'Output-Calculation-sheet'!X46</f>
        <v>31.993931030980683</v>
      </c>
      <c r="Y55" s="2">
        <f>Y11/'Output-Calculation-sheet'!Y10*'Output-Calculation-sheet'!Y46</f>
        <v>222.5241519527975</v>
      </c>
      <c r="AA55" s="2">
        <f t="shared" si="3"/>
        <v>32.956661984391069</v>
      </c>
    </row>
    <row r="56" spans="1:27" x14ac:dyDescent="0.25">
      <c r="A56" s="2">
        <v>2035</v>
      </c>
      <c r="B56" s="2">
        <f>B12/'Output-Calculation-sheet'!B11*'Output-Calculation-sheet'!B47</f>
        <v>1799.0993628299307</v>
      </c>
      <c r="C56" s="2">
        <f>C12/'Output-Calculation-sheet'!C11*'Output-Calculation-sheet'!C47</f>
        <v>206.33131190009368</v>
      </c>
      <c r="D56" s="2">
        <f>D12/'Output-Calculation-sheet'!D11*'Output-Calculation-sheet'!D47</f>
        <v>5078.3028809557682</v>
      </c>
      <c r="E56" s="2">
        <f>E12/'Output-Calculation-sheet'!E11*'Output-Calculation-sheet'!E47</f>
        <v>6654.9906305440209</v>
      </c>
      <c r="F56" s="2">
        <f>F12/'Output-Calculation-sheet'!F11*'Output-Calculation-sheet'!F47</f>
        <v>702.74198484376916</v>
      </c>
      <c r="G56" s="2">
        <f>G12/'Output-Calculation-sheet'!G11*'Output-Calculation-sheet'!G47</f>
        <v>1879.1976283870342</v>
      </c>
      <c r="H56" s="2">
        <f>H12/'Output-Calculation-sheet'!H11*'Output-Calculation-sheet'!H47</f>
        <v>80.126838879085966</v>
      </c>
      <c r="I56" s="2">
        <f>I12/'Output-Calculation-sheet'!I11*'Output-Calculation-sheet'!I47</f>
        <v>1197.5809057892327</v>
      </c>
      <c r="J56" s="2">
        <f>J12/'Output-Calculation-sheet'!J11*'Output-Calculation-sheet'!J47</f>
        <v>1999.5902216684224</v>
      </c>
      <c r="K56" s="2">
        <f>K12/'Output-Calculation-sheet'!K11*'Output-Calculation-sheet'!K47</f>
        <v>2670.6129184797587</v>
      </c>
      <c r="L56" s="2">
        <f>L12/'Output-Calculation-sheet'!L11*'Output-Calculation-sheet'!L47</f>
        <v>2892.1382735393131</v>
      </c>
      <c r="M56" s="2">
        <f>M12/'Output-Calculation-sheet'!M11*'Output-Calculation-sheet'!M47</f>
        <v>61.186472414198072</v>
      </c>
      <c r="N56" s="2">
        <f>N12/'Output-Calculation-sheet'!N11*'Output-Calculation-sheet'!N47</f>
        <v>57.49302213149663</v>
      </c>
      <c r="O56" s="2">
        <f>O12/'Output-Calculation-sheet'!O11*'Output-Calculation-sheet'!O47</f>
        <v>37.61770697121537</v>
      </c>
      <c r="P56" s="2">
        <f>P12/'Output-Calculation-sheet'!P11*'Output-Calculation-sheet'!P47</f>
        <v>1366.2978100517348</v>
      </c>
      <c r="Q56" s="2">
        <f>Q12/'Output-Calculation-sheet'!Q11*'Output-Calculation-sheet'!Q47</f>
        <v>525.14976734385823</v>
      </c>
      <c r="R56" s="2">
        <f>R12/'Output-Calculation-sheet'!R11*'Output-Calculation-sheet'!R47</f>
        <v>2944.4160259737678</v>
      </c>
      <c r="S56" s="2">
        <f>S12/'Output-Calculation-sheet'!S11*'Output-Calculation-sheet'!S47</f>
        <v>24.623034801935471</v>
      </c>
      <c r="T56" s="2">
        <f>T12/'Output-Calculation-sheet'!T11*'Output-Calculation-sheet'!T47</f>
        <v>990.54469576949202</v>
      </c>
      <c r="U56" s="2">
        <f>U12/'Output-Calculation-sheet'!U11*'Output-Calculation-sheet'!U47</f>
        <v>694.41764873106081</v>
      </c>
      <c r="V56" s="2">
        <f>V12/'Output-Calculation-sheet'!V11*'Output-Calculation-sheet'!V47</f>
        <v>686.16514580980015</v>
      </c>
      <c r="W56" s="2">
        <f>W12/'Output-Calculation-sheet'!W11*'Output-Calculation-sheet'!W47</f>
        <v>242.87416281222085</v>
      </c>
      <c r="X56" s="2">
        <f>X12/'Output-Calculation-sheet'!X11*'Output-Calculation-sheet'!X47</f>
        <v>6.2697151529786561</v>
      </c>
      <c r="Y56" s="2">
        <f>Y12/'Output-Calculation-sheet'!Y11*'Output-Calculation-sheet'!Y47</f>
        <v>193.82618498944711</v>
      </c>
      <c r="AA56" s="2">
        <f t="shared" si="3"/>
        <v>32.991594350769638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8.4525033952443724</v>
      </c>
      <c r="C63" s="2">
        <f>C8*'Output-Calculation-sheet'!C52/10^9</f>
        <v>4.5157620299364103</v>
      </c>
      <c r="D63" s="2">
        <f>D8*'Output-Calculation-sheet'!D52/10^9</f>
        <v>2.8985445532261007</v>
      </c>
      <c r="E63" s="2">
        <f>E8*'Output-Calculation-sheet'!E52/10^9</f>
        <v>2.8819307864885899</v>
      </c>
      <c r="F63" s="2">
        <f>F8*'Output-Calculation-sheet'!F52/10^9</f>
        <v>1.2204974498299215</v>
      </c>
      <c r="G63" s="2">
        <f>G8*'Output-Calculation-sheet'!G52/10^9</f>
        <v>0.87748252906127255</v>
      </c>
      <c r="H63" s="2">
        <f>H8*'Output-Calculation-sheet'!H52/10^9</f>
        <v>1.4271410359923562</v>
      </c>
      <c r="I63" s="2">
        <f>I8*'Output-Calculation-sheet'!I52/10^9</f>
        <v>0.81626247053976342</v>
      </c>
      <c r="J63" s="2">
        <f>J8*'Output-Calculation-sheet'!J52/10^9</f>
        <v>1.1232324873096657</v>
      </c>
      <c r="K63" s="2">
        <f>K8*'Output-Calculation-sheet'!K52/10^9</f>
        <v>0.98685964270596183</v>
      </c>
      <c r="L63" s="2">
        <f>L8*'Output-Calculation-sheet'!L52/10^9</f>
        <v>1.3273737014006977</v>
      </c>
      <c r="M63" s="2">
        <f>M8*'Output-Calculation-sheet'!M52/10^9</f>
        <v>1.1691609800269778</v>
      </c>
      <c r="N63" s="2">
        <f>N8*'Output-Calculation-sheet'!N52/10^9</f>
        <v>1.0316150834761733</v>
      </c>
      <c r="O63" s="2">
        <f>O8*'Output-Calculation-sheet'!O52/10^9</f>
        <v>0.92388592834454319</v>
      </c>
      <c r="P63" s="2">
        <f>P8*'Output-Calculation-sheet'!P52/10^9</f>
        <v>0.6818933925762265</v>
      </c>
      <c r="Q63" s="2">
        <f>Q8*'Output-Calculation-sheet'!Q52/10^9</f>
        <v>0.77170349432951535</v>
      </c>
      <c r="R63" s="2">
        <f>R8*'Output-Calculation-sheet'!R52/10^9</f>
        <v>0.69283655456552362</v>
      </c>
      <c r="S63" s="2">
        <f>S8*'Output-Calculation-sheet'!S52/10^9</f>
        <v>0.51341643535118631</v>
      </c>
      <c r="T63" s="2">
        <f>T8*'Output-Calculation-sheet'!T52/10^9</f>
        <v>0.263406560904132</v>
      </c>
      <c r="U63" s="2">
        <f>U8*'Output-Calculation-sheet'!U52/10^9</f>
        <v>0.18090480345304066</v>
      </c>
      <c r="V63" s="2">
        <f>V8*'Output-Calculation-sheet'!V52/10^9</f>
        <v>0.32106327497213499</v>
      </c>
      <c r="W63" s="2">
        <f>W8*'Output-Calculation-sheet'!W52/10^9</f>
        <v>0.11620986357337451</v>
      </c>
      <c r="X63" s="2">
        <f>X8*'Output-Calculation-sheet'!X52/10^9</f>
        <v>0.11974048939211968</v>
      </c>
      <c r="Y63" s="2">
        <f>Y8*'Output-Calculation-sheet'!Y52/10^9</f>
        <v>7.5823703306940826E-2</v>
      </c>
      <c r="AA63" s="2">
        <f t="shared" si="4"/>
        <v>33.389250646006992</v>
      </c>
    </row>
    <row r="64" spans="1:27" x14ac:dyDescent="0.25">
      <c r="A64" s="2">
        <v>2032</v>
      </c>
      <c r="B64" s="2">
        <f>B9*'Output-Calculation-sheet'!B53/10^9</f>
        <v>8.3209397877080793</v>
      </c>
      <c r="C64" s="2">
        <f>C9*'Output-Calculation-sheet'!C53/10^9</f>
        <v>4.4111871714596464</v>
      </c>
      <c r="D64" s="2">
        <f>D9*'Output-Calculation-sheet'!D53/10^9</f>
        <v>2.4643911877345106</v>
      </c>
      <c r="E64" s="2">
        <f>E9*'Output-Calculation-sheet'!E53/10^9</f>
        <v>2.5236450042782406</v>
      </c>
      <c r="F64" s="2">
        <f>F9*'Output-Calculation-sheet'!F53/10^9</f>
        <v>1.0644576382511011</v>
      </c>
      <c r="G64" s="2">
        <f>G9*'Output-Calculation-sheet'!G53/10^9</f>
        <v>0.75764838397602408</v>
      </c>
      <c r="H64" s="2">
        <f>H9*'Output-Calculation-sheet'!H53/10^9</f>
        <v>1.3844183682385423</v>
      </c>
      <c r="I64" s="2">
        <f>I9*'Output-Calculation-sheet'!I53/10^9</f>
        <v>0.70827741172763092</v>
      </c>
      <c r="J64" s="2">
        <f>J9*'Output-Calculation-sheet'!J53/10^9</f>
        <v>0.93761538175846049</v>
      </c>
      <c r="K64" s="2">
        <f>K9*'Output-Calculation-sheet'!K53/10^9</f>
        <v>0.86997950840714533</v>
      </c>
      <c r="L64" s="2">
        <f>L9*'Output-Calculation-sheet'!L53/10^9</f>
        <v>1.1192260372590352</v>
      </c>
      <c r="M64" s="2">
        <f>M9*'Output-Calculation-sheet'!M53/10^9</f>
        <v>1.0983740555353652</v>
      </c>
      <c r="N64" s="2">
        <f>N9*'Output-Calculation-sheet'!N53/10^9</f>
        <v>0.98889154265784884</v>
      </c>
      <c r="O64" s="2">
        <f>O9*'Output-Calculation-sheet'!O53/10^9</f>
        <v>0.89329843639626494</v>
      </c>
      <c r="P64" s="2">
        <f>P9*'Output-Calculation-sheet'!P53/10^9</f>
        <v>0.66330539405648037</v>
      </c>
      <c r="Q64" s="2">
        <f>Q9*'Output-Calculation-sheet'!Q53/10^9</f>
        <v>0.73304661674622418</v>
      </c>
      <c r="R64" s="2">
        <f>R9*'Output-Calculation-sheet'!R53/10^9</f>
        <v>0.62839406082606664</v>
      </c>
      <c r="S64" s="2">
        <f>S9*'Output-Calculation-sheet'!S53/10^9</f>
        <v>0.50565111681933872</v>
      </c>
      <c r="T64" s="2">
        <f>T9*'Output-Calculation-sheet'!T53/10^9</f>
        <v>0.22589041080090999</v>
      </c>
      <c r="U64" s="2">
        <f>U9*'Output-Calculation-sheet'!U53/10^9</f>
        <v>0.17002300249353688</v>
      </c>
      <c r="V64" s="2">
        <f>V9*'Output-Calculation-sheet'!V53/10^9</f>
        <v>0.26811664244242744</v>
      </c>
      <c r="W64" s="2">
        <f>W9*'Output-Calculation-sheet'!W53/10^9</f>
        <v>9.9627139455724115E-2</v>
      </c>
      <c r="X64" s="2">
        <f>X9*'Output-Calculation-sheet'!X53/10^9</f>
        <v>0.11422109004360469</v>
      </c>
      <c r="Y64" s="2">
        <f>Y9*'Output-Calculation-sheet'!Y53/10^9</f>
        <v>6.9802061530552947E-2</v>
      </c>
      <c r="AA64" s="2">
        <f t="shared" si="4"/>
        <v>31.020427450602767</v>
      </c>
    </row>
    <row r="65" spans="1:27" x14ac:dyDescent="0.25">
      <c r="A65" s="2">
        <v>2033</v>
      </c>
      <c r="B65" s="2">
        <f>B10*'Output-Calculation-sheet'!B54/10^9</f>
        <v>7.5020100457356573</v>
      </c>
      <c r="C65" s="2">
        <f>C10*'Output-Calculation-sheet'!C54/10^9</f>
        <v>3.8779234382712602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1.2177988432400981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0.7095363104139043</v>
      </c>
      <c r="L65" s="2">
        <f>L10*'Output-Calculation-sheet'!L54/10^9</f>
        <v>0.83803101346455167</v>
      </c>
      <c r="M65" s="2">
        <f>M10*'Output-Calculation-sheet'!M54/10^9</f>
        <v>0.92864917367898159</v>
      </c>
      <c r="N65" s="2">
        <f>N10*'Output-Calculation-sheet'!N54/10^9</f>
        <v>0.85214941285953616</v>
      </c>
      <c r="O65" s="2">
        <f>O10*'Output-Calculation-sheet'!O54/10^9</f>
        <v>0.77715300492310635</v>
      </c>
      <c r="P65" s="2">
        <f>P10*'Output-Calculation-sheet'!P54/10^9</f>
        <v>0.6002901640588113</v>
      </c>
      <c r="Q65" s="2">
        <f>Q10*'Output-Calculation-sheet'!Q54/10^9</f>
        <v>0.65391796594764595</v>
      </c>
      <c r="R65" s="2">
        <f>R10*'Output-Calculation-sheet'!R54/10^9</f>
        <v>0.52848994729232457</v>
      </c>
      <c r="S65" s="2">
        <f>S10*'Output-Calculation-sheet'!S54/10^9</f>
        <v>0.4495075834071488</v>
      </c>
      <c r="T65" s="2">
        <f>T10*'Output-Calculation-sheet'!T54/10^9</f>
        <v>0.17669996585219963</v>
      </c>
      <c r="U65" s="2">
        <f>U10*'Output-Calculation-sheet'!U54/10^9</f>
        <v>0.15257413525740371</v>
      </c>
      <c r="V65" s="2">
        <f>V10*'Output-Calculation-sheet'!V54/10^9</f>
        <v>0.1955495373643388</v>
      </c>
      <c r="W65" s="2">
        <f>W10*'Output-Calculation-sheet'!W54/10^9</f>
        <v>7.4450206093555599E-2</v>
      </c>
      <c r="X65" s="2">
        <f>X10*'Output-Calculation-sheet'!X54/10^9</f>
        <v>9.736952162166071E-2</v>
      </c>
      <c r="Y65" s="2">
        <f>Y10*'Output-Calculation-sheet'!Y54/10^9</f>
        <v>6.1277764137420074E-2</v>
      </c>
      <c r="AA65" s="2">
        <f t="shared" si="4"/>
        <v>26.188788469917</v>
      </c>
    </row>
    <row r="66" spans="1:27" x14ac:dyDescent="0.25">
      <c r="A66" s="2">
        <v>2034</v>
      </c>
      <c r="B66" s="2">
        <f>B11*'Output-Calculation-sheet'!B55/10^9</f>
        <v>6.1711266325376117</v>
      </c>
      <c r="C66" s="2">
        <f>C11*'Output-Calculation-sheet'!C55/10^9</f>
        <v>3.1043113761298877</v>
      </c>
      <c r="D66" s="2">
        <f>D11*'Output-Calculation-sheet'!D55/10^9</f>
        <v>1.3927216825535398</v>
      </c>
      <c r="E66" s="2">
        <f>E11*'Output-Calculation-sheet'!E55/10^9</f>
        <v>1.6864871828744581</v>
      </c>
      <c r="F66" s="2">
        <f>F11*'Output-Calculation-sheet'!F55/10^9</f>
        <v>0.6481420966338145</v>
      </c>
      <c r="G66" s="2">
        <f>G11*'Output-Calculation-sheet'!G55/10^9</f>
        <v>0.46330839329780565</v>
      </c>
      <c r="H66" s="2">
        <f>H11*'Output-Calculation-sheet'!H55/10^9</f>
        <v>0.96674735480147589</v>
      </c>
      <c r="I66" s="2">
        <f>I11*'Output-Calculation-sheet'!I55/10^9</f>
        <v>0.45303214791092883</v>
      </c>
      <c r="J66" s="2">
        <f>J11*'Output-Calculation-sheet'!J55/10^9</f>
        <v>0.46586907470852584</v>
      </c>
      <c r="K66" s="2">
        <f>K11*'Output-Calculation-sheet'!K55/10^9</f>
        <v>0.55721226102605292</v>
      </c>
      <c r="L66" s="2">
        <f>L11*'Output-Calculation-sheet'!L55/10^9</f>
        <v>0.59009676007463607</v>
      </c>
      <c r="M66" s="2">
        <f>M11*'Output-Calculation-sheet'!M55/10^9</f>
        <v>0.70469202448975854</v>
      </c>
      <c r="N66" s="2">
        <f>N11*'Output-Calculation-sheet'!N55/10^9</f>
        <v>0.66573026661560897</v>
      </c>
      <c r="O66" s="2">
        <f>O11*'Output-Calculation-sheet'!O55/10^9</f>
        <v>0.61187022309903016</v>
      </c>
      <c r="P66" s="2">
        <f>P11*'Output-Calculation-sheet'!P55/10^9</f>
        <v>0.51090573127053573</v>
      </c>
      <c r="Q66" s="2">
        <f>Q11*'Output-Calculation-sheet'!Q55/10^9</f>
        <v>0.54045516926089443</v>
      </c>
      <c r="R66" s="2">
        <f>R11*'Output-Calculation-sheet'!R55/10^9</f>
        <v>0.41744221771446877</v>
      </c>
      <c r="S66" s="2">
        <f>S11*'Output-Calculation-sheet'!S55/10^9</f>
        <v>0.36411010591568432</v>
      </c>
      <c r="T66" s="2">
        <f>T11*'Output-Calculation-sheet'!T55/10^9</f>
        <v>0.13083643361395561</v>
      </c>
      <c r="U66" s="2">
        <f>U11*'Output-Calculation-sheet'!U55/10^9</f>
        <v>0.13289100967796255</v>
      </c>
      <c r="V66" s="2">
        <f>V11*'Output-Calculation-sheet'!V55/10^9</f>
        <v>0.12411658608922005</v>
      </c>
      <c r="W66" s="2">
        <f>W11*'Output-Calculation-sheet'!W55/10^9</f>
        <v>5.6200797838351128E-2</v>
      </c>
      <c r="X66" s="2">
        <f>X11*'Output-Calculation-sheet'!X55/10^9</f>
        <v>7.5290606996041773E-2</v>
      </c>
      <c r="Y66" s="2">
        <f>Y11*'Output-Calculation-sheet'!Y55/10^9</f>
        <v>5.4944974393994712E-2</v>
      </c>
      <c r="AA66" s="2">
        <f t="shared" si="4"/>
        <v>20.888541109524237</v>
      </c>
    </row>
    <row r="67" spans="1:27" x14ac:dyDescent="0.25">
      <c r="A67" s="2">
        <v>2035</v>
      </c>
      <c r="B67" s="2">
        <f>B12*'Output-Calculation-sheet'!B56/10^9</f>
        <v>4.713882319746844</v>
      </c>
      <c r="C67" s="2">
        <f>C12*'Output-Calculation-sheet'!C56/10^9</f>
        <v>2.2124689438488221</v>
      </c>
      <c r="D67" s="2">
        <f>D12*'Output-Calculation-sheet'!D56/10^9</f>
        <v>1.0877028017381858</v>
      </c>
      <c r="E67" s="2">
        <f>E12*'Output-Calculation-sheet'!E56/10^9</f>
        <v>1.4540614791590174</v>
      </c>
      <c r="F67" s="2">
        <f>F12*'Output-Calculation-sheet'!F56/10^9</f>
        <v>0.5393845495389975</v>
      </c>
      <c r="G67" s="2">
        <f>G12*'Output-Calculation-sheet'!G56/10^9</f>
        <v>0.37784745339046749</v>
      </c>
      <c r="H67" s="2">
        <f>H12*'Output-Calculation-sheet'!H56/10^9</f>
        <v>0.69655190187449834</v>
      </c>
      <c r="I67" s="2">
        <f>I12*'Output-Calculation-sheet'!I56/10^9</f>
        <v>0.36704538201921899</v>
      </c>
      <c r="J67" s="2">
        <f>J12*'Output-Calculation-sheet'!J56/10^9</f>
        <v>0.36338996883425045</v>
      </c>
      <c r="K67" s="2">
        <f>K12*'Output-Calculation-sheet'!K56/10^9</f>
        <v>0.43789142246024204</v>
      </c>
      <c r="L67" s="2">
        <f>L12*'Output-Calculation-sheet'!L56/10^9</f>
        <v>0.43986735090673651</v>
      </c>
      <c r="M67" s="2">
        <f>M12*'Output-Calculation-sheet'!M56/10^9</f>
        <v>0.48455049002783807</v>
      </c>
      <c r="N67" s="2">
        <f>N12*'Output-Calculation-sheet'!N56/10^9</f>
        <v>0.47266991618429904</v>
      </c>
      <c r="O67" s="2">
        <f>O12*'Output-Calculation-sheet'!O56/10^9</f>
        <v>0.43008229818163041</v>
      </c>
      <c r="P67" s="2">
        <f>P12*'Output-Calculation-sheet'!P56/10^9</f>
        <v>0.41107239533046458</v>
      </c>
      <c r="Q67" s="2">
        <f>Q12*'Output-Calculation-sheet'!Q56/10^9</f>
        <v>0.41722465258687835</v>
      </c>
      <c r="R67" s="2">
        <f>R12*'Output-Calculation-sheet'!R56/10^9</f>
        <v>0.33214784319281715</v>
      </c>
      <c r="S67" s="2">
        <f>S12*'Output-Calculation-sheet'!S56/10^9</f>
        <v>0.27006286332175106</v>
      </c>
      <c r="T67" s="2">
        <f>T12*'Output-Calculation-sheet'!T56/10^9</f>
        <v>0.1006632558855395</v>
      </c>
      <c r="U67" s="2">
        <f>U12*'Output-Calculation-sheet'!U56/10^9</f>
        <v>0.10525164240296231</v>
      </c>
      <c r="V67" s="2">
        <f>V12*'Output-Calculation-sheet'!V56/10^9</f>
        <v>8.0738314968030064E-2</v>
      </c>
      <c r="W67" s="2">
        <f>W12*'Output-Calculation-sheet'!W56/10^9</f>
        <v>4.8747267482445275E-2</v>
      </c>
      <c r="X67" s="2">
        <f>X12*'Output-Calculation-sheet'!X56/10^9</f>
        <v>5.1799376287980932E-2</v>
      </c>
      <c r="Y67" s="2">
        <f>Y12*'Output-Calculation-sheet'!Y56/10^9</f>
        <v>4.6823229701189809E-2</v>
      </c>
      <c r="AA67" s="2">
        <f t="shared" si="4"/>
        <v>15.941927119071106</v>
      </c>
    </row>
    <row r="68" spans="1:27" x14ac:dyDescent="0.25">
      <c r="B68" s="2">
        <f>SUM(B60:B67)</f>
        <v>35.160462180972559</v>
      </c>
      <c r="C68" s="2">
        <f t="shared" ref="C68:Y68" si="5">SUM(C60:C67)</f>
        <v>18.121652959646024</v>
      </c>
      <c r="D68" s="2">
        <f t="shared" si="5"/>
        <v>9.6638913088931968</v>
      </c>
      <c r="E68" s="2">
        <f t="shared" si="5"/>
        <v>10.596011423580762</v>
      </c>
      <c r="F68" s="2">
        <f t="shared" si="5"/>
        <v>4.3046999006559519</v>
      </c>
      <c r="G68" s="2">
        <f t="shared" si="5"/>
        <v>3.0476802865048378</v>
      </c>
      <c r="H68" s="2">
        <f t="shared" si="5"/>
        <v>5.6926575041469709</v>
      </c>
      <c r="I68" s="2">
        <f t="shared" si="5"/>
        <v>2.9009989076414486</v>
      </c>
      <c r="J68" s="2">
        <f t="shared" si="5"/>
        <v>3.5551061058616926</v>
      </c>
      <c r="K68" s="2">
        <f t="shared" si="5"/>
        <v>3.5614791450133065</v>
      </c>
      <c r="L68" s="2">
        <f t="shared" si="5"/>
        <v>4.3145948631056568</v>
      </c>
      <c r="M68" s="2">
        <f t="shared" si="5"/>
        <v>4.3854267237589211</v>
      </c>
      <c r="N68" s="2">
        <f t="shared" si="5"/>
        <v>4.0110562217934662</v>
      </c>
      <c r="O68" s="2">
        <f t="shared" si="5"/>
        <v>3.6362898909445751</v>
      </c>
      <c r="P68" s="2">
        <f t="shared" si="5"/>
        <v>2.8674670772925186</v>
      </c>
      <c r="Q68" s="2">
        <f t="shared" si="5"/>
        <v>3.1163478988711582</v>
      </c>
      <c r="R68" s="2">
        <f t="shared" si="5"/>
        <v>2.5993106235912009</v>
      </c>
      <c r="S68" s="2">
        <f t="shared" si="5"/>
        <v>2.1027481048151095</v>
      </c>
      <c r="T68" s="2">
        <f t="shared" si="5"/>
        <v>0.89749662705673672</v>
      </c>
      <c r="U68" s="2">
        <f t="shared" si="5"/>
        <v>0.74164459328490606</v>
      </c>
      <c r="V68" s="2">
        <f t="shared" si="5"/>
        <v>0.98958435583615134</v>
      </c>
      <c r="W68" s="2">
        <f t="shared" si="5"/>
        <v>0.39523527444345069</v>
      </c>
      <c r="X68" s="2">
        <f t="shared" si="5"/>
        <v>0.45842108434140777</v>
      </c>
      <c r="Y68" s="2">
        <f t="shared" si="5"/>
        <v>0.30867173307009838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56.989368388008856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5.6989368388008853E-2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471.6435843273951</v>
      </c>
      <c r="Q76" s="2">
        <f>Q10/'Output-Calculation-sheet'!Q9*'Output-Calculation-sheet'!Q63</f>
        <v>56.025600975632116</v>
      </c>
      <c r="R76" s="2">
        <f>R10/'Output-Calculation-sheet'!R9*'Output-Calculation-sheet'!R63</f>
        <v>359.50980726582719</v>
      </c>
      <c r="S76" s="2">
        <f>S10/'Output-Calculation-sheet'!S9*'Output-Calculation-sheet'!S63</f>
        <v>0</v>
      </c>
      <c r="T76" s="2">
        <f>T10/'Output-Calculation-sheet'!T9*'Output-Calculation-sheet'!T63</f>
        <v>23.616971211697788</v>
      </c>
      <c r="U76" s="2">
        <f>U10/'Output-Calculation-sheet'!U9*'Output-Calculation-sheet'!U63</f>
        <v>127.56207564918319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6.0582963765313975</v>
      </c>
      <c r="AA76" s="2">
        <f t="shared" si="6"/>
        <v>1.1435948126395217</v>
      </c>
    </row>
    <row r="77" spans="1:27" x14ac:dyDescent="0.25">
      <c r="A77" s="2">
        <v>2034</v>
      </c>
      <c r="B77" s="2">
        <f>B11/'Output-Calculation-sheet'!B10*'Output-Calculation-sheet'!B64</f>
        <v>401.55286609643946</v>
      </c>
      <c r="C77" s="2">
        <f>C11/'Output-Calculation-sheet'!C10*'Output-Calculation-sheet'!C64</f>
        <v>0</v>
      </c>
      <c r="D77" s="2">
        <f>D11/'Output-Calculation-sheet'!D10*'Output-Calculation-sheet'!D64</f>
        <v>1350.6308935676764</v>
      </c>
      <c r="E77" s="2">
        <f>E11/'Output-Calculation-sheet'!E10*'Output-Calculation-sheet'!E64</f>
        <v>1674.7442950168995</v>
      </c>
      <c r="F77" s="2">
        <f>F11/'Output-Calculation-sheet'!F10*'Output-Calculation-sheet'!F64</f>
        <v>104.92285644471244</v>
      </c>
      <c r="G77" s="2">
        <f>G11/'Output-Calculation-sheet'!G10*'Output-Calculation-sheet'!G64</f>
        <v>676.64666134606273</v>
      </c>
      <c r="H77" s="2">
        <f>H11/'Output-Calculation-sheet'!H10*'Output-Calculation-sheet'!H64</f>
        <v>110.73619179300601</v>
      </c>
      <c r="I77" s="2">
        <f>I11/'Output-Calculation-sheet'!I10*'Output-Calculation-sheet'!I64</f>
        <v>418.66722793173886</v>
      </c>
      <c r="J77" s="2">
        <f>J11/'Output-Calculation-sheet'!J10*'Output-Calculation-sheet'!J64</f>
        <v>294.2216975613191</v>
      </c>
      <c r="K77" s="2">
        <f>K11/'Output-Calculation-sheet'!K10*'Output-Calculation-sheet'!K64</f>
        <v>641.90975537560178</v>
      </c>
      <c r="L77" s="2">
        <f>L11/'Output-Calculation-sheet'!L10*'Output-Calculation-sheet'!L64</f>
        <v>265.42352363713638</v>
      </c>
      <c r="M77" s="2">
        <f>M11/'Output-Calculation-sheet'!M10*'Output-Calculation-sheet'!M64</f>
        <v>79.75390840990066</v>
      </c>
      <c r="N77" s="2">
        <f>N11/'Output-Calculation-sheet'!N10*'Output-Calculation-sheet'!N64</f>
        <v>26.376864301075862</v>
      </c>
      <c r="O77" s="2">
        <f>O11/'Output-Calculation-sheet'!O10*'Output-Calculation-sheet'!O64</f>
        <v>0</v>
      </c>
      <c r="P77" s="2">
        <f>P11/'Output-Calculation-sheet'!P10*'Output-Calculation-sheet'!P64</f>
        <v>543.12202744459375</v>
      </c>
      <c r="Q77" s="2">
        <f>Q11/'Output-Calculation-sheet'!Q10*'Output-Calculation-sheet'!Q64</f>
        <v>131.00204776740628</v>
      </c>
      <c r="R77" s="2">
        <f>R11/'Output-Calculation-sheet'!R10*'Output-Calculation-sheet'!R64</f>
        <v>675.31184590200792</v>
      </c>
      <c r="S77" s="2">
        <f>S11/'Output-Calculation-sheet'!S10*'Output-Calculation-sheet'!S64</f>
        <v>0</v>
      </c>
      <c r="T77" s="2">
        <f>T11/'Output-Calculation-sheet'!T10*'Output-Calculation-sheet'!T64</f>
        <v>187.24806838309797</v>
      </c>
      <c r="U77" s="2">
        <f>U11/'Output-Calculation-sheet'!U10*'Output-Calculation-sheet'!U64</f>
        <v>205.37014035914967</v>
      </c>
      <c r="V77" s="2">
        <f>V11/'Output-Calculation-sheet'!V10*'Output-Calculation-sheet'!V64</f>
        <v>96.773408593370533</v>
      </c>
      <c r="W77" s="2">
        <f>W11/'Output-Calculation-sheet'!W10*'Output-Calculation-sheet'!W64</f>
        <v>21.233816638642132</v>
      </c>
      <c r="X77" s="2">
        <f>X11/'Output-Calculation-sheet'!X10*'Output-Calculation-sheet'!X64</f>
        <v>7.9505894036713549</v>
      </c>
      <c r="Y77" s="2">
        <f>Y11/'Output-Calculation-sheet'!Y10*'Output-Calculation-sheet'!Y64</f>
        <v>44.81367207522834</v>
      </c>
      <c r="AA77" s="2">
        <f t="shared" si="6"/>
        <v>7.9584123580487374</v>
      </c>
    </row>
    <row r="78" spans="1:27" x14ac:dyDescent="0.25">
      <c r="A78" s="2">
        <v>2035</v>
      </c>
      <c r="B78" s="2">
        <f>B12/'Output-Calculation-sheet'!B11*'Output-Calculation-sheet'!B65</f>
        <v>362.67569200066407</v>
      </c>
      <c r="C78" s="2">
        <f>C12/'Output-Calculation-sheet'!C11*'Output-Calculation-sheet'!C65</f>
        <v>37.076149584509139</v>
      </c>
      <c r="D78" s="2">
        <f>D12/'Output-Calculation-sheet'!D11*'Output-Calculation-sheet'!D65</f>
        <v>1152.7944373214591</v>
      </c>
      <c r="E78" s="2">
        <f>E12/'Output-Calculation-sheet'!E11*'Output-Calculation-sheet'!E65</f>
        <v>1076.3408200968349</v>
      </c>
      <c r="F78" s="2">
        <f>F12/'Output-Calculation-sheet'!F11*'Output-Calculation-sheet'!F65</f>
        <v>254.62871982035196</v>
      </c>
      <c r="G78" s="2">
        <f>G12/'Output-Calculation-sheet'!G11*'Output-Calculation-sheet'!G65</f>
        <v>504.1020768490709</v>
      </c>
      <c r="H78" s="2">
        <f>H12/'Output-Calculation-sheet'!H11*'Output-Calculation-sheet'!H65</f>
        <v>14.567450170846506</v>
      </c>
      <c r="I78" s="2">
        <f>I12/'Output-Calculation-sheet'!I11*'Output-Calculation-sheet'!I65</f>
        <v>334.31015340063607</v>
      </c>
      <c r="J78" s="2">
        <f>J12/'Output-Calculation-sheet'!J11*'Output-Calculation-sheet'!J65</f>
        <v>487.800348835813</v>
      </c>
      <c r="K78" s="2">
        <f>K12/'Output-Calculation-sheet'!K11*'Output-Calculation-sheet'!K65</f>
        <v>608.93808810303267</v>
      </c>
      <c r="L78" s="2">
        <f>L12/'Output-Calculation-sheet'!L11*'Output-Calculation-sheet'!L65</f>
        <v>513.75124651082672</v>
      </c>
      <c r="M78" s="2">
        <f>M12/'Output-Calculation-sheet'!M11*'Output-Calculation-sheet'!M65</f>
        <v>12.176780389243154</v>
      </c>
      <c r="N78" s="2">
        <f>N12/'Output-Calculation-sheet'!N11*'Output-Calculation-sheet'!N65</f>
        <v>9.8841739312735069</v>
      </c>
      <c r="O78" s="2">
        <f>O12/'Output-Calculation-sheet'!O11*'Output-Calculation-sheet'!O65</f>
        <v>6.7378863338934281</v>
      </c>
      <c r="P78" s="2">
        <f>P12/'Output-Calculation-sheet'!P11*'Output-Calculation-sheet'!P65</f>
        <v>281.86821501282219</v>
      </c>
      <c r="Q78" s="2">
        <f>Q12/'Output-Calculation-sheet'!Q11*'Output-Calculation-sheet'!Q65</f>
        <v>106.69398922549298</v>
      </c>
      <c r="R78" s="2">
        <f>R12/'Output-Calculation-sheet'!R11*'Output-Calculation-sheet'!R65</f>
        <v>646.60133853385946</v>
      </c>
      <c r="S78" s="2">
        <f>S12/'Output-Calculation-sheet'!S11*'Output-Calculation-sheet'!S65</f>
        <v>3.8464968519823506</v>
      </c>
      <c r="T78" s="2">
        <f>T12/'Output-Calculation-sheet'!T11*'Output-Calculation-sheet'!T65</f>
        <v>222.73065565669802</v>
      </c>
      <c r="U78" s="2">
        <f>U12/'Output-Calculation-sheet'!U11*'Output-Calculation-sheet'!U65</f>
        <v>152.60857726686206</v>
      </c>
      <c r="V78" s="2">
        <f>V12/'Output-Calculation-sheet'!V11*'Output-Calculation-sheet'!V65</f>
        <v>125.81294489691594</v>
      </c>
      <c r="W78" s="2">
        <f>W12/'Output-Calculation-sheet'!W11*'Output-Calculation-sheet'!W65</f>
        <v>59.492451734871629</v>
      </c>
      <c r="X78" s="2">
        <f>X12/'Output-Calculation-sheet'!X11*'Output-Calculation-sheet'!X65</f>
        <v>1.3045433199480059</v>
      </c>
      <c r="Y78" s="2">
        <f>Y12/'Output-Calculation-sheet'!Y11*'Output-Calculation-sheet'!Y65</f>
        <v>33.525808427005018</v>
      </c>
      <c r="AA78" s="2">
        <f t="shared" si="6"/>
        <v>7.0102690442749136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1.3339036985302892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0.97717712416045677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2.3110808226907463E-3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16.871438142710193</v>
      </c>
      <c r="E89" s="2">
        <f>E12/'Output-Calculation-sheet'!E11*'Output-Calculation-sheet'!E74</f>
        <v>37.990208434938999</v>
      </c>
      <c r="F89" s="2">
        <f>F12/'Output-Calculation-sheet'!F11*'Output-Calculation-sheet'!F74</f>
        <v>16.865807636250459</v>
      </c>
      <c r="G89" s="2">
        <f>G12/'Output-Calculation-sheet'!G11*'Output-Calculation-sheet'!G74</f>
        <v>12.104332549997</v>
      </c>
      <c r="H89" s="2">
        <f>H12/'Output-Calculation-sheet'!H11*'Output-Calculation-sheet'!H74</f>
        <v>1.9543131433923406</v>
      </c>
      <c r="I89" s="2">
        <f>I12/'Output-Calculation-sheet'!I11*'Output-Calculation-sheet'!I74</f>
        <v>10.887099143538478</v>
      </c>
      <c r="J89" s="2">
        <f>J12/'Output-Calculation-sheet'!J11*'Output-Calculation-sheet'!J74</f>
        <v>5.3873108801124987</v>
      </c>
      <c r="K89" s="2">
        <f>K12/'Output-Calculation-sheet'!K11*'Output-Calculation-sheet'!K74</f>
        <v>8.0252141122930976</v>
      </c>
      <c r="L89" s="2">
        <f>L12/'Output-Calculation-sheet'!L11*'Output-Calculation-sheet'!L74</f>
        <v>4.2541872128550811</v>
      </c>
      <c r="M89" s="2">
        <f>M12/'Output-Calculation-sheet'!M11*'Output-Calculation-sheet'!M74</f>
        <v>1.3447576354768807</v>
      </c>
      <c r="N89" s="2">
        <f>N12/'Output-Calculation-sheet'!N11*'Output-Calculation-sheet'!N74</f>
        <v>0.66083933484478885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12.820488834265609</v>
      </c>
      <c r="Q89" s="2">
        <f>Q12/'Output-Calculation-sheet'!Q11*'Output-Calculation-sheet'!Q74</f>
        <v>2.8949821794038493</v>
      </c>
      <c r="R89" s="2">
        <f>R12/'Output-Calculation-sheet'!R11*'Output-Calculation-sheet'!R74</f>
        <v>6.8902091091429813</v>
      </c>
      <c r="S89" s="2">
        <f>S12/'Output-Calculation-sheet'!S11*'Output-Calculation-sheet'!S74</f>
        <v>0.75763184005955297</v>
      </c>
      <c r="T89" s="2">
        <f>T12/'Output-Calculation-sheet'!T11*'Output-Calculation-sheet'!T74</f>
        <v>1.4869853893172731</v>
      </c>
      <c r="U89" s="2">
        <f>U12/'Output-Calculation-sheet'!U11*'Output-Calculation-sheet'!U74</f>
        <v>3.6946935287632927</v>
      </c>
      <c r="V89" s="2">
        <f>V12/'Output-Calculation-sheet'!V11*'Output-Calculation-sheet'!V74</f>
        <v>0.28489314752327183</v>
      </c>
      <c r="W89" s="2">
        <f>W12/'Output-Calculation-sheet'!W11*'Output-Calculation-sheet'!W74</f>
        <v>1.726885870681103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1.7795279562013138</v>
      </c>
      <c r="AA89" s="2">
        <f t="shared" si="7"/>
        <v>0.16592278247384934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9648799164.8671227</v>
      </c>
      <c r="C96" s="2">
        <f>C8/'Output-Calculation-sheet'!C7*'Output-Calculation-sheet'!C79</f>
        <v>2330027169.1078725</v>
      </c>
      <c r="D96" s="2">
        <f>D8/'Output-Calculation-sheet'!D7*'Output-Calculation-sheet'!D79</f>
        <v>1891626056.7476783</v>
      </c>
      <c r="E96" s="2">
        <f>E8/'Output-Calculation-sheet'!E7*'Output-Calculation-sheet'!E79</f>
        <v>7087244707.9814911</v>
      </c>
      <c r="F96" s="2">
        <f>F8/'Output-Calculation-sheet'!F7*'Output-Calculation-sheet'!F79</f>
        <v>2067456994.9723108</v>
      </c>
      <c r="G96" s="2">
        <f>G8/'Output-Calculation-sheet'!G7*'Output-Calculation-sheet'!G79</f>
        <v>1327012714.5912745</v>
      </c>
      <c r="H96" s="2">
        <f>H8/'Output-Calculation-sheet'!H7*'Output-Calculation-sheet'!H79</f>
        <v>1634835673.9344037</v>
      </c>
      <c r="I96" s="2">
        <f>I8/'Output-Calculation-sheet'!I7*'Output-Calculation-sheet'!I79</f>
        <v>954248981.9476831</v>
      </c>
      <c r="J96" s="2">
        <f>J8/'Output-Calculation-sheet'!J7*'Output-Calculation-sheet'!J79</f>
        <v>723131627.22274029</v>
      </c>
      <c r="K96" s="2">
        <f>K8/'Output-Calculation-sheet'!K7*'Output-Calculation-sheet'!K79</f>
        <v>906901959.11696625</v>
      </c>
      <c r="L96" s="2">
        <f>L8/'Output-Calculation-sheet'!L7*'Output-Calculation-sheet'!L79</f>
        <v>823312299.7604562</v>
      </c>
      <c r="M96" s="2">
        <f>M8/'Output-Calculation-sheet'!M7*'Output-Calculation-sheet'!M79</f>
        <v>1261430558.3318214</v>
      </c>
      <c r="N96" s="2">
        <f>N8/'Output-Calculation-sheet'!N7*'Output-Calculation-sheet'!N79</f>
        <v>820013995.26580286</v>
      </c>
      <c r="O96" s="2">
        <f>O8/'Output-Calculation-sheet'!O7*'Output-Calculation-sheet'!O79</f>
        <v>307686492.33372182</v>
      </c>
      <c r="P96" s="2">
        <f>P8/'Output-Calculation-sheet'!P7*'Output-Calculation-sheet'!P79</f>
        <v>1561731868.6260998</v>
      </c>
      <c r="Q96" s="2">
        <f>Q8/'Output-Calculation-sheet'!Q7*'Output-Calculation-sheet'!Q79</f>
        <v>663060320.2180171</v>
      </c>
      <c r="R96" s="2">
        <f>R8/'Output-Calculation-sheet'!R7*'Output-Calculation-sheet'!R79</f>
        <v>880068512.50635934</v>
      </c>
      <c r="S96" s="2">
        <f>S8/'Output-Calculation-sheet'!S7*'Output-Calculation-sheet'!S79</f>
        <v>496322947.78998429</v>
      </c>
      <c r="T96" s="2">
        <f>T8/'Output-Calculation-sheet'!T7*'Output-Calculation-sheet'!T79</f>
        <v>299421230.27695417</v>
      </c>
      <c r="U96" s="2">
        <f>U8/'Output-Calculation-sheet'!U7*'Output-Calculation-sheet'!U79</f>
        <v>235682066.7841922</v>
      </c>
      <c r="V96" s="2">
        <f>V8/'Output-Calculation-sheet'!V7*'Output-Calculation-sheet'!V79</f>
        <v>108169862.70321432</v>
      </c>
      <c r="W96" s="2">
        <f>W8/'Output-Calculation-sheet'!W7*'Output-Calculation-sheet'!W79</f>
        <v>333045230.05220509</v>
      </c>
      <c r="X96" s="2">
        <f>X8/'Output-Calculation-sheet'!X7*'Output-Calculation-sheet'!X79</f>
        <v>150209957.41197002</v>
      </c>
      <c r="Y96" s="2">
        <f>Y8/'Output-Calculation-sheet'!Y7*'Output-Calculation-sheet'!Y79</f>
        <v>206716536.28730005</v>
      </c>
      <c r="AA96" s="2">
        <f t="shared" si="8"/>
        <v>36.718156928837644</v>
      </c>
    </row>
    <row r="97" spans="1:27" x14ac:dyDescent="0.25">
      <c r="A97" s="2">
        <v>2032</v>
      </c>
      <c r="B97" s="2">
        <f>B9/'Output-Calculation-sheet'!B8*'Output-Calculation-sheet'!B80</f>
        <v>11419055897.698555</v>
      </c>
      <c r="C97" s="2">
        <f>C9/'Output-Calculation-sheet'!C8*'Output-Calculation-sheet'!C80</f>
        <v>2696979007.8499231</v>
      </c>
      <c r="D97" s="2">
        <f>D9/'Output-Calculation-sheet'!D8*'Output-Calculation-sheet'!D80</f>
        <v>2060190077.0356598</v>
      </c>
      <c r="E97" s="2">
        <f>E9/'Output-Calculation-sheet'!E8*'Output-Calculation-sheet'!E80</f>
        <v>8673107756.5893421</v>
      </c>
      <c r="F97" s="2">
        <f>F9/'Output-Calculation-sheet'!F8*'Output-Calculation-sheet'!F80</f>
        <v>2378463842.0776792</v>
      </c>
      <c r="G97" s="2">
        <f>G9/'Output-Calculation-sheet'!G8*'Output-Calculation-sheet'!G80</f>
        <v>1457395886.1966758</v>
      </c>
      <c r="H97" s="2">
        <f>H9/'Output-Calculation-sheet'!H8*'Output-Calculation-sheet'!H80</f>
        <v>1908254181.0914688</v>
      </c>
      <c r="I97" s="2">
        <f>I9/'Output-Calculation-sheet'!I8*'Output-Calculation-sheet'!I80</f>
        <v>1099150297.5863276</v>
      </c>
      <c r="J97" s="2">
        <f>J9/'Output-Calculation-sheet'!J8*'Output-Calculation-sheet'!J80</f>
        <v>821368323.24192178</v>
      </c>
      <c r="K97" s="2">
        <f>K9/'Output-Calculation-sheet'!K8*'Output-Calculation-sheet'!K80</f>
        <v>1013026077.1147799</v>
      </c>
      <c r="L97" s="2">
        <f>L9/'Output-Calculation-sheet'!L8*'Output-Calculation-sheet'!L80</f>
        <v>977133964.10398138</v>
      </c>
      <c r="M97" s="2">
        <f>M9/'Output-Calculation-sheet'!M8*'Output-Calculation-sheet'!M80</f>
        <v>1505483288.9784522</v>
      </c>
      <c r="N97" s="2">
        <f>N9/'Output-Calculation-sheet'!N8*'Output-Calculation-sheet'!N80</f>
        <v>945902654.06591618</v>
      </c>
      <c r="O97" s="2">
        <f>O9/'Output-Calculation-sheet'!O8*'Output-Calculation-sheet'!O80</f>
        <v>351608537.52677435</v>
      </c>
      <c r="P97" s="2">
        <f>P9/'Output-Calculation-sheet'!P8*'Output-Calculation-sheet'!P80</f>
        <v>1773338807.73067</v>
      </c>
      <c r="Q97" s="2">
        <f>Q9/'Output-Calculation-sheet'!Q8*'Output-Calculation-sheet'!Q80</f>
        <v>767030545.08001077</v>
      </c>
      <c r="R97" s="2">
        <f>R9/'Output-Calculation-sheet'!R8*'Output-Calculation-sheet'!R80</f>
        <v>1027826679.2686439</v>
      </c>
      <c r="S97" s="2">
        <f>S9/'Output-Calculation-sheet'!S8*'Output-Calculation-sheet'!S80</f>
        <v>572048684.59302557</v>
      </c>
      <c r="T97" s="2">
        <f>T9/'Output-Calculation-sheet'!T8*'Output-Calculation-sheet'!T80</f>
        <v>333557700.96830672</v>
      </c>
      <c r="U97" s="2">
        <f>U9/'Output-Calculation-sheet'!U8*'Output-Calculation-sheet'!U80</f>
        <v>265419542.56141621</v>
      </c>
      <c r="V97" s="2">
        <f>V9/'Output-Calculation-sheet'!V8*'Output-Calculation-sheet'!V80</f>
        <v>122426874.60503268</v>
      </c>
      <c r="W97" s="2">
        <f>W9/'Output-Calculation-sheet'!W8*'Output-Calculation-sheet'!W80</f>
        <v>378848742.7261551</v>
      </c>
      <c r="X97" s="2">
        <f>X9/'Output-Calculation-sheet'!X8*'Output-Calculation-sheet'!X80</f>
        <v>183487929.78257906</v>
      </c>
      <c r="Y97" s="2">
        <f>Y9/'Output-Calculation-sheet'!Y8*'Output-Calculation-sheet'!Y80</f>
        <v>240865802.09650126</v>
      </c>
      <c r="AA97" s="2">
        <f t="shared" si="8"/>
        <v>42.971971100569803</v>
      </c>
    </row>
    <row r="98" spans="1:27" x14ac:dyDescent="0.25">
      <c r="A98" s="2">
        <v>2033</v>
      </c>
      <c r="B98" s="2">
        <f>B10/'Output-Calculation-sheet'!B9*'Output-Calculation-sheet'!B81</f>
        <v>11627845082.894564</v>
      </c>
      <c r="C98" s="2">
        <f>C10/'Output-Calculation-sheet'!C9*'Output-Calculation-sheet'!C81</f>
        <v>2692556915.8345194</v>
      </c>
      <c r="D98" s="2">
        <f>D10/'Output-Calculation-sheet'!D9*'Output-Calculation-sheet'!D81</f>
        <v>1937008044.0093381</v>
      </c>
      <c r="E98" s="2">
        <f>E10/'Output-Calculation-sheet'!E9*'Output-Calculation-sheet'!E81</f>
        <v>9143425766.9395561</v>
      </c>
      <c r="F98" s="2">
        <f>F10/'Output-Calculation-sheet'!F9*'Output-Calculation-sheet'!F81</f>
        <v>2355809664.4761295</v>
      </c>
      <c r="G98" s="2">
        <f>G10/'Output-Calculation-sheet'!G9*'Output-Calculation-sheet'!G81</f>
        <v>1376314962.1702642</v>
      </c>
      <c r="H98" s="2">
        <f>H10/'Output-Calculation-sheet'!H9*'Output-Calculation-sheet'!H81</f>
        <v>1916043657.0358329</v>
      </c>
      <c r="I98" s="2">
        <f>I10/'Output-Calculation-sheet'!I9*'Output-Calculation-sheet'!I81</f>
        <v>1091936091.619205</v>
      </c>
      <c r="J98" s="2">
        <f>J10/'Output-Calculation-sheet'!J9*'Output-Calculation-sheet'!J81</f>
        <v>805511927.81289983</v>
      </c>
      <c r="K98" s="2">
        <f>K10/'Output-Calculation-sheet'!K9*'Output-Calculation-sheet'!K81</f>
        <v>975435548.19391203</v>
      </c>
      <c r="L98" s="2">
        <f>L10/'Output-Calculation-sheet'!L9*'Output-Calculation-sheet'!L81</f>
        <v>999726030.62041426</v>
      </c>
      <c r="M98" s="2">
        <f>M10/'Output-Calculation-sheet'!M9*'Output-Calculation-sheet'!M81</f>
        <v>1549221392.494787</v>
      </c>
      <c r="N98" s="2">
        <f>N10/'Output-Calculation-sheet'!N9*'Output-Calculation-sheet'!N81</f>
        <v>941483986.9320091</v>
      </c>
      <c r="O98" s="2">
        <f>O10/'Output-Calculation-sheet'!O9*'Output-Calculation-sheet'!O81</f>
        <v>347247089.08197886</v>
      </c>
      <c r="P98" s="2">
        <f>P10/'Output-Calculation-sheet'!P9*'Output-Calculation-sheet'!P81</f>
        <v>1722707753.1656735</v>
      </c>
      <c r="Q98" s="2">
        <f>Q10/'Output-Calculation-sheet'!Q9*'Output-Calculation-sheet'!Q81</f>
        <v>765454841.03125525</v>
      </c>
      <c r="R98" s="2">
        <f>R10/'Output-Calculation-sheet'!R9*'Output-Calculation-sheet'!R81</f>
        <v>1033193720.0349689</v>
      </c>
      <c r="S98" s="2">
        <f>S10/'Output-Calculation-sheet'!S9*'Output-Calculation-sheet'!S81</f>
        <v>567428709.00978708</v>
      </c>
      <c r="T98" s="2">
        <f>T10/'Output-Calculation-sheet'!T9*'Output-Calculation-sheet'!T81</f>
        <v>319696784.50628525</v>
      </c>
      <c r="U98" s="2">
        <f>U10/'Output-Calculation-sheet'!U9*'Output-Calculation-sheet'!U81</f>
        <v>256886153.44054806</v>
      </c>
      <c r="V98" s="2">
        <f>V10/'Output-Calculation-sheet'!V9*'Output-Calculation-sheet'!V81</f>
        <v>119309761.69446269</v>
      </c>
      <c r="W98" s="2">
        <f>W10/'Output-Calculation-sheet'!W9*'Output-Calculation-sheet'!W81</f>
        <v>368965945.71339744</v>
      </c>
      <c r="X98" s="2">
        <f>X10/'Output-Calculation-sheet'!X9*'Output-Calculation-sheet'!X81</f>
        <v>193424536.6053994</v>
      </c>
      <c r="Y98" s="2">
        <f>Y10/'Output-Calculation-sheet'!Y9*'Output-Calculation-sheet'!Y81</f>
        <v>240809346.57911423</v>
      </c>
      <c r="AA98" s="2">
        <f t="shared" si="8"/>
        <v>43.347443711896311</v>
      </c>
    </row>
    <row r="99" spans="1:27" x14ac:dyDescent="0.25">
      <c r="A99" s="2">
        <v>2034</v>
      </c>
      <c r="B99" s="2">
        <f>B11/'Output-Calculation-sheet'!B10*'Output-Calculation-sheet'!B82</f>
        <v>10368637694.206553</v>
      </c>
      <c r="C99" s="2">
        <f>C11/'Output-Calculation-sheet'!C10*'Output-Calculation-sheet'!C82</f>
        <v>2360246705.8019195</v>
      </c>
      <c r="D99" s="2">
        <f>D11/'Output-Calculation-sheet'!D10*'Output-Calculation-sheet'!D82</f>
        <v>1601016764.7971103</v>
      </c>
      <c r="E99" s="2">
        <f>E11/'Output-Calculation-sheet'!E10*'Output-Calculation-sheet'!E82</f>
        <v>8449900752.7343454</v>
      </c>
      <c r="F99" s="2">
        <f>F11/'Output-Calculation-sheet'!F10*'Output-Calculation-sheet'!F82</f>
        <v>2045350759.2847617</v>
      </c>
      <c r="G99" s="2">
        <f>G11/'Output-Calculation-sheet'!G10*'Output-Calculation-sheet'!G82</f>
        <v>1138363153.8227482</v>
      </c>
      <c r="H99" s="2">
        <f>H11/'Output-Calculation-sheet'!H10*'Output-Calculation-sheet'!H82</f>
        <v>1684483346.9184883</v>
      </c>
      <c r="I99" s="2">
        <f>I11/'Output-Calculation-sheet'!I10*'Output-Calculation-sheet'!I82</f>
        <v>952499317.37195849</v>
      </c>
      <c r="J99" s="2">
        <f>J11/'Output-Calculation-sheet'!J10*'Output-Calculation-sheet'!J82</f>
        <v>694365367.25607967</v>
      </c>
      <c r="K99" s="2">
        <f>K11/'Output-Calculation-sheet'!K10*'Output-Calculation-sheet'!K82</f>
        <v>824458970.09594083</v>
      </c>
      <c r="L99" s="2">
        <f>L11/'Output-Calculation-sheet'!L10*'Output-Calculation-sheet'!L82</f>
        <v>897497372.04882407</v>
      </c>
      <c r="M99" s="2">
        <f>M11/'Output-Calculation-sheet'!M10*'Output-Calculation-sheet'!M82</f>
        <v>1399065973.14765</v>
      </c>
      <c r="N99" s="2">
        <f>N11/'Output-Calculation-sheet'!N10*'Output-Calculation-sheet'!N82</f>
        <v>823168863.00909185</v>
      </c>
      <c r="O99" s="2">
        <f>O11/'Output-Calculation-sheet'!O10*'Output-Calculation-sheet'!O82</f>
        <v>301689488.31104571</v>
      </c>
      <c r="P99" s="2">
        <f>P11/'Output-Calculation-sheet'!P10*'Output-Calculation-sheet'!P82</f>
        <v>1458262541.2145491</v>
      </c>
      <c r="Q99" s="2">
        <f>Q11/'Output-Calculation-sheet'!Q10*'Output-Calculation-sheet'!Q82</f>
        <v>670783545.39445281</v>
      </c>
      <c r="R99" s="2">
        <f>R11/'Output-Calculation-sheet'!R10*'Output-Calculation-sheet'!R82</f>
        <v>909902040.03547251</v>
      </c>
      <c r="S99" s="2">
        <f>S11/'Output-Calculation-sheet'!S10*'Output-Calculation-sheet'!S82</f>
        <v>493089339.45325512</v>
      </c>
      <c r="T99" s="2">
        <f>T11/'Output-Calculation-sheet'!T10*'Output-Calculation-sheet'!T82</f>
        <v>268506657.20617205</v>
      </c>
      <c r="U99" s="2">
        <f>U11/'Output-Calculation-sheet'!U10*'Output-Calculation-sheet'!U82</f>
        <v>217607353.91443917</v>
      </c>
      <c r="V99" s="2">
        <f>V11/'Output-Calculation-sheet'!V10*'Output-Calculation-sheet'!V82</f>
        <v>101931793.7937576</v>
      </c>
      <c r="W99" s="2">
        <f>W11/'Output-Calculation-sheet'!W10*'Output-Calculation-sheet'!W82</f>
        <v>313338220.07733172</v>
      </c>
      <c r="X99" s="2">
        <f>X11/'Output-Calculation-sheet'!X10*'Output-Calculation-sheet'!X82</f>
        <v>179084955.97871515</v>
      </c>
      <c r="Y99" s="2">
        <f>Y11/'Output-Calculation-sheet'!Y10*'Output-Calculation-sheet'!Y82</f>
        <v>210313280.30991563</v>
      </c>
      <c r="AA99" s="2">
        <f t="shared" si="8"/>
        <v>38.36356425618456</v>
      </c>
    </row>
    <row r="100" spans="1:27" x14ac:dyDescent="0.25">
      <c r="A100" s="2">
        <v>2035</v>
      </c>
      <c r="B100" s="2">
        <f>B12/'Output-Calculation-sheet'!B11*'Output-Calculation-sheet'!B83</f>
        <v>8088202310.9422817</v>
      </c>
      <c r="C100" s="2">
        <f>C12/'Output-Calculation-sheet'!C11*'Output-Calculation-sheet'!C83</f>
        <v>1815019414.6177521</v>
      </c>
      <c r="D100" s="2">
        <f>D12/'Output-Calculation-sheet'!D11*'Output-Calculation-sheet'!D83</f>
        <v>1162665634.5881233</v>
      </c>
      <c r="E100" s="2">
        <f>E12/'Output-Calculation-sheet'!E11*'Output-Calculation-sheet'!E83</f>
        <v>6837142506.3988371</v>
      </c>
      <c r="F100" s="2">
        <f>F12/'Output-Calculation-sheet'!F11*'Output-Calculation-sheet'!F83</f>
        <v>1555532032.8074102</v>
      </c>
      <c r="G100" s="2">
        <f>G12/'Output-Calculation-sheet'!G11*'Output-Calculation-sheet'!G83</f>
        <v>824382615.25255358</v>
      </c>
      <c r="H100" s="2">
        <f>H12/'Output-Calculation-sheet'!H11*'Output-Calculation-sheet'!H83</f>
        <v>1295439918.8553338</v>
      </c>
      <c r="I100" s="2">
        <f>I12/'Output-Calculation-sheet'!I11*'Output-Calculation-sheet'!I83</f>
        <v>729006690.91082263</v>
      </c>
      <c r="J100" s="2">
        <f>J12/'Output-Calculation-sheet'!J11*'Output-Calculation-sheet'!J83</f>
        <v>525699901.30037504</v>
      </c>
      <c r="K100" s="2">
        <f>K12/'Output-Calculation-sheet'!K11*'Output-Calculation-sheet'!K83</f>
        <v>611339856.34875059</v>
      </c>
      <c r="L100" s="2">
        <f>L12/'Output-Calculation-sheet'!L11*'Output-Calculation-sheet'!L83</f>
        <v>706311074.83861399</v>
      </c>
      <c r="M100" s="2">
        <f>M12/'Output-Calculation-sheet'!M11*'Output-Calculation-sheet'!M83</f>
        <v>1107659382.4930453</v>
      </c>
      <c r="N100" s="2">
        <f>N12/'Output-Calculation-sheet'!N11*'Output-Calculation-sheet'!N83</f>
        <v>631723745.01052976</v>
      </c>
      <c r="O100" s="2">
        <f>O12/'Output-Calculation-sheet'!O11*'Output-Calculation-sheet'!O83</f>
        <v>230369789.12939748</v>
      </c>
      <c r="P100" s="2">
        <f>P12/'Output-Calculation-sheet'!P11*'Output-Calculation-sheet'!P83</f>
        <v>1075493103.8219612</v>
      </c>
      <c r="Q100" s="2">
        <f>Q12/'Output-Calculation-sheet'!Q11*'Output-Calculation-sheet'!Q83</f>
        <v>515698866.42062008</v>
      </c>
      <c r="R100" s="2">
        <f>R12/'Output-Calculation-sheet'!R11*'Output-Calculation-sheet'!R83</f>
        <v>701388836.26520979</v>
      </c>
      <c r="S100" s="2">
        <f>S12/'Output-Calculation-sheet'!S11*'Output-Calculation-sheet'!S83</f>
        <v>375066513.69809777</v>
      </c>
      <c r="T100" s="2">
        <f>T12/'Output-Calculation-sheet'!T11*'Output-Calculation-sheet'!T83</f>
        <v>197547899.56650898</v>
      </c>
      <c r="U100" s="2">
        <f>U12/'Output-Calculation-sheet'!U11*'Output-Calculation-sheet'!U83</f>
        <v>161269917.99206832</v>
      </c>
      <c r="V100" s="2">
        <f>V12/'Output-Calculation-sheet'!V11*'Output-Calculation-sheet'!V83</f>
        <v>76291607.198543847</v>
      </c>
      <c r="W100" s="2">
        <f>W12/'Output-Calculation-sheet'!W11*'Output-Calculation-sheet'!W83</f>
        <v>231979609.90106606</v>
      </c>
      <c r="X100" s="2">
        <f>X12/'Output-Calculation-sheet'!X11*'Output-Calculation-sheet'!X83</f>
        <v>145476717.02404693</v>
      </c>
      <c r="Y100" s="2">
        <f>Y12/'Output-Calculation-sheet'!Y11*'Output-Calculation-sheet'!Y83</f>
        <v>160359599.25282446</v>
      </c>
      <c r="AA100" s="2">
        <f t="shared" si="8"/>
        <v>29.761067544634777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1997.6868036549433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614.94995634146323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423.14541659936015</v>
      </c>
      <c r="N107" s="2">
        <f>N8/'Output-Calculation-sheet'!N7*'Output-Calculation-sheet'!N88</f>
        <v>166.3533283744346</v>
      </c>
      <c r="O107" s="2">
        <f>O8/'Output-Calculation-sheet'!O7*'Output-Calculation-sheet'!O88</f>
        <v>465.71405835016856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46.419932272351325</v>
      </c>
      <c r="Y107" s="2">
        <f>Y8/'Output-Calculation-sheet'!Y7*'Output-Calculation-sheet'!Y88</f>
        <v>0</v>
      </c>
      <c r="AA107" s="2">
        <f t="shared" si="9"/>
        <v>3.7142694955927209</v>
      </c>
    </row>
    <row r="108" spans="1:27" x14ac:dyDescent="0.25">
      <c r="A108" s="2">
        <v>2032</v>
      </c>
      <c r="B108" s="2">
        <f>B9/'Output-Calculation-sheet'!B8*'Output-Calculation-sheet'!B89</f>
        <v>869.14180212799749</v>
      </c>
      <c r="C108" s="2">
        <f>C9/'Output-Calculation-sheet'!C8*'Output-Calculation-sheet'!C89</f>
        <v>3300.1185274176778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888.89398131061034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611.64556587997811</v>
      </c>
      <c r="N108" s="2">
        <f>N9/'Output-Calculation-sheet'!N8*'Output-Calculation-sheet'!N89</f>
        <v>429.39171262799039</v>
      </c>
      <c r="O108" s="2">
        <f>O9/'Output-Calculation-sheet'!O8*'Output-Calculation-sheet'!O89</f>
        <v>641.12134996518375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196.91372240792847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67.098790697088035</v>
      </c>
      <c r="Y108" s="2">
        <f>Y9/'Output-Calculation-sheet'!Y8*'Output-Calculation-sheet'!Y89</f>
        <v>0</v>
      </c>
      <c r="AA108" s="2">
        <f t="shared" si="9"/>
        <v>7.004325452434454</v>
      </c>
    </row>
    <row r="109" spans="1:27" x14ac:dyDescent="0.25">
      <c r="A109" s="2">
        <v>2033</v>
      </c>
      <c r="B109" s="2">
        <f>B10/'Output-Calculation-sheet'!B9*'Output-Calculation-sheet'!B90</f>
        <v>4042.5358377921762</v>
      </c>
      <c r="C109" s="2">
        <f>C10/'Output-Calculation-sheet'!C9*'Output-Calculation-sheet'!C90</f>
        <v>3837.3621494744348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1181.2590852421172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812.82121021731734</v>
      </c>
      <c r="N109" s="2">
        <f>N10/'Output-Calculation-sheet'!N9*'Output-Calculation-sheet'!N90</f>
        <v>639.09714433234967</v>
      </c>
      <c r="O109" s="2">
        <f>O10/'Output-Calculation-sheet'!O9*'Output-Calculation-sheet'!O90</f>
        <v>745.49286067656851</v>
      </c>
      <c r="P109" s="2">
        <f>P10/'Output-Calculation-sheet'!P9*'Output-Calculation-sheet'!P90</f>
        <v>0</v>
      </c>
      <c r="Q109" s="2">
        <f>Q10/'Output-Calculation-sheet'!Q9*'Output-Calculation-sheet'!Q90</f>
        <v>139.98673703227675</v>
      </c>
      <c r="R109" s="2">
        <f>R10/'Output-Calculation-sheet'!R9*'Output-Calculation-sheet'!R90</f>
        <v>0</v>
      </c>
      <c r="S109" s="2">
        <f>S10/'Output-Calculation-sheet'!S9*'Output-Calculation-sheet'!S90</f>
        <v>320.55847761934967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89.168177292447993</v>
      </c>
      <c r="Y109" s="2">
        <f>Y10/'Output-Calculation-sheet'!Y9*'Output-Calculation-sheet'!Y90</f>
        <v>0</v>
      </c>
      <c r="AA109" s="2">
        <f t="shared" si="9"/>
        <v>11.808281679679039</v>
      </c>
    </row>
    <row r="110" spans="1:27" x14ac:dyDescent="0.25">
      <c r="A110" s="2">
        <v>2034</v>
      </c>
      <c r="B110" s="2">
        <f>B11/'Output-Calculation-sheet'!B10*'Output-Calculation-sheet'!B91</f>
        <v>6129.1603058198434</v>
      </c>
      <c r="C110" s="2">
        <f>C11/'Output-Calculation-sheet'!C10*'Output-Calculation-sheet'!C91</f>
        <v>4201.9486065950468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1193.9908655799286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821.58191414052146</v>
      </c>
      <c r="N110" s="2">
        <f>N11/'Output-Calculation-sheet'!N10*'Output-Calculation-sheet'!N91</f>
        <v>740.19163313823196</v>
      </c>
      <c r="O110" s="2">
        <f>O11/'Output-Calculation-sheet'!O10*'Output-Calculation-sheet'!O91</f>
        <v>816.32188079394416</v>
      </c>
      <c r="P110" s="2">
        <f>P11/'Output-Calculation-sheet'!P10*'Output-Calculation-sheet'!P91</f>
        <v>186.49283280271897</v>
      </c>
      <c r="Q110" s="2">
        <f>Q11/'Output-Calculation-sheet'!Q10*'Output-Calculation-sheet'!Q91</f>
        <v>412.69530814244712</v>
      </c>
      <c r="R110" s="2">
        <f>R11/'Output-Calculation-sheet'!R10*'Output-Calculation-sheet'!R91</f>
        <v>0</v>
      </c>
      <c r="S110" s="2">
        <f>S11/'Output-Calculation-sheet'!S10*'Output-Calculation-sheet'!S91</f>
        <v>424.30339678775141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90.129244733616318</v>
      </c>
      <c r="Y110" s="2">
        <f>Y11/'Output-Calculation-sheet'!Y10*'Output-Calculation-sheet'!Y91</f>
        <v>14.49607419658664</v>
      </c>
      <c r="AA110" s="2">
        <f t="shared" si="9"/>
        <v>15.031312062730635</v>
      </c>
    </row>
    <row r="111" spans="1:27" x14ac:dyDescent="0.25">
      <c r="A111" s="2">
        <v>2035</v>
      </c>
      <c r="B111" s="2">
        <f>B12/'Output-Calculation-sheet'!B11*'Output-Calculation-sheet'!B92</f>
        <v>7209.7736547608374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1204.5130792018895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423.07613153076511</v>
      </c>
      <c r="Q111" s="2">
        <f>Q12/'Output-Calculation-sheet'!Q11*'Output-Calculation-sheet'!Q92</f>
        <v>490.40998119101209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32.88567663060028</v>
      </c>
      <c r="AA111" s="2">
        <f t="shared" si="9"/>
        <v>16.930486475858604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9391089342.4036407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2889445393.9539595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2006968819.219728</v>
      </c>
      <c r="N118" s="2">
        <f>N8/'Output-Calculation-sheet'!N7*'Output-Calculation-sheet'!N97</f>
        <v>1574898285.9968948</v>
      </c>
      <c r="O118" s="2">
        <f>O8/'Output-Calculation-sheet'!O7*'Output-Calculation-sheet'!O97</f>
        <v>1047955419.1184384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570093034.26454866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216313146.68032485</v>
      </c>
      <c r="Y118" s="2">
        <f>Y8/'Output-Calculation-sheet'!Y7*'Output-Calculation-sheet'!Y97</f>
        <v>0</v>
      </c>
      <c r="AA118" s="2">
        <f t="shared" si="10"/>
        <v>19298.760794569538</v>
      </c>
    </row>
    <row r="119" spans="1:27" x14ac:dyDescent="0.25">
      <c r="A119" s="2">
        <v>2032</v>
      </c>
      <c r="B119" s="2">
        <f>B9/'Output-Calculation-sheet'!B8*'Output-Calculation-sheet'!B98</f>
        <v>6520346949.7877245</v>
      </c>
      <c r="C119" s="2">
        <f>C9/'Output-Calculation-sheet'!C8*'Output-Calculation-sheet'!C98</f>
        <v>5182503456.7890854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3098112162.4266825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2162493891.5693469</v>
      </c>
      <c r="N119" s="2">
        <f>N9/'Output-Calculation-sheet'!N8*'Output-Calculation-sheet'!N98</f>
        <v>1460387981.9233875</v>
      </c>
      <c r="O119" s="2">
        <f>O9/'Output-Calculation-sheet'!O8*'Output-Calculation-sheet'!O98</f>
        <v>1012565411.8816358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606259566.87519908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231394599.02701521</v>
      </c>
      <c r="Y119" s="2">
        <f>Y9/'Output-Calculation-sheet'!Y8*'Output-Calculation-sheet'!Y98</f>
        <v>0</v>
      </c>
      <c r="AA119" s="2">
        <f t="shared" si="10"/>
        <v>20274.064020280075</v>
      </c>
    </row>
    <row r="120" spans="1:27" x14ac:dyDescent="0.25">
      <c r="A120" s="2">
        <v>2033</v>
      </c>
      <c r="B120" s="2">
        <f>B10/'Output-Calculation-sheet'!B9*'Output-Calculation-sheet'!B99</f>
        <v>5815726457.4393148</v>
      </c>
      <c r="C120" s="2">
        <f>C10/'Output-Calculation-sheet'!C9*'Output-Calculation-sheet'!C99</f>
        <v>4780888269.5587225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1567540010.732538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1109517841.7380195</v>
      </c>
      <c r="N120" s="2">
        <f>N10/'Output-Calculation-sheet'!N9*'Output-Calculation-sheet'!N99</f>
        <v>1106292719.2697599</v>
      </c>
      <c r="O120" s="2">
        <f>O10/'Output-Calculation-sheet'!O9*'Output-Calculation-sheet'!O99</f>
        <v>935994944.48680329</v>
      </c>
      <c r="P120" s="2">
        <f>P10/'Output-Calculation-sheet'!P9*'Output-Calculation-sheet'!P99</f>
        <v>0</v>
      </c>
      <c r="Q120" s="2">
        <f>Q10/'Output-Calculation-sheet'!Q9*'Output-Calculation-sheet'!Q99</f>
        <v>6762503.1166616594</v>
      </c>
      <c r="R120" s="2">
        <f>R10/'Output-Calculation-sheet'!R9*'Output-Calculation-sheet'!R99</f>
        <v>0</v>
      </c>
      <c r="S120" s="2">
        <f>S10/'Output-Calculation-sheet'!S9*'Output-Calculation-sheet'!S99</f>
        <v>463351756.99382401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-7.6541981696517365E-9</v>
      </c>
      <c r="W120" s="2">
        <f>W10/'Output-Calculation-sheet'!W9*'Output-Calculation-sheet'!W99</f>
        <v>0</v>
      </c>
      <c r="X120" s="2">
        <f>X10/'Output-Calculation-sheet'!X9*'Output-Calculation-sheet'!X99</f>
        <v>110790279.09702457</v>
      </c>
      <c r="Y120" s="2">
        <f>Y10/'Output-Calculation-sheet'!Y9*'Output-Calculation-sheet'!Y99</f>
        <v>0</v>
      </c>
      <c r="AA120" s="2">
        <f t="shared" si="10"/>
        <v>15896.864782432669</v>
      </c>
    </row>
    <row r="121" spans="1:27" x14ac:dyDescent="0.25">
      <c r="A121" s="2">
        <v>2034</v>
      </c>
      <c r="B121" s="2">
        <f>B11/'Output-Calculation-sheet'!B10*'Output-Calculation-sheet'!B100</f>
        <v>4595346341.4562349</v>
      </c>
      <c r="C121" s="2">
        <f>C11/'Output-Calculation-sheet'!C10*'Output-Calculation-sheet'!C100</f>
        <v>551627699.27795923</v>
      </c>
      <c r="D121" s="2">
        <f>D11/'Output-Calculation-sheet'!D10*'Output-Calculation-sheet'!D100</f>
        <v>0</v>
      </c>
      <c r="E121" s="2">
        <f>E11/'Output-Calculation-sheet'!E10*'Output-Calculation-sheet'!E100</f>
        <v>638070749.87760556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1452487303.58217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530171861.88720512</v>
      </c>
      <c r="M121" s="2">
        <f>M11/'Output-Calculation-sheet'!M10*'Output-Calculation-sheet'!M100</f>
        <v>1033729657.8877547</v>
      </c>
      <c r="N121" s="2">
        <f>N11/'Output-Calculation-sheet'!N10*'Output-Calculation-sheet'!N100</f>
        <v>689164464.8779825</v>
      </c>
      <c r="O121" s="2">
        <f>O11/'Output-Calculation-sheet'!O10*'Output-Calculation-sheet'!O100</f>
        <v>108203587.62519346</v>
      </c>
      <c r="P121" s="2">
        <f>P11/'Output-Calculation-sheet'!P10*'Output-Calculation-sheet'!P100</f>
        <v>0</v>
      </c>
      <c r="Q121" s="2">
        <f>Q11/'Output-Calculation-sheet'!Q10*'Output-Calculation-sheet'!Q100</f>
        <v>234170897.95792913</v>
      </c>
      <c r="R121" s="2">
        <f>R11/'Output-Calculation-sheet'!R10*'Output-Calculation-sheet'!R100</f>
        <v>0</v>
      </c>
      <c r="S121" s="2">
        <f>S11/'Output-Calculation-sheet'!S10*'Output-Calculation-sheet'!S100</f>
        <v>257673491.58180854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101571171.86104344</v>
      </c>
      <c r="Y121" s="2">
        <f>Y11/'Output-Calculation-sheet'!Y10*'Output-Calculation-sheet'!Y100</f>
        <v>14740766.046417983</v>
      </c>
      <c r="AA121" s="2">
        <f t="shared" si="10"/>
        <v>10206.957993919304</v>
      </c>
    </row>
    <row r="122" spans="1:27" x14ac:dyDescent="0.25">
      <c r="A122" s="2">
        <v>2035</v>
      </c>
      <c r="B122" s="2">
        <f>B12/'Output-Calculation-sheet'!B11*'Output-Calculation-sheet'!B101</f>
        <v>1862052457.895021</v>
      </c>
      <c r="C122" s="2">
        <f>C12/'Output-Calculation-sheet'!C11*'Output-Calculation-sheet'!C101</f>
        <v>161868469.60628241</v>
      </c>
      <c r="D122" s="2">
        <f>D12/'Output-Calculation-sheet'!D11*'Output-Calculation-sheet'!D101</f>
        <v>0</v>
      </c>
      <c r="E122" s="2">
        <f>E12/'Output-Calculation-sheet'!E11*'Output-Calculation-sheet'!E101</f>
        <v>1449961782.1610436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274468721.35653597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1006415905.0699352</v>
      </c>
      <c r="M122" s="2">
        <f>M12/'Output-Calculation-sheet'!M11*'Output-Calculation-sheet'!M101</f>
        <v>251785628.64063197</v>
      </c>
      <c r="N122" s="2">
        <f>N12/'Output-Calculation-sheet'!N11*'Output-Calculation-sheet'!N101</f>
        <v>209288412.10074598</v>
      </c>
      <c r="O122" s="2">
        <f>O12/'Output-Calculation-sheet'!O11*'Output-Calculation-sheet'!O101</f>
        <v>28700244.528572515</v>
      </c>
      <c r="P122" s="2">
        <f>P12/'Output-Calculation-sheet'!P11*'Output-Calculation-sheet'!P101</f>
        <v>65136691.320572302</v>
      </c>
      <c r="Q122" s="2">
        <f>Q12/'Output-Calculation-sheet'!Q11*'Output-Calculation-sheet'!Q101</f>
        <v>321797360.41706294</v>
      </c>
      <c r="R122" s="2">
        <f>R12/'Output-Calculation-sheet'!R11*'Output-Calculation-sheet'!R101</f>
        <v>0</v>
      </c>
      <c r="S122" s="2">
        <f>S12/'Output-Calculation-sheet'!S11*'Output-Calculation-sheet'!S101</f>
        <v>87431055.277200446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8085232.8817589479</v>
      </c>
      <c r="Y122" s="2">
        <f>Y12/'Output-Calculation-sheet'!Y11*'Output-Calculation-sheet'!Y101</f>
        <v>37294343.252299838</v>
      </c>
      <c r="AA122" s="2">
        <f t="shared" si="10"/>
        <v>5764.286304507662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2613409708.5459495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2622722296.388134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171783.84700030796</v>
      </c>
    </row>
    <row r="130" spans="1:27" x14ac:dyDescent="0.25">
      <c r="A130" s="2">
        <v>2032</v>
      </c>
      <c r="B130" s="2">
        <f>B9/'Output-Calculation-sheet'!B8*'Output-Calculation-sheet'!B107</f>
        <v>59005404843.340935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2146626202.8013463</v>
      </c>
      <c r="O130" s="2">
        <f>O9/'Output-Calculation-sheet'!O8*'Output-Calculation-sheet'!O107</f>
        <v>0</v>
      </c>
      <c r="P130" s="2">
        <f>P9/'Output-Calculation-sheet'!P8*'Output-Calculation-sheet'!P107</f>
        <v>6550133037.1637611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1907192514.4555697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207802.0103264527</v>
      </c>
    </row>
    <row r="131" spans="1:27" x14ac:dyDescent="0.25">
      <c r="A131" s="2">
        <v>2033</v>
      </c>
      <c r="B131" s="2">
        <f>B10/'Output-Calculation-sheet'!B9*'Output-Calculation-sheet'!B108</f>
        <v>43383549602.807968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1589469872.7969358</v>
      </c>
      <c r="O131" s="2">
        <f>O10/'Output-Calculation-sheet'!O9*'Output-Calculation-sheet'!O108</f>
        <v>0</v>
      </c>
      <c r="P131" s="2">
        <f>P10/'Output-Calculation-sheet'!P9*'Output-Calculation-sheet'!P108</f>
        <v>7311433541.3222713</v>
      </c>
      <c r="Q131" s="2">
        <f>Q10/'Output-Calculation-sheet'!Q9*'Output-Calculation-sheet'!Q108</f>
        <v>6167731096.1970224</v>
      </c>
      <c r="R131" s="2">
        <f>R10/'Output-Calculation-sheet'!R9*'Output-Calculation-sheet'!R108</f>
        <v>6920334596.3140612</v>
      </c>
      <c r="S131" s="2">
        <f>S10/'Output-Calculation-sheet'!S9*'Output-Calculation-sheet'!S108</f>
        <v>1541779226.2804792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207062.57903113001</v>
      </c>
    </row>
    <row r="132" spans="1:27" x14ac:dyDescent="0.25">
      <c r="A132" s="2">
        <v>2034</v>
      </c>
      <c r="B132" s="2">
        <f>B11/'Output-Calculation-sheet'!B10*'Output-Calculation-sheet'!B109</f>
        <v>26708492628.228142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25785175374.656075</v>
      </c>
      <c r="F132" s="2">
        <f>F11/'Output-Calculation-sheet'!F10*'Output-Calculation-sheet'!F109</f>
        <v>17006676895.878799</v>
      </c>
      <c r="G132" s="2">
        <f>G11/'Output-Calculation-sheet'!G10*'Output-Calculation-sheet'!G109</f>
        <v>11916076540.243927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10596224768.594408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7888768174.2125444</v>
      </c>
      <c r="M132" s="2">
        <f>M11/'Output-Calculation-sheet'!M10*'Output-Calculation-sheet'!M109</f>
        <v>0</v>
      </c>
      <c r="N132" s="2">
        <f>N11/'Output-Calculation-sheet'!N10*'Output-Calculation-sheet'!N109</f>
        <v>1037323955.2162297</v>
      </c>
      <c r="O132" s="2">
        <f>O11/'Output-Calculation-sheet'!O10*'Output-Calculation-sheet'!O109</f>
        <v>0</v>
      </c>
      <c r="P132" s="2">
        <f>P11/'Output-Calculation-sheet'!P10*'Output-Calculation-sheet'!P109</f>
        <v>5893791930.0288067</v>
      </c>
      <c r="Q132" s="2">
        <f>Q11/'Output-Calculation-sheet'!Q10*'Output-Calculation-sheet'!Q109</f>
        <v>3795113129.9335093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711925995.47260165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2117625155.2284203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742073993.75787842</v>
      </c>
      <c r="AA132" s="2">
        <f t="shared" si="11"/>
        <v>181307.35783577603</v>
      </c>
    </row>
    <row r="133" spans="1:27" x14ac:dyDescent="0.25">
      <c r="A133" s="2">
        <v>2035</v>
      </c>
      <c r="B133" s="2">
        <f>B12/'Output-Calculation-sheet'!B11*'Output-Calculation-sheet'!B110</f>
        <v>5355819150.4290667</v>
      </c>
      <c r="C133" s="2">
        <f>C12/'Output-Calculation-sheet'!C11*'Output-Calculation-sheet'!C110</f>
        <v>0</v>
      </c>
      <c r="D133" s="2">
        <f>D12/'Output-Calculation-sheet'!D11*'Output-Calculation-sheet'!D110</f>
        <v>25472137383.85014</v>
      </c>
      <c r="E133" s="2">
        <f>E12/'Output-Calculation-sheet'!E11*'Output-Calculation-sheet'!E110</f>
        <v>13554774521.215786</v>
      </c>
      <c r="F133" s="2">
        <f>F12/'Output-Calculation-sheet'!F11*'Output-Calculation-sheet'!F110</f>
        <v>13474536448.050943</v>
      </c>
      <c r="G133" s="2">
        <f>G12/'Output-Calculation-sheet'!G11*'Output-Calculation-sheet'!G110</f>
        <v>9128961522.4103413</v>
      </c>
      <c r="H133" s="2">
        <f>H12/'Output-Calculation-sheet'!H11*'Output-Calculation-sheet'!H110</f>
        <v>0</v>
      </c>
      <c r="I133" s="2">
        <f>I12/'Output-Calculation-sheet'!I11*'Output-Calculation-sheet'!I110</f>
        <v>8376645673.8047266</v>
      </c>
      <c r="J133" s="2">
        <f>J12/'Output-Calculation-sheet'!J11*'Output-Calculation-sheet'!J110</f>
        <v>8391066219.6240501</v>
      </c>
      <c r="K133" s="2">
        <f>K12/'Output-Calculation-sheet'!K11*'Output-Calculation-sheet'!K110</f>
        <v>8233185752.6322594</v>
      </c>
      <c r="L133" s="2">
        <f>L12/'Output-Calculation-sheet'!L11*'Output-Calculation-sheet'!L110</f>
        <v>5917217061.3555384</v>
      </c>
      <c r="M133" s="2">
        <f>M12/'Output-Calculation-sheet'!M11*'Output-Calculation-sheet'!M110</f>
        <v>0</v>
      </c>
      <c r="N133" s="2">
        <f>N12/'Output-Calculation-sheet'!N11*'Output-Calculation-sheet'!N110</f>
        <v>31786.525981599363</v>
      </c>
      <c r="O133" s="2">
        <f>O12/'Output-Calculation-sheet'!O11*'Output-Calculation-sheet'!O110</f>
        <v>0</v>
      </c>
      <c r="P133" s="2">
        <f>P12/'Output-Calculation-sheet'!P11*'Output-Calculation-sheet'!P110</f>
        <v>2956644040.9732223</v>
      </c>
      <c r="Q133" s="2">
        <f>Q12/'Output-Calculation-sheet'!Q11*'Output-Calculation-sheet'!Q110</f>
        <v>1880358089.1093624</v>
      </c>
      <c r="R133" s="2">
        <f>R12/'Output-Calculation-sheet'!R11*'Output-Calculation-sheet'!R110</f>
        <v>5476359444.7582617</v>
      </c>
      <c r="S133" s="2">
        <f>S12/'Output-Calculation-sheet'!S11*'Output-Calculation-sheet'!S110</f>
        <v>5270170.4189566569</v>
      </c>
      <c r="T133" s="2">
        <f>T12/'Output-Calculation-sheet'!T11*'Output-Calculation-sheet'!T110</f>
        <v>2045994604.3708096</v>
      </c>
      <c r="U133" s="2">
        <f>U12/'Output-Calculation-sheet'!U11*'Output-Calculation-sheet'!U110</f>
        <v>1617050605.2241843</v>
      </c>
      <c r="V133" s="2">
        <f>V12/'Output-Calculation-sheet'!V11*'Output-Calculation-sheet'!V110</f>
        <v>1408259448.472924</v>
      </c>
      <c r="W133" s="2">
        <f>W12/'Output-Calculation-sheet'!W11*'Output-Calculation-sheet'!W110</f>
        <v>1185920739.3886054</v>
      </c>
      <c r="X133" s="2">
        <f>X12/'Output-Calculation-sheet'!X11*'Output-Calculation-sheet'!X110</f>
        <v>0</v>
      </c>
      <c r="Y133" s="2">
        <f>Y12/'Output-Calculation-sheet'!Y11*'Output-Calculation-sheet'!Y110</f>
        <v>449333442.64220691</v>
      </c>
      <c r="AA133" s="2">
        <f t="shared" si="11"/>
        <v>114929.56610525739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16998156159.596243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5343792130.6160469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3673242930.5737338</v>
      </c>
      <c r="N140" s="2">
        <f>N8/'Output-Calculation-sheet'!N7*'Output-Calculation-sheet'!N115</f>
        <v>1386794800.045712</v>
      </c>
      <c r="O140" s="2">
        <f>O8/'Output-Calculation-sheet'!O7*'Output-Calculation-sheet'!O115</f>
        <v>4079474712.1508431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398870080.32595378</v>
      </c>
      <c r="Y140" s="2">
        <f>Y8/'Output-Calculation-sheet'!Y7*'Output-Calculation-sheet'!Y115</f>
        <v>0</v>
      </c>
      <c r="AA140" s="2">
        <f t="shared" si="12"/>
        <v>31880.330813308534</v>
      </c>
    </row>
    <row r="141" spans="1:27" x14ac:dyDescent="0.25">
      <c r="A141" s="2">
        <v>2032</v>
      </c>
      <c r="B141" s="2">
        <f>B9/'Output-Calculation-sheet'!B8*'Output-Calculation-sheet'!B116</f>
        <v>6745679298.9007244</v>
      </c>
      <c r="C141" s="2">
        <f>C9/'Output-Calculation-sheet'!C8*'Output-Calculation-sheet'!C116</f>
        <v>28875496024.042233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7527716595.2366285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5168395953.4584923</v>
      </c>
      <c r="N141" s="2">
        <f>N9/'Output-Calculation-sheet'!N8*'Output-Calculation-sheet'!N116</f>
        <v>3588221326.6525736</v>
      </c>
      <c r="O141" s="2">
        <f>O9/'Output-Calculation-sheet'!O8*'Output-Calculation-sheet'!O116</f>
        <v>5604903487.0550404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1607200212.3394988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562561738.65668786</v>
      </c>
      <c r="Y141" s="2">
        <f>Y9/'Output-Calculation-sheet'!Y8*'Output-Calculation-sheet'!Y116</f>
        <v>0</v>
      </c>
      <c r="AA141" s="2">
        <f t="shared" si="12"/>
        <v>59680.174636341872</v>
      </c>
    </row>
    <row r="142" spans="1:27" x14ac:dyDescent="0.25">
      <c r="A142" s="2">
        <v>2033</v>
      </c>
      <c r="B142" s="2">
        <f>B10/'Output-Calculation-sheet'!B9*'Output-Calculation-sheet'!B117</f>
        <v>31476129041.427551</v>
      </c>
      <c r="C142" s="2">
        <f>C10/'Output-Calculation-sheet'!C9*'Output-Calculation-sheet'!C117</f>
        <v>33237491666.812275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10293896671.914749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7073833095.6228056</v>
      </c>
      <c r="N142" s="2">
        <f>N10/'Output-Calculation-sheet'!N9*'Output-Calculation-sheet'!N117</f>
        <v>5336159244.0241451</v>
      </c>
      <c r="O142" s="2">
        <f>O10/'Output-Calculation-sheet'!O9*'Output-Calculation-sheet'!O117</f>
        <v>6450975307.6376438</v>
      </c>
      <c r="P142" s="2">
        <f>P10/'Output-Calculation-sheet'!P9*'Output-Calculation-sheet'!P117</f>
        <v>0</v>
      </c>
      <c r="Q142" s="2">
        <f>Q10/'Output-Calculation-sheet'!Q9*'Output-Calculation-sheet'!Q117</f>
        <v>1019132533.7481244</v>
      </c>
      <c r="R142" s="2">
        <f>R10/'Output-Calculation-sheet'!R9*'Output-Calculation-sheet'!R117</f>
        <v>0</v>
      </c>
      <c r="S142" s="2">
        <f>S10/'Output-Calculation-sheet'!S9*'Output-Calculation-sheet'!S117</f>
        <v>2594684769.2495728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775490079.37669289</v>
      </c>
      <c r="Y142" s="2">
        <f>Y10/'Output-Calculation-sheet'!Y9*'Output-Calculation-sheet'!Y117</f>
        <v>0</v>
      </c>
      <c r="AA142" s="2">
        <f t="shared" si="12"/>
        <v>98257.792409813555</v>
      </c>
    </row>
    <row r="143" spans="1:27" x14ac:dyDescent="0.25">
      <c r="A143" s="2">
        <v>2034</v>
      </c>
      <c r="B143" s="2">
        <f>B11/'Output-Calculation-sheet'!B10*'Output-Calculation-sheet'!B118</f>
        <v>47975599874.188789</v>
      </c>
      <c r="C143" s="2">
        <f>C11/'Output-Calculation-sheet'!C10*'Output-Calculation-sheet'!C118</f>
        <v>36809069793.772614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10203657276.351725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7007985250.3529282</v>
      </c>
      <c r="N143" s="2">
        <f>N11/'Output-Calculation-sheet'!N10*'Output-Calculation-sheet'!N118</f>
        <v>6166464836.035984</v>
      </c>
      <c r="O143" s="2">
        <f>O11/'Output-Calculation-sheet'!O10*'Output-Calculation-sheet'!O118</f>
        <v>7150979675.7549515</v>
      </c>
      <c r="P143" s="2">
        <f>P11/'Output-Calculation-sheet'!P10*'Output-Calculation-sheet'!P118</f>
        <v>1291088266.8366623</v>
      </c>
      <c r="Q143" s="2">
        <f>Q11/'Output-Calculation-sheet'!Q10*'Output-Calculation-sheet'!Q118</f>
        <v>3039830181.9134665</v>
      </c>
      <c r="R143" s="2">
        <f>R11/'Output-Calculation-sheet'!R10*'Output-Calculation-sheet'!R118</f>
        <v>0</v>
      </c>
      <c r="S143" s="2">
        <f>S11/'Output-Calculation-sheet'!S10*'Output-Calculation-sheet'!S118</f>
        <v>3550643962.8038836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769370154.76860178</v>
      </c>
      <c r="Y143" s="2">
        <f>Y11/'Output-Calculation-sheet'!Y10*'Output-Calculation-sheet'!Y118</f>
        <v>90158822.943500623</v>
      </c>
      <c r="AA143" s="2">
        <f t="shared" si="12"/>
        <v>124054.84809572308</v>
      </c>
    </row>
    <row r="144" spans="1:27" x14ac:dyDescent="0.25">
      <c r="A144" s="2">
        <v>2035</v>
      </c>
      <c r="B144" s="2">
        <f>B12/'Output-Calculation-sheet'!B11*'Output-Calculation-sheet'!B119</f>
        <v>60617603256.169937</v>
      </c>
      <c r="C144" s="2">
        <f>C12/'Output-Calculation-sheet'!C11*'Output-Calculation-sheet'!C119</f>
        <v>32081979538.164257</v>
      </c>
      <c r="D144" s="2">
        <f>D12/'Output-Calculation-sheet'!D11*'Output-Calculation-sheet'!D119</f>
        <v>0</v>
      </c>
      <c r="E144" s="2">
        <f>E12/'Output-Calculation-sheet'!E11*'Output-Calculation-sheet'!E119</f>
        <v>7313957612.4657564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9737632977.8529816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6651816748.7336807</v>
      </c>
      <c r="N144" s="2">
        <f>N12/'Output-Calculation-sheet'!N11*'Output-Calculation-sheet'!N119</f>
        <v>6565294067.8686466</v>
      </c>
      <c r="O144" s="2">
        <f>O12/'Output-Calculation-sheet'!O11*'Output-Calculation-sheet'!O119</f>
        <v>6233809060.4791422</v>
      </c>
      <c r="P144" s="2">
        <f>P12/'Output-Calculation-sheet'!P11*'Output-Calculation-sheet'!P119</f>
        <v>3018786781.8513126</v>
      </c>
      <c r="Q144" s="2">
        <f>Q12/'Output-Calculation-sheet'!Q11*'Output-Calculation-sheet'!Q119</f>
        <v>3672256523.748425</v>
      </c>
      <c r="R144" s="2">
        <f>R12/'Output-Calculation-sheet'!R11*'Output-Calculation-sheet'!R119</f>
        <v>0</v>
      </c>
      <c r="S144" s="2">
        <f>S12/'Output-Calculation-sheet'!S11*'Output-Calculation-sheet'!S119</f>
        <v>3783639926.3718095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743167777.42124534</v>
      </c>
      <c r="Y144" s="2">
        <f>Y12/'Output-Calculation-sheet'!Y11*'Output-Calculation-sheet'!Y119</f>
        <v>209577925.82767689</v>
      </c>
      <c r="AA144" s="2">
        <f t="shared" si="12"/>
        <v>140629.52219695487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1744215144.0056033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380341521.85707277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45200.850119193849</v>
      </c>
    </row>
    <row r="155" spans="1:27" x14ac:dyDescent="0.25">
      <c r="A155" s="2">
        <v>2035</v>
      </c>
      <c r="B155" s="2">
        <f>B12/'Output-Calculation-sheet'!B11*'Output-Calculation-sheet'!B128</f>
        <v>796434535.517928</v>
      </c>
      <c r="C155" s="2">
        <f>C12/'Output-Calculation-sheet'!C11*'Output-Calculation-sheet'!C128</f>
        <v>47605045.971098393</v>
      </c>
      <c r="D155" s="2">
        <f>D12/'Output-Calculation-sheet'!D11*'Output-Calculation-sheet'!D128</f>
        <v>3479489481.0809083</v>
      </c>
      <c r="E155" s="2">
        <f>E12/'Output-Calculation-sheet'!E11*'Output-Calculation-sheet'!E128</f>
        <v>814839019.35577595</v>
      </c>
      <c r="F155" s="2">
        <f>F12/'Output-Calculation-sheet'!F11*'Output-Calculation-sheet'!F128</f>
        <v>1407971676.3138852</v>
      </c>
      <c r="G155" s="2">
        <f>G12/'Output-Calculation-sheet'!G11*'Output-Calculation-sheet'!G128</f>
        <v>1329208026.8409247</v>
      </c>
      <c r="H155" s="2">
        <f>H12/'Output-Calculation-sheet'!H11*'Output-Calculation-sheet'!H128</f>
        <v>73182099.179949835</v>
      </c>
      <c r="I155" s="2">
        <f>I12/'Output-Calculation-sheet'!I11*'Output-Calculation-sheet'!I128</f>
        <v>1141454280.6712439</v>
      </c>
      <c r="J155" s="2">
        <f>J12/'Output-Calculation-sheet'!J11*'Output-Calculation-sheet'!J128</f>
        <v>825080129.56642938</v>
      </c>
      <c r="K155" s="2">
        <f>K12/'Output-Calculation-sheet'!K11*'Output-Calculation-sheet'!K128</f>
        <v>913128478.88676095</v>
      </c>
      <c r="L155" s="2">
        <f>L12/'Output-Calculation-sheet'!L11*'Output-Calculation-sheet'!L128</f>
        <v>400442955.38379771</v>
      </c>
      <c r="M155" s="2">
        <f>M12/'Output-Calculation-sheet'!M11*'Output-Calculation-sheet'!M128</f>
        <v>57712176.758544534</v>
      </c>
      <c r="N155" s="2">
        <f>N12/'Output-Calculation-sheet'!N11*'Output-Calculation-sheet'!N128</f>
        <v>52748149.448557608</v>
      </c>
      <c r="O155" s="2">
        <f>O12/'Output-Calculation-sheet'!O11*'Output-Calculation-sheet'!O128</f>
        <v>11551460.451604564</v>
      </c>
      <c r="P155" s="2">
        <f>P12/'Output-Calculation-sheet'!P11*'Output-Calculation-sheet'!P128</f>
        <v>215183846.49016669</v>
      </c>
      <c r="Q155" s="2">
        <f>Q12/'Output-Calculation-sheet'!Q11*'Output-Calculation-sheet'!Q128</f>
        <v>262371887.52150935</v>
      </c>
      <c r="R155" s="2">
        <f>R12/'Output-Calculation-sheet'!R11*'Output-Calculation-sheet'!R128</f>
        <v>470192405.66224724</v>
      </c>
      <c r="S155" s="2">
        <f>S12/'Output-Calculation-sheet'!S11*'Output-Calculation-sheet'!S128</f>
        <v>34242671.122534811</v>
      </c>
      <c r="T155" s="2">
        <f>T12/'Output-Calculation-sheet'!T11*'Output-Calculation-sheet'!T128</f>
        <v>128947060.70396489</v>
      </c>
      <c r="U155" s="2">
        <f>U12/'Output-Calculation-sheet'!U11*'Output-Calculation-sheet'!U128</f>
        <v>296952309.84455705</v>
      </c>
      <c r="V155" s="2">
        <f>V12/'Output-Calculation-sheet'!V11*'Output-Calculation-sheet'!V128</f>
        <v>44292978.655024998</v>
      </c>
      <c r="W155" s="2">
        <f>W12/'Output-Calculation-sheet'!W11*'Output-Calculation-sheet'!W128</f>
        <v>89299402.310460031</v>
      </c>
      <c r="X155" s="2">
        <f>X12/'Output-Calculation-sheet'!X11*'Output-Calculation-sheet'!X128</f>
        <v>1897450.3663994174</v>
      </c>
      <c r="Y155" s="2">
        <f>Y12/'Output-Calculation-sheet'!Y11*'Output-Calculation-sheet'!Y128</f>
        <v>49097895.240888551</v>
      </c>
      <c r="AA155" s="2">
        <f t="shared" si="13"/>
        <v>12943.325423345163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5924.8077833976768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1794.6955217042414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1246.6667639165887</v>
      </c>
      <c r="N19" s="2">
        <f>N8/'Output-Calculation-sheet'!N7*'Output-Calculation-sheet'!N25</f>
        <v>1037.0794279375009</v>
      </c>
      <c r="O19" s="2">
        <f>O8/'Output-Calculation-sheet'!O7*'Output-Calculation-sheet'!O25</f>
        <v>650.87944016308234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134.92402265949096</v>
      </c>
      <c r="Y19" s="2">
        <f>Y8/'Output-Calculation-sheet'!Y7*'Output-Calculation-sheet'!Y25</f>
        <v>0</v>
      </c>
      <c r="AA19" s="2">
        <f t="shared" si="0"/>
        <v>12.527939220976252</v>
      </c>
    </row>
    <row r="20" spans="1:27" x14ac:dyDescent="0.25">
      <c r="A20" s="2">
        <v>2032</v>
      </c>
      <c r="B20" s="2">
        <f>B9/'Output-Calculation-sheet'!B8*'Output-Calculation-sheet'!B26</f>
        <v>6080.494143963565</v>
      </c>
      <c r="C20" s="2">
        <f>C9/'Output-Calculation-sheet'!C8*'Output-Calculation-sheet'!C26</f>
        <v>3334.3945415505204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2001.6535074477317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1398.7692852766281</v>
      </c>
      <c r="N20" s="2">
        <f>N9/'Output-Calculation-sheet'!N8*'Output-Calculation-sheet'!N26</f>
        <v>969.38523095018081</v>
      </c>
      <c r="O20" s="2">
        <f>O9/'Output-Calculation-sheet'!O8*'Output-Calculation-sheet'!O26</f>
        <v>651.47890006381749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459.83099720610227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152.20652716627632</v>
      </c>
      <c r="Y20" s="2">
        <f>Y9/'Output-Calculation-sheet'!Y8*'Output-Calculation-sheet'!Y26</f>
        <v>0</v>
      </c>
      <c r="AA20" s="2">
        <f t="shared" si="0"/>
        <v>15.04821313362482</v>
      </c>
    </row>
    <row r="21" spans="1:27" x14ac:dyDescent="0.25">
      <c r="A21" s="2">
        <v>2033</v>
      </c>
      <c r="B21" s="2">
        <f>B10/'Output-Calculation-sheet'!B9*'Output-Calculation-sheet'!B27</f>
        <v>5335.2150549294211</v>
      </c>
      <c r="C21" s="2">
        <f>C10/'Output-Calculation-sheet'!C9*'Output-Calculation-sheet'!C27</f>
        <v>3279.2489601713264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1075.1896308616076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761.02809031336051</v>
      </c>
      <c r="N21" s="2">
        <f>N10/'Output-Calculation-sheet'!N9*'Output-Calculation-sheet'!N27</f>
        <v>770.69108608665954</v>
      </c>
      <c r="O21" s="2">
        <f>O10/'Output-Calculation-sheet'!O9*'Output-Calculation-sheet'!O27</f>
        <v>642.00664167786942</v>
      </c>
      <c r="P21" s="2">
        <f>P10/'Output-Calculation-sheet'!P9*'Output-Calculation-sheet'!P27</f>
        <v>0</v>
      </c>
      <c r="Q21" s="2">
        <f>Q10/'Output-Calculation-sheet'!Q9*'Output-Calculation-sheet'!Q27</f>
        <v>8.9811527279556085</v>
      </c>
      <c r="R21" s="2">
        <f>R10/'Output-Calculation-sheet'!R9*'Output-Calculation-sheet'!R27</f>
        <v>0</v>
      </c>
      <c r="S21" s="2">
        <f>S10/'Output-Calculation-sheet'!S9*'Output-Calculation-sheet'!S27</f>
        <v>366.97456083840194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75.991925507823808</v>
      </c>
      <c r="Y21" s="2">
        <f>Y10/'Output-Calculation-sheet'!Y9*'Output-Calculation-sheet'!Y27</f>
        <v>0</v>
      </c>
      <c r="AA21" s="2">
        <f t="shared" si="0"/>
        <v>12.315327103114427</v>
      </c>
    </row>
    <row r="22" spans="1:27" x14ac:dyDescent="0.25">
      <c r="A22" s="2">
        <v>2034</v>
      </c>
      <c r="B22" s="2">
        <f>B11/'Output-Calculation-sheet'!B10*'Output-Calculation-sheet'!B28</f>
        <v>4137.5617369445663</v>
      </c>
      <c r="C22" s="2">
        <f>C11/'Output-Calculation-sheet'!C10*'Output-Calculation-sheet'!C28</f>
        <v>417.35370124011382</v>
      </c>
      <c r="D22" s="2">
        <f>D11/'Output-Calculation-sheet'!D10*'Output-Calculation-sheet'!D28</f>
        <v>0</v>
      </c>
      <c r="E22" s="2">
        <f>E11/'Output-Calculation-sheet'!E10*'Output-Calculation-sheet'!E28</f>
        <v>1385.8398064738258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1098.9249936386966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840.46391759327503</v>
      </c>
      <c r="M22" s="2">
        <f>M11/'Output-Calculation-sheet'!M10*'Output-Calculation-sheet'!M28</f>
        <v>782.10072921946994</v>
      </c>
      <c r="N22" s="2">
        <f>N11/'Output-Calculation-sheet'!N10*'Output-Calculation-sheet'!N28</f>
        <v>522.83879951001677</v>
      </c>
      <c r="O22" s="2">
        <f>O11/'Output-Calculation-sheet'!O10*'Output-Calculation-sheet'!O28</f>
        <v>81.864899805147857</v>
      </c>
      <c r="P22" s="2">
        <f>P11/'Output-Calculation-sheet'!P10*'Output-Calculation-sheet'!P28</f>
        <v>0</v>
      </c>
      <c r="Q22" s="2">
        <f>Q11/'Output-Calculation-sheet'!Q10*'Output-Calculation-sheet'!Q28</f>
        <v>269.12231499251186</v>
      </c>
      <c r="R22" s="2">
        <f>R11/'Output-Calculation-sheet'!R10*'Output-Calculation-sheet'!R28</f>
        <v>0</v>
      </c>
      <c r="S22" s="2">
        <f>S11/'Output-Calculation-sheet'!S10*'Output-Calculation-sheet'!S28</f>
        <v>195.76743366542874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76.846842066153258</v>
      </c>
      <c r="Y22" s="2">
        <f>Y11/'Output-Calculation-sheet'!Y10*'Output-Calculation-sheet'!Y28</f>
        <v>31.324943351362801</v>
      </c>
      <c r="AA22" s="2">
        <f t="shared" si="0"/>
        <v>9.8400101185005688</v>
      </c>
    </row>
    <row r="23" spans="1:27" x14ac:dyDescent="0.25">
      <c r="A23" s="2">
        <v>2035</v>
      </c>
      <c r="B23" s="2">
        <f>B12/'Output-Calculation-sheet'!B11*'Output-Calculation-sheet'!B29</f>
        <v>1629.1530370520591</v>
      </c>
      <c r="C23" s="2">
        <f>C12/'Output-Calculation-sheet'!C11*'Output-Calculation-sheet'!C29</f>
        <v>141.62113121234037</v>
      </c>
      <c r="D23" s="2">
        <f>D12/'Output-Calculation-sheet'!D11*'Output-Calculation-sheet'!D29</f>
        <v>0</v>
      </c>
      <c r="E23" s="2">
        <f>E12/'Output-Calculation-sheet'!E11*'Output-Calculation-sheet'!E29</f>
        <v>2248.903749095995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240.14001213062954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1509.1161051502504</v>
      </c>
      <c r="M23" s="2">
        <f>M12/'Output-Calculation-sheet'!M11*'Output-Calculation-sheet'!M29</f>
        <v>220.29341454202992</v>
      </c>
      <c r="N23" s="2">
        <f>N12/'Output-Calculation-sheet'!N11*'Output-Calculation-sheet'!N29</f>
        <v>183.11209094179355</v>
      </c>
      <c r="O23" s="2">
        <f>O12/'Output-Calculation-sheet'!O11*'Output-Calculation-sheet'!O29</f>
        <v>25.110985898459909</v>
      </c>
      <c r="P23" s="2">
        <f>P12/'Output-Calculation-sheet'!P11*'Output-Calculation-sheet'!P29</f>
        <v>88.927122311662217</v>
      </c>
      <c r="Q23" s="2">
        <f>Q12/'Output-Calculation-sheet'!Q11*'Output-Calculation-sheet'!Q29</f>
        <v>334.44543504476849</v>
      </c>
      <c r="R23" s="2">
        <f>R12/'Output-Calculation-sheet'!R11*'Output-Calculation-sheet'!R29</f>
        <v>0</v>
      </c>
      <c r="S23" s="2">
        <f>S12/'Output-Calculation-sheet'!S11*'Output-Calculation-sheet'!S29</f>
        <v>76.495399774311878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7.0739924969982884</v>
      </c>
      <c r="Y23" s="2">
        <f>Y12/'Output-Calculation-sheet'!Y11*'Output-Calculation-sheet'!Y29</f>
        <v>61.453953016380162</v>
      </c>
      <c r="AA23" s="2">
        <f t="shared" si="0"/>
        <v>6.7658464286676789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1182.2486104536599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46.352957954547605</v>
      </c>
    </row>
    <row r="31" spans="1:27" x14ac:dyDescent="0.25">
      <c r="A31" s="2">
        <v>2032</v>
      </c>
      <c r="B31" s="2">
        <f>B9/'Output-Calculation-sheet'!B8*'Output-Calculation-sheet'!B17</f>
        <v>25564.915235499564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999.61512905857921</v>
      </c>
      <c r="O31" s="2">
        <f>O9/'Output-Calculation-sheet'!O8*'Output-Calculation-sheet'!O17</f>
        <v>0</v>
      </c>
      <c r="P31" s="2">
        <f>P9/'Output-Calculation-sheet'!P8*'Output-Calculation-sheet'!P17</f>
        <v>2498.3828279995864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827.34923194364922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58.572261510127653</v>
      </c>
    </row>
    <row r="32" spans="1:27" x14ac:dyDescent="0.25">
      <c r="A32" s="2">
        <v>2033</v>
      </c>
      <c r="B32" s="2">
        <f>B10/'Output-Calculation-sheet'!B9*'Output-Calculation-sheet'!B18</f>
        <v>19298.883400452771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3021.6598537958889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781.12599972168562</v>
      </c>
      <c r="O32" s="2">
        <f>O10/'Output-Calculation-sheet'!O9*'Output-Calculation-sheet'!O18</f>
        <v>0</v>
      </c>
      <c r="P32" s="2">
        <f>P10/'Output-Calculation-sheet'!P9*'Output-Calculation-sheet'!P18</f>
        <v>3109.6929583057681</v>
      </c>
      <c r="Q32" s="2">
        <f>Q10/'Output-Calculation-sheet'!Q9*'Output-Calculation-sheet'!Q18</f>
        <v>2879.2909623195164</v>
      </c>
      <c r="R32" s="2">
        <f>R10/'Output-Calculation-sheet'!R9*'Output-Calculation-sheet'!R18</f>
        <v>2232.9765519173889</v>
      </c>
      <c r="S32" s="2">
        <f>S10/'Output-Calculation-sheet'!S9*'Output-Calculation-sheet'!S18</f>
        <v>710.59377355183085</v>
      </c>
      <c r="T32" s="2">
        <f>T10/'Output-Calculation-sheet'!T9*'Output-Calculation-sheet'!T18</f>
        <v>651.99282517314566</v>
      </c>
      <c r="U32" s="2">
        <f>U10/'Output-Calculation-sheet'!U9*'Output-Calculation-sheet'!U18</f>
        <v>720.7492225028974</v>
      </c>
      <c r="V32" s="2">
        <f>V10/'Output-Calculation-sheet'!V9*'Output-Calculation-sheet'!V18</f>
        <v>531.98835507652996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307.99304137897946</v>
      </c>
      <c r="AA32" s="2">
        <f t="shared" si="1"/>
        <v>61.353101642932479</v>
      </c>
    </row>
    <row r="33" spans="1:27" x14ac:dyDescent="0.25">
      <c r="A33" s="2">
        <v>2034</v>
      </c>
      <c r="B33" s="2">
        <f>B11/'Output-Calculation-sheet'!B10*'Output-Calculation-sheet'!B19</f>
        <v>12506.7524029918</v>
      </c>
      <c r="C33" s="2">
        <f>C11/'Output-Calculation-sheet'!C10*'Output-Calculation-sheet'!C19</f>
        <v>0</v>
      </c>
      <c r="D33" s="2">
        <f>D11/'Output-Calculation-sheet'!D10*'Output-Calculation-sheet'!D19</f>
        <v>8317.5296678114955</v>
      </c>
      <c r="E33" s="2">
        <f>E11/'Output-Calculation-sheet'!E10*'Output-Calculation-sheet'!E19</f>
        <v>10311.636709049135</v>
      </c>
      <c r="F33" s="2">
        <f>F11/'Output-Calculation-sheet'!F10*'Output-Calculation-sheet'!F19</f>
        <v>4721.5197332833113</v>
      </c>
      <c r="G33" s="2">
        <f>G11/'Output-Calculation-sheet'!G10*'Output-Calculation-sheet'!G19</f>
        <v>2812.6760608106133</v>
      </c>
      <c r="H33" s="2">
        <f>H11/'Output-Calculation-sheet'!H10*'Output-Calculation-sheet'!H19</f>
        <v>0</v>
      </c>
      <c r="I33" s="2">
        <f>I11/'Output-Calculation-sheet'!I10*'Output-Calculation-sheet'!I19</f>
        <v>3089.6551315189895</v>
      </c>
      <c r="J33" s="2">
        <f>J11/'Output-Calculation-sheet'!J10*'Output-Calculation-sheet'!J19</f>
        <v>2612.6627302099337</v>
      </c>
      <c r="K33" s="2">
        <f>K11/'Output-Calculation-sheet'!K10*'Output-Calculation-sheet'!K19</f>
        <v>3623.8248003910762</v>
      </c>
      <c r="L33" s="2">
        <f>L11/'Output-Calculation-sheet'!L10*'Output-Calculation-sheet'!L19</f>
        <v>2947.3318923359225</v>
      </c>
      <c r="M33" s="2">
        <f>M11/'Output-Calculation-sheet'!M10*'Output-Calculation-sheet'!M19</f>
        <v>0</v>
      </c>
      <c r="N33" s="2">
        <f>N11/'Output-Calculation-sheet'!N10*'Output-Calculation-sheet'!N19</f>
        <v>559.44985374013424</v>
      </c>
      <c r="O33" s="2">
        <f>O11/'Output-Calculation-sheet'!O10*'Output-Calculation-sheet'!O19</f>
        <v>0</v>
      </c>
      <c r="P33" s="2">
        <f>P11/'Output-Calculation-sheet'!P10*'Output-Calculation-sheet'!P19</f>
        <v>2769.3679310110333</v>
      </c>
      <c r="Q33" s="2">
        <f>Q11/'Output-Calculation-sheet'!Q10*'Output-Calculation-sheet'!Q19</f>
        <v>1764.5618731569773</v>
      </c>
      <c r="R33" s="2">
        <f>R11/'Output-Calculation-sheet'!R10*'Output-Calculation-sheet'!R19</f>
        <v>2617.9510476744713</v>
      </c>
      <c r="S33" s="2">
        <f>S11/'Output-Calculation-sheet'!S10*'Output-Calculation-sheet'!S19</f>
        <v>355.64174364038064</v>
      </c>
      <c r="T33" s="2">
        <f>T11/'Output-Calculation-sheet'!T10*'Output-Calculation-sheet'!T19</f>
        <v>767.99522132820823</v>
      </c>
      <c r="U33" s="2">
        <f>U11/'Output-Calculation-sheet'!U10*'Output-Calculation-sheet'!U19</f>
        <v>830.62943192302839</v>
      </c>
      <c r="V33" s="2">
        <f>V11/'Output-Calculation-sheet'!V10*'Output-Calculation-sheet'!V19</f>
        <v>602.41341011206077</v>
      </c>
      <c r="W33" s="2">
        <f>W11/'Output-Calculation-sheet'!W10*'Output-Calculation-sheet'!W19</f>
        <v>375.09044530765578</v>
      </c>
      <c r="X33" s="2">
        <f>X11/'Output-Calculation-sheet'!X10*'Output-Calculation-sheet'!X19</f>
        <v>0</v>
      </c>
      <c r="Y33" s="2">
        <f>Y11/'Output-Calculation-sheet'!Y10*'Output-Calculation-sheet'!Y19</f>
        <v>307.09199361838273</v>
      </c>
      <c r="AA33" s="2">
        <f t="shared" si="1"/>
        <v>61.893782079914615</v>
      </c>
    </row>
    <row r="34" spans="1:27" x14ac:dyDescent="0.25">
      <c r="A34" s="2">
        <v>2035</v>
      </c>
      <c r="B34" s="2">
        <f>B12/'Output-Calculation-sheet'!B11*'Output-Calculation-sheet'!B20</f>
        <v>2787.7577841175598</v>
      </c>
      <c r="C34" s="2">
        <f>C12/'Output-Calculation-sheet'!C11*'Output-Calculation-sheet'!C20</f>
        <v>0</v>
      </c>
      <c r="D34" s="2">
        <f>D12/'Output-Calculation-sheet'!D11*'Output-Calculation-sheet'!D20</f>
        <v>7299.6922156884766</v>
      </c>
      <c r="E34" s="2">
        <f>E12/'Output-Calculation-sheet'!E11*'Output-Calculation-sheet'!E20</f>
        <v>4765.0721040752242</v>
      </c>
      <c r="F34" s="2">
        <f>F12/'Output-Calculation-sheet'!F11*'Output-Calculation-sheet'!F20</f>
        <v>4536.2517117002435</v>
      </c>
      <c r="G34" s="2">
        <f>G12/'Output-Calculation-sheet'!G11*'Output-Calculation-sheet'!G20</f>
        <v>2447.4677604808103</v>
      </c>
      <c r="H34" s="2">
        <f>H12/'Output-Calculation-sheet'!H11*'Output-Calculation-sheet'!H20</f>
        <v>0</v>
      </c>
      <c r="I34" s="2">
        <f>I12/'Output-Calculation-sheet'!I11*'Output-Calculation-sheet'!I20</f>
        <v>2720.9108934000042</v>
      </c>
      <c r="J34" s="2">
        <f>J12/'Output-Calculation-sheet'!J11*'Output-Calculation-sheet'!J20</f>
        <v>2523.2771906689263</v>
      </c>
      <c r="K34" s="2">
        <f>K12/'Output-Calculation-sheet'!K11*'Output-Calculation-sheet'!K20</f>
        <v>3363.7787386626419</v>
      </c>
      <c r="L34" s="2">
        <f>L12/'Output-Calculation-sheet'!L11*'Output-Calculation-sheet'!L20</f>
        <v>2678.1242119184849</v>
      </c>
      <c r="M34" s="2">
        <f>M12/'Output-Calculation-sheet'!M11*'Output-Calculation-sheet'!M20</f>
        <v>0</v>
      </c>
      <c r="N34" s="2">
        <f>N12/'Output-Calculation-sheet'!N11*'Output-Calculation-sheet'!N20</f>
        <v>1.977147364788763E-2</v>
      </c>
      <c r="O34" s="2">
        <f>O12/'Output-Calculation-sheet'!O11*'Output-Calculation-sheet'!O20</f>
        <v>0</v>
      </c>
      <c r="P34" s="2">
        <f>P12/'Output-Calculation-sheet'!P11*'Output-Calculation-sheet'!P20</f>
        <v>1376.9826626938795</v>
      </c>
      <c r="Q34" s="2">
        <f>Q12/'Output-Calculation-sheet'!Q11*'Output-Calculation-sheet'!Q20</f>
        <v>925.94116431746147</v>
      </c>
      <c r="R34" s="2">
        <f>R12/'Output-Calculation-sheet'!R11*'Output-Calculation-sheet'!R20</f>
        <v>2569.7527729798812</v>
      </c>
      <c r="S34" s="2">
        <f>S12/'Output-Calculation-sheet'!S11*'Output-Calculation-sheet'!S20</f>
        <v>3.0444453468529269</v>
      </c>
      <c r="T34" s="2">
        <f>T12/'Output-Calculation-sheet'!T11*'Output-Calculation-sheet'!T20</f>
        <v>778.9350446132778</v>
      </c>
      <c r="U34" s="2">
        <f>U12/'Output-Calculation-sheet'!U11*'Output-Calculation-sheet'!U20</f>
        <v>717.45783619448093</v>
      </c>
      <c r="V34" s="2">
        <f>V12/'Output-Calculation-sheet'!V11*'Output-Calculation-sheet'!V20</f>
        <v>706.18752655168373</v>
      </c>
      <c r="W34" s="2">
        <f>W12/'Output-Calculation-sheet'!W11*'Output-Calculation-sheet'!W20</f>
        <v>382.97207959914107</v>
      </c>
      <c r="X34" s="2">
        <f>X12/'Output-Calculation-sheet'!X11*'Output-Calculation-sheet'!X20</f>
        <v>0</v>
      </c>
      <c r="Y34" s="2">
        <f>Y12/'Output-Calculation-sheet'!Y11*'Output-Calculation-sheet'!Y20</f>
        <v>174.93907643694283</v>
      </c>
      <c r="AA34" s="2">
        <f t="shared" si="1"/>
        <v>40.758564990919623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1.8734323803059581E-2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3.4310484102291548E-3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2.2165372213288737E-2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4.5669847880860794E-2</v>
      </c>
      <c r="E45" s="2">
        <f>E12/'Output-Calculation-sheet'!E11*'Output-Calculation-sheet'!E38*0.0114</f>
        <v>0.10888616976837921</v>
      </c>
      <c r="F45" s="2">
        <f>F12/'Output-Calculation-sheet'!F11*'Output-Calculation-sheet'!F38*0.0114</f>
        <v>4.5654606478715158E-2</v>
      </c>
      <c r="G45" s="2">
        <f>G12/'Output-Calculation-sheet'!G11*'Output-Calculation-sheet'!G38*0.0114</f>
        <v>3.2765613789513828E-2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2.9470644858102232E-2</v>
      </c>
      <c r="J45" s="2">
        <f>J12/'Output-Calculation-sheet'!J11*'Output-Calculation-sheet'!J38*0.0114</f>
        <v>1.4583088074679158E-2</v>
      </c>
      <c r="K45" s="2">
        <f>K12/'Output-Calculation-sheet'!K11*'Output-Calculation-sheet'!K38*0.0114</f>
        <v>2.8964952848679722E-2</v>
      </c>
      <c r="L45" s="2">
        <f>L12/'Output-Calculation-sheet'!L11*'Output-Calculation-sheet'!L38*0.0114</f>
        <v>1.1515798548077103E-2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2.9746457713234885E-2</v>
      </c>
      <c r="Q45" s="2">
        <f>Q12/'Output-Calculation-sheet'!Q11*'Output-Calculation-sheet'!Q38*0.0114</f>
        <v>9.4038263697137203E-3</v>
      </c>
      <c r="R45" s="2">
        <f>R12/'Output-Calculation-sheet'!R11*'Output-Calculation-sheet'!R38*0.0114</f>
        <v>1.8651332460229295E-2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3.4501451992456833E-3</v>
      </c>
      <c r="U45" s="2">
        <f>U12/'Output-Calculation-sheet'!U11*'Output-Calculation-sheet'!U38*0.0114</f>
        <v>9.0011581110016389E-3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4.0067690235417435E-3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4.6243799465776909E-3</v>
      </c>
      <c r="AA45" s="2">
        <f t="shared" si="2"/>
        <v>0.61378062983076997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0.16300083131431631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197.97928803429161</v>
      </c>
      <c r="R54" s="2">
        <f>R10/'Output-Calculation-sheet'!R9*'Output-Calculation-sheet'!R45</f>
        <v>1482.068315422576</v>
      </c>
      <c r="S54" s="2">
        <f>S10/'Output-Calculation-sheet'!S9*'Output-Calculation-sheet'!S45</f>
        <v>0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18.472929731693505</v>
      </c>
      <c r="AA54" s="2">
        <f t="shared" si="3"/>
        <v>4.8767805349592352</v>
      </c>
    </row>
    <row r="55" spans="1:27" x14ac:dyDescent="0.25">
      <c r="A55" s="2">
        <v>2034</v>
      </c>
      <c r="B55" s="2">
        <f>B11/'Output-Calculation-sheet'!B10*'Output-Calculation-sheet'!B46</f>
        <v>1634.4351701280007</v>
      </c>
      <c r="C55" s="2">
        <f>C11/'Output-Calculation-sheet'!C10*'Output-Calculation-sheet'!C46</f>
        <v>0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272.48740198000655</v>
      </c>
      <c r="G55" s="2">
        <f>G11/'Output-Calculation-sheet'!G10*'Output-Calculation-sheet'!G46</f>
        <v>3071.4430866595053</v>
      </c>
      <c r="H55" s="2">
        <f>H11/'Output-Calculation-sheet'!H10*'Output-Calculation-sheet'!H46</f>
        <v>557.19315383368075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1263.8865724622824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412.97992738512721</v>
      </c>
      <c r="N55" s="2">
        <f>N11/'Output-Calculation-sheet'!N10*'Output-Calculation-sheet'!N46</f>
        <v>141.03949725467999</v>
      </c>
      <c r="O55" s="2">
        <f>O11/'Output-Calculation-sheet'!O10*'Output-Calculation-sheet'!O46</f>
        <v>0</v>
      </c>
      <c r="P55" s="2">
        <f>P11/'Output-Calculation-sheet'!P10*'Output-Calculation-sheet'!P46</f>
        <v>3067.4198917868157</v>
      </c>
      <c r="Q55" s="2">
        <f>Q11/'Output-Calculation-sheet'!Q10*'Output-Calculation-sheet'!Q46</f>
        <v>657.47953392679528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0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1169.2651819070409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77.570479368417892</v>
      </c>
      <c r="X55" s="2">
        <f>X11/'Output-Calculation-sheet'!X10*'Output-Calculation-sheet'!X46</f>
        <v>39.416340275535816</v>
      </c>
      <c r="Y55" s="2">
        <f>Y11/'Output-Calculation-sheet'!Y10*'Output-Calculation-sheet'!Y46</f>
        <v>274.14848411103952</v>
      </c>
      <c r="AA55" s="2">
        <f t="shared" si="3"/>
        <v>40.602419310858764</v>
      </c>
    </row>
    <row r="56" spans="1:27" x14ac:dyDescent="0.25">
      <c r="A56" s="2">
        <v>2035</v>
      </c>
      <c r="B56" s="2">
        <f>B12/'Output-Calculation-sheet'!B11*'Output-Calculation-sheet'!B47</f>
        <v>2563.1794343475335</v>
      </c>
      <c r="C56" s="2">
        <f>C12/'Output-Calculation-sheet'!C11*'Output-Calculation-sheet'!C47</f>
        <v>293.9605150503632</v>
      </c>
      <c r="D56" s="2">
        <f>D12/'Output-Calculation-sheet'!D11*'Output-Calculation-sheet'!D47</f>
        <v>7235.0653748100513</v>
      </c>
      <c r="E56" s="2">
        <f>E12/'Output-Calculation-sheet'!E11*'Output-Calculation-sheet'!E47</f>
        <v>9481.3746657962947</v>
      </c>
      <c r="F56" s="2">
        <f>F12/'Output-Calculation-sheet'!F11*'Output-Calculation-sheet'!F47</f>
        <v>1001.1975104981394</v>
      </c>
      <c r="G56" s="2">
        <f>G12/'Output-Calculation-sheet'!G11*'Output-Calculation-sheet'!G47</f>
        <v>2677.2955478010645</v>
      </c>
      <c r="H56" s="2">
        <f>H12/'Output-Calculation-sheet'!H11*'Output-Calculation-sheet'!H47</f>
        <v>114.15682190620959</v>
      </c>
      <c r="I56" s="2">
        <f>I12/'Output-Calculation-sheet'!I11*'Output-Calculation-sheet'!I47</f>
        <v>1706.1952286269714</v>
      </c>
      <c r="J56" s="2">
        <f>J12/'Output-Calculation-sheet'!J11*'Output-Calculation-sheet'!J47</f>
        <v>2848.8190475710949</v>
      </c>
      <c r="K56" s="2">
        <f>K12/'Output-Calculation-sheet'!K11*'Output-Calculation-sheet'!K47</f>
        <v>3804.8260430612177</v>
      </c>
      <c r="L56" s="2">
        <f>L12/'Output-Calculation-sheet'!L11*'Output-Calculation-sheet'!L47</f>
        <v>4120.4335331233779</v>
      </c>
      <c r="M56" s="2">
        <f>M12/'Output-Calculation-sheet'!M11*'Output-Calculation-sheet'!M47</f>
        <v>87.172454725153813</v>
      </c>
      <c r="N56" s="2">
        <f>N12/'Output-Calculation-sheet'!N11*'Output-Calculation-sheet'!N47</f>
        <v>81.910390826963024</v>
      </c>
      <c r="O56" s="2">
        <f>O12/'Output-Calculation-sheet'!O11*'Output-Calculation-sheet'!O47</f>
        <v>53.594000902909428</v>
      </c>
      <c r="P56" s="2">
        <f>P12/'Output-Calculation-sheet'!P11*'Output-Calculation-sheet'!P47</f>
        <v>1946.5664433397565</v>
      </c>
      <c r="Q56" s="2">
        <f>Q12/'Output-Calculation-sheet'!Q11*'Output-Calculation-sheet'!Q47</f>
        <v>748.18162432722306</v>
      </c>
      <c r="R56" s="2">
        <f>R12/'Output-Calculation-sheet'!R11*'Output-Calculation-sheet'!R47</f>
        <v>4194.9137217568341</v>
      </c>
      <c r="S56" s="2">
        <f>S12/'Output-Calculation-sheet'!S11*'Output-Calculation-sheet'!S47</f>
        <v>35.080472885204792</v>
      </c>
      <c r="T56" s="2">
        <f>T12/'Output-Calculation-sheet'!T11*'Output-Calculation-sheet'!T47</f>
        <v>1411.2304442177738</v>
      </c>
      <c r="U56" s="2">
        <f>U12/'Output-Calculation-sheet'!U11*'Output-Calculation-sheet'!U47</f>
        <v>989.33781693728542</v>
      </c>
      <c r="V56" s="2">
        <f>V12/'Output-Calculation-sheet'!V11*'Output-Calculation-sheet'!V47</f>
        <v>977.5804642269851</v>
      </c>
      <c r="W56" s="2">
        <f>W12/'Output-Calculation-sheet'!W11*'Output-Calculation-sheet'!W47</f>
        <v>346.02316698919708</v>
      </c>
      <c r="X56" s="2">
        <f>X12/'Output-Calculation-sheet'!X11*'Output-Calculation-sheet'!X47</f>
        <v>8.9324721420909832</v>
      </c>
      <c r="Y56" s="2">
        <f>Y12/'Output-Calculation-sheet'!Y11*'Output-Calculation-sheet'!Y47</f>
        <v>276.14444286252308</v>
      </c>
      <c r="AA56" s="2">
        <f t="shared" si="3"/>
        <v>47.003171638732212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8.5486183499568771</v>
      </c>
      <c r="C63" s="2">
        <f>C8*'Output-Calculation-sheet'!C52/10^9</f>
        <v>4.5671115819808357</v>
      </c>
      <c r="D63" s="2">
        <f>D8*'Output-Calculation-sheet'!D52/10^9</f>
        <v>2.9315044309615237</v>
      </c>
      <c r="E63" s="2">
        <f>E8*'Output-Calculation-sheet'!E52/10^9</f>
        <v>2.9147017460582441</v>
      </c>
      <c r="F63" s="2">
        <f>F8*'Output-Calculation-sheet'!F52/10^9</f>
        <v>1.2343759484985088</v>
      </c>
      <c r="G63" s="2">
        <f>G8*'Output-Calculation-sheet'!G52/10^9</f>
        <v>0.88746054262695651</v>
      </c>
      <c r="H63" s="2">
        <f>H8*'Output-Calculation-sheet'!H52/10^9</f>
        <v>1.4433693164944308</v>
      </c>
      <c r="I63" s="2">
        <f>I8*'Output-Calculation-sheet'!I52/10^9</f>
        <v>0.82554433967614116</v>
      </c>
      <c r="J63" s="2">
        <f>J8*'Output-Calculation-sheet'!J52/10^9</f>
        <v>1.1360049683843403</v>
      </c>
      <c r="K63" s="2">
        <f>K8*'Output-Calculation-sheet'!K52/10^9</f>
        <v>0.99808140334076356</v>
      </c>
      <c r="L63" s="2">
        <f>L8*'Output-Calculation-sheet'!L52/10^9</f>
        <v>1.3424675093805298</v>
      </c>
      <c r="M63" s="2">
        <f>M8*'Output-Calculation-sheet'!M52/10^9</f>
        <v>1.1824557223526826</v>
      </c>
      <c r="N63" s="2">
        <f>N8*'Output-Calculation-sheet'!N52/10^9</f>
        <v>1.0433457663747849</v>
      </c>
      <c r="O63" s="2">
        <f>O8*'Output-Calculation-sheet'!O52/10^9</f>
        <v>0.93439160341026617</v>
      </c>
      <c r="P63" s="2">
        <f>P8*'Output-Calculation-sheet'!P52/10^9</f>
        <v>0.68964732646794125</v>
      </c>
      <c r="Q63" s="2">
        <f>Q8*'Output-Calculation-sheet'!Q52/10^9</f>
        <v>0.78047867523635706</v>
      </c>
      <c r="R63" s="2">
        <f>R8*'Output-Calculation-sheet'!R52/10^9</f>
        <v>0.70071492514419731</v>
      </c>
      <c r="S63" s="2">
        <f>S8*'Output-Calculation-sheet'!S52/10^9</f>
        <v>0.51925458709451455</v>
      </c>
      <c r="T63" s="2">
        <f>T8*'Output-Calculation-sheet'!T52/10^9</f>
        <v>0.26640180485594411</v>
      </c>
      <c r="U63" s="2">
        <f>U8*'Output-Calculation-sheet'!U52/10^9</f>
        <v>0.18296190490312067</v>
      </c>
      <c r="V63" s="2">
        <f>V8*'Output-Calculation-sheet'!V52/10^9</f>
        <v>0.32471414391483877</v>
      </c>
      <c r="W63" s="2">
        <f>W8*'Output-Calculation-sheet'!W52/10^9</f>
        <v>0.11753130708569365</v>
      </c>
      <c r="X63" s="2">
        <f>X8*'Output-Calculation-sheet'!X52/10^9</f>
        <v>0.12110208029330191</v>
      </c>
      <c r="Y63" s="2">
        <f>Y8*'Output-Calculation-sheet'!Y52/10^9</f>
        <v>7.6685908439396766E-2</v>
      </c>
      <c r="AA63" s="2">
        <f t="shared" si="4"/>
        <v>33.768925892932195</v>
      </c>
    </row>
    <row r="64" spans="1:27" x14ac:dyDescent="0.25">
      <c r="A64" s="2">
        <v>2032</v>
      </c>
      <c r="B64" s="2">
        <f>B9*'Output-Calculation-sheet'!B53/10^9</f>
        <v>8.7177200414898586</v>
      </c>
      <c r="C64" s="2">
        <f>C9*'Output-Calculation-sheet'!C53/10^9</f>
        <v>4.6215326384411801</v>
      </c>
      <c r="D64" s="2">
        <f>D9*'Output-Calculation-sheet'!D53/10^9</f>
        <v>2.5819045679336248</v>
      </c>
      <c r="E64" s="2">
        <f>E9*'Output-Calculation-sheet'!E53/10^9</f>
        <v>2.643983875944135</v>
      </c>
      <c r="F64" s="2">
        <f>F9*'Output-Calculation-sheet'!F53/10^9</f>
        <v>1.1152158197330941</v>
      </c>
      <c r="G64" s="2">
        <f>G9*'Output-Calculation-sheet'!G53/10^9</f>
        <v>0.79377650480625106</v>
      </c>
      <c r="H64" s="2">
        <f>H9*'Output-Calculation-sheet'!H53/10^9</f>
        <v>1.4504337325488692</v>
      </c>
      <c r="I64" s="2">
        <f>I9*'Output-Calculation-sheet'!I53/10^9</f>
        <v>0.74205130005552589</v>
      </c>
      <c r="J64" s="2">
        <f>J9*'Output-Calculation-sheet'!J53/10^9</f>
        <v>0.98232514755599587</v>
      </c>
      <c r="K64" s="2">
        <f>K9*'Output-Calculation-sheet'!K53/10^9</f>
        <v>0.91146408814664304</v>
      </c>
      <c r="L64" s="2">
        <f>L9*'Output-Calculation-sheet'!L53/10^9</f>
        <v>1.1725958250994462</v>
      </c>
      <c r="M64" s="2">
        <f>M9*'Output-Calculation-sheet'!M53/10^9</f>
        <v>1.150749526049698</v>
      </c>
      <c r="N64" s="2">
        <f>N9*'Output-Calculation-sheet'!N53/10^9</f>
        <v>1.0360463890176388</v>
      </c>
      <c r="O64" s="2">
        <f>O9*'Output-Calculation-sheet'!O53/10^9</f>
        <v>0.93589496867976607</v>
      </c>
      <c r="P64" s="2">
        <f>P9*'Output-Calculation-sheet'!P53/10^9</f>
        <v>0.69493481204329721</v>
      </c>
      <c r="Q64" s="2">
        <f>Q9*'Output-Calculation-sheet'!Q53/10^9</f>
        <v>0.76800161342293438</v>
      </c>
      <c r="R64" s="2">
        <f>R9*'Output-Calculation-sheet'!R53/10^9</f>
        <v>0.65835874766322577</v>
      </c>
      <c r="S64" s="2">
        <f>S9*'Output-Calculation-sheet'!S53/10^9</f>
        <v>0.52976286183556831</v>
      </c>
      <c r="T64" s="2">
        <f>T9*'Output-Calculation-sheet'!T53/10^9</f>
        <v>0.23666189296652518</v>
      </c>
      <c r="U64" s="2">
        <f>U9*'Output-Calculation-sheet'!U53/10^9</f>
        <v>0.17813047253890144</v>
      </c>
      <c r="V64" s="2">
        <f>V9*'Output-Calculation-sheet'!V53/10^9</f>
        <v>0.28090166338304012</v>
      </c>
      <c r="W64" s="2">
        <f>W9*'Output-Calculation-sheet'!W53/10^9</f>
        <v>0.10437781458201091</v>
      </c>
      <c r="X64" s="2">
        <f>X9*'Output-Calculation-sheet'!X53/10^9</f>
        <v>0.11966767110908502</v>
      </c>
      <c r="Y64" s="2">
        <f>Y9*'Output-Calculation-sheet'!Y53/10^9</f>
        <v>7.3130541293078999E-2</v>
      </c>
      <c r="AA64" s="2">
        <f t="shared" si="4"/>
        <v>32.499622516339393</v>
      </c>
    </row>
    <row r="65" spans="1:27" x14ac:dyDescent="0.25">
      <c r="A65" s="2">
        <v>2033</v>
      </c>
      <c r="B65" s="2">
        <f>B10*'Output-Calculation-sheet'!B54/10^9</f>
        <v>8.3790854297829238</v>
      </c>
      <c r="C65" s="2">
        <f>C10*'Output-Calculation-sheet'!C54/10^9</f>
        <v>4.3312994225997565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1.3601742041920957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0.79248965600499666</v>
      </c>
      <c r="L65" s="2">
        <f>L10*'Output-Calculation-sheet'!L54/10^9</f>
        <v>0.93600693838293347</v>
      </c>
      <c r="M65" s="2">
        <f>M10*'Output-Calculation-sheet'!M54/10^9</f>
        <v>1.0372194536018473</v>
      </c>
      <c r="N65" s="2">
        <f>N10*'Output-Calculation-sheet'!N54/10^9</f>
        <v>0.95177594881362682</v>
      </c>
      <c r="O65" s="2">
        <f>O10*'Output-Calculation-sheet'!O54/10^9</f>
        <v>0.86801155697794841</v>
      </c>
      <c r="P65" s="2">
        <f>P10*'Output-Calculation-sheet'!P54/10^9</f>
        <v>0.67047131857232134</v>
      </c>
      <c r="Q65" s="2">
        <f>Q10*'Output-Calculation-sheet'!Q54/10^9</f>
        <v>0.73036885679188723</v>
      </c>
      <c r="R65" s="2">
        <f>R10*'Output-Calculation-sheet'!R54/10^9</f>
        <v>0.59027679117292109</v>
      </c>
      <c r="S65" s="2">
        <f>S10*'Output-Calculation-sheet'!S54/10^9</f>
        <v>0.5020604371017513</v>
      </c>
      <c r="T65" s="2">
        <f>T10*'Output-Calculation-sheet'!T54/10^9</f>
        <v>0.19735832134174622</v>
      </c>
      <c r="U65" s="2">
        <f>U10*'Output-Calculation-sheet'!U54/10^9</f>
        <v>0.17041189040045812</v>
      </c>
      <c r="V65" s="2">
        <f>V10*'Output-Calculation-sheet'!V54/10^9</f>
        <v>0.2184116349273226</v>
      </c>
      <c r="W65" s="2">
        <f>W10*'Output-Calculation-sheet'!W54/10^9</f>
        <v>8.3154332414876769E-2</v>
      </c>
      <c r="X65" s="2">
        <f>X10*'Output-Calculation-sheet'!X54/10^9</f>
        <v>0.10875319213798595</v>
      </c>
      <c r="Y65" s="2">
        <f>Y10*'Output-Calculation-sheet'!Y54/10^9</f>
        <v>6.8441873247742549E-2</v>
      </c>
      <c r="AA65" s="2">
        <f t="shared" si="4"/>
        <v>29.250573453535036</v>
      </c>
    </row>
    <row r="66" spans="1:27" x14ac:dyDescent="0.25">
      <c r="A66" s="2">
        <v>2034</v>
      </c>
      <c r="B66" s="2">
        <f>B11*'Output-Calculation-sheet'!B55/10^9</f>
        <v>7.602792760789046</v>
      </c>
      <c r="C66" s="2">
        <f>C11*'Output-Calculation-sheet'!C55/10^9</f>
        <v>3.8244938830513528</v>
      </c>
      <c r="D66" s="2">
        <f>D11*'Output-Calculation-sheet'!D55/10^9</f>
        <v>1.715825157449069</v>
      </c>
      <c r="E66" s="2">
        <f>E11*'Output-Calculation-sheet'!E55/10^9</f>
        <v>2.0777425758072541</v>
      </c>
      <c r="F66" s="2">
        <f>F11*'Output-Calculation-sheet'!F55/10^9</f>
        <v>0.7985073607578681</v>
      </c>
      <c r="G66" s="2">
        <f>G11*'Output-Calculation-sheet'!G55/10^9</f>
        <v>0.57079329404862811</v>
      </c>
      <c r="H66" s="2">
        <f>H11*'Output-Calculation-sheet'!H55/10^9</f>
        <v>1.1910272188944298</v>
      </c>
      <c r="I66" s="2">
        <f>I11*'Output-Calculation-sheet'!I55/10^9</f>
        <v>0.55813301843161134</v>
      </c>
      <c r="J66" s="2">
        <f>J11*'Output-Calculation-sheet'!J55/10^9</f>
        <v>0.573948038919599</v>
      </c>
      <c r="K66" s="2">
        <f>K11*'Output-Calculation-sheet'!K55/10^9</f>
        <v>0.68648232269538534</v>
      </c>
      <c r="L66" s="2">
        <f>L11*'Output-Calculation-sheet'!L55/10^9</f>
        <v>0.72699583768153542</v>
      </c>
      <c r="M66" s="2">
        <f>M11*'Output-Calculation-sheet'!M55/10^9</f>
        <v>0.86817654885383844</v>
      </c>
      <c r="N66" s="2">
        <f>N11*'Output-Calculation-sheet'!N55/10^9</f>
        <v>0.8201758857088991</v>
      </c>
      <c r="O66" s="2">
        <f>O11*'Output-Calculation-sheet'!O55/10^9</f>
        <v>0.75382061975396231</v>
      </c>
      <c r="P66" s="2">
        <f>P11*'Output-Calculation-sheet'!P55/10^9</f>
        <v>0.62943294254715454</v>
      </c>
      <c r="Q66" s="2">
        <f>Q11*'Output-Calculation-sheet'!Q55/10^9</f>
        <v>0.66583768135999322</v>
      </c>
      <c r="R66" s="2">
        <f>R11*'Output-Calculation-sheet'!R55/10^9</f>
        <v>0.51428642772514765</v>
      </c>
      <c r="S66" s="2">
        <f>S11*'Output-Calculation-sheet'!S55/10^9</f>
        <v>0.44858157063089976</v>
      </c>
      <c r="T66" s="2">
        <f>T11*'Output-Calculation-sheet'!T55/10^9</f>
        <v>0.16118973885301735</v>
      </c>
      <c r="U66" s="2">
        <f>U11*'Output-Calculation-sheet'!U55/10^9</f>
        <v>0.16372096482779522</v>
      </c>
      <c r="V66" s="2">
        <f>V11*'Output-Calculation-sheet'!V55/10^9</f>
        <v>0.15291092508742507</v>
      </c>
      <c r="W66" s="2">
        <f>W11*'Output-Calculation-sheet'!W55/10^9</f>
        <v>6.923906190858424E-2</v>
      </c>
      <c r="X66" s="2">
        <f>X11*'Output-Calculation-sheet'!X55/10^9</f>
        <v>9.2757597746707846E-2</v>
      </c>
      <c r="Y66" s="2">
        <f>Y11*'Output-Calculation-sheet'!Y55/10^9</f>
        <v>6.7691894598608596E-2</v>
      </c>
      <c r="AA66" s="2">
        <f t="shared" si="4"/>
        <v>25.734563328127813</v>
      </c>
    </row>
    <row r="67" spans="1:27" x14ac:dyDescent="0.25">
      <c r="A67" s="2">
        <v>2035</v>
      </c>
      <c r="B67" s="2">
        <f>B12*'Output-Calculation-sheet'!B56/10^9</f>
        <v>6.7158748802534705</v>
      </c>
      <c r="C67" s="2">
        <f>C12*'Output-Calculation-sheet'!C56/10^9</f>
        <v>3.1521076674084658</v>
      </c>
      <c r="D67" s="2">
        <f>D12*'Output-Calculation-sheet'!D56/10^9</f>
        <v>1.5496517366956899</v>
      </c>
      <c r="E67" s="2">
        <f>E12*'Output-Calculation-sheet'!E56/10^9</f>
        <v>2.0716034681902475</v>
      </c>
      <c r="F67" s="2">
        <f>F12*'Output-Calculation-sheet'!F56/10^9</f>
        <v>0.76846193887172154</v>
      </c>
      <c r="G67" s="2">
        <f>G12*'Output-Calculation-sheet'!G56/10^9</f>
        <v>0.53831980704369031</v>
      </c>
      <c r="H67" s="2">
        <f>H12*'Output-Calculation-sheet'!H56/10^9</f>
        <v>0.99237849044202497</v>
      </c>
      <c r="I67" s="2">
        <f>I12*'Output-Calculation-sheet'!I56/10^9</f>
        <v>0.52293008051764311</v>
      </c>
      <c r="J67" s="2">
        <f>J12*'Output-Calculation-sheet'!J56/10^9</f>
        <v>0.51772220812697312</v>
      </c>
      <c r="K67" s="2">
        <f>K12*'Output-Calculation-sheet'!K56/10^9</f>
        <v>0.62386453562063782</v>
      </c>
      <c r="L67" s="2">
        <f>L12*'Output-Calculation-sheet'!L56/10^9</f>
        <v>0.62667964370328999</v>
      </c>
      <c r="M67" s="2">
        <f>M12*'Output-Calculation-sheet'!M56/10^9</f>
        <v>0.69033977589139972</v>
      </c>
      <c r="N67" s="2">
        <f>N12*'Output-Calculation-sheet'!N56/10^9</f>
        <v>0.67341350535117439</v>
      </c>
      <c r="O67" s="2">
        <f>O12*'Output-Calculation-sheet'!O56/10^9</f>
        <v>0.61273886509640596</v>
      </c>
      <c r="P67" s="2">
        <f>P12*'Output-Calculation-sheet'!P56/10^9</f>
        <v>0.5856554293264058</v>
      </c>
      <c r="Q67" s="2">
        <f>Q12*'Output-Calculation-sheet'!Q56/10^9</f>
        <v>0.5944205590353342</v>
      </c>
      <c r="R67" s="2">
        <f>R12*'Output-Calculation-sheet'!R56/10^9</f>
        <v>0.47321150705960041</v>
      </c>
      <c r="S67" s="2">
        <f>S12*'Output-Calculation-sheet'!S56/10^9</f>
        <v>0.38475894747607503</v>
      </c>
      <c r="T67" s="2">
        <f>T12*'Output-Calculation-sheet'!T56/10^9</f>
        <v>0.14341508457566426</v>
      </c>
      <c r="U67" s="2">
        <f>U12*'Output-Calculation-sheet'!U56/10^9</f>
        <v>0.14995216540692871</v>
      </c>
      <c r="V67" s="2">
        <f>V12*'Output-Calculation-sheet'!V56/10^9</f>
        <v>0.11502799276433909</v>
      </c>
      <c r="W67" s="2">
        <f>W12*'Output-Calculation-sheet'!W56/10^9</f>
        <v>6.9450301674890538E-2</v>
      </c>
      <c r="X67" s="2">
        <f>X12*'Output-Calculation-sheet'!X56/10^9</f>
        <v>7.3798645453654638E-2</v>
      </c>
      <c r="Y67" s="2">
        <f>Y12*'Output-Calculation-sheet'!Y56/10^9</f>
        <v>6.6709122297191045E-2</v>
      </c>
      <c r="AA67" s="2">
        <f t="shared" si="4"/>
        <v>22.71248635828292</v>
      </c>
    </row>
    <row r="68" spans="1:27" x14ac:dyDescent="0.25">
      <c r="B68" s="2">
        <f>SUM(B60:B67)</f>
        <v>39.964091462272179</v>
      </c>
      <c r="C68" s="2">
        <f t="shared" ref="C68:Y68" si="5">SUM(C60:C67)</f>
        <v>20.496545193481591</v>
      </c>
      <c r="D68" s="2">
        <f t="shared" si="5"/>
        <v>10.812259000301081</v>
      </c>
      <c r="E68" s="2">
        <f t="shared" si="5"/>
        <v>11.997575127666099</v>
      </c>
      <c r="F68" s="2">
        <f t="shared" si="5"/>
        <v>4.8460755673071656</v>
      </c>
      <c r="G68" s="2">
        <f t="shared" si="5"/>
        <v>3.4285464646754802</v>
      </c>
      <c r="H68" s="2">
        <f t="shared" si="5"/>
        <v>6.4373829625718511</v>
      </c>
      <c r="I68" s="2">
        <f t="shared" si="5"/>
        <v>3.2700879361164619</v>
      </c>
      <c r="J68" s="2">
        <f t="shared" si="5"/>
        <v>3.9527459760979462</v>
      </c>
      <c r="K68" s="2">
        <f t="shared" si="5"/>
        <v>4.0123820058084263</v>
      </c>
      <c r="L68" s="2">
        <f t="shared" si="5"/>
        <v>4.804745754247735</v>
      </c>
      <c r="M68" s="2">
        <f t="shared" si="5"/>
        <v>4.9289410267494658</v>
      </c>
      <c r="N68" s="2">
        <f t="shared" si="5"/>
        <v>4.5247574952661243</v>
      </c>
      <c r="O68" s="2">
        <f t="shared" si="5"/>
        <v>4.104857613918349</v>
      </c>
      <c r="P68" s="2">
        <f t="shared" si="5"/>
        <v>3.2701418289571205</v>
      </c>
      <c r="Q68" s="2">
        <f t="shared" si="5"/>
        <v>3.5391073858465063</v>
      </c>
      <c r="R68" s="2">
        <f t="shared" si="5"/>
        <v>2.9368483987650924</v>
      </c>
      <c r="S68" s="2">
        <f t="shared" si="5"/>
        <v>2.3844184041388092</v>
      </c>
      <c r="T68" s="2">
        <f t="shared" si="5"/>
        <v>1.0050268425928972</v>
      </c>
      <c r="U68" s="2">
        <f t="shared" si="5"/>
        <v>0.84517739807720405</v>
      </c>
      <c r="V68" s="2">
        <f t="shared" si="5"/>
        <v>1.0919663600769658</v>
      </c>
      <c r="W68" s="2">
        <f t="shared" si="5"/>
        <v>0.44375281766605607</v>
      </c>
      <c r="X68" s="2">
        <f t="shared" si="5"/>
        <v>0.51607918674073539</v>
      </c>
      <c r="Y68" s="2">
        <f t="shared" si="5"/>
        <v>0.35265933987601794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59.706880667722849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5.9706880667722846E-2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526.78440329930777</v>
      </c>
      <c r="Q76" s="2">
        <f>Q10/'Output-Calculation-sheet'!Q9*'Output-Calculation-sheet'!Q63</f>
        <v>62.575668916438609</v>
      </c>
      <c r="R76" s="2">
        <f>R10/'Output-Calculation-sheet'!R9*'Output-Calculation-sheet'!R63</f>
        <v>401.54083633058679</v>
      </c>
      <c r="S76" s="2">
        <f>S10/'Output-Calculation-sheet'!S9*'Output-Calculation-sheet'!S63</f>
        <v>0</v>
      </c>
      <c r="T76" s="2">
        <f>T10/'Output-Calculation-sheet'!T9*'Output-Calculation-sheet'!T63</f>
        <v>26.378079763839409</v>
      </c>
      <c r="U76" s="2">
        <f>U10/'Output-Calculation-sheet'!U9*'Output-Calculation-sheet'!U63</f>
        <v>142.47561959377845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6.7665842338822184</v>
      </c>
      <c r="AA76" s="2">
        <f t="shared" si="6"/>
        <v>1.2772948281520859</v>
      </c>
    </row>
    <row r="77" spans="1:27" x14ac:dyDescent="0.25">
      <c r="A77" s="2">
        <v>2034</v>
      </c>
      <c r="B77" s="2">
        <f>B11/'Output-Calculation-sheet'!B10*'Output-Calculation-sheet'!B64</f>
        <v>494.71083729434326</v>
      </c>
      <c r="C77" s="2">
        <f>C11/'Output-Calculation-sheet'!C10*'Output-Calculation-sheet'!C64</f>
        <v>0</v>
      </c>
      <c r="D77" s="2">
        <f>D11/'Output-Calculation-sheet'!D10*'Output-Calculation-sheet'!D64</f>
        <v>1663.9695458480421</v>
      </c>
      <c r="E77" s="2">
        <f>E11/'Output-Calculation-sheet'!E10*'Output-Calculation-sheet'!E64</f>
        <v>2063.2754050440622</v>
      </c>
      <c r="F77" s="2">
        <f>F11/'Output-Calculation-sheet'!F10*'Output-Calculation-sheet'!F64</f>
        <v>129.26435980315404</v>
      </c>
      <c r="G77" s="2">
        <f>G11/'Output-Calculation-sheet'!G10*'Output-Calculation-sheet'!G64</f>
        <v>833.62482166056384</v>
      </c>
      <c r="H77" s="2">
        <f>H11/'Output-Calculation-sheet'!H10*'Output-Calculation-sheet'!H64</f>
        <v>136.42635574551744</v>
      </c>
      <c r="I77" s="2">
        <f>I11/'Output-Calculation-sheet'!I10*'Output-Calculation-sheet'!I64</f>
        <v>515.79563331536303</v>
      </c>
      <c r="J77" s="2">
        <f>J11/'Output-Calculation-sheet'!J10*'Output-Calculation-sheet'!J64</f>
        <v>362.47945075248418</v>
      </c>
      <c r="K77" s="2">
        <f>K11/'Output-Calculation-sheet'!K10*'Output-Calculation-sheet'!K64</f>
        <v>790.8291519279154</v>
      </c>
      <c r="L77" s="2">
        <f>L11/'Output-Calculation-sheet'!L10*'Output-Calculation-sheet'!L64</f>
        <v>327.0002649778296</v>
      </c>
      <c r="M77" s="2">
        <f>M11/'Output-Calculation-sheet'!M10*'Output-Calculation-sheet'!M64</f>
        <v>98.256359593465163</v>
      </c>
      <c r="N77" s="2">
        <f>N11/'Output-Calculation-sheet'!N10*'Output-Calculation-sheet'!N64</f>
        <v>32.496146149908441</v>
      </c>
      <c r="O77" s="2">
        <f>O11/'Output-Calculation-sheet'!O10*'Output-Calculation-sheet'!O64</f>
        <v>0</v>
      </c>
      <c r="P77" s="2">
        <f>P11/'Output-Calculation-sheet'!P10*'Output-Calculation-sheet'!P64</f>
        <v>669.12323540877503</v>
      </c>
      <c r="Q77" s="2">
        <f>Q11/'Output-Calculation-sheet'!Q10*'Output-Calculation-sheet'!Q64</f>
        <v>161.39377454405314</v>
      </c>
      <c r="R77" s="2">
        <f>R11/'Output-Calculation-sheet'!R10*'Output-Calculation-sheet'!R64</f>
        <v>831.98033665817536</v>
      </c>
      <c r="S77" s="2">
        <f>S11/'Output-Calculation-sheet'!S10*'Output-Calculation-sheet'!S64</f>
        <v>0</v>
      </c>
      <c r="T77" s="2">
        <f>T11/'Output-Calculation-sheet'!T10*'Output-Calculation-sheet'!T64</f>
        <v>230.68855065600096</v>
      </c>
      <c r="U77" s="2">
        <f>U11/'Output-Calculation-sheet'!U10*'Output-Calculation-sheet'!U64</f>
        <v>253.01483981422044</v>
      </c>
      <c r="V77" s="2">
        <f>V11/'Output-Calculation-sheet'!V10*'Output-Calculation-sheet'!V64</f>
        <v>119.22428660129647</v>
      </c>
      <c r="W77" s="2">
        <f>W11/'Output-Calculation-sheet'!W10*'Output-Calculation-sheet'!W64</f>
        <v>26.159940807730049</v>
      </c>
      <c r="X77" s="2">
        <f>X11/'Output-Calculation-sheet'!X10*'Output-Calculation-sheet'!X64</f>
        <v>9.795080730239782</v>
      </c>
      <c r="Y77" s="2">
        <f>Y11/'Output-Calculation-sheet'!Y10*'Output-Calculation-sheet'!Y64</f>
        <v>55.210188013565059</v>
      </c>
      <c r="AA77" s="2">
        <f t="shared" si="6"/>
        <v>9.8047185653467075</v>
      </c>
    </row>
    <row r="78" spans="1:27" x14ac:dyDescent="0.25">
      <c r="A78" s="2">
        <v>2035</v>
      </c>
      <c r="B78" s="2">
        <f>B12/'Output-Calculation-sheet'!B11*'Output-Calculation-sheet'!B65</f>
        <v>516.70457690098021</v>
      </c>
      <c r="C78" s="2">
        <f>C12/'Output-Calculation-sheet'!C11*'Output-Calculation-sheet'!C65</f>
        <v>52.822443319819108</v>
      </c>
      <c r="D78" s="2">
        <f>D12/'Output-Calculation-sheet'!D11*'Output-Calculation-sheet'!D65</f>
        <v>1642.3878829709313</v>
      </c>
      <c r="E78" s="2">
        <f>E12/'Output-Calculation-sheet'!E11*'Output-Calculation-sheet'!E65</f>
        <v>1533.4643052073393</v>
      </c>
      <c r="F78" s="2">
        <f>F12/'Output-Calculation-sheet'!F11*'Output-Calculation-sheet'!F65</f>
        <v>362.76990116385389</v>
      </c>
      <c r="G78" s="2">
        <f>G12/'Output-Calculation-sheet'!G11*'Output-Calculation-sheet'!G65</f>
        <v>718.19494958798521</v>
      </c>
      <c r="H78" s="2">
        <f>H12/'Output-Calculation-sheet'!H11*'Output-Calculation-sheet'!H65</f>
        <v>20.754267085094785</v>
      </c>
      <c r="I78" s="2">
        <f>I12/'Output-Calculation-sheet'!I11*'Output-Calculation-sheet'!I65</f>
        <v>476.29215350407645</v>
      </c>
      <c r="J78" s="2">
        <f>J12/'Output-Calculation-sheet'!J11*'Output-Calculation-sheet'!J65</f>
        <v>694.96985438135687</v>
      </c>
      <c r="K78" s="2">
        <f>K12/'Output-Calculation-sheet'!K11*'Output-Calculation-sheet'!K65</f>
        <v>867.55496470271612</v>
      </c>
      <c r="L78" s="2">
        <f>L12/'Output-Calculation-sheet'!L11*'Output-Calculation-sheet'!L65</f>
        <v>731.94213540024589</v>
      </c>
      <c r="M78" s="2">
        <f>M12/'Output-Calculation-sheet'!M11*'Output-Calculation-sheet'!M65</f>
        <v>17.348276429368521</v>
      </c>
      <c r="N78" s="2">
        <f>N12/'Output-Calculation-sheet'!N11*'Output-Calculation-sheet'!N65</f>
        <v>14.081996731021679</v>
      </c>
      <c r="O78" s="2">
        <f>O12/'Output-Calculation-sheet'!O11*'Output-Calculation-sheet'!O65</f>
        <v>9.599476292871941</v>
      </c>
      <c r="P78" s="2">
        <f>P12/'Output-Calculation-sheet'!P11*'Output-Calculation-sheet'!P65</f>
        <v>401.57804890813628</v>
      </c>
      <c r="Q78" s="2">
        <f>Q12/'Output-Calculation-sheet'!Q11*'Output-Calculation-sheet'!Q65</f>
        <v>152.00707898707245</v>
      </c>
      <c r="R78" s="2">
        <f>R12/'Output-Calculation-sheet'!R11*'Output-Calculation-sheet'!R65</f>
        <v>921.21385143764633</v>
      </c>
      <c r="S78" s="2">
        <f>S12/'Output-Calculation-sheet'!S11*'Output-Calculation-sheet'!S65</f>
        <v>5.4801095642518378</v>
      </c>
      <c r="T78" s="2">
        <f>T12/'Output-Calculation-sheet'!T11*'Output-Calculation-sheet'!T65</f>
        <v>317.32468354609591</v>
      </c>
      <c r="U78" s="2">
        <f>U12/'Output-Calculation-sheet'!U11*'Output-Calculation-sheet'!U65</f>
        <v>217.42165821245644</v>
      </c>
      <c r="V78" s="2">
        <f>V12/'Output-Calculation-sheet'!V11*'Output-Calculation-sheet'!V65</f>
        <v>179.24588246600288</v>
      </c>
      <c r="W78" s="2">
        <f>W12/'Output-Calculation-sheet'!W11*'Output-Calculation-sheet'!W65</f>
        <v>84.758981041421862</v>
      </c>
      <c r="X78" s="2">
        <f>X12/'Output-Calculation-sheet'!X11*'Output-Calculation-sheet'!X65</f>
        <v>1.8585847330002485</v>
      </c>
      <c r="Y78" s="2">
        <f>Y12/'Output-Calculation-sheet'!Y11*'Output-Calculation-sheet'!Y65</f>
        <v>47.764267196896185</v>
      </c>
      <c r="AA78" s="2">
        <f t="shared" si="6"/>
        <v>9.987540329770642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1.6433617371104896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1.2038766351681245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2.847238372278614E-3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24.036762042558308</v>
      </c>
      <c r="E89" s="2">
        <f>E12/'Output-Calculation-sheet'!E11*'Output-Calculation-sheet'!E74</f>
        <v>54.124704270831771</v>
      </c>
      <c r="F89" s="2">
        <f>F12/'Output-Calculation-sheet'!F11*'Output-Calculation-sheet'!F74</f>
        <v>24.028740251955348</v>
      </c>
      <c r="G89" s="2">
        <f>G12/'Output-Calculation-sheet'!G11*'Output-Calculation-sheet'!G74</f>
        <v>17.245059889217806</v>
      </c>
      <c r="H89" s="2">
        <f>H12/'Output-Calculation-sheet'!H11*'Output-Calculation-sheet'!H74</f>
        <v>2.7843127294197458</v>
      </c>
      <c r="I89" s="2">
        <f>I12/'Output-Calculation-sheet'!I11*'Output-Calculation-sheet'!I74</f>
        <v>15.510865714790649</v>
      </c>
      <c r="J89" s="2">
        <f>J12/'Output-Calculation-sheet'!J11*'Output-Calculation-sheet'!J74</f>
        <v>7.6753095129890294</v>
      </c>
      <c r="K89" s="2">
        <f>K12/'Output-Calculation-sheet'!K11*'Output-Calculation-sheet'!K74</f>
        <v>11.43353401921568</v>
      </c>
      <c r="L89" s="2">
        <f>L12/'Output-Calculation-sheet'!L11*'Output-Calculation-sheet'!L74</f>
        <v>6.0609466042511073</v>
      </c>
      <c r="M89" s="2">
        <f>M12/'Output-Calculation-sheet'!M11*'Output-Calculation-sheet'!M74</f>
        <v>1.9158781258275563</v>
      </c>
      <c r="N89" s="2">
        <f>N12/'Output-Calculation-sheet'!N11*'Output-Calculation-sheet'!N74</f>
        <v>0.94149874513750609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18.265368771284578</v>
      </c>
      <c r="Q89" s="2">
        <f>Q12/'Output-Calculation-sheet'!Q11*'Output-Calculation-sheet'!Q74</f>
        <v>4.1244852498744384</v>
      </c>
      <c r="R89" s="2">
        <f>R12/'Output-Calculation-sheet'!R11*'Output-Calculation-sheet'!R74</f>
        <v>9.8164907685417333</v>
      </c>
      <c r="S89" s="2">
        <f>S12/'Output-Calculation-sheet'!S11*'Output-Calculation-sheet'!S74</f>
        <v>1.0793991656986091</v>
      </c>
      <c r="T89" s="2">
        <f>T12/'Output-Calculation-sheet'!T11*'Output-Calculation-sheet'!T74</f>
        <v>2.1185102100631386</v>
      </c>
      <c r="U89" s="2">
        <f>U12/'Output-Calculation-sheet'!U11*'Output-Calculation-sheet'!U74</f>
        <v>5.263835152632538</v>
      </c>
      <c r="V89" s="2">
        <f>V12/'Output-Calculation-sheet'!V11*'Output-Calculation-sheet'!V74</f>
        <v>0.40588767458043806</v>
      </c>
      <c r="W89" s="2">
        <f>W12/'Output-Calculation-sheet'!W11*'Output-Calculation-sheet'!W74</f>
        <v>2.4602967688414212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2.5352960233430322</v>
      </c>
      <c r="AA89" s="2">
        <f t="shared" si="7"/>
        <v>0.23639042540581062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9758517416.5371571</v>
      </c>
      <c r="C96" s="2">
        <f>C8/'Output-Calculation-sheet'!C7*'Output-Calculation-sheet'!C79</f>
        <v>2356522332.1815376</v>
      </c>
      <c r="D96" s="2">
        <f>D8/'Output-Calculation-sheet'!D7*'Output-Calculation-sheet'!D79</f>
        <v>1913136080.9707491</v>
      </c>
      <c r="E96" s="2">
        <f>E8/'Output-Calculation-sheet'!E7*'Output-Calculation-sheet'!E79</f>
        <v>7167835057.6437378</v>
      </c>
      <c r="F96" s="2">
        <f>F8/'Output-Calculation-sheet'!F7*'Output-Calculation-sheet'!F79</f>
        <v>2090966424.8003569</v>
      </c>
      <c r="G96" s="2">
        <f>G8/'Output-Calculation-sheet'!G7*'Output-Calculation-sheet'!G79</f>
        <v>1342102417.7243865</v>
      </c>
      <c r="H96" s="2">
        <f>H8/'Output-Calculation-sheet'!H7*'Output-Calculation-sheet'!H79</f>
        <v>1653425687.9710736</v>
      </c>
      <c r="I96" s="2">
        <f>I8/'Output-Calculation-sheet'!I7*'Output-Calculation-sheet'!I79</f>
        <v>965099920.82289934</v>
      </c>
      <c r="J96" s="2">
        <f>J8/'Output-Calculation-sheet'!J7*'Output-Calculation-sheet'!J79</f>
        <v>731354488.58719695</v>
      </c>
      <c r="K96" s="2">
        <f>K8/'Output-Calculation-sheet'!K7*'Output-Calculation-sheet'!K79</f>
        <v>917214506.37701857</v>
      </c>
      <c r="L96" s="2">
        <f>L8/'Output-Calculation-sheet'!L7*'Output-Calculation-sheet'!L79</f>
        <v>832674333.7881794</v>
      </c>
      <c r="M96" s="2">
        <f>M8/'Output-Calculation-sheet'!M7*'Output-Calculation-sheet'!M79</f>
        <v>1275774514.8282182</v>
      </c>
      <c r="N96" s="2">
        <f>N8/'Output-Calculation-sheet'!N7*'Output-Calculation-sheet'!N79</f>
        <v>829338523.67272854</v>
      </c>
      <c r="O96" s="2">
        <f>O8/'Output-Calculation-sheet'!O7*'Output-Calculation-sheet'!O79</f>
        <v>311185251.44607478</v>
      </c>
      <c r="P96" s="2">
        <f>P8/'Output-Calculation-sheet'!P7*'Output-Calculation-sheet'!P79</f>
        <v>1579490605.985558</v>
      </c>
      <c r="Q96" s="2">
        <f>Q8/'Output-Calculation-sheet'!Q7*'Output-Calculation-sheet'!Q79</f>
        <v>670600099.81577158</v>
      </c>
      <c r="R96" s="2">
        <f>R8/'Output-Calculation-sheet'!R7*'Output-Calculation-sheet'!R79</f>
        <v>890075931.76052272</v>
      </c>
      <c r="S96" s="2">
        <f>S8/'Output-Calculation-sheet'!S7*'Output-Calculation-sheet'!S79</f>
        <v>501966726.3747347</v>
      </c>
      <c r="T96" s="2">
        <f>T8/'Output-Calculation-sheet'!T7*'Output-Calculation-sheet'!T79</f>
        <v>302826003.58993781</v>
      </c>
      <c r="U96" s="2">
        <f>U8/'Output-Calculation-sheet'!U7*'Output-Calculation-sheet'!U79</f>
        <v>238362050.46668997</v>
      </c>
      <c r="V96" s="2">
        <f>V8/'Output-Calculation-sheet'!V7*'Output-Calculation-sheet'!V79</f>
        <v>109399881.90212135</v>
      </c>
      <c r="W96" s="2">
        <f>W8/'Output-Calculation-sheet'!W7*'Output-Calculation-sheet'!W79</f>
        <v>336832347.98719388</v>
      </c>
      <c r="X96" s="2">
        <f>X8/'Output-Calculation-sheet'!X7*'Output-Calculation-sheet'!X79</f>
        <v>151918022.18034878</v>
      </c>
      <c r="Y96" s="2">
        <f>Y8/'Output-Calculation-sheet'!Y7*'Output-Calculation-sheet'!Y79</f>
        <v>209067147.64993593</v>
      </c>
      <c r="AA96" s="2">
        <f t="shared" si="8"/>
        <v>37.135685775064125</v>
      </c>
    </row>
    <row r="97" spans="1:27" x14ac:dyDescent="0.25">
      <c r="A97" s="2">
        <v>2032</v>
      </c>
      <c r="B97" s="2">
        <f>B9/'Output-Calculation-sheet'!B8*'Output-Calculation-sheet'!B80</f>
        <v>11963568418.235027</v>
      </c>
      <c r="C97" s="2">
        <f>C9/'Output-Calculation-sheet'!C8*'Output-Calculation-sheet'!C80</f>
        <v>2825583233.1514463</v>
      </c>
      <c r="D97" s="2">
        <f>D9/'Output-Calculation-sheet'!D8*'Output-Calculation-sheet'!D80</f>
        <v>2158429309.9180393</v>
      </c>
      <c r="E97" s="2">
        <f>E9/'Output-Calculation-sheet'!E8*'Output-Calculation-sheet'!E80</f>
        <v>9086680980.8325768</v>
      </c>
      <c r="F97" s="2">
        <f>F9/'Output-Calculation-sheet'!F8*'Output-Calculation-sheet'!F80</f>
        <v>2491879815.6272612</v>
      </c>
      <c r="G97" s="2">
        <f>G9/'Output-Calculation-sheet'!G8*'Output-Calculation-sheet'!G80</f>
        <v>1526891150.47438</v>
      </c>
      <c r="H97" s="2">
        <f>H9/'Output-Calculation-sheet'!H8*'Output-Calculation-sheet'!H80</f>
        <v>1999248419.4312422</v>
      </c>
      <c r="I97" s="2">
        <f>I9/'Output-Calculation-sheet'!I8*'Output-Calculation-sheet'!I80</f>
        <v>1151562782.8520989</v>
      </c>
      <c r="J97" s="2">
        <f>J9/'Output-Calculation-sheet'!J8*'Output-Calculation-sheet'!J80</f>
        <v>860534900.58282208</v>
      </c>
      <c r="K97" s="2">
        <f>K9/'Output-Calculation-sheet'!K8*'Output-Calculation-sheet'!K80</f>
        <v>1061331767.8444415</v>
      </c>
      <c r="L97" s="2">
        <f>L9/'Output-Calculation-sheet'!L8*'Output-Calculation-sheet'!L80</f>
        <v>1023728155.6433438</v>
      </c>
      <c r="M97" s="2">
        <f>M9/'Output-Calculation-sheet'!M8*'Output-Calculation-sheet'!M80</f>
        <v>1577271579.3284814</v>
      </c>
      <c r="N97" s="2">
        <f>N9/'Output-Calculation-sheet'!N8*'Output-Calculation-sheet'!N80</f>
        <v>991007594.69865084</v>
      </c>
      <c r="O97" s="2">
        <f>O9/'Output-Calculation-sheet'!O8*'Output-Calculation-sheet'!O80</f>
        <v>368374831.75688088</v>
      </c>
      <c r="P97" s="2">
        <f>P9/'Output-Calculation-sheet'!P8*'Output-Calculation-sheet'!P80</f>
        <v>1857899667.4561386</v>
      </c>
      <c r="Q97" s="2">
        <f>Q9/'Output-Calculation-sheet'!Q8*'Output-Calculation-sheet'!Q80</f>
        <v>803606050.02295101</v>
      </c>
      <c r="R97" s="2">
        <f>R9/'Output-Calculation-sheet'!R8*'Output-Calculation-sheet'!R80</f>
        <v>1076838130.0240431</v>
      </c>
      <c r="S97" s="2">
        <f>S9/'Output-Calculation-sheet'!S8*'Output-Calculation-sheet'!S80</f>
        <v>599326567.62537861</v>
      </c>
      <c r="T97" s="2">
        <f>T9/'Output-Calculation-sheet'!T8*'Output-Calculation-sheet'!T80</f>
        <v>349463249.21378028</v>
      </c>
      <c r="U97" s="2">
        <f>U9/'Output-Calculation-sheet'!U8*'Output-Calculation-sheet'!U80</f>
        <v>278075953.51294518</v>
      </c>
      <c r="V97" s="2">
        <f>V9/'Output-Calculation-sheet'!V8*'Output-Calculation-sheet'!V80</f>
        <v>128264744.79936501</v>
      </c>
      <c r="W97" s="2">
        <f>W9/'Output-Calculation-sheet'!W8*'Output-Calculation-sheet'!W80</f>
        <v>396913973.83212316</v>
      </c>
      <c r="X97" s="2">
        <f>X9/'Output-Calculation-sheet'!X8*'Output-Calculation-sheet'!X80</f>
        <v>192237468.80130547</v>
      </c>
      <c r="Y97" s="2">
        <f>Y9/'Output-Calculation-sheet'!Y8*'Output-Calculation-sheet'!Y80</f>
        <v>252351379.02909496</v>
      </c>
      <c r="AA97" s="2">
        <f t="shared" si="8"/>
        <v>45.021070124693836</v>
      </c>
    </row>
    <row r="98" spans="1:27" x14ac:dyDescent="0.25">
      <c r="A98" s="2">
        <v>2033</v>
      </c>
      <c r="B98" s="2">
        <f>B10/'Output-Calculation-sheet'!B9*'Output-Calculation-sheet'!B81</f>
        <v>12987280304.861374</v>
      </c>
      <c r="C98" s="2">
        <f>C10/'Output-Calculation-sheet'!C9*'Output-Calculation-sheet'!C81</f>
        <v>3007349268.3677011</v>
      </c>
      <c r="D98" s="2">
        <f>D10/'Output-Calculation-sheet'!D9*'Output-Calculation-sheet'!D81</f>
        <v>2163467628.0068083</v>
      </c>
      <c r="E98" s="2">
        <f>E10/'Output-Calculation-sheet'!E9*'Output-Calculation-sheet'!E81</f>
        <v>10212402430.147928</v>
      </c>
      <c r="F98" s="2">
        <f>F10/'Output-Calculation-sheet'!F9*'Output-Calculation-sheet'!F81</f>
        <v>2631232205.0507269</v>
      </c>
      <c r="G98" s="2">
        <f>G10/'Output-Calculation-sheet'!G9*'Output-Calculation-sheet'!G81</f>
        <v>1537222767.7658663</v>
      </c>
      <c r="H98" s="2">
        <f>H10/'Output-Calculation-sheet'!H9*'Output-Calculation-sheet'!H81</f>
        <v>2140052251.5459511</v>
      </c>
      <c r="I98" s="2">
        <f>I10/'Output-Calculation-sheet'!I9*'Output-Calculation-sheet'!I81</f>
        <v>1219596580.084743</v>
      </c>
      <c r="J98" s="2">
        <f>J10/'Output-Calculation-sheet'!J9*'Output-Calculation-sheet'!J81</f>
        <v>899685979.71819448</v>
      </c>
      <c r="K98" s="2">
        <f>K10/'Output-Calculation-sheet'!K9*'Output-Calculation-sheet'!K81</f>
        <v>1089475719.1387429</v>
      </c>
      <c r="L98" s="2">
        <f>L10/'Output-Calculation-sheet'!L9*'Output-Calculation-sheet'!L81</f>
        <v>1116606051.6951485</v>
      </c>
      <c r="M98" s="2">
        <f>M10/'Output-Calculation-sheet'!M9*'Output-Calculation-sheet'!M81</f>
        <v>1730344043.5593481</v>
      </c>
      <c r="N98" s="2">
        <f>N10/'Output-Calculation-sheet'!N9*'Output-Calculation-sheet'!N81</f>
        <v>1051554811.2015827</v>
      </c>
      <c r="O98" s="2">
        <f>O10/'Output-Calculation-sheet'!O9*'Output-Calculation-sheet'!O81</f>
        <v>387844458.60816252</v>
      </c>
      <c r="P98" s="2">
        <f>P10/'Output-Calculation-sheet'!P9*'Output-Calculation-sheet'!P81</f>
        <v>1924113050.5456536</v>
      </c>
      <c r="Q98" s="2">
        <f>Q10/'Output-Calculation-sheet'!Q9*'Output-Calculation-sheet'!Q81</f>
        <v>854945736.74792349</v>
      </c>
      <c r="R98" s="2">
        <f>R10/'Output-Calculation-sheet'!R9*'Output-Calculation-sheet'!R81</f>
        <v>1153986517.3346734</v>
      </c>
      <c r="S98" s="2">
        <f>S10/'Output-Calculation-sheet'!S9*'Output-Calculation-sheet'!S81</f>
        <v>633767963.40162814</v>
      </c>
      <c r="T98" s="2">
        <f>T10/'Output-Calculation-sheet'!T9*'Output-Calculation-sheet'!T81</f>
        <v>357073191.40791452</v>
      </c>
      <c r="U98" s="2">
        <f>U10/'Output-Calculation-sheet'!U9*'Output-Calculation-sheet'!U81</f>
        <v>286919240.61474681</v>
      </c>
      <c r="V98" s="2">
        <f>V10/'Output-Calculation-sheet'!V9*'Output-Calculation-sheet'!V81</f>
        <v>133258510.68584013</v>
      </c>
      <c r="W98" s="2">
        <f>W10/'Output-Calculation-sheet'!W9*'Output-Calculation-sheet'!W81</f>
        <v>412102511.32235593</v>
      </c>
      <c r="X98" s="2">
        <f>X10/'Output-Calculation-sheet'!X9*'Output-Calculation-sheet'!X81</f>
        <v>216038195.97043556</v>
      </c>
      <c r="Y98" s="2">
        <f>Y10/'Output-Calculation-sheet'!Y9*'Output-Calculation-sheet'!Y81</f>
        <v>268962861.28323066</v>
      </c>
      <c r="AA98" s="2">
        <f t="shared" si="8"/>
        <v>48.415282279066673</v>
      </c>
    </row>
    <row r="99" spans="1:27" x14ac:dyDescent="0.25">
      <c r="A99" s="2">
        <v>2034</v>
      </c>
      <c r="B99" s="2">
        <f>B11/'Output-Calculation-sheet'!B10*'Output-Calculation-sheet'!B82</f>
        <v>12774102411.886869</v>
      </c>
      <c r="C99" s="2">
        <f>C11/'Output-Calculation-sheet'!C10*'Output-Calculation-sheet'!C82</f>
        <v>2907810459.4279141</v>
      </c>
      <c r="D99" s="2">
        <f>D11/'Output-Calculation-sheet'!D10*'Output-Calculation-sheet'!D82</f>
        <v>1972443508.9571433</v>
      </c>
      <c r="E99" s="2">
        <f>E11/'Output-Calculation-sheet'!E10*'Output-Calculation-sheet'!E82</f>
        <v>10410229460.136274</v>
      </c>
      <c r="F99" s="2">
        <f>F11/'Output-Calculation-sheet'!F10*'Output-Calculation-sheet'!F82</f>
        <v>2519860452.0565705</v>
      </c>
      <c r="G99" s="2">
        <f>G11/'Output-Calculation-sheet'!G10*'Output-Calculation-sheet'!G82</f>
        <v>1402456902.9907727</v>
      </c>
      <c r="H99" s="2">
        <f>H11/'Output-Calculation-sheet'!H10*'Output-Calculation-sheet'!H82</f>
        <v>2075273861.3557415</v>
      </c>
      <c r="I99" s="2">
        <f>I11/'Output-Calculation-sheet'!I10*'Output-Calculation-sheet'!I82</f>
        <v>1173473718.1684136</v>
      </c>
      <c r="J99" s="2">
        <f>J11/'Output-Calculation-sheet'!J10*'Output-Calculation-sheet'!J82</f>
        <v>855454166.1295222</v>
      </c>
      <c r="K99" s="2">
        <f>K11/'Output-Calculation-sheet'!K10*'Output-Calculation-sheet'!K82</f>
        <v>1015728741.7120277</v>
      </c>
      <c r="L99" s="2">
        <f>L11/'Output-Calculation-sheet'!L10*'Output-Calculation-sheet'!L82</f>
        <v>1105711635.7105324</v>
      </c>
      <c r="M99" s="2">
        <f>M11/'Output-Calculation-sheet'!M10*'Output-Calculation-sheet'!M82</f>
        <v>1723641287.2213748</v>
      </c>
      <c r="N99" s="2">
        <f>N11/'Output-Calculation-sheet'!N10*'Output-Calculation-sheet'!N82</f>
        <v>1014139337.150335</v>
      </c>
      <c r="O99" s="2">
        <f>O11/'Output-Calculation-sheet'!O10*'Output-Calculation-sheet'!O82</f>
        <v>371679726.29888988</v>
      </c>
      <c r="P99" s="2">
        <f>P11/'Output-Calculation-sheet'!P10*'Output-Calculation-sheet'!P82</f>
        <v>1796571120.9391935</v>
      </c>
      <c r="Q99" s="2">
        <f>Q11/'Output-Calculation-sheet'!Q10*'Output-Calculation-sheet'!Q82</f>
        <v>826401496.29926968</v>
      </c>
      <c r="R99" s="2">
        <f>R11/'Output-Calculation-sheet'!R10*'Output-Calculation-sheet'!R82</f>
        <v>1120994115.8125658</v>
      </c>
      <c r="S99" s="2">
        <f>S11/'Output-Calculation-sheet'!S10*'Output-Calculation-sheet'!S82</f>
        <v>607483249.59844542</v>
      </c>
      <c r="T99" s="2">
        <f>T11/'Output-Calculation-sheet'!T10*'Output-Calculation-sheet'!T82</f>
        <v>330798667.92351198</v>
      </c>
      <c r="U99" s="2">
        <f>U11/'Output-Calculation-sheet'!U10*'Output-Calculation-sheet'!U82</f>
        <v>268091017.01334673</v>
      </c>
      <c r="V99" s="2">
        <f>V11/'Output-Calculation-sheet'!V10*'Output-Calculation-sheet'!V82</f>
        <v>125579387.70262283</v>
      </c>
      <c r="W99" s="2">
        <f>W11/'Output-Calculation-sheet'!W10*'Output-Calculation-sheet'!W82</f>
        <v>386030897.2954694</v>
      </c>
      <c r="X99" s="2">
        <f>X11/'Output-Calculation-sheet'!X10*'Output-Calculation-sheet'!X82</f>
        <v>220631642.80285126</v>
      </c>
      <c r="Y99" s="2">
        <f>Y11/'Output-Calculation-sheet'!Y10*'Output-Calculation-sheet'!Y82</f>
        <v>259104759.99753004</v>
      </c>
      <c r="AA99" s="2">
        <f t="shared" si="8"/>
        <v>47.263692024587186</v>
      </c>
    </row>
    <row r="100" spans="1:27" x14ac:dyDescent="0.25">
      <c r="A100" s="2">
        <v>2035</v>
      </c>
      <c r="B100" s="2">
        <f>B12/'Output-Calculation-sheet'!B11*'Output-Calculation-sheet'!B83</f>
        <v>11523273395.883698</v>
      </c>
      <c r="C100" s="2">
        <f>C12/'Output-Calculation-sheet'!C11*'Output-Calculation-sheet'!C83</f>
        <v>2585860754.890111</v>
      </c>
      <c r="D100" s="2">
        <f>D12/'Output-Calculation-sheet'!D11*'Output-Calculation-sheet'!D83</f>
        <v>1656451391.8293314</v>
      </c>
      <c r="E100" s="2">
        <f>E12/'Output-Calculation-sheet'!E11*'Output-Calculation-sheet'!E83</f>
        <v>9740886703.7442665</v>
      </c>
      <c r="F100" s="2">
        <f>F12/'Output-Calculation-sheet'!F11*'Output-Calculation-sheet'!F83</f>
        <v>2216168711.0428205</v>
      </c>
      <c r="G100" s="2">
        <f>G12/'Output-Calculation-sheet'!G11*'Output-Calculation-sheet'!G83</f>
        <v>1174499090.5478559</v>
      </c>
      <c r="H100" s="2">
        <f>H12/'Output-Calculation-sheet'!H11*'Output-Calculation-sheet'!H83</f>
        <v>1845615104.4486315</v>
      </c>
      <c r="I100" s="2">
        <f>I12/'Output-Calculation-sheet'!I11*'Output-Calculation-sheet'!I83</f>
        <v>1038616874.7818108</v>
      </c>
      <c r="J100" s="2">
        <f>J12/'Output-Calculation-sheet'!J11*'Output-Calculation-sheet'!J83</f>
        <v>748965400.96158421</v>
      </c>
      <c r="K100" s="2">
        <f>K12/'Output-Calculation-sheet'!K11*'Output-Calculation-sheet'!K83</f>
        <v>870976767.35613358</v>
      </c>
      <c r="L100" s="2">
        <f>L12/'Output-Calculation-sheet'!L11*'Output-Calculation-sheet'!L83</f>
        <v>1006282398.1164263</v>
      </c>
      <c r="M100" s="2">
        <f>M12/'Output-Calculation-sheet'!M11*'Output-Calculation-sheet'!M83</f>
        <v>1578083905.8285224</v>
      </c>
      <c r="N100" s="2">
        <f>N12/'Output-Calculation-sheet'!N11*'Output-Calculation-sheet'!N83</f>
        <v>900017722.67486525</v>
      </c>
      <c r="O100" s="2">
        <f>O12/'Output-Calculation-sheet'!O11*'Output-Calculation-sheet'!O83</f>
        <v>328208167.92611349</v>
      </c>
      <c r="P100" s="2">
        <f>P12/'Output-Calculation-sheet'!P11*'Output-Calculation-sheet'!P83</f>
        <v>1532256562.6185696</v>
      </c>
      <c r="Q100" s="2">
        <f>Q12/'Output-Calculation-sheet'!Q11*'Output-Calculation-sheet'!Q83</f>
        <v>734716912.27018797</v>
      </c>
      <c r="R100" s="2">
        <f>R12/'Output-Calculation-sheet'!R11*'Output-Calculation-sheet'!R83</f>
        <v>999269677.78370583</v>
      </c>
      <c r="S100" s="2">
        <f>S12/'Output-Calculation-sheet'!S11*'Output-Calculation-sheet'!S83</f>
        <v>534357798.28813696</v>
      </c>
      <c r="T100" s="2">
        <f>T12/'Output-Calculation-sheet'!T11*'Output-Calculation-sheet'!T83</f>
        <v>281446774.94129789</v>
      </c>
      <c r="U100" s="2">
        <f>U12/'Output-Calculation-sheet'!U11*'Output-Calculation-sheet'!U83</f>
        <v>229761482.72654256</v>
      </c>
      <c r="V100" s="2">
        <f>V12/'Output-Calculation-sheet'!V11*'Output-Calculation-sheet'!V83</f>
        <v>108692761.84781416</v>
      </c>
      <c r="W100" s="2">
        <f>W12/'Output-Calculation-sheet'!W11*'Output-Calculation-sheet'!W83</f>
        <v>330501681.88102698</v>
      </c>
      <c r="X100" s="2">
        <f>X12/'Output-Calculation-sheet'!X11*'Output-Calculation-sheet'!X83</f>
        <v>207260886.72828996</v>
      </c>
      <c r="Y100" s="2">
        <f>Y12/'Output-Calculation-sheet'!Y11*'Output-Calculation-sheet'!Y83</f>
        <v>228464550.31728372</v>
      </c>
      <c r="AA100" s="2">
        <f t="shared" si="8"/>
        <v>42.400635479435032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2020.4028639372843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621.94266423407066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427.95708015647079</v>
      </c>
      <c r="N107" s="2">
        <f>N8/'Output-Calculation-sheet'!N7*'Output-Calculation-sheet'!N88</f>
        <v>168.2449623525977</v>
      </c>
      <c r="O107" s="2">
        <f>O8/'Output-Calculation-sheet'!O7*'Output-Calculation-sheet'!O88</f>
        <v>471.00977768137739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46.947781772018466</v>
      </c>
      <c r="Y107" s="2">
        <f>Y8/'Output-Calculation-sheet'!Y7*'Output-Calculation-sheet'!Y88</f>
        <v>0</v>
      </c>
      <c r="AA107" s="2">
        <f t="shared" si="9"/>
        <v>3.7565051301338195</v>
      </c>
    </row>
    <row r="108" spans="1:27" x14ac:dyDescent="0.25">
      <c r="A108" s="2">
        <v>2032</v>
      </c>
      <c r="B108" s="2">
        <f>B9/'Output-Calculation-sheet'!B8*'Output-Calculation-sheet'!B89</f>
        <v>910.58643622210946</v>
      </c>
      <c r="C108" s="2">
        <f>C9/'Output-Calculation-sheet'!C8*'Output-Calculation-sheet'!C89</f>
        <v>3457.4831881682635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931.28048914359943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640.81160830379952</v>
      </c>
      <c r="N108" s="2">
        <f>N9/'Output-Calculation-sheet'!N8*'Output-Calculation-sheet'!N89</f>
        <v>449.86706241480266</v>
      </c>
      <c r="O108" s="2">
        <f>O9/'Output-Calculation-sheet'!O8*'Output-Calculation-sheet'!O89</f>
        <v>671.6929318338432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206.30346428126239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70.298366211451196</v>
      </c>
      <c r="Y108" s="2">
        <f>Y9/'Output-Calculation-sheet'!Y8*'Output-Calculation-sheet'!Y89</f>
        <v>0</v>
      </c>
      <c r="AA108" s="2">
        <f t="shared" si="9"/>
        <v>7.3383235465791312</v>
      </c>
    </row>
    <row r="109" spans="1:27" x14ac:dyDescent="0.25">
      <c r="A109" s="2">
        <v>2033</v>
      </c>
      <c r="B109" s="2">
        <f>B10/'Output-Calculation-sheet'!B9*'Output-Calculation-sheet'!B90</f>
        <v>4515.1569954340321</v>
      </c>
      <c r="C109" s="2">
        <f>C10/'Output-Calculation-sheet'!C9*'Output-Calculation-sheet'!C90</f>
        <v>4285.9960303223907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1319.3625081290238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907.84980532275233</v>
      </c>
      <c r="N109" s="2">
        <f>N10/'Output-Calculation-sheet'!N9*'Output-Calculation-sheet'!N90</f>
        <v>713.81530251815911</v>
      </c>
      <c r="O109" s="2">
        <f>O10/'Output-Calculation-sheet'!O9*'Output-Calculation-sheet'!O90</f>
        <v>832.64996032002557</v>
      </c>
      <c r="P109" s="2">
        <f>P10/'Output-Calculation-sheet'!P9*'Output-Calculation-sheet'!P90</f>
        <v>0</v>
      </c>
      <c r="Q109" s="2">
        <f>Q10/'Output-Calculation-sheet'!Q9*'Output-Calculation-sheet'!Q90</f>
        <v>156.35287362708158</v>
      </c>
      <c r="R109" s="2">
        <f>R10/'Output-Calculation-sheet'!R9*'Output-Calculation-sheet'!R90</f>
        <v>0</v>
      </c>
      <c r="S109" s="2">
        <f>S10/'Output-Calculation-sheet'!S9*'Output-Calculation-sheet'!S90</f>
        <v>358.035626830502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99.593011819032469</v>
      </c>
      <c r="Y109" s="2">
        <f>Y10/'Output-Calculation-sheet'!Y9*'Output-Calculation-sheet'!Y90</f>
        <v>0</v>
      </c>
      <c r="AA109" s="2">
        <f t="shared" si="9"/>
        <v>13.188812114322999</v>
      </c>
    </row>
    <row r="110" spans="1:27" x14ac:dyDescent="0.25">
      <c r="A110" s="2">
        <v>2034</v>
      </c>
      <c r="B110" s="2">
        <f>B11/'Output-Calculation-sheet'!B10*'Output-Calculation-sheet'!B91</f>
        <v>7551.0904859913635</v>
      </c>
      <c r="C110" s="2">
        <f>C11/'Output-Calculation-sheet'!C10*'Output-Calculation-sheet'!C91</f>
        <v>5176.776681098796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1470.9899261209171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1012.1842252091711</v>
      </c>
      <c r="N110" s="2">
        <f>N11/'Output-Calculation-sheet'!N10*'Output-Calculation-sheet'!N91</f>
        <v>911.91186392911402</v>
      </c>
      <c r="O110" s="2">
        <f>O11/'Output-Calculation-sheet'!O10*'Output-Calculation-sheet'!O91</f>
        <v>1005.7038941723694</v>
      </c>
      <c r="P110" s="2">
        <f>P11/'Output-Calculation-sheet'!P10*'Output-Calculation-sheet'!P91</f>
        <v>229.75810473500465</v>
      </c>
      <c r="Q110" s="2">
        <f>Q11/'Output-Calculation-sheet'!Q10*'Output-Calculation-sheet'!Q91</f>
        <v>508.43826224755043</v>
      </c>
      <c r="R110" s="2">
        <f>R11/'Output-Calculation-sheet'!R10*'Output-Calculation-sheet'!R91</f>
        <v>0</v>
      </c>
      <c r="S110" s="2">
        <f>S11/'Output-Calculation-sheet'!S10*'Output-Calculation-sheet'!S91</f>
        <v>522.73936115124059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111.03871467864357</v>
      </c>
      <c r="Y110" s="2">
        <f>Y11/'Output-Calculation-sheet'!Y10*'Output-Calculation-sheet'!Y91</f>
        <v>17.85908060621831</v>
      </c>
      <c r="AA110" s="2">
        <f t="shared" si="9"/>
        <v>18.518490599940389</v>
      </c>
    </row>
    <row r="111" spans="1:27" x14ac:dyDescent="0.25">
      <c r="A111" s="2">
        <v>2035</v>
      </c>
      <c r="B111" s="2">
        <f>B12/'Output-Calculation-sheet'!B11*'Output-Calculation-sheet'!B92</f>
        <v>10271.774833556286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1716.0715059987251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602.75716945239105</v>
      </c>
      <c r="Q111" s="2">
        <f>Q12/'Output-Calculation-sheet'!Q11*'Output-Calculation-sheet'!Q92</f>
        <v>698.68780132872985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46.852270511379231</v>
      </c>
      <c r="AA111" s="2">
        <f t="shared" si="9"/>
        <v>24.120888287214658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9497877128.7716484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2922301803.4929843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2029790426.9906569</v>
      </c>
      <c r="N118" s="2">
        <f>N8/'Output-Calculation-sheet'!N7*'Output-Calculation-sheet'!N97</f>
        <v>1592806741.0849531</v>
      </c>
      <c r="O118" s="2">
        <f>O8/'Output-Calculation-sheet'!O7*'Output-Calculation-sheet'!O97</f>
        <v>1059871910.9480618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576575665.93093526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218772882.84660622</v>
      </c>
      <c r="Y118" s="2">
        <f>Y8/'Output-Calculation-sheet'!Y7*'Output-Calculation-sheet'!Y97</f>
        <v>0</v>
      </c>
      <c r="AA118" s="2">
        <f t="shared" si="10"/>
        <v>19518.210516508861</v>
      </c>
    </row>
    <row r="119" spans="1:27" x14ac:dyDescent="0.25">
      <c r="A119" s="2">
        <v>2032</v>
      </c>
      <c r="B119" s="2">
        <f>B9/'Output-Calculation-sheet'!B8*'Output-Calculation-sheet'!B98</f>
        <v>6831266747.7297573</v>
      </c>
      <c r="C119" s="2">
        <f>C9/'Output-Calculation-sheet'!C8*'Output-Calculation-sheet'!C98</f>
        <v>5429628792.3007498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3245844240.9435806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2265611435.6195927</v>
      </c>
      <c r="N119" s="2">
        <f>N9/'Output-Calculation-sheet'!N8*'Output-Calculation-sheet'!N98</f>
        <v>1530025922.9337776</v>
      </c>
      <c r="O119" s="2">
        <f>O9/'Output-Calculation-sheet'!O8*'Output-Calculation-sheet'!O98</f>
        <v>1060849135.9978164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635168780.3702569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242428545.92100671</v>
      </c>
      <c r="Y119" s="2">
        <f>Y9/'Output-Calculation-sheet'!Y8*'Output-Calculation-sheet'!Y98</f>
        <v>0</v>
      </c>
      <c r="AA119" s="2">
        <f t="shared" si="10"/>
        <v>21240.823601816541</v>
      </c>
    </row>
    <row r="120" spans="1:27" x14ac:dyDescent="0.25">
      <c r="A120" s="2">
        <v>2033</v>
      </c>
      <c r="B120" s="2">
        <f>B10/'Output-Calculation-sheet'!B9*'Output-Calculation-sheet'!B99</f>
        <v>6495654967.9418955</v>
      </c>
      <c r="C120" s="2">
        <f>C10/'Output-Calculation-sheet'!C9*'Output-Calculation-sheet'!C99</f>
        <v>5339831724.6523104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1750804329.0340312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1239233848.6770961</v>
      </c>
      <c r="N120" s="2">
        <f>N10/'Output-Calculation-sheet'!N9*'Output-Calculation-sheet'!N99</f>
        <v>1235631670.5250661</v>
      </c>
      <c r="O120" s="2">
        <f>O10/'Output-Calculation-sheet'!O9*'Output-Calculation-sheet'!O99</f>
        <v>1045424033.5439031</v>
      </c>
      <c r="P120" s="2">
        <f>P10/'Output-Calculation-sheet'!P9*'Output-Calculation-sheet'!P99</f>
        <v>0</v>
      </c>
      <c r="Q120" s="2">
        <f>Q10/'Output-Calculation-sheet'!Q9*'Output-Calculation-sheet'!Q99</f>
        <v>7553121.2286086464</v>
      </c>
      <c r="R120" s="2">
        <f>R10/'Output-Calculation-sheet'!R9*'Output-Calculation-sheet'!R99</f>
        <v>0</v>
      </c>
      <c r="S120" s="2">
        <f>S10/'Output-Calculation-sheet'!S9*'Output-Calculation-sheet'!S99</f>
        <v>517523161.42233986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-8.5490661794642823E-9</v>
      </c>
      <c r="W120" s="2">
        <f>W10/'Output-Calculation-sheet'!W9*'Output-Calculation-sheet'!W99</f>
        <v>0</v>
      </c>
      <c r="X120" s="2">
        <f>X10/'Output-Calculation-sheet'!X9*'Output-Calculation-sheet'!X99</f>
        <v>123742997.90109518</v>
      </c>
      <c r="Y120" s="2">
        <f>Y10/'Output-Calculation-sheet'!Y9*'Output-Calculation-sheet'!Y99</f>
        <v>0</v>
      </c>
      <c r="AA120" s="2">
        <f t="shared" si="10"/>
        <v>17755.399854926345</v>
      </c>
    </row>
    <row r="121" spans="1:27" x14ac:dyDescent="0.25">
      <c r="A121" s="2">
        <v>2034</v>
      </c>
      <c r="B121" s="2">
        <f>B11/'Output-Calculation-sheet'!B10*'Output-Calculation-sheet'!B100</f>
        <v>5661440443.2947683</v>
      </c>
      <c r="C121" s="2">
        <f>C11/'Output-Calculation-sheet'!C10*'Output-Calculation-sheet'!C100</f>
        <v>679602174.52167547</v>
      </c>
      <c r="D121" s="2">
        <f>D11/'Output-Calculation-sheet'!D10*'Output-Calculation-sheet'!D100</f>
        <v>0</v>
      </c>
      <c r="E121" s="2">
        <f>E11/'Output-Calculation-sheet'!E10*'Output-Calculation-sheet'!E100</f>
        <v>786099519.08341944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1789456061.1652167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653168705.41556275</v>
      </c>
      <c r="M121" s="2">
        <f>M11/'Output-Calculation-sheet'!M10*'Output-Calculation-sheet'!M100</f>
        <v>1273549033.6827176</v>
      </c>
      <c r="N121" s="2">
        <f>N11/'Output-Calculation-sheet'!N10*'Output-Calculation-sheet'!N100</f>
        <v>849046684.10812211</v>
      </c>
      <c r="O121" s="2">
        <f>O11/'Output-Calculation-sheet'!O10*'Output-Calculation-sheet'!O100</f>
        <v>133306201.87742682</v>
      </c>
      <c r="P121" s="2">
        <f>P11/'Output-Calculation-sheet'!P10*'Output-Calculation-sheet'!P100</f>
        <v>0</v>
      </c>
      <c r="Q121" s="2">
        <f>Q11/'Output-Calculation-sheet'!Q10*'Output-Calculation-sheet'!Q100</f>
        <v>288497208.66121978</v>
      </c>
      <c r="R121" s="2">
        <f>R11/'Output-Calculation-sheet'!R10*'Output-Calculation-sheet'!R100</f>
        <v>0</v>
      </c>
      <c r="S121" s="2">
        <f>S11/'Output-Calculation-sheet'!S10*'Output-Calculation-sheet'!S100</f>
        <v>317452269.75513226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125135103.5414512</v>
      </c>
      <c r="Y121" s="2">
        <f>Y11/'Output-Calculation-sheet'!Y10*'Output-Calculation-sheet'!Y100</f>
        <v>18160539.567490157</v>
      </c>
      <c r="AA121" s="2">
        <f t="shared" si="10"/>
        <v>12574.913944674205</v>
      </c>
    </row>
    <row r="122" spans="1:27" x14ac:dyDescent="0.25">
      <c r="A122" s="2">
        <v>2035</v>
      </c>
      <c r="B122" s="2">
        <f>B12/'Output-Calculation-sheet'!B11*'Output-Calculation-sheet'!B101</f>
        <v>2652868798.8891058</v>
      </c>
      <c r="C122" s="2">
        <f>C12/'Output-Calculation-sheet'!C11*'Output-Calculation-sheet'!C101</f>
        <v>230614240.06704646</v>
      </c>
      <c r="D122" s="2">
        <f>D12/'Output-Calculation-sheet'!D11*'Output-Calculation-sheet'!D101</f>
        <v>0</v>
      </c>
      <c r="E122" s="2">
        <f>E12/'Output-Calculation-sheet'!E11*'Output-Calculation-sheet'!E101</f>
        <v>2065762624.0160084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391035979.71716911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1433842178.7987537</v>
      </c>
      <c r="M122" s="2">
        <f>M12/'Output-Calculation-sheet'!M11*'Output-Calculation-sheet'!M101</f>
        <v>358719345.09541625</v>
      </c>
      <c r="N122" s="2">
        <f>N12/'Output-Calculation-sheet'!N11*'Output-Calculation-sheet'!N101</f>
        <v>298173499.93391877</v>
      </c>
      <c r="O122" s="2">
        <f>O12/'Output-Calculation-sheet'!O11*'Output-Calculation-sheet'!O101</f>
        <v>40889279.411821127</v>
      </c>
      <c r="P122" s="2">
        <f>P12/'Output-Calculation-sheet'!P11*'Output-Calculation-sheet'!P101</f>
        <v>92800337.248586372</v>
      </c>
      <c r="Q122" s="2">
        <f>Q12/'Output-Calculation-sheet'!Q11*'Output-Calculation-sheet'!Q101</f>
        <v>458465159.45117795</v>
      </c>
      <c r="R122" s="2">
        <f>R12/'Output-Calculation-sheet'!R11*'Output-Calculation-sheet'!R101</f>
        <v>0</v>
      </c>
      <c r="S122" s="2">
        <f>S12/'Output-Calculation-sheet'!S11*'Output-Calculation-sheet'!S101</f>
        <v>124563149.45124406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11519042.845880892</v>
      </c>
      <c r="Y122" s="2">
        <f>Y12/'Output-Calculation-sheet'!Y11*'Output-Calculation-sheet'!Y101</f>
        <v>53133304.150266103</v>
      </c>
      <c r="AA122" s="2">
        <f t="shared" si="10"/>
        <v>8212.3869390763939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2643127266.0595541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2652545749.0332575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173737.23239428049</v>
      </c>
    </row>
    <row r="130" spans="1:27" x14ac:dyDescent="0.25">
      <c r="A130" s="2">
        <v>2032</v>
      </c>
      <c r="B130" s="2">
        <f>B9/'Output-Calculation-sheet'!B8*'Output-Calculation-sheet'!B107</f>
        <v>61819050910.438126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2248987103.2828455</v>
      </c>
      <c r="O130" s="2">
        <f>O9/'Output-Calculation-sheet'!O8*'Output-Calculation-sheet'!O107</f>
        <v>0</v>
      </c>
      <c r="P130" s="2">
        <f>P9/'Output-Calculation-sheet'!P8*'Output-Calculation-sheet'!P107</f>
        <v>6862473171.2228384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1998136127.7015476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217710.95528907498</v>
      </c>
    </row>
    <row r="131" spans="1:27" x14ac:dyDescent="0.25">
      <c r="A131" s="2">
        <v>2033</v>
      </c>
      <c r="B131" s="2">
        <f>B10/'Output-Calculation-sheet'!B9*'Output-Calculation-sheet'!B108</f>
        <v>48455609383.752342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1775298056.2592292</v>
      </c>
      <c r="O131" s="2">
        <f>O10/'Output-Calculation-sheet'!O9*'Output-Calculation-sheet'!O108</f>
        <v>0</v>
      </c>
      <c r="P131" s="2">
        <f>P10/'Output-Calculation-sheet'!P9*'Output-Calculation-sheet'!P108</f>
        <v>8166228235.2905159</v>
      </c>
      <c r="Q131" s="2">
        <f>Q10/'Output-Calculation-sheet'!Q9*'Output-Calculation-sheet'!Q108</f>
        <v>6888813191.1179981</v>
      </c>
      <c r="R131" s="2">
        <f>R10/'Output-Calculation-sheet'!R9*'Output-Calculation-sheet'!R108</f>
        <v>7729405110.3222227</v>
      </c>
      <c r="S131" s="2">
        <f>S10/'Output-Calculation-sheet'!S9*'Output-Calculation-sheet'!S108</f>
        <v>1722031798.4260886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231270.68991319661</v>
      </c>
    </row>
    <row r="132" spans="1:27" x14ac:dyDescent="0.25">
      <c r="A132" s="2">
        <v>2034</v>
      </c>
      <c r="B132" s="2">
        <f>B11/'Output-Calculation-sheet'!B10*'Output-Calculation-sheet'!B109</f>
        <v>32904710354.644131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31767188772.384407</v>
      </c>
      <c r="F132" s="2">
        <f>F11/'Output-Calculation-sheet'!F10*'Output-Calculation-sheet'!F109</f>
        <v>20952128790.767872</v>
      </c>
      <c r="G132" s="2">
        <f>G11/'Output-Calculation-sheet'!G10*'Output-Calculation-sheet'!G109</f>
        <v>14680538230.977962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13054488387.517649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9718917328.6796265</v>
      </c>
      <c r="M132" s="2">
        <f>M11/'Output-Calculation-sheet'!M10*'Output-Calculation-sheet'!M109</f>
        <v>0</v>
      </c>
      <c r="N132" s="2">
        <f>N11/'Output-Calculation-sheet'!N10*'Output-Calculation-sheet'!N109</f>
        <v>1277977187.4601769</v>
      </c>
      <c r="O132" s="2">
        <f>O11/'Output-Calculation-sheet'!O10*'Output-Calculation-sheet'!O109</f>
        <v>0</v>
      </c>
      <c r="P132" s="2">
        <f>P11/'Output-Calculation-sheet'!P10*'Output-Calculation-sheet'!P109</f>
        <v>7261117991.4799442</v>
      </c>
      <c r="Q132" s="2">
        <f>Q11/'Output-Calculation-sheet'!Q10*'Output-Calculation-sheet'!Q109</f>
        <v>4675557697.7633963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877088759.78306079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2608902095.0158386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914230921.46016276</v>
      </c>
      <c r="AA132" s="2">
        <f t="shared" si="11"/>
        <v>223369.62919602278</v>
      </c>
    </row>
    <row r="133" spans="1:27" x14ac:dyDescent="0.25">
      <c r="A133" s="2">
        <v>2035</v>
      </c>
      <c r="B133" s="2">
        <f>B12/'Output-Calculation-sheet'!B11*'Output-Calculation-sheet'!B110</f>
        <v>7630443200.6861687</v>
      </c>
      <c r="C133" s="2">
        <f>C12/'Output-Calculation-sheet'!C11*'Output-Calculation-sheet'!C110</f>
        <v>0</v>
      </c>
      <c r="D133" s="2">
        <f>D12/'Output-Calculation-sheet'!D11*'Output-Calculation-sheet'!D110</f>
        <v>36290190547.597626</v>
      </c>
      <c r="E133" s="2">
        <f>E12/'Output-Calculation-sheet'!E11*'Output-Calculation-sheet'!E110</f>
        <v>19311506639.270897</v>
      </c>
      <c r="F133" s="2">
        <f>F12/'Output-Calculation-sheet'!F11*'Output-Calculation-sheet'!F110</f>
        <v>19197191341.718739</v>
      </c>
      <c r="G133" s="2">
        <f>G12/'Output-Calculation-sheet'!G11*'Output-Calculation-sheet'!G110</f>
        <v>13006044532.407557</v>
      </c>
      <c r="H133" s="2">
        <f>H12/'Output-Calculation-sheet'!H11*'Output-Calculation-sheet'!H110</f>
        <v>0</v>
      </c>
      <c r="I133" s="2">
        <f>I12/'Output-Calculation-sheet'!I11*'Output-Calculation-sheet'!I110</f>
        <v>11934219067.333502</v>
      </c>
      <c r="J133" s="2">
        <f>J12/'Output-Calculation-sheet'!J11*'Output-Calculation-sheet'!J110</f>
        <v>11954764039.578959</v>
      </c>
      <c r="K133" s="2">
        <f>K12/'Output-Calculation-sheet'!K11*'Output-Calculation-sheet'!K110</f>
        <v>11729831512.538317</v>
      </c>
      <c r="L133" s="2">
        <f>L12/'Output-Calculation-sheet'!L11*'Output-Calculation-sheet'!L110</f>
        <v>8430267606.9985323</v>
      </c>
      <c r="M133" s="2">
        <f>M12/'Output-Calculation-sheet'!M11*'Output-Calculation-sheet'!M110</f>
        <v>0</v>
      </c>
      <c r="N133" s="2">
        <f>N12/'Output-Calculation-sheet'!N11*'Output-Calculation-sheet'!N110</f>
        <v>45286.30901032166</v>
      </c>
      <c r="O133" s="2">
        <f>O12/'Output-Calculation-sheet'!O11*'Output-Calculation-sheet'!O110</f>
        <v>0</v>
      </c>
      <c r="P133" s="2">
        <f>P12/'Output-Calculation-sheet'!P11*'Output-Calculation-sheet'!P110</f>
        <v>4212334992.208621</v>
      </c>
      <c r="Q133" s="2">
        <f>Q12/'Output-Calculation-sheet'!Q11*'Output-Calculation-sheet'!Q110</f>
        <v>2678948857.8512449</v>
      </c>
      <c r="R133" s="2">
        <f>R12/'Output-Calculation-sheet'!R11*'Output-Calculation-sheet'!R110</f>
        <v>7802177130.350173</v>
      </c>
      <c r="S133" s="2">
        <f>S12/'Output-Calculation-sheet'!S11*'Output-Calculation-sheet'!S110</f>
        <v>7508419.3305077516</v>
      </c>
      <c r="T133" s="2">
        <f>T12/'Output-Calculation-sheet'!T11*'Output-Calculation-sheet'!T110</f>
        <v>2914931437.9502773</v>
      </c>
      <c r="U133" s="2">
        <f>U12/'Output-Calculation-sheet'!U11*'Output-Calculation-sheet'!U110</f>
        <v>2303814309.1164384</v>
      </c>
      <c r="V133" s="2">
        <f>V12/'Output-Calculation-sheet'!V11*'Output-Calculation-sheet'!V110</f>
        <v>2006349249.5898447</v>
      </c>
      <c r="W133" s="2">
        <f>W12/'Output-Calculation-sheet'!W11*'Output-Calculation-sheet'!W110</f>
        <v>1689582972.8857734</v>
      </c>
      <c r="X133" s="2">
        <f>X12/'Output-Calculation-sheet'!X11*'Output-Calculation-sheet'!X110</f>
        <v>0</v>
      </c>
      <c r="Y133" s="2">
        <f>Y12/'Output-Calculation-sheet'!Y11*'Output-Calculation-sheet'!Y110</f>
        <v>640165998.13223016</v>
      </c>
      <c r="AA133" s="2">
        <f t="shared" si="11"/>
        <v>163740.31714185444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17191445287.453308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5404557363.6612272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3715012044.5759549</v>
      </c>
      <c r="N140" s="2">
        <f>N8/'Output-Calculation-sheet'!N7*'Output-Calculation-sheet'!N115</f>
        <v>1402564296.1546309</v>
      </c>
      <c r="O140" s="2">
        <f>O8/'Output-Calculation-sheet'!O7*'Output-Calculation-sheet'!O115</f>
        <v>4125863161.6875563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403405704.6154716</v>
      </c>
      <c r="Y140" s="2">
        <f>Y8/'Output-Calculation-sheet'!Y7*'Output-Calculation-sheet'!Y115</f>
        <v>0</v>
      </c>
      <c r="AA140" s="2">
        <f t="shared" si="12"/>
        <v>32242.84785814815</v>
      </c>
    </row>
    <row r="141" spans="1:27" x14ac:dyDescent="0.25">
      <c r="A141" s="2">
        <v>2032</v>
      </c>
      <c r="B141" s="2">
        <f>B9/'Output-Calculation-sheet'!B8*'Output-Calculation-sheet'!B116</f>
        <v>7067343968.0889568</v>
      </c>
      <c r="C141" s="2">
        <f>C9/'Output-Calculation-sheet'!C8*'Output-Calculation-sheet'!C116</f>
        <v>30252411003.936584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7886672359.5203152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5414848579.0486155</v>
      </c>
      <c r="N141" s="2">
        <f>N9/'Output-Calculation-sheet'!N8*'Output-Calculation-sheet'!N116</f>
        <v>3759324039.1992478</v>
      </c>
      <c r="O141" s="2">
        <f>O9/'Output-Calculation-sheet'!O8*'Output-Calculation-sheet'!O116</f>
        <v>5872170777.1394253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1683838828.2170267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589387240.95894647</v>
      </c>
      <c r="Y141" s="2">
        <f>Y9/'Output-Calculation-sheet'!Y8*'Output-Calculation-sheet'!Y116</f>
        <v>0</v>
      </c>
      <c r="AA141" s="2">
        <f t="shared" si="12"/>
        <v>62525.996796109124</v>
      </c>
    </row>
    <row r="142" spans="1:27" x14ac:dyDescent="0.25">
      <c r="A142" s="2">
        <v>2033</v>
      </c>
      <c r="B142" s="2">
        <f>B10/'Output-Calculation-sheet'!B9*'Output-Calculation-sheet'!B117</f>
        <v>35156067857.695061</v>
      </c>
      <c r="C142" s="2">
        <f>C10/'Output-Calculation-sheet'!C9*'Output-Calculation-sheet'!C117</f>
        <v>37123355000.867378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11497377248.696243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7900849434.0715036</v>
      </c>
      <c r="N142" s="2">
        <f>N10/'Output-Calculation-sheet'!N9*'Output-Calculation-sheet'!N117</f>
        <v>5960020567.8236532</v>
      </c>
      <c r="O142" s="2">
        <f>O10/'Output-Calculation-sheet'!O9*'Output-Calculation-sheet'!O117</f>
        <v>7205172064.3644466</v>
      </c>
      <c r="P142" s="2">
        <f>P10/'Output-Calculation-sheet'!P9*'Output-Calculation-sheet'!P117</f>
        <v>0</v>
      </c>
      <c r="Q142" s="2">
        <f>Q10/'Output-Calculation-sheet'!Q9*'Output-Calculation-sheet'!Q117</f>
        <v>1138281408.9139595</v>
      </c>
      <c r="R142" s="2">
        <f>R10/'Output-Calculation-sheet'!R9*'Output-Calculation-sheet'!R117</f>
        <v>0</v>
      </c>
      <c r="S142" s="2">
        <f>S10/'Output-Calculation-sheet'!S9*'Output-Calculation-sheet'!S117</f>
        <v>2898034688.3508883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866154215.39458346</v>
      </c>
      <c r="Y142" s="2">
        <f>Y10/'Output-Calculation-sheet'!Y9*'Output-Calculation-sheet'!Y117</f>
        <v>0</v>
      </c>
      <c r="AA142" s="2">
        <f t="shared" si="12"/>
        <v>109745.3124861777</v>
      </c>
    </row>
    <row r="143" spans="1:27" x14ac:dyDescent="0.25">
      <c r="A143" s="2">
        <v>2034</v>
      </c>
      <c r="B143" s="2">
        <f>B11/'Output-Calculation-sheet'!B10*'Output-Calculation-sheet'!B118</f>
        <v>59105665000.429123</v>
      </c>
      <c r="C143" s="2">
        <f>C11/'Output-Calculation-sheet'!C10*'Output-Calculation-sheet'!C118</f>
        <v>45348563726.425453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12570847479.485188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8633797797.6625023</v>
      </c>
      <c r="N143" s="2">
        <f>N11/'Output-Calculation-sheet'!N10*'Output-Calculation-sheet'!N118</f>
        <v>7597049454.1279917</v>
      </c>
      <c r="O143" s="2">
        <f>O11/'Output-Calculation-sheet'!O10*'Output-Calculation-sheet'!O118</f>
        <v>8809966112.9499569</v>
      </c>
      <c r="P143" s="2">
        <f>P11/'Output-Calculation-sheet'!P10*'Output-Calculation-sheet'!P118</f>
        <v>1590613369.8327773</v>
      </c>
      <c r="Q143" s="2">
        <f>Q11/'Output-Calculation-sheet'!Q10*'Output-Calculation-sheet'!Q118</f>
        <v>3745053420.1039815</v>
      </c>
      <c r="R143" s="2">
        <f>R11/'Output-Calculation-sheet'!R10*'Output-Calculation-sheet'!R118</f>
        <v>0</v>
      </c>
      <c r="S143" s="2">
        <f>S11/'Output-Calculation-sheet'!S10*'Output-Calculation-sheet'!S118</f>
        <v>4374373080.3080654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947859635.90518224</v>
      </c>
      <c r="Y143" s="2">
        <f>Y11/'Output-Calculation-sheet'!Y10*'Output-Calculation-sheet'!Y118</f>
        <v>111075154.86426537</v>
      </c>
      <c r="AA143" s="2">
        <f t="shared" si="12"/>
        <v>152834.86423209449</v>
      </c>
    </row>
    <row r="144" spans="1:27" x14ac:dyDescent="0.25">
      <c r="A144" s="2">
        <v>2035</v>
      </c>
      <c r="B144" s="2">
        <f>B12/'Output-Calculation-sheet'!B11*'Output-Calculation-sheet'!B119</f>
        <v>86361986022.414261</v>
      </c>
      <c r="C144" s="2">
        <f>C12/'Output-Calculation-sheet'!C11*'Output-Calculation-sheet'!C119</f>
        <v>45707242114.761627</v>
      </c>
      <c r="D144" s="2">
        <f>D12/'Output-Calculation-sheet'!D11*'Output-Calculation-sheet'!D119</f>
        <v>0</v>
      </c>
      <c r="E144" s="2">
        <f>E12/'Output-Calculation-sheet'!E11*'Output-Calculation-sheet'!E119</f>
        <v>10420205867.047476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13873219625.177814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9476852831.8434906</v>
      </c>
      <c r="N144" s="2">
        <f>N12/'Output-Calculation-sheet'!N11*'Output-Calculation-sheet'!N119</f>
        <v>9353583844.7159386</v>
      </c>
      <c r="O144" s="2">
        <f>O12/'Output-Calculation-sheet'!O11*'Output-Calculation-sheet'!O119</f>
        <v>8881316680.7729549</v>
      </c>
      <c r="P144" s="2">
        <f>P12/'Output-Calculation-sheet'!P11*'Output-Calculation-sheet'!P119</f>
        <v>4300869843.9814329</v>
      </c>
      <c r="Q144" s="2">
        <f>Q12/'Output-Calculation-sheet'!Q11*'Output-Calculation-sheet'!Q119</f>
        <v>5231869119.5102758</v>
      </c>
      <c r="R144" s="2">
        <f>R12/'Output-Calculation-sheet'!R11*'Output-Calculation-sheet'!R119</f>
        <v>0</v>
      </c>
      <c r="S144" s="2">
        <f>S12/'Output-Calculation-sheet'!S11*'Output-Calculation-sheet'!S119</f>
        <v>5390557212.4696531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1058792194.9789327</v>
      </c>
      <c r="Y144" s="2">
        <f>Y12/'Output-Calculation-sheet'!Y11*'Output-Calculation-sheet'!Y119</f>
        <v>298585970.55458719</v>
      </c>
      <c r="AA144" s="2">
        <f t="shared" si="12"/>
        <v>200355.08132822852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2148863094.1691504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468578582.35415447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55687.189152105457</v>
      </c>
    </row>
    <row r="155" spans="1:27" x14ac:dyDescent="0.25">
      <c r="A155" s="2">
        <v>2035</v>
      </c>
      <c r="B155" s="2">
        <f>B12/'Output-Calculation-sheet'!B11*'Output-Calculation-sheet'!B128</f>
        <v>1134681421.3933208</v>
      </c>
      <c r="C155" s="2">
        <f>C12/'Output-Calculation-sheet'!C11*'Output-Calculation-sheet'!C128</f>
        <v>67822977.054671407</v>
      </c>
      <c r="D155" s="2">
        <f>D12/'Output-Calculation-sheet'!D11*'Output-Calculation-sheet'!D128</f>
        <v>4957233638.228034</v>
      </c>
      <c r="E155" s="2">
        <f>E12/'Output-Calculation-sheet'!E11*'Output-Calculation-sheet'!E128</f>
        <v>1160902315.8294959</v>
      </c>
      <c r="F155" s="2">
        <f>F12/'Output-Calculation-sheet'!F11*'Output-Calculation-sheet'!F128</f>
        <v>2005939260.1834424</v>
      </c>
      <c r="G155" s="2">
        <f>G12/'Output-Calculation-sheet'!G11*'Output-Calculation-sheet'!G128</f>
        <v>1893724576.1730545</v>
      </c>
      <c r="H155" s="2">
        <f>H12/'Output-Calculation-sheet'!H11*'Output-Calculation-sheet'!H128</f>
        <v>104262641.32814369</v>
      </c>
      <c r="I155" s="2">
        <f>I12/'Output-Calculation-sheet'!I11*'Output-Calculation-sheet'!I128</f>
        <v>1626231545.5786541</v>
      </c>
      <c r="J155" s="2">
        <f>J12/'Output-Calculation-sheet'!J11*'Output-Calculation-sheet'!J128</f>
        <v>1175492840.1880524</v>
      </c>
      <c r="K155" s="2">
        <f>K12/'Output-Calculation-sheet'!K11*'Output-Calculation-sheet'!K128</f>
        <v>1300935449.3450737</v>
      </c>
      <c r="L155" s="2">
        <f>L12/'Output-Calculation-sheet'!L11*'Output-Calculation-sheet'!L128</f>
        <v>570511651.03776634</v>
      </c>
      <c r="M155" s="2">
        <f>M12/'Output-Calculation-sheet'!M11*'Output-Calculation-sheet'!M128</f>
        <v>82222620.737437621</v>
      </c>
      <c r="N155" s="2">
        <f>N12/'Output-Calculation-sheet'!N11*'Output-Calculation-sheet'!N128</f>
        <v>75150363.931963578</v>
      </c>
      <c r="O155" s="2">
        <f>O12/'Output-Calculation-sheet'!O11*'Output-Calculation-sheet'!O128</f>
        <v>16457382.220211806</v>
      </c>
      <c r="P155" s="2">
        <f>P12/'Output-Calculation-sheet'!P11*'Output-Calculation-sheet'!P128</f>
        <v>306572733.73706973</v>
      </c>
      <c r="Q155" s="2">
        <f>Q12/'Output-Calculation-sheet'!Q11*'Output-Calculation-sheet'!Q128</f>
        <v>373801603.25789034</v>
      </c>
      <c r="R155" s="2">
        <f>R12/'Output-Calculation-sheet'!R11*'Output-Calculation-sheet'!R128</f>
        <v>669883792.56837726</v>
      </c>
      <c r="S155" s="2">
        <f>S12/'Output-Calculation-sheet'!S11*'Output-Calculation-sheet'!S128</f>
        <v>48785582.504096717</v>
      </c>
      <c r="T155" s="2">
        <f>T12/'Output-Calculation-sheet'!T11*'Output-Calculation-sheet'!T128</f>
        <v>183711061.73706621</v>
      </c>
      <c r="U155" s="2">
        <f>U12/'Output-Calculation-sheet'!U11*'Output-Calculation-sheet'!U128</f>
        <v>423068380.38023156</v>
      </c>
      <c r="V155" s="2">
        <f>V12/'Output-Calculation-sheet'!V11*'Output-Calculation-sheet'!V128</f>
        <v>63104270.014288515</v>
      </c>
      <c r="W155" s="2">
        <f>W12/'Output-Calculation-sheet'!W11*'Output-Calculation-sheet'!W128</f>
        <v>127224986.14065425</v>
      </c>
      <c r="X155" s="2">
        <f>X12/'Output-Calculation-sheet'!X11*'Output-Calculation-sheet'!X128</f>
        <v>2703300.2497427533</v>
      </c>
      <c r="Y155" s="2">
        <f>Y12/'Output-Calculation-sheet'!Y11*'Output-Calculation-sheet'!Y128</f>
        <v>69949841.543627679</v>
      </c>
      <c r="AA155" s="2">
        <f t="shared" si="13"/>
        <v>18440.374235362371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5967.2304049795148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1807.5458439012284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1255.5931079091292</v>
      </c>
      <c r="N19" s="2">
        <f>N8/'Output-Calculation-sheet'!N7*'Output-Calculation-sheet'!N25</f>
        <v>1044.5050913058526</v>
      </c>
      <c r="O19" s="2">
        <f>O8/'Output-Calculation-sheet'!O7*'Output-Calculation-sheet'!O25</f>
        <v>655.5398465753899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135.89010138555898</v>
      </c>
      <c r="Y19" s="2">
        <f>Y8/'Output-Calculation-sheet'!Y7*'Output-Calculation-sheet'!Y25</f>
        <v>0</v>
      </c>
      <c r="AA19" s="2">
        <f t="shared" si="0"/>
        <v>12.617641375746746</v>
      </c>
    </row>
    <row r="20" spans="1:27" x14ac:dyDescent="0.25">
      <c r="A20" s="2">
        <v>2032</v>
      </c>
      <c r="B20" s="2">
        <f>B9/'Output-Calculation-sheet'!B8*'Output-Calculation-sheet'!B26</f>
        <v>6237.4818075637177</v>
      </c>
      <c r="C20" s="2">
        <f>C9/'Output-Calculation-sheet'!C8*'Output-Calculation-sheet'!C26</f>
        <v>3420.4827436284359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2053.3326802306265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1434.883047877523</v>
      </c>
      <c r="N20" s="2">
        <f>N9/'Output-Calculation-sheet'!N8*'Output-Calculation-sheet'!N26</f>
        <v>994.41305252722179</v>
      </c>
      <c r="O20" s="2">
        <f>O9/'Output-Calculation-sheet'!O8*'Output-Calculation-sheet'!O26</f>
        <v>668.2989393541028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471.70302474090039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156.13623197624611</v>
      </c>
      <c r="Y20" s="2">
        <f>Y9/'Output-Calculation-sheet'!Y8*'Output-Calculation-sheet'!Y26</f>
        <v>0</v>
      </c>
      <c r="AA20" s="2">
        <f t="shared" si="0"/>
        <v>15.436731527898775</v>
      </c>
    </row>
    <row r="21" spans="1:27" x14ac:dyDescent="0.25">
      <c r="A21" s="2">
        <v>2033</v>
      </c>
      <c r="B21" s="2">
        <f>B10/'Output-Calculation-sheet'!B9*'Output-Calculation-sheet'!B27</f>
        <v>5637.45519786775</v>
      </c>
      <c r="C21" s="2">
        <f>C10/'Output-Calculation-sheet'!C9*'Output-Calculation-sheet'!C27</f>
        <v>3465.0185428869863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1136.09916578601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804.14036159544787</v>
      </c>
      <c r="N21" s="2">
        <f>N10/'Output-Calculation-sheet'!N9*'Output-Calculation-sheet'!N27</f>
        <v>814.35076645978927</v>
      </c>
      <c r="O21" s="2">
        <f>O10/'Output-Calculation-sheet'!O9*'Output-Calculation-sheet'!O27</f>
        <v>678.37634320823122</v>
      </c>
      <c r="P21" s="2">
        <f>P10/'Output-Calculation-sheet'!P9*'Output-Calculation-sheet'!P27</f>
        <v>0</v>
      </c>
      <c r="Q21" s="2">
        <f>Q10/'Output-Calculation-sheet'!Q9*'Output-Calculation-sheet'!Q27</f>
        <v>9.4899353836313676</v>
      </c>
      <c r="R21" s="2">
        <f>R10/'Output-Calculation-sheet'!R9*'Output-Calculation-sheet'!R27</f>
        <v>0</v>
      </c>
      <c r="S21" s="2">
        <f>S10/'Output-Calculation-sheet'!S9*'Output-Calculation-sheet'!S27</f>
        <v>387.76368415969165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80.296871080059475</v>
      </c>
      <c r="Y21" s="2">
        <f>Y10/'Output-Calculation-sheet'!Y9*'Output-Calculation-sheet'!Y27</f>
        <v>0</v>
      </c>
      <c r="AA21" s="2">
        <f t="shared" si="0"/>
        <v>13.012990868427599</v>
      </c>
    </row>
    <row r="22" spans="1:27" x14ac:dyDescent="0.25">
      <c r="A22" s="2">
        <v>2034</v>
      </c>
      <c r="B22" s="2">
        <f>B11/'Output-Calculation-sheet'!B10*'Output-Calculation-sheet'!B28</f>
        <v>4563.2654946493003</v>
      </c>
      <c r="C22" s="2">
        <f>C11/'Output-Calculation-sheet'!C10*'Output-Calculation-sheet'!C28</f>
        <v>460.29421795155685</v>
      </c>
      <c r="D22" s="2">
        <f>D11/'Output-Calculation-sheet'!D10*'Output-Calculation-sheet'!D28</f>
        <v>0</v>
      </c>
      <c r="E22" s="2">
        <f>E11/'Output-Calculation-sheet'!E10*'Output-Calculation-sheet'!E28</f>
        <v>1528.4255249961479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1211.9907383864982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926.93722498588272</v>
      </c>
      <c r="M22" s="2">
        <f>M11/'Output-Calculation-sheet'!M10*'Output-Calculation-sheet'!M28</f>
        <v>862.56918878575721</v>
      </c>
      <c r="N22" s="2">
        <f>N11/'Output-Calculation-sheet'!N10*'Output-Calculation-sheet'!N28</f>
        <v>576.63242381726627</v>
      </c>
      <c r="O22" s="2">
        <f>O11/'Output-Calculation-sheet'!O10*'Output-Calculation-sheet'!O28</f>
        <v>90.287782093523973</v>
      </c>
      <c r="P22" s="2">
        <f>P11/'Output-Calculation-sheet'!P10*'Output-Calculation-sheet'!P28</f>
        <v>0</v>
      </c>
      <c r="Q22" s="2">
        <f>Q11/'Output-Calculation-sheet'!Q10*'Output-Calculation-sheet'!Q28</f>
        <v>296.81166153483366</v>
      </c>
      <c r="R22" s="2">
        <f>R11/'Output-Calculation-sheet'!R10*'Output-Calculation-sheet'!R28</f>
        <v>0</v>
      </c>
      <c r="S22" s="2">
        <f>S11/'Output-Calculation-sheet'!S10*'Output-Calculation-sheet'!S28</f>
        <v>215.90947321578668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84.753428484719095</v>
      </c>
      <c r="Y22" s="2">
        <f>Y11/'Output-Calculation-sheet'!Y10*'Output-Calculation-sheet'!Y28</f>
        <v>34.547891295678099</v>
      </c>
      <c r="AA22" s="2">
        <f t="shared" si="0"/>
        <v>10.852425050196951</v>
      </c>
    </row>
    <row r="23" spans="1:27" x14ac:dyDescent="0.25">
      <c r="A23" s="2">
        <v>2035</v>
      </c>
      <c r="B23" s="2">
        <f>B12/'Output-Calculation-sheet'!B11*'Output-Calculation-sheet'!B29</f>
        <v>1906.1051344123746</v>
      </c>
      <c r="C23" s="2">
        <f>C12/'Output-Calculation-sheet'!C11*'Output-Calculation-sheet'!C29</f>
        <v>165.69638284785924</v>
      </c>
      <c r="D23" s="2">
        <f>D12/'Output-Calculation-sheet'!D11*'Output-Calculation-sheet'!D29</f>
        <v>0</v>
      </c>
      <c r="E23" s="2">
        <f>E12/'Output-Calculation-sheet'!E11*'Output-Calculation-sheet'!E29</f>
        <v>2631.2119766892943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280.96323653443017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1765.662212836902</v>
      </c>
      <c r="M23" s="2">
        <f>M12/'Output-Calculation-sheet'!M11*'Output-Calculation-sheet'!M29</f>
        <v>257.74276509689196</v>
      </c>
      <c r="N23" s="2">
        <f>N12/'Output-Calculation-sheet'!N11*'Output-Calculation-sheet'!N29</f>
        <v>214.24070592453813</v>
      </c>
      <c r="O23" s="2">
        <f>O12/'Output-Calculation-sheet'!O11*'Output-Calculation-sheet'!O29</f>
        <v>29.379793096553446</v>
      </c>
      <c r="P23" s="2">
        <f>P12/'Output-Calculation-sheet'!P11*'Output-Calculation-sheet'!P29</f>
        <v>104.04451918985689</v>
      </c>
      <c r="Q23" s="2">
        <f>Q12/'Output-Calculation-sheet'!Q11*'Output-Calculation-sheet'!Q29</f>
        <v>391.30035449164677</v>
      </c>
      <c r="R23" s="2">
        <f>R12/'Output-Calculation-sheet'!R11*'Output-Calculation-sheet'!R29</f>
        <v>0</v>
      </c>
      <c r="S23" s="2">
        <f>S12/'Output-Calculation-sheet'!S11*'Output-Calculation-sheet'!S29</f>
        <v>89.499433725748759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8.2765542049517009</v>
      </c>
      <c r="Y23" s="2">
        <f>Y12/'Output-Calculation-sheet'!Y11*'Output-Calculation-sheet'!Y29</f>
        <v>71.900977201269512</v>
      </c>
      <c r="AA23" s="2">
        <f t="shared" si="0"/>
        <v>7.9160240462523168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1190.7137096181375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46.684852940240617</v>
      </c>
    </row>
    <row r="31" spans="1:27" x14ac:dyDescent="0.25">
      <c r="A31" s="2">
        <v>2032</v>
      </c>
      <c r="B31" s="2">
        <f>B9/'Output-Calculation-sheet'!B8*'Output-Calculation-sheet'!B17</f>
        <v>26224.956379843286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1025.4234334323382</v>
      </c>
      <c r="O31" s="2">
        <f>O9/'Output-Calculation-sheet'!O8*'Output-Calculation-sheet'!O17</f>
        <v>0</v>
      </c>
      <c r="P31" s="2">
        <f>P9/'Output-Calculation-sheet'!P8*'Output-Calculation-sheet'!P17</f>
        <v>2562.8866781242955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848.70993385850204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60.084494277489256</v>
      </c>
    </row>
    <row r="32" spans="1:27" x14ac:dyDescent="0.25">
      <c r="A32" s="2">
        <v>2033</v>
      </c>
      <c r="B32" s="2">
        <f>B10/'Output-Calculation-sheet'!B9*'Output-Calculation-sheet'!B18</f>
        <v>20392.165904990939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3192.8370034926893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825.37681836311913</v>
      </c>
      <c r="O32" s="2">
        <f>O10/'Output-Calculation-sheet'!O9*'Output-Calculation-sheet'!O18</f>
        <v>0</v>
      </c>
      <c r="P32" s="2">
        <f>P10/'Output-Calculation-sheet'!P9*'Output-Calculation-sheet'!P18</f>
        <v>3285.8571868393988</v>
      </c>
      <c r="Q32" s="2">
        <f>Q10/'Output-Calculation-sheet'!Q9*'Output-Calculation-sheet'!Q18</f>
        <v>3042.4029087083404</v>
      </c>
      <c r="R32" s="2">
        <f>R10/'Output-Calculation-sheet'!R9*'Output-Calculation-sheet'!R18</f>
        <v>2359.4747615080014</v>
      </c>
      <c r="S32" s="2">
        <f>S10/'Output-Calculation-sheet'!S9*'Output-Calculation-sheet'!S18</f>
        <v>750.84893880350273</v>
      </c>
      <c r="T32" s="2">
        <f>T10/'Output-Calculation-sheet'!T9*'Output-Calculation-sheet'!T18</f>
        <v>688.92824439172557</v>
      </c>
      <c r="U32" s="2">
        <f>U10/'Output-Calculation-sheet'!U9*'Output-Calculation-sheet'!U18</f>
        <v>761.57969433752305</v>
      </c>
      <c r="V32" s="2">
        <f>V10/'Output-Calculation-sheet'!V9*'Output-Calculation-sheet'!V18</f>
        <v>562.12551633890462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325.44085930046805</v>
      </c>
      <c r="AA32" s="2">
        <f t="shared" si="1"/>
        <v>64.828757266811564</v>
      </c>
    </row>
    <row r="33" spans="1:27" x14ac:dyDescent="0.25">
      <c r="A33" s="2">
        <v>2034</v>
      </c>
      <c r="B33" s="2">
        <f>B11/'Output-Calculation-sheet'!B10*'Output-Calculation-sheet'!B19</f>
        <v>13793.542022853284</v>
      </c>
      <c r="C33" s="2">
        <f>C11/'Output-Calculation-sheet'!C10*'Output-Calculation-sheet'!C19</f>
        <v>0</v>
      </c>
      <c r="D33" s="2">
        <f>D11/'Output-Calculation-sheet'!D10*'Output-Calculation-sheet'!D19</f>
        <v>9173.30025433638</v>
      </c>
      <c r="E33" s="2">
        <f>E11/'Output-Calculation-sheet'!E10*'Output-Calculation-sheet'!E19</f>
        <v>11372.576164267974</v>
      </c>
      <c r="F33" s="2">
        <f>F11/'Output-Calculation-sheet'!F10*'Output-Calculation-sheet'!F19</f>
        <v>5207.3055221909699</v>
      </c>
      <c r="G33" s="2">
        <f>G11/'Output-Calculation-sheet'!G10*'Output-Calculation-sheet'!G19</f>
        <v>3102.0655235953882</v>
      </c>
      <c r="H33" s="2">
        <f>H11/'Output-Calculation-sheet'!H10*'Output-Calculation-sheet'!H19</f>
        <v>0</v>
      </c>
      <c r="I33" s="2">
        <f>I11/'Output-Calculation-sheet'!I10*'Output-Calculation-sheet'!I19</f>
        <v>3407.5423035109252</v>
      </c>
      <c r="J33" s="2">
        <f>J11/'Output-Calculation-sheet'!J10*'Output-Calculation-sheet'!J19</f>
        <v>2881.4733033391244</v>
      </c>
      <c r="K33" s="2">
        <f>K11/'Output-Calculation-sheet'!K10*'Output-Calculation-sheet'!K19</f>
        <v>3996.6714025373199</v>
      </c>
      <c r="L33" s="2">
        <f>L11/'Output-Calculation-sheet'!L10*'Output-Calculation-sheet'!L19</f>
        <v>3250.5757691745916</v>
      </c>
      <c r="M33" s="2">
        <f>M11/'Output-Calculation-sheet'!M10*'Output-Calculation-sheet'!M19</f>
        <v>0</v>
      </c>
      <c r="N33" s="2">
        <f>N11/'Output-Calculation-sheet'!N10*'Output-Calculation-sheet'!N19</f>
        <v>617.01030120318808</v>
      </c>
      <c r="O33" s="2">
        <f>O11/'Output-Calculation-sheet'!O10*'Output-Calculation-sheet'!O19</f>
        <v>0</v>
      </c>
      <c r="P33" s="2">
        <f>P11/'Output-Calculation-sheet'!P10*'Output-Calculation-sheet'!P19</f>
        <v>3054.3015246711921</v>
      </c>
      <c r="Q33" s="2">
        <f>Q11/'Output-Calculation-sheet'!Q10*'Output-Calculation-sheet'!Q19</f>
        <v>1946.1133925936749</v>
      </c>
      <c r="R33" s="2">
        <f>R11/'Output-Calculation-sheet'!R10*'Output-Calculation-sheet'!R19</f>
        <v>2887.3057230454447</v>
      </c>
      <c r="S33" s="2">
        <f>S11/'Output-Calculation-sheet'!S10*'Output-Calculation-sheet'!S19</f>
        <v>392.23286572867011</v>
      </c>
      <c r="T33" s="2">
        <f>T11/'Output-Calculation-sheet'!T10*'Output-Calculation-sheet'!T19</f>
        <v>847.01239917462965</v>
      </c>
      <c r="U33" s="2">
        <f>U11/'Output-Calculation-sheet'!U10*'Output-Calculation-sheet'!U19</f>
        <v>916.09089278110935</v>
      </c>
      <c r="V33" s="2">
        <f>V11/'Output-Calculation-sheet'!V10*'Output-Calculation-sheet'!V19</f>
        <v>664.39427437000563</v>
      </c>
      <c r="W33" s="2">
        <f>W11/'Output-Calculation-sheet'!W10*'Output-Calculation-sheet'!W19</f>
        <v>413.68259744905851</v>
      </c>
      <c r="X33" s="2">
        <f>X11/'Output-Calculation-sheet'!X10*'Output-Calculation-sheet'!X19</f>
        <v>0</v>
      </c>
      <c r="Y33" s="2">
        <f>Y11/'Output-Calculation-sheet'!Y10*'Output-Calculation-sheet'!Y19</f>
        <v>338.68794890699763</v>
      </c>
      <c r="AA33" s="2">
        <f t="shared" si="1"/>
        <v>68.26188418572994</v>
      </c>
    </row>
    <row r="34" spans="1:27" x14ac:dyDescent="0.25">
      <c r="A34" s="2">
        <v>2035</v>
      </c>
      <c r="B34" s="2">
        <f>B12/'Output-Calculation-sheet'!B11*'Output-Calculation-sheet'!B20</f>
        <v>3261.6699014475366</v>
      </c>
      <c r="C34" s="2">
        <f>C12/'Output-Calculation-sheet'!C11*'Output-Calculation-sheet'!C20</f>
        <v>0</v>
      </c>
      <c r="D34" s="2">
        <f>D12/'Output-Calculation-sheet'!D11*'Output-Calculation-sheet'!D20</f>
        <v>8540.6223328970336</v>
      </c>
      <c r="E34" s="2">
        <f>E12/'Output-Calculation-sheet'!E11*'Output-Calculation-sheet'!E20</f>
        <v>5575.122899355174</v>
      </c>
      <c r="F34" s="2">
        <f>F12/'Output-Calculation-sheet'!F11*'Output-Calculation-sheet'!F20</f>
        <v>5307.4035907054295</v>
      </c>
      <c r="G34" s="2">
        <f>G12/'Output-Calculation-sheet'!G11*'Output-Calculation-sheet'!G20</f>
        <v>2863.5313923624703</v>
      </c>
      <c r="H34" s="2">
        <f>H12/'Output-Calculation-sheet'!H11*'Output-Calculation-sheet'!H20</f>
        <v>0</v>
      </c>
      <c r="I34" s="2">
        <f>I12/'Output-Calculation-sheet'!I11*'Output-Calculation-sheet'!I20</f>
        <v>3183.4592001086398</v>
      </c>
      <c r="J34" s="2">
        <f>J12/'Output-Calculation-sheet'!J11*'Output-Calculation-sheet'!J20</f>
        <v>2952.2282433224727</v>
      </c>
      <c r="K34" s="2">
        <f>K12/'Output-Calculation-sheet'!K11*'Output-Calculation-sheet'!K20</f>
        <v>3935.6130326430211</v>
      </c>
      <c r="L34" s="2">
        <f>L12/'Output-Calculation-sheet'!L11*'Output-Calculation-sheet'!L20</f>
        <v>3133.3988856989113</v>
      </c>
      <c r="M34" s="2">
        <f>M12/'Output-Calculation-sheet'!M11*'Output-Calculation-sheet'!M20</f>
        <v>0</v>
      </c>
      <c r="N34" s="2">
        <f>N12/'Output-Calculation-sheet'!N11*'Output-Calculation-sheet'!N20</f>
        <v>2.3132576607616334E-2</v>
      </c>
      <c r="O34" s="2">
        <f>O12/'Output-Calculation-sheet'!O11*'Output-Calculation-sheet'!O20</f>
        <v>0</v>
      </c>
      <c r="P34" s="2">
        <f>P12/'Output-Calculation-sheet'!P11*'Output-Calculation-sheet'!P20</f>
        <v>1611.0664030108278</v>
      </c>
      <c r="Q34" s="2">
        <f>Q12/'Output-Calculation-sheet'!Q11*'Output-Calculation-sheet'!Q20</f>
        <v>1083.3489348937621</v>
      </c>
      <c r="R34" s="2">
        <f>R12/'Output-Calculation-sheet'!R11*'Output-Calculation-sheet'!R20</f>
        <v>3006.6045628289671</v>
      </c>
      <c r="S34" s="2">
        <f>S12/'Output-Calculation-sheet'!S11*'Output-Calculation-sheet'!S20</f>
        <v>3.5619937323842663</v>
      </c>
      <c r="T34" s="2">
        <f>T12/'Output-Calculation-sheet'!T11*'Output-Calculation-sheet'!T20</f>
        <v>911.35212846407171</v>
      </c>
      <c r="U34" s="2">
        <f>U12/'Output-Calculation-sheet'!U11*'Output-Calculation-sheet'!U20</f>
        <v>839.42394249791585</v>
      </c>
      <c r="V34" s="2">
        <f>V12/'Output-Calculation-sheet'!V11*'Output-Calculation-sheet'!V20</f>
        <v>826.23770732664843</v>
      </c>
      <c r="W34" s="2">
        <f>W12/'Output-Calculation-sheet'!W11*'Output-Calculation-sheet'!W20</f>
        <v>448.0764118890944</v>
      </c>
      <c r="X34" s="2">
        <f>X12/'Output-Calculation-sheet'!X11*'Output-Calculation-sheet'!X20</f>
        <v>0</v>
      </c>
      <c r="Y34" s="2">
        <f>Y12/'Output-Calculation-sheet'!Y11*'Output-Calculation-sheet'!Y20</f>
        <v>204.67829861410391</v>
      </c>
      <c r="AA34" s="2">
        <f t="shared" si="1"/>
        <v>47.687422994375076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2.0661853239009258E-2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3.7840607140842294E-3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2.4445913953093486E-2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5.3433612161482368E-2</v>
      </c>
      <c r="E45" s="2">
        <f>E12/'Output-Calculation-sheet'!E11*'Output-Calculation-sheet'!E38*0.0114</f>
        <v>0.12739655670259353</v>
      </c>
      <c r="F45" s="2">
        <f>F12/'Output-Calculation-sheet'!F11*'Output-Calculation-sheet'!F38*0.0114</f>
        <v>5.3415779757635277E-2</v>
      </c>
      <c r="G45" s="2">
        <f>G12/'Output-Calculation-sheet'!G11*'Output-Calculation-sheet'!G38*0.0114</f>
        <v>3.8335689315827919E-2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3.4480583592146161E-2</v>
      </c>
      <c r="J45" s="2">
        <f>J12/'Output-Calculation-sheet'!J11*'Output-Calculation-sheet'!J38*0.0114</f>
        <v>1.7062177967658642E-2</v>
      </c>
      <c r="K45" s="2">
        <f>K12/'Output-Calculation-sheet'!K11*'Output-Calculation-sheet'!K38*0.0114</f>
        <v>3.3888925157567334E-2</v>
      </c>
      <c r="L45" s="2">
        <f>L12/'Output-Calculation-sheet'!L11*'Output-Calculation-sheet'!L38*0.0114</f>
        <v>1.3473456599919732E-2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3.4803283969181698E-2</v>
      </c>
      <c r="Q45" s="2">
        <f>Q12/'Output-Calculation-sheet'!Q11*'Output-Calculation-sheet'!Q38*0.0114</f>
        <v>1.1002454231597783E-2</v>
      </c>
      <c r="R45" s="2">
        <f>R12/'Output-Calculation-sheet'!R11*'Output-Calculation-sheet'!R38*0.0114</f>
        <v>2.1822014112563213E-2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4.0366615837700804E-3</v>
      </c>
      <c r="U45" s="2">
        <f>U12/'Output-Calculation-sheet'!U11*'Output-Calculation-sheet'!U38*0.0114</f>
        <v>1.0531333337525838E-2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4.6879101192341373E-3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5.4105134135189869E-3</v>
      </c>
      <c r="AA45" s="2">
        <f t="shared" si="2"/>
        <v>0.7181218604485875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0.1672092260709038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209.19482249696097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0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19.51942192837415</v>
      </c>
      <c r="AA54" s="2">
        <f t="shared" si="3"/>
        <v>5.1530503442901798</v>
      </c>
    </row>
    <row r="55" spans="1:27" x14ac:dyDescent="0.25">
      <c r="A55" s="2">
        <v>2034</v>
      </c>
      <c r="B55" s="2">
        <f>B11/'Output-Calculation-sheet'!B10*'Output-Calculation-sheet'!B46</f>
        <v>1802.5982666289069</v>
      </c>
      <c r="C55" s="2">
        <f>C11/'Output-Calculation-sheet'!C10*'Output-Calculation-sheet'!C46</f>
        <v>0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300.52297421433167</v>
      </c>
      <c r="G55" s="2">
        <f>G11/'Output-Calculation-sheet'!G10*'Output-Calculation-sheet'!G46</f>
        <v>3387.4564652375702</v>
      </c>
      <c r="H55" s="2">
        <f>H11/'Output-Calculation-sheet'!H10*'Output-Calculation-sheet'!H46</f>
        <v>614.52141488085306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1393.924816582133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455.4704370431906</v>
      </c>
      <c r="N55" s="2">
        <f>N11/'Output-Calculation-sheet'!N10*'Output-Calculation-sheet'!N46</f>
        <v>155.5507112940968</v>
      </c>
      <c r="O55" s="2">
        <f>O11/'Output-Calculation-sheet'!O10*'Output-Calculation-sheet'!O46</f>
        <v>0</v>
      </c>
      <c r="P55" s="2">
        <f>P11/'Output-Calculation-sheet'!P10*'Output-Calculation-sheet'!P46</f>
        <v>3383.0193335382737</v>
      </c>
      <c r="Q55" s="2">
        <f>Q11/'Output-Calculation-sheet'!Q10*'Output-Calculation-sheet'!Q46</f>
        <v>725.12601898281832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0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1289.5680591418622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85.551519085417638</v>
      </c>
      <c r="X55" s="2">
        <f>X11/'Output-Calculation-sheet'!X10*'Output-Calculation-sheet'!X46</f>
        <v>43.471792553247369</v>
      </c>
      <c r="Y55" s="2">
        <f>Y11/'Output-Calculation-sheet'!Y10*'Output-Calculation-sheet'!Y46</f>
        <v>302.35496108346763</v>
      </c>
      <c r="AA55" s="2">
        <f t="shared" si="3"/>
        <v>44.779904402670319</v>
      </c>
    </row>
    <row r="56" spans="1:27" x14ac:dyDescent="0.25">
      <c r="A56" s="2">
        <v>2035</v>
      </c>
      <c r="B56" s="2">
        <f>B12/'Output-Calculation-sheet'!B11*'Output-Calculation-sheet'!B47</f>
        <v>2998.9137724413295</v>
      </c>
      <c r="C56" s="2">
        <f>C12/'Output-Calculation-sheet'!C11*'Output-Calculation-sheet'!C47</f>
        <v>343.93309548493852</v>
      </c>
      <c r="D56" s="2">
        <f>D12/'Output-Calculation-sheet'!D11*'Output-Calculation-sheet'!D47</f>
        <v>8465.0090845295745</v>
      </c>
      <c r="E56" s="2">
        <f>E12/'Output-Calculation-sheet'!E11*'Output-Calculation-sheet'!E47</f>
        <v>11093.185551471448</v>
      </c>
      <c r="F56" s="2">
        <f>F12/'Output-Calculation-sheet'!F11*'Output-Calculation-sheet'!F47</f>
        <v>1171.3986788955103</v>
      </c>
      <c r="G56" s="2">
        <f>G12/'Output-Calculation-sheet'!G11*'Output-Calculation-sheet'!G47</f>
        <v>3132.4293506748863</v>
      </c>
      <c r="H56" s="2">
        <f>H12/'Output-Calculation-sheet'!H11*'Output-Calculation-sheet'!H47</f>
        <v>133.56320702526608</v>
      </c>
      <c r="I56" s="2">
        <f>I12/'Output-Calculation-sheet'!I11*'Output-Calculation-sheet'!I47</f>
        <v>1996.2443132295145</v>
      </c>
      <c r="J56" s="2">
        <f>J12/'Output-Calculation-sheet'!J11*'Output-Calculation-sheet'!J47</f>
        <v>3333.1114328048948</v>
      </c>
      <c r="K56" s="2">
        <f>K12/'Output-Calculation-sheet'!K11*'Output-Calculation-sheet'!K47</f>
        <v>4451.6373178471131</v>
      </c>
      <c r="L56" s="2">
        <f>L12/'Output-Calculation-sheet'!L11*'Output-Calculation-sheet'!L47</f>
        <v>4820.8973220239104</v>
      </c>
      <c r="M56" s="2">
        <f>M12/'Output-Calculation-sheet'!M11*'Output-Calculation-sheet'!M47</f>
        <v>101.9915623345067</v>
      </c>
      <c r="N56" s="2">
        <f>N12/'Output-Calculation-sheet'!N11*'Output-Calculation-sheet'!N47</f>
        <v>95.834960231553382</v>
      </c>
      <c r="O56" s="2">
        <f>O12/'Output-Calculation-sheet'!O11*'Output-Calculation-sheet'!O47</f>
        <v>62.704852135676163</v>
      </c>
      <c r="P56" s="2">
        <f>P12/'Output-Calculation-sheet'!P11*'Output-Calculation-sheet'!P47</f>
        <v>2277.4780562289075</v>
      </c>
      <c r="Q56" s="2">
        <f>Q12/'Output-Calculation-sheet'!Q11*'Output-Calculation-sheet'!Q47</f>
        <v>875.37070070694631</v>
      </c>
      <c r="R56" s="2">
        <f>R12/'Output-Calculation-sheet'!R11*'Output-Calculation-sheet'!R47</f>
        <v>4908.0389635624633</v>
      </c>
      <c r="S56" s="2">
        <f>S12/'Output-Calculation-sheet'!S11*'Output-Calculation-sheet'!S47</f>
        <v>41.044068889377293</v>
      </c>
      <c r="T56" s="2">
        <f>T12/'Output-Calculation-sheet'!T11*'Output-Calculation-sheet'!T47</f>
        <v>1651.1362250105162</v>
      </c>
      <c r="U56" s="2">
        <f>U12/'Output-Calculation-sheet'!U11*'Output-Calculation-sheet'!U47</f>
        <v>1157.5228659578838</v>
      </c>
      <c r="V56" s="2">
        <f>V12/'Output-Calculation-sheet'!V11*'Output-Calculation-sheet'!V47</f>
        <v>1143.7667915692232</v>
      </c>
      <c r="W56" s="2">
        <f>W12/'Output-Calculation-sheet'!W11*'Output-Calculation-sheet'!W47</f>
        <v>404.8462730163165</v>
      </c>
      <c r="X56" s="2">
        <f>X12/'Output-Calculation-sheet'!X11*'Output-Calculation-sheet'!X47</f>
        <v>10.450970919124929</v>
      </c>
      <c r="Y56" s="2">
        <f>Y12/'Output-Calculation-sheet'!Y11*'Output-Calculation-sheet'!Y47</f>
        <v>323.08833388184649</v>
      </c>
      <c r="AA56" s="2">
        <f t="shared" si="3"/>
        <v>54.993597750872738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8.6098278970959417</v>
      </c>
      <c r="C63" s="2">
        <f>C8*'Output-Calculation-sheet'!C52/10^9</f>
        <v>4.599812870098118</v>
      </c>
      <c r="D63" s="2">
        <f>D8*'Output-Calculation-sheet'!D52/10^9</f>
        <v>2.9524944964094941</v>
      </c>
      <c r="E63" s="2">
        <f>E8*'Output-Calculation-sheet'!E52/10^9</f>
        <v>2.9355715014524097</v>
      </c>
      <c r="F63" s="2">
        <f>F8*'Output-Calculation-sheet'!F52/10^9</f>
        <v>1.2432142881826436</v>
      </c>
      <c r="G63" s="2">
        <f>G8*'Output-Calculation-sheet'!G52/10^9</f>
        <v>0.89381490957775844</v>
      </c>
      <c r="H63" s="2">
        <f>H8*'Output-Calculation-sheet'!H52/10^9</f>
        <v>1.4537040838919588</v>
      </c>
      <c r="I63" s="2">
        <f>I8*'Output-Calculation-sheet'!I52/10^9</f>
        <v>0.83145537618592391</v>
      </c>
      <c r="J63" s="2">
        <f>J8*'Output-Calculation-sheet'!J52/10^9</f>
        <v>1.1441389552832741</v>
      </c>
      <c r="K63" s="2">
        <f>K8*'Output-Calculation-sheet'!K52/10^9</f>
        <v>1.0052278342849781</v>
      </c>
      <c r="L63" s="2">
        <f>L8*'Output-Calculation-sheet'!L52/10^9</f>
        <v>1.3520798028452983</v>
      </c>
      <c r="M63" s="2">
        <f>M8*'Output-Calculation-sheet'!M52/10^9</f>
        <v>1.1909223044732389</v>
      </c>
      <c r="N63" s="2">
        <f>N8*'Output-Calculation-sheet'!N52/10^9</f>
        <v>1.0508162977817206</v>
      </c>
      <c r="O63" s="2">
        <f>O8*'Output-Calculation-sheet'!O52/10^9</f>
        <v>0.9410820046603785</v>
      </c>
      <c r="P63" s="2">
        <f>P8*'Output-Calculation-sheet'!P52/10^9</f>
        <v>0.69458531747545671</v>
      </c>
      <c r="Q63" s="2">
        <f>Q8*'Output-Calculation-sheet'!Q52/10^9</f>
        <v>0.78606703399881772</v>
      </c>
      <c r="R63" s="2">
        <f>R8*'Output-Calculation-sheet'!R52/10^9</f>
        <v>0.70573216202223332</v>
      </c>
      <c r="S63" s="2">
        <f>S8*'Output-Calculation-sheet'!S52/10^9</f>
        <v>0.52297253739066962</v>
      </c>
      <c r="T63" s="2">
        <f>T8*'Output-Calculation-sheet'!T52/10^9</f>
        <v>0.26830928664595105</v>
      </c>
      <c r="U63" s="2">
        <f>U8*'Output-Calculation-sheet'!U52/10^9</f>
        <v>0.18427194295656552</v>
      </c>
      <c r="V63" s="2">
        <f>V8*'Output-Calculation-sheet'!V52/10^9</f>
        <v>0.32703915187343791</v>
      </c>
      <c r="W63" s="2">
        <f>W8*'Output-Calculation-sheet'!W52/10^9</f>
        <v>0.11837285103898219</v>
      </c>
      <c r="X63" s="2">
        <f>X8*'Output-Calculation-sheet'!X52/10^9</f>
        <v>0.12196919158414449</v>
      </c>
      <c r="Y63" s="2">
        <f>Y8*'Output-Calculation-sheet'!Y52/10^9</f>
        <v>7.7234992459219332E-2</v>
      </c>
      <c r="AA63" s="2">
        <f t="shared" si="4"/>
        <v>34.010717089668617</v>
      </c>
    </row>
    <row r="64" spans="1:27" x14ac:dyDescent="0.25">
      <c r="A64" s="2">
        <v>2032</v>
      </c>
      <c r="B64" s="2">
        <f>B9*'Output-Calculation-sheet'!B53/10^9</f>
        <v>8.9427962390538962</v>
      </c>
      <c r="C64" s="2">
        <f>C9*'Output-Calculation-sheet'!C53/10^9</f>
        <v>4.7408524821879254</v>
      </c>
      <c r="D64" s="2">
        <f>D9*'Output-Calculation-sheet'!D53/10^9</f>
        <v>2.6485648024740778</v>
      </c>
      <c r="E64" s="2">
        <f>E9*'Output-Calculation-sheet'!E53/10^9</f>
        <v>2.7122468890239211</v>
      </c>
      <c r="F64" s="2">
        <f>F9*'Output-Calculation-sheet'!F53/10^9</f>
        <v>1.144008730605911</v>
      </c>
      <c r="G64" s="2">
        <f>G9*'Output-Calculation-sheet'!G53/10^9</f>
        <v>0.81427041795867805</v>
      </c>
      <c r="H64" s="2">
        <f>H9*'Output-Calculation-sheet'!H53/10^9</f>
        <v>1.4878813803039037</v>
      </c>
      <c r="I64" s="2">
        <f>I9*'Output-Calculation-sheet'!I53/10^9</f>
        <v>0.76120975940258773</v>
      </c>
      <c r="J64" s="2">
        <f>J9*'Output-Calculation-sheet'!J53/10^9</f>
        <v>1.0076870550193204</v>
      </c>
      <c r="K64" s="2">
        <f>K9*'Output-Calculation-sheet'!K53/10^9</f>
        <v>0.93499648769605093</v>
      </c>
      <c r="L64" s="2">
        <f>L9*'Output-Calculation-sheet'!L53/10^9</f>
        <v>1.202870186783094</v>
      </c>
      <c r="M64" s="2">
        <f>M9*'Output-Calculation-sheet'!M53/10^9</f>
        <v>1.1804598547181122</v>
      </c>
      <c r="N64" s="2">
        <f>N9*'Output-Calculation-sheet'!N53/10^9</f>
        <v>1.0627952844433044</v>
      </c>
      <c r="O64" s="2">
        <f>O9*'Output-Calculation-sheet'!O53/10^9</f>
        <v>0.96005813059219636</v>
      </c>
      <c r="P64" s="2">
        <f>P9*'Output-Calculation-sheet'!P53/10^9</f>
        <v>0.71287680654474639</v>
      </c>
      <c r="Q64" s="2">
        <f>Q9*'Output-Calculation-sheet'!Q53/10^9</f>
        <v>0.78783006421621526</v>
      </c>
      <c r="R64" s="2">
        <f>R9*'Output-Calculation-sheet'!R53/10^9</f>
        <v>0.67535641251731948</v>
      </c>
      <c r="S64" s="2">
        <f>S9*'Output-Calculation-sheet'!S53/10^9</f>
        <v>0.54344040710946029</v>
      </c>
      <c r="T64" s="2">
        <f>T9*'Output-Calculation-sheet'!T53/10^9</f>
        <v>0.24277208676991666</v>
      </c>
      <c r="U64" s="2">
        <f>U9*'Output-Calculation-sheet'!U53/10^9</f>
        <v>0.1827294880198447</v>
      </c>
      <c r="V64" s="2">
        <f>V9*'Output-Calculation-sheet'!V53/10^9</f>
        <v>0.2881540502436834</v>
      </c>
      <c r="W64" s="2">
        <f>W9*'Output-Calculation-sheet'!W53/10^9</f>
        <v>0.10707266616067532</v>
      </c>
      <c r="X64" s="2">
        <f>X9*'Output-Calculation-sheet'!X53/10^9</f>
        <v>0.1227572798894071</v>
      </c>
      <c r="Y64" s="2">
        <f>Y9*'Output-Calculation-sheet'!Y53/10^9</f>
        <v>7.5018643237361335E-2</v>
      </c>
      <c r="AA64" s="2">
        <f t="shared" si="4"/>
        <v>33.338705604971608</v>
      </c>
    </row>
    <row r="65" spans="1:27" x14ac:dyDescent="0.25">
      <c r="A65" s="2">
        <v>2033</v>
      </c>
      <c r="B65" s="2">
        <f>B10*'Output-Calculation-sheet'!B54/10^9</f>
        <v>8.8537609493105176</v>
      </c>
      <c r="C65" s="2">
        <f>C10*'Output-Calculation-sheet'!C54/10^9</f>
        <v>4.5766677054369644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1.4372281264170705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0.837384226222329</v>
      </c>
      <c r="L65" s="2">
        <f>L10*'Output-Calculation-sheet'!L54/10^9</f>
        <v>0.98903176829803596</v>
      </c>
      <c r="M65" s="2">
        <f>M10*'Output-Calculation-sheet'!M54/10^9</f>
        <v>1.0959779764893911</v>
      </c>
      <c r="N65" s="2">
        <f>N10*'Output-Calculation-sheet'!N54/10^9</f>
        <v>1.0056940937905401</v>
      </c>
      <c r="O65" s="2">
        <f>O10*'Output-Calculation-sheet'!O54/10^9</f>
        <v>0.91718444585910841</v>
      </c>
      <c r="P65" s="2">
        <f>P10*'Output-Calculation-sheet'!P54/10^9</f>
        <v>0.70845354516956394</v>
      </c>
      <c r="Q65" s="2">
        <f>Q10*'Output-Calculation-sheet'!Q54/10^9</f>
        <v>0.77174428128776174</v>
      </c>
      <c r="R65" s="2">
        <f>R10*'Output-Calculation-sheet'!R54/10^9</f>
        <v>0.6237159946352907</v>
      </c>
      <c r="S65" s="2">
        <f>S10*'Output-Calculation-sheet'!S54/10^9</f>
        <v>0.53050218063242904</v>
      </c>
      <c r="T65" s="2">
        <f>T10*'Output-Calculation-sheet'!T54/10^9</f>
        <v>0.20853867801683199</v>
      </c>
      <c r="U65" s="2">
        <f>U10*'Output-Calculation-sheet'!U54/10^9</f>
        <v>0.18006573070169163</v>
      </c>
      <c r="V65" s="2">
        <f>V10*'Output-Calculation-sheet'!V54/10^9</f>
        <v>0.2307846626460153</v>
      </c>
      <c r="W65" s="2">
        <f>W10*'Output-Calculation-sheet'!W54/10^9</f>
        <v>8.7865028620420116E-2</v>
      </c>
      <c r="X65" s="2">
        <f>X10*'Output-Calculation-sheet'!X54/10^9</f>
        <v>0.11491406475481043</v>
      </c>
      <c r="Y65" s="2">
        <f>Y10*'Output-Calculation-sheet'!Y54/10^9</f>
        <v>7.23191080621578E-2</v>
      </c>
      <c r="AA65" s="2">
        <f t="shared" si="4"/>
        <v>30.907619591432759</v>
      </c>
    </row>
    <row r="66" spans="1:27" x14ac:dyDescent="0.25">
      <c r="A66" s="2">
        <v>2034</v>
      </c>
      <c r="B66" s="2">
        <f>B11*'Output-Calculation-sheet'!B55/10^9</f>
        <v>8.3850257891011051</v>
      </c>
      <c r="C66" s="2">
        <f>C11*'Output-Calculation-sheet'!C55/10^9</f>
        <v>4.2179868436025645</v>
      </c>
      <c r="D66" s="2">
        <f>D11*'Output-Calculation-sheet'!D55/10^9</f>
        <v>1.892362273637161</v>
      </c>
      <c r="E66" s="2">
        <f>E11*'Output-Calculation-sheet'!E55/10^9</f>
        <v>2.2915165031341806</v>
      </c>
      <c r="F66" s="2">
        <f>F11*'Output-Calculation-sheet'!F55/10^9</f>
        <v>0.88066385911154299</v>
      </c>
      <c r="G66" s="2">
        <f>G11*'Output-Calculation-sheet'!G55/10^9</f>
        <v>0.6295208407531282</v>
      </c>
      <c r="H66" s="2">
        <f>H11*'Output-Calculation-sheet'!H55/10^9</f>
        <v>1.3135691396794951</v>
      </c>
      <c r="I66" s="2">
        <f>I11*'Output-Calculation-sheet'!I55/10^9</f>
        <v>0.61555797988267136</v>
      </c>
      <c r="J66" s="2">
        <f>J11*'Output-Calculation-sheet'!J55/10^9</f>
        <v>0.63300016972255013</v>
      </c>
      <c r="K66" s="2">
        <f>K11*'Output-Calculation-sheet'!K55/10^9</f>
        <v>0.75711283480590819</v>
      </c>
      <c r="L66" s="2">
        <f>L11*'Output-Calculation-sheet'!L55/10^9</f>
        <v>0.8017946877321146</v>
      </c>
      <c r="M66" s="2">
        <f>M11*'Output-Calculation-sheet'!M55/10^9</f>
        <v>0.95750114210356518</v>
      </c>
      <c r="N66" s="2">
        <f>N11*'Output-Calculation-sheet'!N55/10^9</f>
        <v>0.90456180638471306</v>
      </c>
      <c r="O66" s="2">
        <f>O11*'Output-Calculation-sheet'!O55/10^9</f>
        <v>0.83137940699795632</v>
      </c>
      <c r="P66" s="2">
        <f>P11*'Output-Calculation-sheet'!P55/10^9</f>
        <v>0.69419378139408006</v>
      </c>
      <c r="Q66" s="2">
        <f>Q11*'Output-Calculation-sheet'!Q55/10^9</f>
        <v>0.7343441160665537</v>
      </c>
      <c r="R66" s="2">
        <f>R11*'Output-Calculation-sheet'!R55/10^9</f>
        <v>0.56720011910629753</v>
      </c>
      <c r="S66" s="2">
        <f>S11*'Output-Calculation-sheet'!S55/10^9</f>
        <v>0.49473504758075293</v>
      </c>
      <c r="T66" s="2">
        <f>T11*'Output-Calculation-sheet'!T55/10^9</f>
        <v>0.17777416269870161</v>
      </c>
      <c r="U66" s="2">
        <f>U11*'Output-Calculation-sheet'!U55/10^9</f>
        <v>0.18056582041506319</v>
      </c>
      <c r="V66" s="2">
        <f>V11*'Output-Calculation-sheet'!V55/10^9</f>
        <v>0.1686435617324783</v>
      </c>
      <c r="W66" s="2">
        <f>W11*'Output-Calculation-sheet'!W55/10^9</f>
        <v>7.6362902157600429E-2</v>
      </c>
      <c r="X66" s="2">
        <f>X11*'Output-Calculation-sheet'!X55/10^9</f>
        <v>0.10230120348045514</v>
      </c>
      <c r="Y66" s="2">
        <f>Y11*'Output-Calculation-sheet'!Y55/10^9</f>
        <v>7.4656550530984023E-2</v>
      </c>
      <c r="AA66" s="2">
        <f t="shared" si="4"/>
        <v>28.382330541811619</v>
      </c>
    </row>
    <row r="67" spans="1:27" x14ac:dyDescent="0.25">
      <c r="A67" s="2">
        <v>2035</v>
      </c>
      <c r="B67" s="2">
        <f>B12*'Output-Calculation-sheet'!B56/10^9</f>
        <v>7.8575574548145868</v>
      </c>
      <c r="C67" s="2">
        <f>C12*'Output-Calculation-sheet'!C56/10^9</f>
        <v>3.6879583884518143</v>
      </c>
      <c r="D67" s="2">
        <f>D12*'Output-Calculation-sheet'!D56/10^9</f>
        <v>1.8130888042363325</v>
      </c>
      <c r="E67" s="2">
        <f>E12*'Output-Calculation-sheet'!E56/10^9</f>
        <v>2.4237710745265817</v>
      </c>
      <c r="F67" s="2">
        <f>F12*'Output-Calculation-sheet'!F56/10^9</f>
        <v>0.89909861993957685</v>
      </c>
      <c r="G67" s="2">
        <f>G12*'Output-Calculation-sheet'!G56/10^9</f>
        <v>0.62983287930921905</v>
      </c>
      <c r="H67" s="2">
        <f>H12*'Output-Calculation-sheet'!H56/10^9</f>
        <v>1.1610804466440687</v>
      </c>
      <c r="I67" s="2">
        <f>I12*'Output-Calculation-sheet'!I56/10^9</f>
        <v>0.61182693629383389</v>
      </c>
      <c r="J67" s="2">
        <f>J12*'Output-Calculation-sheet'!J56/10^9</f>
        <v>0.60573373812432174</v>
      </c>
      <c r="K67" s="2">
        <f>K12*'Output-Calculation-sheet'!K56/10^9</f>
        <v>0.72992000596583029</v>
      </c>
      <c r="L67" s="2">
        <f>L12*'Output-Calculation-sheet'!L56/10^9</f>
        <v>0.733213675650772</v>
      </c>
      <c r="M67" s="2">
        <f>M12*'Output-Calculation-sheet'!M56/10^9</f>
        <v>0.80769587717598645</v>
      </c>
      <c r="N67" s="2">
        <f>N12*'Output-Calculation-sheet'!N56/10^9</f>
        <v>0.78789218136017991</v>
      </c>
      <c r="O67" s="2">
        <f>O12*'Output-Calculation-sheet'!O56/10^9</f>
        <v>0.71690299821535397</v>
      </c>
      <c r="P67" s="2">
        <f>P12*'Output-Calculation-sheet'!P56/10^9</f>
        <v>0.68521544351383967</v>
      </c>
      <c r="Q67" s="2">
        <f>Q12*'Output-Calculation-sheet'!Q56/10^9</f>
        <v>0.69547062418870809</v>
      </c>
      <c r="R67" s="2">
        <f>R12*'Output-Calculation-sheet'!R56/10^9</f>
        <v>0.55365632494628514</v>
      </c>
      <c r="S67" s="2">
        <f>S12*'Output-Calculation-sheet'!S56/10^9</f>
        <v>0.45016704300678445</v>
      </c>
      <c r="T67" s="2">
        <f>T12*'Output-Calculation-sheet'!T56/10^9</f>
        <v>0.16779530396758136</v>
      </c>
      <c r="U67" s="2">
        <f>U12*'Output-Calculation-sheet'!U56/10^9</f>
        <v>0.17544367281516909</v>
      </c>
      <c r="V67" s="2">
        <f>V12*'Output-Calculation-sheet'!V56/10^9</f>
        <v>0.13458247483367028</v>
      </c>
      <c r="W67" s="2">
        <f>W12*'Output-Calculation-sheet'!W56/10^9</f>
        <v>8.1256685896456418E-2</v>
      </c>
      <c r="X67" s="2">
        <f>X12*'Output-Calculation-sheet'!X56/10^9</f>
        <v>8.6344237657640349E-2</v>
      </c>
      <c r="Y67" s="2">
        <f>Y12*'Output-Calculation-sheet'!Y56/10^9</f>
        <v>7.8049512618473371E-2</v>
      </c>
      <c r="AA67" s="2">
        <f t="shared" si="4"/>
        <v>26.573554404153072</v>
      </c>
    </row>
    <row r="68" spans="1:27" x14ac:dyDescent="0.25">
      <c r="B68" s="2">
        <f>SUM(B60:B67)</f>
        <v>42.648968329376054</v>
      </c>
      <c r="C68" s="2">
        <f t="shared" ref="C68:Y68" si="5">SUM(C60:C67)</f>
        <v>21.823278289777388</v>
      </c>
      <c r="D68" s="2">
        <f t="shared" si="5"/>
        <v>11.455074150609597</v>
      </c>
      <c r="E68" s="2">
        <f t="shared" si="5"/>
        <v>12.782352157058547</v>
      </c>
      <c r="F68" s="2">
        <f t="shared" si="5"/>
        <v>5.1491570302793273</v>
      </c>
      <c r="G68" s="2">
        <f t="shared" si="5"/>
        <v>3.6417892101879108</v>
      </c>
      <c r="H68" s="2">
        <f t="shared" si="5"/>
        <v>6.8534631769364962</v>
      </c>
      <c r="I68" s="2">
        <f t="shared" si="5"/>
        <v>3.4766832377043446</v>
      </c>
      <c r="J68" s="2">
        <f t="shared" si="5"/>
        <v>4.1753820994891999</v>
      </c>
      <c r="K68" s="2">
        <f t="shared" si="5"/>
        <v>4.2646413889750967</v>
      </c>
      <c r="L68" s="2">
        <f t="shared" si="5"/>
        <v>5.0789901213093147</v>
      </c>
      <c r="M68" s="2">
        <f t="shared" si="5"/>
        <v>5.2325571549602943</v>
      </c>
      <c r="N68" s="2">
        <f t="shared" si="5"/>
        <v>4.8117596637604576</v>
      </c>
      <c r="O68" s="2">
        <f t="shared" si="5"/>
        <v>4.3666069863249932</v>
      </c>
      <c r="P68" s="2">
        <f t="shared" si="5"/>
        <v>3.4953248940976867</v>
      </c>
      <c r="Q68" s="2">
        <f t="shared" si="5"/>
        <v>3.7754561197580569</v>
      </c>
      <c r="R68" s="2">
        <f t="shared" si="5"/>
        <v>3.1256610132274263</v>
      </c>
      <c r="S68" s="2">
        <f t="shared" si="5"/>
        <v>2.541817215720096</v>
      </c>
      <c r="T68" s="2">
        <f t="shared" si="5"/>
        <v>1.0651895180989825</v>
      </c>
      <c r="U68" s="2">
        <f t="shared" si="5"/>
        <v>0.90307665490833422</v>
      </c>
      <c r="V68" s="2">
        <f t="shared" si="5"/>
        <v>1.1492039013292852</v>
      </c>
      <c r="W68" s="2">
        <f t="shared" si="5"/>
        <v>0.47093013387413446</v>
      </c>
      <c r="X68" s="2">
        <f t="shared" si="5"/>
        <v>0.54828597736645746</v>
      </c>
      <c r="Y68" s="2">
        <f t="shared" si="5"/>
        <v>0.37727880690819587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61.248407306011657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6.1248407306011658E-2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556.62676048859475</v>
      </c>
      <c r="Q76" s="2">
        <f>Q10/'Output-Calculation-sheet'!Q9*'Output-Calculation-sheet'!Q63</f>
        <v>66.120583024500988</v>
      </c>
      <c r="R76" s="2">
        <f>R10/'Output-Calculation-sheet'!R9*'Output-Calculation-sheet'!R63</f>
        <v>424.28814051957204</v>
      </c>
      <c r="S76" s="2">
        <f>S10/'Output-Calculation-sheet'!S9*'Output-Calculation-sheet'!S63</f>
        <v>0</v>
      </c>
      <c r="T76" s="2">
        <f>T10/'Output-Calculation-sheet'!T9*'Output-Calculation-sheet'!T63</f>
        <v>27.872399021110091</v>
      </c>
      <c r="U76" s="2">
        <f>U10/'Output-Calculation-sheet'!U9*'Output-Calculation-sheet'!U63</f>
        <v>150.5468690538099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7.1499114971690512</v>
      </c>
      <c r="AA76" s="2">
        <f t="shared" si="6"/>
        <v>1.3496536304609805</v>
      </c>
    </row>
    <row r="77" spans="1:27" x14ac:dyDescent="0.25">
      <c r="A77" s="2">
        <v>2034</v>
      </c>
      <c r="B77" s="2">
        <f>B11/'Output-Calculation-sheet'!B10*'Output-Calculation-sheet'!B64</f>
        <v>545.61044334323753</v>
      </c>
      <c r="C77" s="2">
        <f>C11/'Output-Calculation-sheet'!C10*'Output-Calculation-sheet'!C64</f>
        <v>0</v>
      </c>
      <c r="D77" s="2">
        <f>D11/'Output-Calculation-sheet'!D10*'Output-Calculation-sheet'!D64</f>
        <v>1835.1713631040304</v>
      </c>
      <c r="E77" s="2">
        <f>E11/'Output-Calculation-sheet'!E10*'Output-Calculation-sheet'!E64</f>
        <v>2275.5608400296528</v>
      </c>
      <c r="F77" s="2">
        <f>F11/'Output-Calculation-sheet'!F10*'Output-Calculation-sheet'!F64</f>
        <v>142.56405832224749</v>
      </c>
      <c r="G77" s="2">
        <f>G11/'Output-Calculation-sheet'!G10*'Output-Calculation-sheet'!G64</f>
        <v>919.39447095138132</v>
      </c>
      <c r="H77" s="2">
        <f>H11/'Output-Calculation-sheet'!H10*'Output-Calculation-sheet'!H64</f>
        <v>150.46293477037025</v>
      </c>
      <c r="I77" s="2">
        <f>I11/'Output-Calculation-sheet'!I10*'Output-Calculation-sheet'!I64</f>
        <v>568.86460322327605</v>
      </c>
      <c r="J77" s="2">
        <f>J11/'Output-Calculation-sheet'!J10*'Output-Calculation-sheet'!J64</f>
        <v>399.77408805015796</v>
      </c>
      <c r="K77" s="2">
        <f>K11/'Output-Calculation-sheet'!K10*'Output-Calculation-sheet'!K64</f>
        <v>872.19565787563624</v>
      </c>
      <c r="L77" s="2">
        <f>L11/'Output-Calculation-sheet'!L10*'Output-Calculation-sheet'!L64</f>
        <v>360.64453433785701</v>
      </c>
      <c r="M77" s="2">
        <f>M11/'Output-Calculation-sheet'!M10*'Output-Calculation-sheet'!M64</f>
        <v>108.36571968441916</v>
      </c>
      <c r="N77" s="2">
        <f>N11/'Output-Calculation-sheet'!N10*'Output-Calculation-sheet'!N64</f>
        <v>35.839596328165833</v>
      </c>
      <c r="O77" s="2">
        <f>O11/'Output-Calculation-sheet'!O10*'Output-Calculation-sheet'!O64</f>
        <v>0</v>
      </c>
      <c r="P77" s="2">
        <f>P11/'Output-Calculation-sheet'!P10*'Output-Calculation-sheet'!P64</f>
        <v>737.96771285490865</v>
      </c>
      <c r="Q77" s="2">
        <f>Q11/'Output-Calculation-sheet'!Q10*'Output-Calculation-sheet'!Q64</f>
        <v>177.99919113036628</v>
      </c>
      <c r="R77" s="2">
        <f>R11/'Output-Calculation-sheet'!R10*'Output-Calculation-sheet'!R64</f>
        <v>917.58078884946531</v>
      </c>
      <c r="S77" s="2">
        <f>S11/'Output-Calculation-sheet'!S10*'Output-Calculation-sheet'!S64</f>
        <v>0</v>
      </c>
      <c r="T77" s="2">
        <f>T11/'Output-Calculation-sheet'!T10*'Output-Calculation-sheet'!T64</f>
        <v>254.42353979147163</v>
      </c>
      <c r="U77" s="2">
        <f>U11/'Output-Calculation-sheet'!U10*'Output-Calculation-sheet'!U64</f>
        <v>279.04692704623216</v>
      </c>
      <c r="V77" s="2">
        <f>V11/'Output-Calculation-sheet'!V10*'Output-Calculation-sheet'!V64</f>
        <v>131.49098618009677</v>
      </c>
      <c r="W77" s="2">
        <f>W11/'Output-Calculation-sheet'!W10*'Output-Calculation-sheet'!W64</f>
        <v>28.851474085347778</v>
      </c>
      <c r="X77" s="2">
        <f>X11/'Output-Calculation-sheet'!X10*'Output-Calculation-sheet'!X64</f>
        <v>10.802872985434878</v>
      </c>
      <c r="Y77" s="2">
        <f>Y11/'Output-Calculation-sheet'!Y10*'Output-Calculation-sheet'!Y64</f>
        <v>60.890631229940084</v>
      </c>
      <c r="AA77" s="2">
        <f t="shared" si="6"/>
        <v>10.813502434173696</v>
      </c>
    </row>
    <row r="78" spans="1:27" x14ac:dyDescent="0.25">
      <c r="A78" s="2">
        <v>2035</v>
      </c>
      <c r="B78" s="2">
        <f>B12/'Output-Calculation-sheet'!B11*'Output-Calculation-sheet'!B65</f>
        <v>604.54311203782891</v>
      </c>
      <c r="C78" s="2">
        <f>C12/'Output-Calculation-sheet'!C11*'Output-Calculation-sheet'!C65</f>
        <v>61.802131619447415</v>
      </c>
      <c r="D78" s="2">
        <f>D12/'Output-Calculation-sheet'!D11*'Output-Calculation-sheet'!D65</f>
        <v>1921.5898723009443</v>
      </c>
      <c r="E78" s="2">
        <f>E12/'Output-Calculation-sheet'!E11*'Output-Calculation-sheet'!E65</f>
        <v>1794.1495483339374</v>
      </c>
      <c r="F78" s="2">
        <f>F12/'Output-Calculation-sheet'!F11*'Output-Calculation-sheet'!F65</f>
        <v>424.43991171628369</v>
      </c>
      <c r="G78" s="2">
        <f>G12/'Output-Calculation-sheet'!G11*'Output-Calculation-sheet'!G65</f>
        <v>840.28636339518482</v>
      </c>
      <c r="H78" s="2">
        <f>H12/'Output-Calculation-sheet'!H11*'Output-Calculation-sheet'!H65</f>
        <v>24.282442565032522</v>
      </c>
      <c r="I78" s="2">
        <f>I12/'Output-Calculation-sheet'!I11*'Output-Calculation-sheet'!I65</f>
        <v>557.26067387580633</v>
      </c>
      <c r="J78" s="2">
        <f>J12/'Output-Calculation-sheet'!J11*'Output-Calculation-sheet'!J65</f>
        <v>813.11305787155129</v>
      </c>
      <c r="K78" s="2">
        <f>K12/'Output-Calculation-sheet'!K11*'Output-Calculation-sheet'!K65</f>
        <v>1015.0372217929038</v>
      </c>
      <c r="L78" s="2">
        <f>L12/'Output-Calculation-sheet'!L11*'Output-Calculation-sheet'!L65</f>
        <v>856.37053772658226</v>
      </c>
      <c r="M78" s="2">
        <f>M12/'Output-Calculation-sheet'!M11*'Output-Calculation-sheet'!M65</f>
        <v>20.29744169096611</v>
      </c>
      <c r="N78" s="2">
        <f>N12/'Output-Calculation-sheet'!N11*'Output-Calculation-sheet'!N65</f>
        <v>16.475902300957976</v>
      </c>
      <c r="O78" s="2">
        <f>O12/'Output-Calculation-sheet'!O11*'Output-Calculation-sheet'!O65</f>
        <v>11.2313641710557</v>
      </c>
      <c r="P78" s="2">
        <f>P12/'Output-Calculation-sheet'!P11*'Output-Calculation-sheet'!P65</f>
        <v>469.845351223835</v>
      </c>
      <c r="Q78" s="2">
        <f>Q12/'Output-Calculation-sheet'!Q11*'Output-Calculation-sheet'!Q65</f>
        <v>177.84791676082892</v>
      </c>
      <c r="R78" s="2">
        <f>R12/'Output-Calculation-sheet'!R11*'Output-Calculation-sheet'!R65</f>
        <v>1077.8179901959611</v>
      </c>
      <c r="S78" s="2">
        <f>S12/'Output-Calculation-sheet'!S11*'Output-Calculation-sheet'!S65</f>
        <v>6.4117150077344158</v>
      </c>
      <c r="T78" s="2">
        <f>T12/'Output-Calculation-sheet'!T11*'Output-Calculation-sheet'!T65</f>
        <v>371.26911642228208</v>
      </c>
      <c r="U78" s="2">
        <f>U12/'Output-Calculation-sheet'!U11*'Output-Calculation-sheet'!U65</f>
        <v>254.38281709932002</v>
      </c>
      <c r="V78" s="2">
        <f>V12/'Output-Calculation-sheet'!V11*'Output-Calculation-sheet'!V65</f>
        <v>209.71725130805345</v>
      </c>
      <c r="W78" s="2">
        <f>W12/'Output-Calculation-sheet'!W11*'Output-Calculation-sheet'!W65</f>
        <v>99.167803930167409</v>
      </c>
      <c r="X78" s="2">
        <f>X12/'Output-Calculation-sheet'!X11*'Output-Calculation-sheet'!X65</f>
        <v>2.1745396667722763</v>
      </c>
      <c r="Y78" s="2">
        <f>Y12/'Output-Calculation-sheet'!Y11*'Output-Calculation-sheet'!Y65</f>
        <v>55.88407772310412</v>
      </c>
      <c r="AA78" s="2">
        <f t="shared" si="6"/>
        <v>11.685398160736538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1.8124432665797594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1.3277406014330628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3.1401838680128222E-3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28.122953769201246</v>
      </c>
      <c r="E89" s="2">
        <f>E12/'Output-Calculation-sheet'!E11*'Output-Calculation-sheet'!E74</f>
        <v>63.325773799534794</v>
      </c>
      <c r="F89" s="2">
        <f>F12/'Output-Calculation-sheet'!F11*'Output-Calculation-sheet'!F74</f>
        <v>28.11356829349225</v>
      </c>
      <c r="G89" s="2">
        <f>G12/'Output-Calculation-sheet'!G11*'Output-Calculation-sheet'!G74</f>
        <v>20.176678587277852</v>
      </c>
      <c r="H89" s="2">
        <f>H12/'Output-Calculation-sheet'!H11*'Output-Calculation-sheet'!H74</f>
        <v>3.2576391957381974</v>
      </c>
      <c r="I89" s="2">
        <f>I12/'Output-Calculation-sheet'!I11*'Output-Calculation-sheet'!I74</f>
        <v>18.147675574813768</v>
      </c>
      <c r="J89" s="2">
        <f>J12/'Output-Calculation-sheet'!J11*'Output-Calculation-sheet'!J74</f>
        <v>8.9800936671887595</v>
      </c>
      <c r="K89" s="2">
        <f>K12/'Output-Calculation-sheet'!K11*'Output-Calculation-sheet'!K74</f>
        <v>13.377207299039737</v>
      </c>
      <c r="L89" s="2">
        <f>L12/'Output-Calculation-sheet'!L11*'Output-Calculation-sheet'!L74</f>
        <v>7.0912929473261741</v>
      </c>
      <c r="M89" s="2">
        <f>M12/'Output-Calculation-sheet'!M11*'Output-Calculation-sheet'!M74</f>
        <v>2.2415727985605867</v>
      </c>
      <c r="N89" s="2">
        <f>N12/'Output-Calculation-sheet'!N11*'Output-Calculation-sheet'!N74</f>
        <v>1.1015512670293492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21.370437524936129</v>
      </c>
      <c r="Q89" s="2">
        <f>Q12/'Output-Calculation-sheet'!Q11*'Output-Calculation-sheet'!Q74</f>
        <v>4.8256378208762198</v>
      </c>
      <c r="R89" s="2">
        <f>R12/'Output-Calculation-sheet'!R11*'Output-Calculation-sheet'!R74</f>
        <v>11.485270585559586</v>
      </c>
      <c r="S89" s="2">
        <f>S12/'Output-Calculation-sheet'!S11*'Output-Calculation-sheet'!S74</f>
        <v>1.2628944273654552</v>
      </c>
      <c r="T89" s="2">
        <f>T12/'Output-Calculation-sheet'!T11*'Output-Calculation-sheet'!T74</f>
        <v>2.4786518496833825</v>
      </c>
      <c r="U89" s="2">
        <f>U12/'Output-Calculation-sheet'!U11*'Output-Calculation-sheet'!U74</f>
        <v>6.1586744663893791</v>
      </c>
      <c r="V89" s="2">
        <f>V12/'Output-Calculation-sheet'!V11*'Output-Calculation-sheet'!V74</f>
        <v>0.47488760289359483</v>
      </c>
      <c r="W89" s="2">
        <f>W12/'Output-Calculation-sheet'!W11*'Output-Calculation-sheet'!W74</f>
        <v>2.8785413012841197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2.9662902486397953</v>
      </c>
      <c r="AA89" s="2">
        <f t="shared" si="7"/>
        <v>0.2765762290860479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9828390044.7634411</v>
      </c>
      <c r="C96" s="2">
        <f>C8/'Output-Calculation-sheet'!C7*'Output-Calculation-sheet'!C79</f>
        <v>2373395428.9640899</v>
      </c>
      <c r="D96" s="2">
        <f>D8/'Output-Calculation-sheet'!D7*'Output-Calculation-sheet'!D79</f>
        <v>1926834457.5197752</v>
      </c>
      <c r="E96" s="2">
        <f>E8/'Output-Calculation-sheet'!E7*'Output-Calculation-sheet'!E79</f>
        <v>7219157963.8591166</v>
      </c>
      <c r="F96" s="2">
        <f>F8/'Output-Calculation-sheet'!F7*'Output-Calculation-sheet'!F79</f>
        <v>2105938096.5612867</v>
      </c>
      <c r="G96" s="2">
        <f>G8/'Output-Calculation-sheet'!G7*'Output-Calculation-sheet'!G79</f>
        <v>1351712097.0714085</v>
      </c>
      <c r="H96" s="2">
        <f>H8/'Output-Calculation-sheet'!H7*'Output-Calculation-sheet'!H79</f>
        <v>1665264494.3659475</v>
      </c>
      <c r="I96" s="2">
        <f>I8/'Output-Calculation-sheet'!I7*'Output-Calculation-sheet'!I79</f>
        <v>972010198.79756343</v>
      </c>
      <c r="J96" s="2">
        <f>J8/'Output-Calculation-sheet'!J7*'Output-Calculation-sheet'!J79</f>
        <v>736591109.89978266</v>
      </c>
      <c r="K96" s="2">
        <f>K8/'Output-Calculation-sheet'!K7*'Output-Calculation-sheet'!K79</f>
        <v>923781916.71941626</v>
      </c>
      <c r="L96" s="2">
        <f>L8/'Output-Calculation-sheet'!L7*'Output-Calculation-sheet'!L79</f>
        <v>838636422.25663388</v>
      </c>
      <c r="M96" s="2">
        <f>M8/'Output-Calculation-sheet'!M7*'Output-Calculation-sheet'!M79</f>
        <v>1284909275.2195966</v>
      </c>
      <c r="N96" s="2">
        <f>N8/'Output-Calculation-sheet'!N7*'Output-Calculation-sheet'!N79</f>
        <v>835276727.17894137</v>
      </c>
      <c r="O96" s="2">
        <f>O8/'Output-Calculation-sheet'!O7*'Output-Calculation-sheet'!O79</f>
        <v>313413390.25606924</v>
      </c>
      <c r="P96" s="2">
        <f>P8/'Output-Calculation-sheet'!P7*'Output-Calculation-sheet'!P79</f>
        <v>1590800024.7413113</v>
      </c>
      <c r="Q96" s="2">
        <f>Q8/'Output-Calculation-sheet'!Q7*'Output-Calculation-sheet'!Q79</f>
        <v>675401709.47253466</v>
      </c>
      <c r="R96" s="2">
        <f>R8/'Output-Calculation-sheet'!R7*'Output-Calculation-sheet'!R79</f>
        <v>896449025.33800316</v>
      </c>
      <c r="S96" s="2">
        <f>S8/'Output-Calculation-sheet'!S7*'Output-Calculation-sheet'!S79</f>
        <v>505560892.67652452</v>
      </c>
      <c r="T96" s="2">
        <f>T8/'Output-Calculation-sheet'!T7*'Output-Calculation-sheet'!T79</f>
        <v>304994288.77742267</v>
      </c>
      <c r="U96" s="2">
        <f>U8/'Output-Calculation-sheet'!U7*'Output-Calculation-sheet'!U79</f>
        <v>240068762.89283055</v>
      </c>
      <c r="V96" s="2">
        <f>V8/'Output-Calculation-sheet'!V7*'Output-Calculation-sheet'!V79</f>
        <v>110183203.48160554</v>
      </c>
      <c r="W96" s="2">
        <f>W8/'Output-Calculation-sheet'!W7*'Output-Calculation-sheet'!W79</f>
        <v>339244124.32789201</v>
      </c>
      <c r="X96" s="2">
        <f>X8/'Output-Calculation-sheet'!X7*'Output-Calculation-sheet'!X79</f>
        <v>153005780.80510575</v>
      </c>
      <c r="Y96" s="2">
        <f>Y8/'Output-Calculation-sheet'!Y7*'Output-Calculation-sheet'!Y79</f>
        <v>210564103.63807791</v>
      </c>
      <c r="AA96" s="2">
        <f t="shared" si="8"/>
        <v>37.401583539584365</v>
      </c>
    </row>
    <row r="97" spans="1:27" x14ac:dyDescent="0.25">
      <c r="A97" s="2">
        <v>2032</v>
      </c>
      <c r="B97" s="2">
        <f>B9/'Output-Calculation-sheet'!B8*'Output-Calculation-sheet'!B80</f>
        <v>12272446711.648697</v>
      </c>
      <c r="C97" s="2">
        <f>C9/'Output-Calculation-sheet'!C8*'Output-Calculation-sheet'!C80</f>
        <v>2898534822.212769</v>
      </c>
      <c r="D97" s="2">
        <f>D9/'Output-Calculation-sheet'!D8*'Output-Calculation-sheet'!D80</f>
        <v>2214156158.1621933</v>
      </c>
      <c r="E97" s="2">
        <f>E9/'Output-Calculation-sheet'!E8*'Output-Calculation-sheet'!E80</f>
        <v>9321283100.8719501</v>
      </c>
      <c r="F97" s="2">
        <f>F9/'Output-Calculation-sheet'!F8*'Output-Calculation-sheet'!F80</f>
        <v>2556215769.4108963</v>
      </c>
      <c r="G97" s="2">
        <f>G9/'Output-Calculation-sheet'!G8*'Output-Calculation-sheet'!G80</f>
        <v>1566312794.2765849</v>
      </c>
      <c r="H97" s="2">
        <f>H9/'Output-Calculation-sheet'!H8*'Output-Calculation-sheet'!H80</f>
        <v>2050865497.0719459</v>
      </c>
      <c r="I97" s="2">
        <f>I9/'Output-Calculation-sheet'!I8*'Output-Calculation-sheet'!I80</f>
        <v>1181294108.3806849</v>
      </c>
      <c r="J97" s="2">
        <f>J9/'Output-Calculation-sheet'!J8*'Output-Calculation-sheet'!J80</f>
        <v>882752398.09048784</v>
      </c>
      <c r="K97" s="2">
        <f>K9/'Output-Calculation-sheet'!K8*'Output-Calculation-sheet'!K80</f>
        <v>1088733487.2760649</v>
      </c>
      <c r="L97" s="2">
        <f>L9/'Output-Calculation-sheet'!L8*'Output-Calculation-sheet'!L80</f>
        <v>1050159015.9502633</v>
      </c>
      <c r="M97" s="2">
        <f>M9/'Output-Calculation-sheet'!M8*'Output-Calculation-sheet'!M80</f>
        <v>1617993957.1877742</v>
      </c>
      <c r="N97" s="2">
        <f>N9/'Output-Calculation-sheet'!N8*'Output-Calculation-sheet'!N80</f>
        <v>1016593667.6753343</v>
      </c>
      <c r="O97" s="2">
        <f>O9/'Output-Calculation-sheet'!O8*'Output-Calculation-sheet'!O80</f>
        <v>377885621.96527594</v>
      </c>
      <c r="P97" s="2">
        <f>P9/'Output-Calculation-sheet'!P8*'Output-Calculation-sheet'!P80</f>
        <v>1905867368.9441819</v>
      </c>
      <c r="Q97" s="2">
        <f>Q9/'Output-Calculation-sheet'!Q8*'Output-Calculation-sheet'!Q80</f>
        <v>824353744.74333668</v>
      </c>
      <c r="R97" s="2">
        <f>R9/'Output-Calculation-sheet'!R8*'Output-Calculation-sheet'!R80</f>
        <v>1104640196.4524529</v>
      </c>
      <c r="S97" s="2">
        <f>S9/'Output-Calculation-sheet'!S8*'Output-Calculation-sheet'!S80</f>
        <v>614800125.42469203</v>
      </c>
      <c r="T97" s="2">
        <f>T9/'Output-Calculation-sheet'!T8*'Output-Calculation-sheet'!T80</f>
        <v>358485775.62516636</v>
      </c>
      <c r="U97" s="2">
        <f>U9/'Output-Calculation-sheet'!U8*'Output-Calculation-sheet'!U80</f>
        <v>285255385.51498407</v>
      </c>
      <c r="V97" s="2">
        <f>V9/'Output-Calculation-sheet'!V8*'Output-Calculation-sheet'!V80</f>
        <v>131576314.900672</v>
      </c>
      <c r="W97" s="2">
        <f>W9/'Output-Calculation-sheet'!W8*'Output-Calculation-sheet'!W80</f>
        <v>407161594.49039096</v>
      </c>
      <c r="X97" s="2">
        <f>X9/'Output-Calculation-sheet'!X8*'Output-Calculation-sheet'!X80</f>
        <v>197200702.1124475</v>
      </c>
      <c r="Y97" s="2">
        <f>Y9/'Output-Calculation-sheet'!Y8*'Output-Calculation-sheet'!Y80</f>
        <v>258866647.76582807</v>
      </c>
      <c r="AA97" s="2">
        <f t="shared" si="8"/>
        <v>46.183434966155083</v>
      </c>
    </row>
    <row r="98" spans="1:27" x14ac:dyDescent="0.25">
      <c r="A98" s="2">
        <v>2033</v>
      </c>
      <c r="B98" s="2">
        <f>B10/'Output-Calculation-sheet'!B9*'Output-Calculation-sheet'!B81</f>
        <v>13723010245.51198</v>
      </c>
      <c r="C98" s="2">
        <f>C10/'Output-Calculation-sheet'!C9*'Output-Calculation-sheet'!C81</f>
        <v>3177715722.8365088</v>
      </c>
      <c r="D98" s="2">
        <f>D10/'Output-Calculation-sheet'!D9*'Output-Calculation-sheet'!D81</f>
        <v>2286028154.3209395</v>
      </c>
      <c r="E98" s="2">
        <f>E10/'Output-Calculation-sheet'!E9*'Output-Calculation-sheet'!E81</f>
        <v>10790935429.933912</v>
      </c>
      <c r="F98" s="2">
        <f>F10/'Output-Calculation-sheet'!F9*'Output-Calculation-sheet'!F81</f>
        <v>2780291613.0728445</v>
      </c>
      <c r="G98" s="2">
        <f>G10/'Output-Calculation-sheet'!G9*'Output-Calculation-sheet'!G81</f>
        <v>1624306498.088665</v>
      </c>
      <c r="H98" s="2">
        <f>H10/'Output-Calculation-sheet'!H9*'Output-Calculation-sheet'!H81</f>
        <v>2261286295.8615828</v>
      </c>
      <c r="I98" s="2">
        <f>I10/'Output-Calculation-sheet'!I9*'Output-Calculation-sheet'!I81</f>
        <v>1288686774.368727</v>
      </c>
      <c r="J98" s="2">
        <f>J10/'Output-Calculation-sheet'!J9*'Output-Calculation-sheet'!J81</f>
        <v>950653225.89478481</v>
      </c>
      <c r="K98" s="2">
        <f>K10/'Output-Calculation-sheet'!K9*'Output-Calculation-sheet'!K81</f>
        <v>1151194561.5265665</v>
      </c>
      <c r="L98" s="2">
        <f>L10/'Output-Calculation-sheet'!L9*'Output-Calculation-sheet'!L81</f>
        <v>1179861828.490562</v>
      </c>
      <c r="M98" s="2">
        <f>M10/'Output-Calculation-sheet'!M9*'Output-Calculation-sheet'!M81</f>
        <v>1828368101.7600877</v>
      </c>
      <c r="N98" s="2">
        <f>N10/'Output-Calculation-sheet'!N9*'Output-Calculation-sheet'!N81</f>
        <v>1111125432.6616127</v>
      </c>
      <c r="O98" s="2">
        <f>O10/'Output-Calculation-sheet'!O9*'Output-Calculation-sheet'!O81</f>
        <v>409815862.45987105</v>
      </c>
      <c r="P98" s="2">
        <f>P10/'Output-Calculation-sheet'!P9*'Output-Calculation-sheet'!P81</f>
        <v>2033114130.6219125</v>
      </c>
      <c r="Q98" s="2">
        <f>Q10/'Output-Calculation-sheet'!Q9*'Output-Calculation-sheet'!Q81</f>
        <v>903378446.39858019</v>
      </c>
      <c r="R98" s="2">
        <f>R10/'Output-Calculation-sheet'!R9*'Output-Calculation-sheet'!R81</f>
        <v>1219359898.9804394</v>
      </c>
      <c r="S98" s="2">
        <f>S10/'Output-Calculation-sheet'!S9*'Output-Calculation-sheet'!S81</f>
        <v>669670943.48323905</v>
      </c>
      <c r="T98" s="2">
        <f>T10/'Output-Calculation-sheet'!T9*'Output-Calculation-sheet'!T81</f>
        <v>377301401.76109618</v>
      </c>
      <c r="U98" s="2">
        <f>U10/'Output-Calculation-sheet'!U9*'Output-Calculation-sheet'!U81</f>
        <v>303173226.89315099</v>
      </c>
      <c r="V98" s="2">
        <f>V10/'Output-Calculation-sheet'!V9*'Output-Calculation-sheet'!V81</f>
        <v>140807610.56330889</v>
      </c>
      <c r="W98" s="2">
        <f>W10/'Output-Calculation-sheet'!W9*'Output-Calculation-sheet'!W81</f>
        <v>435448134.81549567</v>
      </c>
      <c r="X98" s="2">
        <f>X10/'Output-Calculation-sheet'!X9*'Output-Calculation-sheet'!X81</f>
        <v>228276768.27876532</v>
      </c>
      <c r="Y98" s="2">
        <f>Y10/'Output-Calculation-sheet'!Y9*'Output-Calculation-sheet'!Y81</f>
        <v>284199617.96546358</v>
      </c>
      <c r="AA98" s="2">
        <f t="shared" si="8"/>
        <v>51.158009926550079</v>
      </c>
    </row>
    <row r="99" spans="1:27" x14ac:dyDescent="0.25">
      <c r="A99" s="2">
        <v>2034</v>
      </c>
      <c r="B99" s="2">
        <f>B11/'Output-Calculation-sheet'!B10*'Output-Calculation-sheet'!B82</f>
        <v>14088399029.986662</v>
      </c>
      <c r="C99" s="2">
        <f>C11/'Output-Calculation-sheet'!C10*'Output-Calculation-sheet'!C82</f>
        <v>3206988071.2611361</v>
      </c>
      <c r="D99" s="2">
        <f>D11/'Output-Calculation-sheet'!D10*'Output-Calculation-sheet'!D82</f>
        <v>2175383469.0128064</v>
      </c>
      <c r="E99" s="2">
        <f>E11/'Output-Calculation-sheet'!E10*'Output-Calculation-sheet'!E82</f>
        <v>11481312885.956322</v>
      </c>
      <c r="F99" s="2">
        <f>F11/'Output-Calculation-sheet'!F10*'Output-Calculation-sheet'!F82</f>
        <v>2779122822.3926296</v>
      </c>
      <c r="G99" s="2">
        <f>G11/'Output-Calculation-sheet'!G10*'Output-Calculation-sheet'!G82</f>
        <v>1546752314.5350127</v>
      </c>
      <c r="H99" s="2">
        <f>H11/'Output-Calculation-sheet'!H10*'Output-Calculation-sheet'!H82</f>
        <v>2288793788.6010928</v>
      </c>
      <c r="I99" s="2">
        <f>I11/'Output-Calculation-sheet'!I10*'Output-Calculation-sheet'!I82</f>
        <v>1294209601.5587461</v>
      </c>
      <c r="J99" s="2">
        <f>J11/'Output-Calculation-sheet'!J10*'Output-Calculation-sheet'!J82</f>
        <v>943469784.07518554</v>
      </c>
      <c r="K99" s="2">
        <f>K11/'Output-Calculation-sheet'!K10*'Output-Calculation-sheet'!K82</f>
        <v>1120234624.5595481</v>
      </c>
      <c r="L99" s="2">
        <f>L11/'Output-Calculation-sheet'!L10*'Output-Calculation-sheet'!L82</f>
        <v>1219475641.7087655</v>
      </c>
      <c r="M99" s="2">
        <f>M11/'Output-Calculation-sheet'!M10*'Output-Calculation-sheet'!M82</f>
        <v>1900982586.1688602</v>
      </c>
      <c r="N99" s="2">
        <f>N11/'Output-Calculation-sheet'!N10*'Output-Calculation-sheet'!N82</f>
        <v>1118481689.9921556</v>
      </c>
      <c r="O99" s="2">
        <f>O11/'Output-Calculation-sheet'!O10*'Output-Calculation-sheet'!O82</f>
        <v>409920957.7795707</v>
      </c>
      <c r="P99" s="2">
        <f>P11/'Output-Calculation-sheet'!P10*'Output-Calculation-sheet'!P82</f>
        <v>1981415994.7542737</v>
      </c>
      <c r="Q99" s="2">
        <f>Q11/'Output-Calculation-sheet'!Q10*'Output-Calculation-sheet'!Q82</f>
        <v>911427955.0481863</v>
      </c>
      <c r="R99" s="2">
        <f>R11/'Output-Calculation-sheet'!R10*'Output-Calculation-sheet'!R82</f>
        <v>1236330499.3655291</v>
      </c>
      <c r="S99" s="2">
        <f>S11/'Output-Calculation-sheet'!S10*'Output-Calculation-sheet'!S82</f>
        <v>669985737.42542171</v>
      </c>
      <c r="T99" s="2">
        <f>T11/'Output-Calculation-sheet'!T10*'Output-Calculation-sheet'!T82</f>
        <v>364833745.81041056</v>
      </c>
      <c r="U99" s="2">
        <f>U11/'Output-Calculation-sheet'!U10*'Output-Calculation-sheet'!U82</f>
        <v>295674255.79149342</v>
      </c>
      <c r="V99" s="2">
        <f>V11/'Output-Calculation-sheet'!V10*'Output-Calculation-sheet'!V82</f>
        <v>138499948.32119241</v>
      </c>
      <c r="W99" s="2">
        <f>W11/'Output-Calculation-sheet'!W10*'Output-Calculation-sheet'!W82</f>
        <v>425748686.18099952</v>
      </c>
      <c r="X99" s="2">
        <f>X11/'Output-Calculation-sheet'!X10*'Output-Calculation-sheet'!X82</f>
        <v>243331900.9213202</v>
      </c>
      <c r="Y99" s="2">
        <f>Y11/'Output-Calculation-sheet'!Y10*'Output-Calculation-sheet'!Y82</f>
        <v>285763424.44360691</v>
      </c>
      <c r="AA99" s="2">
        <f t="shared" si="8"/>
        <v>52.126539415650925</v>
      </c>
    </row>
    <row r="100" spans="1:27" x14ac:dyDescent="0.25">
      <c r="A100" s="2">
        <v>2035</v>
      </c>
      <c r="B100" s="2">
        <f>B12/'Output-Calculation-sheet'!B11*'Output-Calculation-sheet'!B83</f>
        <v>13482202153.872648</v>
      </c>
      <c r="C100" s="2">
        <f>C12/'Output-Calculation-sheet'!C11*'Output-Calculation-sheet'!C83</f>
        <v>3025450862.9160767</v>
      </c>
      <c r="D100" s="2">
        <f>D12/'Output-Calculation-sheet'!D11*'Output-Calculation-sheet'!D83</f>
        <v>1938044143.8354077</v>
      </c>
      <c r="E100" s="2">
        <f>E12/'Output-Calculation-sheet'!E11*'Output-Calculation-sheet'!E83</f>
        <v>11396814011.612629</v>
      </c>
      <c r="F100" s="2">
        <f>F12/'Output-Calculation-sheet'!F11*'Output-Calculation-sheet'!F83</f>
        <v>2592912060.9114323</v>
      </c>
      <c r="G100" s="2">
        <f>G12/'Output-Calculation-sheet'!G11*'Output-Calculation-sheet'!G83</f>
        <v>1374161110.6755686</v>
      </c>
      <c r="H100" s="2">
        <f>H12/'Output-Calculation-sheet'!H11*'Output-Calculation-sheet'!H83</f>
        <v>2159365232.565413</v>
      </c>
      <c r="I100" s="2">
        <f>I12/'Output-Calculation-sheet'!I11*'Output-Calculation-sheet'!I83</f>
        <v>1215179245.0948749</v>
      </c>
      <c r="J100" s="2">
        <f>J12/'Output-Calculation-sheet'!J11*'Output-Calculation-sheet'!J83</f>
        <v>876287717.48376858</v>
      </c>
      <c r="K100" s="2">
        <f>K12/'Output-Calculation-sheet'!K11*'Output-Calculation-sheet'!K83</f>
        <v>1019040722.6662331</v>
      </c>
      <c r="L100" s="2">
        <f>L12/'Output-Calculation-sheet'!L11*'Output-Calculation-sheet'!L83</f>
        <v>1177347985.1771753</v>
      </c>
      <c r="M100" s="2">
        <f>M12/'Output-Calculation-sheet'!M11*'Output-Calculation-sheet'!M83</f>
        <v>1846354373.7279739</v>
      </c>
      <c r="N100" s="2">
        <f>N12/'Output-Calculation-sheet'!N11*'Output-Calculation-sheet'!N83</f>
        <v>1053018570.5309367</v>
      </c>
      <c r="O100" s="2">
        <f>O12/'Output-Calculation-sheet'!O11*'Output-Calculation-sheet'!O83</f>
        <v>384002766.96660817</v>
      </c>
      <c r="P100" s="2">
        <f>P12/'Output-Calculation-sheet'!P11*'Output-Calculation-sheet'!P83</f>
        <v>1792736492.4103098</v>
      </c>
      <c r="Q100" s="2">
        <f>Q12/'Output-Calculation-sheet'!Q11*'Output-Calculation-sheet'!Q83</f>
        <v>859617019.98967028</v>
      </c>
      <c r="R100" s="2">
        <f>R12/'Output-Calculation-sheet'!R11*'Output-Calculation-sheet'!R83</f>
        <v>1169143119.2570381</v>
      </c>
      <c r="S100" s="2">
        <f>S12/'Output-Calculation-sheet'!S11*'Output-Calculation-sheet'!S83</f>
        <v>625197338.59586012</v>
      </c>
      <c r="T100" s="2">
        <f>T12/'Output-Calculation-sheet'!T11*'Output-Calculation-sheet'!T83</f>
        <v>329292049.65921772</v>
      </c>
      <c r="U100" s="2">
        <f>U12/'Output-Calculation-sheet'!U11*'Output-Calculation-sheet'!U83</f>
        <v>268820382.09727031</v>
      </c>
      <c r="V100" s="2">
        <f>V12/'Output-Calculation-sheet'!V11*'Output-Calculation-sheet'!V83</f>
        <v>127170269.90077648</v>
      </c>
      <c r="W100" s="2">
        <f>W12/'Output-Calculation-sheet'!W11*'Output-Calculation-sheet'!W83</f>
        <v>386686172.77679384</v>
      </c>
      <c r="X100" s="2">
        <f>X12/'Output-Calculation-sheet'!X11*'Output-Calculation-sheet'!X83</f>
        <v>242494738.90464905</v>
      </c>
      <c r="Y100" s="2">
        <f>Y12/'Output-Calculation-sheet'!Y11*'Output-Calculation-sheet'!Y83</f>
        <v>267302974.29821709</v>
      </c>
      <c r="AA100" s="2">
        <f t="shared" si="8"/>
        <v>49.608641515926543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2034.8692887181605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626.39587845721155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431.0213249266759</v>
      </c>
      <c r="N107" s="2">
        <f>N8/'Output-Calculation-sheet'!N7*'Output-Calculation-sheet'!N88</f>
        <v>169.44962461876187</v>
      </c>
      <c r="O107" s="2">
        <f>O8/'Output-Calculation-sheet'!O7*'Output-Calculation-sheet'!O88</f>
        <v>474.3822870167711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47.283935796424451</v>
      </c>
      <c r="Y107" s="2">
        <f>Y8/'Output-Calculation-sheet'!Y7*'Output-Calculation-sheet'!Y88</f>
        <v>0</v>
      </c>
      <c r="AA107" s="2">
        <f t="shared" si="9"/>
        <v>3.7834023395340051</v>
      </c>
    </row>
    <row r="108" spans="1:27" x14ac:dyDescent="0.25">
      <c r="A108" s="2">
        <v>2032</v>
      </c>
      <c r="B108" s="2">
        <f>B9/'Output-Calculation-sheet'!B8*'Output-Calculation-sheet'!B89</f>
        <v>934.09617634255892</v>
      </c>
      <c r="C108" s="2">
        <f>C9/'Output-Calculation-sheet'!C8*'Output-Calculation-sheet'!C89</f>
        <v>3546.7493225968597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955.32451331097775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657.35623688391911</v>
      </c>
      <c r="N108" s="2">
        <f>N9/'Output-Calculation-sheet'!N8*'Output-Calculation-sheet'!N89</f>
        <v>461.48183867920807</v>
      </c>
      <c r="O108" s="2">
        <f>O9/'Output-Calculation-sheet'!O8*'Output-Calculation-sheet'!O89</f>
        <v>689.0348618692525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211.62985685451818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72.113346376739173</v>
      </c>
      <c r="Y108" s="2">
        <f>Y9/'Output-Calculation-sheet'!Y8*'Output-Calculation-sheet'!Y89</f>
        <v>0</v>
      </c>
      <c r="AA108" s="2">
        <f t="shared" si="9"/>
        <v>7.5277861529140324</v>
      </c>
    </row>
    <row r="109" spans="1:27" x14ac:dyDescent="0.25">
      <c r="A109" s="2">
        <v>2033</v>
      </c>
      <c r="B109" s="2">
        <f>B10/'Output-Calculation-sheet'!B9*'Output-Calculation-sheet'!B90</f>
        <v>4770.9408170117795</v>
      </c>
      <c r="C109" s="2">
        <f>C10/'Output-Calculation-sheet'!C9*'Output-Calculation-sheet'!C90</f>
        <v>4528.7978742032428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1394.1044461650458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959.27953254129523</v>
      </c>
      <c r="N109" s="2">
        <f>N10/'Output-Calculation-sheet'!N9*'Output-Calculation-sheet'!N90</f>
        <v>754.25296751262283</v>
      </c>
      <c r="O109" s="2">
        <f>O10/'Output-Calculation-sheet'!O9*'Output-Calculation-sheet'!O90</f>
        <v>879.81961335813492</v>
      </c>
      <c r="P109" s="2">
        <f>P10/'Output-Calculation-sheet'!P9*'Output-Calculation-sheet'!P90</f>
        <v>0</v>
      </c>
      <c r="Q109" s="2">
        <f>Q10/'Output-Calculation-sheet'!Q9*'Output-Calculation-sheet'!Q90</f>
        <v>165.21027007452301</v>
      </c>
      <c r="R109" s="2">
        <f>R10/'Output-Calculation-sheet'!R9*'Output-Calculation-sheet'!R90</f>
        <v>0</v>
      </c>
      <c r="S109" s="2">
        <f>S10/'Output-Calculation-sheet'!S9*'Output-Calculation-sheet'!S90</f>
        <v>378.31835918826948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105.23495986010188</v>
      </c>
      <c r="Y109" s="2">
        <f>Y10/'Output-Calculation-sheet'!Y9*'Output-Calculation-sheet'!Y90</f>
        <v>0</v>
      </c>
      <c r="AA109" s="2">
        <f t="shared" si="9"/>
        <v>13.935958839915015</v>
      </c>
    </row>
    <row r="110" spans="1:27" x14ac:dyDescent="0.25">
      <c r="A110" s="2">
        <v>2034</v>
      </c>
      <c r="B110" s="2">
        <f>B11/'Output-Calculation-sheet'!B10*'Output-Calculation-sheet'!B91</f>
        <v>8328.0039918255497</v>
      </c>
      <c r="C110" s="2">
        <f>C11/'Output-Calculation-sheet'!C10*'Output-Calculation-sheet'!C91</f>
        <v>5709.402760430582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1622.3365352854521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1116.3254212941861</v>
      </c>
      <c r="N110" s="2">
        <f>N11/'Output-Calculation-sheet'!N10*'Output-Calculation-sheet'!N91</f>
        <v>1005.7362783671755</v>
      </c>
      <c r="O110" s="2">
        <f>O11/'Output-Calculation-sheet'!O10*'Output-Calculation-sheet'!O91</f>
        <v>1109.1783446112945</v>
      </c>
      <c r="P110" s="2">
        <f>P11/'Output-Calculation-sheet'!P10*'Output-Calculation-sheet'!P91</f>
        <v>253.39736253156329</v>
      </c>
      <c r="Q110" s="2">
        <f>Q11/'Output-Calculation-sheet'!Q10*'Output-Calculation-sheet'!Q91</f>
        <v>560.75024997380069</v>
      </c>
      <c r="R110" s="2">
        <f>R11/'Output-Calculation-sheet'!R10*'Output-Calculation-sheet'!R91</f>
        <v>0</v>
      </c>
      <c r="S110" s="2">
        <f>S11/'Output-Calculation-sheet'!S10*'Output-Calculation-sheet'!S91</f>
        <v>576.52275448535113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122.46322048536759</v>
      </c>
      <c r="Y110" s="2">
        <f>Y11/'Output-Calculation-sheet'!Y10*'Output-Calculation-sheet'!Y91</f>
        <v>19.696558378533847</v>
      </c>
      <c r="AA110" s="2">
        <f t="shared" si="9"/>
        <v>20.423813477668855</v>
      </c>
    </row>
    <row r="111" spans="1:27" x14ac:dyDescent="0.25">
      <c r="A111" s="2">
        <v>2035</v>
      </c>
      <c r="B111" s="2">
        <f>B12/'Output-Calculation-sheet'!B11*'Output-Calculation-sheet'!B92</f>
        <v>12017.951846437743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2007.799533997015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705.22443832289218</v>
      </c>
      <c r="Q111" s="2">
        <f>Q12/'Output-Calculation-sheet'!Q11*'Output-Calculation-sheet'!Q92</f>
        <v>817.46304685643167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54.817043794863416</v>
      </c>
      <c r="AA111" s="2">
        <f t="shared" si="9"/>
        <v>28.22138127308293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9565883528.6406422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2943225976.5783782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2044324068.3040435</v>
      </c>
      <c r="N118" s="2">
        <f>N8/'Output-Calculation-sheet'!N7*'Output-Calculation-sheet'!N97</f>
        <v>1604211505.6107142</v>
      </c>
      <c r="O118" s="2">
        <f>O8/'Output-Calculation-sheet'!O7*'Output-Calculation-sheet'!O97</f>
        <v>1067460772.3334658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580704044.80554199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220339333.5333907</v>
      </c>
      <c r="Y118" s="2">
        <f>Y8/'Output-Calculation-sheet'!Y7*'Output-Calculation-sheet'!Y97</f>
        <v>0</v>
      </c>
      <c r="AA118" s="2">
        <f t="shared" si="10"/>
        <v>19657.964191052823</v>
      </c>
    </row>
    <row r="119" spans="1:27" x14ac:dyDescent="0.25">
      <c r="A119" s="2">
        <v>2032</v>
      </c>
      <c r="B119" s="2">
        <f>B9/'Output-Calculation-sheet'!B8*'Output-Calculation-sheet'!B98</f>
        <v>7007638039.3985701</v>
      </c>
      <c r="C119" s="2">
        <f>C9/'Output-Calculation-sheet'!C8*'Output-Calculation-sheet'!C98</f>
        <v>5569812257.3511381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3329646230.0140929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2324105537.8229151</v>
      </c>
      <c r="N119" s="2">
        <f>N9/'Output-Calculation-sheet'!N8*'Output-Calculation-sheet'!N98</f>
        <v>1569528501.0470212</v>
      </c>
      <c r="O119" s="2">
        <f>O9/'Output-Calculation-sheet'!O8*'Output-Calculation-sheet'!O98</f>
        <v>1088238394.7240784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651567721.05850279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248687624.56051227</v>
      </c>
      <c r="Y119" s="2">
        <f>Y9/'Output-Calculation-sheet'!Y8*'Output-Calculation-sheet'!Y98</f>
        <v>0</v>
      </c>
      <c r="AA119" s="2">
        <f t="shared" si="10"/>
        <v>21789.22430597683</v>
      </c>
    </row>
    <row r="120" spans="1:27" x14ac:dyDescent="0.25">
      <c r="A120" s="2">
        <v>2033</v>
      </c>
      <c r="B120" s="2">
        <f>B10/'Output-Calculation-sheet'!B9*'Output-Calculation-sheet'!B99</f>
        <v>6863634077.6452436</v>
      </c>
      <c r="C120" s="2">
        <f>C10/'Output-Calculation-sheet'!C9*'Output-Calculation-sheet'!C99</f>
        <v>5642333402.1122236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1849987463.2125444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1309436495.0000637</v>
      </c>
      <c r="N120" s="2">
        <f>N10/'Output-Calculation-sheet'!N9*'Output-Calculation-sheet'!N99</f>
        <v>1305630253.3138838</v>
      </c>
      <c r="O120" s="2">
        <f>O10/'Output-Calculation-sheet'!O9*'Output-Calculation-sheet'!O99</f>
        <v>1104647346.2082233</v>
      </c>
      <c r="P120" s="2">
        <f>P10/'Output-Calculation-sheet'!P9*'Output-Calculation-sheet'!P99</f>
        <v>0</v>
      </c>
      <c r="Q120" s="2">
        <f>Q10/'Output-Calculation-sheet'!Q9*'Output-Calculation-sheet'!Q99</f>
        <v>7981005.843616995</v>
      </c>
      <c r="R120" s="2">
        <f>R10/'Output-Calculation-sheet'!R9*'Output-Calculation-sheet'!R99</f>
        <v>0</v>
      </c>
      <c r="S120" s="2">
        <f>S10/'Output-Calculation-sheet'!S9*'Output-Calculation-sheet'!S99</f>
        <v>546840868.89463091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-9.0333711151543952E-9</v>
      </c>
      <c r="W120" s="2">
        <f>W10/'Output-Calculation-sheet'!W9*'Output-Calculation-sheet'!W99</f>
        <v>0</v>
      </c>
      <c r="X120" s="2">
        <f>X10/'Output-Calculation-sheet'!X9*'Output-Calculation-sheet'!X99</f>
        <v>130753043.6046304</v>
      </c>
      <c r="Y120" s="2">
        <f>Y10/'Output-Calculation-sheet'!Y9*'Output-Calculation-sheet'!Y99</f>
        <v>0</v>
      </c>
      <c r="AA120" s="2">
        <f t="shared" si="10"/>
        <v>18761.243955835056</v>
      </c>
    </row>
    <row r="121" spans="1:27" x14ac:dyDescent="0.25">
      <c r="A121" s="2">
        <v>2034</v>
      </c>
      <c r="B121" s="2">
        <f>B11/'Output-Calculation-sheet'!B10*'Output-Calculation-sheet'!B100</f>
        <v>6243932409.3268948</v>
      </c>
      <c r="C121" s="2">
        <f>C11/'Output-Calculation-sheet'!C10*'Output-Calculation-sheet'!C100</f>
        <v>749524804.7642467</v>
      </c>
      <c r="D121" s="2">
        <f>D11/'Output-Calculation-sheet'!D10*'Output-Calculation-sheet'!D100</f>
        <v>0</v>
      </c>
      <c r="E121" s="2">
        <f>E11/'Output-Calculation-sheet'!E10*'Output-Calculation-sheet'!E100</f>
        <v>866979404.50376809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1973568883.6238103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720371659.71295905</v>
      </c>
      <c r="M121" s="2">
        <f>M11/'Output-Calculation-sheet'!M10*'Output-Calculation-sheet'!M100</f>
        <v>1404581425.1559446</v>
      </c>
      <c r="N121" s="2">
        <f>N11/'Output-Calculation-sheet'!N10*'Output-Calculation-sheet'!N100</f>
        <v>936403051.66736102</v>
      </c>
      <c r="O121" s="2">
        <f>O11/'Output-Calculation-sheet'!O10*'Output-Calculation-sheet'!O100</f>
        <v>147021755.78876823</v>
      </c>
      <c r="P121" s="2">
        <f>P11/'Output-Calculation-sheet'!P10*'Output-Calculation-sheet'!P100</f>
        <v>0</v>
      </c>
      <c r="Q121" s="2">
        <f>Q11/'Output-Calculation-sheet'!Q10*'Output-Calculation-sheet'!Q100</f>
        <v>318179991.32952178</v>
      </c>
      <c r="R121" s="2">
        <f>R11/'Output-Calculation-sheet'!R10*'Output-Calculation-sheet'!R100</f>
        <v>0</v>
      </c>
      <c r="S121" s="2">
        <f>S11/'Output-Calculation-sheet'!S10*'Output-Calculation-sheet'!S100</f>
        <v>350114168.89248574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138009952.8331756</v>
      </c>
      <c r="Y121" s="2">
        <f>Y11/'Output-Calculation-sheet'!Y10*'Output-Calculation-sheet'!Y100</f>
        <v>20029033.725968905</v>
      </c>
      <c r="AA121" s="2">
        <f t="shared" si="10"/>
        <v>13868.716541324906</v>
      </c>
    </row>
    <row r="122" spans="1:27" x14ac:dyDescent="0.25">
      <c r="A122" s="2">
        <v>2035</v>
      </c>
      <c r="B122" s="2">
        <f>B12/'Output-Calculation-sheet'!B11*'Output-Calculation-sheet'!B101</f>
        <v>3103850113.2066026</v>
      </c>
      <c r="C122" s="2">
        <f>C12/'Output-Calculation-sheet'!C11*'Output-Calculation-sheet'!C101</f>
        <v>269818106.13434637</v>
      </c>
      <c r="D122" s="2">
        <f>D12/'Output-Calculation-sheet'!D11*'Output-Calculation-sheet'!D101</f>
        <v>0</v>
      </c>
      <c r="E122" s="2">
        <f>E12/'Output-Calculation-sheet'!E11*'Output-Calculation-sheet'!E101</f>
        <v>2416937300.8929119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457511155.62942159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1677591900.0775845</v>
      </c>
      <c r="M122" s="2">
        <f>M12/'Output-Calculation-sheet'!M11*'Output-Calculation-sheet'!M101</f>
        <v>419700770.85985154</v>
      </c>
      <c r="N122" s="2">
        <f>N12/'Output-Calculation-sheet'!N11*'Output-Calculation-sheet'!N101</f>
        <v>348862277.66433525</v>
      </c>
      <c r="O122" s="2">
        <f>O12/'Output-Calculation-sheet'!O11*'Output-Calculation-sheet'!O101</f>
        <v>47840358.552395426</v>
      </c>
      <c r="P122" s="2">
        <f>P12/'Output-Calculation-sheet'!P11*'Output-Calculation-sheet'!P101</f>
        <v>108576171.3490137</v>
      </c>
      <c r="Q122" s="2">
        <f>Q12/'Output-Calculation-sheet'!Q11*'Output-Calculation-sheet'!Q101</f>
        <v>536403133.71686876</v>
      </c>
      <c r="R122" s="2">
        <f>R12/'Output-Calculation-sheet'!R11*'Output-Calculation-sheet'!R101</f>
        <v>0</v>
      </c>
      <c r="S122" s="2">
        <f>S12/'Output-Calculation-sheet'!S11*'Output-Calculation-sheet'!S101</f>
        <v>145738585.22046584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13477252.42054598</v>
      </c>
      <c r="Y122" s="2">
        <f>Y12/'Output-Calculation-sheet'!Y11*'Output-Calculation-sheet'!Y101</f>
        <v>62165838.043292589</v>
      </c>
      <c r="AA122" s="2">
        <f t="shared" si="10"/>
        <v>9608.4729637676373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2662052502.4385109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2671538423.3365617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174981.22023894812</v>
      </c>
    </row>
    <row r="130" spans="1:27" x14ac:dyDescent="0.25">
      <c r="A130" s="2">
        <v>2032</v>
      </c>
      <c r="B130" s="2">
        <f>B9/'Output-Calculation-sheet'!B8*'Output-Calculation-sheet'!B107</f>
        <v>63415110069.222618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2307051994.466361</v>
      </c>
      <c r="O130" s="2">
        <f>O9/'Output-Calculation-sheet'!O8*'Output-Calculation-sheet'!O107</f>
        <v>0</v>
      </c>
      <c r="P130" s="2">
        <f>P9/'Output-Calculation-sheet'!P8*'Output-Calculation-sheet'!P107</f>
        <v>7039650157.8561563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2049724487.9262395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223331.86921511168</v>
      </c>
    </row>
    <row r="131" spans="1:27" x14ac:dyDescent="0.25">
      <c r="A131" s="2">
        <v>2033</v>
      </c>
      <c r="B131" s="2">
        <f>B10/'Output-Calculation-sheet'!B9*'Output-Calculation-sheet'!B108</f>
        <v>51200621563.3041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1875868761.0495024</v>
      </c>
      <c r="O131" s="2">
        <f>O10/'Output-Calculation-sheet'!O9*'Output-Calculation-sheet'!O108</f>
        <v>0</v>
      </c>
      <c r="P131" s="2">
        <f>P10/'Output-Calculation-sheet'!P9*'Output-Calculation-sheet'!P108</f>
        <v>8628845386.368763</v>
      </c>
      <c r="Q131" s="2">
        <f>Q10/'Output-Calculation-sheet'!Q9*'Output-Calculation-sheet'!Q108</f>
        <v>7279064729.6450624</v>
      </c>
      <c r="R131" s="2">
        <f>R10/'Output-Calculation-sheet'!R9*'Output-Calculation-sheet'!R108</f>
        <v>8167276214.1709042</v>
      </c>
      <c r="S131" s="2">
        <f>S10/'Output-Calculation-sheet'!S9*'Output-Calculation-sheet'!S108</f>
        <v>1819584967.6127303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244372.1836031703</v>
      </c>
    </row>
    <row r="132" spans="1:27" x14ac:dyDescent="0.25">
      <c r="A132" s="2">
        <v>2034</v>
      </c>
      <c r="B132" s="2">
        <f>B11/'Output-Calculation-sheet'!B10*'Output-Calculation-sheet'!B109</f>
        <v>36290196719.495811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35035638282.483124</v>
      </c>
      <c r="F132" s="2">
        <f>F11/'Output-Calculation-sheet'!F10*'Output-Calculation-sheet'!F109</f>
        <v>23107842838.126125</v>
      </c>
      <c r="G132" s="2">
        <f>G11/'Output-Calculation-sheet'!G10*'Output-Calculation-sheet'!G109</f>
        <v>16190983436.967903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14397633243.063169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10718873315.003077</v>
      </c>
      <c r="M132" s="2">
        <f>M11/'Output-Calculation-sheet'!M10*'Output-Calculation-sheet'!M109</f>
        <v>0</v>
      </c>
      <c r="N132" s="2">
        <f>N11/'Output-Calculation-sheet'!N10*'Output-Calculation-sheet'!N109</f>
        <v>1409465181.0059791</v>
      </c>
      <c r="O132" s="2">
        <f>O11/'Output-Calculation-sheet'!O10*'Output-Calculation-sheet'!O109</f>
        <v>0</v>
      </c>
      <c r="P132" s="2">
        <f>P11/'Output-Calculation-sheet'!P10*'Output-Calculation-sheet'!P109</f>
        <v>8008196926.0393877</v>
      </c>
      <c r="Q132" s="2">
        <f>Q11/'Output-Calculation-sheet'!Q10*'Output-Calculation-sheet'!Q109</f>
        <v>5156614563.5814295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967330308.94142103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2877325745.451118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1008293938.1398505</v>
      </c>
      <c r="AA132" s="2">
        <f t="shared" si="11"/>
        <v>246351.59213733708</v>
      </c>
    </row>
    <row r="133" spans="1:27" x14ac:dyDescent="0.25">
      <c r="A133" s="2">
        <v>2035</v>
      </c>
      <c r="B133" s="2">
        <f>B12/'Output-Calculation-sheet'!B11*'Output-Calculation-sheet'!B110</f>
        <v>8927600189.7206287</v>
      </c>
      <c r="C133" s="2">
        <f>C12/'Output-Calculation-sheet'!C11*'Output-Calculation-sheet'!C110</f>
        <v>0</v>
      </c>
      <c r="D133" s="2">
        <f>D12/'Output-Calculation-sheet'!D11*'Output-Calculation-sheet'!D110</f>
        <v>42459435644.392967</v>
      </c>
      <c r="E133" s="2">
        <f>E12/'Output-Calculation-sheet'!E11*'Output-Calculation-sheet'!E110</f>
        <v>22594416313.988476</v>
      </c>
      <c r="F133" s="2">
        <f>F12/'Output-Calculation-sheet'!F11*'Output-Calculation-sheet'!F110</f>
        <v>22460667690.838661</v>
      </c>
      <c r="G133" s="2">
        <f>G12/'Output-Calculation-sheet'!G11*'Output-Calculation-sheet'!G110</f>
        <v>15217040816.789671</v>
      </c>
      <c r="H133" s="2">
        <f>H12/'Output-Calculation-sheet'!H11*'Output-Calculation-sheet'!H110</f>
        <v>0</v>
      </c>
      <c r="I133" s="2">
        <f>I12/'Output-Calculation-sheet'!I11*'Output-Calculation-sheet'!I110</f>
        <v>13963007600.936356</v>
      </c>
      <c r="J133" s="2">
        <f>J12/'Output-Calculation-sheet'!J11*'Output-Calculation-sheet'!J110</f>
        <v>13987045169.042469</v>
      </c>
      <c r="K133" s="2">
        <f>K12/'Output-Calculation-sheet'!K11*'Output-Calculation-sheet'!K110</f>
        <v>13723874653.481619</v>
      </c>
      <c r="L133" s="2">
        <f>L12/'Output-Calculation-sheet'!L11*'Output-Calculation-sheet'!L110</f>
        <v>9863392821.1231327</v>
      </c>
      <c r="M133" s="2">
        <f>M12/'Output-Calculation-sheet'!M11*'Output-Calculation-sheet'!M110</f>
        <v>0</v>
      </c>
      <c r="N133" s="2">
        <f>N12/'Output-Calculation-sheet'!N11*'Output-Calculation-sheet'!N110</f>
        <v>52984.872605556913</v>
      </c>
      <c r="O133" s="2">
        <f>O12/'Output-Calculation-sheet'!O11*'Output-Calculation-sheet'!O110</f>
        <v>0</v>
      </c>
      <c r="P133" s="2">
        <f>P12/'Output-Calculation-sheet'!P11*'Output-Calculation-sheet'!P110</f>
        <v>4928421808.0840702</v>
      </c>
      <c r="Q133" s="2">
        <f>Q12/'Output-Calculation-sheet'!Q11*'Output-Calculation-sheet'!Q110</f>
        <v>3134363719.4565492</v>
      </c>
      <c r="R133" s="2">
        <f>R12/'Output-Calculation-sheet'!R11*'Output-Calculation-sheet'!R110</f>
        <v>9128528474.3203983</v>
      </c>
      <c r="S133" s="2">
        <f>S12/'Output-Calculation-sheet'!S11*'Output-Calculation-sheet'!S110</f>
        <v>8784832.5551411174</v>
      </c>
      <c r="T133" s="2">
        <f>T12/'Output-Calculation-sheet'!T11*'Output-Calculation-sheet'!T110</f>
        <v>3410462770.5147409</v>
      </c>
      <c r="U133" s="2">
        <f>U12/'Output-Calculation-sheet'!U11*'Output-Calculation-sheet'!U110</f>
        <v>2695457199.8254933</v>
      </c>
      <c r="V133" s="2">
        <f>V12/'Output-Calculation-sheet'!V11*'Output-Calculation-sheet'!V110</f>
        <v>2347423795.7335706</v>
      </c>
      <c r="W133" s="2">
        <f>W12/'Output-Calculation-sheet'!W11*'Output-Calculation-sheet'!W110</f>
        <v>1976808013.9732056</v>
      </c>
      <c r="X133" s="2">
        <f>X12/'Output-Calculation-sheet'!X11*'Output-Calculation-sheet'!X110</f>
        <v>0</v>
      </c>
      <c r="Y133" s="2">
        <f>Y12/'Output-Calculation-sheet'!Y11*'Output-Calculation-sheet'!Y110</f>
        <v>748992677.89111626</v>
      </c>
      <c r="AA133" s="2">
        <f t="shared" si="11"/>
        <v>191575.77717754093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17314538931.084778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5443254904.6174765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3741612156.495306</v>
      </c>
      <c r="N140" s="2">
        <f>N8/'Output-Calculation-sheet'!N7*'Output-Calculation-sheet'!N115</f>
        <v>1412606892.7341683</v>
      </c>
      <c r="O140" s="2">
        <f>O8/'Output-Calculation-sheet'!O7*'Output-Calculation-sheet'!O115</f>
        <v>4155405036.8007331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406294157.40187448</v>
      </c>
      <c r="Y140" s="2">
        <f>Y8/'Output-Calculation-sheet'!Y7*'Output-Calculation-sheet'!Y115</f>
        <v>0</v>
      </c>
      <c r="AA140" s="2">
        <f t="shared" si="12"/>
        <v>32473.712079134337</v>
      </c>
    </row>
    <row r="141" spans="1:27" x14ac:dyDescent="0.25">
      <c r="A141" s="2">
        <v>2032</v>
      </c>
      <c r="B141" s="2">
        <f>B9/'Output-Calculation-sheet'!B8*'Output-Calculation-sheet'!B116</f>
        <v>7249810358.3428411</v>
      </c>
      <c r="C141" s="2">
        <f>C9/'Output-Calculation-sheet'!C8*'Output-Calculation-sheet'!C116</f>
        <v>31033475044.018654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8090292367.6951685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5554650444.9902763</v>
      </c>
      <c r="N141" s="2">
        <f>N9/'Output-Calculation-sheet'!N8*'Output-Calculation-sheet'!N116</f>
        <v>3856383173.4828768</v>
      </c>
      <c r="O141" s="2">
        <f>O9/'Output-Calculation-sheet'!O8*'Output-Calculation-sheet'!O116</f>
        <v>6023779897.8355446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1727312584.9977047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604604182.82636714</v>
      </c>
      <c r="Y141" s="2">
        <f>Y9/'Output-Calculation-sheet'!Y8*'Output-Calculation-sheet'!Y116</f>
        <v>0</v>
      </c>
      <c r="AA141" s="2">
        <f t="shared" si="12"/>
        <v>64140.308054189431</v>
      </c>
    </row>
    <row r="142" spans="1:27" x14ac:dyDescent="0.25">
      <c r="A142" s="2">
        <v>2033</v>
      </c>
      <c r="B142" s="2">
        <f>B10/'Output-Calculation-sheet'!B9*'Output-Calculation-sheet'!B117</f>
        <v>37147660486.120026</v>
      </c>
      <c r="C142" s="2">
        <f>C10/'Output-Calculation-sheet'!C9*'Output-Calculation-sheet'!C117</f>
        <v>39226394523.415901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12148704122.549467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8348432865.6112804</v>
      </c>
      <c r="N142" s="2">
        <f>N10/'Output-Calculation-sheet'!N9*'Output-Calculation-sheet'!N117</f>
        <v>6297655967.6694489</v>
      </c>
      <c r="O142" s="2">
        <f>O10/'Output-Calculation-sheet'!O9*'Output-Calculation-sheet'!O117</f>
        <v>7613345345.5176973</v>
      </c>
      <c r="P142" s="2">
        <f>P10/'Output-Calculation-sheet'!P9*'Output-Calculation-sheet'!P117</f>
        <v>0</v>
      </c>
      <c r="Q142" s="2">
        <f>Q10/'Output-Calculation-sheet'!Q9*'Output-Calculation-sheet'!Q117</f>
        <v>1202765095.5492964</v>
      </c>
      <c r="R142" s="2">
        <f>R10/'Output-Calculation-sheet'!R9*'Output-Calculation-sheet'!R117</f>
        <v>0</v>
      </c>
      <c r="S142" s="2">
        <f>S10/'Output-Calculation-sheet'!S9*'Output-Calculation-sheet'!S117</f>
        <v>3062208467.5574317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915221885.80191219</v>
      </c>
      <c r="Y142" s="2">
        <f>Y10/'Output-Calculation-sheet'!Y9*'Output-Calculation-sheet'!Y117</f>
        <v>0</v>
      </c>
      <c r="AA142" s="2">
        <f t="shared" si="12"/>
        <v>115962.38875979246</v>
      </c>
    </row>
    <row r="143" spans="1:27" x14ac:dyDescent="0.25">
      <c r="A143" s="2">
        <v>2034</v>
      </c>
      <c r="B143" s="2">
        <f>B11/'Output-Calculation-sheet'!B10*'Output-Calculation-sheet'!B118</f>
        <v>65186904457.873611</v>
      </c>
      <c r="C143" s="2">
        <f>C11/'Output-Calculation-sheet'!C10*'Output-Calculation-sheet'!C118</f>
        <v>50014368181.371902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13864231687.330696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9522108450.0231743</v>
      </c>
      <c r="N143" s="2">
        <f>N11/'Output-Calculation-sheet'!N10*'Output-Calculation-sheet'!N118</f>
        <v>8378691567.4561291</v>
      </c>
      <c r="O143" s="2">
        <f>O11/'Output-Calculation-sheet'!O10*'Output-Calculation-sheet'!O118</f>
        <v>9716402298.794939</v>
      </c>
      <c r="P143" s="2">
        <f>P11/'Output-Calculation-sheet'!P10*'Output-Calculation-sheet'!P118</f>
        <v>1754267746.8894539</v>
      </c>
      <c r="Q143" s="2">
        <f>Q11/'Output-Calculation-sheet'!Q10*'Output-Calculation-sheet'!Q118</f>
        <v>4130372942.8334589</v>
      </c>
      <c r="R143" s="2">
        <f>R11/'Output-Calculation-sheet'!R10*'Output-Calculation-sheet'!R118</f>
        <v>0</v>
      </c>
      <c r="S143" s="2">
        <f>S11/'Output-Calculation-sheet'!S10*'Output-Calculation-sheet'!S118</f>
        <v>4824441786.5371428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1045382629.9860998</v>
      </c>
      <c r="Y143" s="2">
        <f>Y11/'Output-Calculation-sheet'!Y10*'Output-Calculation-sheet'!Y118</f>
        <v>122503409.91388586</v>
      </c>
      <c r="AA143" s="2">
        <f t="shared" si="12"/>
        <v>168559.67515901051</v>
      </c>
    </row>
    <row r="144" spans="1:27" x14ac:dyDescent="0.25">
      <c r="A144" s="2">
        <v>2035</v>
      </c>
      <c r="B144" s="2">
        <f>B12/'Output-Calculation-sheet'!B11*'Output-Calculation-sheet'!B119</f>
        <v>101043315901.88928</v>
      </c>
      <c r="C144" s="2">
        <f>C12/'Output-Calculation-sheet'!C11*'Output-Calculation-sheet'!C119</f>
        <v>53477363325.194275</v>
      </c>
      <c r="D144" s="2">
        <f>D12/'Output-Calculation-sheet'!D11*'Output-Calculation-sheet'!D119</f>
        <v>0</v>
      </c>
      <c r="E144" s="2">
        <f>E12/'Output-Calculation-sheet'!E11*'Output-Calculation-sheet'!E119</f>
        <v>12191615798.570591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16231633589.335384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11087895016.62397</v>
      </c>
      <c r="N144" s="2">
        <f>N12/'Output-Calculation-sheet'!N11*'Output-Calculation-sheet'!N119</f>
        <v>10943670598.209105</v>
      </c>
      <c r="O144" s="2">
        <f>O12/'Output-Calculation-sheet'!O11*'Output-Calculation-sheet'!O119</f>
        <v>10391119152.437639</v>
      </c>
      <c r="P144" s="2">
        <f>P12/'Output-Calculation-sheet'!P11*'Output-Calculation-sheet'!P119</f>
        <v>5032007371.6870813</v>
      </c>
      <c r="Q144" s="2">
        <f>Q12/'Output-Calculation-sheet'!Q11*'Output-Calculation-sheet'!Q119</f>
        <v>6121274284.5308409</v>
      </c>
      <c r="R144" s="2">
        <f>R12/'Output-Calculation-sheet'!R11*'Output-Calculation-sheet'!R119</f>
        <v>0</v>
      </c>
      <c r="S144" s="2">
        <f>S12/'Output-Calculation-sheet'!S11*'Output-Calculation-sheet'!S119</f>
        <v>6306938971.5680408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1238784321.1936398</v>
      </c>
      <c r="Y144" s="2">
        <f>Y12/'Output-Calculation-sheet'!Y11*'Output-Calculation-sheet'!Y119</f>
        <v>349344867.29831642</v>
      </c>
      <c r="AA144" s="2">
        <f t="shared" si="12"/>
        <v>234414.96319853817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2369954440.2662268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516789503.65763354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61416.709866295882</v>
      </c>
    </row>
    <row r="155" spans="1:27" x14ac:dyDescent="0.25">
      <c r="A155" s="2">
        <v>2035</v>
      </c>
      <c r="B155" s="2">
        <f>B12/'Output-Calculation-sheet'!B11*'Output-Calculation-sheet'!B128</f>
        <v>1327574533.5464318</v>
      </c>
      <c r="C155" s="2">
        <f>C12/'Output-Calculation-sheet'!C11*'Output-Calculation-sheet'!C128</f>
        <v>79352720.005340308</v>
      </c>
      <c r="D155" s="2">
        <f>D12/'Output-Calculation-sheet'!D11*'Output-Calculation-sheet'!D128</f>
        <v>5799951432.0681038</v>
      </c>
      <c r="E155" s="2">
        <f>E12/'Output-Calculation-sheet'!E11*'Output-Calculation-sheet'!E128</f>
        <v>1358252916.9622197</v>
      </c>
      <c r="F155" s="2">
        <f>F12/'Output-Calculation-sheet'!F11*'Output-Calculation-sheet'!F128</f>
        <v>2346944109.1143107</v>
      </c>
      <c r="G155" s="2">
        <f>G12/'Output-Calculation-sheet'!G11*'Output-Calculation-sheet'!G128</f>
        <v>2215653198.7553315</v>
      </c>
      <c r="H155" s="2">
        <f>H12/'Output-Calculation-sheet'!H11*'Output-Calculation-sheet'!H128</f>
        <v>121987039.5494466</v>
      </c>
      <c r="I155" s="2">
        <f>I12/'Output-Calculation-sheet'!I11*'Output-Calculation-sheet'!I128</f>
        <v>1902686996.416158</v>
      </c>
      <c r="J155" s="2">
        <f>J12/'Output-Calculation-sheet'!J11*'Output-Calculation-sheet'!J128</f>
        <v>1375323795.3641264</v>
      </c>
      <c r="K155" s="2">
        <f>K12/'Output-Calculation-sheet'!K11*'Output-Calculation-sheet'!K128</f>
        <v>1522091346.3248057</v>
      </c>
      <c r="L155" s="2">
        <f>L12/'Output-Calculation-sheet'!L11*'Output-Calculation-sheet'!L128</f>
        <v>667497259.34459174</v>
      </c>
      <c r="M155" s="2">
        <f>M12/'Output-Calculation-sheet'!M11*'Output-Calculation-sheet'!M128</f>
        <v>96200268.475737542</v>
      </c>
      <c r="N155" s="2">
        <f>N12/'Output-Calculation-sheet'!N11*'Output-Calculation-sheet'!N128</f>
        <v>87925745.025693968</v>
      </c>
      <c r="O155" s="2">
        <f>O12/'Output-Calculation-sheet'!O11*'Output-Calculation-sheet'!O128</f>
        <v>19255097.609304734</v>
      </c>
      <c r="P155" s="2">
        <f>P12/'Output-Calculation-sheet'!P11*'Output-Calculation-sheet'!P128</f>
        <v>358689361.00960863</v>
      </c>
      <c r="Q155" s="2">
        <f>Q12/'Output-Calculation-sheet'!Q11*'Output-Calculation-sheet'!Q128</f>
        <v>437346976.62947333</v>
      </c>
      <c r="R155" s="2">
        <f>R12/'Output-Calculation-sheet'!R11*'Output-Calculation-sheet'!R128</f>
        <v>783762425.89505494</v>
      </c>
      <c r="S155" s="2">
        <f>S12/'Output-Calculation-sheet'!S11*'Output-Calculation-sheet'!S128</f>
        <v>57079014.175747931</v>
      </c>
      <c r="T155" s="2">
        <f>T12/'Output-Calculation-sheet'!T11*'Output-Calculation-sheet'!T128</f>
        <v>214941500.31417885</v>
      </c>
      <c r="U155" s="2">
        <f>U12/'Output-Calculation-sheet'!U11*'Output-Calculation-sheet'!U128</f>
        <v>494988987.35105032</v>
      </c>
      <c r="V155" s="2">
        <f>V12/'Output-Calculation-sheet'!V11*'Output-Calculation-sheet'!V128</f>
        <v>73831844.118973702</v>
      </c>
      <c r="W155" s="2">
        <f>W12/'Output-Calculation-sheet'!W11*'Output-Calculation-sheet'!W128</f>
        <v>148852927.74400982</v>
      </c>
      <c r="X155" s="2">
        <f>X12/'Output-Calculation-sheet'!X11*'Output-Calculation-sheet'!X128</f>
        <v>3162854.7893921775</v>
      </c>
      <c r="Y155" s="2">
        <f>Y12/'Output-Calculation-sheet'!Y11*'Output-Calculation-sheet'!Y128</f>
        <v>81841146.341232404</v>
      </c>
      <c r="AA155" s="2">
        <f t="shared" si="13"/>
        <v>21575.193496930329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1082.1500000000001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2161.7919999999999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855.47900000000004</v>
      </c>
      <c r="O17" s="7">
        <v>0</v>
      </c>
      <c r="P17" s="7">
        <v>2314.4409999999998</v>
      </c>
      <c r="Q17" s="7">
        <v>2600.6390000000001</v>
      </c>
      <c r="R17" s="7">
        <v>1715.731</v>
      </c>
      <c r="S17" s="7">
        <v>1235.1880000000001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1645.5840000000001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1932.5119999999999</v>
      </c>
      <c r="L18" s="7">
        <v>2097.828</v>
      </c>
      <c r="M18" s="7">
        <v>0</v>
      </c>
      <c r="N18" s="7">
        <v>674.08699999999999</v>
      </c>
      <c r="O18" s="7">
        <v>0</v>
      </c>
      <c r="P18" s="7">
        <v>2904.8449999999998</v>
      </c>
      <c r="Q18" s="7">
        <v>2835.962</v>
      </c>
      <c r="R18" s="7">
        <v>2217.8069999999998</v>
      </c>
      <c r="S18" s="7">
        <v>1069.7539999999999</v>
      </c>
      <c r="T18" s="7">
        <v>1750.35</v>
      </c>
      <c r="U18" s="7">
        <v>2224.982</v>
      </c>
      <c r="V18" s="7">
        <v>2129.81</v>
      </c>
      <c r="W18" s="7">
        <v>1226.963</v>
      </c>
      <c r="X18" s="7">
        <v>0</v>
      </c>
      <c r="Y18" s="7">
        <v>2467.5549999999998</v>
      </c>
    </row>
    <row r="19" spans="1:25" ht="28.5" customHeight="1" x14ac:dyDescent="0.25">
      <c r="A19" s="4"/>
      <c r="B19" s="7">
        <v>1147.8050000000001</v>
      </c>
      <c r="C19" s="7">
        <v>0</v>
      </c>
      <c r="D19" s="7">
        <v>1815.5989999999999</v>
      </c>
      <c r="E19" s="7">
        <v>2832.248</v>
      </c>
      <c r="F19" s="7">
        <v>2061.9699999999998</v>
      </c>
      <c r="G19" s="7">
        <v>1711.538</v>
      </c>
      <c r="H19" s="7">
        <v>0</v>
      </c>
      <c r="I19" s="7">
        <v>2090.2849999999999</v>
      </c>
      <c r="J19" s="7">
        <v>1786.0309999999999</v>
      </c>
      <c r="K19" s="7">
        <v>2494.4769999999999</v>
      </c>
      <c r="L19" s="7">
        <v>2551.4679999999998</v>
      </c>
      <c r="M19" s="7">
        <v>0</v>
      </c>
      <c r="N19" s="7">
        <v>519.62699999999995</v>
      </c>
      <c r="O19" s="7">
        <v>0</v>
      </c>
      <c r="P19" s="7">
        <v>2784.337</v>
      </c>
      <c r="Q19" s="7">
        <v>1870.6279999999999</v>
      </c>
      <c r="R19" s="7">
        <v>2798.5740000000001</v>
      </c>
      <c r="S19" s="7">
        <v>576.25</v>
      </c>
      <c r="T19" s="7">
        <v>2219.0970000000002</v>
      </c>
      <c r="U19" s="7">
        <v>2759.8490000000002</v>
      </c>
      <c r="V19" s="7">
        <v>2595.7869999999998</v>
      </c>
      <c r="W19" s="7">
        <v>1866.4949999999999</v>
      </c>
      <c r="X19" s="7">
        <v>0</v>
      </c>
      <c r="Y19" s="7">
        <v>2648.0740000000001</v>
      </c>
    </row>
    <row r="20" spans="1:25" ht="28.5" customHeight="1" x14ac:dyDescent="0.25">
      <c r="A20" s="4"/>
      <c r="B20" s="7">
        <v>292.56900000000002</v>
      </c>
      <c r="C20" s="7">
        <v>0</v>
      </c>
      <c r="D20" s="7">
        <v>1822.1320000000001</v>
      </c>
      <c r="E20" s="7">
        <v>1496.6590000000001</v>
      </c>
      <c r="F20" s="7">
        <v>2265.413</v>
      </c>
      <c r="G20" s="7">
        <v>1703.0740000000001</v>
      </c>
      <c r="H20" s="7">
        <v>0</v>
      </c>
      <c r="I20" s="7">
        <v>2105.0360000000001</v>
      </c>
      <c r="J20" s="7">
        <v>1972.5150000000001</v>
      </c>
      <c r="K20" s="7">
        <v>2647.826</v>
      </c>
      <c r="L20" s="7">
        <v>2651.194</v>
      </c>
      <c r="M20" s="7">
        <v>0</v>
      </c>
      <c r="N20" s="7">
        <v>2.1000000000000001E-2</v>
      </c>
      <c r="O20" s="7">
        <v>0</v>
      </c>
      <c r="P20" s="7">
        <v>1583.14</v>
      </c>
      <c r="Q20" s="7">
        <v>1122.4929999999999</v>
      </c>
      <c r="R20" s="7">
        <v>3141.35</v>
      </c>
      <c r="S20" s="7">
        <v>5.641</v>
      </c>
      <c r="T20" s="7">
        <v>2573.7640000000001</v>
      </c>
      <c r="U20" s="7">
        <v>2725.989</v>
      </c>
      <c r="V20" s="7">
        <v>3479.7190000000001</v>
      </c>
      <c r="W20" s="7">
        <v>2179.2530000000002</v>
      </c>
      <c r="X20" s="7">
        <v>0</v>
      </c>
      <c r="Y20" s="7">
        <v>1725.0360000000001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1129.008</v>
      </c>
      <c r="D25" s="7">
        <v>0</v>
      </c>
      <c r="E25" s="7">
        <v>0</v>
      </c>
      <c r="F25" s="7">
        <v>0</v>
      </c>
      <c r="G25" s="7">
        <v>0</v>
      </c>
      <c r="H25" s="7">
        <v>1110.9670000000001</v>
      </c>
      <c r="I25" s="7">
        <v>0</v>
      </c>
      <c r="J25" s="7">
        <v>0</v>
      </c>
      <c r="K25" s="7">
        <v>0</v>
      </c>
      <c r="L25" s="7">
        <v>0</v>
      </c>
      <c r="M25" s="7">
        <v>1121.53</v>
      </c>
      <c r="N25" s="7">
        <v>949.27200000000005</v>
      </c>
      <c r="O25" s="7">
        <v>638.42899999999997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1106.4580000000001</v>
      </c>
      <c r="Y25" s="7">
        <v>0</v>
      </c>
    </row>
    <row r="26" spans="1:25" x14ac:dyDescent="0.25">
      <c r="B26" s="7">
        <v>514.17200000000003</v>
      </c>
      <c r="C26" s="7">
        <v>594.07000000000005</v>
      </c>
      <c r="D26" s="7">
        <v>0</v>
      </c>
      <c r="E26" s="7">
        <v>0</v>
      </c>
      <c r="F26" s="7">
        <v>0</v>
      </c>
      <c r="G26" s="7">
        <v>0</v>
      </c>
      <c r="H26" s="7">
        <v>1158.5029999999999</v>
      </c>
      <c r="I26" s="7">
        <v>0</v>
      </c>
      <c r="J26" s="7">
        <v>0</v>
      </c>
      <c r="K26" s="7">
        <v>0</v>
      </c>
      <c r="L26" s="7">
        <v>0</v>
      </c>
      <c r="M26" s="7">
        <v>1176.5340000000001</v>
      </c>
      <c r="N26" s="7">
        <v>829.60799999999995</v>
      </c>
      <c r="O26" s="7">
        <v>597.46199999999999</v>
      </c>
      <c r="P26" s="7">
        <v>0</v>
      </c>
      <c r="Q26" s="7">
        <v>0</v>
      </c>
      <c r="R26" s="7">
        <v>0</v>
      </c>
      <c r="S26" s="7">
        <v>686.50300000000004</v>
      </c>
      <c r="T26" s="7">
        <v>0</v>
      </c>
      <c r="U26" s="7">
        <v>0</v>
      </c>
      <c r="V26" s="7">
        <v>0</v>
      </c>
      <c r="W26" s="7">
        <v>0</v>
      </c>
      <c r="X26" s="7">
        <v>1167.0160000000001</v>
      </c>
      <c r="Y26" s="7">
        <v>0</v>
      </c>
    </row>
    <row r="27" spans="1:25" x14ac:dyDescent="0.25">
      <c r="B27" s="7">
        <v>454.92500000000001</v>
      </c>
      <c r="C27" s="7">
        <v>589.13300000000004</v>
      </c>
      <c r="D27" s="7">
        <v>0</v>
      </c>
      <c r="E27" s="7">
        <v>0</v>
      </c>
      <c r="F27" s="7">
        <v>0</v>
      </c>
      <c r="G27" s="7">
        <v>0</v>
      </c>
      <c r="H27" s="7">
        <v>627.49699999999996</v>
      </c>
      <c r="I27" s="7">
        <v>0</v>
      </c>
      <c r="J27" s="7">
        <v>0</v>
      </c>
      <c r="K27" s="7">
        <v>0</v>
      </c>
      <c r="L27" s="7">
        <v>0</v>
      </c>
      <c r="M27" s="7">
        <v>645.47199999999998</v>
      </c>
      <c r="N27" s="7">
        <v>665.08199999999999</v>
      </c>
      <c r="O27" s="7">
        <v>593.70100000000002</v>
      </c>
      <c r="P27" s="7">
        <v>0</v>
      </c>
      <c r="Q27" s="7">
        <v>8.8460000000000001</v>
      </c>
      <c r="R27" s="7">
        <v>0</v>
      </c>
      <c r="S27" s="7">
        <v>552.45699999999999</v>
      </c>
      <c r="T27" s="7">
        <v>0</v>
      </c>
      <c r="U27" s="7">
        <v>0</v>
      </c>
      <c r="V27" s="7">
        <v>0</v>
      </c>
      <c r="W27" s="7">
        <v>0</v>
      </c>
      <c r="X27" s="7">
        <v>587.529</v>
      </c>
      <c r="Y27" s="7">
        <v>0</v>
      </c>
    </row>
    <row r="28" spans="1:25" x14ac:dyDescent="0.25">
      <c r="B28" s="7">
        <v>379.72399999999999</v>
      </c>
      <c r="C28" s="7">
        <v>80.700999999999993</v>
      </c>
      <c r="D28" s="7">
        <v>0</v>
      </c>
      <c r="E28" s="7">
        <v>380.642</v>
      </c>
      <c r="F28" s="7">
        <v>0</v>
      </c>
      <c r="G28" s="7">
        <v>0</v>
      </c>
      <c r="H28" s="7">
        <v>690.28800000000001</v>
      </c>
      <c r="I28" s="7">
        <v>0</v>
      </c>
      <c r="J28" s="7">
        <v>0</v>
      </c>
      <c r="K28" s="7">
        <v>0</v>
      </c>
      <c r="L28" s="7">
        <v>727.57899999999995</v>
      </c>
      <c r="M28" s="7">
        <v>713.96199999999999</v>
      </c>
      <c r="N28" s="7">
        <v>485.62200000000001</v>
      </c>
      <c r="O28" s="7">
        <v>81.481999999999999</v>
      </c>
      <c r="P28" s="7">
        <v>0</v>
      </c>
      <c r="Q28" s="7">
        <v>285.29899999999998</v>
      </c>
      <c r="R28" s="7">
        <v>0</v>
      </c>
      <c r="S28" s="7">
        <v>317.20400000000001</v>
      </c>
      <c r="T28" s="7">
        <v>0</v>
      </c>
      <c r="U28" s="7">
        <v>0</v>
      </c>
      <c r="V28" s="7">
        <v>0</v>
      </c>
      <c r="W28" s="7">
        <v>0</v>
      </c>
      <c r="X28" s="7">
        <v>639.47500000000002</v>
      </c>
      <c r="Y28" s="7">
        <v>270.11700000000002</v>
      </c>
    </row>
    <row r="29" spans="1:25" x14ac:dyDescent="0.25">
      <c r="B29" s="7">
        <v>170.976</v>
      </c>
      <c r="C29" s="7">
        <v>31.315000000000001</v>
      </c>
      <c r="D29" s="7">
        <v>0</v>
      </c>
      <c r="E29" s="7">
        <v>706.35699999999997</v>
      </c>
      <c r="F29" s="7">
        <v>0</v>
      </c>
      <c r="G29" s="7">
        <v>0</v>
      </c>
      <c r="H29" s="7">
        <v>172.495</v>
      </c>
      <c r="I29" s="7">
        <v>0</v>
      </c>
      <c r="J29" s="7">
        <v>0</v>
      </c>
      <c r="K29" s="7">
        <v>0</v>
      </c>
      <c r="L29" s="7">
        <v>1493.941</v>
      </c>
      <c r="M29" s="7">
        <v>229.96600000000001</v>
      </c>
      <c r="N29" s="7">
        <v>194.49</v>
      </c>
      <c r="O29" s="7">
        <v>28.581</v>
      </c>
      <c r="P29" s="7">
        <v>102.241</v>
      </c>
      <c r="Q29" s="7">
        <v>405.43900000000002</v>
      </c>
      <c r="R29" s="7">
        <v>0</v>
      </c>
      <c r="S29" s="7">
        <v>141.73699999999999</v>
      </c>
      <c r="T29" s="7">
        <v>0</v>
      </c>
      <c r="U29" s="7">
        <v>0</v>
      </c>
      <c r="V29" s="7">
        <v>0</v>
      </c>
      <c r="W29" s="7">
        <v>0</v>
      </c>
      <c r="X29" s="7">
        <v>67.314999999999998</v>
      </c>
      <c r="Y29" s="7">
        <v>605.98400000000004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1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1</v>
      </c>
      <c r="E38" s="7">
        <v>3</v>
      </c>
      <c r="F38" s="7">
        <v>2</v>
      </c>
      <c r="G38" s="7">
        <v>2</v>
      </c>
      <c r="H38" s="7">
        <v>1</v>
      </c>
      <c r="I38" s="7">
        <v>2</v>
      </c>
      <c r="J38" s="7">
        <v>1</v>
      </c>
      <c r="K38" s="7">
        <v>2</v>
      </c>
      <c r="L38" s="7">
        <v>1</v>
      </c>
      <c r="M38" s="7">
        <v>1</v>
      </c>
      <c r="N38" s="7">
        <v>1</v>
      </c>
      <c r="O38" s="7">
        <v>1</v>
      </c>
      <c r="P38" s="7">
        <v>3</v>
      </c>
      <c r="Q38" s="7">
        <v>1</v>
      </c>
      <c r="R38" s="7">
        <v>2</v>
      </c>
      <c r="S38" s="7">
        <v>1</v>
      </c>
      <c r="T38" s="7">
        <v>1</v>
      </c>
      <c r="U38" s="7">
        <v>3</v>
      </c>
      <c r="V38" s="7">
        <v>1</v>
      </c>
      <c r="W38" s="7">
        <v>2</v>
      </c>
      <c r="X38" s="7">
        <v>1</v>
      </c>
      <c r="Y38" s="7">
        <v>4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151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174</v>
      </c>
      <c r="L45" s="7">
        <v>0</v>
      </c>
      <c r="M45" s="7">
        <v>0</v>
      </c>
      <c r="N45" s="7">
        <v>0</v>
      </c>
      <c r="O45" s="7">
        <v>0</v>
      </c>
      <c r="P45" s="7">
        <v>2110</v>
      </c>
      <c r="Q45" s="7">
        <v>195</v>
      </c>
      <c r="R45" s="7">
        <v>1472</v>
      </c>
      <c r="S45" s="7">
        <v>0</v>
      </c>
      <c r="T45" s="7">
        <v>191</v>
      </c>
      <c r="U45" s="7">
        <v>1654</v>
      </c>
      <c r="V45" s="7">
        <v>162</v>
      </c>
      <c r="W45" s="7">
        <v>0</v>
      </c>
      <c r="X45" s="7">
        <v>0</v>
      </c>
      <c r="Y45" s="7">
        <v>148</v>
      </c>
    </row>
    <row r="46" spans="1:25" x14ac:dyDescent="0.25">
      <c r="B46" s="7">
        <v>150</v>
      </c>
      <c r="C46" s="7">
        <v>0</v>
      </c>
      <c r="D46" s="7">
        <v>1585</v>
      </c>
      <c r="E46" s="7">
        <v>2475</v>
      </c>
      <c r="F46" s="7">
        <v>119</v>
      </c>
      <c r="G46" s="7">
        <v>1869</v>
      </c>
      <c r="H46" s="7">
        <v>350</v>
      </c>
      <c r="I46" s="7">
        <v>1181</v>
      </c>
      <c r="J46" s="7">
        <v>864</v>
      </c>
      <c r="K46" s="7">
        <v>2362</v>
      </c>
      <c r="L46" s="7">
        <v>1099</v>
      </c>
      <c r="M46" s="7">
        <v>377</v>
      </c>
      <c r="N46" s="7">
        <v>131</v>
      </c>
      <c r="O46" s="7">
        <v>0</v>
      </c>
      <c r="P46" s="7">
        <v>3084</v>
      </c>
      <c r="Q46" s="7">
        <v>697</v>
      </c>
      <c r="R46" s="7">
        <v>4065</v>
      </c>
      <c r="S46" s="7">
        <v>0</v>
      </c>
      <c r="T46" s="7">
        <v>2488</v>
      </c>
      <c r="U46" s="7">
        <v>3885</v>
      </c>
      <c r="V46" s="7">
        <v>2505</v>
      </c>
      <c r="W46" s="7">
        <v>386</v>
      </c>
      <c r="X46" s="7">
        <v>328</v>
      </c>
      <c r="Y46" s="7">
        <v>2364</v>
      </c>
    </row>
    <row r="47" spans="1:25" x14ac:dyDescent="0.25">
      <c r="B47" s="7">
        <v>269</v>
      </c>
      <c r="C47" s="7">
        <v>65</v>
      </c>
      <c r="D47" s="7">
        <v>1806</v>
      </c>
      <c r="E47" s="7">
        <v>2978</v>
      </c>
      <c r="F47" s="7">
        <v>500</v>
      </c>
      <c r="G47" s="7">
        <v>1863</v>
      </c>
      <c r="H47" s="7">
        <v>82</v>
      </c>
      <c r="I47" s="7">
        <v>1320</v>
      </c>
      <c r="J47" s="7">
        <v>2227</v>
      </c>
      <c r="K47" s="7">
        <v>2995</v>
      </c>
      <c r="L47" s="7">
        <v>4079</v>
      </c>
      <c r="M47" s="7">
        <v>91</v>
      </c>
      <c r="N47" s="7">
        <v>87</v>
      </c>
      <c r="O47" s="7">
        <v>61</v>
      </c>
      <c r="P47" s="7">
        <v>2238</v>
      </c>
      <c r="Q47" s="7">
        <v>907</v>
      </c>
      <c r="R47" s="7">
        <v>5128</v>
      </c>
      <c r="S47" s="7">
        <v>65</v>
      </c>
      <c r="T47" s="7">
        <v>4663</v>
      </c>
      <c r="U47" s="7">
        <v>3759</v>
      </c>
      <c r="V47" s="7">
        <v>4817</v>
      </c>
      <c r="W47" s="7">
        <v>1969</v>
      </c>
      <c r="X47" s="7">
        <v>85</v>
      </c>
      <c r="Y47" s="7">
        <v>2723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7.5471167492566896E-2</v>
      </c>
      <c r="C52" s="7">
        <v>8.5560852518186681E-2</v>
      </c>
      <c r="D52" s="7">
        <v>6.161899092835544E-2</v>
      </c>
      <c r="E52" s="7">
        <v>7.7219460035298046E-2</v>
      </c>
      <c r="F52" s="7">
        <v>5.0801012839134116E-2</v>
      </c>
      <c r="G52" s="7">
        <v>5.1981506751503419E-2</v>
      </c>
      <c r="H52" s="7">
        <v>8.6669660655053146E-2</v>
      </c>
      <c r="I52" s="7">
        <v>5.3074304690743049E-2</v>
      </c>
      <c r="J52" s="7">
        <v>7.5034952894424578E-2</v>
      </c>
      <c r="K52" s="7">
        <v>6.6562992597561266E-2</v>
      </c>
      <c r="L52" s="7">
        <v>0.11160430897333407</v>
      </c>
      <c r="M52" s="7">
        <v>0.10291538316464449</v>
      </c>
      <c r="N52" s="7">
        <v>9.2519790371571112E-2</v>
      </c>
      <c r="O52" s="7">
        <v>9.0092298356833744E-2</v>
      </c>
      <c r="P52" s="7">
        <v>6.7177993915147449E-2</v>
      </c>
      <c r="Q52" s="7">
        <v>7.7274686701357884E-2</v>
      </c>
      <c r="R52" s="7">
        <v>7.2114358262249559E-2</v>
      </c>
      <c r="S52" s="7">
        <v>8.0402010050251257E-2</v>
      </c>
      <c r="T52" s="7">
        <v>7.4585120231278501E-2</v>
      </c>
      <c r="U52" s="7">
        <v>5.8813169813727993E-2</v>
      </c>
      <c r="V52" s="7">
        <v>0.1355542424581184</v>
      </c>
      <c r="W52" s="7">
        <v>5.6670721091260493E-2</v>
      </c>
      <c r="X52" s="7">
        <v>9.7320767632707972E-2</v>
      </c>
      <c r="Y52" s="7">
        <v>6.3370093044563452E-2</v>
      </c>
    </row>
    <row r="53" spans="1:25" x14ac:dyDescent="0.25">
      <c r="B53" s="7">
        <v>7.1959135777998021E-2</v>
      </c>
      <c r="C53" s="7">
        <v>8.0950099417866475E-2</v>
      </c>
      <c r="D53" s="7">
        <v>5.0741358921244158E-2</v>
      </c>
      <c r="E53" s="7">
        <v>6.5492161289809683E-2</v>
      </c>
      <c r="F53" s="7">
        <v>4.2912293101975189E-2</v>
      </c>
      <c r="G53" s="7">
        <v>4.3470629770083938E-2</v>
      </c>
      <c r="H53" s="7">
        <v>8.1430180978719041E-2</v>
      </c>
      <c r="I53" s="7">
        <v>4.4604196527174039E-2</v>
      </c>
      <c r="J53" s="7">
        <v>6.0664765985235208E-2</v>
      </c>
      <c r="K53" s="7">
        <v>5.683348904806395E-2</v>
      </c>
      <c r="L53" s="7">
        <v>9.1143017706049503E-2</v>
      </c>
      <c r="M53" s="7">
        <v>9.3642735902432897E-2</v>
      </c>
      <c r="N53" s="7">
        <v>8.5898081553642536E-2</v>
      </c>
      <c r="O53" s="7">
        <v>8.4369161490187305E-2</v>
      </c>
      <c r="P53" s="7">
        <v>6.329099489734806E-2</v>
      </c>
      <c r="Q53" s="7">
        <v>7.1094536133263539E-2</v>
      </c>
      <c r="R53" s="7">
        <v>6.3349160880777619E-2</v>
      </c>
      <c r="S53" s="7">
        <v>7.6694806320001266E-2</v>
      </c>
      <c r="T53" s="7">
        <v>6.1949990815943524E-2</v>
      </c>
      <c r="U53" s="7">
        <v>5.3536504848175556E-2</v>
      </c>
      <c r="V53" s="7">
        <v>0.10963875624830317</v>
      </c>
      <c r="W53" s="7">
        <v>4.7055593269069503E-2</v>
      </c>
      <c r="X53" s="7">
        <v>8.9914274115877199E-2</v>
      </c>
      <c r="Y53" s="7">
        <v>5.650221158554887E-2</v>
      </c>
    </row>
    <row r="54" spans="1:25" x14ac:dyDescent="0.25">
      <c r="B54" s="7">
        <v>6.97425728444004E-2</v>
      </c>
      <c r="C54" s="7">
        <v>7.6501137915339093E-2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7.7001709724947021E-2</v>
      </c>
      <c r="I54" s="7">
        <v>3.7666196730812909E-2</v>
      </c>
      <c r="J54" s="7">
        <v>4.6252976451194167E-2</v>
      </c>
      <c r="K54" s="7">
        <v>4.98283704253807E-2</v>
      </c>
      <c r="L54" s="7">
        <v>7.3362218123966094E-2</v>
      </c>
      <c r="M54" s="7">
        <v>8.5110328786069028E-2</v>
      </c>
      <c r="N54" s="7">
        <v>7.9571457798901499E-2</v>
      </c>
      <c r="O54" s="7">
        <v>7.8904260415502289E-2</v>
      </c>
      <c r="P54" s="7">
        <v>6.157386068722101E-2</v>
      </c>
      <c r="Q54" s="7">
        <v>6.8176494134310442E-2</v>
      </c>
      <c r="R54" s="7">
        <v>5.7273310851021622E-2</v>
      </c>
      <c r="S54" s="7">
        <v>7.3292370945637272E-2</v>
      </c>
      <c r="T54" s="7">
        <v>5.2093877029476827E-2</v>
      </c>
      <c r="U54" s="7">
        <v>5.164520604746109E-2</v>
      </c>
      <c r="V54" s="7">
        <v>8.5961480109235516E-2</v>
      </c>
      <c r="W54" s="7">
        <v>3.7801258655251455E-2</v>
      </c>
      <c r="X54" s="7">
        <v>8.2397140878590819E-2</v>
      </c>
      <c r="Y54" s="7">
        <v>5.3322054247034109E-2</v>
      </c>
    </row>
    <row r="55" spans="1:25" x14ac:dyDescent="0.25">
      <c r="B55" s="7">
        <v>6.8109890981169471E-2</v>
      </c>
      <c r="C55" s="7">
        <v>7.2704173953317519E-2</v>
      </c>
      <c r="D55" s="7">
        <v>3.6597291999015846E-2</v>
      </c>
      <c r="E55" s="7">
        <v>5.5856828263876744E-2</v>
      </c>
      <c r="F55" s="7">
        <v>3.3346920704948463E-2</v>
      </c>
      <c r="G55" s="7">
        <v>3.3925836599336748E-2</v>
      </c>
      <c r="H55" s="7">
        <v>7.257101661663555E-2</v>
      </c>
      <c r="I55" s="7">
        <v>3.6411076388073026E-2</v>
      </c>
      <c r="J55" s="7">
        <v>3.846873033949462E-2</v>
      </c>
      <c r="K55" s="7">
        <v>4.6456675370720839E-2</v>
      </c>
      <c r="L55" s="7">
        <v>6.1328309891484155E-2</v>
      </c>
      <c r="M55" s="7">
        <v>7.6675276607782741E-2</v>
      </c>
      <c r="N55" s="7">
        <v>7.3801513983097533E-2</v>
      </c>
      <c r="O55" s="7">
        <v>7.3752822445427399E-2</v>
      </c>
      <c r="P55" s="7">
        <v>6.221589248496754E-2</v>
      </c>
      <c r="Q55" s="7">
        <v>6.6895433691535541E-2</v>
      </c>
      <c r="R55" s="7">
        <v>5.3707796072207895E-2</v>
      </c>
      <c r="S55" s="7">
        <v>7.0482270285597268E-2</v>
      </c>
      <c r="T55" s="7">
        <v>4.5793550396511659E-2</v>
      </c>
      <c r="U55" s="7">
        <v>5.3403546823169175E-2</v>
      </c>
      <c r="V55" s="7">
        <v>6.4774238625293454E-2</v>
      </c>
      <c r="W55" s="7">
        <v>3.387725715380991E-2</v>
      </c>
      <c r="X55" s="7">
        <v>7.5640659699282825E-2</v>
      </c>
      <c r="Y55" s="7">
        <v>5.6761954409743617E-2</v>
      </c>
    </row>
    <row r="56" spans="1:25" x14ac:dyDescent="0.25">
      <c r="B56" s="7">
        <v>6.8800142715559967E-2</v>
      </c>
      <c r="C56" s="7">
        <v>6.8522961933737386E-2</v>
      </c>
      <c r="D56" s="7">
        <v>3.7797209457368031E-2</v>
      </c>
      <c r="E56" s="7">
        <v>6.3685545291208873E-2</v>
      </c>
      <c r="F56" s="7">
        <v>3.669854831568891E-2</v>
      </c>
      <c r="G56" s="7">
        <v>3.6588261428367422E-2</v>
      </c>
      <c r="H56" s="7">
        <v>6.9146240574845766E-2</v>
      </c>
      <c r="I56" s="7">
        <v>3.9011184473319395E-2</v>
      </c>
      <c r="J56" s="7">
        <v>3.9680924431985599E-2</v>
      </c>
      <c r="K56" s="7">
        <v>4.8279056768001025E-2</v>
      </c>
      <c r="L56" s="7">
        <v>6.0453906491162807E-2</v>
      </c>
      <c r="M56" s="7">
        <v>6.9720406110517386E-2</v>
      </c>
      <c r="N56" s="7">
        <v>6.9293070615822849E-2</v>
      </c>
      <c r="O56" s="7">
        <v>6.8554468805390997E-2</v>
      </c>
      <c r="P56" s="7">
        <v>6.6197829576216366E-2</v>
      </c>
      <c r="Q56" s="7">
        <v>6.8292283770052656E-2</v>
      </c>
      <c r="R56" s="7">
        <v>5.6511557230708193E-2</v>
      </c>
      <c r="S56" s="7">
        <v>6.9131645689261348E-2</v>
      </c>
      <c r="T56" s="7">
        <v>4.6592012266705E-2</v>
      </c>
      <c r="U56" s="7">
        <v>5.5933018627200813E-2</v>
      </c>
      <c r="V56" s="7">
        <v>5.5720762732165384E-2</v>
      </c>
      <c r="W56" s="7">
        <v>3.8858041896608179E-2</v>
      </c>
      <c r="X56" s="7">
        <v>6.881829614830498E-2</v>
      </c>
      <c r="Y56" s="7">
        <v>6.3966944694564237E-2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55.311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63.735999999999997</v>
      </c>
      <c r="L63" s="7">
        <v>0</v>
      </c>
      <c r="M63" s="7">
        <v>0</v>
      </c>
      <c r="N63" s="7">
        <v>0</v>
      </c>
      <c r="O63" s="7">
        <v>0</v>
      </c>
      <c r="P63" s="7">
        <v>492.08300000000003</v>
      </c>
      <c r="Q63" s="7">
        <v>61.634</v>
      </c>
      <c r="R63" s="7">
        <v>398.81299999999999</v>
      </c>
      <c r="S63" s="7">
        <v>0</v>
      </c>
      <c r="T63" s="7">
        <v>70.814999999999998</v>
      </c>
      <c r="U63" s="7">
        <v>439.82799999999997</v>
      </c>
      <c r="V63" s="7">
        <v>44.505000000000003</v>
      </c>
      <c r="W63" s="7">
        <v>0</v>
      </c>
      <c r="X63" s="7">
        <v>0</v>
      </c>
      <c r="Y63" s="7">
        <v>54.212000000000003</v>
      </c>
    </row>
    <row r="64" spans="1:25" x14ac:dyDescent="0.25">
      <c r="B64" s="7">
        <v>45.402000000000001</v>
      </c>
      <c r="C64" s="7">
        <v>0</v>
      </c>
      <c r="D64" s="7">
        <v>363.221</v>
      </c>
      <c r="E64" s="7">
        <v>566.71</v>
      </c>
      <c r="F64" s="7">
        <v>56.451999999999998</v>
      </c>
      <c r="G64" s="7">
        <v>507.26799999999997</v>
      </c>
      <c r="H64" s="7">
        <v>85.695999999999998</v>
      </c>
      <c r="I64" s="7">
        <v>348.95800000000003</v>
      </c>
      <c r="J64" s="7">
        <v>247.79300000000001</v>
      </c>
      <c r="K64" s="7">
        <v>544.37099999999998</v>
      </c>
      <c r="L64" s="7">
        <v>283.08</v>
      </c>
      <c r="M64" s="7">
        <v>89.695999999999998</v>
      </c>
      <c r="N64" s="7">
        <v>30.183</v>
      </c>
      <c r="O64" s="7">
        <v>0</v>
      </c>
      <c r="P64" s="7">
        <v>672.74</v>
      </c>
      <c r="Q64" s="7">
        <v>171.095</v>
      </c>
      <c r="R64" s="7">
        <v>889.38199999999995</v>
      </c>
      <c r="S64" s="7">
        <v>0</v>
      </c>
      <c r="T64" s="7">
        <v>666.56700000000001</v>
      </c>
      <c r="U64" s="7">
        <v>840.66700000000003</v>
      </c>
      <c r="V64" s="7">
        <v>513.73500000000001</v>
      </c>
      <c r="W64" s="7">
        <v>130.17500000000001</v>
      </c>
      <c r="X64" s="7">
        <v>81.509</v>
      </c>
      <c r="Y64" s="7">
        <v>476.08100000000002</v>
      </c>
    </row>
    <row r="65" spans="1:25" x14ac:dyDescent="0.25">
      <c r="B65" s="7">
        <v>54.226999999999997</v>
      </c>
      <c r="C65" s="7">
        <v>11.68</v>
      </c>
      <c r="D65" s="7">
        <v>409.96899999999999</v>
      </c>
      <c r="E65" s="7">
        <v>481.64499999999998</v>
      </c>
      <c r="F65" s="7">
        <v>181.16800000000001</v>
      </c>
      <c r="G65" s="7">
        <v>499.75700000000001</v>
      </c>
      <c r="H65" s="7">
        <v>14.907999999999999</v>
      </c>
      <c r="I65" s="7">
        <v>368.48399999999998</v>
      </c>
      <c r="J65" s="7">
        <v>543.27700000000004</v>
      </c>
      <c r="K65" s="7">
        <v>682.90300000000002</v>
      </c>
      <c r="L65" s="7">
        <v>724.58199999999999</v>
      </c>
      <c r="M65" s="7">
        <v>18.11</v>
      </c>
      <c r="N65" s="7">
        <v>14.957000000000001</v>
      </c>
      <c r="O65" s="7">
        <v>10.926</v>
      </c>
      <c r="P65" s="7">
        <v>461.70100000000002</v>
      </c>
      <c r="Q65" s="7">
        <v>184.274</v>
      </c>
      <c r="R65" s="7">
        <v>1126.1220000000001</v>
      </c>
      <c r="S65" s="7">
        <v>10.154</v>
      </c>
      <c r="T65" s="7">
        <v>1048.5070000000001</v>
      </c>
      <c r="U65" s="7">
        <v>826.096</v>
      </c>
      <c r="V65" s="7">
        <v>883.22900000000004</v>
      </c>
      <c r="W65" s="7">
        <v>482.31</v>
      </c>
      <c r="X65" s="7">
        <v>17.686</v>
      </c>
      <c r="Y65" s="7">
        <v>470.99299999999999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4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6</v>
      </c>
      <c r="E74" s="7">
        <v>17</v>
      </c>
      <c r="F74" s="7">
        <v>12</v>
      </c>
      <c r="G74" s="7">
        <v>12</v>
      </c>
      <c r="H74" s="7">
        <v>2</v>
      </c>
      <c r="I74" s="7">
        <v>12</v>
      </c>
      <c r="J74" s="7">
        <v>6</v>
      </c>
      <c r="K74" s="7">
        <v>9</v>
      </c>
      <c r="L74" s="7">
        <v>6</v>
      </c>
      <c r="M74" s="7">
        <v>2</v>
      </c>
      <c r="N74" s="7">
        <v>1</v>
      </c>
      <c r="O74" s="7">
        <v>1</v>
      </c>
      <c r="P74" s="7">
        <v>21</v>
      </c>
      <c r="Q74" s="7">
        <v>5</v>
      </c>
      <c r="R74" s="7">
        <v>12</v>
      </c>
      <c r="S74" s="7">
        <v>2</v>
      </c>
      <c r="T74" s="7">
        <v>7</v>
      </c>
      <c r="U74" s="7">
        <v>20</v>
      </c>
      <c r="V74" s="7">
        <v>2</v>
      </c>
      <c r="W74" s="7">
        <v>14</v>
      </c>
      <c r="X74" s="7">
        <v>1</v>
      </c>
      <c r="Y74" s="7">
        <v>25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882582900</v>
      </c>
      <c r="C79" s="7">
        <v>449049600</v>
      </c>
      <c r="D79" s="7">
        <v>411547100</v>
      </c>
      <c r="E79" s="7">
        <v>1940170000</v>
      </c>
      <c r="F79" s="7">
        <v>899903000</v>
      </c>
      <c r="G79" s="7">
        <v>804823400</v>
      </c>
      <c r="H79" s="7">
        <v>1023517000</v>
      </c>
      <c r="I79" s="7">
        <v>643451600</v>
      </c>
      <c r="J79" s="7">
        <v>492699000</v>
      </c>
      <c r="K79" s="7">
        <v>622201900</v>
      </c>
      <c r="L79" s="7">
        <v>710369600</v>
      </c>
      <c r="M79" s="7">
        <v>1147716000</v>
      </c>
      <c r="N79" s="7">
        <v>759120100</v>
      </c>
      <c r="O79" s="7">
        <v>305232700</v>
      </c>
      <c r="P79" s="7">
        <v>1564971000</v>
      </c>
      <c r="Q79" s="7">
        <v>700587300</v>
      </c>
      <c r="R79" s="7">
        <v>937670900</v>
      </c>
      <c r="S79" s="7">
        <v>801532700</v>
      </c>
      <c r="T79" s="7">
        <v>862301300</v>
      </c>
      <c r="U79" s="7">
        <v>780482600</v>
      </c>
      <c r="V79" s="7">
        <v>464557400</v>
      </c>
      <c r="W79" s="7">
        <v>1651782000</v>
      </c>
      <c r="X79" s="7">
        <v>1245819000</v>
      </c>
      <c r="Y79" s="7">
        <v>1776624000</v>
      </c>
    </row>
    <row r="80" spans="1:25" x14ac:dyDescent="0.25">
      <c r="B80" s="7">
        <v>1011650000</v>
      </c>
      <c r="C80" s="7">
        <v>503418000</v>
      </c>
      <c r="D80" s="7">
        <v>434119600</v>
      </c>
      <c r="E80" s="7">
        <v>2299614000</v>
      </c>
      <c r="F80" s="7">
        <v>1002706000</v>
      </c>
      <c r="G80" s="7">
        <v>856092900</v>
      </c>
      <c r="H80" s="7">
        <v>1157111000</v>
      </c>
      <c r="I80" s="7">
        <v>717842400</v>
      </c>
      <c r="J80" s="7">
        <v>542026000</v>
      </c>
      <c r="K80" s="7">
        <v>673146300</v>
      </c>
      <c r="L80" s="7">
        <v>816566800</v>
      </c>
      <c r="M80" s="7">
        <v>1326676000</v>
      </c>
      <c r="N80" s="7">
        <v>848112600</v>
      </c>
      <c r="O80" s="7">
        <v>337831300</v>
      </c>
      <c r="P80" s="7">
        <v>1721113000</v>
      </c>
      <c r="Q80" s="7">
        <v>784945900</v>
      </c>
      <c r="R80" s="7">
        <v>1060649000</v>
      </c>
      <c r="S80" s="7">
        <v>894762400</v>
      </c>
      <c r="T80" s="7">
        <v>930390500</v>
      </c>
      <c r="U80" s="7">
        <v>851309400</v>
      </c>
      <c r="V80" s="7">
        <v>509246100</v>
      </c>
      <c r="W80" s="7">
        <v>1819840000</v>
      </c>
      <c r="X80" s="7">
        <v>1473946000</v>
      </c>
      <c r="Y80" s="7">
        <v>2004995000</v>
      </c>
    </row>
    <row r="81" spans="1:25" x14ac:dyDescent="0.25">
      <c r="B81" s="7">
        <v>1107404000</v>
      </c>
      <c r="C81" s="7">
        <v>540284900</v>
      </c>
      <c r="D81" s="7">
        <v>438773400</v>
      </c>
      <c r="E81" s="7">
        <v>2606129000</v>
      </c>
      <c r="F81" s="7">
        <v>1067638000</v>
      </c>
      <c r="G81" s="7">
        <v>869096400</v>
      </c>
      <c r="H81" s="7">
        <v>1248967000</v>
      </c>
      <c r="I81" s="7">
        <v>766612700</v>
      </c>
      <c r="J81" s="7">
        <v>571427200</v>
      </c>
      <c r="K81" s="7">
        <v>696777600</v>
      </c>
      <c r="L81" s="7">
        <v>898101400</v>
      </c>
      <c r="M81" s="7">
        <v>1467605000</v>
      </c>
      <c r="N81" s="7">
        <v>907458500</v>
      </c>
      <c r="O81" s="7">
        <v>358662400</v>
      </c>
      <c r="P81" s="7">
        <v>1797364000</v>
      </c>
      <c r="Q81" s="7">
        <v>842080100</v>
      </c>
      <c r="R81" s="7">
        <v>1146147000</v>
      </c>
      <c r="S81" s="7">
        <v>954097600</v>
      </c>
      <c r="T81" s="7">
        <v>958604200</v>
      </c>
      <c r="U81" s="7">
        <v>885731300</v>
      </c>
      <c r="V81" s="7">
        <v>533499100</v>
      </c>
      <c r="W81" s="7">
        <v>1905287000</v>
      </c>
      <c r="X81" s="7">
        <v>1670292000</v>
      </c>
      <c r="Y81" s="7">
        <v>2154856000</v>
      </c>
    </row>
    <row r="82" spans="1:25" x14ac:dyDescent="0.25">
      <c r="B82" s="7">
        <v>1172341000</v>
      </c>
      <c r="C82" s="7">
        <v>562264600</v>
      </c>
      <c r="D82" s="7">
        <v>430556500</v>
      </c>
      <c r="E82" s="7">
        <v>2859328000</v>
      </c>
      <c r="F82" s="7">
        <v>1100467000</v>
      </c>
      <c r="G82" s="7">
        <v>853407300</v>
      </c>
      <c r="H82" s="7">
        <v>1303580000</v>
      </c>
      <c r="I82" s="7">
        <v>793905600</v>
      </c>
      <c r="J82" s="7">
        <v>584793300</v>
      </c>
      <c r="K82" s="7">
        <v>699181700</v>
      </c>
      <c r="L82" s="7">
        <v>957200600</v>
      </c>
      <c r="M82" s="7">
        <v>1573473000</v>
      </c>
      <c r="N82" s="7">
        <v>941950700</v>
      </c>
      <c r="O82" s="7">
        <v>369941300</v>
      </c>
      <c r="P82" s="7">
        <v>1806282000</v>
      </c>
      <c r="Q82" s="7">
        <v>876075700</v>
      </c>
      <c r="R82" s="7">
        <v>1198336000</v>
      </c>
      <c r="S82" s="7">
        <v>984311400</v>
      </c>
      <c r="T82" s="7">
        <v>955831900</v>
      </c>
      <c r="U82" s="7">
        <v>890759100</v>
      </c>
      <c r="V82" s="7">
        <v>541119000</v>
      </c>
      <c r="W82" s="7">
        <v>1920936000</v>
      </c>
      <c r="X82" s="7">
        <v>1835969000</v>
      </c>
      <c r="Y82" s="7">
        <v>2234277000</v>
      </c>
    </row>
    <row r="83" spans="1:25" x14ac:dyDescent="0.25">
      <c r="B83" s="7">
        <v>1209342000</v>
      </c>
      <c r="C83" s="7">
        <v>571780700</v>
      </c>
      <c r="D83" s="7">
        <v>413479500</v>
      </c>
      <c r="E83" s="7">
        <v>3059510000</v>
      </c>
      <c r="F83" s="7">
        <v>1106759000</v>
      </c>
      <c r="G83" s="7">
        <v>817276900</v>
      </c>
      <c r="H83" s="7">
        <v>1325724000</v>
      </c>
      <c r="I83" s="7">
        <v>803527200</v>
      </c>
      <c r="J83" s="7">
        <v>585486800</v>
      </c>
      <c r="K83" s="7">
        <v>685596500</v>
      </c>
      <c r="L83" s="7">
        <v>996163600</v>
      </c>
      <c r="M83" s="7">
        <v>1647374000</v>
      </c>
      <c r="N83" s="7">
        <v>955941500</v>
      </c>
      <c r="O83" s="7">
        <v>373562300</v>
      </c>
      <c r="P83" s="7">
        <v>1761661000</v>
      </c>
      <c r="Q83" s="7">
        <v>890677100</v>
      </c>
      <c r="R83" s="7">
        <v>1221540000</v>
      </c>
      <c r="S83" s="7">
        <v>990102300</v>
      </c>
      <c r="T83" s="7">
        <v>929958900</v>
      </c>
      <c r="U83" s="7">
        <v>872981300</v>
      </c>
      <c r="V83" s="7">
        <v>535580500</v>
      </c>
      <c r="W83" s="7">
        <v>1880677000</v>
      </c>
      <c r="X83" s="7">
        <v>1972262000</v>
      </c>
      <c r="Y83" s="7">
        <v>2252839000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385</v>
      </c>
      <c r="D88" s="7">
        <v>0</v>
      </c>
      <c r="E88" s="7">
        <v>0</v>
      </c>
      <c r="F88" s="7">
        <v>0</v>
      </c>
      <c r="G88" s="7">
        <v>0</v>
      </c>
      <c r="H88" s="7">
        <v>385</v>
      </c>
      <c r="I88" s="7">
        <v>0</v>
      </c>
      <c r="J88" s="7">
        <v>0</v>
      </c>
      <c r="K88" s="7">
        <v>0</v>
      </c>
      <c r="L88" s="7">
        <v>0</v>
      </c>
      <c r="M88" s="7">
        <v>385</v>
      </c>
      <c r="N88" s="7">
        <v>154</v>
      </c>
      <c r="O88" s="7">
        <v>462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385</v>
      </c>
      <c r="Y88" s="7">
        <v>0</v>
      </c>
    </row>
    <row r="89" spans="1:25" x14ac:dyDescent="0.25">
      <c r="B89" s="7">
        <v>77</v>
      </c>
      <c r="C89" s="7">
        <v>616</v>
      </c>
      <c r="D89" s="7">
        <v>0</v>
      </c>
      <c r="E89" s="7">
        <v>0</v>
      </c>
      <c r="F89" s="7">
        <v>0</v>
      </c>
      <c r="G89" s="7">
        <v>0</v>
      </c>
      <c r="H89" s="7">
        <v>539</v>
      </c>
      <c r="I89" s="7">
        <v>0</v>
      </c>
      <c r="J89" s="7">
        <v>0</v>
      </c>
      <c r="K89" s="7">
        <v>0</v>
      </c>
      <c r="L89" s="7">
        <v>0</v>
      </c>
      <c r="M89" s="7">
        <v>539</v>
      </c>
      <c r="N89" s="7">
        <v>385</v>
      </c>
      <c r="O89" s="7">
        <v>616</v>
      </c>
      <c r="P89" s="7">
        <v>0</v>
      </c>
      <c r="Q89" s="7">
        <v>0</v>
      </c>
      <c r="R89" s="7">
        <v>0</v>
      </c>
      <c r="S89" s="7">
        <v>308</v>
      </c>
      <c r="T89" s="7">
        <v>0</v>
      </c>
      <c r="U89" s="7">
        <v>0</v>
      </c>
      <c r="V89" s="7">
        <v>0</v>
      </c>
      <c r="W89" s="7">
        <v>0</v>
      </c>
      <c r="X89" s="7">
        <v>539</v>
      </c>
      <c r="Y89" s="7">
        <v>0</v>
      </c>
    </row>
    <row r="90" spans="1:25" x14ac:dyDescent="0.25">
      <c r="B90" s="7">
        <v>385</v>
      </c>
      <c r="C90" s="7">
        <v>770</v>
      </c>
      <c r="D90" s="7">
        <v>0</v>
      </c>
      <c r="E90" s="7">
        <v>0</v>
      </c>
      <c r="F90" s="7">
        <v>0</v>
      </c>
      <c r="G90" s="7">
        <v>0</v>
      </c>
      <c r="H90" s="7">
        <v>770</v>
      </c>
      <c r="I90" s="7">
        <v>0</v>
      </c>
      <c r="J90" s="7">
        <v>0</v>
      </c>
      <c r="K90" s="7">
        <v>0</v>
      </c>
      <c r="L90" s="7">
        <v>0</v>
      </c>
      <c r="M90" s="7">
        <v>770</v>
      </c>
      <c r="N90" s="7">
        <v>616</v>
      </c>
      <c r="O90" s="7">
        <v>770</v>
      </c>
      <c r="P90" s="7">
        <v>0</v>
      </c>
      <c r="Q90" s="7">
        <v>154</v>
      </c>
      <c r="R90" s="7">
        <v>0</v>
      </c>
      <c r="S90" s="7">
        <v>539</v>
      </c>
      <c r="T90" s="7">
        <v>0</v>
      </c>
      <c r="U90" s="7">
        <v>0</v>
      </c>
      <c r="V90" s="7">
        <v>0</v>
      </c>
      <c r="W90" s="7">
        <v>0</v>
      </c>
      <c r="X90" s="7">
        <v>770</v>
      </c>
      <c r="Y90" s="7">
        <v>0</v>
      </c>
    </row>
    <row r="91" spans="1:25" x14ac:dyDescent="0.25">
      <c r="B91" s="7">
        <v>693</v>
      </c>
      <c r="C91" s="7">
        <v>1001</v>
      </c>
      <c r="D91" s="7">
        <v>0</v>
      </c>
      <c r="E91" s="7">
        <v>0</v>
      </c>
      <c r="F91" s="7">
        <v>0</v>
      </c>
      <c r="G91" s="7">
        <v>0</v>
      </c>
      <c r="H91" s="7">
        <v>924</v>
      </c>
      <c r="I91" s="7">
        <v>0</v>
      </c>
      <c r="J91" s="7">
        <v>0</v>
      </c>
      <c r="K91" s="7">
        <v>0</v>
      </c>
      <c r="L91" s="7">
        <v>0</v>
      </c>
      <c r="M91" s="7">
        <v>924</v>
      </c>
      <c r="N91" s="7">
        <v>847</v>
      </c>
      <c r="O91" s="7">
        <v>1001</v>
      </c>
      <c r="P91" s="7">
        <v>231</v>
      </c>
      <c r="Q91" s="7">
        <v>539</v>
      </c>
      <c r="R91" s="7">
        <v>0</v>
      </c>
      <c r="S91" s="7">
        <v>847</v>
      </c>
      <c r="T91" s="7">
        <v>0</v>
      </c>
      <c r="U91" s="7">
        <v>0</v>
      </c>
      <c r="V91" s="7">
        <v>0</v>
      </c>
      <c r="W91" s="7">
        <v>0</v>
      </c>
      <c r="X91" s="7">
        <v>924</v>
      </c>
      <c r="Y91" s="7">
        <v>154</v>
      </c>
    </row>
    <row r="92" spans="1:25" x14ac:dyDescent="0.25">
      <c r="B92" s="7">
        <v>1078</v>
      </c>
      <c r="C92" s="7">
        <v>1155</v>
      </c>
      <c r="D92" s="7">
        <v>0</v>
      </c>
      <c r="E92" s="7">
        <v>539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693</v>
      </c>
      <c r="Q92" s="7">
        <v>847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462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1809878000</v>
      </c>
      <c r="D97" s="7">
        <v>0</v>
      </c>
      <c r="E97" s="7">
        <v>0</v>
      </c>
      <c r="F97" s="7">
        <v>0</v>
      </c>
      <c r="G97" s="7">
        <v>0</v>
      </c>
      <c r="H97" s="7">
        <v>1808987000</v>
      </c>
      <c r="I97" s="7">
        <v>0</v>
      </c>
      <c r="J97" s="7">
        <v>0</v>
      </c>
      <c r="K97" s="7">
        <v>0</v>
      </c>
      <c r="L97" s="7">
        <v>0</v>
      </c>
      <c r="M97" s="7">
        <v>1826046000</v>
      </c>
      <c r="N97" s="7">
        <v>1457947000</v>
      </c>
      <c r="O97" s="7">
        <v>1039598000</v>
      </c>
      <c r="P97" s="7">
        <v>0</v>
      </c>
      <c r="Q97" s="7">
        <v>0</v>
      </c>
      <c r="R97" s="7">
        <v>0</v>
      </c>
      <c r="S97" s="7">
        <v>920667100</v>
      </c>
      <c r="T97" s="7">
        <v>0</v>
      </c>
      <c r="U97" s="7">
        <v>0</v>
      </c>
      <c r="V97" s="7">
        <v>0</v>
      </c>
      <c r="W97" s="7">
        <v>0</v>
      </c>
      <c r="X97" s="7">
        <v>1794069000</v>
      </c>
      <c r="Y97" s="7">
        <v>0</v>
      </c>
    </row>
    <row r="98" spans="1:25" x14ac:dyDescent="0.25">
      <c r="B98" s="7">
        <v>577658000</v>
      </c>
      <c r="C98" s="7">
        <v>967365900</v>
      </c>
      <c r="D98" s="7">
        <v>0</v>
      </c>
      <c r="E98" s="7">
        <v>0</v>
      </c>
      <c r="F98" s="7">
        <v>0</v>
      </c>
      <c r="G98" s="7">
        <v>0</v>
      </c>
      <c r="H98" s="7">
        <v>1878607000</v>
      </c>
      <c r="I98" s="7">
        <v>0</v>
      </c>
      <c r="J98" s="7">
        <v>0</v>
      </c>
      <c r="K98" s="7">
        <v>0</v>
      </c>
      <c r="L98" s="7">
        <v>0</v>
      </c>
      <c r="M98" s="7">
        <v>1905653000</v>
      </c>
      <c r="N98" s="7">
        <v>1309409000</v>
      </c>
      <c r="O98" s="7">
        <v>972889600</v>
      </c>
      <c r="P98" s="7">
        <v>0</v>
      </c>
      <c r="Q98" s="7">
        <v>0</v>
      </c>
      <c r="R98" s="7">
        <v>0</v>
      </c>
      <c r="S98" s="7">
        <v>948272900</v>
      </c>
      <c r="T98" s="7">
        <v>0</v>
      </c>
      <c r="U98" s="7">
        <v>0</v>
      </c>
      <c r="V98" s="7">
        <v>0</v>
      </c>
      <c r="W98" s="7">
        <v>0</v>
      </c>
      <c r="X98" s="7">
        <v>1858777000</v>
      </c>
      <c r="Y98" s="7">
        <v>0</v>
      </c>
    </row>
    <row r="99" spans="1:25" x14ac:dyDescent="0.25">
      <c r="B99" s="7">
        <v>553873800</v>
      </c>
      <c r="C99" s="7">
        <v>959326700</v>
      </c>
      <c r="D99" s="7">
        <v>0</v>
      </c>
      <c r="E99" s="7">
        <v>0</v>
      </c>
      <c r="F99" s="7">
        <v>0</v>
      </c>
      <c r="G99" s="7">
        <v>0</v>
      </c>
      <c r="H99" s="7">
        <v>1021796000</v>
      </c>
      <c r="I99" s="7">
        <v>0</v>
      </c>
      <c r="J99" s="7">
        <v>0</v>
      </c>
      <c r="K99" s="7">
        <v>0</v>
      </c>
      <c r="L99" s="7">
        <v>0</v>
      </c>
      <c r="M99" s="7">
        <v>1051066000</v>
      </c>
      <c r="N99" s="7">
        <v>1066311000</v>
      </c>
      <c r="O99" s="7">
        <v>966764600</v>
      </c>
      <c r="P99" s="7">
        <v>0</v>
      </c>
      <c r="Q99" s="7">
        <v>7439458.2089999998</v>
      </c>
      <c r="R99" s="7">
        <v>0</v>
      </c>
      <c r="S99" s="7">
        <v>779098400</v>
      </c>
      <c r="T99" s="7">
        <v>0</v>
      </c>
      <c r="U99" s="7">
        <v>0</v>
      </c>
      <c r="V99" s="7">
        <v>-3.4226099999999997E-8</v>
      </c>
      <c r="W99" s="7">
        <v>0</v>
      </c>
      <c r="X99" s="7">
        <v>956714800</v>
      </c>
      <c r="Y99" s="7">
        <v>0</v>
      </c>
    </row>
    <row r="100" spans="1:25" x14ac:dyDescent="0.25">
      <c r="B100" s="7">
        <v>519577700</v>
      </c>
      <c r="C100" s="7">
        <v>131410300</v>
      </c>
      <c r="D100" s="7">
        <v>0</v>
      </c>
      <c r="E100" s="7">
        <v>215914200</v>
      </c>
      <c r="F100" s="7">
        <v>0</v>
      </c>
      <c r="G100" s="7">
        <v>0</v>
      </c>
      <c r="H100" s="7">
        <v>1124044000</v>
      </c>
      <c r="I100" s="7">
        <v>0</v>
      </c>
      <c r="J100" s="7">
        <v>0</v>
      </c>
      <c r="K100" s="7">
        <v>0</v>
      </c>
      <c r="L100" s="7">
        <v>565439900</v>
      </c>
      <c r="M100" s="7">
        <v>1162594000</v>
      </c>
      <c r="N100" s="7">
        <v>788609700</v>
      </c>
      <c r="O100" s="7">
        <v>132682700</v>
      </c>
      <c r="P100" s="7">
        <v>0</v>
      </c>
      <c r="Q100" s="7">
        <v>305838500</v>
      </c>
      <c r="R100" s="7">
        <v>0</v>
      </c>
      <c r="S100" s="7">
        <v>514371200</v>
      </c>
      <c r="T100" s="7">
        <v>0</v>
      </c>
      <c r="U100" s="7">
        <v>0</v>
      </c>
      <c r="V100" s="7">
        <v>0</v>
      </c>
      <c r="W100" s="7">
        <v>0</v>
      </c>
      <c r="X100" s="7">
        <v>1041302000</v>
      </c>
      <c r="Y100" s="7">
        <v>156599500</v>
      </c>
    </row>
    <row r="101" spans="1:25" x14ac:dyDescent="0.25">
      <c r="B101" s="7">
        <v>278412700</v>
      </c>
      <c r="C101" s="7">
        <v>50992990</v>
      </c>
      <c r="D101" s="7">
        <v>0</v>
      </c>
      <c r="E101" s="7">
        <v>648834300</v>
      </c>
      <c r="F101" s="7">
        <v>0</v>
      </c>
      <c r="G101" s="7">
        <v>0</v>
      </c>
      <c r="H101" s="7">
        <v>280885100</v>
      </c>
      <c r="I101" s="7">
        <v>0</v>
      </c>
      <c r="J101" s="7">
        <v>0</v>
      </c>
      <c r="K101" s="7">
        <v>0</v>
      </c>
      <c r="L101" s="7">
        <v>1419424000</v>
      </c>
      <c r="M101" s="7">
        <v>374469900</v>
      </c>
      <c r="N101" s="7">
        <v>316700900</v>
      </c>
      <c r="O101" s="7">
        <v>46539650</v>
      </c>
      <c r="P101" s="7">
        <v>106694100</v>
      </c>
      <c r="Q101" s="7">
        <v>555784700</v>
      </c>
      <c r="R101" s="7">
        <v>0</v>
      </c>
      <c r="S101" s="7">
        <v>230800900</v>
      </c>
      <c r="T101" s="7">
        <v>0</v>
      </c>
      <c r="U101" s="7">
        <v>0</v>
      </c>
      <c r="V101" s="7">
        <v>0</v>
      </c>
      <c r="W101" s="7">
        <v>0</v>
      </c>
      <c r="X101" s="7">
        <v>109613400</v>
      </c>
      <c r="Y101" s="7">
        <v>523935900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2419339000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4235544000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5227474000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1924702000</v>
      </c>
      <c r="O107" s="7">
        <v>0</v>
      </c>
      <c r="P107" s="7">
        <v>6357228000</v>
      </c>
      <c r="Q107" s="7">
        <v>6594829000</v>
      </c>
      <c r="R107" s="7">
        <v>6397716000</v>
      </c>
      <c r="S107" s="7">
        <v>2983110000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4131730000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1532026000</v>
      </c>
      <c r="O108" s="7">
        <v>0</v>
      </c>
      <c r="P108" s="7">
        <v>7628286000</v>
      </c>
      <c r="Q108" s="7">
        <v>6785147000</v>
      </c>
      <c r="R108" s="7">
        <v>7676896000</v>
      </c>
      <c r="S108" s="7">
        <v>2592410000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3019824000</v>
      </c>
      <c r="C109" s="7">
        <v>0</v>
      </c>
      <c r="D109" s="7">
        <v>8954817000</v>
      </c>
      <c r="E109" s="7">
        <v>8725342000</v>
      </c>
      <c r="F109" s="7">
        <v>9150160000</v>
      </c>
      <c r="G109" s="7">
        <v>8933236000</v>
      </c>
      <c r="H109" s="7">
        <v>0</v>
      </c>
      <c r="I109" s="7">
        <v>9073857000</v>
      </c>
      <c r="J109" s="7">
        <v>8924122000</v>
      </c>
      <c r="K109" s="7">
        <v>8900207000</v>
      </c>
      <c r="L109" s="7">
        <v>8413544000</v>
      </c>
      <c r="M109" s="7">
        <v>0</v>
      </c>
      <c r="N109" s="7">
        <v>1187008000</v>
      </c>
      <c r="O109" s="7">
        <v>0</v>
      </c>
      <c r="P109" s="7">
        <v>7300366000</v>
      </c>
      <c r="Q109" s="7">
        <v>4956601000</v>
      </c>
      <c r="R109" s="7">
        <v>8955993000</v>
      </c>
      <c r="S109" s="7">
        <v>1421156000</v>
      </c>
      <c r="T109" s="7">
        <v>8898734000</v>
      </c>
      <c r="U109" s="7">
        <v>8668337000</v>
      </c>
      <c r="V109" s="7">
        <v>8900544000</v>
      </c>
      <c r="W109" s="7">
        <v>8899306000</v>
      </c>
      <c r="X109" s="7">
        <v>0</v>
      </c>
      <c r="Y109" s="7">
        <v>7883472000</v>
      </c>
    </row>
    <row r="110" spans="1:25" x14ac:dyDescent="0.25">
      <c r="B110" s="7">
        <v>800798100</v>
      </c>
      <c r="C110" s="7">
        <v>0</v>
      </c>
      <c r="D110" s="7">
        <v>9058672000</v>
      </c>
      <c r="E110" s="7">
        <v>6065541000</v>
      </c>
      <c r="F110" s="7">
        <v>9587115000</v>
      </c>
      <c r="G110" s="7">
        <v>9050275000</v>
      </c>
      <c r="H110" s="7">
        <v>0</v>
      </c>
      <c r="I110" s="7">
        <v>9232923000</v>
      </c>
      <c r="J110" s="7">
        <v>9345367000</v>
      </c>
      <c r="K110" s="7">
        <v>9233233000</v>
      </c>
      <c r="L110" s="7">
        <v>8345496000</v>
      </c>
      <c r="M110" s="7">
        <v>0</v>
      </c>
      <c r="N110" s="7">
        <v>48100.233</v>
      </c>
      <c r="O110" s="7">
        <v>0</v>
      </c>
      <c r="P110" s="7">
        <v>4842992000</v>
      </c>
      <c r="Q110" s="7">
        <v>3247616000</v>
      </c>
      <c r="R110" s="7">
        <v>9537637000</v>
      </c>
      <c r="S110" s="7">
        <v>13912220</v>
      </c>
      <c r="T110" s="7">
        <v>9631542000</v>
      </c>
      <c r="U110" s="7">
        <v>8753368000</v>
      </c>
      <c r="V110" s="7">
        <v>9886229000</v>
      </c>
      <c r="W110" s="7">
        <v>9614353000</v>
      </c>
      <c r="X110" s="7">
        <v>0</v>
      </c>
      <c r="Y110" s="7">
        <v>6312537000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3275934000</v>
      </c>
      <c r="D115" s="7">
        <v>0</v>
      </c>
      <c r="E115" s="7">
        <v>0</v>
      </c>
      <c r="F115" s="7">
        <v>0</v>
      </c>
      <c r="G115" s="7">
        <v>0</v>
      </c>
      <c r="H115" s="7">
        <v>3345573000</v>
      </c>
      <c r="I115" s="7">
        <v>0</v>
      </c>
      <c r="J115" s="7">
        <v>0</v>
      </c>
      <c r="K115" s="7">
        <v>0</v>
      </c>
      <c r="L115" s="7">
        <v>0</v>
      </c>
      <c r="M115" s="7">
        <v>3342110000</v>
      </c>
      <c r="N115" s="7">
        <v>1283812000</v>
      </c>
      <c r="O115" s="7">
        <v>4046941000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3308169000</v>
      </c>
      <c r="Y115" s="7">
        <v>0</v>
      </c>
    </row>
    <row r="116" spans="1:25" x14ac:dyDescent="0.25">
      <c r="B116" s="7">
        <v>597620900</v>
      </c>
      <c r="C116" s="7">
        <v>5389899000</v>
      </c>
      <c r="D116" s="7">
        <v>0</v>
      </c>
      <c r="E116" s="7">
        <v>0</v>
      </c>
      <c r="F116" s="7">
        <v>0</v>
      </c>
      <c r="G116" s="7">
        <v>0</v>
      </c>
      <c r="H116" s="7">
        <v>4564593000</v>
      </c>
      <c r="I116" s="7">
        <v>0</v>
      </c>
      <c r="J116" s="7">
        <v>0</v>
      </c>
      <c r="K116" s="7">
        <v>0</v>
      </c>
      <c r="L116" s="7">
        <v>0</v>
      </c>
      <c r="M116" s="7">
        <v>4554542000</v>
      </c>
      <c r="N116" s="7">
        <v>3217261000</v>
      </c>
      <c r="O116" s="7">
        <v>5385284000</v>
      </c>
      <c r="P116" s="7">
        <v>0</v>
      </c>
      <c r="Q116" s="7">
        <v>0</v>
      </c>
      <c r="R116" s="7">
        <v>0</v>
      </c>
      <c r="S116" s="7">
        <v>2513881000</v>
      </c>
      <c r="T116" s="7">
        <v>0</v>
      </c>
      <c r="U116" s="7">
        <v>0</v>
      </c>
      <c r="V116" s="7">
        <v>0</v>
      </c>
      <c r="W116" s="7">
        <v>0</v>
      </c>
      <c r="X116" s="7">
        <v>4519020000</v>
      </c>
      <c r="Y116" s="7">
        <v>0</v>
      </c>
    </row>
    <row r="117" spans="1:25" x14ac:dyDescent="0.25">
      <c r="B117" s="7">
        <v>2997700000</v>
      </c>
      <c r="C117" s="7">
        <v>6669391000</v>
      </c>
      <c r="D117" s="7">
        <v>0</v>
      </c>
      <c r="E117" s="7">
        <v>0</v>
      </c>
      <c r="F117" s="7">
        <v>0</v>
      </c>
      <c r="G117" s="7">
        <v>0</v>
      </c>
      <c r="H117" s="7">
        <v>6710044000</v>
      </c>
      <c r="I117" s="7">
        <v>0</v>
      </c>
      <c r="J117" s="7">
        <v>0</v>
      </c>
      <c r="K117" s="7">
        <v>0</v>
      </c>
      <c r="L117" s="7">
        <v>0</v>
      </c>
      <c r="M117" s="7">
        <v>6701168000</v>
      </c>
      <c r="N117" s="7">
        <v>5143309000</v>
      </c>
      <c r="O117" s="7">
        <v>6663043000</v>
      </c>
      <c r="P117" s="7">
        <v>0</v>
      </c>
      <c r="Q117" s="7">
        <v>1121152000</v>
      </c>
      <c r="R117" s="7">
        <v>0</v>
      </c>
      <c r="S117" s="7">
        <v>4362808000</v>
      </c>
      <c r="T117" s="7">
        <v>0</v>
      </c>
      <c r="U117" s="7">
        <v>0</v>
      </c>
      <c r="V117" s="7">
        <v>0</v>
      </c>
      <c r="W117" s="7">
        <v>0</v>
      </c>
      <c r="X117" s="7">
        <v>6696642000</v>
      </c>
      <c r="Y117" s="7">
        <v>0</v>
      </c>
    </row>
    <row r="118" spans="1:25" x14ac:dyDescent="0.25">
      <c r="B118" s="7">
        <v>5424412000</v>
      </c>
      <c r="C118" s="7">
        <v>8768760000</v>
      </c>
      <c r="D118" s="7">
        <v>0</v>
      </c>
      <c r="E118" s="7">
        <v>0</v>
      </c>
      <c r="F118" s="7">
        <v>0</v>
      </c>
      <c r="G118" s="7">
        <v>0</v>
      </c>
      <c r="H118" s="7">
        <v>7896358000</v>
      </c>
      <c r="I118" s="7">
        <v>0</v>
      </c>
      <c r="J118" s="7">
        <v>0</v>
      </c>
      <c r="K118" s="7">
        <v>0</v>
      </c>
      <c r="L118" s="7">
        <v>0</v>
      </c>
      <c r="M118" s="7">
        <v>7881598000</v>
      </c>
      <c r="N118" s="7">
        <v>7056275000</v>
      </c>
      <c r="O118" s="7">
        <v>8768760000</v>
      </c>
      <c r="P118" s="7">
        <v>1599211000</v>
      </c>
      <c r="Q118" s="7">
        <v>3970165000</v>
      </c>
      <c r="R118" s="7">
        <v>0</v>
      </c>
      <c r="S118" s="7">
        <v>7087842000</v>
      </c>
      <c r="T118" s="7">
        <v>0</v>
      </c>
      <c r="U118" s="7">
        <v>0</v>
      </c>
      <c r="V118" s="7">
        <v>0</v>
      </c>
      <c r="W118" s="7">
        <v>0</v>
      </c>
      <c r="X118" s="7">
        <v>7887540000</v>
      </c>
      <c r="Y118" s="7">
        <v>957808200</v>
      </c>
    </row>
    <row r="119" spans="1:25" x14ac:dyDescent="0.25">
      <c r="B119" s="7">
        <v>9063499000</v>
      </c>
      <c r="C119" s="7">
        <v>10106700000</v>
      </c>
      <c r="D119" s="7">
        <v>0</v>
      </c>
      <c r="E119" s="7">
        <v>3272877000</v>
      </c>
      <c r="F119" s="7">
        <v>0</v>
      </c>
      <c r="G119" s="7">
        <v>0</v>
      </c>
      <c r="H119" s="7">
        <v>9965274000</v>
      </c>
      <c r="I119" s="7">
        <v>0</v>
      </c>
      <c r="J119" s="7">
        <v>0</v>
      </c>
      <c r="K119" s="7">
        <v>0</v>
      </c>
      <c r="L119" s="7">
        <v>0</v>
      </c>
      <c r="M119" s="7">
        <v>9892960000</v>
      </c>
      <c r="N119" s="7">
        <v>9934781000</v>
      </c>
      <c r="O119" s="7">
        <v>10108600000</v>
      </c>
      <c r="P119" s="7">
        <v>4944782000</v>
      </c>
      <c r="Q119" s="7">
        <v>6342451000</v>
      </c>
      <c r="R119" s="7">
        <v>0</v>
      </c>
      <c r="S119" s="7">
        <v>9988070000</v>
      </c>
      <c r="T119" s="7">
        <v>0</v>
      </c>
      <c r="U119" s="7">
        <v>0</v>
      </c>
      <c r="V119" s="7">
        <v>0</v>
      </c>
      <c r="W119" s="7">
        <v>0</v>
      </c>
      <c r="X119" s="7">
        <v>10075300000</v>
      </c>
      <c r="Y119" s="7">
        <v>2944291000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1307602000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1556899000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119082300</v>
      </c>
      <c r="C128" s="7">
        <v>14996890</v>
      </c>
      <c r="D128" s="7">
        <v>1237413000</v>
      </c>
      <c r="E128" s="7">
        <v>364627200</v>
      </c>
      <c r="F128" s="7">
        <v>1001770000</v>
      </c>
      <c r="G128" s="7">
        <v>1317751000</v>
      </c>
      <c r="H128" s="7">
        <v>74892910</v>
      </c>
      <c r="I128" s="7">
        <v>1258136000</v>
      </c>
      <c r="J128" s="7">
        <v>918915000</v>
      </c>
      <c r="K128" s="7">
        <v>1024042000</v>
      </c>
      <c r="L128" s="7">
        <v>564774800</v>
      </c>
      <c r="M128" s="7">
        <v>85832830</v>
      </c>
      <c r="N128" s="7">
        <v>79819930</v>
      </c>
      <c r="O128" s="7">
        <v>18731580</v>
      </c>
      <c r="P128" s="7">
        <v>352471800</v>
      </c>
      <c r="Q128" s="7">
        <v>453149400</v>
      </c>
      <c r="R128" s="7">
        <v>818887900</v>
      </c>
      <c r="S128" s="7">
        <v>90393960</v>
      </c>
      <c r="T128" s="7">
        <v>607019700</v>
      </c>
      <c r="U128" s="7">
        <v>1607453000</v>
      </c>
      <c r="V128" s="7">
        <v>310944500</v>
      </c>
      <c r="W128" s="7">
        <v>723957300</v>
      </c>
      <c r="X128" s="7">
        <v>25724180</v>
      </c>
      <c r="Y128" s="7">
        <v>689760100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9" zoomScaleNormal="100" workbookViewId="0">
      <selection activeCell="K107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H87" s="1"/>
      <c r="M87" s="1"/>
      <c r="N87" s="1"/>
      <c r="O87" s="1"/>
      <c r="X87" s="1"/>
    </row>
    <row r="88" spans="2:59" x14ac:dyDescent="0.25">
      <c r="B88" s="1"/>
      <c r="C88" s="1"/>
      <c r="H88" s="1"/>
      <c r="M88" s="1"/>
      <c r="N88" s="1"/>
      <c r="O88" s="1"/>
      <c r="S88" s="1"/>
      <c r="X88" s="1"/>
    </row>
    <row r="89" spans="2:59" x14ac:dyDescent="0.25">
      <c r="B89" s="1"/>
      <c r="C89" s="1"/>
      <c r="H89" s="1"/>
      <c r="M89" s="1"/>
      <c r="N89" s="1"/>
      <c r="O89" s="1"/>
      <c r="Q89" s="1"/>
      <c r="S89" s="1"/>
      <c r="X89" s="1"/>
    </row>
    <row r="90" spans="2:59" x14ac:dyDescent="0.25">
      <c r="B90" s="1"/>
      <c r="C90" s="1"/>
      <c r="H90" s="1"/>
      <c r="M90" s="1"/>
      <c r="N90" s="1"/>
      <c r="O90" s="1"/>
      <c r="P90" s="1"/>
      <c r="Q90" s="1"/>
      <c r="S90" s="1"/>
      <c r="X90" s="1"/>
      <c r="Y90" s="1"/>
    </row>
    <row r="91" spans="2:59" x14ac:dyDescent="0.25">
      <c r="B91" s="1"/>
      <c r="C91" s="1"/>
      <c r="E91" s="1"/>
      <c r="H91" s="1"/>
      <c r="M91" s="1"/>
      <c r="N91" s="1"/>
      <c r="O91" s="1"/>
      <c r="P91" s="1"/>
      <c r="Q91" s="1"/>
      <c r="S91" s="1"/>
      <c r="X91" s="1"/>
      <c r="Y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2026-02-15T00:24:26Z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