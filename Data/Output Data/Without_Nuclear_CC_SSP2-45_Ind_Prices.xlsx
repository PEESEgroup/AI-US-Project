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out Nuclear-CC\"/>
    </mc:Choice>
  </mc:AlternateContent>
  <xr:revisionPtr revIDLastSave="0" documentId="13_ncr:1_{EB050257-C0C9-414A-A0BB-6DB1D6EB341B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AA95" i="23" l="1"/>
  <c r="AA99" i="23"/>
  <c r="AA95" i="24"/>
  <c r="AA99" i="24"/>
  <c r="AA40" i="23"/>
  <c r="AA44" i="23"/>
  <c r="AA40" i="24"/>
  <c r="AA44" i="24"/>
  <c r="AA73" i="23"/>
  <c r="AA77" i="23"/>
  <c r="AA73" i="24"/>
  <c r="AA77" i="24"/>
  <c r="AA51" i="23"/>
  <c r="AA55" i="23"/>
  <c r="AA51" i="24"/>
  <c r="AA55" i="24"/>
  <c r="AA84" i="23"/>
  <c r="AA88" i="23"/>
  <c r="AA84" i="24"/>
  <c r="AA88" i="24"/>
  <c r="AA29" i="23"/>
  <c r="AA29" i="24"/>
  <c r="AA33" i="24"/>
  <c r="AA33" i="23"/>
  <c r="AA18" i="23"/>
  <c r="AA22" i="23"/>
  <c r="AA18" i="24"/>
  <c r="AA22" i="24"/>
  <c r="AA18" i="25"/>
  <c r="AA22" i="25"/>
  <c r="AA18" i="14"/>
  <c r="AA19" i="23"/>
  <c r="AA23" i="23"/>
  <c r="AA30" i="23"/>
  <c r="AA34" i="23"/>
  <c r="AA41" i="23"/>
  <c r="AA45" i="23"/>
  <c r="AA52" i="23"/>
  <c r="AA56" i="23"/>
  <c r="AA74" i="23"/>
  <c r="AA78" i="23"/>
  <c r="AA85" i="23"/>
  <c r="AA89" i="23"/>
  <c r="AA96" i="23"/>
  <c r="AA100" i="23"/>
  <c r="AA19" i="24"/>
  <c r="AA23" i="24"/>
  <c r="AA30" i="24"/>
  <c r="AA34" i="24"/>
  <c r="AA41" i="24"/>
  <c r="AA45" i="24"/>
  <c r="AA52" i="24"/>
  <c r="AA56" i="24"/>
  <c r="AA74" i="24"/>
  <c r="AA78" i="24"/>
  <c r="AA85" i="24"/>
  <c r="AA89" i="24"/>
  <c r="AA96" i="24"/>
  <c r="AA100" i="24"/>
  <c r="AA19" i="25"/>
  <c r="AA23" i="25"/>
  <c r="AA30" i="25"/>
  <c r="AA34" i="25"/>
  <c r="AA41" i="25"/>
  <c r="AA45" i="25"/>
  <c r="AA52" i="25"/>
  <c r="AA56" i="25"/>
  <c r="AA74" i="25"/>
  <c r="AA78" i="25"/>
  <c r="AA85" i="25"/>
  <c r="AA89" i="25"/>
  <c r="AA96" i="25"/>
  <c r="AA100" i="25"/>
  <c r="AA19" i="26"/>
  <c r="AA23" i="26"/>
  <c r="AA30" i="26"/>
  <c r="AA34" i="26"/>
  <c r="AA41" i="26"/>
  <c r="AA45" i="26"/>
  <c r="AA52" i="26"/>
  <c r="AA56" i="26"/>
  <c r="AA74" i="26"/>
  <c r="AA78" i="26"/>
  <c r="AA85" i="26"/>
  <c r="AA89" i="26"/>
  <c r="AA96" i="26"/>
  <c r="AA100" i="26"/>
  <c r="AA19" i="27"/>
  <c r="AA23" i="27"/>
  <c r="AA30" i="27"/>
  <c r="AA34" i="27"/>
  <c r="AA41" i="27"/>
  <c r="AA45" i="27"/>
  <c r="AA52" i="27"/>
  <c r="AA56" i="27"/>
  <c r="AA74" i="27"/>
  <c r="AA78" i="27"/>
  <c r="AA85" i="27"/>
  <c r="AA89" i="27"/>
  <c r="AA29" i="25"/>
  <c r="AA33" i="25"/>
  <c r="AA40" i="25"/>
  <c r="AA44" i="25"/>
  <c r="AA51" i="25"/>
  <c r="AA55" i="25"/>
  <c r="AA73" i="25"/>
  <c r="AA77" i="25"/>
  <c r="AA84" i="25"/>
  <c r="AA88" i="25"/>
  <c r="AA95" i="25"/>
  <c r="AA99" i="25"/>
  <c r="AA18" i="26"/>
  <c r="AA22" i="26"/>
  <c r="AA29" i="26"/>
  <c r="AA33" i="26"/>
  <c r="AA40" i="26"/>
  <c r="AA44" i="26"/>
  <c r="AA51" i="26"/>
  <c r="AA55" i="26"/>
  <c r="AA73" i="26"/>
  <c r="AA77" i="26"/>
  <c r="AA84" i="26"/>
  <c r="AA88" i="26"/>
  <c r="AA95" i="26"/>
  <c r="AA99" i="26"/>
  <c r="AA18" i="27"/>
  <c r="AA22" i="27"/>
  <c r="AA29" i="27"/>
  <c r="AA33" i="27"/>
  <c r="AA40" i="27"/>
  <c r="AA44" i="27"/>
  <c r="AA51" i="27"/>
  <c r="AA55" i="27"/>
  <c r="AA73" i="27"/>
  <c r="AA77" i="27"/>
  <c r="AA84" i="27"/>
  <c r="AA88" i="27"/>
  <c r="AA95" i="27"/>
  <c r="AA99" i="27"/>
  <c r="AA18" i="28"/>
  <c r="AA22" i="28"/>
  <c r="AA29" i="28"/>
  <c r="AA33" i="28"/>
  <c r="AA40" i="28"/>
  <c r="AA44" i="28"/>
  <c r="AA51" i="28"/>
  <c r="AA55" i="28"/>
  <c r="AA73" i="28"/>
  <c r="AA77" i="28"/>
  <c r="AA84" i="28"/>
  <c r="AA88" i="28"/>
  <c r="AA95" i="28"/>
  <c r="AA72" i="26"/>
  <c r="AA17" i="23"/>
  <c r="AA21" i="23"/>
  <c r="AA39" i="23"/>
  <c r="AA43" i="23"/>
  <c r="AA50" i="23"/>
  <c r="AA72" i="23"/>
  <c r="AA83" i="23"/>
  <c r="AA87" i="23"/>
  <c r="AA94" i="23"/>
  <c r="AA98" i="23"/>
  <c r="AA21" i="24"/>
  <c r="AA28" i="24"/>
  <c r="AA32" i="24"/>
  <c r="AA50" i="24"/>
  <c r="AA54" i="24"/>
  <c r="AA87" i="24"/>
  <c r="AA94" i="24"/>
  <c r="AA98" i="26"/>
  <c r="AA17" i="27"/>
  <c r="AA39" i="24"/>
  <c r="AA28" i="23"/>
  <c r="AA54" i="23"/>
  <c r="AA83" i="24"/>
  <c r="AA17" i="25"/>
  <c r="AA21" i="27"/>
  <c r="AA32" i="23"/>
  <c r="AA76" i="23"/>
  <c r="AA17" i="24"/>
  <c r="AA43" i="24"/>
  <c r="AA72" i="24"/>
  <c r="AA76" i="24"/>
  <c r="AA98" i="24"/>
  <c r="AA21" i="25"/>
  <c r="AA28" i="25"/>
  <c r="AA39" i="25"/>
  <c r="AA76" i="26"/>
  <c r="AA32" i="25"/>
  <c r="AA43" i="25"/>
  <c r="AA50" i="25"/>
  <c r="AA54" i="25"/>
  <c r="AA72" i="25"/>
  <c r="AA76" i="25"/>
  <c r="AA83" i="25"/>
  <c r="AA87" i="25"/>
  <c r="AA94" i="25"/>
  <c r="AA98" i="25"/>
  <c r="AA17" i="26"/>
  <c r="AA21" i="26"/>
  <c r="AA28" i="26"/>
  <c r="AA32" i="26"/>
  <c r="AA39" i="26"/>
  <c r="AA43" i="26"/>
  <c r="AA50" i="26"/>
  <c r="AA54" i="26"/>
  <c r="AA96" i="27"/>
  <c r="AA100" i="27"/>
  <c r="AA19" i="28"/>
  <c r="AA23" i="28"/>
  <c r="AA30" i="28"/>
  <c r="AA34" i="28"/>
  <c r="AA41" i="28"/>
  <c r="AA45" i="28"/>
  <c r="AA52" i="28"/>
  <c r="AA56" i="28"/>
  <c r="AA74" i="28"/>
  <c r="AA78" i="28"/>
  <c r="AA85" i="28"/>
  <c r="AA89" i="28"/>
  <c r="AA96" i="28"/>
  <c r="AA100" i="28"/>
  <c r="AA19" i="29"/>
  <c r="AA23" i="29"/>
  <c r="AA30" i="29"/>
  <c r="AA34" i="29"/>
  <c r="AA41" i="29"/>
  <c r="AA45" i="29"/>
  <c r="AA52" i="29"/>
  <c r="AA56" i="29"/>
  <c r="AA74" i="29"/>
  <c r="AA78" i="29"/>
  <c r="AA85" i="29"/>
  <c r="AA89" i="29"/>
  <c r="AA96" i="29"/>
  <c r="AA100" i="29"/>
  <c r="AA19" i="30"/>
  <c r="AA23" i="30"/>
  <c r="AA30" i="30"/>
  <c r="AA34" i="30"/>
  <c r="AA41" i="30"/>
  <c r="AA45" i="30"/>
  <c r="AA52" i="30"/>
  <c r="AA56" i="30"/>
  <c r="AA74" i="30"/>
  <c r="AA78" i="30"/>
  <c r="AA85" i="30"/>
  <c r="AA89" i="30"/>
  <c r="AA96" i="30"/>
  <c r="AA100" i="30"/>
  <c r="AA19" i="31"/>
  <c r="AA23" i="31"/>
  <c r="AA30" i="31"/>
  <c r="AA34" i="31"/>
  <c r="AA41" i="31"/>
  <c r="AA45" i="31"/>
  <c r="AA52" i="31"/>
  <c r="AA56" i="31"/>
  <c r="AA74" i="31"/>
  <c r="AA78" i="31"/>
  <c r="AA85" i="31"/>
  <c r="AA89" i="31"/>
  <c r="AA96" i="31"/>
  <c r="AA100" i="31"/>
  <c r="AA19" i="32"/>
  <c r="AA23" i="32"/>
  <c r="AA30" i="32"/>
  <c r="AA34" i="32"/>
  <c r="AA41" i="32"/>
  <c r="AA45" i="32"/>
  <c r="AA52" i="32"/>
  <c r="AA56" i="32"/>
  <c r="AA74" i="32"/>
  <c r="AA78" i="32"/>
  <c r="AA85" i="32"/>
  <c r="AA89" i="32"/>
  <c r="AA96" i="32"/>
  <c r="AA100" i="32"/>
  <c r="AA99" i="28"/>
  <c r="AA18" i="29"/>
  <c r="AA22" i="29"/>
  <c r="AA29" i="29"/>
  <c r="AA33" i="29"/>
  <c r="AA40" i="29"/>
  <c r="AA44" i="29"/>
  <c r="AA51" i="29"/>
  <c r="AA55" i="29"/>
  <c r="AA73" i="29"/>
  <c r="AA77" i="29"/>
  <c r="AA84" i="29"/>
  <c r="AA88" i="29"/>
  <c r="AA95" i="29"/>
  <c r="AA99" i="29"/>
  <c r="AA18" i="30"/>
  <c r="AA22" i="30"/>
  <c r="AA29" i="30"/>
  <c r="AA33" i="30"/>
  <c r="AA40" i="30"/>
  <c r="AA44" i="30"/>
  <c r="AA51" i="30"/>
  <c r="AA55" i="30"/>
  <c r="AA73" i="30"/>
  <c r="AA77" i="30"/>
  <c r="AA84" i="30"/>
  <c r="AA88" i="30"/>
  <c r="AA95" i="30"/>
  <c r="AA99" i="30"/>
  <c r="AA18" i="31"/>
  <c r="AA22" i="31"/>
  <c r="AA29" i="31"/>
  <c r="AA33" i="31"/>
  <c r="AA40" i="31"/>
  <c r="AA44" i="31"/>
  <c r="AA51" i="31"/>
  <c r="AA55" i="31"/>
  <c r="AA73" i="31"/>
  <c r="AA77" i="31"/>
  <c r="AA84" i="31"/>
  <c r="AA88" i="31"/>
  <c r="AA95" i="31"/>
  <c r="AA99" i="31"/>
  <c r="AA18" i="32"/>
  <c r="AA22" i="32"/>
  <c r="AA29" i="32"/>
  <c r="AA33" i="32"/>
  <c r="AA40" i="32"/>
  <c r="AA44" i="32"/>
  <c r="AA51" i="32"/>
  <c r="AA55" i="32"/>
  <c r="AA73" i="32"/>
  <c r="AA77" i="32"/>
  <c r="AA84" i="32"/>
  <c r="AA88" i="32"/>
  <c r="AA95" i="32"/>
  <c r="AA99" i="32"/>
  <c r="AA83" i="26"/>
  <c r="AA87" i="26"/>
  <c r="AA94" i="26"/>
  <c r="AA28" i="27"/>
  <c r="AA32" i="27"/>
  <c r="AA39" i="27"/>
  <c r="AA43" i="27"/>
  <c r="AA50" i="27"/>
  <c r="AA54" i="27"/>
  <c r="AA72" i="27"/>
  <c r="AA76" i="27"/>
  <c r="AA83" i="27"/>
  <c r="AA87" i="27"/>
  <c r="AA94" i="27"/>
  <c r="AA98" i="27"/>
  <c r="AA17" i="28"/>
  <c r="AA21" i="28"/>
  <c r="AA28" i="28"/>
  <c r="AA32" i="28"/>
  <c r="AA39" i="28"/>
  <c r="AA43" i="28"/>
  <c r="AA50" i="28"/>
  <c r="AA54" i="28"/>
  <c r="AA72" i="28"/>
  <c r="AA76" i="28"/>
  <c r="AA83" i="28"/>
  <c r="AA87" i="28"/>
  <c r="AA94" i="28"/>
  <c r="AA98" i="28"/>
  <c r="AA17" i="29"/>
  <c r="AA21" i="29"/>
  <c r="AA28" i="29"/>
  <c r="AA32" i="29"/>
  <c r="AA39" i="29"/>
  <c r="AA43" i="29"/>
  <c r="AA50" i="29"/>
  <c r="AA54" i="29"/>
  <c r="AA72" i="29"/>
  <c r="AA76" i="29"/>
  <c r="AA83" i="29"/>
  <c r="AA87" i="29"/>
  <c r="AA94" i="29"/>
  <c r="AA98" i="29"/>
  <c r="AA17" i="30"/>
  <c r="AA21" i="30"/>
  <c r="AA28" i="30"/>
  <c r="AA32" i="30"/>
  <c r="AA39" i="30"/>
  <c r="AA43" i="30"/>
  <c r="AA50" i="30"/>
  <c r="AA54" i="30"/>
  <c r="AA72" i="30"/>
  <c r="AA76" i="30"/>
  <c r="AA83" i="30"/>
  <c r="AA87" i="30"/>
  <c r="AA94" i="30"/>
  <c r="AA98" i="30"/>
  <c r="AA17" i="31"/>
  <c r="AA21" i="31"/>
  <c r="AA28" i="31"/>
  <c r="AA32" i="31"/>
  <c r="AA39" i="31"/>
  <c r="AA43" i="31"/>
  <c r="AA50" i="31"/>
  <c r="AA54" i="31"/>
  <c r="AA72" i="31"/>
  <c r="AA76" i="31"/>
  <c r="AA83" i="31"/>
  <c r="AA87" i="31"/>
  <c r="AA94" i="31"/>
  <c r="AA98" i="31"/>
  <c r="AA17" i="32"/>
  <c r="AA21" i="32"/>
  <c r="AA28" i="32"/>
  <c r="AA32" i="32"/>
  <c r="AA39" i="32"/>
  <c r="AA43" i="32"/>
  <c r="AA50" i="32"/>
  <c r="AA54" i="32"/>
  <c r="AA72" i="32"/>
  <c r="AA76" i="32"/>
  <c r="AA83" i="32"/>
  <c r="AA87" i="32"/>
  <c r="AA94" i="32"/>
  <c r="AA98" i="32"/>
  <c r="AA31" i="23"/>
  <c r="AA75" i="23"/>
  <c r="AA82" i="23"/>
  <c r="AA97" i="23"/>
  <c r="AA16" i="24"/>
  <c r="AA20" i="24"/>
  <c r="AA31" i="24"/>
  <c r="AA38" i="24"/>
  <c r="AA49" i="24"/>
  <c r="AA82" i="24"/>
  <c r="AA86" i="24"/>
  <c r="AA38" i="25"/>
  <c r="AA42" i="23"/>
  <c r="AA49" i="23"/>
  <c r="AA53" i="23"/>
  <c r="AA86" i="23"/>
  <c r="AA93" i="23"/>
  <c r="AA27" i="24"/>
  <c r="AA53" i="24"/>
  <c r="AA71" i="24"/>
  <c r="AA75" i="24"/>
  <c r="AA27" i="25"/>
  <c r="AA75" i="25"/>
  <c r="AA97" i="25"/>
  <c r="AA16" i="26"/>
  <c r="AA20" i="26"/>
  <c r="AA27" i="26"/>
  <c r="AA49" i="26"/>
  <c r="AA82" i="26"/>
  <c r="AA16" i="23"/>
  <c r="AA20" i="23"/>
  <c r="AA27" i="23"/>
  <c r="AA38" i="23"/>
  <c r="AA71" i="23"/>
  <c r="AA42" i="24"/>
  <c r="AA93" i="24"/>
  <c r="AA97" i="24"/>
  <c r="AA16" i="25"/>
  <c r="AA20" i="25"/>
  <c r="AA31" i="25"/>
  <c r="AA42" i="25"/>
  <c r="AA49" i="25"/>
  <c r="AA53" i="25"/>
  <c r="AA71" i="25"/>
  <c r="AA82" i="25"/>
  <c r="AA86" i="25"/>
  <c r="AA93" i="25"/>
  <c r="AA31" i="26"/>
  <c r="AA38" i="26"/>
  <c r="AA42" i="26"/>
  <c r="AA53" i="26"/>
  <c r="AA71" i="26"/>
  <c r="AA75" i="26"/>
  <c r="AA97" i="26"/>
  <c r="AA93" i="26"/>
  <c r="AA17" i="14"/>
  <c r="AA86" i="26"/>
  <c r="AA16" i="27"/>
  <c r="AA20" i="27"/>
  <c r="AA27" i="27"/>
  <c r="AA31" i="27"/>
  <c r="AA38" i="27"/>
  <c r="AA42" i="27"/>
  <c r="AA49" i="27"/>
  <c r="AA53" i="27"/>
  <c r="AA71" i="27"/>
  <c r="AA75" i="27"/>
  <c r="AA82" i="27"/>
  <c r="AA86" i="27"/>
  <c r="AA93" i="27"/>
  <c r="AA97" i="27"/>
  <c r="AA16" i="28"/>
  <c r="AA20" i="28"/>
  <c r="AA27" i="28"/>
  <c r="AA31" i="28"/>
  <c r="AA38" i="28"/>
  <c r="AA42" i="28"/>
  <c r="AA49" i="28"/>
  <c r="AA53" i="28"/>
  <c r="AA71" i="28"/>
  <c r="AA75" i="28"/>
  <c r="AA82" i="28"/>
  <c r="AA86" i="28"/>
  <c r="AA93" i="28"/>
  <c r="AA97" i="28"/>
  <c r="AA16" i="29"/>
  <c r="AA20" i="29"/>
  <c r="AA27" i="29"/>
  <c r="AA31" i="29"/>
  <c r="AA38" i="29"/>
  <c r="AA42" i="29"/>
  <c r="AA49" i="29"/>
  <c r="AA53" i="29"/>
  <c r="AA71" i="29"/>
  <c r="AA75" i="29"/>
  <c r="AA82" i="29"/>
  <c r="AA86" i="29"/>
  <c r="AA93" i="29"/>
  <c r="AA97" i="29"/>
  <c r="AA16" i="30"/>
  <c r="AA20" i="30"/>
  <c r="AA27" i="30"/>
  <c r="AA31" i="30"/>
  <c r="AA38" i="30"/>
  <c r="AA42" i="30"/>
  <c r="AA49" i="30"/>
  <c r="AA53" i="30"/>
  <c r="AA71" i="30"/>
  <c r="AA75" i="30"/>
  <c r="AA82" i="30"/>
  <c r="AA86" i="30"/>
  <c r="AA93" i="30"/>
  <c r="AA97" i="30"/>
  <c r="AA16" i="31"/>
  <c r="AA20" i="31"/>
  <c r="AA27" i="31"/>
  <c r="AA31" i="31"/>
  <c r="AA38" i="31"/>
  <c r="AA42" i="31"/>
  <c r="AA49" i="31"/>
  <c r="AA53" i="31"/>
  <c r="AA71" i="31"/>
  <c r="AA75" i="31"/>
  <c r="AA82" i="31"/>
  <c r="AA86" i="31"/>
  <c r="AA93" i="31"/>
  <c r="AA97" i="31"/>
  <c r="AA16" i="32"/>
  <c r="AA20" i="32"/>
  <c r="AA27" i="32"/>
  <c r="AA31" i="32"/>
  <c r="AA38" i="32"/>
  <c r="AA42" i="32"/>
  <c r="AA49" i="32"/>
  <c r="AA53" i="32"/>
  <c r="AA71" i="32"/>
  <c r="AA75" i="32"/>
  <c r="AA82" i="32"/>
  <c r="AA86" i="32"/>
  <c r="AA93" i="32"/>
  <c r="AA97" i="32"/>
  <c r="AA16" i="14"/>
  <c r="AA63" i="23"/>
  <c r="AA67" i="23"/>
  <c r="AA63" i="24"/>
  <c r="AA67" i="24"/>
  <c r="AA63" i="25"/>
  <c r="AA67" i="25"/>
  <c r="AA63" i="26"/>
  <c r="AA67" i="26"/>
  <c r="AA63" i="27"/>
  <c r="AA67" i="27"/>
  <c r="AA63" i="28"/>
  <c r="AA67" i="28"/>
  <c r="AA63" i="29"/>
  <c r="AA67" i="29"/>
  <c r="AA63" i="30"/>
  <c r="AA67" i="30"/>
  <c r="AA63" i="31"/>
  <c r="AA67" i="31"/>
  <c r="AA63" i="32"/>
  <c r="AA67" i="32"/>
  <c r="AA62" i="23"/>
  <c r="AA66" i="23"/>
  <c r="AA62" i="27"/>
  <c r="AA66" i="31"/>
  <c r="AA62" i="32"/>
  <c r="AA62" i="24"/>
  <c r="AA66" i="24"/>
  <c r="AA66" i="25"/>
  <c r="AA66" i="26"/>
  <c r="AA62" i="28"/>
  <c r="AA62" i="29"/>
  <c r="AA62" i="30"/>
  <c r="AA62" i="31"/>
  <c r="AA62" i="25"/>
  <c r="AA62" i="26"/>
  <c r="AA66" i="27"/>
  <c r="AA66" i="28"/>
  <c r="AA66" i="29"/>
  <c r="AA66" i="30"/>
  <c r="AA66" i="32"/>
  <c r="AA61" i="23"/>
  <c r="AA65" i="23"/>
  <c r="AA61" i="24"/>
  <c r="AA65" i="24"/>
  <c r="AA61" i="25"/>
  <c r="AA65" i="25"/>
  <c r="AA61" i="26"/>
  <c r="AA65" i="26"/>
  <c r="AA61" i="27"/>
  <c r="AA65" i="27"/>
  <c r="AA61" i="28"/>
  <c r="AA65" i="28"/>
  <c r="AA61" i="29"/>
  <c r="AA65" i="29"/>
  <c r="AA61" i="30"/>
  <c r="AA65" i="30"/>
  <c r="AA61" i="31"/>
  <c r="AA65" i="31"/>
  <c r="AA61" i="32"/>
  <c r="AA65" i="32"/>
  <c r="AA60" i="24"/>
  <c r="AA64" i="24"/>
  <c r="AA60" i="25"/>
  <c r="AA64" i="25"/>
  <c r="AA60" i="26"/>
  <c r="AA64" i="26"/>
  <c r="AA60" i="27"/>
  <c r="AA64" i="27"/>
  <c r="AA60" i="28"/>
  <c r="AA64" i="28"/>
  <c r="AA60" i="29"/>
  <c r="AA64" i="29"/>
  <c r="AA60" i="30"/>
  <c r="AA64" i="30"/>
  <c r="AA60" i="31"/>
  <c r="AA64" i="31"/>
  <c r="AA60" i="32"/>
  <c r="AA64" i="32"/>
  <c r="AA60" i="23"/>
  <c r="AA64" i="23"/>
  <c r="N68" i="29"/>
  <c r="B68" i="31"/>
  <c r="V68" i="31"/>
  <c r="S68" i="31"/>
  <c r="C68" i="32"/>
  <c r="W68" i="32"/>
  <c r="T68" i="31"/>
  <c r="D68" i="32"/>
  <c r="X68" i="32"/>
  <c r="L68" i="29"/>
  <c r="P68" i="30"/>
  <c r="M68" i="29"/>
  <c r="Q68" i="30"/>
  <c r="U68" i="31"/>
  <c r="E68" i="32"/>
  <c r="Y68" i="32"/>
  <c r="F68" i="32"/>
  <c r="G68" i="27"/>
  <c r="L68" i="28"/>
  <c r="I68" i="26"/>
  <c r="R68" i="23"/>
  <c r="B68" i="24"/>
  <c r="V68" i="24"/>
  <c r="F68" i="25"/>
  <c r="O68" i="29"/>
  <c r="S68" i="30"/>
  <c r="U68" i="23"/>
  <c r="E68" i="24"/>
  <c r="Y68" i="24"/>
  <c r="I68" i="25"/>
  <c r="M68" i="28"/>
  <c r="O68" i="28"/>
  <c r="F68" i="26"/>
  <c r="V68" i="30"/>
  <c r="H68" i="25"/>
  <c r="C68" i="23"/>
  <c r="W68" i="23"/>
  <c r="G68" i="24"/>
  <c r="I68" i="27"/>
  <c r="G68" i="25"/>
  <c r="D68" i="23"/>
  <c r="X68" i="23"/>
  <c r="H68" i="24"/>
  <c r="G68" i="30"/>
  <c r="H68" i="27"/>
  <c r="B68" i="30"/>
  <c r="N68" i="28"/>
  <c r="G68" i="26"/>
  <c r="H68" i="26"/>
  <c r="H68" i="32"/>
  <c r="K68" i="32"/>
  <c r="L68" i="32"/>
  <c r="M68" i="32"/>
  <c r="O68" i="32"/>
  <c r="P68" i="32"/>
  <c r="G68" i="32"/>
  <c r="N68" i="32"/>
  <c r="Q68" i="32"/>
  <c r="R68" i="32"/>
  <c r="S68" i="32"/>
  <c r="T68" i="32"/>
  <c r="U68" i="32"/>
  <c r="I68" i="32"/>
  <c r="J68" i="32"/>
  <c r="B68" i="32"/>
  <c r="V68" i="32"/>
  <c r="F68" i="31"/>
  <c r="G68" i="31"/>
  <c r="H68" i="31"/>
  <c r="I68" i="31"/>
  <c r="K68" i="31"/>
  <c r="L68" i="31"/>
  <c r="M68" i="31"/>
  <c r="W68" i="31"/>
  <c r="X68" i="31"/>
  <c r="N68" i="31"/>
  <c r="E68" i="31"/>
  <c r="J68" i="31"/>
  <c r="O68" i="31"/>
  <c r="C68" i="31"/>
  <c r="Y68" i="31"/>
  <c r="P68" i="31"/>
  <c r="Q68" i="31"/>
  <c r="D68" i="31"/>
  <c r="R68" i="31"/>
  <c r="R68" i="30"/>
  <c r="T68" i="30"/>
  <c r="U68" i="30"/>
  <c r="F68" i="30"/>
  <c r="H68" i="30"/>
  <c r="I68" i="30"/>
  <c r="J68" i="30"/>
  <c r="C68" i="30"/>
  <c r="D68" i="30"/>
  <c r="Y68" i="30"/>
  <c r="K68" i="30"/>
  <c r="W68" i="30"/>
  <c r="X68" i="30"/>
  <c r="E68" i="30"/>
  <c r="L68" i="30"/>
  <c r="M68" i="30"/>
  <c r="N68" i="30"/>
  <c r="O68" i="30"/>
  <c r="Q68" i="29"/>
  <c r="S68" i="29"/>
  <c r="T68" i="29"/>
  <c r="U68" i="29"/>
  <c r="B68" i="29"/>
  <c r="V68" i="29"/>
  <c r="C68" i="29"/>
  <c r="W68" i="29"/>
  <c r="D68" i="29"/>
  <c r="X68" i="29"/>
  <c r="E68" i="29"/>
  <c r="Y68" i="29"/>
  <c r="G68" i="29"/>
  <c r="P68" i="29"/>
  <c r="F68" i="29"/>
  <c r="H68" i="29"/>
  <c r="R68" i="29"/>
  <c r="I68" i="29"/>
  <c r="J68" i="29"/>
  <c r="K68" i="29"/>
  <c r="I68" i="28"/>
  <c r="J68" i="28"/>
  <c r="K68" i="28"/>
  <c r="Q68" i="28"/>
  <c r="R68" i="28"/>
  <c r="S68" i="28"/>
  <c r="U68" i="28"/>
  <c r="B68" i="28"/>
  <c r="V68" i="28"/>
  <c r="C68" i="28"/>
  <c r="W68" i="28"/>
  <c r="T68" i="28"/>
  <c r="D68" i="28"/>
  <c r="X68" i="28"/>
  <c r="P68" i="28"/>
  <c r="E68" i="28"/>
  <c r="Y68" i="28"/>
  <c r="F68" i="28"/>
  <c r="G68" i="28"/>
  <c r="H68" i="28"/>
  <c r="K68" i="27"/>
  <c r="O68" i="27"/>
  <c r="P68" i="27"/>
  <c r="Q68" i="27"/>
  <c r="J68" i="27"/>
  <c r="R68" i="27"/>
  <c r="S68" i="27"/>
  <c r="T68" i="27"/>
  <c r="U68" i="27"/>
  <c r="L68" i="27"/>
  <c r="M68" i="27"/>
  <c r="B68" i="27"/>
  <c r="V68" i="27"/>
  <c r="N68" i="27"/>
  <c r="C68" i="27"/>
  <c r="W68" i="27"/>
  <c r="D68" i="27"/>
  <c r="X68" i="27"/>
  <c r="E68" i="27"/>
  <c r="Y68" i="27"/>
  <c r="F68" i="27"/>
  <c r="K68" i="26"/>
  <c r="L68" i="26"/>
  <c r="M68" i="26"/>
  <c r="N68" i="26"/>
  <c r="O68" i="26"/>
  <c r="P68" i="26"/>
  <c r="S68" i="26"/>
  <c r="U68" i="26"/>
  <c r="J68" i="26"/>
  <c r="Q68" i="26"/>
  <c r="R68" i="26"/>
  <c r="T68" i="26"/>
  <c r="B68" i="26"/>
  <c r="V68" i="26"/>
  <c r="C68" i="26"/>
  <c r="W68" i="26"/>
  <c r="D68" i="26"/>
  <c r="X68" i="26"/>
  <c r="E68" i="26"/>
  <c r="Y68" i="26"/>
  <c r="B68" i="25"/>
  <c r="V68" i="25"/>
  <c r="C68" i="25"/>
  <c r="W68" i="25"/>
  <c r="D68" i="25"/>
  <c r="X68" i="25"/>
  <c r="E68" i="25"/>
  <c r="Y68" i="25"/>
  <c r="K68" i="25"/>
  <c r="L68" i="25"/>
  <c r="N68" i="25"/>
  <c r="O68" i="25"/>
  <c r="M68" i="25"/>
  <c r="P68" i="25"/>
  <c r="Q68" i="25"/>
  <c r="R68" i="25"/>
  <c r="S68" i="25"/>
  <c r="T68" i="25"/>
  <c r="J68" i="25"/>
  <c r="U68" i="25"/>
  <c r="C68" i="24"/>
  <c r="W68" i="24"/>
  <c r="D68" i="24"/>
  <c r="X68" i="24"/>
  <c r="I68" i="24"/>
  <c r="J68" i="24"/>
  <c r="K68" i="24"/>
  <c r="L68" i="24"/>
  <c r="M68" i="24"/>
  <c r="N68" i="24"/>
  <c r="F68" i="24"/>
  <c r="O68" i="24"/>
  <c r="P68" i="24"/>
  <c r="Q68" i="24"/>
  <c r="R68" i="24"/>
  <c r="S68" i="24"/>
  <c r="T68" i="24"/>
  <c r="U68" i="24"/>
  <c r="S68" i="23"/>
  <c r="T68" i="23"/>
  <c r="B68" i="23"/>
  <c r="E68" i="23"/>
  <c r="F68" i="23"/>
  <c r="G68" i="23"/>
  <c r="H68" i="23"/>
  <c r="I68" i="23"/>
  <c r="L68" i="23"/>
  <c r="V68" i="23"/>
  <c r="J68" i="23"/>
  <c r="K68" i="23"/>
  <c r="M68" i="23"/>
  <c r="Y68" i="23"/>
  <c r="N68" i="23"/>
  <c r="O68" i="23"/>
  <c r="P68" i="23"/>
  <c r="Q68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AA104" i="12" l="1"/>
  <c r="AA108" i="12"/>
  <c r="AA115" i="12"/>
  <c r="AA119" i="12"/>
  <c r="AA126" i="12"/>
  <c r="AA130" i="12"/>
  <c r="AA137" i="12"/>
  <c r="AA141" i="12"/>
  <c r="AA148" i="12"/>
  <c r="AA152" i="12"/>
  <c r="AA107" i="12"/>
  <c r="AA111" i="12"/>
  <c r="AA118" i="12"/>
  <c r="AA122" i="12"/>
  <c r="AA129" i="12"/>
  <c r="AA133" i="12"/>
  <c r="AA140" i="12"/>
  <c r="AA144" i="12"/>
  <c r="AA151" i="12"/>
  <c r="AA155" i="12"/>
  <c r="AA154" i="12"/>
  <c r="AA110" i="12"/>
  <c r="AA132" i="12"/>
  <c r="AA139" i="12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7" i="14" l="1"/>
  <c r="AA63" i="14"/>
  <c r="AA66" i="15"/>
  <c r="AA62" i="15"/>
  <c r="AA65" i="16"/>
  <c r="AA61" i="16"/>
  <c r="AA64" i="17"/>
  <c r="AA67" i="18"/>
  <c r="AA63" i="18"/>
  <c r="AA66" i="19"/>
  <c r="AA62" i="19"/>
  <c r="AA65" i="20"/>
  <c r="AA61" i="20"/>
  <c r="AA64" i="21"/>
  <c r="AA67" i="22"/>
  <c r="AA63" i="22"/>
  <c r="AA64" i="14"/>
  <c r="AA67" i="15"/>
  <c r="AA63" i="15"/>
  <c r="AA66" i="16"/>
  <c r="AA62" i="16"/>
  <c r="AA65" i="17"/>
  <c r="AA61" i="17"/>
  <c r="AA64" i="18"/>
  <c r="AA67" i="19"/>
  <c r="AA63" i="19"/>
  <c r="AA66" i="20"/>
  <c r="AA62" i="20"/>
  <c r="AA65" i="21"/>
  <c r="AA61" i="21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AA66" i="14"/>
  <c r="AA62" i="14"/>
  <c r="AA65" i="15"/>
  <c r="AA61" i="15"/>
  <c r="AA64" i="16"/>
  <c r="AA67" i="17"/>
  <c r="AA63" i="17"/>
  <c r="AA66" i="18"/>
  <c r="AA62" i="18"/>
  <c r="AA65" i="19"/>
  <c r="AA61" i="19"/>
  <c r="AA64" i="20"/>
  <c r="AA67" i="21"/>
  <c r="AA63" i="21"/>
  <c r="AA66" i="22"/>
  <c r="AA62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39" i="14" l="1"/>
  <c r="AA32" i="14"/>
  <c r="AA43" i="14"/>
  <c r="AA50" i="14"/>
  <c r="AA54" i="14"/>
  <c r="AA71" i="14"/>
  <c r="AA75" i="14"/>
  <c r="AA82" i="14"/>
  <c r="AA86" i="14"/>
  <c r="AA93" i="14"/>
  <c r="AA97" i="14"/>
  <c r="AA16" i="15"/>
  <c r="AA20" i="15"/>
  <c r="AA27" i="15"/>
  <c r="AA31" i="15"/>
  <c r="AA38" i="15"/>
  <c r="AA42" i="15"/>
  <c r="AA49" i="15"/>
  <c r="AA53" i="15"/>
  <c r="AA74" i="15"/>
  <c r="AA78" i="15"/>
  <c r="AA85" i="15"/>
  <c r="AA89" i="15"/>
  <c r="AA96" i="15"/>
  <c r="AA100" i="15"/>
  <c r="AA19" i="16"/>
  <c r="AA23" i="16"/>
  <c r="AA30" i="16"/>
  <c r="AA34" i="16"/>
  <c r="AA41" i="16"/>
  <c r="AA45" i="16"/>
  <c r="AA52" i="16"/>
  <c r="AA56" i="16"/>
  <c r="AA73" i="16"/>
  <c r="AA77" i="16"/>
  <c r="AA84" i="16"/>
  <c r="AA88" i="16"/>
  <c r="AA95" i="16"/>
  <c r="AA21" i="14"/>
  <c r="AA28" i="14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31" i="14"/>
  <c r="AA38" i="14"/>
  <c r="AA42" i="14"/>
  <c r="AA53" i="14"/>
  <c r="AA74" i="14"/>
  <c r="AA78" i="14"/>
  <c r="AA85" i="14"/>
  <c r="AA89" i="14"/>
  <c r="AA96" i="14"/>
  <c r="AA30" i="15"/>
  <c r="AA34" i="15"/>
  <c r="AA41" i="15"/>
  <c r="AA45" i="15"/>
  <c r="AA52" i="15"/>
  <c r="AA56" i="15"/>
  <c r="AA73" i="15"/>
  <c r="AA77" i="15"/>
  <c r="AA84" i="15"/>
  <c r="AA88" i="15"/>
  <c r="AA95" i="15"/>
  <c r="AA99" i="15"/>
  <c r="AA18" i="16"/>
  <c r="AA22" i="16"/>
  <c r="AA29" i="16"/>
  <c r="AA33" i="16"/>
  <c r="AA40" i="16"/>
  <c r="AA44" i="16"/>
  <c r="AA51" i="16"/>
  <c r="AA55" i="16"/>
  <c r="AA72" i="16"/>
  <c r="AA76" i="16"/>
  <c r="AA83" i="16"/>
  <c r="AA87" i="16"/>
  <c r="AA94" i="16"/>
  <c r="AA27" i="14"/>
  <c r="AA20" i="14"/>
  <c r="AA100" i="14"/>
  <c r="AA23" i="15"/>
  <c r="AA49" i="14"/>
  <c r="AA19" i="15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00" i="22"/>
  <c r="AA30" i="14"/>
  <c r="AA45" i="14"/>
  <c r="AA52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7" i="16"/>
  <c r="AA19" i="14"/>
  <c r="AA23" i="14"/>
  <c r="AA34" i="14"/>
  <c r="AA41" i="14"/>
  <c r="AA56" i="14"/>
  <c r="AA22" i="14"/>
  <c r="AA29" i="14"/>
  <c r="AA33" i="14"/>
  <c r="AA40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99" i="17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16"/>
  <c r="AA60" i="20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<sst xmlns="http://schemas.openxmlformats.org/spreadsheetml/2006/main" count="887" uniqueCount="55">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</sst>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1441.100609377424</v>
      </c>
      <c r="C16" s="2">
        <f>C5/'Output-Calculation-sheet'!C4*'Output-Calculation-sheet'!C22</f>
        <v>2963.5988139907449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1126.3186178691785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824.1025460616529</v>
      </c>
      <c r="N16" s="2">
        <f>N5/'Output-Calculation-sheet'!N4*'Output-Calculation-sheet'!N22</f>
        <v>303.51653017545135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94.561430103736143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94.346247972751101</v>
      </c>
      <c r="Y16" s="2">
        <f>Y5/'Output-Calculation-sheet'!Y4*'Output-Calculation-sheet'!Y22</f>
        <v>0</v>
      </c>
      <c r="AA16" s="2">
        <f t="shared" ref="AA16:AA23" si="0">SUM(B16:Y16)/1000</f>
        <v>6.847544795550939</v>
      </c>
    </row>
    <row r="17" spans="1:27" x14ac:dyDescent="0.25">
      <c r="A17" s="2">
        <v>2029</v>
      </c>
      <c r="B17" s="2">
        <f>B6/'Output-Calculation-sheet'!B5*'Output-Calculation-sheet'!B23</f>
        <v>2278.9293676098755</v>
      </c>
      <c r="C17" s="2">
        <f>C6/'Output-Calculation-sheet'!C5*'Output-Calculation-sheet'!C23</f>
        <v>3848.1081790719286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1450.0364967505529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1059.7028624956858</v>
      </c>
      <c r="N17" s="2">
        <f>N6/'Output-Calculation-sheet'!N5*'Output-Calculation-sheet'!N23</f>
        <v>449.21472971658051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171.31785885038795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121.59460320591133</v>
      </c>
      <c r="Y17" s="2">
        <f>Y6/'Output-Calculation-sheet'!Y5*'Output-Calculation-sheet'!Y23</f>
        <v>0</v>
      </c>
      <c r="AA17" s="2">
        <f t="shared" si="0"/>
        <v>9.378904097700925</v>
      </c>
    </row>
    <row r="18" spans="1:27" x14ac:dyDescent="0.25">
      <c r="A18" s="2">
        <v>2030</v>
      </c>
      <c r="B18" s="2">
        <f>B7/'Output-Calculation-sheet'!B6*'Output-Calculation-sheet'!B24</f>
        <v>3066.3253524179831</v>
      </c>
      <c r="C18" s="2">
        <f>C7/'Output-Calculation-sheet'!C6*'Output-Calculation-sheet'!C24</f>
        <v>4624.6263962359162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1721.2252476249723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1254.7904753453806</v>
      </c>
      <c r="N18" s="2">
        <f>N7/'Output-Calculation-sheet'!N6*'Output-Calculation-sheet'!N24</f>
        <v>577.87221622265918</v>
      </c>
      <c r="O18" s="2">
        <f>O7/'Output-Calculation-sheet'!O6*'Output-Calculation-sheet'!O24</f>
        <v>685.86010979887999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245.18194857930246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144.62933330811728</v>
      </c>
      <c r="Y18" s="2">
        <f>Y7/'Output-Calculation-sheet'!Y6*'Output-Calculation-sheet'!Y24</f>
        <v>0</v>
      </c>
      <c r="AA18" s="2">
        <f t="shared" si="0"/>
        <v>12.32051107953321</v>
      </c>
    </row>
    <row r="19" spans="1:27" x14ac:dyDescent="0.25">
      <c r="A19" s="2">
        <v>2031</v>
      </c>
      <c r="B19" s="2">
        <f>B8/'Output-Calculation-sheet'!B7*'Output-Calculation-sheet'!B25</f>
        <v>3895.243096881768</v>
      </c>
      <c r="C19" s="2">
        <f>C8/'Output-Calculation-sheet'!C7*'Output-Calculation-sheet'!C25</f>
        <v>5193.7642548180247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1892.4340054276283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1385.1731286969134</v>
      </c>
      <c r="N19" s="2">
        <f>N8/'Output-Calculation-sheet'!N7*'Output-Calculation-sheet'!N25</f>
        <v>721.62946111821248</v>
      </c>
      <c r="O19" s="2">
        <f>O8/'Output-Calculation-sheet'!O7*'Output-Calculation-sheet'!O25</f>
        <v>786.95582395966949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314.5875266435537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160.1169241709168</v>
      </c>
      <c r="Y19" s="2">
        <f>Y8/'Output-Calculation-sheet'!Y7*'Output-Calculation-sheet'!Y25</f>
        <v>0</v>
      </c>
      <c r="AA19" s="2">
        <f t="shared" si="0"/>
        <v>14.34990422171669</v>
      </c>
    </row>
    <row r="20" spans="1:27" x14ac:dyDescent="0.25">
      <c r="A20" s="2">
        <v>2032</v>
      </c>
      <c r="B20" s="2">
        <f>B9/'Output-Calculation-sheet'!B8*'Output-Calculation-sheet'!B26</f>
        <v>4688.9187078735758</v>
      </c>
      <c r="C20" s="2">
        <f>C9/'Output-Calculation-sheet'!C8*'Output-Calculation-sheet'!C26</f>
        <v>5404.3462936848418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1945.5876149061278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1420.7234191533514</v>
      </c>
      <c r="N20" s="2">
        <f>N9/'Output-Calculation-sheet'!N8*'Output-Calculation-sheet'!N26</f>
        <v>808.12449772502453</v>
      </c>
      <c r="O20" s="2">
        <f>O9/'Output-Calculation-sheet'!O8*'Output-Calculation-sheet'!O26</f>
        <v>836.00715847173092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365.30717233621499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164.11199862743999</v>
      </c>
      <c r="Y20" s="2">
        <f>Y9/'Output-Calculation-sheet'!Y8*'Output-Calculation-sheet'!Y26</f>
        <v>0</v>
      </c>
      <c r="AA20" s="2">
        <f t="shared" si="0"/>
        <v>15.63312686277831</v>
      </c>
    </row>
    <row r="21" spans="1:27" x14ac:dyDescent="0.25">
      <c r="A21" s="2">
        <v>2033</v>
      </c>
      <c r="B21" s="2">
        <f>B10/'Output-Calculation-sheet'!B9*'Output-Calculation-sheet'!B27</f>
        <v>9665.621218451799</v>
      </c>
      <c r="C21" s="2">
        <f>C10/'Output-Calculation-sheet'!C9*'Output-Calculation-sheet'!C27</f>
        <v>16599.088651412465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5594.6376948249463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3885.824152910172</v>
      </c>
      <c r="N21" s="2">
        <f>N10/'Output-Calculation-sheet'!N9*'Output-Calculation-sheet'!N27</f>
        <v>2126.2451326732894</v>
      </c>
      <c r="O21" s="2">
        <f>O10/'Output-Calculation-sheet'!O9*'Output-Calculation-sheet'!O27</f>
        <v>1656.1587361316356</v>
      </c>
      <c r="P21" s="2">
        <f>P10/'Output-Calculation-sheet'!P9*'Output-Calculation-sheet'!P27</f>
        <v>0</v>
      </c>
      <c r="Q21" s="2">
        <f>Q10/'Output-Calculation-sheet'!Q9*'Output-Calculation-sheet'!Q27</f>
        <v>145.02399764111465</v>
      </c>
      <c r="R21" s="2">
        <f>R10/'Output-Calculation-sheet'!R9*'Output-Calculation-sheet'!R27</f>
        <v>0</v>
      </c>
      <c r="S21" s="2">
        <f>S10/'Output-Calculation-sheet'!S9*'Output-Calculation-sheet'!S27</f>
        <v>923.50881469885235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456.93963023864609</v>
      </c>
      <c r="Y21" s="2">
        <f>Y10/'Output-Calculation-sheet'!Y9*'Output-Calculation-sheet'!Y27</f>
        <v>0</v>
      </c>
      <c r="AA21" s="2">
        <f t="shared" si="0"/>
        <v>41.053048028982921</v>
      </c>
    </row>
    <row r="22" spans="1:27" x14ac:dyDescent="0.25">
      <c r="A22" s="2">
        <v>2034</v>
      </c>
      <c r="B22" s="2">
        <f>B11/'Output-Calculation-sheet'!B10*'Output-Calculation-sheet'!B28</f>
        <v>18392.403116686783</v>
      </c>
      <c r="C22" s="2">
        <f>C11/'Output-Calculation-sheet'!C10*'Output-Calculation-sheet'!C28</f>
        <v>17645.201408109293</v>
      </c>
      <c r="D22" s="2">
        <f>D11/'Output-Calculation-sheet'!D10*'Output-Calculation-sheet'!D28</f>
        <v>0</v>
      </c>
      <c r="E22" s="2">
        <f>E11/'Output-Calculation-sheet'!E10*'Output-Calculation-sheet'!E28</f>
        <v>942.39853314130642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6733.375463115065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561.94851700596075</v>
      </c>
      <c r="M22" s="2">
        <f>M11/'Output-Calculation-sheet'!M10*'Output-Calculation-sheet'!M28</f>
        <v>4909.2225982261452</v>
      </c>
      <c r="N22" s="2">
        <f>N11/'Output-Calculation-sheet'!N10*'Output-Calculation-sheet'!N28</f>
        <v>2929.7660318091821</v>
      </c>
      <c r="O22" s="2">
        <f>O11/'Output-Calculation-sheet'!O10*'Output-Calculation-sheet'!O28</f>
        <v>1810.7872085242536</v>
      </c>
      <c r="P22" s="2">
        <f>P11/'Output-Calculation-sheet'!P10*'Output-Calculation-sheet'!P28</f>
        <v>0</v>
      </c>
      <c r="Q22" s="2">
        <f>Q11/'Output-Calculation-sheet'!Q10*'Output-Calculation-sheet'!Q28</f>
        <v>665.55114710812404</v>
      </c>
      <c r="R22" s="2">
        <f>R11/'Output-Calculation-sheet'!R10*'Output-Calculation-sheet'!R28</f>
        <v>0</v>
      </c>
      <c r="S22" s="2">
        <f>S11/'Output-Calculation-sheet'!S10*'Output-Calculation-sheet'!S28</f>
        <v>1494.5938383077371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492.9694604855743</v>
      </c>
      <c r="Y22" s="2">
        <f>Y11/'Output-Calculation-sheet'!Y10*'Output-Calculation-sheet'!Y28</f>
        <v>51.13416796275736</v>
      </c>
      <c r="AA22" s="2">
        <f t="shared" si="0"/>
        <v>56.629351490482186</v>
      </c>
    </row>
    <row r="23" spans="1:27" x14ac:dyDescent="0.25">
      <c r="A23" s="2">
        <v>2035</v>
      </c>
      <c r="B23" s="2">
        <f>B12/'Output-Calculation-sheet'!B11*'Output-Calculation-sheet'!B29</f>
        <v>22244.194025414679</v>
      </c>
      <c r="C23" s="2">
        <f>C12/'Output-Calculation-sheet'!C11*'Output-Calculation-sheet'!C29</f>
        <v>18168.780730994662</v>
      </c>
      <c r="D23" s="2">
        <f>D12/'Output-Calculation-sheet'!D11*'Output-Calculation-sheet'!D29</f>
        <v>0</v>
      </c>
      <c r="E23" s="2">
        <f>E12/'Output-Calculation-sheet'!E11*'Output-Calculation-sheet'!E29</f>
        <v>3429.5119613536522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6994.0192881129633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777.44268741238568</v>
      </c>
      <c r="M23" s="2">
        <f>M12/'Output-Calculation-sheet'!M11*'Output-Calculation-sheet'!M29</f>
        <v>5124.225926850575</v>
      </c>
      <c r="N23" s="2">
        <f>N12/'Output-Calculation-sheet'!N11*'Output-Calculation-sheet'!N29</f>
        <v>2989.2468112198094</v>
      </c>
      <c r="O23" s="2">
        <f>O12/'Output-Calculation-sheet'!O11*'Output-Calculation-sheet'!O29</f>
        <v>2015.1198272192369</v>
      </c>
      <c r="P23" s="2">
        <f>P12/'Output-Calculation-sheet'!P11*'Output-Calculation-sheet'!P29</f>
        <v>365.0817664641138</v>
      </c>
      <c r="Q23" s="2">
        <f>Q12/'Output-Calculation-sheet'!Q11*'Output-Calculation-sheet'!Q29</f>
        <v>819.60448696875517</v>
      </c>
      <c r="R23" s="2">
        <f>R12/'Output-Calculation-sheet'!R11*'Output-Calculation-sheet'!R29</f>
        <v>0</v>
      </c>
      <c r="S23" s="2">
        <f>S12/'Output-Calculation-sheet'!S11*'Output-Calculation-sheet'!S29</f>
        <v>1600.1443270808522</v>
      </c>
      <c r="T23" s="2">
        <f>T12/'Output-Calculation-sheet'!T11*'Output-Calculation-sheet'!T29</f>
        <v>0</v>
      </c>
      <c r="U23" s="2">
        <f>U12/'Output-Calculation-sheet'!U11*'Output-Calculation-sheet'!U29</f>
        <v>69.778211288869883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507.6343070143601</v>
      </c>
      <c r="Y23" s="2">
        <f>Y12/'Output-Calculation-sheet'!Y11*'Output-Calculation-sheet'!Y29</f>
        <v>150.28810182120381</v>
      </c>
      <c r="AA23" s="2">
        <f t="shared" si="0"/>
        <v>65.255072459216123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12349.655633802173</v>
      </c>
      <c r="C27" s="2">
        <f>C5/'Output-Calculation-sheet'!C4*'Output-Calculation-sheet'!C13</f>
        <v>0</v>
      </c>
      <c r="D27" s="2">
        <f>D5/'Output-Calculation-sheet'!D4*'Output-Calculation-sheet'!D13</f>
        <v>2693.7654264831172</v>
      </c>
      <c r="E27" s="2">
        <f>E5/'Output-Calculation-sheet'!E4*'Output-Calculation-sheet'!E13</f>
        <v>3346.516130893242</v>
      </c>
      <c r="F27" s="2">
        <f>F5/'Output-Calculation-sheet'!F4*'Output-Calculation-sheet'!F13</f>
        <v>1648.2431488023642</v>
      </c>
      <c r="G27" s="2">
        <f>G5/'Output-Calculation-sheet'!G4*'Output-Calculation-sheet'!G13</f>
        <v>1002.3400786377433</v>
      </c>
      <c r="H27" s="2">
        <f>H5/'Output-Calculation-sheet'!H4*'Output-Calculation-sheet'!H13</f>
        <v>0</v>
      </c>
      <c r="I27" s="2">
        <f>I5/'Output-Calculation-sheet'!I4*'Output-Calculation-sheet'!I13</f>
        <v>940.53982922190744</v>
      </c>
      <c r="J27" s="2">
        <f>J5/'Output-Calculation-sheet'!J4*'Output-Calculation-sheet'!J13</f>
        <v>1018.3141605343739</v>
      </c>
      <c r="K27" s="2">
        <f>K5/'Output-Calculation-sheet'!K4*'Output-Calculation-sheet'!K13</f>
        <v>968.7595919537456</v>
      </c>
      <c r="L27" s="2">
        <f>L5/'Output-Calculation-sheet'!L4*'Output-Calculation-sheet'!L13</f>
        <v>1082.7636772570697</v>
      </c>
      <c r="M27" s="2">
        <f>M5/'Output-Calculation-sheet'!M4*'Output-Calculation-sheet'!M13</f>
        <v>0</v>
      </c>
      <c r="N27" s="2">
        <f>N5/'Output-Calculation-sheet'!N4*'Output-Calculation-sheet'!N13</f>
        <v>540.6362432811062</v>
      </c>
      <c r="O27" s="2">
        <f>O5/'Output-Calculation-sheet'!O4*'Output-Calculation-sheet'!O13</f>
        <v>0</v>
      </c>
      <c r="P27" s="2">
        <f>P5/'Output-Calculation-sheet'!P4*'Output-Calculation-sheet'!P13</f>
        <v>907.29483600575134</v>
      </c>
      <c r="Q27" s="2">
        <f>Q5/'Output-Calculation-sheet'!Q4*'Output-Calculation-sheet'!Q13</f>
        <v>887.77937824656885</v>
      </c>
      <c r="R27" s="2">
        <f>R5/'Output-Calculation-sheet'!R4*'Output-Calculation-sheet'!R13</f>
        <v>776.54251615665953</v>
      </c>
      <c r="S27" s="2">
        <f>S5/'Output-Calculation-sheet'!S4*'Output-Calculation-sheet'!S13</f>
        <v>477.49584330505689</v>
      </c>
      <c r="T27" s="2">
        <f>T5/'Output-Calculation-sheet'!T4*'Output-Calculation-sheet'!T13</f>
        <v>303.05725271724725</v>
      </c>
      <c r="U27" s="2">
        <f>U5/'Output-Calculation-sheet'!U4*'Output-Calculation-sheet'!U13</f>
        <v>229.30651332724841</v>
      </c>
      <c r="V27" s="2">
        <f>V5/'Output-Calculation-sheet'!V4*'Output-Calculation-sheet'!V13</f>
        <v>315.41842734348268</v>
      </c>
      <c r="W27" s="2">
        <f>W5/'Output-Calculation-sheet'!W4*'Output-Calculation-sheet'!W13</f>
        <v>147.35819753734222</v>
      </c>
      <c r="X27" s="2">
        <f>X5/'Output-Calculation-sheet'!X4*'Output-Calculation-sheet'!X13</f>
        <v>0</v>
      </c>
      <c r="Y27" s="2">
        <f>Y5/'Output-Calculation-sheet'!Y4*'Output-Calculation-sheet'!Y13</f>
        <v>99.321431955849732</v>
      </c>
      <c r="AA27" s="2">
        <f t="shared" ref="AA27:AA34" si="1">SUM(B27:Y27)/1000</f>
        <v>29.735108317462053</v>
      </c>
    </row>
    <row r="28" spans="1:27" x14ac:dyDescent="0.25">
      <c r="A28" s="2">
        <v>2029</v>
      </c>
      <c r="B28" s="2">
        <f>B6/'Output-Calculation-sheet'!B5*'Output-Calculation-sheet'!B14</f>
        <v>15504.199238901621</v>
      </c>
      <c r="C28" s="2">
        <f>C6/'Output-Calculation-sheet'!C5*'Output-Calculation-sheet'!C14</f>
        <v>0</v>
      </c>
      <c r="D28" s="2">
        <f>D6/'Output-Calculation-sheet'!D5*'Output-Calculation-sheet'!D14</f>
        <v>3415.0941104201197</v>
      </c>
      <c r="E28" s="2">
        <f>E6/'Output-Calculation-sheet'!E5*'Output-Calculation-sheet'!E14</f>
        <v>4273.2273056975173</v>
      </c>
      <c r="F28" s="2">
        <f>F6/'Output-Calculation-sheet'!F5*'Output-Calculation-sheet'!F14</f>
        <v>2091.039851305412</v>
      </c>
      <c r="G28" s="2">
        <f>G6/'Output-Calculation-sheet'!G5*'Output-Calculation-sheet'!G14</f>
        <v>1271.8240611378899</v>
      </c>
      <c r="H28" s="2">
        <f>H6/'Output-Calculation-sheet'!H5*'Output-Calculation-sheet'!H14</f>
        <v>0</v>
      </c>
      <c r="I28" s="2">
        <f>I6/'Output-Calculation-sheet'!I5*'Output-Calculation-sheet'!I14</f>
        <v>1194.5976409679172</v>
      </c>
      <c r="J28" s="2">
        <f>J6/'Output-Calculation-sheet'!J5*'Output-Calculation-sheet'!J14</f>
        <v>1293.4970783338447</v>
      </c>
      <c r="K28" s="2">
        <f>K6/'Output-Calculation-sheet'!K5*'Output-Calculation-sheet'!K14</f>
        <v>1235.3166318046542</v>
      </c>
      <c r="L28" s="2">
        <f>L6/'Output-Calculation-sheet'!L5*'Output-Calculation-sheet'!L14</f>
        <v>1374.6072211839507</v>
      </c>
      <c r="M28" s="2">
        <f>M6/'Output-Calculation-sheet'!M5*'Output-Calculation-sheet'!M14</f>
        <v>0</v>
      </c>
      <c r="N28" s="2">
        <f>N6/'Output-Calculation-sheet'!N5*'Output-Calculation-sheet'!N14</f>
        <v>668.15266233272087</v>
      </c>
      <c r="O28" s="2">
        <f>O6/'Output-Calculation-sheet'!O5*'Output-Calculation-sheet'!O14</f>
        <v>0</v>
      </c>
      <c r="P28" s="2">
        <f>P6/'Output-Calculation-sheet'!P5*'Output-Calculation-sheet'!P14</f>
        <v>1162.2858619392384</v>
      </c>
      <c r="Q28" s="2">
        <f>Q6/'Output-Calculation-sheet'!Q5*'Output-Calculation-sheet'!Q14</f>
        <v>1144.4401131961267</v>
      </c>
      <c r="R28" s="2">
        <f>R6/'Output-Calculation-sheet'!R5*'Output-Calculation-sheet'!R14</f>
        <v>987.51644315625674</v>
      </c>
      <c r="S28" s="2">
        <f>S6/'Output-Calculation-sheet'!S5*'Output-Calculation-sheet'!S14</f>
        <v>581.75617264113134</v>
      </c>
      <c r="T28" s="2">
        <f>T6/'Output-Calculation-sheet'!T5*'Output-Calculation-sheet'!T14</f>
        <v>385.12124338379181</v>
      </c>
      <c r="U28" s="2">
        <f>U6/'Output-Calculation-sheet'!U5*'Output-Calculation-sheet'!U14</f>
        <v>292.91833996092294</v>
      </c>
      <c r="V28" s="2">
        <f>V6/'Output-Calculation-sheet'!V5*'Output-Calculation-sheet'!V14</f>
        <v>394.56495401959438</v>
      </c>
      <c r="W28" s="2">
        <f>W6/'Output-Calculation-sheet'!W5*'Output-Calculation-sheet'!W14</f>
        <v>186.69011355258269</v>
      </c>
      <c r="X28" s="2">
        <f>X6/'Output-Calculation-sheet'!X5*'Output-Calculation-sheet'!X14</f>
        <v>0</v>
      </c>
      <c r="Y28" s="2">
        <f>Y6/'Output-Calculation-sheet'!Y5*'Output-Calculation-sheet'!Y14</f>
        <v>126.16326300955906</v>
      </c>
      <c r="AA28" s="2">
        <f t="shared" si="1"/>
        <v>37.583012306944852</v>
      </c>
    </row>
    <row r="29" spans="1:27" x14ac:dyDescent="0.25">
      <c r="A29" s="2">
        <v>2030</v>
      </c>
      <c r="B29" s="2">
        <f>B7/'Output-Calculation-sheet'!B6*'Output-Calculation-sheet'!B15</f>
        <v>18028.069357660577</v>
      </c>
      <c r="C29" s="2">
        <f>C7/'Output-Calculation-sheet'!C6*'Output-Calculation-sheet'!C15</f>
        <v>0</v>
      </c>
      <c r="D29" s="2">
        <f>D7/'Output-Calculation-sheet'!D6*'Output-Calculation-sheet'!D15</f>
        <v>3997.0167125689213</v>
      </c>
      <c r="E29" s="2">
        <f>E7/'Output-Calculation-sheet'!E6*'Output-Calculation-sheet'!E15</f>
        <v>5009.2479831326154</v>
      </c>
      <c r="F29" s="2">
        <f>F7/'Output-Calculation-sheet'!F6*'Output-Calculation-sheet'!F15</f>
        <v>2443.466508713042</v>
      </c>
      <c r="G29" s="2">
        <f>G7/'Output-Calculation-sheet'!G6*'Output-Calculation-sheet'!G15</f>
        <v>1488.1953542762415</v>
      </c>
      <c r="H29" s="2">
        <f>H7/'Output-Calculation-sheet'!H6*'Output-Calculation-sheet'!H15</f>
        <v>0</v>
      </c>
      <c r="I29" s="2">
        <f>I7/'Output-Calculation-sheet'!I6*'Output-Calculation-sheet'!I15</f>
        <v>1399.3840612189306</v>
      </c>
      <c r="J29" s="2">
        <f>J7/'Output-Calculation-sheet'!J6*'Output-Calculation-sheet'!J15</f>
        <v>1513.2275800959369</v>
      </c>
      <c r="K29" s="2">
        <f>K7/'Output-Calculation-sheet'!K6*'Output-Calculation-sheet'!K15</f>
        <v>1452.4443509791258</v>
      </c>
      <c r="L29" s="2">
        <f>L7/'Output-Calculation-sheet'!L6*'Output-Calculation-sheet'!L15</f>
        <v>1608.1665022018237</v>
      </c>
      <c r="M29" s="2">
        <f>M7/'Output-Calculation-sheet'!M6*'Output-Calculation-sheet'!M15</f>
        <v>0</v>
      </c>
      <c r="N29" s="2">
        <f>N7/'Output-Calculation-sheet'!N6*'Output-Calculation-sheet'!N15</f>
        <v>774.7187830857182</v>
      </c>
      <c r="O29" s="2">
        <f>O7/'Output-Calculation-sheet'!O6*'Output-Calculation-sheet'!O15</f>
        <v>0</v>
      </c>
      <c r="P29" s="2">
        <f>P7/'Output-Calculation-sheet'!P6*'Output-Calculation-sheet'!P15</f>
        <v>1373.579318442198</v>
      </c>
      <c r="Q29" s="2">
        <f>Q7/'Output-Calculation-sheet'!Q6*'Output-Calculation-sheet'!Q15</f>
        <v>1348.4416372967207</v>
      </c>
      <c r="R29" s="2">
        <f>R7/'Output-Calculation-sheet'!R6*'Output-Calculation-sheet'!R15</f>
        <v>1184.6037004441887</v>
      </c>
      <c r="S29" s="2">
        <f>S7/'Output-Calculation-sheet'!S6*'Output-Calculation-sheet'!S15</f>
        <v>662.20474231024411</v>
      </c>
      <c r="T29" s="2">
        <f>T7/'Output-Calculation-sheet'!T6*'Output-Calculation-sheet'!T15</f>
        <v>452.31839044968461</v>
      </c>
      <c r="U29" s="2">
        <f>U7/'Output-Calculation-sheet'!U6*'Output-Calculation-sheet'!U15</f>
        <v>344.77032397749593</v>
      </c>
      <c r="V29" s="2">
        <f>V7/'Output-Calculation-sheet'!V6*'Output-Calculation-sheet'!V15</f>
        <v>453.39894919726913</v>
      </c>
      <c r="W29" s="2">
        <f>W7/'Output-Calculation-sheet'!W6*'Output-Calculation-sheet'!W15</f>
        <v>218.00947168631288</v>
      </c>
      <c r="X29" s="2">
        <f>X7/'Output-Calculation-sheet'!X6*'Output-Calculation-sheet'!X15</f>
        <v>0</v>
      </c>
      <c r="Y29" s="2">
        <f>Y7/'Output-Calculation-sheet'!Y6*'Output-Calculation-sheet'!Y15</f>
        <v>148.49000003476024</v>
      </c>
      <c r="AA29" s="2">
        <f t="shared" si="1"/>
        <v>43.899753727771795</v>
      </c>
    </row>
    <row r="30" spans="1:27" x14ac:dyDescent="0.25">
      <c r="A30" s="2">
        <v>2031</v>
      </c>
      <c r="B30" s="2">
        <f>B8/'Output-Calculation-sheet'!B7*'Output-Calculation-sheet'!B16</f>
        <v>19156.281229898614</v>
      </c>
      <c r="C30" s="2">
        <f>C8/'Output-Calculation-sheet'!C7*'Output-Calculation-sheet'!C16</f>
        <v>0</v>
      </c>
      <c r="D30" s="2">
        <f>D8/'Output-Calculation-sheet'!D7*'Output-Calculation-sheet'!D16</f>
        <v>4315.7254826377184</v>
      </c>
      <c r="E30" s="2">
        <f>E8/'Output-Calculation-sheet'!E7*'Output-Calculation-sheet'!E16</f>
        <v>5408.2934489886429</v>
      </c>
      <c r="F30" s="2">
        <f>F8/'Output-Calculation-sheet'!F7*'Output-Calculation-sheet'!F16</f>
        <v>2641.4100197772791</v>
      </c>
      <c r="G30" s="2">
        <f>G8/'Output-Calculation-sheet'!G7*'Output-Calculation-sheet'!G16</f>
        <v>1609.6409667464322</v>
      </c>
      <c r="H30" s="2">
        <f>H8/'Output-Calculation-sheet'!H7*'Output-Calculation-sheet'!H16</f>
        <v>0</v>
      </c>
      <c r="I30" s="2">
        <f>I8/'Output-Calculation-sheet'!I7*'Output-Calculation-sheet'!I16</f>
        <v>1515.2783061528428</v>
      </c>
      <c r="J30" s="2">
        <f>J8/'Output-Calculation-sheet'!J7*'Output-Calculation-sheet'!J16</f>
        <v>1624.3128326593562</v>
      </c>
      <c r="K30" s="2">
        <f>K8/'Output-Calculation-sheet'!K7*'Output-Calculation-sheet'!K16</f>
        <v>1572.1522390660346</v>
      </c>
      <c r="L30" s="2">
        <f>L8/'Output-Calculation-sheet'!L7*'Output-Calculation-sheet'!L16</f>
        <v>1737.7642877716012</v>
      </c>
      <c r="M30" s="2">
        <f>M8/'Output-Calculation-sheet'!M7*'Output-Calculation-sheet'!M16</f>
        <v>0</v>
      </c>
      <c r="N30" s="2">
        <f>N8/'Output-Calculation-sheet'!N7*'Output-Calculation-sheet'!N16</f>
        <v>779.2599901127461</v>
      </c>
      <c r="O30" s="2">
        <f>O8/'Output-Calculation-sheet'!O7*'Output-Calculation-sheet'!O16</f>
        <v>0</v>
      </c>
      <c r="P30" s="2">
        <f>P8/'Output-Calculation-sheet'!P7*'Output-Calculation-sheet'!P16</f>
        <v>1487.6124401146201</v>
      </c>
      <c r="Q30" s="2">
        <f>Q8/'Output-Calculation-sheet'!Q7*'Output-Calculation-sheet'!Q16</f>
        <v>1459.4215025280153</v>
      </c>
      <c r="R30" s="2">
        <f>R8/'Output-Calculation-sheet'!R7*'Output-Calculation-sheet'!R16</f>
        <v>1295.1247256599149</v>
      </c>
      <c r="S30" s="2">
        <f>S8/'Output-Calculation-sheet'!S7*'Output-Calculation-sheet'!S16</f>
        <v>685.93926540218479</v>
      </c>
      <c r="T30" s="2">
        <f>T8/'Output-Calculation-sheet'!T7*'Output-Calculation-sheet'!T16</f>
        <v>489.18789179621018</v>
      </c>
      <c r="U30" s="2">
        <f>U8/'Output-Calculation-sheet'!U7*'Output-Calculation-sheet'!U16</f>
        <v>377.4586739091144</v>
      </c>
      <c r="V30" s="2">
        <f>V8/'Output-Calculation-sheet'!V7*'Output-Calculation-sheet'!V16</f>
        <v>488.7335025297599</v>
      </c>
      <c r="W30" s="2">
        <f>W8/'Output-Calculation-sheet'!W7*'Output-Calculation-sheet'!W16</f>
        <v>235.31519223741566</v>
      </c>
      <c r="X30" s="2">
        <f>X8/'Output-Calculation-sheet'!X7*'Output-Calculation-sheet'!X16</f>
        <v>0</v>
      </c>
      <c r="Y30" s="2">
        <f>Y8/'Output-Calculation-sheet'!Y7*'Output-Calculation-sheet'!Y16</f>
        <v>160.49009127878685</v>
      </c>
      <c r="AA30" s="2">
        <f t="shared" si="1"/>
        <v>47.039402089267291</v>
      </c>
    </row>
    <row r="31" spans="1:27" x14ac:dyDescent="0.25">
      <c r="A31" s="2">
        <v>2032</v>
      </c>
      <c r="B31" s="2">
        <f>B9/'Output-Calculation-sheet'!B8*'Output-Calculation-sheet'!B17</f>
        <v>18998.820127012048</v>
      </c>
      <c r="C31" s="2">
        <f>C9/'Output-Calculation-sheet'!C8*'Output-Calculation-sheet'!C17</f>
        <v>0</v>
      </c>
      <c r="D31" s="2">
        <f>D9/'Output-Calculation-sheet'!D8*'Output-Calculation-sheet'!D17</f>
        <v>4348.4378653225813</v>
      </c>
      <c r="E31" s="2">
        <f>E9/'Output-Calculation-sheet'!E8*'Output-Calculation-sheet'!E17</f>
        <v>5462.2124219408042</v>
      </c>
      <c r="F31" s="2">
        <f>F9/'Output-Calculation-sheet'!F8*'Output-Calculation-sheet'!F17</f>
        <v>2665.1179277050041</v>
      </c>
      <c r="G31" s="2">
        <f>G9/'Output-Calculation-sheet'!G8*'Output-Calculation-sheet'!G17</f>
        <v>1622.3285500804859</v>
      </c>
      <c r="H31" s="2">
        <f>H9/'Output-Calculation-sheet'!H8*'Output-Calculation-sheet'!H17</f>
        <v>0</v>
      </c>
      <c r="I31" s="2">
        <f>I9/'Output-Calculation-sheet'!I8*'Output-Calculation-sheet'!I17</f>
        <v>1526.4579189712911</v>
      </c>
      <c r="J31" s="2">
        <f>J9/'Output-Calculation-sheet'!J8*'Output-Calculation-sheet'!J17</f>
        <v>1637.6273025350879</v>
      </c>
      <c r="K31" s="2">
        <f>K9/'Output-Calculation-sheet'!K8*'Output-Calculation-sheet'!K17</f>
        <v>1583.8155804923895</v>
      </c>
      <c r="L31" s="2">
        <f>L9/'Output-Calculation-sheet'!L8*'Output-Calculation-sheet'!L17</f>
        <v>1750.0595960842099</v>
      </c>
      <c r="M31" s="2">
        <f>M9/'Output-Calculation-sheet'!M8*'Output-Calculation-sheet'!M17</f>
        <v>0</v>
      </c>
      <c r="N31" s="2">
        <f>N9/'Output-Calculation-sheet'!N8*'Output-Calculation-sheet'!N17</f>
        <v>737.89158217880083</v>
      </c>
      <c r="O31" s="2">
        <f>O9/'Output-Calculation-sheet'!O8*'Output-Calculation-sheet'!O17</f>
        <v>0</v>
      </c>
      <c r="P31" s="2">
        <f>P9/'Output-Calculation-sheet'!P8*'Output-Calculation-sheet'!P17</f>
        <v>1507.4762215570383</v>
      </c>
      <c r="Q31" s="2">
        <f>Q9/'Output-Calculation-sheet'!Q8*'Output-Calculation-sheet'!Q17</f>
        <v>1474.2464945778506</v>
      </c>
      <c r="R31" s="2">
        <f>R9/'Output-Calculation-sheet'!R8*'Output-Calculation-sheet'!R17</f>
        <v>1319.4073944584236</v>
      </c>
      <c r="S31" s="2">
        <f>S9/'Output-Calculation-sheet'!S8*'Output-Calculation-sheet'!S17</f>
        <v>660.46890226212145</v>
      </c>
      <c r="T31" s="2">
        <f>T9/'Output-Calculation-sheet'!T8*'Output-Calculation-sheet'!T17</f>
        <v>494.28022101981065</v>
      </c>
      <c r="U31" s="2">
        <f>U9/'Output-Calculation-sheet'!U8*'Output-Calculation-sheet'!U17</f>
        <v>382.71658266679179</v>
      </c>
      <c r="V31" s="2">
        <f>V9/'Output-Calculation-sheet'!V8*'Output-Calculation-sheet'!V17</f>
        <v>486.68550449305195</v>
      </c>
      <c r="W31" s="2">
        <f>W9/'Output-Calculation-sheet'!W8*'Output-Calculation-sheet'!W17</f>
        <v>237.20763655447152</v>
      </c>
      <c r="X31" s="2">
        <f>X9/'Output-Calculation-sheet'!X8*'Output-Calculation-sheet'!X17</f>
        <v>0</v>
      </c>
      <c r="Y31" s="2">
        <f>Y9/'Output-Calculation-sheet'!Y8*'Output-Calculation-sheet'!Y17</f>
        <v>161.70735563535374</v>
      </c>
      <c r="AA31" s="2">
        <f t="shared" si="1"/>
        <v>47.056965185547618</v>
      </c>
    </row>
    <row r="32" spans="1:27" x14ac:dyDescent="0.25">
      <c r="A32" s="2">
        <v>2033</v>
      </c>
      <c r="B32" s="2">
        <f>B10/'Output-Calculation-sheet'!B9*'Output-Calculation-sheet'!B18</f>
        <v>19622.405364507507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1195.721281930814</v>
      </c>
      <c r="O32" s="2">
        <f>O10/'Output-Calculation-sheet'!O9*'Output-Calculation-sheet'!O18</f>
        <v>0</v>
      </c>
      <c r="P32" s="2">
        <f>P10/'Output-Calculation-sheet'!P9*'Output-Calculation-sheet'!P18</f>
        <v>1925.0905246896716</v>
      </c>
      <c r="Q32" s="2">
        <f>Q10/'Output-Calculation-sheet'!Q9*'Output-Calculation-sheet'!Q18</f>
        <v>2095.5150091071105</v>
      </c>
      <c r="R32" s="2">
        <f>R10/'Output-Calculation-sheet'!R9*'Output-Calculation-sheet'!R18</f>
        <v>1382.314979723817</v>
      </c>
      <c r="S32" s="2">
        <f>S10/'Output-Calculation-sheet'!S9*'Output-Calculation-sheet'!S18</f>
        <v>907.0831263833802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446.25325932749814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47.159191236608258</v>
      </c>
    </row>
    <row r="33" spans="1:27" x14ac:dyDescent="0.25">
      <c r="A33" s="2">
        <v>2034</v>
      </c>
      <c r="B33" s="2">
        <f>B11/'Output-Calculation-sheet'!B10*'Output-Calculation-sheet'!B19</f>
        <v>18551.657899658261</v>
      </c>
      <c r="C33" s="2">
        <f>C11/'Output-Calculation-sheet'!C10*'Output-Calculation-sheet'!C19</f>
        <v>0</v>
      </c>
      <c r="D33" s="2">
        <f>D11/'Output-Calculation-sheet'!D10*'Output-Calculation-sheet'!D19</f>
        <v>5533.7557904444875</v>
      </c>
      <c r="E33" s="2">
        <f>E11/'Output-Calculation-sheet'!E10*'Output-Calculation-sheet'!E19</f>
        <v>6853.9265769645444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1883.6381339180157</v>
      </c>
      <c r="H33" s="2">
        <f>H11/'Output-Calculation-sheet'!H10*'Output-Calculation-sheet'!H19</f>
        <v>0</v>
      </c>
      <c r="I33" s="2">
        <f>I11/'Output-Calculation-sheet'!I10*'Output-Calculation-sheet'!I19</f>
        <v>2055.3133513308085</v>
      </c>
      <c r="J33" s="2">
        <f>J11/'Output-Calculation-sheet'!J10*'Output-Calculation-sheet'!J19</f>
        <v>1737.8998840775096</v>
      </c>
      <c r="K33" s="2">
        <f>K11/'Output-Calculation-sheet'!K10*'Output-Calculation-sheet'!K19</f>
        <v>2411.5868779461102</v>
      </c>
      <c r="L33" s="2">
        <f>L11/'Output-Calculation-sheet'!L10*'Output-Calculation-sheet'!L19</f>
        <v>1961.1946299145397</v>
      </c>
      <c r="M33" s="2">
        <f>M11/'Output-Calculation-sheet'!M10*'Output-Calculation-sheet'!M19</f>
        <v>0</v>
      </c>
      <c r="N33" s="2">
        <f>N11/'Output-Calculation-sheet'!N10*'Output-Calculation-sheet'!N19</f>
        <v>1108.9722280250271</v>
      </c>
      <c r="O33" s="2">
        <f>O11/'Output-Calculation-sheet'!O10*'Output-Calculation-sheet'!O19</f>
        <v>0</v>
      </c>
      <c r="P33" s="2">
        <f>P11/'Output-Calculation-sheet'!P10*'Output-Calculation-sheet'!P19</f>
        <v>2440.1005130853828</v>
      </c>
      <c r="Q33" s="2">
        <f>Q11/'Output-Calculation-sheet'!Q10*'Output-Calculation-sheet'!Q19</f>
        <v>2009.3971553407935</v>
      </c>
      <c r="R33" s="2">
        <f>R11/'Output-Calculation-sheet'!R10*'Output-Calculation-sheet'!R19</f>
        <v>1742.192436505874</v>
      </c>
      <c r="S33" s="2">
        <f>S11/'Output-Calculation-sheet'!S10*'Output-Calculation-sheet'!S19</f>
        <v>812.14877045022274</v>
      </c>
      <c r="T33" s="2">
        <f>T11/'Output-Calculation-sheet'!T10*'Output-Calculation-sheet'!T19</f>
        <v>511.20976481637496</v>
      </c>
      <c r="U33" s="2">
        <f>U11/'Output-Calculation-sheet'!U10*'Output-Calculation-sheet'!U19</f>
        <v>588.35840190150589</v>
      </c>
      <c r="V33" s="2">
        <f>V11/'Output-Calculation-sheet'!V10*'Output-Calculation-sheet'!V19</f>
        <v>400.88822842562388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72.287180077373648</v>
      </c>
      <c r="Y33" s="2">
        <f>Y11/'Output-Calculation-sheet'!Y10*'Output-Calculation-sheet'!Y19</f>
        <v>224.99033903613238</v>
      </c>
      <c r="AA33" s="2">
        <f t="shared" si="1"/>
        <v>54.294589239728175</v>
      </c>
    </row>
    <row r="34" spans="1:27" x14ac:dyDescent="0.25">
      <c r="A34" s="2">
        <v>2035</v>
      </c>
      <c r="B34" s="2">
        <f>B12/'Output-Calculation-sheet'!B11*'Output-Calculation-sheet'!B20</f>
        <v>17703.967169939882</v>
      </c>
      <c r="C34" s="2">
        <f>C12/'Output-Calculation-sheet'!C11*'Output-Calculation-sheet'!C20</f>
        <v>0</v>
      </c>
      <c r="D34" s="2">
        <f>D12/'Output-Calculation-sheet'!D11*'Output-Calculation-sheet'!D20</f>
        <v>5556.0448074371416</v>
      </c>
      <c r="E34" s="2">
        <f>E12/'Output-Calculation-sheet'!E11*'Output-Calculation-sheet'!E20</f>
        <v>6070.7953812368178</v>
      </c>
      <c r="F34" s="2">
        <f>F12/'Output-Calculation-sheet'!F11*'Output-Calculation-sheet'!F20</f>
        <v>3824.8857591052465</v>
      </c>
      <c r="G34" s="2">
        <f>G12/'Output-Calculation-sheet'!G11*'Output-Calculation-sheet'!G20</f>
        <v>2043.9053908404296</v>
      </c>
      <c r="H34" s="2">
        <f>H12/'Output-Calculation-sheet'!H11*'Output-Calculation-sheet'!H20</f>
        <v>0</v>
      </c>
      <c r="I34" s="2">
        <f>I12/'Output-Calculation-sheet'!I11*'Output-Calculation-sheet'!I20</f>
        <v>2221.446843316</v>
      </c>
      <c r="J34" s="2">
        <f>J12/'Output-Calculation-sheet'!J11*'Output-Calculation-sheet'!J20</f>
        <v>1907.1140332590699</v>
      </c>
      <c r="K34" s="2">
        <f>K12/'Output-Calculation-sheet'!K11*'Output-Calculation-sheet'!K20</f>
        <v>2507.3906127375249</v>
      </c>
      <c r="L34" s="2">
        <f>L12/'Output-Calculation-sheet'!L11*'Output-Calculation-sheet'!L20</f>
        <v>1981.6309630303112</v>
      </c>
      <c r="M34" s="2">
        <f>M12/'Output-Calculation-sheet'!M11*'Output-Calculation-sheet'!M20</f>
        <v>0</v>
      </c>
      <c r="N34" s="2">
        <f>N12/'Output-Calculation-sheet'!N11*'Output-Calculation-sheet'!N20</f>
        <v>1102.7779568120984</v>
      </c>
      <c r="O34" s="2">
        <f>O12/'Output-Calculation-sheet'!O11*'Output-Calculation-sheet'!O20</f>
        <v>0</v>
      </c>
      <c r="P34" s="2">
        <f>P12/'Output-Calculation-sheet'!P11*'Output-Calculation-sheet'!P20</f>
        <v>2464.507293719877</v>
      </c>
      <c r="Q34" s="2">
        <f>Q12/'Output-Calculation-sheet'!Q11*'Output-Calculation-sheet'!Q20</f>
        <v>1950.0917012711143</v>
      </c>
      <c r="R34" s="2">
        <f>R12/'Output-Calculation-sheet'!R11*'Output-Calculation-sheet'!R20</f>
        <v>1957.3072115383432</v>
      </c>
      <c r="S34" s="2">
        <f>S12/'Output-Calculation-sheet'!S11*'Output-Calculation-sheet'!S20</f>
        <v>747.6438617688874</v>
      </c>
      <c r="T34" s="2">
        <f>T12/'Output-Calculation-sheet'!T11*'Output-Calculation-sheet'!T20</f>
        <v>614.9254631876837</v>
      </c>
      <c r="U34" s="2">
        <f>U12/'Output-Calculation-sheet'!U11*'Output-Calculation-sheet'!U20</f>
        <v>561.02419591194916</v>
      </c>
      <c r="V34" s="2">
        <f>V12/'Output-Calculation-sheet'!V11*'Output-Calculation-sheet'!V20</f>
        <v>515.35822867507898</v>
      </c>
      <c r="W34" s="2">
        <f>W12/'Output-Calculation-sheet'!W11*'Output-Calculation-sheet'!W20</f>
        <v>331.56328538705463</v>
      </c>
      <c r="X34" s="2">
        <f>X12/'Output-Calculation-sheet'!X11*'Output-Calculation-sheet'!X20</f>
        <v>67.010187439101927</v>
      </c>
      <c r="Y34" s="2">
        <f>Y12/'Output-Calculation-sheet'!Y11*'Output-Calculation-sheet'!Y20</f>
        <v>185.85374720763059</v>
      </c>
      <c r="AA34" s="2">
        <f t="shared" si="1"/>
        <v>54.315244093821249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0.78612454146906718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0.45816854959960807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1.2442930910686751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1.5709734550544416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0.24179727800059136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0.16638018848282113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0.61039575910513288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0.14327252444497637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1.8252316837184868E-2</v>
      </c>
      <c r="Y44" s="2">
        <f>Y11/'Output-Calculation-sheet'!Y10*'Output-Calculation-sheet'!Y37*0.0114</f>
        <v>0</v>
      </c>
      <c r="AA44" s="2">
        <f t="shared" si="2"/>
        <v>2.7510715219251485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1.5707522226351529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0.61030980009030966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1.8249746453707971E-2</v>
      </c>
      <c r="Y45" s="2">
        <f>Y12/'Output-Calculation-sheet'!Y11*'Output-Calculation-sheet'!Y38*0.0114</f>
        <v>1.7611343819184479E-2</v>
      </c>
      <c r="AA45" s="2">
        <f t="shared" si="2"/>
        <v>7.8259822619735715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58.886088160351157</v>
      </c>
      <c r="U49" s="2">
        <f>U5/'Output-Calculation-sheet'!U4*'Output-Calculation-sheet'!U40</f>
        <v>0</v>
      </c>
      <c r="V49" s="2">
        <f>V5/'Output-Calculation-sheet'!V4*'Output-Calculation-sheet'!V40</f>
        <v>296.15456037308161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0.35504064853343276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136.91423580076383</v>
      </c>
      <c r="U50" s="2">
        <f>U6/'Output-Calculation-sheet'!U5*'Output-Calculation-sheet'!U41</f>
        <v>0</v>
      </c>
      <c r="V50" s="2">
        <f>V6/'Output-Calculation-sheet'!V5*'Output-Calculation-sheet'!V41</f>
        <v>416.86997927999863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0.55378421508076248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278.34823585921799</v>
      </c>
      <c r="S51" s="2">
        <f>S7/'Output-Calculation-sheet'!S6*'Output-Calculation-sheet'!S42</f>
        <v>0</v>
      </c>
      <c r="T51" s="2">
        <f>T7/'Output-Calculation-sheet'!T6*'Output-Calculation-sheet'!T42</f>
        <v>283.19243539575763</v>
      </c>
      <c r="U51" s="2">
        <f>U7/'Output-Calculation-sheet'!U6*'Output-Calculation-sheet'!U42</f>
        <v>0</v>
      </c>
      <c r="V51" s="2">
        <f>V7/'Output-Calculation-sheet'!V6*'Output-Calculation-sheet'!V42</f>
        <v>546.6832531459213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1.1082239244008969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109.46513109818916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97.440451154744281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423.71579878023465</v>
      </c>
      <c r="S52" s="2">
        <f>S8/'Output-Calculation-sheet'!S7*'Output-Calculation-sheet'!S43</f>
        <v>0</v>
      </c>
      <c r="T52" s="2">
        <f>T8/'Output-Calculation-sheet'!T7*'Output-Calculation-sheet'!T43</f>
        <v>341.18343835514798</v>
      </c>
      <c r="U52" s="2">
        <f>U8/'Output-Calculation-sheet'!U7*'Output-Calculation-sheet'!U43</f>
        <v>36.08591528767824</v>
      </c>
      <c r="V52" s="2">
        <f>V8/'Output-Calculation-sheet'!V7*'Output-Calculation-sheet'!V43</f>
        <v>615.25302068233543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1.6231437553583297</v>
      </c>
    </row>
    <row r="53" spans="1:27" x14ac:dyDescent="0.25">
      <c r="A53" s="2">
        <v>2032</v>
      </c>
      <c r="B53" s="2">
        <f>B9/'Output-Calculation-sheet'!B8*'Output-Calculation-sheet'!B44</f>
        <v>1164.7678827197208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219.58670701269421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175.9187133456964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549.98224029113112</v>
      </c>
      <c r="S53" s="2">
        <f>S9/'Output-Calculation-sheet'!S8*'Output-Calculation-sheet'!S44</f>
        <v>0</v>
      </c>
      <c r="T53" s="2">
        <f>T9/'Output-Calculation-sheet'!T8*'Output-Calculation-sheet'!T44</f>
        <v>379.20174134466458</v>
      </c>
      <c r="U53" s="2">
        <f>U9/'Output-Calculation-sheet'!U8*'Output-Calculation-sheet'!U44</f>
        <v>64.345095125030667</v>
      </c>
      <c r="V53" s="2">
        <f>V9/'Output-Calculation-sheet'!V8*'Output-Calculation-sheet'!V44</f>
        <v>635.70377151916693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3.1895061513581044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42616.2251427968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0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553.43069351336044</v>
      </c>
      <c r="R54" s="2">
        <f>R10/'Output-Calculation-sheet'!R9*'Output-Calculation-sheet'!R45</f>
        <v>923.03181255865275</v>
      </c>
      <c r="S54" s="2">
        <f>S10/'Output-Calculation-sheet'!S9*'Output-Calculation-sheet'!S45</f>
        <v>2205.4531405543694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333.09070778415395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95.860660474303145</v>
      </c>
    </row>
    <row r="55" spans="1:27" x14ac:dyDescent="0.25">
      <c r="A55" s="2">
        <v>2034</v>
      </c>
      <c r="B55" s="2">
        <f>B11/'Output-Calculation-sheet'!B10*'Output-Calculation-sheet'!B46</f>
        <v>52842.97265416391</v>
      </c>
      <c r="C55" s="2">
        <f>C11/'Output-Calculation-sheet'!C10*'Output-Calculation-sheet'!C46</f>
        <v>43477.379392076866</v>
      </c>
      <c r="D55" s="2">
        <f>D11/'Output-Calculation-sheet'!D10*'Output-Calculation-sheet'!D46</f>
        <v>4882.8693112542906</v>
      </c>
      <c r="E55" s="2">
        <f>E11/'Output-Calculation-sheet'!E10*'Output-Calculation-sheet'!E46</f>
        <v>6014.8969584888819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15674.402494950615</v>
      </c>
      <c r="I55" s="2">
        <f>I11/'Output-Calculation-sheet'!I10*'Output-Calculation-sheet'!I46</f>
        <v>1181.5880602091515</v>
      </c>
      <c r="J55" s="2">
        <f>J11/'Output-Calculation-sheet'!J10*'Output-Calculation-sheet'!J46</f>
        <v>857.54844565897065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846.47025539747062</v>
      </c>
      <c r="M55" s="2">
        <f>M11/'Output-Calculation-sheet'!M10*'Output-Calculation-sheet'!M46</f>
        <v>11077.417812145721</v>
      </c>
      <c r="N55" s="2">
        <f>N11/'Output-Calculation-sheet'!N10*'Output-Calculation-sheet'!N46</f>
        <v>8448.7930864526516</v>
      </c>
      <c r="O55" s="2">
        <f>O11/'Output-Calculation-sheet'!O10*'Output-Calculation-sheet'!O46</f>
        <v>187.40220674280397</v>
      </c>
      <c r="P55" s="2">
        <f>P11/'Output-Calculation-sheet'!P10*'Output-Calculation-sheet'!P46</f>
        <v>3140.6171578837266</v>
      </c>
      <c r="Q55" s="2">
        <f>Q11/'Output-Calculation-sheet'!Q10*'Output-Calculation-sheet'!Q46</f>
        <v>1847.4614994220638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4152.426132199681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962.37240900694087</v>
      </c>
      <c r="V55" s="2">
        <f>V11/'Output-Calculation-sheet'!V10*'Output-Calculation-sheet'!V46</f>
        <v>389.59011508806987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1133.5649404146391</v>
      </c>
      <c r="Y55" s="2">
        <f>Y11/'Output-Calculation-sheet'!Y10*'Output-Calculation-sheet'!Y46</f>
        <v>295.1088104211106</v>
      </c>
      <c r="AA55" s="2">
        <f t="shared" si="3"/>
        <v>165.23654862872914</v>
      </c>
    </row>
    <row r="56" spans="1:27" x14ac:dyDescent="0.25">
      <c r="A56" s="2">
        <v>2035</v>
      </c>
      <c r="B56" s="2">
        <f>B12/'Output-Calculation-sheet'!B11*'Output-Calculation-sheet'!B47</f>
        <v>67205.634262119289</v>
      </c>
      <c r="C56" s="2">
        <f>C12/'Output-Calculation-sheet'!C11*'Output-Calculation-sheet'!C47</f>
        <v>44160.183101277762</v>
      </c>
      <c r="D56" s="2">
        <f>D12/'Output-Calculation-sheet'!D11*'Output-Calculation-sheet'!D47</f>
        <v>5370.3998490198856</v>
      </c>
      <c r="E56" s="2">
        <f>E12/'Output-Calculation-sheet'!E11*'Output-Calculation-sheet'!E47</f>
        <v>15083.625178274749</v>
      </c>
      <c r="F56" s="2">
        <f>F12/'Output-Calculation-sheet'!F11*'Output-Calculation-sheet'!F47</f>
        <v>1860.7090668098447</v>
      </c>
      <c r="G56" s="2">
        <f>G12/'Output-Calculation-sheet'!G11*'Output-Calculation-sheet'!G47</f>
        <v>4203.2243160250464</v>
      </c>
      <c r="H56" s="2">
        <f>H12/'Output-Calculation-sheet'!H11*'Output-Calculation-sheet'!H47</f>
        <v>16053.926557269297</v>
      </c>
      <c r="I56" s="2">
        <f>I12/'Output-Calculation-sheet'!I11*'Output-Calculation-sheet'!I47</f>
        <v>2126.5589934153645</v>
      </c>
      <c r="J56" s="2">
        <f>J12/'Output-Calculation-sheet'!J11*'Output-Calculation-sheet'!J47</f>
        <v>1929.2122830466958</v>
      </c>
      <c r="K56" s="2">
        <f>K12/'Output-Calculation-sheet'!K11*'Output-Calculation-sheet'!K47</f>
        <v>2786.7636707280076</v>
      </c>
      <c r="L56" s="2">
        <f>L12/'Output-Calculation-sheet'!L11*'Output-Calculation-sheet'!L47</f>
        <v>1538.8200930532951</v>
      </c>
      <c r="M56" s="2">
        <f>M12/'Output-Calculation-sheet'!M11*'Output-Calculation-sheet'!M47</f>
        <v>11192.599418750937</v>
      </c>
      <c r="N56" s="2">
        <f>N12/'Output-Calculation-sheet'!N11*'Output-Calculation-sheet'!N47</f>
        <v>8547.9992490572331</v>
      </c>
      <c r="O56" s="2">
        <f>O12/'Output-Calculation-sheet'!O11*'Output-Calculation-sheet'!O47</f>
        <v>803.03921064514418</v>
      </c>
      <c r="P56" s="2">
        <f>P12/'Output-Calculation-sheet'!P11*'Output-Calculation-sheet'!P47</f>
        <v>4438.6438181562798</v>
      </c>
      <c r="Q56" s="2">
        <f>Q12/'Output-Calculation-sheet'!Q11*'Output-Calculation-sheet'!Q47</f>
        <v>2249.3131848308471</v>
      </c>
      <c r="R56" s="2">
        <f>R12/'Output-Calculation-sheet'!R11*'Output-Calculation-sheet'!R47</f>
        <v>3277.3817495262192</v>
      </c>
      <c r="S56" s="2">
        <f>S12/'Output-Calculation-sheet'!S11*'Output-Calculation-sheet'!S47</f>
        <v>4340.9351317817909</v>
      </c>
      <c r="T56" s="2">
        <f>T12/'Output-Calculation-sheet'!T11*'Output-Calculation-sheet'!T47</f>
        <v>1147.9715124736335</v>
      </c>
      <c r="U56" s="2">
        <f>U12/'Output-Calculation-sheet'!U11*'Output-Calculation-sheet'!U47</f>
        <v>1098.5537746006867</v>
      </c>
      <c r="V56" s="2">
        <f>V12/'Output-Calculation-sheet'!V11*'Output-Calculation-sheet'!V47</f>
        <v>766.70430363361254</v>
      </c>
      <c r="W56" s="2">
        <f>W12/'Output-Calculation-sheet'!W11*'Output-Calculation-sheet'!W47</f>
        <v>436.3590640438735</v>
      </c>
      <c r="X56" s="2">
        <f>X12/'Output-Calculation-sheet'!X11*'Output-Calculation-sheet'!X47</f>
        <v>1155.817275401505</v>
      </c>
      <c r="Y56" s="2">
        <f>Y12/'Output-Calculation-sheet'!Y11*'Output-Calculation-sheet'!Y47</f>
        <v>591.67935813575923</v>
      </c>
      <c r="AA56" s="2">
        <f t="shared" si="3"/>
        <v>202.36605442207673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3.4661810019346251</v>
      </c>
      <c r="C60" s="2">
        <f>C5*'Output-Calculation-sheet'!C49/10^9</f>
        <v>1.74788217710769</v>
      </c>
      <c r="D60" s="2">
        <f>D5*'Output-Calculation-sheet'!D49/10^9</f>
        <v>0.61318835508026426</v>
      </c>
      <c r="E60" s="2">
        <f>E5*'Output-Calculation-sheet'!E49/10^9</f>
        <v>0.78896958038414844</v>
      </c>
      <c r="F60" s="2">
        <f>F5*'Output-Calculation-sheet'!F49/10^9</f>
        <v>0.32959388051792987</v>
      </c>
      <c r="G60" s="2">
        <f>G5*'Output-Calculation-sheet'!G49/10^9</f>
        <v>0.23548932958360905</v>
      </c>
      <c r="H60" s="2">
        <f>H5*'Output-Calculation-sheet'!H49/10^9</f>
        <v>0.45514298659457203</v>
      </c>
      <c r="I60" s="2">
        <f>I5*'Output-Calculation-sheet'!I49/10^9</f>
        <v>0.21132432825106556</v>
      </c>
      <c r="J60" s="2">
        <f>J5*'Output-Calculation-sheet'!J49/10^9</f>
        <v>0.2272748903904652</v>
      </c>
      <c r="K60" s="2">
        <f>K5*'Output-Calculation-sheet'!K49/10^9</f>
        <v>0.23165172023807454</v>
      </c>
      <c r="L60" s="2">
        <f>L5*'Output-Calculation-sheet'!L49/10^9</f>
        <v>0.24132020207185048</v>
      </c>
      <c r="M60" s="2">
        <f>M5*'Output-Calculation-sheet'!M49/10^9</f>
        <v>0.34391324660831707</v>
      </c>
      <c r="N60" s="2">
        <f>N5*'Output-Calculation-sheet'!N49/10^9</f>
        <v>0.29030372912435404</v>
      </c>
      <c r="O60" s="2">
        <f>O5*'Output-Calculation-sheet'!O49/10^9</f>
        <v>0.29738215320727207</v>
      </c>
      <c r="P60" s="2">
        <f>P5*'Output-Calculation-sheet'!P49/10^9</f>
        <v>0.24865415716450118</v>
      </c>
      <c r="Q60" s="2">
        <f>Q5*'Output-Calculation-sheet'!Q49/10^9</f>
        <v>0.23541584861703971</v>
      </c>
      <c r="R60" s="2">
        <f>R5*'Output-Calculation-sheet'!R49/10^9</f>
        <v>0.19901039581937432</v>
      </c>
      <c r="S60" s="2">
        <f>S5*'Output-Calculation-sheet'!S49/10^9</f>
        <v>0.18249778883134166</v>
      </c>
      <c r="T60" s="2">
        <f>T5*'Output-Calculation-sheet'!T49/10^9</f>
        <v>6.6182700049208162E-2</v>
      </c>
      <c r="U60" s="2">
        <f>U5*'Output-Calculation-sheet'!U49/10^9</f>
        <v>6.3647373855872241E-2</v>
      </c>
      <c r="V60" s="2">
        <f>V5*'Output-Calculation-sheet'!V49/10^9</f>
        <v>5.9967856423052662E-2</v>
      </c>
      <c r="W60" s="2">
        <f>W5*'Output-Calculation-sheet'!W49/10^9</f>
        <v>2.9993989238160403E-2</v>
      </c>
      <c r="X60" s="2">
        <f>X5*'Output-Calculation-sheet'!X49/10^9</f>
        <v>4.8185872367968688E-2</v>
      </c>
      <c r="Y60" s="2">
        <f>Y5*'Output-Calculation-sheet'!Y49/10^9</f>
        <v>2.4868706854355372E-2</v>
      </c>
      <c r="AA60" s="2">
        <f t="shared" ref="AA60:AA67" si="4">SUM(B60:Y60)</f>
        <v>10.638042270315109</v>
      </c>
    </row>
    <row r="61" spans="1:27" x14ac:dyDescent="0.25">
      <c r="A61" s="2">
        <v>2029</v>
      </c>
      <c r="B61" s="2">
        <f>B6*'Output-Calculation-sheet'!B50/10^9</f>
        <v>4.3136910445327974</v>
      </c>
      <c r="C61" s="2">
        <f>C6*'Output-Calculation-sheet'!C50/10^9</f>
        <v>2.1818066665666236</v>
      </c>
      <c r="D61" s="2">
        <f>D6*'Output-Calculation-sheet'!D50/10^9</f>
        <v>0.76287388998582639</v>
      </c>
      <c r="E61" s="2">
        <f>E6*'Output-Calculation-sheet'!E50/10^9</f>
        <v>0.98186760201416523</v>
      </c>
      <c r="F61" s="2">
        <f>F6*'Output-Calculation-sheet'!F50/10^9</f>
        <v>0.40946815447091156</v>
      </c>
      <c r="G61" s="2">
        <f>G6*'Output-Calculation-sheet'!G50/10^9</f>
        <v>0.29306556275380957</v>
      </c>
      <c r="H61" s="2">
        <f>H6*'Output-Calculation-sheet'!H50/10^9</f>
        <v>0.56734203800598115</v>
      </c>
      <c r="I61" s="2">
        <f>I6*'Output-Calculation-sheet'!I50/10^9</f>
        <v>0.26287069725098078</v>
      </c>
      <c r="J61" s="2">
        <f>J6*'Output-Calculation-sheet'!J50/10^9</f>
        <v>0.28269293719907373</v>
      </c>
      <c r="K61" s="2">
        <f>K6*'Output-Calculation-sheet'!K50/10^9</f>
        <v>0.28833111317383059</v>
      </c>
      <c r="L61" s="2">
        <f>L6*'Output-Calculation-sheet'!L50/10^9</f>
        <v>0.30015712398645167</v>
      </c>
      <c r="M61" s="2">
        <f>M6*'Output-Calculation-sheet'!M50/10^9</f>
        <v>0.42878764320063317</v>
      </c>
      <c r="N61" s="2">
        <f>N6*'Output-Calculation-sheet'!N50/10^9</f>
        <v>0.3619077674614723</v>
      </c>
      <c r="O61" s="2">
        <f>O6*'Output-Calculation-sheet'!O50/10^9</f>
        <v>0.37374817021698326</v>
      </c>
      <c r="P61" s="2">
        <f>P6*'Output-Calculation-sheet'!P50/10^9</f>
        <v>0.30987298283640591</v>
      </c>
      <c r="Q61" s="2">
        <f>Q6*'Output-Calculation-sheet'!Q50/10^9</f>
        <v>0.29328358197553467</v>
      </c>
      <c r="R61" s="2">
        <f>R6*'Output-Calculation-sheet'!R50/10^9</f>
        <v>0.2478686479045249</v>
      </c>
      <c r="S61" s="2">
        <f>S6*'Output-Calculation-sheet'!S50/10^9</f>
        <v>0.22751237899333071</v>
      </c>
      <c r="T61" s="2">
        <f>T6*'Output-Calculation-sheet'!T50/10^9</f>
        <v>8.1927667187358139E-2</v>
      </c>
      <c r="U61" s="2">
        <f>U6*'Output-Calculation-sheet'!U50/10^9</f>
        <v>7.9326150965867592E-2</v>
      </c>
      <c r="V61" s="2">
        <f>V6*'Output-Calculation-sheet'!V50/10^9</f>
        <v>7.3178726801920196E-2</v>
      </c>
      <c r="W61" s="2">
        <f>W6*'Output-Calculation-sheet'!W50/10^9</f>
        <v>3.7270535053711806E-2</v>
      </c>
      <c r="X61" s="2">
        <f>X6*'Output-Calculation-sheet'!X50/10^9</f>
        <v>6.0118638278333365E-2</v>
      </c>
      <c r="Y61" s="2">
        <f>Y6*'Output-Calculation-sheet'!Y50/10^9</f>
        <v>3.096751000049882E-2</v>
      </c>
      <c r="AA61" s="2">
        <f t="shared" si="4"/>
        <v>13.249937230817025</v>
      </c>
    </row>
    <row r="62" spans="1:27" x14ac:dyDescent="0.25">
      <c r="A62" s="2">
        <v>2030</v>
      </c>
      <c r="B62" s="2">
        <f>B7*'Output-Calculation-sheet'!B51/10^9</f>
        <v>4.9508018834578511</v>
      </c>
      <c r="C62" s="2">
        <f>C7*'Output-Calculation-sheet'!C51/10^9</f>
        <v>2.5120533504347593</v>
      </c>
      <c r="D62" s="2">
        <f>D7*'Output-Calculation-sheet'!D51/10^9</f>
        <v>0.87549332726268481</v>
      </c>
      <c r="E62" s="2">
        <f>E7*'Output-Calculation-sheet'!E51/10^9</f>
        <v>1.1271256549904789</v>
      </c>
      <c r="F62" s="2">
        <f>F7*'Output-Calculation-sheet'!F51/10^9</f>
        <v>0.46922920625441922</v>
      </c>
      <c r="G62" s="2">
        <f>G7*'Output-Calculation-sheet'!G51/10^9</f>
        <v>0.33643481659311925</v>
      </c>
      <c r="H62" s="2">
        <f>H7*'Output-Calculation-sheet'!H51/10^9</f>
        <v>0.65230869779516776</v>
      </c>
      <c r="I62" s="2">
        <f>I7*'Output-Calculation-sheet'!I51/10^9</f>
        <v>0.30162595175824386</v>
      </c>
      <c r="J62" s="2">
        <f>J7*'Output-Calculation-sheet'!J51/10^9</f>
        <v>0.32434933821693313</v>
      </c>
      <c r="K62" s="2">
        <f>K7*'Output-Calculation-sheet'!K51/10^9</f>
        <v>0.33103276363748996</v>
      </c>
      <c r="L62" s="2">
        <f>L7*'Output-Calculation-sheet'!L51/10^9</f>
        <v>0.34438385585314812</v>
      </c>
      <c r="M62" s="2">
        <f>M7*'Output-Calculation-sheet'!M51/10^9</f>
        <v>0.49312705757352865</v>
      </c>
      <c r="N62" s="2">
        <f>N7*'Output-Calculation-sheet'!N51/10^9</f>
        <v>0.4160319486267261</v>
      </c>
      <c r="O62" s="2">
        <f>O7*'Output-Calculation-sheet'!O51/10^9</f>
        <v>0.43095392161686513</v>
      </c>
      <c r="P62" s="2">
        <f>P7*'Output-Calculation-sheet'!P51/10^9</f>
        <v>0.35619912871170817</v>
      </c>
      <c r="Q62" s="2">
        <f>Q7*'Output-Calculation-sheet'!Q51/10^9</f>
        <v>0.33701528259052066</v>
      </c>
      <c r="R62" s="2">
        <f>R7*'Output-Calculation-sheet'!R51/10^9</f>
        <v>0.28425817264775866</v>
      </c>
      <c r="S62" s="2">
        <f>S7*'Output-Calculation-sheet'!S51/10^9</f>
        <v>0.26152660512208431</v>
      </c>
      <c r="T62" s="2">
        <f>T7*'Output-Calculation-sheet'!T51/10^9</f>
        <v>9.3303704805918417E-2</v>
      </c>
      <c r="U62" s="2">
        <f>U7*'Output-Calculation-sheet'!U51/10^9</f>
        <v>9.1199784301767853E-2</v>
      </c>
      <c r="V62" s="2">
        <f>V7*'Output-Calculation-sheet'!V51/10^9</f>
        <v>8.2320212395505452E-2</v>
      </c>
      <c r="W62" s="2">
        <f>W7*'Output-Calculation-sheet'!W51/10^9</f>
        <v>4.2720118369307926E-2</v>
      </c>
      <c r="X62" s="2">
        <f>X7*'Output-Calculation-sheet'!X51/10^9</f>
        <v>6.9185257057016517E-2</v>
      </c>
      <c r="Y62" s="2">
        <f>Y7*'Output-Calculation-sheet'!Y51/10^9</f>
        <v>3.5571101051193717E-2</v>
      </c>
      <c r="AA62" s="2">
        <f t="shared" si="4"/>
        <v>15.218251141124197</v>
      </c>
    </row>
    <row r="63" spans="1:27" x14ac:dyDescent="0.25">
      <c r="A63" s="2">
        <v>2031</v>
      </c>
      <c r="B63" s="2">
        <f>B8*'Output-Calculation-sheet'!B52/10^9</f>
        <v>5.2858407297963632</v>
      </c>
      <c r="C63" s="2">
        <f>C8*'Output-Calculation-sheet'!C52/10^9</f>
        <v>2.6792699001220948</v>
      </c>
      <c r="D63" s="2">
        <f>D8*'Output-Calculation-sheet'!D52/10^9</f>
        <v>0.93598833702947615</v>
      </c>
      <c r="E63" s="2">
        <f>E8*'Output-Calculation-sheet'!E52/10^9</f>
        <v>1.2051679753483138</v>
      </c>
      <c r="F63" s="2">
        <f>F8*'Output-Calculation-sheet'!F52/10^9</f>
        <v>0.50129241698916038</v>
      </c>
      <c r="G63" s="2">
        <f>G8*'Output-Calculation-sheet'!G52/10^9</f>
        <v>0.35968923485889975</v>
      </c>
      <c r="H63" s="2">
        <f>H8*'Output-Calculation-sheet'!H52/10^9</f>
        <v>0.6948139371941805</v>
      </c>
      <c r="I63" s="2">
        <f>I8*'Output-Calculation-sheet'!I52/10^9</f>
        <v>0.32243838211327214</v>
      </c>
      <c r="J63" s="2">
        <f>J8*'Output-Calculation-sheet'!J52/10^9</f>
        <v>0.34663386234806737</v>
      </c>
      <c r="K63" s="2">
        <f>K8*'Output-Calculation-sheet'!K52/10^9</f>
        <v>0.35397353336186438</v>
      </c>
      <c r="L63" s="2">
        <f>L8*'Output-Calculation-sheet'!L52/10^9</f>
        <v>0.36813630106446238</v>
      </c>
      <c r="M63" s="2">
        <f>M8*'Output-Calculation-sheet'!M52/10^9</f>
        <v>0.52539132286898194</v>
      </c>
      <c r="N63" s="2">
        <f>N8*'Output-Calculation-sheet'!N52/10^9</f>
        <v>0.4438949933294607</v>
      </c>
      <c r="O63" s="2">
        <f>O8*'Output-Calculation-sheet'!O52/10^9</f>
        <v>0.45984746679165334</v>
      </c>
      <c r="P63" s="2">
        <f>P8*'Output-Calculation-sheet'!P52/10^9</f>
        <v>0.38110930483354533</v>
      </c>
      <c r="Q63" s="2">
        <f>Q8*'Output-Calculation-sheet'!Q52/10^9</f>
        <v>0.36052638179558871</v>
      </c>
      <c r="R63" s="2">
        <f>R8*'Output-Calculation-sheet'!R52/10^9</f>
        <v>0.30372239525273831</v>
      </c>
      <c r="S63" s="2">
        <f>S8*'Output-Calculation-sheet'!S52/10^9</f>
        <v>0.27925384030095318</v>
      </c>
      <c r="T63" s="2">
        <f>T8*'Output-Calculation-sheet'!T52/10^9</f>
        <v>9.9455758052844401E-2</v>
      </c>
      <c r="U63" s="2">
        <f>U8*'Output-Calculation-sheet'!U52/10^9</f>
        <v>9.7559158559326092E-2</v>
      </c>
      <c r="V63" s="2">
        <f>V8*'Output-Calculation-sheet'!V52/10^9</f>
        <v>8.743898179836003E-2</v>
      </c>
      <c r="W63" s="2">
        <f>W8*'Output-Calculation-sheet'!W52/10^9</f>
        <v>4.564460033093324E-2</v>
      </c>
      <c r="X63" s="2">
        <f>X8*'Output-Calculation-sheet'!X52/10^9</f>
        <v>7.3762656043315111E-2</v>
      </c>
      <c r="Y63" s="2">
        <f>Y8*'Output-Calculation-sheet'!Y52/10^9</f>
        <v>3.8045300341638416E-2</v>
      </c>
      <c r="AA63" s="2">
        <f t="shared" si="4"/>
        <v>16.248896770525498</v>
      </c>
    </row>
    <row r="64" spans="1:27" x14ac:dyDescent="0.25">
      <c r="A64" s="2">
        <v>2032</v>
      </c>
      <c r="B64" s="2">
        <f>B9*'Output-Calculation-sheet'!B53/10^9</f>
        <v>5.2651606932290393</v>
      </c>
      <c r="C64" s="2">
        <f>C9*'Output-Calculation-sheet'!C53/10^9</f>
        <v>2.6664000475410634</v>
      </c>
      <c r="D64" s="2">
        <f>D9*'Output-Calculation-sheet'!D53/10^9</f>
        <v>0.93400226297904065</v>
      </c>
      <c r="E64" s="2">
        <f>E9*'Output-Calculation-sheet'!E53/10^9</f>
        <v>1.2027670657245102</v>
      </c>
      <c r="F64" s="2">
        <f>F9*'Output-Calculation-sheet'!F53/10^9</f>
        <v>0.49985949387579304</v>
      </c>
      <c r="G64" s="2">
        <f>G9*'Output-Calculation-sheet'!G53/10^9</f>
        <v>0.35884913538256114</v>
      </c>
      <c r="H64" s="2">
        <f>H9*'Output-Calculation-sheet'!H53/10^9</f>
        <v>0.69062531536777894</v>
      </c>
      <c r="I64" s="2">
        <f>I9*'Output-Calculation-sheet'!I53/10^9</f>
        <v>0.321722676511702</v>
      </c>
      <c r="J64" s="2">
        <f>J9*'Output-Calculation-sheet'!J53/10^9</f>
        <v>0.3457572326244791</v>
      </c>
      <c r="K64" s="2">
        <f>K9*'Output-Calculation-sheet'!K53/10^9</f>
        <v>0.35328917130986537</v>
      </c>
      <c r="L64" s="2">
        <f>L9*'Output-Calculation-sheet'!L53/10^9</f>
        <v>0.36731128441743399</v>
      </c>
      <c r="M64" s="2">
        <f>M9*'Output-Calculation-sheet'!M53/10^9</f>
        <v>0.52235086092646643</v>
      </c>
      <c r="N64" s="2">
        <f>N9*'Output-Calculation-sheet'!N53/10^9</f>
        <v>0.44181242869291043</v>
      </c>
      <c r="O64" s="2">
        <f>O9*'Output-Calculation-sheet'!O53/10^9</f>
        <v>0.45778238219077827</v>
      </c>
      <c r="P64" s="2">
        <f>P9*'Output-Calculation-sheet'!P53/10^9</f>
        <v>0.38059491109487487</v>
      </c>
      <c r="Q64" s="2">
        <f>Q9*'Output-Calculation-sheet'!Q53/10^9</f>
        <v>0.35998520443974791</v>
      </c>
      <c r="R64" s="2">
        <f>R9*'Output-Calculation-sheet'!R53/10^9</f>
        <v>0.3027779749519478</v>
      </c>
      <c r="S64" s="2">
        <f>S9*'Output-Calculation-sheet'!S53/10^9</f>
        <v>0.27819348055045573</v>
      </c>
      <c r="T64" s="2">
        <f>T9*'Output-Calculation-sheet'!T53/10^9</f>
        <v>9.8929116567484224E-2</v>
      </c>
      <c r="U64" s="2">
        <f>U9*'Output-Calculation-sheet'!U53/10^9</f>
        <v>9.7391072932342129E-2</v>
      </c>
      <c r="V64" s="2">
        <f>V9*'Output-Calculation-sheet'!V53/10^9</f>
        <v>8.6688238582081661E-2</v>
      </c>
      <c r="W64" s="2">
        <f>W9*'Output-Calculation-sheet'!W53/10^9</f>
        <v>4.5520127089486037E-2</v>
      </c>
      <c r="X64" s="2">
        <f>X9*'Output-Calculation-sheet'!X53/10^9</f>
        <v>7.3387859576754033E-2</v>
      </c>
      <c r="Y64" s="2">
        <f>Y9*'Output-Calculation-sheet'!Y53/10^9</f>
        <v>3.7981191376901473E-2</v>
      </c>
      <c r="AA64" s="2">
        <f t="shared" si="4"/>
        <v>16.189139227935499</v>
      </c>
    </row>
    <row r="65" spans="1:27" x14ac:dyDescent="0.25">
      <c r="A65" s="2">
        <v>2033</v>
      </c>
      <c r="B65" s="2">
        <f>B10*'Output-Calculation-sheet'!B54/10^9</f>
        <v>5.2644462484878263</v>
      </c>
      <c r="C65" s="2">
        <f>C10*'Output-Calculation-sheet'!C54/10^9</f>
        <v>3.4599217057726874</v>
      </c>
      <c r="D65" s="2">
        <f>D10*'Output-Calculation-sheet'!D54/10^9</f>
        <v>0.93836762429752241</v>
      </c>
      <c r="E65" s="2">
        <f>E10*'Output-Calculation-sheet'!E54/10^9</f>
        <v>1.1950297908246188</v>
      </c>
      <c r="F65" s="2">
        <f>F10*'Output-Calculation-sheet'!F54/10^9</f>
        <v>0.51351461246519903</v>
      </c>
      <c r="G65" s="2">
        <f>G10*'Output-Calculation-sheet'!G54/10^9</f>
        <v>0.36559705688594346</v>
      </c>
      <c r="H65" s="2">
        <f>H10*'Output-Calculation-sheet'!H54/10^9</f>
        <v>0.85905217367619546</v>
      </c>
      <c r="I65" s="2">
        <f>I10*'Output-Calculation-sheet'!I54/10^9</f>
        <v>0.32055222374192188</v>
      </c>
      <c r="J65" s="2">
        <f>J10*'Output-Calculation-sheet'!J54/10^9</f>
        <v>0.37926417428080417</v>
      </c>
      <c r="K65" s="2">
        <f>K10*'Output-Calculation-sheet'!K54/10^9</f>
        <v>0.35489508650620161</v>
      </c>
      <c r="L65" s="2">
        <f>L10*'Output-Calculation-sheet'!L54/10^9</f>
        <v>0.36601448200177833</v>
      </c>
      <c r="M65" s="2">
        <f>M10*'Output-Calculation-sheet'!M54/10^9</f>
        <v>0.61083974719136891</v>
      </c>
      <c r="N65" s="2">
        <f>N10*'Output-Calculation-sheet'!N54/10^9</f>
        <v>0.52049837484568151</v>
      </c>
      <c r="O65" s="2">
        <f>O10*'Output-Calculation-sheet'!O54/10^9</f>
        <v>0.6056316997344664</v>
      </c>
      <c r="P65" s="2">
        <f>P10*'Output-Calculation-sheet'!P54/10^9</f>
        <v>0.38395738068138691</v>
      </c>
      <c r="Q65" s="2">
        <f>Q10*'Output-Calculation-sheet'!Q54/10^9</f>
        <v>0.37888727978948189</v>
      </c>
      <c r="R65" s="2">
        <f>R10*'Output-Calculation-sheet'!R54/10^9</f>
        <v>0.30036592497182429</v>
      </c>
      <c r="S65" s="2">
        <f>S10*'Output-Calculation-sheet'!S54/10^9</f>
        <v>0.30146384851972735</v>
      </c>
      <c r="T65" s="2">
        <f>T10*'Output-Calculation-sheet'!T54/10^9</f>
        <v>0.10171529762840362</v>
      </c>
      <c r="U65" s="2">
        <f>U10*'Output-Calculation-sheet'!U54/10^9</f>
        <v>9.7690829915991609E-2</v>
      </c>
      <c r="V65" s="2">
        <f>V10*'Output-Calculation-sheet'!V54/10^9</f>
        <v>0.11510241104979803</v>
      </c>
      <c r="W65" s="2">
        <f>W10*'Output-Calculation-sheet'!W54/10^9</f>
        <v>4.9192506335322642E-2</v>
      </c>
      <c r="X65" s="2">
        <f>X10*'Output-Calculation-sheet'!X54/10^9</f>
        <v>7.9075187419615112E-2</v>
      </c>
      <c r="Y65" s="2">
        <f>Y10*'Output-Calculation-sheet'!Y54/10^9</f>
        <v>3.8160812434253101E-2</v>
      </c>
      <c r="AA65" s="2">
        <f t="shared" si="4"/>
        <v>17.599236479458018</v>
      </c>
    </row>
    <row r="66" spans="1:27" x14ac:dyDescent="0.25">
      <c r="A66" s="2">
        <v>2034</v>
      </c>
      <c r="B66" s="2">
        <f>B11*'Output-Calculation-sheet'!B55/10^9</f>
        <v>5.431089559091955</v>
      </c>
      <c r="C66" s="2">
        <f>C11*'Output-Calculation-sheet'!C55/10^9</f>
        <v>3.6094992845566551</v>
      </c>
      <c r="D66" s="2">
        <f>D11*'Output-Calculation-sheet'!D55/10^9</f>
        <v>0.98257425696251799</v>
      </c>
      <c r="E66" s="2">
        <f>E11*'Output-Calculation-sheet'!E55/10^9</f>
        <v>1.2725906133774341</v>
      </c>
      <c r="F66" s="2">
        <f>F11*'Output-Calculation-sheet'!F55/10^9</f>
        <v>0.50082630690300678</v>
      </c>
      <c r="G66" s="2">
        <f>G11*'Output-Calculation-sheet'!G55/10^9</f>
        <v>0.36537299224979558</v>
      </c>
      <c r="H66" s="2">
        <f>H11*'Output-Calculation-sheet'!H55/10^9</f>
        <v>0.91181902012690286</v>
      </c>
      <c r="I66" s="2">
        <f>I11*'Output-Calculation-sheet'!I55/10^9</f>
        <v>0.33965631433481125</v>
      </c>
      <c r="J66" s="2">
        <f>J11*'Output-Calculation-sheet'!J55/10^9</f>
        <v>0.34198574102023566</v>
      </c>
      <c r="K66" s="2">
        <f>K11*'Output-Calculation-sheet'!K55/10^9</f>
        <v>0.38938150439854502</v>
      </c>
      <c r="L66" s="2">
        <f>L11*'Output-Calculation-sheet'!L55/10^9</f>
        <v>0.37750047540021558</v>
      </c>
      <c r="M66" s="2">
        <f>M11*'Output-Calculation-sheet'!M55/10^9</f>
        <v>0.64083727373297306</v>
      </c>
      <c r="N66" s="2">
        <f>N11*'Output-Calculation-sheet'!N55/10^9</f>
        <v>0.55709215008031476</v>
      </c>
      <c r="O66" s="2">
        <f>O11*'Output-Calculation-sheet'!O55/10^9</f>
        <v>0.63516057037467422</v>
      </c>
      <c r="P66" s="2">
        <f>P11*'Output-Calculation-sheet'!P55/10^9</f>
        <v>0.40729026043361677</v>
      </c>
      <c r="Q66" s="2">
        <f>Q11*'Output-Calculation-sheet'!Q55/10^9</f>
        <v>0.41894046937320917</v>
      </c>
      <c r="R66" s="2">
        <f>R11*'Output-Calculation-sheet'!R55/10^9</f>
        <v>0.30996626552208639</v>
      </c>
      <c r="S66" s="2">
        <f>S11*'Output-Calculation-sheet'!S55/10^9</f>
        <v>0.32176407291435144</v>
      </c>
      <c r="T66" s="2">
        <f>T11*'Output-Calculation-sheet'!T55/10^9</f>
        <v>9.711863124769303E-2</v>
      </c>
      <c r="U66" s="2">
        <f>U11*'Output-Calculation-sheet'!U55/10^9</f>
        <v>0.10570080622403306</v>
      </c>
      <c r="V66" s="2">
        <f>V11*'Output-Calculation-sheet'!V55/10^9</f>
        <v>9.1786081011629619E-2</v>
      </c>
      <c r="W66" s="2">
        <f>W11*'Output-Calculation-sheet'!W55/10^9</f>
        <v>4.4966355449282965E-2</v>
      </c>
      <c r="X66" s="2">
        <f>X11*'Output-Calculation-sheet'!X55/10^9</f>
        <v>8.4027838253425038E-2</v>
      </c>
      <c r="Y66" s="2">
        <f>Y11*'Output-Calculation-sheet'!Y55/10^9</f>
        <v>4.3144952207985601E-2</v>
      </c>
      <c r="AA66" s="2">
        <f t="shared" si="4"/>
        <v>18.280091795247344</v>
      </c>
    </row>
    <row r="67" spans="1:27" x14ac:dyDescent="0.25">
      <c r="A67" s="2">
        <v>2035</v>
      </c>
      <c r="B67" s="2">
        <f>B12*'Output-Calculation-sheet'!B56/10^9</f>
        <v>5.95092494690532</v>
      </c>
      <c r="C67" s="2">
        <f>C12*'Output-Calculation-sheet'!C56/10^9</f>
        <v>3.7605406423036287</v>
      </c>
      <c r="D67" s="2">
        <f>D12*'Output-Calculation-sheet'!D56/10^9</f>
        <v>1.1803637388365942</v>
      </c>
      <c r="E67" s="2">
        <f>E12*'Output-Calculation-sheet'!E56/10^9</f>
        <v>1.6142132109822687</v>
      </c>
      <c r="F67" s="2">
        <f>F12*'Output-Calculation-sheet'!F56/10^9</f>
        <v>0.63266428949375797</v>
      </c>
      <c r="G67" s="2">
        <f>G12*'Output-Calculation-sheet'!G56/10^9</f>
        <v>0.46679786680415858</v>
      </c>
      <c r="H67" s="2">
        <f>H12*'Output-Calculation-sheet'!H56/10^9</f>
        <v>0.99260163622374298</v>
      </c>
      <c r="I67" s="2">
        <f>I12*'Output-Calculation-sheet'!I56/10^9</f>
        <v>0.4277018442289916</v>
      </c>
      <c r="J67" s="2">
        <f>J12*'Output-Calculation-sheet'!J56/10^9</f>
        <v>0.39127442349563174</v>
      </c>
      <c r="K67" s="2">
        <f>K12*'Output-Calculation-sheet'!K56/10^9</f>
        <v>0.46879574927670475</v>
      </c>
      <c r="L67" s="2">
        <f>L12*'Output-Calculation-sheet'!L56/10^9</f>
        <v>0.43705823730344651</v>
      </c>
      <c r="M67" s="2">
        <f>M12*'Output-Calculation-sheet'!M56/10^9</f>
        <v>0.70231424979564971</v>
      </c>
      <c r="N67" s="2">
        <f>N12*'Output-Calculation-sheet'!N56/10^9</f>
        <v>0.5998414773660683</v>
      </c>
      <c r="O67" s="2">
        <f>O12*'Output-Calculation-sheet'!O56/10^9</f>
        <v>0.66344962984904543</v>
      </c>
      <c r="P67" s="2">
        <f>P12*'Output-Calculation-sheet'!P56/10^9</f>
        <v>0.48678507364549406</v>
      </c>
      <c r="Q67" s="2">
        <f>Q12*'Output-Calculation-sheet'!Q56/10^9</f>
        <v>0.45984163939622896</v>
      </c>
      <c r="R67" s="2">
        <f>R12*'Output-Calculation-sheet'!R56/10^9</f>
        <v>0.36108615046665643</v>
      </c>
      <c r="S67" s="2">
        <f>S12*'Output-Calculation-sheet'!S56/10^9</f>
        <v>0.34857091124495126</v>
      </c>
      <c r="T67" s="2">
        <f>T12*'Output-Calculation-sheet'!T56/10^9</f>
        <v>0.11228322072629904</v>
      </c>
      <c r="U67" s="2">
        <f>U12*'Output-Calculation-sheet'!U56/10^9</f>
        <v>0.12139421496601771</v>
      </c>
      <c r="V67" s="2">
        <f>V12*'Output-Calculation-sheet'!V56/10^9</f>
        <v>8.6660615164730573E-2</v>
      </c>
      <c r="W67" s="2">
        <f>W12*'Output-Calculation-sheet'!W56/10^9</f>
        <v>5.8765740988611141E-2</v>
      </c>
      <c r="X67" s="2">
        <f>X12*'Output-Calculation-sheet'!X56/10^9</f>
        <v>9.1225702063730346E-2</v>
      </c>
      <c r="Y67" s="2">
        <f>Y12*'Output-Calculation-sheet'!Y56/10^9</f>
        <v>5.4834404667456205E-2</v>
      </c>
      <c r="AA67" s="2">
        <f t="shared" si="4"/>
        <v>20.469989616195186</v>
      </c>
    </row>
    <row r="68" spans="1:27" x14ac:dyDescent="0.25">
      <c r="B68" s="2">
        <f>SUM(B60:B67)</f>
        <v>39.928136107435776</v>
      </c>
      <c r="C68" s="2">
        <f t="shared" ref="C68:Y68" si="5">SUM(C60:C67)</f>
        <v>22.617373774405205</v>
      </c>
      <c r="D68" s="2">
        <f t="shared" si="5"/>
        <v>7.2228517924339277</v>
      </c>
      <c r="E68" s="2">
        <f t="shared" si="5"/>
        <v>9.3877314936459388</v>
      </c>
      <c r="F68" s="2">
        <f t="shared" si="5"/>
        <v>3.8564483609701785</v>
      </c>
      <c r="G68" s="2">
        <f t="shared" si="5"/>
        <v>2.7812959951118961</v>
      </c>
      <c r="H68" s="2">
        <f t="shared" si="5"/>
        <v>5.8237058049845212</v>
      </c>
      <c r="I68" s="2">
        <f t="shared" si="5"/>
        <v>2.507892418190989</v>
      </c>
      <c r="J68" s="2">
        <f t="shared" si="5"/>
        <v>2.6392325995756898</v>
      </c>
      <c r="K68" s="2">
        <f t="shared" si="5"/>
        <v>2.771350641902576</v>
      </c>
      <c r="L68" s="2">
        <f t="shared" si="5"/>
        <v>2.8018819620987871</v>
      </c>
      <c r="M68" s="2">
        <f t="shared" si="5"/>
        <v>4.2675614018979191</v>
      </c>
      <c r="N68" s="2">
        <f t="shared" si="5"/>
        <v>3.6313828695269885</v>
      </c>
      <c r="O68" s="2">
        <f t="shared" si="5"/>
        <v>3.9239559939817381</v>
      </c>
      <c r="P68" s="2">
        <f t="shared" si="5"/>
        <v>2.9544631994015331</v>
      </c>
      <c r="Q68" s="2">
        <f t="shared" si="5"/>
        <v>2.8438956879773518</v>
      </c>
      <c r="R68" s="2">
        <f t="shared" si="5"/>
        <v>2.3090559275369107</v>
      </c>
      <c r="S68" s="2">
        <f t="shared" si="5"/>
        <v>2.2007829264771956</v>
      </c>
      <c r="T68" s="2">
        <f t="shared" si="5"/>
        <v>0.75091609626520905</v>
      </c>
      <c r="U68" s="2">
        <f t="shared" si="5"/>
        <v>0.75390939172121829</v>
      </c>
      <c r="V68" s="2">
        <f t="shared" si="5"/>
        <v>0.68314312322707826</v>
      </c>
      <c r="W68" s="2">
        <f t="shared" si="5"/>
        <v>0.35407397285481612</v>
      </c>
      <c r="X68" s="2">
        <f t="shared" si="5"/>
        <v>0.57896901106015819</v>
      </c>
      <c r="Y68" s="2">
        <f t="shared" si="5"/>
        <v>0.30357397893428273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21.569974093136626</v>
      </c>
      <c r="U71" s="2">
        <f>U5/'Output-Calculation-sheet'!U4*'Output-Calculation-sheet'!U58</f>
        <v>0</v>
      </c>
      <c r="V71" s="2">
        <f>V5/'Output-Calculation-sheet'!V4*'Output-Calculation-sheet'!V58</f>
        <v>58.484602582476157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8.0054576675612776E-2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50.15131453534466</v>
      </c>
      <c r="U72" s="2">
        <f>U6/'Output-Calculation-sheet'!U5*'Output-Calculation-sheet'!U59</f>
        <v>0</v>
      </c>
      <c r="V72" s="2">
        <f>V6/'Output-Calculation-sheet'!V5*'Output-Calculation-sheet'!V59</f>
        <v>78.845497569178306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0.12899681210452296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99.173156868007212</v>
      </c>
      <c r="S73" s="2">
        <f>S7/'Output-Calculation-sheet'!S6*'Output-Calculation-sheet'!S60</f>
        <v>0</v>
      </c>
      <c r="T73" s="2">
        <f>T7/'Output-Calculation-sheet'!T6*'Output-Calculation-sheet'!T60</f>
        <v>86.309330878570663</v>
      </c>
      <c r="U73" s="2">
        <f>U7/'Output-Calculation-sheet'!U6*'Output-Calculation-sheet'!U60</f>
        <v>0</v>
      </c>
      <c r="V73" s="2">
        <f>V7/'Output-Calculation-sheet'!V6*'Output-Calculation-sheet'!V60</f>
        <v>106.06230567086817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0.29154479341744605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40.108024034376513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35.702181303098307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141.65816131573317</v>
      </c>
      <c r="S74" s="2">
        <f>S8/'Output-Calculation-sheet'!S7*'Output-Calculation-sheet'!S61</f>
        <v>0</v>
      </c>
      <c r="T74" s="2">
        <f>T8/'Output-Calculation-sheet'!T7*'Output-Calculation-sheet'!T61</f>
        <v>104.35602626662728</v>
      </c>
      <c r="U74" s="2">
        <f>U8/'Output-Calculation-sheet'!U7*'Output-Calculation-sheet'!U61</f>
        <v>13.219473633719462</v>
      </c>
      <c r="V74" s="2">
        <f>V8/'Output-Calculation-sheet'!V7*'Output-Calculation-sheet'!V61</f>
        <v>119.78574388601207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0.45482961043956688</v>
      </c>
    </row>
    <row r="75" spans="1:27" x14ac:dyDescent="0.25">
      <c r="A75" s="2">
        <v>2032</v>
      </c>
      <c r="B75" s="2">
        <f>B9/'Output-Calculation-sheet'!B8*'Output-Calculation-sheet'!B62</f>
        <v>396.60346406606493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80.434610778749871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64.444888655640113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170.51949368299117</v>
      </c>
      <c r="S75" s="2">
        <f>S9/'Output-Calculation-sheet'!S8*'Output-Calculation-sheet'!S62</f>
        <v>0</v>
      </c>
      <c r="T75" s="2">
        <f>T9/'Output-Calculation-sheet'!T8*'Output-Calculation-sheet'!T62</f>
        <v>112.63216600232501</v>
      </c>
      <c r="U75" s="2">
        <f>U9/'Output-Calculation-sheet'!U8*'Output-Calculation-sheet'!U62</f>
        <v>23.023479349425035</v>
      </c>
      <c r="V75" s="2">
        <f>V9/'Output-Calculation-sheet'!V8*'Output-Calculation-sheet'!V62</f>
        <v>120.65347484033047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0.96831157737552653</v>
      </c>
    </row>
    <row r="76" spans="1:27" x14ac:dyDescent="0.25">
      <c r="A76" s="2">
        <v>2033</v>
      </c>
      <c r="B76" s="2">
        <f>B10/'Output-Calculation-sheet'!B9*'Output-Calculation-sheet'!B63</f>
        <v>3741.8213760034823</v>
      </c>
      <c r="C76" s="2">
        <f>C10/'Output-Calculation-sheet'!C9*'Output-Calculation-sheet'!C63</f>
        <v>7642.5097089415594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2436.7059030678702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1659.1495748816442</v>
      </c>
      <c r="N76" s="2">
        <f>N10/'Output-Calculation-sheet'!N9*'Output-Calculation-sheet'!N63</f>
        <v>947.77970048471434</v>
      </c>
      <c r="O76" s="2">
        <f>O10/'Output-Calculation-sheet'!O9*'Output-Calculation-sheet'!O63</f>
        <v>0</v>
      </c>
      <c r="P76" s="2">
        <f>P10/'Output-Calculation-sheet'!P9*'Output-Calculation-sheet'!P63</f>
        <v>329.11747070854528</v>
      </c>
      <c r="Q76" s="2">
        <f>Q10/'Output-Calculation-sheet'!Q9*'Output-Calculation-sheet'!Q63</f>
        <v>148.44520556465179</v>
      </c>
      <c r="R76" s="2">
        <f>R10/'Output-Calculation-sheet'!R9*'Output-Calculation-sheet'!R63</f>
        <v>250.84013176425009</v>
      </c>
      <c r="S76" s="2">
        <f>S10/'Output-Calculation-sheet'!S9*'Output-Calculation-sheet'!S63</f>
        <v>421.45551171772934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88.638246540103708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195.37665186355832</v>
      </c>
      <c r="Y76" s="2">
        <f>Y10/'Output-Calculation-sheet'!Y9*'Output-Calculation-sheet'!Y63</f>
        <v>3.7065455842437656</v>
      </c>
      <c r="AA76" s="2">
        <f t="shared" si="6"/>
        <v>17.953274431819228</v>
      </c>
    </row>
    <row r="77" spans="1:27" x14ac:dyDescent="0.25">
      <c r="A77" s="2">
        <v>2034</v>
      </c>
      <c r="B77" s="2">
        <f>B11/'Output-Calculation-sheet'!B10*'Output-Calculation-sheet'!B64</f>
        <v>9049.794586030961</v>
      </c>
      <c r="C77" s="2">
        <f>C11/'Output-Calculation-sheet'!C10*'Output-Calculation-sheet'!C64</f>
        <v>7949.883608365194</v>
      </c>
      <c r="D77" s="2">
        <f>D11/'Output-Calculation-sheet'!D10*'Output-Calculation-sheet'!D64</f>
        <v>1115.4304582896521</v>
      </c>
      <c r="E77" s="2">
        <f>E11/'Output-Calculation-sheet'!E10*'Output-Calculation-sheet'!E64</f>
        <v>1378.2845336976056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588.95028727157307</v>
      </c>
      <c r="H77" s="2">
        <f>H11/'Output-Calculation-sheet'!H10*'Output-Calculation-sheet'!H64</f>
        <v>2917.9416779909961</v>
      </c>
      <c r="I77" s="2">
        <f>I11/'Output-Calculation-sheet'!I10*'Output-Calculation-sheet'!I64</f>
        <v>347.44596910450099</v>
      </c>
      <c r="J77" s="2">
        <f>J11/'Output-Calculation-sheet'!J10*'Output-Calculation-sheet'!J64</f>
        <v>247.67558289623182</v>
      </c>
      <c r="K77" s="2">
        <f>K11/'Output-Calculation-sheet'!K10*'Output-Calculation-sheet'!K64</f>
        <v>525.12732018327972</v>
      </c>
      <c r="L77" s="2">
        <f>L11/'Output-Calculation-sheet'!L10*'Output-Calculation-sheet'!L64</f>
        <v>228.00830606751867</v>
      </c>
      <c r="M77" s="2">
        <f>M11/'Output-Calculation-sheet'!M10*'Output-Calculation-sheet'!M64</f>
        <v>2075.3885247759335</v>
      </c>
      <c r="N77" s="2">
        <f>N11/'Output-Calculation-sheet'!N10*'Output-Calculation-sheet'!N64</f>
        <v>1476.5879652399819</v>
      </c>
      <c r="O77" s="2">
        <f>O11/'Output-Calculation-sheet'!O10*'Output-Calculation-sheet'!O64</f>
        <v>51.482063366630292</v>
      </c>
      <c r="P77" s="2">
        <f>P11/'Output-Calculation-sheet'!P10*'Output-Calculation-sheet'!P64</f>
        <v>651.71118913384669</v>
      </c>
      <c r="Q77" s="2">
        <f>Q11/'Output-Calculation-sheet'!Q10*'Output-Calculation-sheet'!Q64</f>
        <v>371.880175291829</v>
      </c>
      <c r="R77" s="2">
        <f>R11/'Output-Calculation-sheet'!R10*'Output-Calculation-sheet'!R64</f>
        <v>557.69451129818674</v>
      </c>
      <c r="S77" s="2">
        <f>S11/'Output-Calculation-sheet'!S10*'Output-Calculation-sheet'!S64</f>
        <v>745.66883920500618</v>
      </c>
      <c r="T77" s="2">
        <f>T11/'Output-Calculation-sheet'!T10*'Output-Calculation-sheet'!T64</f>
        <v>153.43024970473786</v>
      </c>
      <c r="U77" s="2">
        <f>U11/'Output-Calculation-sheet'!U10*'Output-Calculation-sheet'!U64</f>
        <v>203.92671346857077</v>
      </c>
      <c r="V77" s="2">
        <f>V11/'Output-Calculation-sheet'!V10*'Output-Calculation-sheet'!V64</f>
        <v>81.291378696670193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210.88150484730642</v>
      </c>
      <c r="Y77" s="2">
        <f>Y11/'Output-Calculation-sheet'!Y10*'Output-Calculation-sheet'!Y64</f>
        <v>51.060004492075613</v>
      </c>
      <c r="AA77" s="2">
        <f t="shared" si="6"/>
        <v>31.082539366973794</v>
      </c>
    </row>
    <row r="78" spans="1:27" x14ac:dyDescent="0.25">
      <c r="A78" s="2">
        <v>2035</v>
      </c>
      <c r="B78" s="2">
        <f>B12/'Output-Calculation-sheet'!B11*'Output-Calculation-sheet'!B65</f>
        <v>11516.694241090861</v>
      </c>
      <c r="C78" s="2">
        <f>C12/'Output-Calculation-sheet'!C11*'Output-Calculation-sheet'!C65</f>
        <v>8132.8452032588784</v>
      </c>
      <c r="D78" s="2">
        <f>D12/'Output-Calculation-sheet'!D11*'Output-Calculation-sheet'!D65</f>
        <v>1222.681374717198</v>
      </c>
      <c r="E78" s="2">
        <f>E12/'Output-Calculation-sheet'!E11*'Output-Calculation-sheet'!E65</f>
        <v>2324.2847891268839</v>
      </c>
      <c r="F78" s="2">
        <f>F12/'Output-Calculation-sheet'!F11*'Output-Calculation-sheet'!F65</f>
        <v>492.32531702149009</v>
      </c>
      <c r="G78" s="2">
        <f>G12/'Output-Calculation-sheet'!G11*'Output-Calculation-sheet'!G65</f>
        <v>923.78989420637981</v>
      </c>
      <c r="H78" s="2">
        <f>H12/'Output-Calculation-sheet'!H11*'Output-Calculation-sheet'!H65</f>
        <v>2974.2390805162349</v>
      </c>
      <c r="I78" s="2">
        <f>I12/'Output-Calculation-sheet'!I11*'Output-Calculation-sheet'!I65</f>
        <v>543.21768065132483</v>
      </c>
      <c r="J78" s="2">
        <f>J12/'Output-Calculation-sheet'!J11*'Output-Calculation-sheet'!J65</f>
        <v>487.17481895118578</v>
      </c>
      <c r="K78" s="2">
        <f>K12/'Output-Calculation-sheet'!K11*'Output-Calculation-sheet'!K65</f>
        <v>614.79102980338439</v>
      </c>
      <c r="L78" s="2">
        <f>L12/'Output-Calculation-sheet'!L11*'Output-Calculation-sheet'!L65</f>
        <v>365.54671310481018</v>
      </c>
      <c r="M78" s="2">
        <f>M12/'Output-Calculation-sheet'!M11*'Output-Calculation-sheet'!M65</f>
        <v>2117.1524139121798</v>
      </c>
      <c r="N78" s="2">
        <f>N12/'Output-Calculation-sheet'!N11*'Output-Calculation-sheet'!N65</f>
        <v>1488.7000437141655</v>
      </c>
      <c r="O78" s="2">
        <f>O12/'Output-Calculation-sheet'!O11*'Output-Calculation-sheet'!O65</f>
        <v>208.6965068598289</v>
      </c>
      <c r="P78" s="2">
        <f>P12/'Output-Calculation-sheet'!P11*'Output-Calculation-sheet'!P65</f>
        <v>846.31025445049022</v>
      </c>
      <c r="Q78" s="2">
        <f>Q12/'Output-Calculation-sheet'!Q11*'Output-Calculation-sheet'!Q65</f>
        <v>425.68566172809926</v>
      </c>
      <c r="R78" s="2">
        <f>R12/'Output-Calculation-sheet'!R11*'Output-Calculation-sheet'!R65</f>
        <v>701.65877106016467</v>
      </c>
      <c r="S78" s="2">
        <f>S12/'Output-Calculation-sheet'!S11*'Output-Calculation-sheet'!S65</f>
        <v>791.57938704207277</v>
      </c>
      <c r="T78" s="2">
        <f>T12/'Output-Calculation-sheet'!T11*'Output-Calculation-sheet'!T65</f>
        <v>252.30016473943616</v>
      </c>
      <c r="U78" s="2">
        <f>U12/'Output-Calculation-sheet'!U11*'Output-Calculation-sheet'!U65</f>
        <v>216.17453437561977</v>
      </c>
      <c r="V78" s="2">
        <f>V12/'Output-Calculation-sheet'!V11*'Output-Calculation-sheet'!V65</f>
        <v>136.16111953602902</v>
      </c>
      <c r="W78" s="2">
        <f>W12/'Output-Calculation-sheet'!W11*'Output-Calculation-sheet'!W65</f>
        <v>95.902620308636344</v>
      </c>
      <c r="X78" s="2">
        <f>X12/'Output-Calculation-sheet'!X11*'Output-Calculation-sheet'!X65</f>
        <v>218.20933680807246</v>
      </c>
      <c r="Y78" s="2">
        <f>Y12/'Output-Calculation-sheet'!Y11*'Output-Calculation-sheet'!Y65</f>
        <v>93.610471817849429</v>
      </c>
      <c r="AA78" s="2">
        <f t="shared" si="6"/>
        <v>37.189731428801281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275.83317244528672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267.93482432725614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0.54376799677254284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551.21875615945316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21.210287543911523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14.594753375686063</v>
      </c>
      <c r="N88" s="2">
        <f>N11/'Output-Calculation-sheet'!N10*'Output-Calculation-sheet'!N73</f>
        <v>0</v>
      </c>
      <c r="O88" s="2">
        <f>O11/'Output-Calculation-sheet'!O10*'Output-Calculation-sheet'!O73</f>
        <v>307.87505393460651</v>
      </c>
      <c r="P88" s="2">
        <f>P11/'Output-Calculation-sheet'!P10*'Output-Calculation-sheet'!P73</f>
        <v>0</v>
      </c>
      <c r="Q88" s="2">
        <f>Q11/'Output-Calculation-sheet'!Q10*'Output-Calculation-sheet'!Q73</f>
        <v>12.56776530219091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1.6010804243144621</v>
      </c>
      <c r="Y88" s="2">
        <f>Y11/'Output-Calculation-sheet'!Y10*'Output-Calculation-sheet'!Y73</f>
        <v>0</v>
      </c>
      <c r="AA88" s="2">
        <f t="shared" si="7"/>
        <v>0.90906769674016252</v>
      </c>
    </row>
    <row r="89" spans="1:27" x14ac:dyDescent="0.25">
      <c r="A89" s="2">
        <v>2035</v>
      </c>
      <c r="B89" s="2">
        <f>B12/'Output-Calculation-sheet'!B11*'Output-Calculation-sheet'!B74</f>
        <v>290.30511560310708</v>
      </c>
      <c r="C89" s="2">
        <f>C12/'Output-Calculation-sheet'!C11*'Output-Calculation-sheet'!C74</f>
        <v>895.60433746741171</v>
      </c>
      <c r="D89" s="2">
        <f>D12/'Output-Calculation-sheet'!D11*'Output-Calculation-sheet'!D74</f>
        <v>122.05454202317922</v>
      </c>
      <c r="E89" s="2">
        <f>E12/'Output-Calculation-sheet'!E11*'Output-Calculation-sheet'!E74</f>
        <v>97.000805004982311</v>
      </c>
      <c r="F89" s="2">
        <f>F12/'Output-Calculation-sheet'!F11*'Output-Calculation-sheet'!F74</f>
        <v>30.503427324751552</v>
      </c>
      <c r="G89" s="2">
        <f>G12/'Output-Calculation-sheet'!G11*'Output-Calculation-sheet'!G74</f>
        <v>43.783586625260902</v>
      </c>
      <c r="H89" s="2">
        <f>H12/'Output-Calculation-sheet'!H11*'Output-Calculation-sheet'!H74</f>
        <v>106.03650302027276</v>
      </c>
      <c r="I89" s="2">
        <f>I12/'Output-Calculation-sheet'!I11*'Output-Calculation-sheet'!I74</f>
        <v>39.38072210028453</v>
      </c>
      <c r="J89" s="2">
        <f>J12/'Output-Calculation-sheet'!J11*'Output-Calculation-sheet'!J74</f>
        <v>19.486992758047432</v>
      </c>
      <c r="K89" s="2">
        <f>K12/'Output-Calculation-sheet'!K11*'Output-Calculation-sheet'!K74</f>
        <v>38.705050982333439</v>
      </c>
      <c r="L89" s="2">
        <f>L12/'Output-Calculation-sheet'!L11*'Output-Calculation-sheet'!L74</f>
        <v>30.776401861065899</v>
      </c>
      <c r="M89" s="2">
        <f>M12/'Output-Calculation-sheet'!M11*'Output-Calculation-sheet'!M74</f>
        <v>58.370792275102666</v>
      </c>
      <c r="N89" s="2">
        <f>N12/'Output-Calculation-sheet'!N11*'Output-Calculation-sheet'!N74</f>
        <v>43.026841857670632</v>
      </c>
      <c r="O89" s="2">
        <f>O12/'Output-Calculation-sheet'!O11*'Output-Calculation-sheet'!O74</f>
        <v>347.98365794622913</v>
      </c>
      <c r="P89" s="2">
        <f>P12/'Output-Calculation-sheet'!P11*'Output-Calculation-sheet'!P74</f>
        <v>26.499366078544952</v>
      </c>
      <c r="Q89" s="2">
        <f>Q12/'Output-Calculation-sheet'!Q11*'Output-Calculation-sheet'!Q74</f>
        <v>37.697986337947157</v>
      </c>
      <c r="R89" s="2">
        <f>R12/'Output-Calculation-sheet'!R11*'Output-Calculation-sheet'!R74</f>
        <v>24.923055129476953</v>
      </c>
      <c r="S89" s="2">
        <f>S12/'Output-Calculation-sheet'!S11*'Output-Calculation-sheet'!S74</f>
        <v>24.664404157851088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8.0186406905159604</v>
      </c>
      <c r="V89" s="2">
        <f>V12/'Output-Calculation-sheet'!V11*'Output-Calculation-sheet'!V74</f>
        <v>3.0915496114258572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9.6051297124778792</v>
      </c>
      <c r="Y89" s="2">
        <f>Y12/'Output-Calculation-sheet'!Y11*'Output-Calculation-sheet'!Y74</f>
        <v>3.0897094419621891</v>
      </c>
      <c r="AA89" s="2">
        <f t="shared" si="7"/>
        <v>2.307895994841894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7515150571.6866751</v>
      </c>
      <c r="C93" s="2">
        <f>C5/'Output-Calculation-sheet'!C4*'Output-Calculation-sheet'!C76</f>
        <v>851575219.59160101</v>
      </c>
      <c r="D93" s="2">
        <f>D5/'Output-Calculation-sheet'!D4*'Output-Calculation-sheet'!D76</f>
        <v>3469198213.3195877</v>
      </c>
      <c r="E93" s="2">
        <f>E5/'Output-Calculation-sheet'!E4*'Output-Calculation-sheet'!E76</f>
        <v>5559268786.577631</v>
      </c>
      <c r="F93" s="2">
        <f>F5/'Output-Calculation-sheet'!F4*'Output-Calculation-sheet'!F76</f>
        <v>2605913132.453217</v>
      </c>
      <c r="G93" s="2">
        <f>G5/'Output-Calculation-sheet'!G4*'Output-Calculation-sheet'!G76</f>
        <v>1971384862.030755</v>
      </c>
      <c r="H93" s="2">
        <f>H5/'Output-Calculation-sheet'!H4*'Output-Calculation-sheet'!H76</f>
        <v>542217681.31009889</v>
      </c>
      <c r="I93" s="2">
        <f>I5/'Output-Calculation-sheet'!I4*'Output-Calculation-sheet'!I76</f>
        <v>1317956664.0952508</v>
      </c>
      <c r="J93" s="2">
        <f>J5/'Output-Calculation-sheet'!J4*'Output-Calculation-sheet'!J76</f>
        <v>983619920.18316424</v>
      </c>
      <c r="K93" s="2">
        <f>K5/'Output-Calculation-sheet'!K4*'Output-Calculation-sheet'!K76</f>
        <v>1148360531.0936885</v>
      </c>
      <c r="L93" s="2">
        <f>L5/'Output-Calculation-sheet'!L4*'Output-Calculation-sheet'!L76</f>
        <v>872235435.05357194</v>
      </c>
      <c r="M93" s="2">
        <f>M5/'Output-Calculation-sheet'!M4*'Output-Calculation-sheet'!M76</f>
        <v>414545322.75859702</v>
      </c>
      <c r="N93" s="2">
        <f>N5/'Output-Calculation-sheet'!N4*'Output-Calculation-sheet'!N76</f>
        <v>416689075.94114369</v>
      </c>
      <c r="O93" s="2">
        <f>O5/'Output-Calculation-sheet'!O4*'Output-Calculation-sheet'!O76</f>
        <v>0</v>
      </c>
      <c r="P93" s="2">
        <f>P5/'Output-Calculation-sheet'!P4*'Output-Calculation-sheet'!P76</f>
        <v>1193397668.180377</v>
      </c>
      <c r="Q93" s="2">
        <f>Q5/'Output-Calculation-sheet'!Q4*'Output-Calculation-sheet'!Q76</f>
        <v>517440251.69587302</v>
      </c>
      <c r="R93" s="2">
        <f>R5/'Output-Calculation-sheet'!R4*'Output-Calculation-sheet'!R76</f>
        <v>768710400.14605844</v>
      </c>
      <c r="S93" s="2">
        <f>S5/'Output-Calculation-sheet'!S4*'Output-Calculation-sheet'!S76</f>
        <v>307342972.06762892</v>
      </c>
      <c r="T93" s="2">
        <f>T5/'Output-Calculation-sheet'!T4*'Output-Calculation-sheet'!T76</f>
        <v>420543537.07993102</v>
      </c>
      <c r="U93" s="2">
        <f>U5/'Output-Calculation-sheet'!U4*'Output-Calculation-sheet'!U76</f>
        <v>218784008.29085338</v>
      </c>
      <c r="V93" s="2">
        <f>V5/'Output-Calculation-sheet'!V4*'Output-Calculation-sheet'!V76</f>
        <v>162462849.75120175</v>
      </c>
      <c r="W93" s="2">
        <f>W5/'Output-Calculation-sheet'!W4*'Output-Calculation-sheet'!W76</f>
        <v>412266835.81251442</v>
      </c>
      <c r="X93" s="2">
        <f>X5/'Output-Calculation-sheet'!X4*'Output-Calculation-sheet'!X76</f>
        <v>46118347.185708396</v>
      </c>
      <c r="Y93" s="2">
        <f>Y5/'Output-Calculation-sheet'!Y4*'Output-Calculation-sheet'!Y76</f>
        <v>182433514.66055635</v>
      </c>
      <c r="AA93" s="2">
        <f t="shared" ref="AA93:AA100" si="8">SUM(B93:Y93)/10^9</f>
        <v>31.897615800965681</v>
      </c>
    </row>
    <row r="94" spans="1:27" x14ac:dyDescent="0.25">
      <c r="A94" s="2">
        <v>2029</v>
      </c>
      <c r="B94" s="2">
        <f>B6/'Output-Calculation-sheet'!B5*'Output-Calculation-sheet'!B77</f>
        <v>9368613271.6543903</v>
      </c>
      <c r="C94" s="2">
        <f>C6/'Output-Calculation-sheet'!C5*'Output-Calculation-sheet'!C77</f>
        <v>1085374195.5188694</v>
      </c>
      <c r="D94" s="2">
        <f>D6/'Output-Calculation-sheet'!D5*'Output-Calculation-sheet'!D77</f>
        <v>4291732080.2993999</v>
      </c>
      <c r="E94" s="2">
        <f>E6/'Output-Calculation-sheet'!E5*'Output-Calculation-sheet'!E77</f>
        <v>7011607187.9936371</v>
      </c>
      <c r="F94" s="2">
        <f>F6/'Output-Calculation-sheet'!F5*'Output-Calculation-sheet'!F77</f>
        <v>3221564581.7039537</v>
      </c>
      <c r="G94" s="2">
        <f>G6/'Output-Calculation-sheet'!G5*'Output-Calculation-sheet'!G77</f>
        <v>2469359694.9307923</v>
      </c>
      <c r="H94" s="2">
        <f>H6/'Output-Calculation-sheet'!H5*'Output-Calculation-sheet'!H77</f>
        <v>686248819.26332569</v>
      </c>
      <c r="I94" s="2">
        <f>I6/'Output-Calculation-sheet'!I5*'Output-Calculation-sheet'!I77</f>
        <v>1626288828.4919534</v>
      </c>
      <c r="J94" s="2">
        <f>J6/'Output-Calculation-sheet'!J5*'Output-Calculation-sheet'!J77</f>
        <v>1226927180.8136346</v>
      </c>
      <c r="K94" s="2">
        <f>K6/'Output-Calculation-sheet'!K5*'Output-Calculation-sheet'!K77</f>
        <v>1419369164.0077465</v>
      </c>
      <c r="L94" s="2">
        <f>L6/'Output-Calculation-sheet'!L5*'Output-Calculation-sheet'!L77</f>
        <v>1087440230.6466525</v>
      </c>
      <c r="M94" s="2">
        <f>M6/'Output-Calculation-sheet'!M5*'Output-Calculation-sheet'!M77</f>
        <v>527914295.91440463</v>
      </c>
      <c r="N94" s="2">
        <f>N6/'Output-Calculation-sheet'!N5*'Output-Calculation-sheet'!N77</f>
        <v>540891118.24508893</v>
      </c>
      <c r="O94" s="2">
        <f>O6/'Output-Calculation-sheet'!O5*'Output-Calculation-sheet'!O77</f>
        <v>0</v>
      </c>
      <c r="P94" s="2">
        <f>P6/'Output-Calculation-sheet'!P5*'Output-Calculation-sheet'!P77</f>
        <v>1493772303.7805567</v>
      </c>
      <c r="Q94" s="2">
        <f>Q6/'Output-Calculation-sheet'!Q5*'Output-Calculation-sheet'!Q77</f>
        <v>656097824.40438342</v>
      </c>
      <c r="R94" s="2">
        <f>R6/'Output-Calculation-sheet'!R5*'Output-Calculation-sheet'!R77</f>
        <v>955600494.22932434</v>
      </c>
      <c r="S94" s="2">
        <f>S6/'Output-Calculation-sheet'!S5*'Output-Calculation-sheet'!S77</f>
        <v>386895866.68181723</v>
      </c>
      <c r="T94" s="2">
        <f>T6/'Output-Calculation-sheet'!T5*'Output-Calculation-sheet'!T77</f>
        <v>528439365.03528005</v>
      </c>
      <c r="U94" s="2">
        <f>U6/'Output-Calculation-sheet'!U5*'Output-Calculation-sheet'!U77</f>
        <v>265966055.44594449</v>
      </c>
      <c r="V94" s="2">
        <f>V6/'Output-Calculation-sheet'!V5*'Output-Calculation-sheet'!V77</f>
        <v>196969750.08426946</v>
      </c>
      <c r="W94" s="2">
        <f>W6/'Output-Calculation-sheet'!W5*'Output-Calculation-sheet'!W77</f>
        <v>516944636.50413096</v>
      </c>
      <c r="X94" s="2">
        <f>X6/'Output-Calculation-sheet'!X5*'Output-Calculation-sheet'!X77</f>
        <v>58431286.024100319</v>
      </c>
      <c r="Y94" s="2">
        <f>Y6/'Output-Calculation-sheet'!Y5*'Output-Calculation-sheet'!Y77</f>
        <v>230018533.98842224</v>
      </c>
      <c r="AA94" s="2">
        <f t="shared" si="8"/>
        <v>39.852466765662065</v>
      </c>
    </row>
    <row r="95" spans="1:27" x14ac:dyDescent="0.25">
      <c r="A95" s="2">
        <v>2030</v>
      </c>
      <c r="B95" s="2">
        <f>B7/'Output-Calculation-sheet'!B6*'Output-Calculation-sheet'!B78</f>
        <v>10752910527.726213</v>
      </c>
      <c r="C95" s="2">
        <f>C7/'Output-Calculation-sheet'!C6*'Output-Calculation-sheet'!C78</f>
        <v>1276994335.2586565</v>
      </c>
      <c r="D95" s="2">
        <f>D7/'Output-Calculation-sheet'!D6*'Output-Calculation-sheet'!D78</f>
        <v>4898646059.2289391</v>
      </c>
      <c r="E95" s="2">
        <f>E7/'Output-Calculation-sheet'!E6*'Output-Calculation-sheet'!E78</f>
        <v>8142625718.2014465</v>
      </c>
      <c r="F95" s="2">
        <f>F7/'Output-Calculation-sheet'!F6*'Output-Calculation-sheet'!F78</f>
        <v>3669364472.4552751</v>
      </c>
      <c r="G95" s="2">
        <f>G7/'Output-Calculation-sheet'!G6*'Output-Calculation-sheet'!G78</f>
        <v>2852847796.9373922</v>
      </c>
      <c r="H95" s="2">
        <f>H7/'Output-Calculation-sheet'!H6*'Output-Calculation-sheet'!H78</f>
        <v>799759655.14682662</v>
      </c>
      <c r="I95" s="2">
        <f>I7/'Output-Calculation-sheet'!I6*'Output-Calculation-sheet'!I78</f>
        <v>1850118333.4083519</v>
      </c>
      <c r="J95" s="2">
        <f>J7/'Output-Calculation-sheet'!J6*'Output-Calculation-sheet'!J78</f>
        <v>1411316501.4644578</v>
      </c>
      <c r="K95" s="2">
        <f>K7/'Output-Calculation-sheet'!K6*'Output-Calculation-sheet'!K78</f>
        <v>1616894710.9140267</v>
      </c>
      <c r="L95" s="2">
        <f>L7/'Output-Calculation-sheet'!L6*'Output-Calculation-sheet'!L78</f>
        <v>1249586289.2347178</v>
      </c>
      <c r="M95" s="2">
        <f>M7/'Output-Calculation-sheet'!M6*'Output-Calculation-sheet'!M78</f>
        <v>618929058.73084474</v>
      </c>
      <c r="N95" s="2">
        <f>N7/'Output-Calculation-sheet'!N6*'Output-Calculation-sheet'!N78</f>
        <v>644936468.01850784</v>
      </c>
      <c r="O95" s="2">
        <f>O7/'Output-Calculation-sheet'!O6*'Output-Calculation-sheet'!O78</f>
        <v>146249475.99102926</v>
      </c>
      <c r="P95" s="2">
        <f>P7/'Output-Calculation-sheet'!P6*'Output-Calculation-sheet'!P78</f>
        <v>1723110855.8768842</v>
      </c>
      <c r="Q95" s="2">
        <f>Q7/'Output-Calculation-sheet'!Q6*'Output-Calculation-sheet'!Q78</f>
        <v>762313820.80379128</v>
      </c>
      <c r="R95" s="2">
        <f>R7/'Output-Calculation-sheet'!R6*'Output-Calculation-sheet'!R78</f>
        <v>1131858913.3390672</v>
      </c>
      <c r="S95" s="2">
        <f>S7/'Output-Calculation-sheet'!S6*'Output-Calculation-sheet'!S78</f>
        <v>447641040.17724973</v>
      </c>
      <c r="T95" s="2">
        <f>T7/'Output-Calculation-sheet'!T6*'Output-Calculation-sheet'!T78</f>
        <v>615540212.30505764</v>
      </c>
      <c r="U95" s="2">
        <f>U7/'Output-Calculation-sheet'!U6*'Output-Calculation-sheet'!U78</f>
        <v>297555528.89478922</v>
      </c>
      <c r="V95" s="2">
        <f>V7/'Output-Calculation-sheet'!V6*'Output-Calculation-sheet'!V78</f>
        <v>219849648.52792734</v>
      </c>
      <c r="W95" s="2">
        <f>W7/'Output-Calculation-sheet'!W6*'Output-Calculation-sheet'!W78</f>
        <v>597770904.08380187</v>
      </c>
      <c r="X95" s="2">
        <f>X7/'Output-Calculation-sheet'!X6*'Output-Calculation-sheet'!X78</f>
        <v>68276598.027647004</v>
      </c>
      <c r="Y95" s="2">
        <f>Y7/'Output-Calculation-sheet'!Y6*'Output-Calculation-sheet'!Y78</f>
        <v>268039280.80289114</v>
      </c>
      <c r="AA95" s="2">
        <f t="shared" si="8"/>
        <v>46.063136205555793</v>
      </c>
    </row>
    <row r="96" spans="1:27" x14ac:dyDescent="0.25">
      <c r="A96" s="2">
        <v>2031</v>
      </c>
      <c r="B96" s="2">
        <f>B8/'Output-Calculation-sheet'!B7*'Output-Calculation-sheet'!B79</f>
        <v>11606558627.119951</v>
      </c>
      <c r="C96" s="2">
        <f>C8/'Output-Calculation-sheet'!C7*'Output-Calculation-sheet'!C79</f>
        <v>1428644465.4333022</v>
      </c>
      <c r="D96" s="2">
        <f>D8/'Output-Calculation-sheet'!D7*'Output-Calculation-sheet'!D79</f>
        <v>5059267480.1631575</v>
      </c>
      <c r="E96" s="2">
        <f>E8/'Output-Calculation-sheet'!E7*'Output-Calculation-sheet'!E79</f>
        <v>8650204120.3156052</v>
      </c>
      <c r="F96" s="2">
        <f>F8/'Output-Calculation-sheet'!F7*'Output-Calculation-sheet'!F79</f>
        <v>3892880552.0661483</v>
      </c>
      <c r="G96" s="2">
        <f>G8/'Output-Calculation-sheet'!G7*'Output-Calculation-sheet'!G79</f>
        <v>2956819577.9613585</v>
      </c>
      <c r="H96" s="2">
        <f>H8/'Output-Calculation-sheet'!H7*'Output-Calculation-sheet'!H79</f>
        <v>860239672.90384984</v>
      </c>
      <c r="I96" s="2">
        <f>I8/'Output-Calculation-sheet'!I7*'Output-Calculation-sheet'!I79</f>
        <v>1983354393.2265153</v>
      </c>
      <c r="J96" s="2">
        <f>J8/'Output-Calculation-sheet'!J7*'Output-Calculation-sheet'!J79</f>
        <v>1469699976.313175</v>
      </c>
      <c r="K96" s="2">
        <f>K8/'Output-Calculation-sheet'!K7*'Output-Calculation-sheet'!K79</f>
        <v>1699342651.1271777</v>
      </c>
      <c r="L96" s="2">
        <f>L8/'Output-Calculation-sheet'!L7*'Output-Calculation-sheet'!L79</f>
        <v>1351795854.7410994</v>
      </c>
      <c r="M96" s="2">
        <f>M8/'Output-Calculation-sheet'!M7*'Output-Calculation-sheet'!M79</f>
        <v>668759578.46653104</v>
      </c>
      <c r="N96" s="2">
        <f>N8/'Output-Calculation-sheet'!N7*'Output-Calculation-sheet'!N79</f>
        <v>679191705.02864897</v>
      </c>
      <c r="O96" s="2">
        <f>O8/'Output-Calculation-sheet'!O7*'Output-Calculation-sheet'!O79</f>
        <v>165790758.75954831</v>
      </c>
      <c r="P96" s="2">
        <f>P8/'Output-Calculation-sheet'!P7*'Output-Calculation-sheet'!P79</f>
        <v>1806416442.5366042</v>
      </c>
      <c r="Q96" s="2">
        <f>Q8/'Output-Calculation-sheet'!Q7*'Output-Calculation-sheet'!Q79</f>
        <v>801022267.57366359</v>
      </c>
      <c r="R96" s="2">
        <f>R8/'Output-Calculation-sheet'!R7*'Output-Calculation-sheet'!R79</f>
        <v>1218742350.9698584</v>
      </c>
      <c r="S96" s="2">
        <f>S8/'Output-Calculation-sheet'!S7*'Output-Calculation-sheet'!S79</f>
        <v>476372108.71638137</v>
      </c>
      <c r="T96" s="2">
        <f>T8/'Output-Calculation-sheet'!T7*'Output-Calculation-sheet'!T79</f>
        <v>645159900.64026606</v>
      </c>
      <c r="U96" s="2">
        <f>U8/'Output-Calculation-sheet'!U7*'Output-Calculation-sheet'!U79</f>
        <v>320432943.98468649</v>
      </c>
      <c r="V96" s="2">
        <f>V8/'Output-Calculation-sheet'!V7*'Output-Calculation-sheet'!V79</f>
        <v>236117135.77464643</v>
      </c>
      <c r="W96" s="2">
        <f>W8/'Output-Calculation-sheet'!W7*'Output-Calculation-sheet'!W79</f>
        <v>629026401.19559503</v>
      </c>
      <c r="X96" s="2">
        <f>X8/'Output-Calculation-sheet'!X7*'Output-Calculation-sheet'!X79</f>
        <v>74538259.263208553</v>
      </c>
      <c r="Y96" s="2">
        <f>Y8/'Output-Calculation-sheet'!Y7*'Output-Calculation-sheet'!Y79</f>
        <v>282299322.10805821</v>
      </c>
      <c r="AA96" s="2">
        <f t="shared" si="8"/>
        <v>48.962676546389019</v>
      </c>
    </row>
    <row r="97" spans="1:27" x14ac:dyDescent="0.25">
      <c r="A97" s="2">
        <v>2032</v>
      </c>
      <c r="B97" s="2">
        <f>B9/'Output-Calculation-sheet'!B8*'Output-Calculation-sheet'!B80</f>
        <v>11796083359.094381</v>
      </c>
      <c r="C97" s="2">
        <f>C9/'Output-Calculation-sheet'!C8*'Output-Calculation-sheet'!C80</f>
        <v>1481980287.0602961</v>
      </c>
      <c r="D97" s="2">
        <f>D9/'Output-Calculation-sheet'!D8*'Output-Calculation-sheet'!D80</f>
        <v>4880895472.2239141</v>
      </c>
      <c r="E97" s="2">
        <f>E9/'Output-Calculation-sheet'!E8*'Output-Calculation-sheet'!E80</f>
        <v>8593331472.706789</v>
      </c>
      <c r="F97" s="2">
        <f>F9/'Output-Calculation-sheet'!F8*'Output-Calculation-sheet'!F80</f>
        <v>3858355216.7534795</v>
      </c>
      <c r="G97" s="2">
        <f>G9/'Output-Calculation-sheet'!G8*'Output-Calculation-sheet'!G80</f>
        <v>2855881031.2620668</v>
      </c>
      <c r="H97" s="2">
        <f>H9/'Output-Calculation-sheet'!H8*'Output-Calculation-sheet'!H80</f>
        <v>865350410.85113621</v>
      </c>
      <c r="I97" s="2">
        <f>I9/'Output-Calculation-sheet'!I8*'Output-Calculation-sheet'!I80</f>
        <v>1983613174.3372512</v>
      </c>
      <c r="J97" s="2">
        <f>J9/'Output-Calculation-sheet'!J8*'Output-Calculation-sheet'!J80</f>
        <v>1431292830.0476315</v>
      </c>
      <c r="K97" s="2">
        <f>K9/'Output-Calculation-sheet'!K8*'Output-Calculation-sheet'!K80</f>
        <v>1666066993.6871531</v>
      </c>
      <c r="L97" s="2">
        <f>L9/'Output-Calculation-sheet'!L8*'Output-Calculation-sheet'!L80</f>
        <v>1366080026.6374469</v>
      </c>
      <c r="M97" s="2">
        <f>M9/'Output-Calculation-sheet'!M8*'Output-Calculation-sheet'!M80</f>
        <v>672621392.64273226</v>
      </c>
      <c r="N97" s="2">
        <f>N9/'Output-Calculation-sheet'!N8*'Output-Calculation-sheet'!N80</f>
        <v>666653222.45651698</v>
      </c>
      <c r="O97" s="2">
        <f>O9/'Output-Calculation-sheet'!O8*'Output-Calculation-sheet'!O80</f>
        <v>173983946.37330958</v>
      </c>
      <c r="P97" s="2">
        <f>P9/'Output-Calculation-sheet'!P8*'Output-Calculation-sheet'!P80</f>
        <v>1769325590.8064966</v>
      </c>
      <c r="Q97" s="2">
        <f>Q9/'Output-Calculation-sheet'!Q8*'Output-Calculation-sheet'!Q80</f>
        <v>786742545.2533226</v>
      </c>
      <c r="R97" s="2">
        <f>R9/'Output-Calculation-sheet'!R8*'Output-Calculation-sheet'!R80</f>
        <v>1224287216.0242903</v>
      </c>
      <c r="S97" s="2">
        <f>S9/'Output-Calculation-sheet'!S8*'Output-Calculation-sheet'!S80</f>
        <v>472169127.514768</v>
      </c>
      <c r="T97" s="2">
        <f>T9/'Output-Calculation-sheet'!T8*'Output-Calculation-sheet'!T80</f>
        <v>631338066.01735985</v>
      </c>
      <c r="U97" s="2">
        <f>U9/'Output-Calculation-sheet'!U8*'Output-Calculation-sheet'!U80</f>
        <v>320417380.05694592</v>
      </c>
      <c r="V97" s="2">
        <f>V9/'Output-Calculation-sheet'!V8*'Output-Calculation-sheet'!V80</f>
        <v>236028933.84028786</v>
      </c>
      <c r="W97" s="2">
        <f>W9/'Output-Calculation-sheet'!W8*'Output-Calculation-sheet'!W80</f>
        <v>617252196.46948934</v>
      </c>
      <c r="X97" s="2">
        <f>X9/'Output-Calculation-sheet'!X8*'Output-Calculation-sheet'!X80</f>
        <v>75589132.632387266</v>
      </c>
      <c r="Y97" s="2">
        <f>Y9/'Output-Calculation-sheet'!Y8*'Output-Calculation-sheet'!Y80</f>
        <v>277174180.22272301</v>
      </c>
      <c r="AA97" s="2">
        <f t="shared" si="8"/>
        <v>48.702513204972178</v>
      </c>
    </row>
    <row r="98" spans="1:27" x14ac:dyDescent="0.25">
      <c r="A98" s="2">
        <v>2033</v>
      </c>
      <c r="B98" s="2">
        <f>B10/'Output-Calculation-sheet'!B9*'Output-Calculation-sheet'!B81</f>
        <v>13633391709.656487</v>
      </c>
      <c r="C98" s="2">
        <f>C10/'Output-Calculation-sheet'!C9*'Output-Calculation-sheet'!C81</f>
        <v>4674202740.296442</v>
      </c>
      <c r="D98" s="2">
        <f>D10/'Output-Calculation-sheet'!D9*'Output-Calculation-sheet'!D81</f>
        <v>4448417361.2204561</v>
      </c>
      <c r="E98" s="2">
        <f>E10/'Output-Calculation-sheet'!E9*'Output-Calculation-sheet'!E81</f>
        <v>8367752949.6577644</v>
      </c>
      <c r="F98" s="2">
        <f>F10/'Output-Calculation-sheet'!F9*'Output-Calculation-sheet'!F81</f>
        <v>3451063574.0875449</v>
      </c>
      <c r="G98" s="2">
        <f>G10/'Output-Calculation-sheet'!G9*'Output-Calculation-sheet'!G81</f>
        <v>2533876465.2410111</v>
      </c>
      <c r="H98" s="2">
        <f>H10/'Output-Calculation-sheet'!H9*'Output-Calculation-sheet'!H81</f>
        <v>2295712779.9022913</v>
      </c>
      <c r="I98" s="2">
        <f>I10/'Output-Calculation-sheet'!I9*'Output-Calculation-sheet'!I81</f>
        <v>1908415074.2833745</v>
      </c>
      <c r="J98" s="2">
        <f>J10/'Output-Calculation-sheet'!J9*'Output-Calculation-sheet'!J81</f>
        <v>1220288699.4494917</v>
      </c>
      <c r="K98" s="2">
        <f>K10/'Output-Calculation-sheet'!K9*'Output-Calculation-sheet'!K81</f>
        <v>1772517728.7534008</v>
      </c>
      <c r="L98" s="2">
        <f>L10/'Output-Calculation-sheet'!L9*'Output-Calculation-sheet'!L81</f>
        <v>1329414829.1345115</v>
      </c>
      <c r="M98" s="2">
        <f>M10/'Output-Calculation-sheet'!M9*'Output-Calculation-sheet'!M81</f>
        <v>1723983909.3508899</v>
      </c>
      <c r="N98" s="2">
        <f>N10/'Output-Calculation-sheet'!N9*'Output-Calculation-sheet'!N81</f>
        <v>1236823940.7956247</v>
      </c>
      <c r="O98" s="2">
        <f>O10/'Output-Calculation-sheet'!O9*'Output-Calculation-sheet'!O81</f>
        <v>654968151.7095114</v>
      </c>
      <c r="P98" s="2">
        <f>P10/'Output-Calculation-sheet'!P9*'Output-Calculation-sheet'!P81</f>
        <v>2093088176.8780322</v>
      </c>
      <c r="Q98" s="2">
        <f>Q10/'Output-Calculation-sheet'!Q9*'Output-Calculation-sheet'!Q81</f>
        <v>984116999.75001717</v>
      </c>
      <c r="R98" s="2">
        <f>R10/'Output-Calculation-sheet'!R9*'Output-Calculation-sheet'!R81</f>
        <v>1258834527.9883523</v>
      </c>
      <c r="S98" s="2">
        <f>S10/'Output-Calculation-sheet'!S9*'Output-Calculation-sheet'!S81</f>
        <v>727830478.56133175</v>
      </c>
      <c r="T98" s="2">
        <f>T10/'Output-Calculation-sheet'!T9*'Output-Calculation-sheet'!T81</f>
        <v>540080157.74528909</v>
      </c>
      <c r="U98" s="2">
        <f>U10/'Output-Calculation-sheet'!U9*'Output-Calculation-sheet'!U81</f>
        <v>351411178.28920931</v>
      </c>
      <c r="V98" s="2">
        <f>V10/'Output-Calculation-sheet'!V9*'Output-Calculation-sheet'!V81</f>
        <v>186113277.70410722</v>
      </c>
      <c r="W98" s="2">
        <f>W10/'Output-Calculation-sheet'!W9*'Output-Calculation-sheet'!W81</f>
        <v>527695351.42945176</v>
      </c>
      <c r="X98" s="2">
        <f>X10/'Output-Calculation-sheet'!X9*'Output-Calculation-sheet'!X81</f>
        <v>193912076.0874649</v>
      </c>
      <c r="Y98" s="2">
        <f>Y10/'Output-Calculation-sheet'!Y9*'Output-Calculation-sheet'!Y81</f>
        <v>290159583.74137294</v>
      </c>
      <c r="AA98" s="2">
        <f t="shared" si="8"/>
        <v>56.404071721713422</v>
      </c>
    </row>
    <row r="99" spans="1:27" x14ac:dyDescent="0.25">
      <c r="A99" s="2">
        <v>2034</v>
      </c>
      <c r="B99" s="2">
        <f>B11/'Output-Calculation-sheet'!B10*'Output-Calculation-sheet'!B82</f>
        <v>15887326832.275457</v>
      </c>
      <c r="C99" s="2">
        <f>C11/'Output-Calculation-sheet'!C10*'Output-Calculation-sheet'!C82</f>
        <v>5481779578.9109955</v>
      </c>
      <c r="D99" s="2">
        <f>D11/'Output-Calculation-sheet'!D10*'Output-Calculation-sheet'!D82</f>
        <v>4986877479.377327</v>
      </c>
      <c r="E99" s="2">
        <f>E11/'Output-Calculation-sheet'!E10*'Output-Calculation-sheet'!E82</f>
        <v>9646677189.8544083</v>
      </c>
      <c r="F99" s="2">
        <f>F11/'Output-Calculation-sheet'!F10*'Output-Calculation-sheet'!F82</f>
        <v>3972972029.0132527</v>
      </c>
      <c r="G99" s="2">
        <f>G11/'Output-Calculation-sheet'!G10*'Output-Calculation-sheet'!G82</f>
        <v>2824500394.7669907</v>
      </c>
      <c r="H99" s="2">
        <f>H11/'Output-Calculation-sheet'!H10*'Output-Calculation-sheet'!H82</f>
        <v>2640008433.1018424</v>
      </c>
      <c r="I99" s="2">
        <f>I11/'Output-Calculation-sheet'!I10*'Output-Calculation-sheet'!I82</f>
        <v>2217423294.5646367</v>
      </c>
      <c r="J99" s="2">
        <f>J11/'Output-Calculation-sheet'!J10*'Output-Calculation-sheet'!J82</f>
        <v>1379901668.1341212</v>
      </c>
      <c r="K99" s="2">
        <f>K11/'Output-Calculation-sheet'!K10*'Output-Calculation-sheet'!K82</f>
        <v>2018977220.5974789</v>
      </c>
      <c r="L99" s="2">
        <f>L11/'Output-Calculation-sheet'!L10*'Output-Calculation-sheet'!L82</f>
        <v>1558798060.8668621</v>
      </c>
      <c r="M99" s="2">
        <f>M11/'Output-Calculation-sheet'!M10*'Output-Calculation-sheet'!M82</f>
        <v>1988669419.1682823</v>
      </c>
      <c r="N99" s="2">
        <f>N11/'Output-Calculation-sheet'!N10*'Output-Calculation-sheet'!N82</f>
        <v>1401019463.9664354</v>
      </c>
      <c r="O99" s="2">
        <f>O11/'Output-Calculation-sheet'!O10*'Output-Calculation-sheet'!O82</f>
        <v>759562962.89979804</v>
      </c>
      <c r="P99" s="2">
        <f>P11/'Output-Calculation-sheet'!P10*'Output-Calculation-sheet'!P82</f>
        <v>2367729827.4974065</v>
      </c>
      <c r="Q99" s="2">
        <f>Q11/'Output-Calculation-sheet'!Q10*'Output-Calculation-sheet'!Q82</f>
        <v>1120558543.7935405</v>
      </c>
      <c r="R99" s="2">
        <f>R11/'Output-Calculation-sheet'!R10*'Output-Calculation-sheet'!R82</f>
        <v>1450557852.7992136</v>
      </c>
      <c r="S99" s="2">
        <f>S11/'Output-Calculation-sheet'!S10*'Output-Calculation-sheet'!S82</f>
        <v>835561875.73502553</v>
      </c>
      <c r="T99" s="2">
        <f>T11/'Output-Calculation-sheet'!T10*'Output-Calculation-sheet'!T82</f>
        <v>610698042.49419034</v>
      </c>
      <c r="U99" s="2">
        <f>U11/'Output-Calculation-sheet'!U10*'Output-Calculation-sheet'!U82</f>
        <v>404416554.47147548</v>
      </c>
      <c r="V99" s="2">
        <f>V11/'Output-Calculation-sheet'!V10*'Output-Calculation-sheet'!V82</f>
        <v>216236489.6462613</v>
      </c>
      <c r="W99" s="2">
        <f>W11/'Output-Calculation-sheet'!W10*'Output-Calculation-sheet'!W82</f>
        <v>599631356.62061727</v>
      </c>
      <c r="X99" s="2">
        <f>X11/'Output-Calculation-sheet'!X10*'Output-Calculation-sheet'!X82</f>
        <v>225837677.41495511</v>
      </c>
      <c r="Y99" s="2">
        <f>Y11/'Output-Calculation-sheet'!Y10*'Output-Calculation-sheet'!Y82</f>
        <v>329987427.16104358</v>
      </c>
      <c r="AA99" s="2">
        <f t="shared" si="8"/>
        <v>64.925709675131628</v>
      </c>
    </row>
    <row r="100" spans="1:27" x14ac:dyDescent="0.25">
      <c r="A100" s="2">
        <v>2035</v>
      </c>
      <c r="B100" s="2">
        <f>B12/'Output-Calculation-sheet'!B11*'Output-Calculation-sheet'!B83</f>
        <v>18149817766.483135</v>
      </c>
      <c r="C100" s="2">
        <f>C12/'Output-Calculation-sheet'!C11*'Output-Calculation-sheet'!C83</f>
        <v>6301321932.4625797</v>
      </c>
      <c r="D100" s="2">
        <f>D12/'Output-Calculation-sheet'!D11*'Output-Calculation-sheet'!D83</f>
        <v>5484492773.2668934</v>
      </c>
      <c r="E100" s="2">
        <f>E12/'Output-Calculation-sheet'!E11*'Output-Calculation-sheet'!E83</f>
        <v>10907240968.664486</v>
      </c>
      <c r="F100" s="2">
        <f>F12/'Output-Calculation-sheet'!F11*'Output-Calculation-sheet'!F83</f>
        <v>4486804031.36689</v>
      </c>
      <c r="G100" s="2">
        <f>G12/'Output-Calculation-sheet'!G11*'Output-Calculation-sheet'!G83</f>
        <v>3083308034.7101417</v>
      </c>
      <c r="H100" s="2">
        <f>H12/'Output-Calculation-sheet'!H11*'Output-Calculation-sheet'!H83</f>
        <v>2978245139.6003408</v>
      </c>
      <c r="I100" s="2">
        <f>I12/'Output-Calculation-sheet'!I11*'Output-Calculation-sheet'!I83</f>
        <v>2526982175.7310576</v>
      </c>
      <c r="J100" s="2">
        <f>J12/'Output-Calculation-sheet'!J11*'Output-Calculation-sheet'!J83</f>
        <v>1531459961.0734208</v>
      </c>
      <c r="K100" s="2">
        <f>K12/'Output-Calculation-sheet'!K11*'Output-Calculation-sheet'!K83</f>
        <v>2256492860.754745</v>
      </c>
      <c r="L100" s="2">
        <f>L12/'Output-Calculation-sheet'!L11*'Output-Calculation-sheet'!L83</f>
        <v>1791526667.5546002</v>
      </c>
      <c r="M100" s="2">
        <f>M12/'Output-Calculation-sheet'!M11*'Output-Calculation-sheet'!M83</f>
        <v>2250554481.8475065</v>
      </c>
      <c r="N100" s="2">
        <f>N12/'Output-Calculation-sheet'!N11*'Output-Calculation-sheet'!N83</f>
        <v>1557205947.0918868</v>
      </c>
      <c r="O100" s="2">
        <f>O12/'Output-Calculation-sheet'!O11*'Output-Calculation-sheet'!O83</f>
        <v>864348176.0609268</v>
      </c>
      <c r="P100" s="2">
        <f>P12/'Output-Calculation-sheet'!P11*'Output-Calculation-sheet'!P83</f>
        <v>2625086827.3143396</v>
      </c>
      <c r="Q100" s="2">
        <f>Q12/'Output-Calculation-sheet'!Q11*'Output-Calculation-sheet'!Q83</f>
        <v>1252178450.4204786</v>
      </c>
      <c r="R100" s="2">
        <f>R12/'Output-Calculation-sheet'!R11*'Output-Calculation-sheet'!R83</f>
        <v>1639657889.3021333</v>
      </c>
      <c r="S100" s="2">
        <f>S12/'Output-Calculation-sheet'!S11*'Output-Calculation-sheet'!S83</f>
        <v>941079384.25766611</v>
      </c>
      <c r="T100" s="2">
        <f>T12/'Output-Calculation-sheet'!T11*'Output-Calculation-sheet'!T83</f>
        <v>677251095.66028333</v>
      </c>
      <c r="U100" s="2">
        <f>U12/'Output-Calculation-sheet'!U11*'Output-Calculation-sheet'!U83</f>
        <v>456390557.26954448</v>
      </c>
      <c r="V100" s="2">
        <f>V12/'Output-Calculation-sheet'!V11*'Output-Calculation-sheet'!V83</f>
        <v>246249222.60715249</v>
      </c>
      <c r="W100" s="2">
        <f>W12/'Output-Calculation-sheet'!W11*'Output-Calculation-sheet'!W83</f>
        <v>667149640.72162545</v>
      </c>
      <c r="X100" s="2">
        <f>X12/'Output-Calculation-sheet'!X11*'Output-Calculation-sheet'!X83</f>
        <v>257926388.0836733</v>
      </c>
      <c r="Y100" s="2">
        <f>Y12/'Output-Calculation-sheet'!Y11*'Output-Calculation-sheet'!Y83</f>
        <v>367639273.99302953</v>
      </c>
      <c r="AA100" s="2">
        <f t="shared" si="8"/>
        <v>73.300409646298519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4935.287450609283</v>
      </c>
      <c r="C19" s="2">
        <f>C8/'Output-Calculation-sheet'!C7*'Output-Calculation-sheet'!C25</f>
        <v>6580.5185737306238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2397.7209036247014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1755.0194914539818</v>
      </c>
      <c r="N19" s="2">
        <f>N8/'Output-Calculation-sheet'!N7*'Output-Calculation-sheet'!N25</f>
        <v>914.30720364992771</v>
      </c>
      <c r="O19" s="2">
        <f>O8/'Output-Calculation-sheet'!O7*'Output-Calculation-sheet'!O25</f>
        <v>997.07594765552847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398.58356301433923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202.86873677370116</v>
      </c>
      <c r="Y19" s="2">
        <f>Y8/'Output-Calculation-sheet'!Y7*'Output-Calculation-sheet'!Y25</f>
        <v>0</v>
      </c>
      <c r="AA19" s="2">
        <f t="shared" si="0"/>
        <v>18.181381870512087</v>
      </c>
    </row>
    <row r="20" spans="1:27" x14ac:dyDescent="0.25">
      <c r="A20" s="2">
        <v>2032</v>
      </c>
      <c r="B20" s="2">
        <f>B9/'Output-Calculation-sheet'!B8*'Output-Calculation-sheet'!B26</f>
        <v>6248.3928307950609</v>
      </c>
      <c r="C20" s="2">
        <f>C9/'Output-Calculation-sheet'!C8*'Output-Calculation-sheet'!C26</f>
        <v>7201.7624404301578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2592.6650603367393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1893.2377760940699</v>
      </c>
      <c r="N20" s="2">
        <f>N9/'Output-Calculation-sheet'!N8*'Output-Calculation-sheet'!N26</f>
        <v>1076.896323558751</v>
      </c>
      <c r="O20" s="2">
        <f>O9/'Output-Calculation-sheet'!O8*'Output-Calculation-sheet'!O26</f>
        <v>1114.0523990566392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486.80364469333546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218.69354099682832</v>
      </c>
      <c r="Y20" s="2">
        <f>Y9/'Output-Calculation-sheet'!Y8*'Output-Calculation-sheet'!Y26</f>
        <v>0</v>
      </c>
      <c r="AA20" s="2">
        <f t="shared" si="0"/>
        <v>20.832504015961586</v>
      </c>
    </row>
    <row r="21" spans="1:27" x14ac:dyDescent="0.25">
      <c r="A21" s="2">
        <v>2033</v>
      </c>
      <c r="B21" s="2">
        <f>B10/'Output-Calculation-sheet'!B9*'Output-Calculation-sheet'!B27</f>
        <v>12995.518746471795</v>
      </c>
      <c r="C21" s="2">
        <f>C10/'Output-Calculation-sheet'!C9*'Output-Calculation-sheet'!C27</f>
        <v>22317.631000475933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7522.0430637215659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5224.5271652312531</v>
      </c>
      <c r="N21" s="2">
        <f>N10/'Output-Calculation-sheet'!N9*'Output-Calculation-sheet'!N27</f>
        <v>2858.7566030935441</v>
      </c>
      <c r="O21" s="2">
        <f>O10/'Output-Calculation-sheet'!O9*'Output-Calculation-sheet'!O27</f>
        <v>2226.7210162803303</v>
      </c>
      <c r="P21" s="2">
        <f>P10/'Output-Calculation-sheet'!P9*'Output-Calculation-sheet'!P27</f>
        <v>0</v>
      </c>
      <c r="Q21" s="2">
        <f>Q10/'Output-Calculation-sheet'!Q9*'Output-Calculation-sheet'!Q27</f>
        <v>194.9861304760777</v>
      </c>
      <c r="R21" s="2">
        <f>R10/'Output-Calculation-sheet'!R9*'Output-Calculation-sheet'!R27</f>
        <v>0</v>
      </c>
      <c r="S21" s="2">
        <f>S10/'Output-Calculation-sheet'!S9*'Output-Calculation-sheet'!S27</f>
        <v>1241.6662977688288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614.35963571965522</v>
      </c>
      <c r="Y21" s="2">
        <f>Y10/'Output-Calculation-sheet'!Y9*'Output-Calculation-sheet'!Y27</f>
        <v>0</v>
      </c>
      <c r="AA21" s="2">
        <f t="shared" si="0"/>
        <v>55.196209659238988</v>
      </c>
    </row>
    <row r="22" spans="1:27" x14ac:dyDescent="0.25">
      <c r="A22" s="2">
        <v>2034</v>
      </c>
      <c r="B22" s="2">
        <f>B11/'Output-Calculation-sheet'!B10*'Output-Calculation-sheet'!B28</f>
        <v>23803.170839279548</v>
      </c>
      <c r="C22" s="2">
        <f>C11/'Output-Calculation-sheet'!C10*'Output-Calculation-sheet'!C28</f>
        <v>22836.153652464247</v>
      </c>
      <c r="D22" s="2">
        <f>D11/'Output-Calculation-sheet'!D10*'Output-Calculation-sheet'!D28</f>
        <v>0</v>
      </c>
      <c r="E22" s="2">
        <f>E11/'Output-Calculation-sheet'!E10*'Output-Calculation-sheet'!E28</f>
        <v>1219.6379744796443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8714.2330154849878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727.26529906453368</v>
      </c>
      <c r="M22" s="2">
        <f>M11/'Output-Calculation-sheet'!M10*'Output-Calculation-sheet'!M28</f>
        <v>6353.4418777288693</v>
      </c>
      <c r="N22" s="2">
        <f>N11/'Output-Calculation-sheet'!N10*'Output-Calculation-sheet'!N28</f>
        <v>3791.6590307332649</v>
      </c>
      <c r="O22" s="2">
        <f>O11/'Output-Calculation-sheet'!O10*'Output-Calculation-sheet'!O28</f>
        <v>2343.4935067826768</v>
      </c>
      <c r="P22" s="2">
        <f>P11/'Output-Calculation-sheet'!P10*'Output-Calculation-sheet'!P28</f>
        <v>0</v>
      </c>
      <c r="Q22" s="2">
        <f>Q11/'Output-Calculation-sheet'!Q10*'Output-Calculation-sheet'!Q28</f>
        <v>861.34626108319981</v>
      </c>
      <c r="R22" s="2">
        <f>R11/'Output-Calculation-sheet'!R10*'Output-Calculation-sheet'!R28</f>
        <v>0</v>
      </c>
      <c r="S22" s="2">
        <f>S11/'Output-Calculation-sheet'!S10*'Output-Calculation-sheet'!S28</f>
        <v>1934.2808138158246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637.99364400835316</v>
      </c>
      <c r="Y22" s="2">
        <f>Y11/'Output-Calculation-sheet'!Y10*'Output-Calculation-sheet'!Y28</f>
        <v>66.177069305187544</v>
      </c>
      <c r="AA22" s="2">
        <f t="shared" si="0"/>
        <v>73.288852984230346</v>
      </c>
    </row>
    <row r="23" spans="1:27" x14ac:dyDescent="0.25">
      <c r="A23" s="2">
        <v>2035</v>
      </c>
      <c r="B23" s="2">
        <f>B12/'Output-Calculation-sheet'!B11*'Output-Calculation-sheet'!B29</f>
        <v>26348.973140087517</v>
      </c>
      <c r="C23" s="2">
        <f>C12/'Output-Calculation-sheet'!C11*'Output-Calculation-sheet'!C29</f>
        <v>21521.513205745101</v>
      </c>
      <c r="D23" s="2">
        <f>D12/'Output-Calculation-sheet'!D11*'Output-Calculation-sheet'!D29</f>
        <v>0</v>
      </c>
      <c r="E23" s="2">
        <f>E12/'Output-Calculation-sheet'!E11*'Output-Calculation-sheet'!E29</f>
        <v>4062.3687444046054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8284.6439009294281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920.90621333287595</v>
      </c>
      <c r="M23" s="2">
        <f>M12/'Output-Calculation-sheet'!M11*'Output-Calculation-sheet'!M29</f>
        <v>6069.8126961158305</v>
      </c>
      <c r="N23" s="2">
        <f>N12/'Output-Calculation-sheet'!N11*'Output-Calculation-sheet'!N29</f>
        <v>3540.860318334448</v>
      </c>
      <c r="O23" s="2">
        <f>O12/'Output-Calculation-sheet'!O11*'Output-Calculation-sheet'!O29</f>
        <v>2386.9751424031488</v>
      </c>
      <c r="P23" s="2">
        <f>P12/'Output-Calculation-sheet'!P11*'Output-Calculation-sheet'!P29</f>
        <v>432.45125660691639</v>
      </c>
      <c r="Q23" s="2">
        <f>Q12/'Output-Calculation-sheet'!Q11*'Output-Calculation-sheet'!Q29</f>
        <v>970.84823967823468</v>
      </c>
      <c r="R23" s="2">
        <f>R12/'Output-Calculation-sheet'!R11*'Output-Calculation-sheet'!R29</f>
        <v>0</v>
      </c>
      <c r="S23" s="2">
        <f>S12/'Output-Calculation-sheet'!S11*'Output-Calculation-sheet'!S29</f>
        <v>1895.4231313728537</v>
      </c>
      <c r="T23" s="2">
        <f>T12/'Output-Calculation-sheet'!T11*'Output-Calculation-sheet'!T29</f>
        <v>0</v>
      </c>
      <c r="U23" s="2">
        <f>U12/'Output-Calculation-sheet'!U11*'Output-Calculation-sheet'!U29</f>
        <v>82.654566531524836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601.30938910289274</v>
      </c>
      <c r="Y23" s="2">
        <f>Y12/'Output-Calculation-sheet'!Y11*'Output-Calculation-sheet'!Y29</f>
        <v>178.02115705506293</v>
      </c>
      <c r="AA23" s="2">
        <f t="shared" si="0"/>
        <v>77.29676110170044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24271.079365994807</v>
      </c>
      <c r="C30" s="2">
        <f>C8/'Output-Calculation-sheet'!C7*'Output-Calculation-sheet'!C16</f>
        <v>0</v>
      </c>
      <c r="D30" s="2">
        <f>D8/'Output-Calculation-sheet'!D7*'Output-Calculation-sheet'!D16</f>
        <v>5468.0401928668425</v>
      </c>
      <c r="E30" s="2">
        <f>E8/'Output-Calculation-sheet'!E7*'Output-Calculation-sheet'!E16</f>
        <v>6852.327858400723</v>
      </c>
      <c r="F30" s="2">
        <f>F8/'Output-Calculation-sheet'!F7*'Output-Calculation-sheet'!F16</f>
        <v>3346.6762916430384</v>
      </c>
      <c r="G30" s="2">
        <f>G8/'Output-Calculation-sheet'!G7*'Output-Calculation-sheet'!G16</f>
        <v>2039.421074779556</v>
      </c>
      <c r="H30" s="2">
        <f>H8/'Output-Calculation-sheet'!H7*'Output-Calculation-sheet'!H16</f>
        <v>0</v>
      </c>
      <c r="I30" s="2">
        <f>I8/'Output-Calculation-sheet'!I7*'Output-Calculation-sheet'!I16</f>
        <v>1919.8632338308225</v>
      </c>
      <c r="J30" s="2">
        <f>J8/'Output-Calculation-sheet'!J7*'Output-Calculation-sheet'!J16</f>
        <v>2058.0103833069347</v>
      </c>
      <c r="K30" s="2">
        <f>K8/'Output-Calculation-sheet'!K7*'Output-Calculation-sheet'!K16</f>
        <v>1991.9227177685425</v>
      </c>
      <c r="L30" s="2">
        <f>L8/'Output-Calculation-sheet'!L7*'Output-Calculation-sheet'!L16</f>
        <v>2201.7537977082206</v>
      </c>
      <c r="M30" s="2">
        <f>M8/'Output-Calculation-sheet'!M7*'Output-Calculation-sheet'!M16</f>
        <v>0</v>
      </c>
      <c r="N30" s="2">
        <f>N8/'Output-Calculation-sheet'!N7*'Output-Calculation-sheet'!N16</f>
        <v>987.32529762880779</v>
      </c>
      <c r="O30" s="2">
        <f>O8/'Output-Calculation-sheet'!O7*'Output-Calculation-sheet'!O16</f>
        <v>0</v>
      </c>
      <c r="P30" s="2">
        <f>P8/'Output-Calculation-sheet'!P7*'Output-Calculation-sheet'!P16</f>
        <v>1884.8104789519334</v>
      </c>
      <c r="Q30" s="2">
        <f>Q8/'Output-Calculation-sheet'!Q7*'Output-Calculation-sheet'!Q16</f>
        <v>1849.092456473835</v>
      </c>
      <c r="R30" s="2">
        <f>R8/'Output-Calculation-sheet'!R7*'Output-Calculation-sheet'!R16</f>
        <v>1640.9278308303687</v>
      </c>
      <c r="S30" s="2">
        <f>S8/'Output-Calculation-sheet'!S7*'Output-Calculation-sheet'!S16</f>
        <v>869.0875933082508</v>
      </c>
      <c r="T30" s="2">
        <f>T8/'Output-Calculation-sheet'!T7*'Output-Calculation-sheet'!T16</f>
        <v>619.80287322876893</v>
      </c>
      <c r="U30" s="2">
        <f>U8/'Output-Calculation-sheet'!U7*'Output-Calculation-sheet'!U16</f>
        <v>478.2415397792609</v>
      </c>
      <c r="V30" s="2">
        <f>V8/'Output-Calculation-sheet'!V7*'Output-Calculation-sheet'!V16</f>
        <v>619.22716034291614</v>
      </c>
      <c r="W30" s="2">
        <f>W8/'Output-Calculation-sheet'!W7*'Output-Calculation-sheet'!W16</f>
        <v>298.14522131281467</v>
      </c>
      <c r="X30" s="2">
        <f>X8/'Output-Calculation-sheet'!X7*'Output-Calculation-sheet'!X16</f>
        <v>0</v>
      </c>
      <c r="Y30" s="2">
        <f>Y8/'Output-Calculation-sheet'!Y7*'Output-Calculation-sheet'!Y16</f>
        <v>203.34154088339216</v>
      </c>
      <c r="AA30" s="2">
        <f t="shared" si="1"/>
        <v>59.599096909039837</v>
      </c>
    </row>
    <row r="31" spans="1:27" x14ac:dyDescent="0.25">
      <c r="A31" s="2">
        <v>2032</v>
      </c>
      <c r="B31" s="2">
        <f>B9/'Output-Calculation-sheet'!B8*'Output-Calculation-sheet'!B17</f>
        <v>25317.583620259204</v>
      </c>
      <c r="C31" s="2">
        <f>C9/'Output-Calculation-sheet'!C8*'Output-Calculation-sheet'!C17</f>
        <v>0</v>
      </c>
      <c r="D31" s="2">
        <f>D9/'Output-Calculation-sheet'!D8*'Output-Calculation-sheet'!D17</f>
        <v>5794.6724342255302</v>
      </c>
      <c r="E31" s="2">
        <f>E9/'Output-Calculation-sheet'!E8*'Output-Calculation-sheet'!E17</f>
        <v>7278.8740995282933</v>
      </c>
      <c r="F31" s="2">
        <f>F9/'Output-Calculation-sheet'!F8*'Output-Calculation-sheet'!F17</f>
        <v>3551.5019112471109</v>
      </c>
      <c r="G31" s="2">
        <f>G9/'Output-Calculation-sheet'!G8*'Output-Calculation-sheet'!G17</f>
        <v>2161.894183512974</v>
      </c>
      <c r="H31" s="2">
        <f>H9/'Output-Calculation-sheet'!H8*'Output-Calculation-sheet'!H17</f>
        <v>0</v>
      </c>
      <c r="I31" s="2">
        <f>I9/'Output-Calculation-sheet'!I8*'Output-Calculation-sheet'!I17</f>
        <v>2034.1382121627789</v>
      </c>
      <c r="J31" s="2">
        <f>J9/'Output-Calculation-sheet'!J8*'Output-Calculation-sheet'!J17</f>
        <v>2182.2811044883633</v>
      </c>
      <c r="K31" s="2">
        <f>K9/'Output-Calculation-sheet'!K8*'Output-Calculation-sheet'!K17</f>
        <v>2110.5722950223926</v>
      </c>
      <c r="L31" s="2">
        <f>L9/'Output-Calculation-sheet'!L8*'Output-Calculation-sheet'!L17</f>
        <v>2332.1069344355783</v>
      </c>
      <c r="M31" s="2">
        <f>M9/'Output-Calculation-sheet'!M8*'Output-Calculation-sheet'!M17</f>
        <v>0</v>
      </c>
      <c r="N31" s="2">
        <f>N9/'Output-Calculation-sheet'!N8*'Output-Calculation-sheet'!N17</f>
        <v>983.30484259578202</v>
      </c>
      <c r="O31" s="2">
        <f>O9/'Output-Calculation-sheet'!O8*'Output-Calculation-sheet'!O17</f>
        <v>0</v>
      </c>
      <c r="P31" s="2">
        <f>P9/'Output-Calculation-sheet'!P8*'Output-Calculation-sheet'!P17</f>
        <v>2008.8434460495648</v>
      </c>
      <c r="Q31" s="2">
        <f>Q9/'Output-Calculation-sheet'!Q8*'Output-Calculation-sheet'!Q17</f>
        <v>1964.5619387849197</v>
      </c>
      <c r="R31" s="2">
        <f>R9/'Output-Calculation-sheet'!R8*'Output-Calculation-sheet'!R17</f>
        <v>1758.2253432094021</v>
      </c>
      <c r="S31" s="2">
        <f>S9/'Output-Calculation-sheet'!S8*'Output-Calculation-sheet'!S17</f>
        <v>880.13237400084063</v>
      </c>
      <c r="T31" s="2">
        <f>T9/'Output-Calculation-sheet'!T8*'Output-Calculation-sheet'!T17</f>
        <v>658.67147243092177</v>
      </c>
      <c r="U31" s="2">
        <f>U9/'Output-Calculation-sheet'!U8*'Output-Calculation-sheet'!U17</f>
        <v>510.00320123827669</v>
      </c>
      <c r="V31" s="2">
        <f>V9/'Output-Calculation-sheet'!V8*'Output-Calculation-sheet'!V17</f>
        <v>648.55085075794727</v>
      </c>
      <c r="W31" s="2">
        <f>W9/'Output-Calculation-sheet'!W8*'Output-Calculation-sheet'!W17</f>
        <v>316.09984902659204</v>
      </c>
      <c r="X31" s="2">
        <f>X9/'Output-Calculation-sheet'!X8*'Output-Calculation-sheet'!X17</f>
        <v>0</v>
      </c>
      <c r="Y31" s="2">
        <f>Y9/'Output-Calculation-sheet'!Y8*'Output-Calculation-sheet'!Y17</f>
        <v>215.48914463842195</v>
      </c>
      <c r="AA31" s="2">
        <f t="shared" si="1"/>
        <v>62.707507257614886</v>
      </c>
    </row>
    <row r="32" spans="1:27" x14ac:dyDescent="0.25">
      <c r="A32" s="2">
        <v>2033</v>
      </c>
      <c r="B32" s="2">
        <f>B10/'Output-Calculation-sheet'!B9*'Output-Calculation-sheet'!B18</f>
        <v>26382.508790901225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1607.658523305568</v>
      </c>
      <c r="O32" s="2">
        <f>O10/'Output-Calculation-sheet'!O9*'Output-Calculation-sheet'!O18</f>
        <v>0</v>
      </c>
      <c r="P32" s="2">
        <f>P10/'Output-Calculation-sheet'!P9*'Output-Calculation-sheet'!P18</f>
        <v>2588.3023384468056</v>
      </c>
      <c r="Q32" s="2">
        <f>Q10/'Output-Calculation-sheet'!Q9*'Output-Calculation-sheet'!Q18</f>
        <v>2817.439662582437</v>
      </c>
      <c r="R32" s="2">
        <f>R10/'Output-Calculation-sheet'!R9*'Output-Calculation-sheet'!R18</f>
        <v>1858.5355070852891</v>
      </c>
      <c r="S32" s="2">
        <f>S10/'Output-Calculation-sheet'!S9*'Output-Calculation-sheet'!S18</f>
        <v>1219.5818051528838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599.99170939925887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63.40597670161506</v>
      </c>
    </row>
    <row r="33" spans="1:27" x14ac:dyDescent="0.25">
      <c r="A33" s="2">
        <v>2034</v>
      </c>
      <c r="B33" s="2">
        <f>B11/'Output-Calculation-sheet'!B10*'Output-Calculation-sheet'!B19</f>
        <v>24009.275978558671</v>
      </c>
      <c r="C33" s="2">
        <f>C11/'Output-Calculation-sheet'!C10*'Output-Calculation-sheet'!C19</f>
        <v>0</v>
      </c>
      <c r="D33" s="2">
        <f>D11/'Output-Calculation-sheet'!D10*'Output-Calculation-sheet'!D19</f>
        <v>7161.7033199591424</v>
      </c>
      <c r="E33" s="2">
        <f>E11/'Output-Calculation-sheet'!E10*'Output-Calculation-sheet'!E19</f>
        <v>8870.2484496628731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2437.7760761644909</v>
      </c>
      <c r="H33" s="2">
        <f>H11/'Output-Calculation-sheet'!H10*'Output-Calculation-sheet'!H19</f>
        <v>0</v>
      </c>
      <c r="I33" s="2">
        <f>I11/'Output-Calculation-sheet'!I10*'Output-Calculation-sheet'!I19</f>
        <v>2659.9555544535301</v>
      </c>
      <c r="J33" s="2">
        <f>J11/'Output-Calculation-sheet'!J10*'Output-Calculation-sheet'!J19</f>
        <v>2249.1638302952251</v>
      </c>
      <c r="K33" s="2">
        <f>K11/'Output-Calculation-sheet'!K10*'Output-Calculation-sheet'!K19</f>
        <v>3121.0393816040255</v>
      </c>
      <c r="L33" s="2">
        <f>L11/'Output-Calculation-sheet'!L10*'Output-Calculation-sheet'!L19</f>
        <v>2538.1485240816569</v>
      </c>
      <c r="M33" s="2">
        <f>M11/'Output-Calculation-sheet'!M10*'Output-Calculation-sheet'!M19</f>
        <v>0</v>
      </c>
      <c r="N33" s="2">
        <f>N11/'Output-Calculation-sheet'!N10*'Output-Calculation-sheet'!N19</f>
        <v>1435.215139219468</v>
      </c>
      <c r="O33" s="2">
        <f>O11/'Output-Calculation-sheet'!O10*'Output-Calculation-sheet'!O19</f>
        <v>0</v>
      </c>
      <c r="P33" s="2">
        <f>P11/'Output-Calculation-sheet'!P10*'Output-Calculation-sheet'!P19</f>
        <v>3157.9412983444868</v>
      </c>
      <c r="Q33" s="2">
        <f>Q11/'Output-Calculation-sheet'!Q10*'Output-Calculation-sheet'!Q19</f>
        <v>2600.5315058120245</v>
      </c>
      <c r="R33" s="2">
        <f>R11/'Output-Calculation-sheet'!R10*'Output-Calculation-sheet'!R19</f>
        <v>2254.7191869357193</v>
      </c>
      <c r="S33" s="2">
        <f>S11/'Output-Calculation-sheet'!S10*'Output-Calculation-sheet'!S19</f>
        <v>1051.0706951827569</v>
      </c>
      <c r="T33" s="2">
        <f>T11/'Output-Calculation-sheet'!T10*'Output-Calculation-sheet'!T19</f>
        <v>661.59997089190142</v>
      </c>
      <c r="U33" s="2">
        <f>U11/'Output-Calculation-sheet'!U10*'Output-Calculation-sheet'!U19</f>
        <v>761.444573954612</v>
      </c>
      <c r="V33" s="2">
        <f>V11/'Output-Calculation-sheet'!V10*'Output-Calculation-sheet'!V19</f>
        <v>518.82350164529362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93.552978692077048</v>
      </c>
      <c r="Y33" s="2">
        <f>Y11/'Output-Calculation-sheet'!Y10*'Output-Calculation-sheet'!Y19</f>
        <v>291.17910494282518</v>
      </c>
      <c r="AA33" s="2">
        <f t="shared" si="1"/>
        <v>70.267238876970069</v>
      </c>
    </row>
    <row r="34" spans="1:27" x14ac:dyDescent="0.25">
      <c r="A34" s="2">
        <v>2035</v>
      </c>
      <c r="B34" s="2">
        <f>B12/'Output-Calculation-sheet'!B11*'Output-Calculation-sheet'!B20</f>
        <v>20970.926386488441</v>
      </c>
      <c r="C34" s="2">
        <f>C12/'Output-Calculation-sheet'!C11*'Output-Calculation-sheet'!C20</f>
        <v>0</v>
      </c>
      <c r="D34" s="2">
        <f>D12/'Output-Calculation-sheet'!D11*'Output-Calculation-sheet'!D20</f>
        <v>6581.3162404995201</v>
      </c>
      <c r="E34" s="2">
        <f>E12/'Output-Calculation-sheet'!E11*'Output-Calculation-sheet'!E20</f>
        <v>7191.0550796499056</v>
      </c>
      <c r="F34" s="2">
        <f>F12/'Output-Calculation-sheet'!F11*'Output-Calculation-sheet'!F20</f>
        <v>4530.7018998045542</v>
      </c>
      <c r="G34" s="2">
        <f>G12/'Output-Calculation-sheet'!G11*'Output-Calculation-sheet'!G20</f>
        <v>2421.0725811240359</v>
      </c>
      <c r="H34" s="2">
        <f>H12/'Output-Calculation-sheet'!H11*'Output-Calculation-sheet'!H20</f>
        <v>0</v>
      </c>
      <c r="I34" s="2">
        <f>I12/'Output-Calculation-sheet'!I11*'Output-Calculation-sheet'!I20</f>
        <v>2631.3762206798738</v>
      </c>
      <c r="J34" s="2">
        <f>J12/'Output-Calculation-sheet'!J11*'Output-Calculation-sheet'!J20</f>
        <v>2259.0387577097413</v>
      </c>
      <c r="K34" s="2">
        <f>K12/'Output-Calculation-sheet'!K11*'Output-Calculation-sheet'!K20</f>
        <v>2970.0859393352193</v>
      </c>
      <c r="L34" s="2">
        <f>L12/'Output-Calculation-sheet'!L11*'Output-Calculation-sheet'!L20</f>
        <v>2347.3064907991456</v>
      </c>
      <c r="M34" s="2">
        <f>M12/'Output-Calculation-sheet'!M11*'Output-Calculation-sheet'!M20</f>
        <v>0</v>
      </c>
      <c r="N34" s="2">
        <f>N12/'Output-Calculation-sheet'!N11*'Output-Calculation-sheet'!N20</f>
        <v>1306.2764481519978</v>
      </c>
      <c r="O34" s="2">
        <f>O12/'Output-Calculation-sheet'!O11*'Output-Calculation-sheet'!O20</f>
        <v>0</v>
      </c>
      <c r="P34" s="2">
        <f>P12/'Output-Calculation-sheet'!P11*'Output-Calculation-sheet'!P20</f>
        <v>2919.2892496613736</v>
      </c>
      <c r="Q34" s="2">
        <f>Q12/'Output-Calculation-sheet'!Q11*'Output-Calculation-sheet'!Q20</f>
        <v>2309.9472068438899</v>
      </c>
      <c r="R34" s="2">
        <f>R12/'Output-Calculation-sheet'!R11*'Output-Calculation-sheet'!R20</f>
        <v>2318.4942140317439</v>
      </c>
      <c r="S34" s="2">
        <f>S12/'Output-Calculation-sheet'!S11*'Output-Calculation-sheet'!S20</f>
        <v>885.60853270710879</v>
      </c>
      <c r="T34" s="2">
        <f>T12/'Output-Calculation-sheet'!T11*'Output-Calculation-sheet'!T20</f>
        <v>728.39926203557309</v>
      </c>
      <c r="U34" s="2">
        <f>U12/'Output-Calculation-sheet'!U11*'Output-Calculation-sheet'!U20</f>
        <v>664.55145338751265</v>
      </c>
      <c r="V34" s="2">
        <f>V12/'Output-Calculation-sheet'!V11*'Output-Calculation-sheet'!V20</f>
        <v>610.45862616411875</v>
      </c>
      <c r="W34" s="2">
        <f>W12/'Output-Calculation-sheet'!W11*'Output-Calculation-sheet'!W20</f>
        <v>392.74752283319981</v>
      </c>
      <c r="X34" s="2">
        <f>X12/'Output-Calculation-sheet'!X11*'Output-Calculation-sheet'!X20</f>
        <v>79.37575202445268</v>
      </c>
      <c r="Y34" s="2">
        <f>Y12/'Output-Calculation-sheet'!Y11*'Output-Calculation-sheet'!Y20</f>
        <v>220.14982370516273</v>
      </c>
      <c r="AA34" s="2">
        <f t="shared" si="1"/>
        <v>64.338177687636559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1.0569518487047826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0.61601192937283455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1.6729637780776172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2.0331301623498961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0.31293039197792732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0.21532673167298147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0.78996498942377102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0.18542114123436898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2.3621873288216313E-2</v>
      </c>
      <c r="Y44" s="2">
        <f>Y11/'Output-Calculation-sheet'!Y10*'Output-Calculation-sheet'!Y37*0.0114</f>
        <v>0</v>
      </c>
      <c r="AA44" s="2">
        <f t="shared" si="2"/>
        <v>3.5603952899471611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1.8606072252678472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0.72293185859369291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2.161741974435033E-2</v>
      </c>
      <c r="Y45" s="2">
        <f>Y12/'Output-Calculation-sheet'!Y11*'Output-Calculation-sheet'!Y38*0.0114</f>
        <v>2.0861211007346784E-2</v>
      </c>
      <c r="AA45" s="2">
        <f t="shared" si="2"/>
        <v>9.2701311713045556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138.69272709081213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123.45741300477117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536.8494885515621</v>
      </c>
      <c r="S52" s="2">
        <f>S8/'Output-Calculation-sheet'!S7*'Output-Calculation-sheet'!S43</f>
        <v>0</v>
      </c>
      <c r="T52" s="2">
        <f>T8/'Output-Calculation-sheet'!T7*'Output-Calculation-sheet'!T43</f>
        <v>432.28068179309247</v>
      </c>
      <c r="U52" s="2">
        <f>U8/'Output-Calculation-sheet'!U7*'Output-Calculation-sheet'!U43</f>
        <v>45.720988506621502</v>
      </c>
      <c r="V52" s="2">
        <f>V8/'Output-Calculation-sheet'!V7*'Output-Calculation-sheet'!V43</f>
        <v>779.52785908374551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2.0565291580306049</v>
      </c>
    </row>
    <row r="53" spans="1:27" x14ac:dyDescent="0.25">
      <c r="A53" s="2">
        <v>2032</v>
      </c>
      <c r="B53" s="2">
        <f>B9/'Output-Calculation-sheet'!B8*'Output-Calculation-sheet'!B44</f>
        <v>1552.1547165458933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292.61842469822744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234.42701734755218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732.89926769879207</v>
      </c>
      <c r="S53" s="2">
        <f>S9/'Output-Calculation-sheet'!S8*'Output-Calculation-sheet'!S44</f>
        <v>0</v>
      </c>
      <c r="T53" s="2">
        <f>T9/'Output-Calculation-sheet'!T8*'Output-Calculation-sheet'!T44</f>
        <v>505.31936884815997</v>
      </c>
      <c r="U53" s="2">
        <f>U9/'Output-Calculation-sheet'!U8*'Output-Calculation-sheet'!U44</f>
        <v>85.745447111493888</v>
      </c>
      <c r="V53" s="2">
        <f>V9/'Output-Calculation-sheet'!V8*'Output-Calculation-sheet'!V44</f>
        <v>847.13067893452614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4.2502949211846452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57297.916008732958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0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744.09277891998431</v>
      </c>
      <c r="R54" s="2">
        <f>R10/'Output-Calculation-sheet'!R9*'Output-Calculation-sheet'!R45</f>
        <v>1241.0249638995442</v>
      </c>
      <c r="S54" s="2">
        <f>S10/'Output-Calculation-sheet'!S9*'Output-Calculation-sheet'!S45</f>
        <v>2965.2525155677686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447.84359323133953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128.88556069886161</v>
      </c>
    </row>
    <row r="55" spans="1:27" x14ac:dyDescent="0.25">
      <c r="A55" s="2">
        <v>2034</v>
      </c>
      <c r="B55" s="2">
        <f>B11/'Output-Calculation-sheet'!B10*'Output-Calculation-sheet'!B46</f>
        <v>68388.578575752064</v>
      </c>
      <c r="C55" s="2">
        <f>C11/'Output-Calculation-sheet'!C10*'Output-Calculation-sheet'!C46</f>
        <v>56267.76896678879</v>
      </c>
      <c r="D55" s="2">
        <f>D11/'Output-Calculation-sheet'!D10*'Output-Calculation-sheet'!D46</f>
        <v>6319.3358510183907</v>
      </c>
      <c r="E55" s="2">
        <f>E11/'Output-Calculation-sheet'!E10*'Output-Calculation-sheet'!E46</f>
        <v>7784.3889662073243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20285.575409797217</v>
      </c>
      <c r="I55" s="2">
        <f>I11/'Output-Calculation-sheet'!I10*'Output-Calculation-sheet'!I46</f>
        <v>1529.1934545135127</v>
      </c>
      <c r="J55" s="2">
        <f>J11/'Output-Calculation-sheet'!J10*'Output-Calculation-sheet'!J46</f>
        <v>1109.8262704159461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1095.4890435885673</v>
      </c>
      <c r="M55" s="2">
        <f>M11/'Output-Calculation-sheet'!M10*'Output-Calculation-sheet'!M46</f>
        <v>14336.227135069556</v>
      </c>
      <c r="N55" s="2">
        <f>N11/'Output-Calculation-sheet'!N10*'Output-Calculation-sheet'!N46</f>
        <v>10934.300642861515</v>
      </c>
      <c r="O55" s="2">
        <f>O11/'Output-Calculation-sheet'!O10*'Output-Calculation-sheet'!O46</f>
        <v>242.53311078799987</v>
      </c>
      <c r="P55" s="2">
        <f>P11/'Output-Calculation-sheet'!P10*'Output-Calculation-sheet'!P46</f>
        <v>4064.5393794166484</v>
      </c>
      <c r="Q55" s="2">
        <f>Q11/'Output-Calculation-sheet'!Q10*'Output-Calculation-sheet'!Q46</f>
        <v>2390.9568211800211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5374.0073004686874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1245.4878635091488</v>
      </c>
      <c r="V55" s="2">
        <f>V11/'Output-Calculation-sheet'!V10*'Output-Calculation-sheet'!V46</f>
        <v>504.20165368833204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1467.0426568471182</v>
      </c>
      <c r="Y55" s="2">
        <f>Y11/'Output-Calculation-sheet'!Y10*'Output-Calculation-sheet'!Y46</f>
        <v>381.9253735395323</v>
      </c>
      <c r="AA55" s="2">
        <f t="shared" si="3"/>
        <v>213.84665021473734</v>
      </c>
    </row>
    <row r="56" spans="1:27" x14ac:dyDescent="0.25">
      <c r="A56" s="2">
        <v>2035</v>
      </c>
      <c r="B56" s="2">
        <f>B12/'Output-Calculation-sheet'!B11*'Output-Calculation-sheet'!B47</f>
        <v>79607.265159256101</v>
      </c>
      <c r="C56" s="2">
        <f>C12/'Output-Calculation-sheet'!C11*'Output-Calculation-sheet'!C47</f>
        <v>52309.176815644299</v>
      </c>
      <c r="D56" s="2">
        <f>D12/'Output-Calculation-sheet'!D11*'Output-Calculation-sheet'!D47</f>
        <v>6361.4137339245372</v>
      </c>
      <c r="E56" s="2">
        <f>E12/'Output-Calculation-sheet'!E11*'Output-Calculation-sheet'!E47</f>
        <v>17867.04585580507</v>
      </c>
      <c r="F56" s="2">
        <f>F12/'Output-Calculation-sheet'!F11*'Output-Calculation-sheet'!F47</f>
        <v>2204.0705618227466</v>
      </c>
      <c r="G56" s="2">
        <f>G12/'Output-Calculation-sheet'!G11*'Output-Calculation-sheet'!G47</f>
        <v>4978.8562569707265</v>
      </c>
      <c r="H56" s="2">
        <f>H12/'Output-Calculation-sheet'!H11*'Output-Calculation-sheet'!H47</f>
        <v>19016.399477865136</v>
      </c>
      <c r="I56" s="2">
        <f>I12/'Output-Calculation-sheet'!I11*'Output-Calculation-sheet'!I47</f>
        <v>2518.9784684621063</v>
      </c>
      <c r="J56" s="2">
        <f>J12/'Output-Calculation-sheet'!J11*'Output-Calculation-sheet'!J47</f>
        <v>2285.2148551413602</v>
      </c>
      <c r="K56" s="2">
        <f>K12/'Output-Calculation-sheet'!K11*'Output-Calculation-sheet'!K47</f>
        <v>3301.0124360491463</v>
      </c>
      <c r="L56" s="2">
        <f>L12/'Output-Calculation-sheet'!L11*'Output-Calculation-sheet'!L47</f>
        <v>1822.7825765663986</v>
      </c>
      <c r="M56" s="2">
        <f>M12/'Output-Calculation-sheet'!M11*'Output-Calculation-sheet'!M47</f>
        <v>13257.998968876098</v>
      </c>
      <c r="N56" s="2">
        <f>N12/'Output-Calculation-sheet'!N11*'Output-Calculation-sheet'!N47</f>
        <v>10125.383835330871</v>
      </c>
      <c r="O56" s="2">
        <f>O12/'Output-Calculation-sheet'!O11*'Output-Calculation-sheet'!O47</f>
        <v>951.22612972854324</v>
      </c>
      <c r="P56" s="2">
        <f>P12/'Output-Calculation-sheet'!P11*'Output-Calculation-sheet'!P47</f>
        <v>5257.7183335746904</v>
      </c>
      <c r="Q56" s="2">
        <f>Q12/'Output-Calculation-sheet'!Q11*'Output-Calculation-sheet'!Q47</f>
        <v>2664.384810842696</v>
      </c>
      <c r="R56" s="2">
        <f>R12/'Output-Calculation-sheet'!R11*'Output-Calculation-sheet'!R47</f>
        <v>3882.1655479814385</v>
      </c>
      <c r="S56" s="2">
        <f>S12/'Output-Calculation-sheet'!S11*'Output-Calculation-sheet'!S47</f>
        <v>5141.9792085745612</v>
      </c>
      <c r="T56" s="2">
        <f>T12/'Output-Calculation-sheet'!T11*'Output-Calculation-sheet'!T47</f>
        <v>1359.8096884604718</v>
      </c>
      <c r="U56" s="2">
        <f>U12/'Output-Calculation-sheet'!U11*'Output-Calculation-sheet'!U47</f>
        <v>1301.2727665845671</v>
      </c>
      <c r="V56" s="2">
        <f>V12/'Output-Calculation-sheet'!V11*'Output-Calculation-sheet'!V47</f>
        <v>908.18624760017417</v>
      </c>
      <c r="W56" s="2">
        <f>W12/'Output-Calculation-sheet'!W11*'Output-Calculation-sheet'!W47</f>
        <v>516.88153973074395</v>
      </c>
      <c r="X56" s="2">
        <f>X12/'Output-Calculation-sheet'!X11*'Output-Calculation-sheet'!X47</f>
        <v>1369.1032504755208</v>
      </c>
      <c r="Y56" s="2">
        <f>Y12/'Output-Calculation-sheet'!Y11*'Output-Calculation-sheet'!Y47</f>
        <v>700.8634926152472</v>
      </c>
      <c r="AA56" s="2">
        <f t="shared" si="3"/>
        <v>239.70919001788323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6.6971798090257222</v>
      </c>
      <c r="C63" s="2">
        <f>C8*'Output-Calculation-sheet'!C52/10^9</f>
        <v>3.3946449004564192</v>
      </c>
      <c r="D63" s="2">
        <f>D8*'Output-Calculation-sheet'!D52/10^9</f>
        <v>1.1859006944537398</v>
      </c>
      <c r="E63" s="2">
        <f>E8*'Output-Calculation-sheet'!E52/10^9</f>
        <v>1.5269522945497604</v>
      </c>
      <c r="F63" s="2">
        <f>F8*'Output-Calculation-sheet'!F52/10^9</f>
        <v>0.63513935154206691</v>
      </c>
      <c r="G63" s="2">
        <f>G8*'Output-Calculation-sheet'!G52/10^9</f>
        <v>0.45572759459851103</v>
      </c>
      <c r="H63" s="2">
        <f>H8*'Output-Calculation-sheet'!H52/10^9</f>
        <v>0.88033183538350768</v>
      </c>
      <c r="I63" s="2">
        <f>I8*'Output-Calculation-sheet'!I52/10^9</f>
        <v>0.40853062601209311</v>
      </c>
      <c r="J63" s="2">
        <f>J8*'Output-Calculation-sheet'!J52/10^9</f>
        <v>0.43918638920690917</v>
      </c>
      <c r="K63" s="2">
        <f>K8*'Output-Calculation-sheet'!K52/10^9</f>
        <v>0.44848577960310565</v>
      </c>
      <c r="L63" s="2">
        <f>L8*'Output-Calculation-sheet'!L52/10^9</f>
        <v>0.46643005880983379</v>
      </c>
      <c r="M63" s="2">
        <f>M8*'Output-Calculation-sheet'!M52/10^9</f>
        <v>0.6656727546709521</v>
      </c>
      <c r="N63" s="2">
        <f>N8*'Output-Calculation-sheet'!N52/10^9</f>
        <v>0.56241660288697359</v>
      </c>
      <c r="O63" s="2">
        <f>O8*'Output-Calculation-sheet'!O52/10^9</f>
        <v>0.58262844592885255</v>
      </c>
      <c r="P63" s="2">
        <f>P8*'Output-Calculation-sheet'!P52/10^9</f>
        <v>0.48286690270014604</v>
      </c>
      <c r="Q63" s="2">
        <f>Q8*'Output-Calculation-sheet'!Q52/10^9</f>
        <v>0.45678826287214563</v>
      </c>
      <c r="R63" s="2">
        <f>R8*'Output-Calculation-sheet'!R52/10^9</f>
        <v>0.38481740124506769</v>
      </c>
      <c r="S63" s="2">
        <f>S8*'Output-Calculation-sheet'!S52/10^9</f>
        <v>0.35381565137103316</v>
      </c>
      <c r="T63" s="2">
        <f>T8*'Output-Calculation-sheet'!T52/10^9</f>
        <v>0.12601081431912864</v>
      </c>
      <c r="U63" s="2">
        <f>U8*'Output-Calculation-sheet'!U52/10^9</f>
        <v>0.12360781572664391</v>
      </c>
      <c r="V63" s="2">
        <f>V8*'Output-Calculation-sheet'!V52/10^9</f>
        <v>0.11078551423631421</v>
      </c>
      <c r="W63" s="2">
        <f>W8*'Output-Calculation-sheet'!W52/10^9</f>
        <v>5.7831877908124489E-2</v>
      </c>
      <c r="X63" s="2">
        <f>X8*'Output-Calculation-sheet'!X52/10^9</f>
        <v>9.3457558781274638E-2</v>
      </c>
      <c r="Y63" s="2">
        <f>Y8*'Output-Calculation-sheet'!Y52/10^9</f>
        <v>4.8203536637048142E-2</v>
      </c>
      <c r="AA63" s="2">
        <f t="shared" si="4"/>
        <v>20.587412472925372</v>
      </c>
    </row>
    <row r="64" spans="1:27" x14ac:dyDescent="0.25">
      <c r="A64" s="2">
        <v>2032</v>
      </c>
      <c r="B64" s="2">
        <f>B9*'Output-Calculation-sheet'!B53/10^9</f>
        <v>7.0162854974032776</v>
      </c>
      <c r="C64" s="2">
        <f>C9*'Output-Calculation-sheet'!C53/10^9</f>
        <v>3.5532104476690365</v>
      </c>
      <c r="D64" s="2">
        <f>D9*'Output-Calculation-sheet'!D53/10^9</f>
        <v>1.2446394163637</v>
      </c>
      <c r="E64" s="2">
        <f>E9*'Output-Calculation-sheet'!E53/10^9</f>
        <v>1.6027919396362613</v>
      </c>
      <c r="F64" s="2">
        <f>F9*'Output-Calculation-sheet'!F53/10^9</f>
        <v>0.66610633976095901</v>
      </c>
      <c r="G64" s="2">
        <f>G9*'Output-Calculation-sheet'!G53/10^9</f>
        <v>0.47819774761636941</v>
      </c>
      <c r="H64" s="2">
        <f>H9*'Output-Calculation-sheet'!H53/10^9</f>
        <v>0.92031842268099273</v>
      </c>
      <c r="I64" s="2">
        <f>I9*'Output-Calculation-sheet'!I53/10^9</f>
        <v>0.42872350549484473</v>
      </c>
      <c r="J64" s="2">
        <f>J9*'Output-Calculation-sheet'!J53/10^9</f>
        <v>0.46075164619479814</v>
      </c>
      <c r="K64" s="2">
        <f>K9*'Output-Calculation-sheet'!K53/10^9</f>
        <v>0.47078861092287672</v>
      </c>
      <c r="L64" s="2">
        <f>L9*'Output-Calculation-sheet'!L53/10^9</f>
        <v>0.4894742987056071</v>
      </c>
      <c r="M64" s="2">
        <f>M9*'Output-Calculation-sheet'!M53/10^9</f>
        <v>0.69607804654235916</v>
      </c>
      <c r="N64" s="2">
        <f>N9*'Output-Calculation-sheet'!N53/10^9</f>
        <v>0.58875356643853505</v>
      </c>
      <c r="O64" s="2">
        <f>O9*'Output-Calculation-sheet'!O53/10^9</f>
        <v>0.61003492130114934</v>
      </c>
      <c r="P64" s="2">
        <f>P9*'Output-Calculation-sheet'!P53/10^9</f>
        <v>0.50717588895900712</v>
      </c>
      <c r="Q64" s="2">
        <f>Q9*'Output-Calculation-sheet'!Q53/10^9</f>
        <v>0.47971165864670867</v>
      </c>
      <c r="R64" s="2">
        <f>R9*'Output-Calculation-sheet'!R53/10^9</f>
        <v>0.40347803958204309</v>
      </c>
      <c r="S64" s="2">
        <f>S9*'Output-Calculation-sheet'!S53/10^9</f>
        <v>0.37071705818369688</v>
      </c>
      <c r="T64" s="2">
        <f>T9*'Output-Calculation-sheet'!T53/10^9</f>
        <v>0.13183166977904112</v>
      </c>
      <c r="U64" s="2">
        <f>U9*'Output-Calculation-sheet'!U53/10^9</f>
        <v>0.12978209259035275</v>
      </c>
      <c r="V64" s="2">
        <f>V9*'Output-Calculation-sheet'!V53/10^9</f>
        <v>0.11551963303628579</v>
      </c>
      <c r="W64" s="2">
        <f>W9*'Output-Calculation-sheet'!W53/10^9</f>
        <v>6.065953655481747E-2</v>
      </c>
      <c r="X64" s="2">
        <f>X9*'Output-Calculation-sheet'!X53/10^9</f>
        <v>9.7795718845963928E-2</v>
      </c>
      <c r="Y64" s="2">
        <f>Y9*'Output-Calculation-sheet'!Y53/10^9</f>
        <v>5.061324767818625E-2</v>
      </c>
      <c r="AA64" s="2">
        <f t="shared" si="4"/>
        <v>21.573438950586866</v>
      </c>
    </row>
    <row r="65" spans="1:27" x14ac:dyDescent="0.25">
      <c r="A65" s="2">
        <v>2033</v>
      </c>
      <c r="B65" s="2">
        <f>B10*'Output-Calculation-sheet'!B54/10^9</f>
        <v>7.0780975548072416</v>
      </c>
      <c r="C65" s="2">
        <f>C10*'Output-Calculation-sheet'!C54/10^9</f>
        <v>4.651897314458977</v>
      </c>
      <c r="D65" s="2">
        <f>D10*'Output-Calculation-sheet'!D54/10^9</f>
        <v>1.2616441071952054</v>
      </c>
      <c r="E65" s="2">
        <f>E10*'Output-Calculation-sheet'!E54/10^9</f>
        <v>1.6067288070017238</v>
      </c>
      <c r="F65" s="2">
        <f>F10*'Output-Calculation-sheet'!F54/10^9</f>
        <v>0.69042523207293749</v>
      </c>
      <c r="G65" s="2">
        <f>G10*'Output-Calculation-sheet'!G54/10^9</f>
        <v>0.49154868570126015</v>
      </c>
      <c r="H65" s="2">
        <f>H10*'Output-Calculation-sheet'!H54/10^9</f>
        <v>1.1550037369449619</v>
      </c>
      <c r="I65" s="2">
        <f>I10*'Output-Calculation-sheet'!I54/10^9</f>
        <v>0.43098548336540543</v>
      </c>
      <c r="J65" s="2">
        <f>J10*'Output-Calculation-sheet'!J54/10^9</f>
        <v>0.50992425373780603</v>
      </c>
      <c r="K65" s="2">
        <f>K10*'Output-Calculation-sheet'!K54/10^9</f>
        <v>0.47715978574844381</v>
      </c>
      <c r="L65" s="2">
        <f>L10*'Output-Calculation-sheet'!L54/10^9</f>
        <v>0.49210991770026741</v>
      </c>
      <c r="M65" s="2">
        <f>M10*'Output-Calculation-sheet'!M54/10^9</f>
        <v>0.82127979219394998</v>
      </c>
      <c r="N65" s="2">
        <f>N10*'Output-Calculation-sheet'!N54/10^9</f>
        <v>0.6998149663574974</v>
      </c>
      <c r="O65" s="2">
        <f>O10*'Output-Calculation-sheet'!O54/10^9</f>
        <v>0.81427752334552006</v>
      </c>
      <c r="P65" s="2">
        <f>P10*'Output-Calculation-sheet'!P54/10^9</f>
        <v>0.51623431393791008</v>
      </c>
      <c r="Q65" s="2">
        <f>Q10*'Output-Calculation-sheet'!Q54/10^9</f>
        <v>0.5094175155451206</v>
      </c>
      <c r="R65" s="2">
        <f>R10*'Output-Calculation-sheet'!R54/10^9</f>
        <v>0.40384481458067278</v>
      </c>
      <c r="S65" s="2">
        <f>S10*'Output-Calculation-sheet'!S54/10^9</f>
        <v>0.40532098312964598</v>
      </c>
      <c r="T65" s="2">
        <f>T10*'Output-Calculation-sheet'!T54/10^9</f>
        <v>0.13675717548391628</v>
      </c>
      <c r="U65" s="2">
        <f>U10*'Output-Calculation-sheet'!U54/10^9</f>
        <v>0.13134624074736989</v>
      </c>
      <c r="V65" s="2">
        <f>V10*'Output-Calculation-sheet'!V54/10^9</f>
        <v>0.15475627554142316</v>
      </c>
      <c r="W65" s="2">
        <f>W10*'Output-Calculation-sheet'!W54/10^9</f>
        <v>6.6139787998956534E-2</v>
      </c>
      <c r="X65" s="2">
        <f>X10*'Output-Calculation-sheet'!X54/10^9</f>
        <v>0.10631733411305554</v>
      </c>
      <c r="Y65" s="2">
        <f>Y10*'Output-Calculation-sheet'!Y54/10^9</f>
        <v>5.1307571666807439E-2</v>
      </c>
      <c r="AA65" s="2">
        <f t="shared" si="4"/>
        <v>23.662339173376076</v>
      </c>
    </row>
    <row r="66" spans="1:27" x14ac:dyDescent="0.25">
      <c r="A66" s="2">
        <v>2034</v>
      </c>
      <c r="B66" s="2">
        <f>B11*'Output-Calculation-sheet'!B55/10^9</f>
        <v>7.0288342310855842</v>
      </c>
      <c r="C66" s="2">
        <f>C11*'Output-Calculation-sheet'!C55/10^9</f>
        <v>4.6713595591328367</v>
      </c>
      <c r="D66" s="2">
        <f>D11*'Output-Calculation-sheet'!D55/10^9</f>
        <v>1.2716327905806675</v>
      </c>
      <c r="E66" s="2">
        <f>E11*'Output-Calculation-sheet'!E55/10^9</f>
        <v>1.6469675869165796</v>
      </c>
      <c r="F66" s="2">
        <f>F11*'Output-Calculation-sheet'!F55/10^9</f>
        <v>0.64816185619604993</v>
      </c>
      <c r="G66" s="2">
        <f>G11*'Output-Calculation-sheet'!G55/10^9</f>
        <v>0.47286021839582948</v>
      </c>
      <c r="H66" s="2">
        <f>H11*'Output-Calculation-sheet'!H55/10^9</f>
        <v>1.1800624297372919</v>
      </c>
      <c r="I66" s="2">
        <f>I11*'Output-Calculation-sheet'!I55/10^9</f>
        <v>0.4395780815295639</v>
      </c>
      <c r="J66" s="2">
        <f>J11*'Output-Calculation-sheet'!J55/10^9</f>
        <v>0.44259279042861072</v>
      </c>
      <c r="K66" s="2">
        <f>K11*'Output-Calculation-sheet'!K55/10^9</f>
        <v>0.50393167287885565</v>
      </c>
      <c r="L66" s="2">
        <f>L11*'Output-Calculation-sheet'!L55/10^9</f>
        <v>0.48855542426145288</v>
      </c>
      <c r="M66" s="2">
        <f>M11*'Output-Calculation-sheet'!M55/10^9</f>
        <v>0.82936193873462527</v>
      </c>
      <c r="N66" s="2">
        <f>N11*'Output-Calculation-sheet'!N55/10^9</f>
        <v>0.72098026220143341</v>
      </c>
      <c r="O66" s="2">
        <f>O11*'Output-Calculation-sheet'!O55/10^9</f>
        <v>0.8220152348273525</v>
      </c>
      <c r="P66" s="2">
        <f>P11*'Output-Calculation-sheet'!P55/10^9</f>
        <v>0.52710891495632162</v>
      </c>
      <c r="Q66" s="2">
        <f>Q11*'Output-Calculation-sheet'!Q55/10^9</f>
        <v>0.54218643973343061</v>
      </c>
      <c r="R66" s="2">
        <f>R11*'Output-Calculation-sheet'!R55/10^9</f>
        <v>0.40115366794792279</v>
      </c>
      <c r="S66" s="2">
        <f>S11*'Output-Calculation-sheet'!S55/10^9</f>
        <v>0.41642221241736277</v>
      </c>
      <c r="T66" s="2">
        <f>T11*'Output-Calculation-sheet'!T55/10^9</f>
        <v>0.12568946845061685</v>
      </c>
      <c r="U66" s="2">
        <f>U11*'Output-Calculation-sheet'!U55/10^9</f>
        <v>0.13679638992457441</v>
      </c>
      <c r="V66" s="2">
        <f>V11*'Output-Calculation-sheet'!V55/10^9</f>
        <v>0.11878816232586706</v>
      </c>
      <c r="W66" s="2">
        <f>W11*'Output-Calculation-sheet'!W55/10^9</f>
        <v>5.8194779332993614E-2</v>
      </c>
      <c r="X66" s="2">
        <f>X11*'Output-Calculation-sheet'!X55/10^9</f>
        <v>0.10874756150744534</v>
      </c>
      <c r="Y66" s="2">
        <f>Y11*'Output-Calculation-sheet'!Y55/10^9</f>
        <v>5.5837546716637793E-2</v>
      </c>
      <c r="AA66" s="2">
        <f t="shared" si="4"/>
        <v>23.657819220219903</v>
      </c>
    </row>
    <row r="67" spans="1:27" x14ac:dyDescent="0.25">
      <c r="A67" s="2">
        <v>2035</v>
      </c>
      <c r="B67" s="2">
        <f>B12*'Output-Calculation-sheet'!B56/10^9</f>
        <v>7.0490646415660336</v>
      </c>
      <c r="C67" s="2">
        <f>C12*'Output-Calculation-sheet'!C56/10^9</f>
        <v>4.454483010850228</v>
      </c>
      <c r="D67" s="2">
        <f>D12*'Output-Calculation-sheet'!D56/10^9</f>
        <v>1.3981793368015234</v>
      </c>
      <c r="E67" s="2">
        <f>E12*'Output-Calculation-sheet'!E56/10^9</f>
        <v>1.9120881830985255</v>
      </c>
      <c r="F67" s="2">
        <f>F12*'Output-Calculation-sheet'!F56/10^9</f>
        <v>0.74941148020546555</v>
      </c>
      <c r="G67" s="2">
        <f>G12*'Output-Calculation-sheet'!G56/10^9</f>
        <v>0.55293729411909487</v>
      </c>
      <c r="H67" s="2">
        <f>H12*'Output-Calculation-sheet'!H56/10^9</f>
        <v>1.175769003893085</v>
      </c>
      <c r="I67" s="2">
        <f>I12*'Output-Calculation-sheet'!I56/10^9</f>
        <v>0.50662678057383614</v>
      </c>
      <c r="J67" s="2">
        <f>J12*'Output-Calculation-sheet'!J56/10^9</f>
        <v>0.46347731292536404</v>
      </c>
      <c r="K67" s="2">
        <f>K12*'Output-Calculation-sheet'!K56/10^9</f>
        <v>0.55530385105282876</v>
      </c>
      <c r="L67" s="2">
        <f>L12*'Output-Calculation-sheet'!L56/10^9</f>
        <v>0.51770973325466796</v>
      </c>
      <c r="M67" s="2">
        <f>M12*'Output-Calculation-sheet'!M56/10^9</f>
        <v>0.83191412926103192</v>
      </c>
      <c r="N67" s="2">
        <f>N12*'Output-Calculation-sheet'!N56/10^9</f>
        <v>0.71053178898597147</v>
      </c>
      <c r="O67" s="2">
        <f>O12*'Output-Calculation-sheet'!O56/10^9</f>
        <v>0.78587771967465647</v>
      </c>
      <c r="P67" s="2">
        <f>P12*'Output-Calculation-sheet'!P56/10^9</f>
        <v>0.5766127923460036</v>
      </c>
      <c r="Q67" s="2">
        <f>Q12*'Output-Calculation-sheet'!Q56/10^9</f>
        <v>0.54469741593252341</v>
      </c>
      <c r="R67" s="2">
        <f>R12*'Output-Calculation-sheet'!R56/10^9</f>
        <v>0.42771831917277886</v>
      </c>
      <c r="S67" s="2">
        <f>S12*'Output-Calculation-sheet'!S56/10^9</f>
        <v>0.41289361022995458</v>
      </c>
      <c r="T67" s="2">
        <f>T12*'Output-Calculation-sheet'!T56/10^9</f>
        <v>0.13300313617205189</v>
      </c>
      <c r="U67" s="2">
        <f>U12*'Output-Calculation-sheet'!U56/10^9</f>
        <v>0.14379540593141285</v>
      </c>
      <c r="V67" s="2">
        <f>V12*'Output-Calculation-sheet'!V56/10^9</f>
        <v>0.10265232440744189</v>
      </c>
      <c r="W67" s="2">
        <f>W12*'Output-Calculation-sheet'!W56/10^9</f>
        <v>6.9609936376977349E-2</v>
      </c>
      <c r="X67" s="2">
        <f>X12*'Output-Calculation-sheet'!X56/10^9</f>
        <v>0.10805981869320831</v>
      </c>
      <c r="Y67" s="2">
        <f>Y12*'Output-Calculation-sheet'!Y56/10^9</f>
        <v>6.4953140315388833E-2</v>
      </c>
      <c r="AA67" s="2">
        <f t="shared" si="4"/>
        <v>24.24737016584006</v>
      </c>
    </row>
    <row r="68" spans="1:27" x14ac:dyDescent="0.25">
      <c r="B68" s="2">
        <f>SUM(B60:B67)</f>
        <v>49.461698823722294</v>
      </c>
      <c r="C68" s="2">
        <f t="shared" ref="C68:Y68" si="5">SUM(C60:C67)</f>
        <v>28.110084012860387</v>
      </c>
      <c r="D68" s="2">
        <f t="shared" si="5"/>
        <v>8.9427728723603828</v>
      </c>
      <c r="E68" s="2">
        <f t="shared" si="5"/>
        <v>11.617263214678436</v>
      </c>
      <c r="F68" s="2">
        <f t="shared" si="5"/>
        <v>4.7741418845811179</v>
      </c>
      <c r="G68" s="2">
        <f t="shared" si="5"/>
        <v>3.4427501587248446</v>
      </c>
      <c r="H68" s="2">
        <f t="shared" si="5"/>
        <v>7.2312920591817909</v>
      </c>
      <c r="I68" s="2">
        <f t="shared" si="5"/>
        <v>3.1037005185865363</v>
      </c>
      <c r="J68" s="2">
        <f t="shared" si="5"/>
        <v>3.272235328627775</v>
      </c>
      <c r="K68" s="2">
        <f t="shared" si="5"/>
        <v>3.4311348148245813</v>
      </c>
      <c r="L68" s="2">
        <f t="shared" si="5"/>
        <v>3.4696621580388891</v>
      </c>
      <c r="M68" s="2">
        <f t="shared" si="5"/>
        <v>5.2953299771115745</v>
      </c>
      <c r="N68" s="2">
        <f t="shared" si="5"/>
        <v>4.5070167780821473</v>
      </c>
      <c r="O68" s="2">
        <f t="shared" si="5"/>
        <v>4.8783819019854366</v>
      </c>
      <c r="P68" s="2">
        <f t="shared" si="5"/>
        <v>3.6585357286449538</v>
      </c>
      <c r="Q68" s="2">
        <f t="shared" si="5"/>
        <v>3.5251457906017811</v>
      </c>
      <c r="R68" s="2">
        <f t="shared" si="5"/>
        <v>2.8590603531359453</v>
      </c>
      <c r="S68" s="2">
        <f t="shared" si="5"/>
        <v>2.728946652860496</v>
      </c>
      <c r="T68" s="2">
        <f t="shared" si="5"/>
        <v>0.92994439244796401</v>
      </c>
      <c r="U68" s="2">
        <f t="shared" si="5"/>
        <v>0.93375852812156701</v>
      </c>
      <c r="V68" s="2">
        <f t="shared" si="5"/>
        <v>0.8493058355696218</v>
      </c>
      <c r="W68" s="2">
        <f t="shared" si="5"/>
        <v>0.43849711568153948</v>
      </c>
      <c r="X68" s="2">
        <f t="shared" si="5"/>
        <v>0.71783990105151207</v>
      </c>
      <c r="Y68" s="2">
        <f t="shared" si="5"/>
        <v>0.37569115230016165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50.81701520607357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45.234796124948161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179.48141577545903</v>
      </c>
      <c r="S74" s="2">
        <f>S8/'Output-Calculation-sheet'!S7*'Output-Calculation-sheet'!S61</f>
        <v>0</v>
      </c>
      <c r="T74" s="2">
        <f>T8/'Output-Calculation-sheet'!T7*'Output-Calculation-sheet'!T61</f>
        <v>132.21947232033588</v>
      </c>
      <c r="U74" s="2">
        <f>U8/'Output-Calculation-sheet'!U7*'Output-Calculation-sheet'!U61</f>
        <v>16.749122122925677</v>
      </c>
      <c r="V74" s="2">
        <f>V8/'Output-Calculation-sheet'!V7*'Output-Calculation-sheet'!V61</f>
        <v>151.76898177055594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0.57627080332029823</v>
      </c>
    </row>
    <row r="75" spans="1:27" x14ac:dyDescent="0.25">
      <c r="A75" s="2">
        <v>2032</v>
      </c>
      <c r="B75" s="2">
        <f>B9/'Output-Calculation-sheet'!B8*'Output-Calculation-sheet'!B62</f>
        <v>528.50868098387673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107.18612896696069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85.878430688319952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227.23208658970273</v>
      </c>
      <c r="S75" s="2">
        <f>S9/'Output-Calculation-sheet'!S8*'Output-Calculation-sheet'!S62</f>
        <v>0</v>
      </c>
      <c r="T75" s="2">
        <f>T9/'Output-Calculation-sheet'!T8*'Output-Calculation-sheet'!T62</f>
        <v>150.09217741055835</v>
      </c>
      <c r="U75" s="2">
        <f>U9/'Output-Calculation-sheet'!U8*'Output-Calculation-sheet'!U62</f>
        <v>30.680792794581404</v>
      </c>
      <c r="V75" s="2">
        <f>V9/'Output-Calculation-sheet'!V8*'Output-Calculation-sheet'!V62</f>
        <v>160.78127051699778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1.2903595679509976</v>
      </c>
    </row>
    <row r="76" spans="1:27" x14ac:dyDescent="0.25">
      <c r="A76" s="2">
        <v>2033</v>
      </c>
      <c r="B76" s="2">
        <f>B10/'Output-Calculation-sheet'!B9*'Output-Calculation-sheet'!B63</f>
        <v>5030.9140756491397</v>
      </c>
      <c r="C76" s="2">
        <f>C10/'Output-Calculation-sheet'!C9*'Output-Calculation-sheet'!C63</f>
        <v>10275.426270899445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3276.1740324052521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2230.7422271435498</v>
      </c>
      <c r="N76" s="2">
        <f>N10/'Output-Calculation-sheet'!N9*'Output-Calculation-sheet'!N63</f>
        <v>1274.2987322595911</v>
      </c>
      <c r="O76" s="2">
        <f>O10/'Output-Calculation-sheet'!O9*'Output-Calculation-sheet'!O63</f>
        <v>0</v>
      </c>
      <c r="P76" s="2">
        <f>P10/'Output-Calculation-sheet'!P9*'Output-Calculation-sheet'!P63</f>
        <v>442.50153856839876</v>
      </c>
      <c r="Q76" s="2">
        <f>Q10/'Output-Calculation-sheet'!Q9*'Output-Calculation-sheet'!Q63</f>
        <v>199.58597674576487</v>
      </c>
      <c r="R76" s="2">
        <f>R10/'Output-Calculation-sheet'!R9*'Output-Calculation-sheet'!R63</f>
        <v>337.25691924351128</v>
      </c>
      <c r="S76" s="2">
        <f>S10/'Output-Calculation-sheet'!S9*'Output-Calculation-sheet'!S63</f>
        <v>566.65090422495416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119.17495715301922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262.68574823403401</v>
      </c>
      <c r="Y76" s="2">
        <f>Y10/'Output-Calculation-sheet'!Y9*'Output-Calculation-sheet'!Y63</f>
        <v>4.9834854414466232</v>
      </c>
      <c r="AA76" s="2">
        <f t="shared" si="6"/>
        <v>24.138346534195204</v>
      </c>
    </row>
    <row r="77" spans="1:27" x14ac:dyDescent="0.25">
      <c r="A77" s="2">
        <v>2034</v>
      </c>
      <c r="B77" s="2">
        <f>B11/'Output-Calculation-sheet'!B10*'Output-Calculation-sheet'!B64</f>
        <v>11712.107723228661</v>
      </c>
      <c r="C77" s="2">
        <f>C11/'Output-Calculation-sheet'!C10*'Output-Calculation-sheet'!C64</f>
        <v>10288.619517621433</v>
      </c>
      <c r="D77" s="2">
        <f>D11/'Output-Calculation-sheet'!D10*'Output-Calculation-sheet'!D64</f>
        <v>1443.5732834670134</v>
      </c>
      <c r="E77" s="2">
        <f>E11/'Output-Calculation-sheet'!E10*'Output-Calculation-sheet'!E64</f>
        <v>1783.7550652081848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762.21058307759574</v>
      </c>
      <c r="H77" s="2">
        <f>H11/'Output-Calculation-sheet'!H10*'Output-Calculation-sheet'!H64</f>
        <v>3776.3561302795979</v>
      </c>
      <c r="I77" s="2">
        <f>I11/'Output-Calculation-sheet'!I10*'Output-Calculation-sheet'!I64</f>
        <v>449.65933529969845</v>
      </c>
      <c r="J77" s="2">
        <f>J11/'Output-Calculation-sheet'!J10*'Output-Calculation-sheet'!J64</f>
        <v>320.53800555558735</v>
      </c>
      <c r="K77" s="2">
        <f>K11/'Output-Calculation-sheet'!K10*'Output-Calculation-sheet'!K64</f>
        <v>679.61186123389848</v>
      </c>
      <c r="L77" s="2">
        <f>L11/'Output-Calculation-sheet'!L10*'Output-Calculation-sheet'!L64</f>
        <v>295.08491237753861</v>
      </c>
      <c r="M77" s="2">
        <f>M11/'Output-Calculation-sheet'!M10*'Output-Calculation-sheet'!M64</f>
        <v>2685.9365412833013</v>
      </c>
      <c r="N77" s="2">
        <f>N11/'Output-Calculation-sheet'!N10*'Output-Calculation-sheet'!N64</f>
        <v>1910.977884338746</v>
      </c>
      <c r="O77" s="2">
        <f>O11/'Output-Calculation-sheet'!O10*'Output-Calculation-sheet'!O64</f>
        <v>66.627310292189108</v>
      </c>
      <c r="P77" s="2">
        <f>P11/'Output-Calculation-sheet'!P10*'Output-Calculation-sheet'!P64</f>
        <v>843.43479611692305</v>
      </c>
      <c r="Q77" s="2">
        <f>Q11/'Output-Calculation-sheet'!Q10*'Output-Calculation-sheet'!Q64</f>
        <v>481.28171658991033</v>
      </c>
      <c r="R77" s="2">
        <f>R11/'Output-Calculation-sheet'!R10*'Output-Calculation-sheet'!R64</f>
        <v>721.75982900871782</v>
      </c>
      <c r="S77" s="2">
        <f>S11/'Output-Calculation-sheet'!S10*'Output-Calculation-sheet'!S64</f>
        <v>965.03337038218399</v>
      </c>
      <c r="T77" s="2">
        <f>T11/'Output-Calculation-sheet'!T10*'Output-Calculation-sheet'!T64</f>
        <v>198.5671161329511</v>
      </c>
      <c r="U77" s="2">
        <f>U11/'Output-Calculation-sheet'!U10*'Output-Calculation-sheet'!U64</f>
        <v>263.91887827758865</v>
      </c>
      <c r="V77" s="2">
        <f>V11/'Output-Calculation-sheet'!V10*'Output-Calculation-sheet'!V64</f>
        <v>105.20607680253919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272.9196644331181</v>
      </c>
      <c r="Y77" s="2">
        <f>Y11/'Output-Calculation-sheet'!Y10*'Output-Calculation-sheet'!Y64</f>
        <v>66.081088059481274</v>
      </c>
      <c r="AA77" s="2">
        <f t="shared" si="6"/>
        <v>40.226553864484259</v>
      </c>
    </row>
    <row r="78" spans="1:27" x14ac:dyDescent="0.25">
      <c r="A78" s="2">
        <v>2035</v>
      </c>
      <c r="B78" s="2">
        <f>B12/'Output-Calculation-sheet'!B11*'Output-Calculation-sheet'!B65</f>
        <v>13641.899853705609</v>
      </c>
      <c r="C78" s="2">
        <f>C12/'Output-Calculation-sheet'!C11*'Output-Calculation-sheet'!C65</f>
        <v>9633.6203311445006</v>
      </c>
      <c r="D78" s="2">
        <f>D12/'Output-Calculation-sheet'!D11*'Output-Calculation-sheet'!D65</f>
        <v>1448.3059563542968</v>
      </c>
      <c r="E78" s="2">
        <f>E12/'Output-Calculation-sheet'!E11*'Output-Calculation-sheet'!E65</f>
        <v>2753.1911207323037</v>
      </c>
      <c r="F78" s="2">
        <f>F12/'Output-Calculation-sheet'!F11*'Output-Calculation-sheet'!F65</f>
        <v>583.17539127572343</v>
      </c>
      <c r="G78" s="2">
        <f>G12/'Output-Calculation-sheet'!G11*'Output-Calculation-sheet'!G65</f>
        <v>1094.2592517273474</v>
      </c>
      <c r="H78" s="2">
        <f>H12/'Output-Calculation-sheet'!H11*'Output-Calculation-sheet'!H65</f>
        <v>3523.0831719586181</v>
      </c>
      <c r="I78" s="2">
        <f>I12/'Output-Calculation-sheet'!I11*'Output-Calculation-sheet'!I65</f>
        <v>643.45905544382026</v>
      </c>
      <c r="J78" s="2">
        <f>J12/'Output-Calculation-sheet'!J11*'Output-Calculation-sheet'!J65</f>
        <v>577.07445836903037</v>
      </c>
      <c r="K78" s="2">
        <f>K12/'Output-Calculation-sheet'!K11*'Output-Calculation-sheet'!K65</f>
        <v>728.2400213083979</v>
      </c>
      <c r="L78" s="2">
        <f>L12/'Output-Calculation-sheet'!L11*'Output-Calculation-sheet'!L65</f>
        <v>433.00200106334796</v>
      </c>
      <c r="M78" s="2">
        <f>M12/'Output-Calculation-sheet'!M11*'Output-Calculation-sheet'!M65</f>
        <v>2507.8360683200144</v>
      </c>
      <c r="N78" s="2">
        <f>N12/'Output-Calculation-sheet'!N11*'Output-Calculation-sheet'!N65</f>
        <v>1763.4137438585133</v>
      </c>
      <c r="O78" s="2">
        <f>O12/'Output-Calculation-sheet'!O11*'Output-Calculation-sheet'!O65</f>
        <v>247.20781734761957</v>
      </c>
      <c r="P78" s="2">
        <f>P12/'Output-Calculation-sheet'!P11*'Output-Calculation-sheet'!P65</f>
        <v>1002.4820920559695</v>
      </c>
      <c r="Q78" s="2">
        <f>Q12/'Output-Calculation-sheet'!Q11*'Output-Calculation-sheet'!Q65</f>
        <v>504.23854665981656</v>
      </c>
      <c r="R78" s="2">
        <f>R12/'Output-Calculation-sheet'!R11*'Output-Calculation-sheet'!R65</f>
        <v>831.13769332563834</v>
      </c>
      <c r="S78" s="2">
        <f>S12/'Output-Calculation-sheet'!S11*'Output-Calculation-sheet'!S65</f>
        <v>937.65159499995434</v>
      </c>
      <c r="T78" s="2">
        <f>T12/'Output-Calculation-sheet'!T11*'Output-Calculation-sheet'!T65</f>
        <v>298.85777189156352</v>
      </c>
      <c r="U78" s="2">
        <f>U12/'Output-Calculation-sheet'!U11*'Output-Calculation-sheet'!U65</f>
        <v>256.06578477630177</v>
      </c>
      <c r="V78" s="2">
        <f>V12/'Output-Calculation-sheet'!V11*'Output-Calculation-sheet'!V65</f>
        <v>161.28728589941318</v>
      </c>
      <c r="W78" s="2">
        <f>W12/'Output-Calculation-sheet'!W11*'Output-Calculation-sheet'!W65</f>
        <v>113.59978085468816</v>
      </c>
      <c r="X78" s="2">
        <f>X12/'Output-Calculation-sheet'!X11*'Output-Calculation-sheet'!X65</f>
        <v>258.47607460639512</v>
      </c>
      <c r="Y78" s="2">
        <f>Y12/'Output-Calculation-sheet'!Y11*'Output-Calculation-sheet'!Y65</f>
        <v>110.88465622720862</v>
      </c>
      <c r="AA78" s="2">
        <f t="shared" si="6"/>
        <v>44.052449523906091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370.86029779115182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360.24089437007865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0.73110119216123048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713.37900433329685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27.450034384028712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18.888309795875568</v>
      </c>
      <c r="N88" s="2">
        <f>N11/'Output-Calculation-sheet'!N10*'Output-Calculation-sheet'!N73</f>
        <v>0</v>
      </c>
      <c r="O88" s="2">
        <f>O11/'Output-Calculation-sheet'!O10*'Output-Calculation-sheet'!O73</f>
        <v>398.4472534374284</v>
      </c>
      <c r="P88" s="2">
        <f>P11/'Output-Calculation-sheet'!P10*'Output-Calculation-sheet'!P73</f>
        <v>0</v>
      </c>
      <c r="Q88" s="2">
        <f>Q11/'Output-Calculation-sheet'!Q10*'Output-Calculation-sheet'!Q73</f>
        <v>16.265012388979734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2.0720941480891502</v>
      </c>
      <c r="Y88" s="2">
        <f>Y11/'Output-Calculation-sheet'!Y10*'Output-Calculation-sheet'!Y73</f>
        <v>0</v>
      </c>
      <c r="AA88" s="2">
        <f t="shared" si="7"/>
        <v>1.1765017084876985</v>
      </c>
    </row>
    <row r="89" spans="1:27" x14ac:dyDescent="0.25">
      <c r="A89" s="2">
        <v>2035</v>
      </c>
      <c r="B89" s="2">
        <f>B12/'Output-Calculation-sheet'!B11*'Output-Calculation-sheet'!B74</f>
        <v>343.8758754179529</v>
      </c>
      <c r="C89" s="2">
        <f>C12/'Output-Calculation-sheet'!C11*'Output-Calculation-sheet'!C74</f>
        <v>1060.8725407228953</v>
      </c>
      <c r="D89" s="2">
        <f>D12/'Output-Calculation-sheet'!D11*'Output-Calculation-sheet'!D74</f>
        <v>144.57758486192131</v>
      </c>
      <c r="E89" s="2">
        <f>E12/'Output-Calculation-sheet'!E11*'Output-Calculation-sheet'!E74</f>
        <v>114.90061643604547</v>
      </c>
      <c r="F89" s="2">
        <f>F12/'Output-Calculation-sheet'!F11*'Output-Calculation-sheet'!F74</f>
        <v>36.132304292176173</v>
      </c>
      <c r="G89" s="2">
        <f>G12/'Output-Calculation-sheet'!G11*'Output-Calculation-sheet'!G74</f>
        <v>51.863086010111729</v>
      </c>
      <c r="H89" s="2">
        <f>H12/'Output-Calculation-sheet'!H11*'Output-Calculation-sheet'!H74</f>
        <v>125.60369536238531</v>
      </c>
      <c r="I89" s="2">
        <f>I12/'Output-Calculation-sheet'!I11*'Output-Calculation-sheet'!I74</f>
        <v>46.647749415964931</v>
      </c>
      <c r="J89" s="2">
        <f>J12/'Output-Calculation-sheet'!J11*'Output-Calculation-sheet'!J74</f>
        <v>23.082978334761215</v>
      </c>
      <c r="K89" s="2">
        <f>K12/'Output-Calculation-sheet'!K11*'Output-Calculation-sheet'!K74</f>
        <v>45.847394945127036</v>
      </c>
      <c r="L89" s="2">
        <f>L12/'Output-Calculation-sheet'!L11*'Output-Calculation-sheet'!L74</f>
        <v>36.455651531327973</v>
      </c>
      <c r="M89" s="2">
        <f>M12/'Output-Calculation-sheet'!M11*'Output-Calculation-sheet'!M74</f>
        <v>69.142106747724114</v>
      </c>
      <c r="N89" s="2">
        <f>N12/'Output-Calculation-sheet'!N11*'Output-Calculation-sheet'!N74</f>
        <v>50.966697157705731</v>
      </c>
      <c r="O89" s="2">
        <f>O12/'Output-Calculation-sheet'!O11*'Output-Calculation-sheet'!O74</f>
        <v>412.19798954903541</v>
      </c>
      <c r="P89" s="2">
        <f>P12/'Output-Calculation-sheet'!P11*'Output-Calculation-sheet'!P74</f>
        <v>31.389363185520537</v>
      </c>
      <c r="Q89" s="2">
        <f>Q12/'Output-Calculation-sheet'!Q11*'Output-Calculation-sheet'!Q74</f>
        <v>44.654494036469764</v>
      </c>
      <c r="R89" s="2">
        <f>R12/'Output-Calculation-sheet'!R11*'Output-Calculation-sheet'!R74</f>
        <v>29.522171467539458</v>
      </c>
      <c r="S89" s="2">
        <f>S12/'Output-Calculation-sheet'!S11*'Output-Calculation-sheet'!S74</f>
        <v>29.215790957810007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9.4983413619311463</v>
      </c>
      <c r="V89" s="2">
        <f>V12/'Output-Calculation-sheet'!V11*'Output-Calculation-sheet'!V74</f>
        <v>3.6620413209684441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11.377589339131752</v>
      </c>
      <c r="Y89" s="2">
        <f>Y12/'Output-Calculation-sheet'!Y11*'Output-Calculation-sheet'!Y74</f>
        <v>3.6598615802362779</v>
      </c>
      <c r="AA89" s="2">
        <f t="shared" si="7"/>
        <v>2.7337780595119141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14705552827.509361</v>
      </c>
      <c r="C96" s="2">
        <f>C8/'Output-Calculation-sheet'!C7*'Output-Calculation-sheet'!C79</f>
        <v>1810097836.3275166</v>
      </c>
      <c r="D96" s="2">
        <f>D8/'Output-Calculation-sheet'!D7*'Output-Calculation-sheet'!D79</f>
        <v>6410110661.4149685</v>
      </c>
      <c r="E96" s="2">
        <f>E8/'Output-Calculation-sheet'!E7*'Output-Calculation-sheet'!E79</f>
        <v>10959840702.72216</v>
      </c>
      <c r="F96" s="2">
        <f>F8/'Output-Calculation-sheet'!F7*'Output-Calculation-sheet'!F79</f>
        <v>4932294097.5655746</v>
      </c>
      <c r="G96" s="2">
        <f>G8/'Output-Calculation-sheet'!G7*'Output-Calculation-sheet'!G79</f>
        <v>3746301371.668014</v>
      </c>
      <c r="H96" s="2">
        <f>H8/'Output-Calculation-sheet'!H7*'Output-Calculation-sheet'!H79</f>
        <v>1089926856.0663772</v>
      </c>
      <c r="I96" s="2">
        <f>I8/'Output-Calculation-sheet'!I7*'Output-Calculation-sheet'!I79</f>
        <v>2512917372.1756859</v>
      </c>
      <c r="J96" s="2">
        <f>J8/'Output-Calculation-sheet'!J7*'Output-Calculation-sheet'!J79</f>
        <v>1862115320.8809178</v>
      </c>
      <c r="K96" s="2">
        <f>K8/'Output-Calculation-sheet'!K7*'Output-Calculation-sheet'!K79</f>
        <v>2153073441.5797696</v>
      </c>
      <c r="L96" s="2">
        <f>L8/'Output-Calculation-sheet'!L7*'Output-Calculation-sheet'!L79</f>
        <v>1712730361.5607684</v>
      </c>
      <c r="M96" s="2">
        <f>M8/'Output-Calculation-sheet'!M7*'Output-Calculation-sheet'!M79</f>
        <v>847320866.24394953</v>
      </c>
      <c r="N96" s="2">
        <f>N8/'Output-Calculation-sheet'!N7*'Output-Calculation-sheet'!N79</f>
        <v>860538409.28931284</v>
      </c>
      <c r="O96" s="2">
        <f>O8/'Output-Calculation-sheet'!O7*'Output-Calculation-sheet'!O79</f>
        <v>210057506.24088079</v>
      </c>
      <c r="P96" s="2">
        <f>P8/'Output-Calculation-sheet'!P7*'Output-Calculation-sheet'!P79</f>
        <v>2288736332.4158068</v>
      </c>
      <c r="Q96" s="2">
        <f>Q8/'Output-Calculation-sheet'!Q7*'Output-Calculation-sheet'!Q79</f>
        <v>1014898183.884744</v>
      </c>
      <c r="R96" s="2">
        <f>R8/'Output-Calculation-sheet'!R7*'Output-Calculation-sheet'!R79</f>
        <v>1544151078.8075373</v>
      </c>
      <c r="S96" s="2">
        <f>S8/'Output-Calculation-sheet'!S7*'Output-Calculation-sheet'!S79</f>
        <v>603565228.53484929</v>
      </c>
      <c r="T96" s="2">
        <f>T8/'Output-Calculation-sheet'!T7*'Output-Calculation-sheet'!T79</f>
        <v>817419986.9104811</v>
      </c>
      <c r="U96" s="2">
        <f>U8/'Output-Calculation-sheet'!U7*'Output-Calculation-sheet'!U79</f>
        <v>405989728.46531212</v>
      </c>
      <c r="V96" s="2">
        <f>V8/'Output-Calculation-sheet'!V7*'Output-Calculation-sheet'!V79</f>
        <v>299161286.74877179</v>
      </c>
      <c r="W96" s="2">
        <f>W8/'Output-Calculation-sheet'!W7*'Output-Calculation-sheet'!W79</f>
        <v>796978783.27740443</v>
      </c>
      <c r="X96" s="2">
        <f>X8/'Output-Calculation-sheet'!X7*'Output-Calculation-sheet'!X79</f>
        <v>94440250.937473193</v>
      </c>
      <c r="Y96" s="2">
        <f>Y8/'Output-Calculation-sheet'!Y7*'Output-Calculation-sheet'!Y79</f>
        <v>357674288.11586082</v>
      </c>
      <c r="AA96" s="2">
        <f t="shared" si="8"/>
        <v>62.035892779343513</v>
      </c>
    </row>
    <row r="97" spans="1:27" x14ac:dyDescent="0.25">
      <c r="A97" s="2">
        <v>2032</v>
      </c>
      <c r="B97" s="2">
        <f>B9/'Output-Calculation-sheet'!B8*'Output-Calculation-sheet'!B80</f>
        <v>15719309138.08744</v>
      </c>
      <c r="C97" s="2">
        <f>C9/'Output-Calculation-sheet'!C8*'Output-Calculation-sheet'!C80</f>
        <v>1974867891.28971</v>
      </c>
      <c r="D97" s="2">
        <f>D9/'Output-Calculation-sheet'!D8*'Output-Calculation-sheet'!D80</f>
        <v>6504218600.6109524</v>
      </c>
      <c r="E97" s="2">
        <f>E9/'Output-Calculation-sheet'!E8*'Output-Calculation-sheet'!E80</f>
        <v>11451363120.572657</v>
      </c>
      <c r="F97" s="2">
        <f>F9/'Output-Calculation-sheet'!F8*'Output-Calculation-sheet'!F80</f>
        <v>5141594592.9155121</v>
      </c>
      <c r="G97" s="2">
        <f>G9/'Output-Calculation-sheet'!G8*'Output-Calculation-sheet'!G80</f>
        <v>3805710372.2819834</v>
      </c>
      <c r="H97" s="2">
        <f>H9/'Output-Calculation-sheet'!H8*'Output-Calculation-sheet'!H80</f>
        <v>1153154840.1997988</v>
      </c>
      <c r="I97" s="2">
        <f>I9/'Output-Calculation-sheet'!I8*'Output-Calculation-sheet'!I80</f>
        <v>2643337432.3139782</v>
      </c>
      <c r="J97" s="2">
        <f>J9/'Output-Calculation-sheet'!J8*'Output-Calculation-sheet'!J80</f>
        <v>1907322437.2648106</v>
      </c>
      <c r="K97" s="2">
        <f>K9/'Output-Calculation-sheet'!K8*'Output-Calculation-sheet'!K80</f>
        <v>2220179471.548171</v>
      </c>
      <c r="L97" s="2">
        <f>L9/'Output-Calculation-sheet'!L8*'Output-Calculation-sheet'!L80</f>
        <v>1820420693.240113</v>
      </c>
      <c r="M97" s="2">
        <f>M9/'Output-Calculation-sheet'!M8*'Output-Calculation-sheet'!M80</f>
        <v>896326626.55698049</v>
      </c>
      <c r="N97" s="2">
        <f>N9/'Output-Calculation-sheet'!N8*'Output-Calculation-sheet'!N80</f>
        <v>888373519.64090359</v>
      </c>
      <c r="O97" s="2">
        <f>O9/'Output-Calculation-sheet'!O8*'Output-Calculation-sheet'!O80</f>
        <v>231848771.73642209</v>
      </c>
      <c r="P97" s="2">
        <f>P9/'Output-Calculation-sheet'!P8*'Output-Calculation-sheet'!P80</f>
        <v>2357780551.4890647</v>
      </c>
      <c r="Q97" s="2">
        <f>Q9/'Output-Calculation-sheet'!Q8*'Output-Calculation-sheet'!Q80</f>
        <v>1048403008.392455</v>
      </c>
      <c r="R97" s="2">
        <f>R9/'Output-Calculation-sheet'!R8*'Output-Calculation-sheet'!R80</f>
        <v>1631469415.4528036</v>
      </c>
      <c r="S97" s="2">
        <f>S9/'Output-Calculation-sheet'!S8*'Output-Calculation-sheet'!S80</f>
        <v>629206513.29099202</v>
      </c>
      <c r="T97" s="2">
        <f>T9/'Output-Calculation-sheet'!T8*'Output-Calculation-sheet'!T80</f>
        <v>841312995.86976171</v>
      </c>
      <c r="U97" s="2">
        <f>U9/'Output-Calculation-sheet'!U8*'Output-Calculation-sheet'!U80</f>
        <v>426984084.20859724</v>
      </c>
      <c r="V97" s="2">
        <f>V9/'Output-Calculation-sheet'!V8*'Output-Calculation-sheet'!V80</f>
        <v>314529124.93266028</v>
      </c>
      <c r="W97" s="2">
        <f>W9/'Output-Calculation-sheet'!W8*'Output-Calculation-sheet'!W80</f>
        <v>822542347.0737747</v>
      </c>
      <c r="X97" s="2">
        <f>X9/'Output-Calculation-sheet'!X8*'Output-Calculation-sheet'!X80</f>
        <v>100729107.0397803</v>
      </c>
      <c r="Y97" s="2">
        <f>Y9/'Output-Calculation-sheet'!Y8*'Output-Calculation-sheet'!Y80</f>
        <v>369358751.66208076</v>
      </c>
      <c r="AA97" s="2">
        <f t="shared" si="8"/>
        <v>64.900343407671414</v>
      </c>
    </row>
    <row r="98" spans="1:27" x14ac:dyDescent="0.25">
      <c r="A98" s="2">
        <v>2033</v>
      </c>
      <c r="B98" s="2">
        <f>B10/'Output-Calculation-sheet'!B9*'Output-Calculation-sheet'!B81</f>
        <v>18330223535.204174</v>
      </c>
      <c r="C98" s="2">
        <f>C10/'Output-Calculation-sheet'!C9*'Output-Calculation-sheet'!C81</f>
        <v>6284509599.8973885</v>
      </c>
      <c r="D98" s="2">
        <f>D10/'Output-Calculation-sheet'!D9*'Output-Calculation-sheet'!D81</f>
        <v>5980939031.5763607</v>
      </c>
      <c r="E98" s="2">
        <f>E10/'Output-Calculation-sheet'!E9*'Output-Calculation-sheet'!E81</f>
        <v>11250522637.441013</v>
      </c>
      <c r="F98" s="2">
        <f>F10/'Output-Calculation-sheet'!F9*'Output-Calculation-sheet'!F81</f>
        <v>4639987472.993927</v>
      </c>
      <c r="G98" s="2">
        <f>G10/'Output-Calculation-sheet'!G9*'Output-Calculation-sheet'!G81</f>
        <v>3406820768.2731538</v>
      </c>
      <c r="H98" s="2">
        <f>H10/'Output-Calculation-sheet'!H9*'Output-Calculation-sheet'!H81</f>
        <v>3086607450.619071</v>
      </c>
      <c r="I98" s="2">
        <f>I10/'Output-Calculation-sheet'!I9*'Output-Calculation-sheet'!I81</f>
        <v>2565882038.3478117</v>
      </c>
      <c r="J98" s="2">
        <f>J10/'Output-Calculation-sheet'!J9*'Output-Calculation-sheet'!J81</f>
        <v>1640689647.5034509</v>
      </c>
      <c r="K98" s="2">
        <f>K10/'Output-Calculation-sheet'!K9*'Output-Calculation-sheet'!K81</f>
        <v>2383166777.5781155</v>
      </c>
      <c r="L98" s="2">
        <f>L10/'Output-Calculation-sheet'!L9*'Output-Calculation-sheet'!L81</f>
        <v>1787410756.4730759</v>
      </c>
      <c r="M98" s="2">
        <f>M10/'Output-Calculation-sheet'!M9*'Output-Calculation-sheet'!M81</f>
        <v>2317912600.3629823</v>
      </c>
      <c r="N98" s="2">
        <f>N10/'Output-Calculation-sheet'!N9*'Output-Calculation-sheet'!N81</f>
        <v>1662921435.2007477</v>
      </c>
      <c r="O98" s="2">
        <f>O10/'Output-Calculation-sheet'!O9*'Output-Calculation-sheet'!O81</f>
        <v>880610847.61257637</v>
      </c>
      <c r="P98" s="2">
        <f>P10/'Output-Calculation-sheet'!P9*'Output-Calculation-sheet'!P81</f>
        <v>2814176763.7976871</v>
      </c>
      <c r="Q98" s="2">
        <f>Q10/'Output-Calculation-sheet'!Q9*'Output-Calculation-sheet'!Q81</f>
        <v>1323154573.2992671</v>
      </c>
      <c r="R98" s="2">
        <f>R10/'Output-Calculation-sheet'!R9*'Output-Calculation-sheet'!R81</f>
        <v>1692514876.9484847</v>
      </c>
      <c r="S98" s="2">
        <f>S10/'Output-Calculation-sheet'!S9*'Output-Calculation-sheet'!S81</f>
        <v>978574932.18758214</v>
      </c>
      <c r="T98" s="2">
        <f>T10/'Output-Calculation-sheet'!T9*'Output-Calculation-sheet'!T81</f>
        <v>726142857.86181092</v>
      </c>
      <c r="U98" s="2">
        <f>U10/'Output-Calculation-sheet'!U9*'Output-Calculation-sheet'!U81</f>
        <v>472475638.34377629</v>
      </c>
      <c r="V98" s="2">
        <f>V10/'Output-Calculation-sheet'!V9*'Output-Calculation-sheet'!V81</f>
        <v>250231054.44622886</v>
      </c>
      <c r="W98" s="2">
        <f>W10/'Output-Calculation-sheet'!W9*'Output-Calculation-sheet'!W81</f>
        <v>709491369.14615178</v>
      </c>
      <c r="X98" s="2">
        <f>X10/'Output-Calculation-sheet'!X9*'Output-Calculation-sheet'!X81</f>
        <v>260716612.31160447</v>
      </c>
      <c r="Y98" s="2">
        <f>Y10/'Output-Calculation-sheet'!Y9*'Output-Calculation-sheet'!Y81</f>
        <v>390122292.68626904</v>
      </c>
      <c r="AA98" s="2">
        <f t="shared" si="8"/>
        <v>75.835805570112711</v>
      </c>
    </row>
    <row r="99" spans="1:27" x14ac:dyDescent="0.25">
      <c r="A99" s="2">
        <v>2034</v>
      </c>
      <c r="B99" s="2">
        <f>B11/'Output-Calculation-sheet'!B10*'Output-Calculation-sheet'!B82</f>
        <v>20561138877.226082</v>
      </c>
      <c r="C99" s="2">
        <f>C11/'Output-Calculation-sheet'!C10*'Output-Calculation-sheet'!C82</f>
        <v>7094436490.5589218</v>
      </c>
      <c r="D99" s="2">
        <f>D11/'Output-Calculation-sheet'!D10*'Output-Calculation-sheet'!D82</f>
        <v>6453941654.2299891</v>
      </c>
      <c r="E99" s="2">
        <f>E11/'Output-Calculation-sheet'!E10*'Output-Calculation-sheet'!E82</f>
        <v>12484584190.804195</v>
      </c>
      <c r="F99" s="2">
        <f>F11/'Output-Calculation-sheet'!F10*'Output-Calculation-sheet'!F82</f>
        <v>5141760505.4818592</v>
      </c>
      <c r="G99" s="2">
        <f>G11/'Output-Calculation-sheet'!G10*'Output-Calculation-sheet'!G82</f>
        <v>3655425830.203445</v>
      </c>
      <c r="H99" s="2">
        <f>H11/'Output-Calculation-sheet'!H10*'Output-Calculation-sheet'!H82</f>
        <v>3416659114.721601</v>
      </c>
      <c r="I99" s="2">
        <f>I11/'Output-Calculation-sheet'!I10*'Output-Calculation-sheet'!I82</f>
        <v>2869755799.1012688</v>
      </c>
      <c r="J99" s="2">
        <f>J11/'Output-Calculation-sheet'!J10*'Output-Calculation-sheet'!J82</f>
        <v>1785847936.2168427</v>
      </c>
      <c r="K99" s="2">
        <f>K11/'Output-Calculation-sheet'!K10*'Output-Calculation-sheet'!K82</f>
        <v>2612929881.8431287</v>
      </c>
      <c r="L99" s="2">
        <f>L11/'Output-Calculation-sheet'!L10*'Output-Calculation-sheet'!L82</f>
        <v>2017372950.7422626</v>
      </c>
      <c r="M99" s="2">
        <f>M11/'Output-Calculation-sheet'!M10*'Output-Calculation-sheet'!M82</f>
        <v>2573705982.1381683</v>
      </c>
      <c r="N99" s="2">
        <f>N11/'Output-Calculation-sheet'!N10*'Output-Calculation-sheet'!N82</f>
        <v>1813178269.2220795</v>
      </c>
      <c r="O99" s="2">
        <f>O11/'Output-Calculation-sheet'!O10*'Output-Calculation-sheet'!O82</f>
        <v>983014935.80737674</v>
      </c>
      <c r="P99" s="2">
        <f>P11/'Output-Calculation-sheet'!P10*'Output-Calculation-sheet'!P82</f>
        <v>3064280248.0794735</v>
      </c>
      <c r="Q99" s="2">
        <f>Q11/'Output-Calculation-sheet'!Q10*'Output-Calculation-sheet'!Q82</f>
        <v>1450209974.4177866</v>
      </c>
      <c r="R99" s="2">
        <f>R11/'Output-Calculation-sheet'!R10*'Output-Calculation-sheet'!R82</f>
        <v>1877290105.2343874</v>
      </c>
      <c r="S99" s="2">
        <f>S11/'Output-Calculation-sheet'!S10*'Output-Calculation-sheet'!S82</f>
        <v>1081371583.0785084</v>
      </c>
      <c r="T99" s="2">
        <f>T11/'Output-Calculation-sheet'!T10*'Output-Calculation-sheet'!T82</f>
        <v>790356200.02882123</v>
      </c>
      <c r="U99" s="2">
        <f>U11/'Output-Calculation-sheet'!U10*'Output-Calculation-sheet'!U82</f>
        <v>523389808.0226202</v>
      </c>
      <c r="V99" s="2">
        <f>V11/'Output-Calculation-sheet'!V10*'Output-Calculation-sheet'!V82</f>
        <v>279850005.03095025</v>
      </c>
      <c r="W99" s="2">
        <f>W11/'Output-Calculation-sheet'!W10*'Output-Calculation-sheet'!W82</f>
        <v>776033862.00686336</v>
      </c>
      <c r="X99" s="2">
        <f>X11/'Output-Calculation-sheet'!X10*'Output-Calculation-sheet'!X82</f>
        <v>292275717.49866331</v>
      </c>
      <c r="Y99" s="2">
        <f>Y11/'Output-Calculation-sheet'!Y10*'Output-Calculation-sheet'!Y82</f>
        <v>427064753.5124054</v>
      </c>
      <c r="AA99" s="2">
        <f t="shared" si="8"/>
        <v>84.025874675207675</v>
      </c>
    </row>
    <row r="100" spans="1:27" x14ac:dyDescent="0.25">
      <c r="A100" s="2">
        <v>2035</v>
      </c>
      <c r="B100" s="2">
        <f>B12/'Output-Calculation-sheet'!B11*'Output-Calculation-sheet'!B83</f>
        <v>21499050955.95533</v>
      </c>
      <c r="C100" s="2">
        <f>C12/'Output-Calculation-sheet'!C11*'Output-Calculation-sheet'!C83</f>
        <v>7464121296.3617706</v>
      </c>
      <c r="D100" s="2">
        <f>D12/'Output-Calculation-sheet'!D11*'Output-Calculation-sheet'!D83</f>
        <v>6496560522.9259157</v>
      </c>
      <c r="E100" s="2">
        <f>E12/'Output-Calculation-sheet'!E11*'Output-Calculation-sheet'!E83</f>
        <v>12919982580.058668</v>
      </c>
      <c r="F100" s="2">
        <f>F12/'Output-Calculation-sheet'!F11*'Output-Calculation-sheet'!F83</f>
        <v>5314765676.4839191</v>
      </c>
      <c r="G100" s="2">
        <f>G12/'Output-Calculation-sheet'!G11*'Output-Calculation-sheet'!G83</f>
        <v>3652278904.6153836</v>
      </c>
      <c r="H100" s="2">
        <f>H12/'Output-Calculation-sheet'!H11*'Output-Calculation-sheet'!H83</f>
        <v>3527828479.5694089</v>
      </c>
      <c r="I100" s="2">
        <f>I12/'Output-Calculation-sheet'!I11*'Output-Calculation-sheet'!I83</f>
        <v>2993292784.5236378</v>
      </c>
      <c r="J100" s="2">
        <f>J12/'Output-Calculation-sheet'!J11*'Output-Calculation-sheet'!J83</f>
        <v>1814064260.2442322</v>
      </c>
      <c r="K100" s="2">
        <f>K12/'Output-Calculation-sheet'!K11*'Output-Calculation-sheet'!K83</f>
        <v>2672889371.0824227</v>
      </c>
      <c r="L100" s="2">
        <f>L12/'Output-Calculation-sheet'!L11*'Output-Calculation-sheet'!L83</f>
        <v>2122121754.0727093</v>
      </c>
      <c r="M100" s="2">
        <f>M12/'Output-Calculation-sheet'!M11*'Output-Calculation-sheet'!M83</f>
        <v>2665855167.6339316</v>
      </c>
      <c r="N100" s="2">
        <f>N12/'Output-Calculation-sheet'!N11*'Output-Calculation-sheet'!N83</f>
        <v>1844561220.1831069</v>
      </c>
      <c r="O100" s="2">
        <f>O12/'Output-Calculation-sheet'!O11*'Output-Calculation-sheet'!O83</f>
        <v>1023848598.3664869</v>
      </c>
      <c r="P100" s="2">
        <f>P12/'Output-Calculation-sheet'!P11*'Output-Calculation-sheet'!P83</f>
        <v>3109500943.2248321</v>
      </c>
      <c r="Q100" s="2">
        <f>Q12/'Output-Calculation-sheet'!Q11*'Output-Calculation-sheet'!Q83</f>
        <v>1483246204.3367083</v>
      </c>
      <c r="R100" s="2">
        <f>R12/'Output-Calculation-sheet'!R11*'Output-Calculation-sheet'!R83</f>
        <v>1942228234.24366</v>
      </c>
      <c r="S100" s="2">
        <f>S12/'Output-Calculation-sheet'!S11*'Output-Calculation-sheet'!S83</f>
        <v>1114739216.4519253</v>
      </c>
      <c r="T100" s="2">
        <f>T12/'Output-Calculation-sheet'!T11*'Output-Calculation-sheet'!T83</f>
        <v>802226005.95280445</v>
      </c>
      <c r="U100" s="2">
        <f>U12/'Output-Calculation-sheet'!U11*'Output-Calculation-sheet'!U83</f>
        <v>540609496.62394547</v>
      </c>
      <c r="V100" s="2">
        <f>V12/'Output-Calculation-sheet'!V11*'Output-Calculation-sheet'!V83</f>
        <v>291690233.63265407</v>
      </c>
      <c r="W100" s="2">
        <f>W12/'Output-Calculation-sheet'!W11*'Output-Calculation-sheet'!W83</f>
        <v>790260503.19957364</v>
      </c>
      <c r="X100" s="2">
        <f>X12/'Output-Calculation-sheet'!X11*'Output-Calculation-sheet'!X83</f>
        <v>305522216.89721596</v>
      </c>
      <c r="Y100" s="2">
        <f>Y12/'Output-Calculation-sheet'!Y11*'Output-Calculation-sheet'!Y83</f>
        <v>435480707.66762829</v>
      </c>
      <c r="AA100" s="2">
        <f t="shared" si="8"/>
        <v>86.826725334307895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5014.3990886461279</v>
      </c>
      <c r="C19" s="2">
        <f>C8/'Output-Calculation-sheet'!C7*'Output-Calculation-sheet'!C25</f>
        <v>6686.0029267110049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2436.1558742600018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1783.1520912559192</v>
      </c>
      <c r="N19" s="2">
        <f>N8/'Output-Calculation-sheet'!N7*'Output-Calculation-sheet'!N25</f>
        <v>928.96335919780824</v>
      </c>
      <c r="O19" s="2">
        <f>O8/'Output-Calculation-sheet'!O7*'Output-Calculation-sheet'!O25</f>
        <v>1013.0588690670118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404.97277516868564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206.12068070467757</v>
      </c>
      <c r="Y19" s="2">
        <f>Y8/'Output-Calculation-sheet'!Y7*'Output-Calculation-sheet'!Y25</f>
        <v>0</v>
      </c>
      <c r="AA19" s="2">
        <f t="shared" si="0"/>
        <v>18.472825665011236</v>
      </c>
    </row>
    <row r="20" spans="1:27" x14ac:dyDescent="0.25">
      <c r="A20" s="2">
        <v>2032</v>
      </c>
      <c r="B20" s="2">
        <f>B9/'Output-Calculation-sheet'!B8*'Output-Calculation-sheet'!B26</f>
        <v>6604.9457434920996</v>
      </c>
      <c r="C20" s="2">
        <f>C9/'Output-Calculation-sheet'!C8*'Output-Calculation-sheet'!C26</f>
        <v>7612.7176163006843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2740.6106687426191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2001.2718677035939</v>
      </c>
      <c r="N20" s="2">
        <f>N9/'Output-Calculation-sheet'!N8*'Output-Calculation-sheet'!N26</f>
        <v>1138.3474088594728</v>
      </c>
      <c r="O20" s="2">
        <f>O9/'Output-Calculation-sheet'!O8*'Output-Calculation-sheet'!O26</f>
        <v>1177.6237266823748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514.58218905301487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231.17288106746963</v>
      </c>
      <c r="Y20" s="2">
        <f>Y9/'Output-Calculation-sheet'!Y8*'Output-Calculation-sheet'!Y26</f>
        <v>0</v>
      </c>
      <c r="AA20" s="2">
        <f t="shared" si="0"/>
        <v>22.021272101901324</v>
      </c>
    </row>
    <row r="21" spans="1:27" x14ac:dyDescent="0.25">
      <c r="A21" s="2">
        <v>2033</v>
      </c>
      <c r="B21" s="2">
        <f>B10/'Output-Calculation-sheet'!B9*'Output-Calculation-sheet'!B27</f>
        <v>14655.992810330652</v>
      </c>
      <c r="C21" s="2">
        <f>C10/'Output-Calculation-sheet'!C9*'Output-Calculation-sheet'!C27</f>
        <v>25169.2176255288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8483.155710181336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5892.0797287753439</v>
      </c>
      <c r="N21" s="2">
        <f>N10/'Output-Calculation-sheet'!N9*'Output-Calculation-sheet'!N27</f>
        <v>3224.0279929417438</v>
      </c>
      <c r="O21" s="2">
        <f>O10/'Output-Calculation-sheet'!O9*'Output-Calculation-sheet'!O27</f>
        <v>2511.2354375293276</v>
      </c>
      <c r="P21" s="2">
        <f>P10/'Output-Calculation-sheet'!P9*'Output-Calculation-sheet'!P27</f>
        <v>0</v>
      </c>
      <c r="Q21" s="2">
        <f>Q10/'Output-Calculation-sheet'!Q9*'Output-Calculation-sheet'!Q27</f>
        <v>219.90005802172703</v>
      </c>
      <c r="R21" s="2">
        <f>R10/'Output-Calculation-sheet'!R9*'Output-Calculation-sheet'!R27</f>
        <v>0</v>
      </c>
      <c r="S21" s="2">
        <f>S10/'Output-Calculation-sheet'!S9*'Output-Calculation-sheet'!S27</f>
        <v>1400.3175008208457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692.85809822013994</v>
      </c>
      <c r="Y21" s="2">
        <f>Y10/'Output-Calculation-sheet'!Y9*'Output-Calculation-sheet'!Y27</f>
        <v>0</v>
      </c>
      <c r="AA21" s="2">
        <f t="shared" si="0"/>
        <v>62.248784962349923</v>
      </c>
    </row>
    <row r="22" spans="1:27" x14ac:dyDescent="0.25">
      <c r="A22" s="2">
        <v>2034</v>
      </c>
      <c r="B22" s="2">
        <f>B11/'Output-Calculation-sheet'!B10*'Output-Calculation-sheet'!B28</f>
        <v>29588.036878035342</v>
      </c>
      <c r="C22" s="2">
        <f>C11/'Output-Calculation-sheet'!C10*'Output-Calculation-sheet'!C28</f>
        <v>28386.006258737769</v>
      </c>
      <c r="D22" s="2">
        <f>D11/'Output-Calculation-sheet'!D10*'Output-Calculation-sheet'!D28</f>
        <v>0</v>
      </c>
      <c r="E22" s="2">
        <f>E11/'Output-Calculation-sheet'!E10*'Output-Calculation-sheet'!E28</f>
        <v>1516.0456399030024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10832.04626673036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904.0120173118969</v>
      </c>
      <c r="M22" s="2">
        <f>M11/'Output-Calculation-sheet'!M10*'Output-Calculation-sheet'!M28</f>
        <v>7897.5139005634137</v>
      </c>
      <c r="N22" s="2">
        <f>N11/'Output-Calculation-sheet'!N10*'Output-Calculation-sheet'!N28</f>
        <v>4713.1429668664759</v>
      </c>
      <c r="O22" s="2">
        <f>O11/'Output-Calculation-sheet'!O10*'Output-Calculation-sheet'!O28</f>
        <v>2913.0309054329714</v>
      </c>
      <c r="P22" s="2">
        <f>P11/'Output-Calculation-sheet'!P10*'Output-Calculation-sheet'!P28</f>
        <v>0</v>
      </c>
      <c r="Q22" s="2">
        <f>Q11/'Output-Calculation-sheet'!Q10*'Output-Calculation-sheet'!Q28</f>
        <v>1070.6785709251728</v>
      </c>
      <c r="R22" s="2">
        <f>R11/'Output-Calculation-sheet'!R10*'Output-Calculation-sheet'!R28</f>
        <v>0</v>
      </c>
      <c r="S22" s="2">
        <f>S11/'Output-Calculation-sheet'!S10*'Output-Calculation-sheet'!S28</f>
        <v>2404.3675709463196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793.04474157370953</v>
      </c>
      <c r="Y22" s="2">
        <f>Y11/'Output-Calculation-sheet'!Y10*'Output-Calculation-sheet'!Y28</f>
        <v>82.260030829634388</v>
      </c>
      <c r="AA22" s="2">
        <f t="shared" si="0"/>
        <v>91.100185747856059</v>
      </c>
    </row>
    <row r="23" spans="1:27" x14ac:dyDescent="0.25">
      <c r="A23" s="2">
        <v>2035</v>
      </c>
      <c r="B23" s="2">
        <f>B12/'Output-Calculation-sheet'!B11*'Output-Calculation-sheet'!B29</f>
        <v>37560.901394414439</v>
      </c>
      <c r="C23" s="2">
        <f>C12/'Output-Calculation-sheet'!C11*'Output-Calculation-sheet'!C29</f>
        <v>30679.276610963025</v>
      </c>
      <c r="D23" s="2">
        <f>D12/'Output-Calculation-sheet'!D11*'Output-Calculation-sheet'!D29</f>
        <v>0</v>
      </c>
      <c r="E23" s="2">
        <f>E12/'Output-Calculation-sheet'!E11*'Output-Calculation-sheet'!E29</f>
        <v>5790.9745106607897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11809.898283178929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1312.7671916699537</v>
      </c>
      <c r="M23" s="2">
        <f>M12/'Output-Calculation-sheet'!M11*'Output-Calculation-sheet'!M29</f>
        <v>8652.6193999761435</v>
      </c>
      <c r="N23" s="2">
        <f>N12/'Output-Calculation-sheet'!N11*'Output-Calculation-sheet'!N29</f>
        <v>5047.5555370319589</v>
      </c>
      <c r="O23" s="2">
        <f>O12/'Output-Calculation-sheet'!O11*'Output-Calculation-sheet'!O29</f>
        <v>3402.6729420555039</v>
      </c>
      <c r="P23" s="2">
        <f>P12/'Output-Calculation-sheet'!P11*'Output-Calculation-sheet'!P29</f>
        <v>616.46649077911854</v>
      </c>
      <c r="Q23" s="2">
        <f>Q12/'Output-Calculation-sheet'!Q11*'Output-Calculation-sheet'!Q29</f>
        <v>1383.9603845515892</v>
      </c>
      <c r="R23" s="2">
        <f>R12/'Output-Calculation-sheet'!R11*'Output-Calculation-sheet'!R29</f>
        <v>0</v>
      </c>
      <c r="S23" s="2">
        <f>S12/'Output-Calculation-sheet'!S11*'Output-Calculation-sheet'!S29</f>
        <v>2701.9573385147687</v>
      </c>
      <c r="T23" s="2">
        <f>T12/'Output-Calculation-sheet'!T11*'Output-Calculation-sheet'!T29</f>
        <v>0</v>
      </c>
      <c r="U23" s="2">
        <f>U12/'Output-Calculation-sheet'!U11*'Output-Calculation-sheet'!U29</f>
        <v>117.82546540932717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857.1765795786273</v>
      </c>
      <c r="Y23" s="2">
        <f>Y12/'Output-Calculation-sheet'!Y11*'Output-Calculation-sheet'!Y29</f>
        <v>253.77213338502702</v>
      </c>
      <c r="AA23" s="2">
        <f t="shared" si="0"/>
        <v>110.18782426216922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24660.139753010175</v>
      </c>
      <c r="C30" s="2">
        <f>C8/'Output-Calculation-sheet'!C7*'Output-Calculation-sheet'!C16</f>
        <v>0</v>
      </c>
      <c r="D30" s="2">
        <f>D8/'Output-Calculation-sheet'!D7*'Output-Calculation-sheet'!D16</f>
        <v>5555.6917472774376</v>
      </c>
      <c r="E30" s="2">
        <f>E8/'Output-Calculation-sheet'!E7*'Output-Calculation-sheet'!E16</f>
        <v>6962.1692580494228</v>
      </c>
      <c r="F30" s="2">
        <f>F8/'Output-Calculation-sheet'!F7*'Output-Calculation-sheet'!F16</f>
        <v>3400.3228210621646</v>
      </c>
      <c r="G30" s="2">
        <f>G8/'Output-Calculation-sheet'!G7*'Output-Calculation-sheet'!G16</f>
        <v>2072.112573195267</v>
      </c>
      <c r="H30" s="2">
        <f>H8/'Output-Calculation-sheet'!H7*'Output-Calculation-sheet'!H16</f>
        <v>0</v>
      </c>
      <c r="I30" s="2">
        <f>I8/'Output-Calculation-sheet'!I7*'Output-Calculation-sheet'!I16</f>
        <v>1950.6382447607975</v>
      </c>
      <c r="J30" s="2">
        <f>J8/'Output-Calculation-sheet'!J7*'Output-Calculation-sheet'!J16</f>
        <v>2090.9998644971633</v>
      </c>
      <c r="K30" s="2">
        <f>K8/'Output-Calculation-sheet'!K7*'Output-Calculation-sheet'!K16</f>
        <v>2023.8528273361258</v>
      </c>
      <c r="L30" s="2">
        <f>L8/'Output-Calculation-sheet'!L7*'Output-Calculation-sheet'!L16</f>
        <v>2237.0474561290766</v>
      </c>
      <c r="M30" s="2">
        <f>M8/'Output-Calculation-sheet'!M7*'Output-Calculation-sheet'!M16</f>
        <v>0</v>
      </c>
      <c r="N30" s="2">
        <f>N8/'Output-Calculation-sheet'!N7*'Output-Calculation-sheet'!N16</f>
        <v>1003.1519181351749</v>
      </c>
      <c r="O30" s="2">
        <f>O8/'Output-Calculation-sheet'!O7*'Output-Calculation-sheet'!O16</f>
        <v>0</v>
      </c>
      <c r="P30" s="2">
        <f>P8/'Output-Calculation-sheet'!P7*'Output-Calculation-sheet'!P16</f>
        <v>1915.023601464278</v>
      </c>
      <c r="Q30" s="2">
        <f>Q8/'Output-Calculation-sheet'!Q7*'Output-Calculation-sheet'!Q16</f>
        <v>1878.7330264664015</v>
      </c>
      <c r="R30" s="2">
        <f>R8/'Output-Calculation-sheet'!R7*'Output-Calculation-sheet'!R16</f>
        <v>1667.231564887685</v>
      </c>
      <c r="S30" s="2">
        <f>S8/'Output-Calculation-sheet'!S7*'Output-Calculation-sheet'!S16</f>
        <v>883.01888784624703</v>
      </c>
      <c r="T30" s="2">
        <f>T8/'Output-Calculation-sheet'!T7*'Output-Calculation-sheet'!T16</f>
        <v>629.73818521450085</v>
      </c>
      <c r="U30" s="2">
        <f>U8/'Output-Calculation-sheet'!U7*'Output-Calculation-sheet'!U16</f>
        <v>485.90765284113115</v>
      </c>
      <c r="V30" s="2">
        <f>V8/'Output-Calculation-sheet'!V7*'Output-Calculation-sheet'!V16</f>
        <v>629.15324377004958</v>
      </c>
      <c r="W30" s="2">
        <f>W8/'Output-Calculation-sheet'!W7*'Output-Calculation-sheet'!W16</f>
        <v>302.9244276036261</v>
      </c>
      <c r="X30" s="2">
        <f>X8/'Output-Calculation-sheet'!X7*'Output-Calculation-sheet'!X16</f>
        <v>0</v>
      </c>
      <c r="Y30" s="2">
        <f>Y8/'Output-Calculation-sheet'!Y7*'Output-Calculation-sheet'!Y16</f>
        <v>206.60106376654969</v>
      </c>
      <c r="AA30" s="2">
        <f t="shared" si="1"/>
        <v>60.554458117313281</v>
      </c>
    </row>
    <row r="31" spans="1:27" x14ac:dyDescent="0.25">
      <c r="A31" s="2">
        <v>2032</v>
      </c>
      <c r="B31" s="2">
        <f>B9/'Output-Calculation-sheet'!B8*'Output-Calculation-sheet'!B17</f>
        <v>26762.284430004169</v>
      </c>
      <c r="C31" s="2">
        <f>C9/'Output-Calculation-sheet'!C8*'Output-Calculation-sheet'!C17</f>
        <v>0</v>
      </c>
      <c r="D31" s="2">
        <f>D9/'Output-Calculation-sheet'!D8*'Output-Calculation-sheet'!D17</f>
        <v>6125.3346365706821</v>
      </c>
      <c r="E31" s="2">
        <f>E9/'Output-Calculation-sheet'!E8*'Output-Calculation-sheet'!E17</f>
        <v>7694.2295087706452</v>
      </c>
      <c r="F31" s="2">
        <f>F9/'Output-Calculation-sheet'!F8*'Output-Calculation-sheet'!F17</f>
        <v>3754.1617607788721</v>
      </c>
      <c r="G31" s="2">
        <f>G9/'Output-Calculation-sheet'!G8*'Output-Calculation-sheet'!G17</f>
        <v>2285.2586532171395</v>
      </c>
      <c r="H31" s="2">
        <f>H9/'Output-Calculation-sheet'!H8*'Output-Calculation-sheet'!H17</f>
        <v>0</v>
      </c>
      <c r="I31" s="2">
        <f>I9/'Output-Calculation-sheet'!I8*'Output-Calculation-sheet'!I17</f>
        <v>2150.2125250325576</v>
      </c>
      <c r="J31" s="2">
        <f>J9/'Output-Calculation-sheet'!J8*'Output-Calculation-sheet'!J17</f>
        <v>2306.8089159111983</v>
      </c>
      <c r="K31" s="2">
        <f>K9/'Output-Calculation-sheet'!K8*'Output-Calculation-sheet'!K17</f>
        <v>2231.0081766364742</v>
      </c>
      <c r="L31" s="2">
        <f>L9/'Output-Calculation-sheet'!L8*'Output-Calculation-sheet'!L17</f>
        <v>2465.1842781159958</v>
      </c>
      <c r="M31" s="2">
        <f>M9/'Output-Calculation-sheet'!M8*'Output-Calculation-sheet'!M17</f>
        <v>0</v>
      </c>
      <c r="N31" s="2">
        <f>N9/'Output-Calculation-sheet'!N8*'Output-Calculation-sheet'!N17</f>
        <v>1039.4153041481838</v>
      </c>
      <c r="O31" s="2">
        <f>O9/'Output-Calculation-sheet'!O8*'Output-Calculation-sheet'!O17</f>
        <v>0</v>
      </c>
      <c r="P31" s="2">
        <f>P9/'Output-Calculation-sheet'!P8*'Output-Calculation-sheet'!P17</f>
        <v>2123.4743601481891</v>
      </c>
      <c r="Q31" s="2">
        <f>Q9/'Output-Calculation-sheet'!Q8*'Output-Calculation-sheet'!Q17</f>
        <v>2076.6660110505522</v>
      </c>
      <c r="R31" s="2">
        <f>R9/'Output-Calculation-sheet'!R8*'Output-Calculation-sheet'!R17</f>
        <v>1858.5552015066273</v>
      </c>
      <c r="S31" s="2">
        <f>S9/'Output-Calculation-sheet'!S8*'Output-Calculation-sheet'!S17</f>
        <v>930.35549056968625</v>
      </c>
      <c r="T31" s="2">
        <f>T9/'Output-Calculation-sheet'!T8*'Output-Calculation-sheet'!T17</f>
        <v>696.25733464627967</v>
      </c>
      <c r="U31" s="2">
        <f>U9/'Output-Calculation-sheet'!U8*'Output-Calculation-sheet'!U17</f>
        <v>539.10558513291801</v>
      </c>
      <c r="V31" s="2">
        <f>V9/'Output-Calculation-sheet'!V8*'Output-Calculation-sheet'!V17</f>
        <v>685.55919852542695</v>
      </c>
      <c r="W31" s="2">
        <f>W9/'Output-Calculation-sheet'!W8*'Output-Calculation-sheet'!W17</f>
        <v>334.13749885520969</v>
      </c>
      <c r="X31" s="2">
        <f>X9/'Output-Calculation-sheet'!X8*'Output-Calculation-sheet'!X17</f>
        <v>0</v>
      </c>
      <c r="Y31" s="2">
        <f>Y9/'Output-Calculation-sheet'!Y8*'Output-Calculation-sheet'!Y17</f>
        <v>227.78563179216681</v>
      </c>
      <c r="AA31" s="2">
        <f t="shared" si="1"/>
        <v>66.28579450141298</v>
      </c>
    </row>
    <row r="32" spans="1:27" x14ac:dyDescent="0.25">
      <c r="A32" s="2">
        <v>2033</v>
      </c>
      <c r="B32" s="2">
        <f>B10/'Output-Calculation-sheet'!B9*'Output-Calculation-sheet'!B18</f>
        <v>29753.476309894129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1813.0735847255114</v>
      </c>
      <c r="O32" s="2">
        <f>O10/'Output-Calculation-sheet'!O9*'Output-Calculation-sheet'!O18</f>
        <v>0</v>
      </c>
      <c r="P32" s="2">
        <f>P10/'Output-Calculation-sheet'!P9*'Output-Calculation-sheet'!P18</f>
        <v>2919.0170245060272</v>
      </c>
      <c r="Q32" s="2">
        <f>Q10/'Output-Calculation-sheet'!Q9*'Output-Calculation-sheet'!Q18</f>
        <v>3177.431870471446</v>
      </c>
      <c r="R32" s="2">
        <f>R10/'Output-Calculation-sheet'!R9*'Output-Calculation-sheet'!R18</f>
        <v>2096.0058279305981</v>
      </c>
      <c r="S32" s="2">
        <f>S10/'Output-Calculation-sheet'!S9*'Output-Calculation-sheet'!S18</f>
        <v>1375.4112103284431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676.65434145142615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71.507537082592918</v>
      </c>
    </row>
    <row r="33" spans="1:27" x14ac:dyDescent="0.25">
      <c r="A33" s="2">
        <v>2034</v>
      </c>
      <c r="B33" s="2">
        <f>B11/'Output-Calculation-sheet'!B10*'Output-Calculation-sheet'!B19</f>
        <v>29844.231588518203</v>
      </c>
      <c r="C33" s="2">
        <f>C11/'Output-Calculation-sheet'!C10*'Output-Calculation-sheet'!C19</f>
        <v>0</v>
      </c>
      <c r="D33" s="2">
        <f>D11/'Output-Calculation-sheet'!D10*'Output-Calculation-sheet'!D19</f>
        <v>8902.206490524557</v>
      </c>
      <c r="E33" s="2">
        <f>E11/'Output-Calculation-sheet'!E10*'Output-Calculation-sheet'!E19</f>
        <v>11025.978010159281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3030.2268940960298</v>
      </c>
      <c r="H33" s="2">
        <f>H11/'Output-Calculation-sheet'!H10*'Output-Calculation-sheet'!H19</f>
        <v>0</v>
      </c>
      <c r="I33" s="2">
        <f>I11/'Output-Calculation-sheet'!I10*'Output-Calculation-sheet'!I19</f>
        <v>3306.4024776578085</v>
      </c>
      <c r="J33" s="2">
        <f>J11/'Output-Calculation-sheet'!J10*'Output-Calculation-sheet'!J19</f>
        <v>2795.7763612611443</v>
      </c>
      <c r="K33" s="2">
        <f>K11/'Output-Calculation-sheet'!K10*'Output-Calculation-sheet'!K19</f>
        <v>3879.5431476008998</v>
      </c>
      <c r="L33" s="2">
        <f>L11/'Output-Calculation-sheet'!L10*'Output-Calculation-sheet'!L19</f>
        <v>3154.9927797237979</v>
      </c>
      <c r="M33" s="2">
        <f>M11/'Output-Calculation-sheet'!M10*'Output-Calculation-sheet'!M19</f>
        <v>0</v>
      </c>
      <c r="N33" s="2">
        <f>N11/'Output-Calculation-sheet'!N10*'Output-Calculation-sheet'!N19</f>
        <v>1784.0143548045696</v>
      </c>
      <c r="O33" s="2">
        <f>O11/'Output-Calculation-sheet'!O10*'Output-Calculation-sheet'!O19</f>
        <v>0</v>
      </c>
      <c r="P33" s="2">
        <f>P11/'Output-Calculation-sheet'!P10*'Output-Calculation-sheet'!P19</f>
        <v>3925.4133083773468</v>
      </c>
      <c r="Q33" s="2">
        <f>Q11/'Output-Calculation-sheet'!Q10*'Output-Calculation-sheet'!Q19</f>
        <v>3232.5366488353052</v>
      </c>
      <c r="R33" s="2">
        <f>R11/'Output-Calculation-sheet'!R10*'Output-Calculation-sheet'!R19</f>
        <v>2802.6818318919022</v>
      </c>
      <c r="S33" s="2">
        <f>S11/'Output-Calculation-sheet'!S10*'Output-Calculation-sheet'!S19</f>
        <v>1306.5115862282714</v>
      </c>
      <c r="T33" s="2">
        <f>T11/'Output-Calculation-sheet'!T10*'Output-Calculation-sheet'!T19</f>
        <v>822.38809566302234</v>
      </c>
      <c r="U33" s="2">
        <f>U11/'Output-Calculation-sheet'!U10*'Output-Calculation-sheet'!U19</f>
        <v>946.49785471316125</v>
      </c>
      <c r="V33" s="2">
        <f>V11/'Output-Calculation-sheet'!V10*'Output-Calculation-sheet'!V19</f>
        <v>644.91277248409699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116.28908611719274</v>
      </c>
      <c r="Y33" s="2">
        <f>Y11/'Output-Calculation-sheet'!Y10*'Output-Calculation-sheet'!Y19</f>
        <v>361.94413565039133</v>
      </c>
      <c r="AA33" s="2">
        <f t="shared" si="1"/>
        <v>87.344231121454925</v>
      </c>
    </row>
    <row r="34" spans="1:27" x14ac:dyDescent="0.25">
      <c r="A34" s="2">
        <v>2035</v>
      </c>
      <c r="B34" s="2">
        <f>B12/'Output-Calculation-sheet'!B11*'Output-Calculation-sheet'!B20</f>
        <v>29894.40590206621</v>
      </c>
      <c r="C34" s="2">
        <f>C12/'Output-Calculation-sheet'!C11*'Output-Calculation-sheet'!C20</f>
        <v>0</v>
      </c>
      <c r="D34" s="2">
        <f>D12/'Output-Calculation-sheet'!D11*'Output-Calculation-sheet'!D20</f>
        <v>9381.7762476203934</v>
      </c>
      <c r="E34" s="2">
        <f>E12/'Output-Calculation-sheet'!E11*'Output-Calculation-sheet'!E20</f>
        <v>10250.969149063245</v>
      </c>
      <c r="F34" s="2">
        <f>F12/'Output-Calculation-sheet'!F11*'Output-Calculation-sheet'!F20</f>
        <v>6458.591247608666</v>
      </c>
      <c r="G34" s="2">
        <f>G12/'Output-Calculation-sheet'!G11*'Output-Calculation-sheet'!G20</f>
        <v>3451.2794105804119</v>
      </c>
      <c r="H34" s="2">
        <f>H12/'Output-Calculation-sheet'!H11*'Output-Calculation-sheet'!H20</f>
        <v>0</v>
      </c>
      <c r="I34" s="2">
        <f>I12/'Output-Calculation-sheet'!I11*'Output-Calculation-sheet'!I20</f>
        <v>3751.0707620781077</v>
      </c>
      <c r="J34" s="2">
        <f>J12/'Output-Calculation-sheet'!J11*'Output-Calculation-sheet'!J20</f>
        <v>3220.2974883830434</v>
      </c>
      <c r="K34" s="2">
        <f>K12/'Output-Calculation-sheet'!K11*'Output-Calculation-sheet'!K20</f>
        <v>4233.9071244708266</v>
      </c>
      <c r="L34" s="2">
        <f>L12/'Output-Calculation-sheet'!L11*'Output-Calculation-sheet'!L20</f>
        <v>3346.1246164936065</v>
      </c>
      <c r="M34" s="2">
        <f>M12/'Output-Calculation-sheet'!M11*'Output-Calculation-sheet'!M20</f>
        <v>0</v>
      </c>
      <c r="N34" s="2">
        <f>N12/'Output-Calculation-sheet'!N11*'Output-Calculation-sheet'!N20</f>
        <v>1862.1188993598917</v>
      </c>
      <c r="O34" s="2">
        <f>O12/'Output-Calculation-sheet'!O11*'Output-Calculation-sheet'!O20</f>
        <v>0</v>
      </c>
      <c r="P34" s="2">
        <f>P12/'Output-Calculation-sheet'!P11*'Output-Calculation-sheet'!P20</f>
        <v>4161.4955947365152</v>
      </c>
      <c r="Q34" s="2">
        <f>Q12/'Output-Calculation-sheet'!Q11*'Output-Calculation-sheet'!Q20</f>
        <v>3292.8683330950571</v>
      </c>
      <c r="R34" s="2">
        <f>R12/'Output-Calculation-sheet'!R11*'Output-Calculation-sheet'!R20</f>
        <v>3305.0522346267603</v>
      </c>
      <c r="S34" s="2">
        <f>S12/'Output-Calculation-sheet'!S11*'Output-Calculation-sheet'!S20</f>
        <v>1262.4497582585216</v>
      </c>
      <c r="T34" s="2">
        <f>T12/'Output-Calculation-sheet'!T11*'Output-Calculation-sheet'!T20</f>
        <v>1038.3453165944338</v>
      </c>
      <c r="U34" s="2">
        <f>U12/'Output-Calculation-sheet'!U11*'Output-Calculation-sheet'!U20</f>
        <v>947.32919873173705</v>
      </c>
      <c r="V34" s="2">
        <f>V12/'Output-Calculation-sheet'!V11*'Output-Calculation-sheet'!V20</f>
        <v>870.21896985561261</v>
      </c>
      <c r="W34" s="2">
        <f>W12/'Output-Calculation-sheet'!W11*'Output-Calculation-sheet'!W20</f>
        <v>559.86815499821614</v>
      </c>
      <c r="X34" s="2">
        <f>X12/'Output-Calculation-sheet'!X11*'Output-Calculation-sheet'!X20</f>
        <v>113.15146055395982</v>
      </c>
      <c r="Y34" s="2">
        <f>Y12/'Output-Calculation-sheet'!Y11*'Output-Calculation-sheet'!Y20</f>
        <v>313.82725149189145</v>
      </c>
      <c r="AA34" s="2">
        <f t="shared" si="1"/>
        <v>91.715147120667098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1.1920015659004468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0.69472151009110694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1.8867230759915539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2.5272401995361835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0.38898162100412054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0.26765741928186876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0.98194956450326365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0.23048389653014656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2.9362678724578557E-2</v>
      </c>
      <c r="Y44" s="2">
        <f>Y11/'Output-Calculation-sheet'!Y10*'Output-Calculation-sheet'!Y37*0.0114</f>
        <v>0</v>
      </c>
      <c r="AA44" s="2">
        <f t="shared" si="2"/>
        <v>4.4256753795801611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2.6523266827311565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1.0305514416501573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3.0815992983949495E-2</v>
      </c>
      <c r="Y45" s="2">
        <f>Y12/'Output-Calculation-sheet'!Y11*'Output-Calculation-sheet'!Y38*0.0114</f>
        <v>2.9738004796205999E-2</v>
      </c>
      <c r="AA45" s="2">
        <f t="shared" si="2"/>
        <v>13.214726850547066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140.91594284749448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125.43640982478273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545.45507492187835</v>
      </c>
      <c r="S52" s="2">
        <f>S8/'Output-Calculation-sheet'!S7*'Output-Calculation-sheet'!S43</f>
        <v>0</v>
      </c>
      <c r="T52" s="2">
        <f>T8/'Output-Calculation-sheet'!T7*'Output-Calculation-sheet'!T43</f>
        <v>439.21005179850391</v>
      </c>
      <c r="U52" s="2">
        <f>U8/'Output-Calculation-sheet'!U7*'Output-Calculation-sheet'!U43</f>
        <v>46.45388650488826</v>
      </c>
      <c r="V52" s="2">
        <f>V8/'Output-Calculation-sheet'!V7*'Output-Calculation-sheet'!V43</f>
        <v>792.0235295881771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2.0894948954857244</v>
      </c>
    </row>
    <row r="53" spans="1:27" x14ac:dyDescent="0.25">
      <c r="A53" s="2">
        <v>2032</v>
      </c>
      <c r="B53" s="2">
        <f>B9/'Output-Calculation-sheet'!B8*'Output-Calculation-sheet'!B44</f>
        <v>1640.7255378958796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309.31615073119468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247.80415897638824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774.72080096149534</v>
      </c>
      <c r="S53" s="2">
        <f>S9/'Output-Calculation-sheet'!S8*'Output-Calculation-sheet'!S44</f>
        <v>0</v>
      </c>
      <c r="T53" s="2">
        <f>T9/'Output-Calculation-sheet'!T8*'Output-Calculation-sheet'!T44</f>
        <v>534.15447856102287</v>
      </c>
      <c r="U53" s="2">
        <f>U9/'Output-Calculation-sheet'!U8*'Output-Calculation-sheet'!U44</f>
        <v>90.638351534441796</v>
      </c>
      <c r="V53" s="2">
        <f>V9/'Output-Calculation-sheet'!V8*'Output-Calculation-sheet'!V44</f>
        <v>895.47061516908821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4.4928300938295118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64619.032256708429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0</v>
      </c>
      <c r="P54" s="2">
        <f>P10/'Output-Calculation-sheet'!P9*'Output-Calculation-sheet'!P45</f>
        <v>2131.6234686896</v>
      </c>
      <c r="Q54" s="2">
        <f>Q10/'Output-Calculation-sheet'!Q9*'Output-Calculation-sheet'!Q45</f>
        <v>839.16761083746667</v>
      </c>
      <c r="R54" s="2">
        <f>R10/'Output-Calculation-sheet'!R9*'Output-Calculation-sheet'!R45</f>
        <v>1399.5942219151989</v>
      </c>
      <c r="S54" s="2">
        <f>S10/'Output-Calculation-sheet'!S9*'Output-Calculation-sheet'!S45</f>
        <v>3344.13118835867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505.06583158391675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145.35363211036022</v>
      </c>
    </row>
    <row r="55" spans="1:27" x14ac:dyDescent="0.25">
      <c r="A55" s="2">
        <v>2034</v>
      </c>
      <c r="B55" s="2">
        <f>B11/'Output-Calculation-sheet'!B10*'Output-Calculation-sheet'!B46</f>
        <v>85009.001472890086</v>
      </c>
      <c r="C55" s="2">
        <f>C11/'Output-Calculation-sheet'!C10*'Output-Calculation-sheet'!C46</f>
        <v>69942.480960847883</v>
      </c>
      <c r="D55" s="2">
        <f>D11/'Output-Calculation-sheet'!D10*'Output-Calculation-sheet'!D46</f>
        <v>7855.1191127896909</v>
      </c>
      <c r="E55" s="2">
        <f>E11/'Output-Calculation-sheet'!E10*'Output-Calculation-sheet'!E46</f>
        <v>9676.2229435851496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25215.562975617988</v>
      </c>
      <c r="I55" s="2">
        <f>I11/'Output-Calculation-sheet'!I10*'Output-Calculation-sheet'!I46</f>
        <v>1900.8321467462752</v>
      </c>
      <c r="J55" s="2">
        <f>J11/'Output-Calculation-sheet'!J10*'Output-Calculation-sheet'!J46</f>
        <v>1379.5464830715528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1361.7248911936661</v>
      </c>
      <c r="M55" s="2">
        <f>M11/'Output-Calculation-sheet'!M10*'Output-Calculation-sheet'!M46</f>
        <v>17820.349231134944</v>
      </c>
      <c r="N55" s="2">
        <f>N11/'Output-Calculation-sheet'!N10*'Output-Calculation-sheet'!N46</f>
        <v>13591.655197577205</v>
      </c>
      <c r="O55" s="2">
        <f>O11/'Output-Calculation-sheet'!O10*'Output-Calculation-sheet'!O46</f>
        <v>301.47574348784411</v>
      </c>
      <c r="P55" s="2">
        <f>P11/'Output-Calculation-sheet'!P10*'Output-Calculation-sheet'!P46</f>
        <v>5052.3412137996775</v>
      </c>
      <c r="Q55" s="2">
        <f>Q11/'Output-Calculation-sheet'!Q10*'Output-Calculation-sheet'!Q46</f>
        <v>2972.0291920992581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6680.048102108708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1548.1778072962625</v>
      </c>
      <c r="V55" s="2">
        <f>V11/'Output-Calculation-sheet'!V10*'Output-Calculation-sheet'!V46</f>
        <v>626.73738822555583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1823.576889210668</v>
      </c>
      <c r="Y55" s="2">
        <f>Y11/'Output-Calculation-sheet'!Y10*'Output-Calculation-sheet'!Y46</f>
        <v>474.74439910742313</v>
      </c>
      <c r="AA55" s="2">
        <f t="shared" si="3"/>
        <v>265.81763478152988</v>
      </c>
    </row>
    <row r="56" spans="1:27" x14ac:dyDescent="0.25">
      <c r="A56" s="2">
        <v>2035</v>
      </c>
      <c r="B56" s="2">
        <f>B12/'Output-Calculation-sheet'!B11*'Output-Calculation-sheet'!B47</f>
        <v>113481.48639525658</v>
      </c>
      <c r="C56" s="2">
        <f>C12/'Output-Calculation-sheet'!C11*'Output-Calculation-sheet'!C47</f>
        <v>74567.605422397872</v>
      </c>
      <c r="D56" s="2">
        <f>D12/'Output-Calculation-sheet'!D11*'Output-Calculation-sheet'!D47</f>
        <v>9068.3015508292283</v>
      </c>
      <c r="E56" s="2">
        <f>E12/'Output-Calculation-sheet'!E11*'Output-Calculation-sheet'!E47</f>
        <v>25469.772352469994</v>
      </c>
      <c r="F56" s="2">
        <f>F12/'Output-Calculation-sheet'!F11*'Output-Calculation-sheet'!F47</f>
        <v>3141.9394068531374</v>
      </c>
      <c r="G56" s="2">
        <f>G12/'Output-Calculation-sheet'!G11*'Output-Calculation-sheet'!G47</f>
        <v>7097.4427705693743</v>
      </c>
      <c r="H56" s="2">
        <f>H12/'Output-Calculation-sheet'!H11*'Output-Calculation-sheet'!H47</f>
        <v>27108.195141699336</v>
      </c>
      <c r="I56" s="2">
        <f>I12/'Output-Calculation-sheet'!I11*'Output-Calculation-sheet'!I47</f>
        <v>3590.8458885864584</v>
      </c>
      <c r="J56" s="2">
        <f>J12/'Output-Calculation-sheet'!J11*'Output-Calculation-sheet'!J47</f>
        <v>3257.6119525669924</v>
      </c>
      <c r="K56" s="2">
        <f>K12/'Output-Calculation-sheet'!K11*'Output-Calculation-sheet'!K47</f>
        <v>4705.6483739603518</v>
      </c>
      <c r="L56" s="2">
        <f>L12/'Output-Calculation-sheet'!L11*'Output-Calculation-sheet'!L47</f>
        <v>2598.4070141125721</v>
      </c>
      <c r="M56" s="2">
        <f>M12/'Output-Calculation-sheet'!M11*'Output-Calculation-sheet'!M47</f>
        <v>18899.49901689222</v>
      </c>
      <c r="N56" s="2">
        <f>N12/'Output-Calculation-sheet'!N11*'Output-Calculation-sheet'!N47</f>
        <v>14433.903810879117</v>
      </c>
      <c r="O56" s="2">
        <f>O12/'Output-Calculation-sheet'!O11*'Output-Calculation-sheet'!O47</f>
        <v>1355.9887390133647</v>
      </c>
      <c r="P56" s="2">
        <f>P12/'Output-Calculation-sheet'!P11*'Output-Calculation-sheet'!P47</f>
        <v>7494.9653194093316</v>
      </c>
      <c r="Q56" s="2">
        <f>Q12/'Output-Calculation-sheet'!Q11*'Output-Calculation-sheet'!Q47</f>
        <v>3798.1250587933041</v>
      </c>
      <c r="R56" s="2">
        <f>R12/'Output-Calculation-sheet'!R11*'Output-Calculation-sheet'!R47</f>
        <v>5534.0918437036062</v>
      </c>
      <c r="S56" s="2">
        <f>S12/'Output-Calculation-sheet'!S11*'Output-Calculation-sheet'!S47</f>
        <v>7329.9772631957967</v>
      </c>
      <c r="T56" s="2">
        <f>T12/'Output-Calculation-sheet'!T11*'Output-Calculation-sheet'!T47</f>
        <v>1938.4314277403962</v>
      </c>
      <c r="U56" s="2">
        <f>U12/'Output-Calculation-sheet'!U11*'Output-Calculation-sheet'!U47</f>
        <v>1854.9860676945325</v>
      </c>
      <c r="V56" s="2">
        <f>V12/'Output-Calculation-sheet'!V11*'Output-Calculation-sheet'!V47</f>
        <v>1294.6346680195556</v>
      </c>
      <c r="W56" s="2">
        <f>W12/'Output-Calculation-sheet'!W11*'Output-Calculation-sheet'!W47</f>
        <v>736.82326985571092</v>
      </c>
      <c r="X56" s="2">
        <f>X12/'Output-Calculation-sheet'!X11*'Output-Calculation-sheet'!X47</f>
        <v>1951.6795556501345</v>
      </c>
      <c r="Y56" s="2">
        <f>Y12/'Output-Calculation-sheet'!Y11*'Output-Calculation-sheet'!Y47</f>
        <v>999.0926172760436</v>
      </c>
      <c r="AA56" s="2">
        <f t="shared" si="3"/>
        <v>341.70945492742504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6.8045342175017494</v>
      </c>
      <c r="C63" s="2">
        <f>C8*'Output-Calculation-sheet'!C52/10^9</f>
        <v>3.449060356762895</v>
      </c>
      <c r="D63" s="2">
        <f>D8*'Output-Calculation-sheet'!D52/10^9</f>
        <v>1.2049104375388537</v>
      </c>
      <c r="E63" s="2">
        <f>E8*'Output-Calculation-sheet'!E52/10^9</f>
        <v>1.5514290243116788</v>
      </c>
      <c r="F63" s="2">
        <f>F8*'Output-Calculation-sheet'!F52/10^9</f>
        <v>0.64532050410612873</v>
      </c>
      <c r="G63" s="2">
        <f>G8*'Output-Calculation-sheet'!G52/10^9</f>
        <v>0.46303281377127237</v>
      </c>
      <c r="H63" s="2">
        <f>H8*'Output-Calculation-sheet'!H52/10^9</f>
        <v>0.89444337279853192</v>
      </c>
      <c r="I63" s="2">
        <f>I8*'Output-Calculation-sheet'!I52/10^9</f>
        <v>0.41507928753089574</v>
      </c>
      <c r="J63" s="2">
        <f>J8*'Output-Calculation-sheet'!J52/10^9</f>
        <v>0.44622645627521262</v>
      </c>
      <c r="K63" s="2">
        <f>K8*'Output-Calculation-sheet'!K52/10^9</f>
        <v>0.45567491397789328</v>
      </c>
      <c r="L63" s="2">
        <f>L8*'Output-Calculation-sheet'!L52/10^9</f>
        <v>0.47390683627241342</v>
      </c>
      <c r="M63" s="2">
        <f>M8*'Output-Calculation-sheet'!M52/10^9</f>
        <v>0.67634335137794166</v>
      </c>
      <c r="N63" s="2">
        <f>N8*'Output-Calculation-sheet'!N52/10^9</f>
        <v>0.57143202481706057</v>
      </c>
      <c r="O63" s="2">
        <f>O8*'Output-Calculation-sheet'!O52/10^9</f>
        <v>0.59196785952645414</v>
      </c>
      <c r="P63" s="2">
        <f>P8*'Output-Calculation-sheet'!P52/10^9</f>
        <v>0.49060715937388244</v>
      </c>
      <c r="Q63" s="2">
        <f>Q8*'Output-Calculation-sheet'!Q52/10^9</f>
        <v>0.46411048433816365</v>
      </c>
      <c r="R63" s="2">
        <f>R8*'Output-Calculation-sheet'!R52/10^9</f>
        <v>0.39098594467080494</v>
      </c>
      <c r="S63" s="2">
        <f>S8*'Output-Calculation-sheet'!S52/10^9</f>
        <v>0.35948724315229402</v>
      </c>
      <c r="T63" s="2">
        <f>T8*'Output-Calculation-sheet'!T52/10^9</f>
        <v>0.12803074163459072</v>
      </c>
      <c r="U63" s="2">
        <f>U8*'Output-Calculation-sheet'!U52/10^9</f>
        <v>0.12558922347120882</v>
      </c>
      <c r="V63" s="2">
        <f>V8*'Output-Calculation-sheet'!V52/10^9</f>
        <v>0.11256138313750799</v>
      </c>
      <c r="W63" s="2">
        <f>W8*'Output-Calculation-sheet'!W52/10^9</f>
        <v>5.8758910960980154E-2</v>
      </c>
      <c r="X63" s="2">
        <f>X8*'Output-Calculation-sheet'!X52/10^9</f>
        <v>9.495566413706269E-2</v>
      </c>
      <c r="Y63" s="2">
        <f>Y8*'Output-Calculation-sheet'!Y52/10^9</f>
        <v>4.8976229368867669E-2</v>
      </c>
      <c r="AA63" s="2">
        <f t="shared" si="4"/>
        <v>20.917424440814347</v>
      </c>
    </row>
    <row r="64" spans="1:27" x14ac:dyDescent="0.25">
      <c r="A64" s="2">
        <v>2032</v>
      </c>
      <c r="B64" s="2">
        <f>B9*'Output-Calculation-sheet'!B53/10^9</f>
        <v>7.4166567765718456</v>
      </c>
      <c r="C64" s="2">
        <f>C9*'Output-Calculation-sheet'!C53/10^9</f>
        <v>3.7559677916532412</v>
      </c>
      <c r="D64" s="2">
        <f>D9*'Output-Calculation-sheet'!D53/10^9</f>
        <v>1.3156624491946163</v>
      </c>
      <c r="E64" s="2">
        <f>E9*'Output-Calculation-sheet'!E53/10^9</f>
        <v>1.6942522799189852</v>
      </c>
      <c r="F64" s="2">
        <f>F9*'Output-Calculation-sheet'!F53/10^9</f>
        <v>0.70411645884905638</v>
      </c>
      <c r="G64" s="2">
        <f>G9*'Output-Calculation-sheet'!G53/10^9</f>
        <v>0.5054852124693251</v>
      </c>
      <c r="H64" s="2">
        <f>H9*'Output-Calculation-sheet'!H53/10^9</f>
        <v>0.97283468135769002</v>
      </c>
      <c r="I64" s="2">
        <f>I9*'Output-Calculation-sheet'!I53/10^9</f>
        <v>0.45318781476049985</v>
      </c>
      <c r="J64" s="2">
        <f>J9*'Output-Calculation-sheet'!J53/10^9</f>
        <v>0.48704358172597179</v>
      </c>
      <c r="K64" s="2">
        <f>K9*'Output-Calculation-sheet'!K53/10^9</f>
        <v>0.49765328717399943</v>
      </c>
      <c r="L64" s="2">
        <f>L9*'Output-Calculation-sheet'!L53/10^9</f>
        <v>0.51740523896814794</v>
      </c>
      <c r="M64" s="2">
        <f>M9*'Output-Calculation-sheet'!M53/10^9</f>
        <v>0.73579844532009775</v>
      </c>
      <c r="N64" s="2">
        <f>N9*'Output-Calculation-sheet'!N53/10^9</f>
        <v>0.62234969342015434</v>
      </c>
      <c r="O64" s="2">
        <f>O9*'Output-Calculation-sheet'!O53/10^9</f>
        <v>0.64484542920725318</v>
      </c>
      <c r="P64" s="2">
        <f>P9*'Output-Calculation-sheet'!P53/10^9</f>
        <v>0.53611693753821987</v>
      </c>
      <c r="Q64" s="2">
        <f>Q9*'Output-Calculation-sheet'!Q53/10^9</f>
        <v>0.50708551201620766</v>
      </c>
      <c r="R64" s="2">
        <f>R9*'Output-Calculation-sheet'!R53/10^9</f>
        <v>0.42650176330076517</v>
      </c>
      <c r="S64" s="2">
        <f>S9*'Output-Calculation-sheet'!S53/10^9</f>
        <v>0.39187133744578612</v>
      </c>
      <c r="T64" s="2">
        <f>T9*'Output-Calculation-sheet'!T53/10^9</f>
        <v>0.13935439876204753</v>
      </c>
      <c r="U64" s="2">
        <f>U9*'Output-Calculation-sheet'!U53/10^9</f>
        <v>0.13718786626401583</v>
      </c>
      <c r="V64" s="2">
        <f>V9*'Output-Calculation-sheet'!V53/10^9</f>
        <v>0.12211154598865055</v>
      </c>
      <c r="W64" s="2">
        <f>W9*'Output-Calculation-sheet'!W53/10^9</f>
        <v>6.4120960160400975E-2</v>
      </c>
      <c r="X64" s="2">
        <f>X9*'Output-Calculation-sheet'!X53/10^9</f>
        <v>0.10337624960772661</v>
      </c>
      <c r="Y64" s="2">
        <f>Y9*'Output-Calculation-sheet'!Y53/10^9</f>
        <v>5.3501398498629733E-2</v>
      </c>
      <c r="AA64" s="2">
        <f t="shared" si="4"/>
        <v>22.804487110173337</v>
      </c>
    </row>
    <row r="65" spans="1:27" x14ac:dyDescent="0.25">
      <c r="A65" s="2">
        <v>2033</v>
      </c>
      <c r="B65" s="2">
        <f>B10*'Output-Calculation-sheet'!B54/10^9</f>
        <v>7.9824860321360971</v>
      </c>
      <c r="C65" s="2">
        <f>C10*'Output-Calculation-sheet'!C54/10^9</f>
        <v>5.2462833477591806</v>
      </c>
      <c r="D65" s="2">
        <f>D10*'Output-Calculation-sheet'!D54/10^9</f>
        <v>1.4228479312739299</v>
      </c>
      <c r="E65" s="2">
        <f>E10*'Output-Calculation-sheet'!E54/10^9</f>
        <v>1.8120250759487073</v>
      </c>
      <c r="F65" s="2">
        <f>F10*'Output-Calculation-sheet'!F54/10^9</f>
        <v>0.77864281024403559</v>
      </c>
      <c r="G65" s="2">
        <f>G10*'Output-Calculation-sheet'!G54/10^9</f>
        <v>0.55435524692086868</v>
      </c>
      <c r="H65" s="2">
        <f>H10*'Output-Calculation-sheet'!H54/10^9</f>
        <v>1.3025818203037238</v>
      </c>
      <c r="I65" s="2">
        <f>I10*'Output-Calculation-sheet'!I54/10^9</f>
        <v>0.48605371349836723</v>
      </c>
      <c r="J65" s="2">
        <f>J10*'Output-Calculation-sheet'!J54/10^9</f>
        <v>0.57507871308511671</v>
      </c>
      <c r="K65" s="2">
        <f>K10*'Output-Calculation-sheet'!K54/10^9</f>
        <v>0.53812783665959718</v>
      </c>
      <c r="L65" s="2">
        <f>L10*'Output-Calculation-sheet'!L54/10^9</f>
        <v>0.55498818911447001</v>
      </c>
      <c r="M65" s="2">
        <f>M10*'Output-Calculation-sheet'!M54/10^9</f>
        <v>0.92621702638321124</v>
      </c>
      <c r="N65" s="2">
        <f>N10*'Output-Calculation-sheet'!N54/10^9</f>
        <v>0.7892322973472562</v>
      </c>
      <c r="O65" s="2">
        <f>O10*'Output-Calculation-sheet'!O54/10^9</f>
        <v>0.91832005790502291</v>
      </c>
      <c r="P65" s="2">
        <f>P10*'Output-Calculation-sheet'!P54/10^9</f>
        <v>0.58219502746468577</v>
      </c>
      <c r="Q65" s="2">
        <f>Q10*'Output-Calculation-sheet'!Q54/10^9</f>
        <v>0.57450722752508587</v>
      </c>
      <c r="R65" s="2">
        <f>R10*'Output-Calculation-sheet'!R54/10^9</f>
        <v>0.45544520495502033</v>
      </c>
      <c r="S65" s="2">
        <f>S10*'Output-Calculation-sheet'!S54/10^9</f>
        <v>0.45710998772073036</v>
      </c>
      <c r="T65" s="2">
        <f>T10*'Output-Calculation-sheet'!T54/10^9</f>
        <v>0.154231025306132</v>
      </c>
      <c r="U65" s="2">
        <f>U10*'Output-Calculation-sheet'!U54/10^9</f>
        <v>0.14812872018518233</v>
      </c>
      <c r="V65" s="2">
        <f>V10*'Output-Calculation-sheet'!V54/10^9</f>
        <v>0.17452992111641746</v>
      </c>
      <c r="W65" s="2">
        <f>W10*'Output-Calculation-sheet'!W54/10^9</f>
        <v>7.4590655155852989E-2</v>
      </c>
      <c r="X65" s="2">
        <f>X10*'Output-Calculation-sheet'!X54/10^9</f>
        <v>0.11990179959514906</v>
      </c>
      <c r="Y65" s="2">
        <f>Y10*'Output-Calculation-sheet'!Y54/10^9</f>
        <v>5.7863284731777868E-2</v>
      </c>
      <c r="AA65" s="2">
        <f t="shared" si="4"/>
        <v>26.685742952335612</v>
      </c>
    </row>
    <row r="66" spans="1:27" x14ac:dyDescent="0.25">
      <c r="A66" s="2">
        <v>2034</v>
      </c>
      <c r="B66" s="2">
        <f>B11*'Output-Calculation-sheet'!B55/10^9</f>
        <v>8.7370463306413875</v>
      </c>
      <c r="C66" s="2">
        <f>C11*'Output-Calculation-sheet'!C55/10^9</f>
        <v>5.8066364283746283</v>
      </c>
      <c r="D66" s="2">
        <f>D11*'Output-Calculation-sheet'!D55/10^9</f>
        <v>1.5806767155967105</v>
      </c>
      <c r="E66" s="2">
        <f>E11*'Output-Calculation-sheet'!E55/10^9</f>
        <v>2.0472288346644314</v>
      </c>
      <c r="F66" s="2">
        <f>F11*'Output-Calculation-sheet'!F55/10^9</f>
        <v>0.80568412643653597</v>
      </c>
      <c r="G66" s="2">
        <f>G11*'Output-Calculation-sheet'!G55/10^9</f>
        <v>0.58777906836529326</v>
      </c>
      <c r="H66" s="2">
        <f>H11*'Output-Calculation-sheet'!H55/10^9</f>
        <v>1.4668520813972272</v>
      </c>
      <c r="I66" s="2">
        <f>I11*'Output-Calculation-sheet'!I55/10^9</f>
        <v>0.54640839974185673</v>
      </c>
      <c r="J66" s="2">
        <f>J11*'Output-Calculation-sheet'!J55/10^9</f>
        <v>0.55015577099267943</v>
      </c>
      <c r="K66" s="2">
        <f>K11*'Output-Calculation-sheet'!K55/10^9</f>
        <v>0.62640179419058095</v>
      </c>
      <c r="L66" s="2">
        <f>L11*'Output-Calculation-sheet'!L55/10^9</f>
        <v>0.60728866786764579</v>
      </c>
      <c r="M66" s="2">
        <f>M11*'Output-Calculation-sheet'!M55/10^9</f>
        <v>1.0309211236691569</v>
      </c>
      <c r="N66" s="2">
        <f>N11*'Output-Calculation-sheet'!N55/10^9</f>
        <v>0.89619953284330045</v>
      </c>
      <c r="O66" s="2">
        <f>O11*'Output-Calculation-sheet'!O55/10^9</f>
        <v>1.0217889560429143</v>
      </c>
      <c r="P66" s="2">
        <f>P11*'Output-Calculation-sheet'!P55/10^9</f>
        <v>0.65521178332814478</v>
      </c>
      <c r="Q66" s="2">
        <f>Q11*'Output-Calculation-sheet'!Q55/10^9</f>
        <v>0.67395358718893195</v>
      </c>
      <c r="R66" s="2">
        <f>R11*'Output-Calculation-sheet'!R55/10^9</f>
        <v>0.4986457309047122</v>
      </c>
      <c r="S66" s="2">
        <f>S11*'Output-Calculation-sheet'!S55/10^9</f>
        <v>0.51762497782463179</v>
      </c>
      <c r="T66" s="2">
        <f>T11*'Output-Calculation-sheet'!T55/10^9</f>
        <v>0.1562356819101027</v>
      </c>
      <c r="U66" s="2">
        <f>U11*'Output-Calculation-sheet'!U55/10^9</f>
        <v>0.17004190984468509</v>
      </c>
      <c r="V66" s="2">
        <f>V11*'Output-Calculation-sheet'!V55/10^9</f>
        <v>0.14765715674198737</v>
      </c>
      <c r="W66" s="2">
        <f>W11*'Output-Calculation-sheet'!W55/10^9</f>
        <v>7.2337811152972428E-2</v>
      </c>
      <c r="X66" s="2">
        <f>X11*'Output-Calculation-sheet'!X55/10^9</f>
        <v>0.13517639653995348</v>
      </c>
      <c r="Y66" s="2">
        <f>Y11*'Output-Calculation-sheet'!Y55/10^9</f>
        <v>6.9407702132885468E-2</v>
      </c>
      <c r="AA66" s="2">
        <f t="shared" si="4"/>
        <v>29.407360568393358</v>
      </c>
    </row>
    <row r="67" spans="1:27" x14ac:dyDescent="0.25">
      <c r="A67" s="2">
        <v>2035</v>
      </c>
      <c r="B67" s="2">
        <f>B12*'Output-Calculation-sheet'!B56/10^9</f>
        <v>10.048559407497114</v>
      </c>
      <c r="C67" s="2">
        <f>C12*'Output-Calculation-sheet'!C56/10^9</f>
        <v>6.3499399480993981</v>
      </c>
      <c r="D67" s="2">
        <f>D12*'Output-Calculation-sheet'!D56/10^9</f>
        <v>1.9931280024499416</v>
      </c>
      <c r="E67" s="2">
        <f>E12*'Output-Calculation-sheet'!E56/10^9</f>
        <v>2.7257136481543447</v>
      </c>
      <c r="F67" s="2">
        <f>F12*'Output-Calculation-sheet'!F56/10^9</f>
        <v>1.0682985846235586</v>
      </c>
      <c r="G67" s="2">
        <f>G12*'Output-Calculation-sheet'!G56/10^9</f>
        <v>0.78822135008000815</v>
      </c>
      <c r="H67" s="2">
        <f>H12*'Output-Calculation-sheet'!H56/10^9</f>
        <v>1.676078357324948</v>
      </c>
      <c r="I67" s="2">
        <f>I12*'Output-Calculation-sheet'!I56/10^9</f>
        <v>0.72220493936259322</v>
      </c>
      <c r="J67" s="2">
        <f>J12*'Output-Calculation-sheet'!J56/10^9</f>
        <v>0.66069465237915315</v>
      </c>
      <c r="K67" s="2">
        <f>K12*'Output-Calculation-sheet'!K56/10^9</f>
        <v>0.79159491652450142</v>
      </c>
      <c r="L67" s="2">
        <f>L12*'Output-Calculation-sheet'!L56/10^9</f>
        <v>0.73800387355977981</v>
      </c>
      <c r="M67" s="2">
        <f>M12*'Output-Calculation-sheet'!M56/10^9</f>
        <v>1.1859074891329895</v>
      </c>
      <c r="N67" s="2">
        <f>N12*'Output-Calculation-sheet'!N56/10^9</f>
        <v>1.0128749352700701</v>
      </c>
      <c r="O67" s="2">
        <f>O12*'Output-Calculation-sheet'!O56/10^9</f>
        <v>1.1202818181881149</v>
      </c>
      <c r="P67" s="2">
        <f>P12*'Output-Calculation-sheet'!P56/10^9</f>
        <v>0.82197116832289108</v>
      </c>
      <c r="Q67" s="2">
        <f>Q12*'Output-Calculation-sheet'!Q56/10^9</f>
        <v>0.77647526607049799</v>
      </c>
      <c r="R67" s="2">
        <f>R12*'Output-Calculation-sheet'!R56/10^9</f>
        <v>0.60971960939879211</v>
      </c>
      <c r="S67" s="2">
        <f>S12*'Output-Calculation-sheet'!S56/10^9</f>
        <v>0.58858673914074222</v>
      </c>
      <c r="T67" s="2">
        <f>T12*'Output-Calculation-sheet'!T56/10^9</f>
        <v>0.18959819254989474</v>
      </c>
      <c r="U67" s="2">
        <f>U12*'Output-Calculation-sheet'!U56/10^9</f>
        <v>0.20498275338640601</v>
      </c>
      <c r="V67" s="2">
        <f>V12*'Output-Calculation-sheet'!V56/10^9</f>
        <v>0.14633260334192136</v>
      </c>
      <c r="W67" s="2">
        <f>W12*'Output-Calculation-sheet'!W56/10^9</f>
        <v>9.9230127201777721E-2</v>
      </c>
      <c r="X67" s="2">
        <f>X12*'Output-Calculation-sheet'!X56/10^9</f>
        <v>0.1540410767833216</v>
      </c>
      <c r="Y67" s="2">
        <f>Y12*'Output-Calculation-sheet'!Y56/10^9</f>
        <v>9.2591786620029967E-2</v>
      </c>
      <c r="AA67" s="2">
        <f t="shared" si="4"/>
        <v>34.565031245462784</v>
      </c>
    </row>
    <row r="68" spans="1:27" x14ac:dyDescent="0.25">
      <c r="B68" s="2">
        <f>SUM(B60:B67)</f>
        <v>55.581519854182638</v>
      </c>
      <c r="C68" s="2">
        <f t="shared" ref="C68:Y68" si="5">SUM(C60:C67)</f>
        <v>31.99237665294223</v>
      </c>
      <c r="D68" s="2">
        <f t="shared" si="5"/>
        <v>10.098002063019598</v>
      </c>
      <c r="E68" s="2">
        <f t="shared" si="5"/>
        <v>13.152383266473732</v>
      </c>
      <c r="F68" s="2">
        <f t="shared" si="5"/>
        <v>5.3869601090629535</v>
      </c>
      <c r="G68" s="2">
        <f t="shared" si="5"/>
        <v>3.8903523099005466</v>
      </c>
      <c r="H68" s="2">
        <f t="shared" si="5"/>
        <v>8.2325969437240722</v>
      </c>
      <c r="I68" s="2">
        <f t="shared" si="5"/>
        <v>3.512190196505006</v>
      </c>
      <c r="J68" s="2">
        <f t="shared" si="5"/>
        <v>3.6755021105924208</v>
      </c>
      <c r="K68" s="2">
        <f t="shared" si="5"/>
        <v>3.8849178631450427</v>
      </c>
      <c r="L68" s="2">
        <f t="shared" si="5"/>
        <v>3.9069755310895165</v>
      </c>
      <c r="M68" s="2">
        <f t="shared" si="5"/>
        <v>6.006210751592052</v>
      </c>
      <c r="N68" s="2">
        <f t="shared" si="5"/>
        <v>5.1166080749095784</v>
      </c>
      <c r="O68" s="2">
        <f t="shared" si="5"/>
        <v>5.5607521777776645</v>
      </c>
      <c r="P68" s="2">
        <f t="shared" si="5"/>
        <v>4.1346389917733894</v>
      </c>
      <c r="Q68" s="2">
        <f t="shared" si="5"/>
        <v>3.9884765750107394</v>
      </c>
      <c r="R68" s="2">
        <f t="shared" si="5"/>
        <v>3.2193463638375546</v>
      </c>
      <c r="S68" s="2">
        <f t="shared" si="5"/>
        <v>3.0844574228129868</v>
      </c>
      <c r="T68" s="2">
        <f t="shared" si="5"/>
        <v>1.0441021684059768</v>
      </c>
      <c r="U68" s="2">
        <f t="shared" si="5"/>
        <v>1.054361056352711</v>
      </c>
      <c r="V68" s="2">
        <f t="shared" si="5"/>
        <v>0.94999653634877446</v>
      </c>
      <c r="W68" s="2">
        <f t="shared" si="5"/>
        <v>0.4950996621416543</v>
      </c>
      <c r="X68" s="2">
        <f t="shared" si="5"/>
        <v>0.81091309577377768</v>
      </c>
      <c r="Y68" s="2">
        <f t="shared" si="5"/>
        <v>0.42711651063828393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51.631601459321978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45.959900559800396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182.35846578344092</v>
      </c>
      <c r="S74" s="2">
        <f>S8/'Output-Calculation-sheet'!S7*'Output-Calculation-sheet'!S61</f>
        <v>0</v>
      </c>
      <c r="T74" s="2">
        <f>T8/'Output-Calculation-sheet'!T7*'Output-Calculation-sheet'!T61</f>
        <v>134.33892314063971</v>
      </c>
      <c r="U74" s="2">
        <f>U8/'Output-Calculation-sheet'!U7*'Output-Calculation-sheet'!U61</f>
        <v>17.017607089624065</v>
      </c>
      <c r="V74" s="2">
        <f>V8/'Output-Calculation-sheet'!V7*'Output-Calculation-sheet'!V61</f>
        <v>154.20180718776047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0.5855083052205875</v>
      </c>
    </row>
    <row r="75" spans="1:27" x14ac:dyDescent="0.25">
      <c r="A75" s="2">
        <v>2032</v>
      </c>
      <c r="B75" s="2">
        <f>B9/'Output-Calculation-sheet'!B8*'Output-Calculation-sheet'!B62</f>
        <v>558.66704565354701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113.3025060128366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90.778923571683563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240.19866287992545</v>
      </c>
      <c r="S75" s="2">
        <f>S9/'Output-Calculation-sheet'!S8*'Output-Calculation-sheet'!S62</f>
        <v>0</v>
      </c>
      <c r="T75" s="2">
        <f>T9/'Output-Calculation-sheet'!T8*'Output-Calculation-sheet'!T62</f>
        <v>158.65690829063749</v>
      </c>
      <c r="U75" s="2">
        <f>U9/'Output-Calculation-sheet'!U8*'Output-Calculation-sheet'!U62</f>
        <v>32.431535158417454</v>
      </c>
      <c r="V75" s="2">
        <f>V9/'Output-Calculation-sheet'!V8*'Output-Calculation-sheet'!V62</f>
        <v>169.95595460975065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1.3639915361767982</v>
      </c>
    </row>
    <row r="76" spans="1:27" x14ac:dyDescent="0.25">
      <c r="A76" s="2">
        <v>2033</v>
      </c>
      <c r="B76" s="2">
        <f>B10/'Output-Calculation-sheet'!B9*'Output-Calculation-sheet'!B63</f>
        <v>5673.728148953126</v>
      </c>
      <c r="C76" s="2">
        <f>C10/'Output-Calculation-sheet'!C9*'Output-Calculation-sheet'!C63</f>
        <v>11588.346451369713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3694.7800238724058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2515.770449840104</v>
      </c>
      <c r="N76" s="2">
        <f>N10/'Output-Calculation-sheet'!N9*'Output-Calculation-sheet'!N63</f>
        <v>1437.1194734554545</v>
      </c>
      <c r="O76" s="2">
        <f>O10/'Output-Calculation-sheet'!O9*'Output-Calculation-sheet'!O63</f>
        <v>0</v>
      </c>
      <c r="P76" s="2">
        <f>P10/'Output-Calculation-sheet'!P9*'Output-Calculation-sheet'!P63</f>
        <v>499.04120753774629</v>
      </c>
      <c r="Q76" s="2">
        <f>Q10/'Output-Calculation-sheet'!Q9*'Output-Calculation-sheet'!Q63</f>
        <v>225.08763961599502</v>
      </c>
      <c r="R76" s="2">
        <f>R10/'Output-Calculation-sheet'!R9*'Output-Calculation-sheet'!R63</f>
        <v>380.34918652317094</v>
      </c>
      <c r="S76" s="2">
        <f>S10/'Output-Calculation-sheet'!S9*'Output-Calculation-sheet'!S63</f>
        <v>639.05348761418259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134.40227737583095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296.24984678195784</v>
      </c>
      <c r="Y76" s="2">
        <f>Y10/'Output-Calculation-sheet'!Y9*'Output-Calculation-sheet'!Y63</f>
        <v>5.6202394244599558</v>
      </c>
      <c r="AA76" s="2">
        <f t="shared" si="6"/>
        <v>27.222571115484058</v>
      </c>
    </row>
    <row r="77" spans="1:27" x14ac:dyDescent="0.25">
      <c r="A77" s="2">
        <v>2034</v>
      </c>
      <c r="B77" s="2">
        <f>B11/'Output-Calculation-sheet'!B10*'Output-Calculation-sheet'!B64</f>
        <v>14558.492125870942</v>
      </c>
      <c r="C77" s="2">
        <f>C11/'Output-Calculation-sheet'!C10*'Output-Calculation-sheet'!C64</f>
        <v>12789.054692205496</v>
      </c>
      <c r="D77" s="2">
        <f>D11/'Output-Calculation-sheet'!D10*'Output-Calculation-sheet'!D64</f>
        <v>1794.403772327895</v>
      </c>
      <c r="E77" s="2">
        <f>E11/'Output-Calculation-sheet'!E10*'Output-Calculation-sheet'!E64</f>
        <v>2217.2596670889393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947.45002643569296</v>
      </c>
      <c r="H77" s="2">
        <f>H11/'Output-Calculation-sheet'!H10*'Output-Calculation-sheet'!H64</f>
        <v>4694.1210144542865</v>
      </c>
      <c r="I77" s="2">
        <f>I11/'Output-Calculation-sheet'!I10*'Output-Calculation-sheet'!I64</f>
        <v>558.93969275074221</v>
      </c>
      <c r="J77" s="2">
        <f>J11/'Output-Calculation-sheet'!J10*'Output-Calculation-sheet'!J64</f>
        <v>398.43810697439301</v>
      </c>
      <c r="K77" s="2">
        <f>K11/'Output-Calculation-sheet'!K10*'Output-Calculation-sheet'!K64</f>
        <v>844.7774016626538</v>
      </c>
      <c r="L77" s="2">
        <f>L11/'Output-Calculation-sheet'!L10*'Output-Calculation-sheet'!L64</f>
        <v>366.79916841880299</v>
      </c>
      <c r="M77" s="2">
        <f>M11/'Output-Calculation-sheet'!M10*'Output-Calculation-sheet'!M64</f>
        <v>3338.6976034474574</v>
      </c>
      <c r="N77" s="2">
        <f>N11/'Output-Calculation-sheet'!N10*'Output-Calculation-sheet'!N64</f>
        <v>2375.4013486984718</v>
      </c>
      <c r="O77" s="2">
        <f>O11/'Output-Calculation-sheet'!O10*'Output-Calculation-sheet'!O64</f>
        <v>82.819693532446308</v>
      </c>
      <c r="P77" s="2">
        <f>P11/'Output-Calculation-sheet'!P10*'Output-Calculation-sheet'!P64</f>
        <v>1048.4140966019752</v>
      </c>
      <c r="Q77" s="2">
        <f>Q11/'Output-Calculation-sheet'!Q10*'Output-Calculation-sheet'!Q64</f>
        <v>598.2472366953541</v>
      </c>
      <c r="R77" s="2">
        <f>R11/'Output-Calculation-sheet'!R10*'Output-Calculation-sheet'!R64</f>
        <v>897.16855716357111</v>
      </c>
      <c r="S77" s="2">
        <f>S11/'Output-Calculation-sheet'!S10*'Output-Calculation-sheet'!S64</f>
        <v>1199.5646775044124</v>
      </c>
      <c r="T77" s="2">
        <f>T11/'Output-Calculation-sheet'!T10*'Output-Calculation-sheet'!T64</f>
        <v>246.82472745234935</v>
      </c>
      <c r="U77" s="2">
        <f>U11/'Output-Calculation-sheet'!U10*'Output-Calculation-sheet'!U64</f>
        <v>328.05887736607804</v>
      </c>
      <c r="V77" s="2">
        <f>V11/'Output-Calculation-sheet'!V10*'Output-Calculation-sheet'!V64</f>
        <v>130.77422757014355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339.24711755892019</v>
      </c>
      <c r="Y77" s="2">
        <f>Y11/'Output-Calculation-sheet'!Y10*'Output-Calculation-sheet'!Y64</f>
        <v>82.140723336664976</v>
      </c>
      <c r="AA77" s="2">
        <f t="shared" si="6"/>
        <v>50.002781866966608</v>
      </c>
    </row>
    <row r="78" spans="1:27" x14ac:dyDescent="0.25">
      <c r="A78" s="2">
        <v>2035</v>
      </c>
      <c r="B78" s="2">
        <f>B12/'Output-Calculation-sheet'!B11*'Output-Calculation-sheet'!B65</f>
        <v>19446.756141625156</v>
      </c>
      <c r="C78" s="2">
        <f>C12/'Output-Calculation-sheet'!C11*'Output-Calculation-sheet'!C65</f>
        <v>13732.886720311217</v>
      </c>
      <c r="D78" s="2">
        <f>D12/'Output-Calculation-sheet'!D11*'Output-Calculation-sheet'!D65</f>
        <v>2064.5843360325407</v>
      </c>
      <c r="E78" s="2">
        <f>E12/'Output-Calculation-sheet'!E11*'Output-Calculation-sheet'!E65</f>
        <v>3924.7199371299662</v>
      </c>
      <c r="F78" s="2">
        <f>F12/'Output-Calculation-sheet'!F11*'Output-Calculation-sheet'!F65</f>
        <v>831.32626273130563</v>
      </c>
      <c r="G78" s="2">
        <f>G12/'Output-Calculation-sheet'!G11*'Output-Calculation-sheet'!G65</f>
        <v>1559.8848439192002</v>
      </c>
      <c r="H78" s="2">
        <f>H12/'Output-Calculation-sheet'!H11*'Output-Calculation-sheet'!H65</f>
        <v>5022.213917890047</v>
      </c>
      <c r="I78" s="2">
        <f>I12/'Output-Calculation-sheet'!I11*'Output-Calculation-sheet'!I65</f>
        <v>917.26163309558535</v>
      </c>
      <c r="J78" s="2">
        <f>J12/'Output-Calculation-sheet'!J11*'Output-Calculation-sheet'!J65</f>
        <v>822.62928095126074</v>
      </c>
      <c r="K78" s="2">
        <f>K12/'Output-Calculation-sheet'!K11*'Output-Calculation-sheet'!K65</f>
        <v>1038.1183162775865</v>
      </c>
      <c r="L78" s="2">
        <f>L12/'Output-Calculation-sheet'!L11*'Output-Calculation-sheet'!L65</f>
        <v>617.25158620244156</v>
      </c>
      <c r="M78" s="2">
        <f>M12/'Output-Calculation-sheet'!M11*'Output-Calculation-sheet'!M65</f>
        <v>3574.9622110401224</v>
      </c>
      <c r="N78" s="2">
        <f>N12/'Output-Calculation-sheet'!N11*'Output-Calculation-sheet'!N65</f>
        <v>2513.775751277904</v>
      </c>
      <c r="O78" s="2">
        <f>O12/'Output-Calculation-sheet'!O11*'Output-Calculation-sheet'!O65</f>
        <v>352.39887345725663</v>
      </c>
      <c r="P78" s="2">
        <f>P12/'Output-Calculation-sheet'!P11*'Output-Calculation-sheet'!P65</f>
        <v>1429.0549695879154</v>
      </c>
      <c r="Q78" s="2">
        <f>Q12/'Output-Calculation-sheet'!Q11*'Output-Calculation-sheet'!Q65</f>
        <v>718.8004720205696</v>
      </c>
      <c r="R78" s="2">
        <f>R12/'Output-Calculation-sheet'!R11*'Output-Calculation-sheet'!R65</f>
        <v>1184.8006667360273</v>
      </c>
      <c r="S78" s="2">
        <f>S12/'Output-Calculation-sheet'!S11*'Output-Calculation-sheet'!S65</f>
        <v>1336.6380129829881</v>
      </c>
      <c r="T78" s="2">
        <f>T12/'Output-Calculation-sheet'!T11*'Output-Calculation-sheet'!T65</f>
        <v>426.02674651844654</v>
      </c>
      <c r="U78" s="2">
        <f>U12/'Output-Calculation-sheet'!U11*'Output-Calculation-sheet'!U65</f>
        <v>365.02605400713065</v>
      </c>
      <c r="V78" s="2">
        <f>V12/'Output-Calculation-sheet'!V11*'Output-Calculation-sheet'!V65</f>
        <v>229.91772049832778</v>
      </c>
      <c r="W78" s="2">
        <f>W12/'Output-Calculation-sheet'!W11*'Output-Calculation-sheet'!W65</f>
        <v>161.93838539454595</v>
      </c>
      <c r="X78" s="2">
        <f>X12/'Output-Calculation-sheet'!X11*'Output-Calculation-sheet'!X65</f>
        <v>368.46196242598137</v>
      </c>
      <c r="Y78" s="2">
        <f>Y12/'Output-Calculation-sheet'!Y11*'Output-Calculation-sheet'!Y65</f>
        <v>158.06792987948265</v>
      </c>
      <c r="AA78" s="2">
        <f t="shared" si="6"/>
        <v>62.797502731993006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418.24616347384097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406.26988894216777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0.82451605241600878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886.75094720567836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34.121194824922853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23.478720989637608</v>
      </c>
      <c r="N88" s="2">
        <f>N11/'Output-Calculation-sheet'!N10*'Output-Calculation-sheet'!N73</f>
        <v>0</v>
      </c>
      <c r="O88" s="2">
        <f>O11/'Output-Calculation-sheet'!O10*'Output-Calculation-sheet'!O73</f>
        <v>495.28157858717242</v>
      </c>
      <c r="P88" s="2">
        <f>P11/'Output-Calculation-sheet'!P10*'Output-Calculation-sheet'!P73</f>
        <v>0</v>
      </c>
      <c r="Q88" s="2">
        <f>Q11/'Output-Calculation-sheet'!Q10*'Output-Calculation-sheet'!Q73</f>
        <v>20.217885660539171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2.5756735723314521</v>
      </c>
      <c r="Y88" s="2">
        <f>Y11/'Output-Calculation-sheet'!Y10*'Output-Calculation-sheet'!Y73</f>
        <v>0</v>
      </c>
      <c r="AA88" s="2">
        <f t="shared" si="7"/>
        <v>1.4624260008402818</v>
      </c>
    </row>
    <row r="89" spans="1:27" x14ac:dyDescent="0.25">
      <c r="A89" s="2">
        <v>2035</v>
      </c>
      <c r="B89" s="2">
        <f>B12/'Output-Calculation-sheet'!B11*'Output-Calculation-sheet'!B74</f>
        <v>490.20080516309537</v>
      </c>
      <c r="C89" s="2">
        <f>C12/'Output-Calculation-sheet'!C11*'Output-Calculation-sheet'!C74</f>
        <v>1512.2915296274139</v>
      </c>
      <c r="D89" s="2">
        <f>D12/'Output-Calculation-sheet'!D11*'Output-Calculation-sheet'!D74</f>
        <v>206.09776251884611</v>
      </c>
      <c r="E89" s="2">
        <f>E12/'Output-Calculation-sheet'!E11*'Output-Calculation-sheet'!E74</f>
        <v>163.79274824739545</v>
      </c>
      <c r="F89" s="2">
        <f>F12/'Output-Calculation-sheet'!F11*'Output-Calculation-sheet'!F74</f>
        <v>51.507203391035041</v>
      </c>
      <c r="G89" s="2">
        <f>G12/'Output-Calculation-sheet'!G11*'Output-Calculation-sheet'!G74</f>
        <v>73.931695526764315</v>
      </c>
      <c r="H89" s="2">
        <f>H12/'Output-Calculation-sheet'!H11*'Output-Calculation-sheet'!H74</f>
        <v>179.05016606142229</v>
      </c>
      <c r="I89" s="2">
        <f>I12/'Output-Calculation-sheet'!I11*'Output-Calculation-sheet'!I74</f>
        <v>66.497146084934414</v>
      </c>
      <c r="J89" s="2">
        <f>J12/'Output-Calculation-sheet'!J11*'Output-Calculation-sheet'!J74</f>
        <v>32.905171238050428</v>
      </c>
      <c r="K89" s="2">
        <f>K12/'Output-Calculation-sheet'!K11*'Output-Calculation-sheet'!K74</f>
        <v>65.356227416115999</v>
      </c>
      <c r="L89" s="2">
        <f>L12/'Output-Calculation-sheet'!L11*'Output-Calculation-sheet'!L74</f>
        <v>51.968140282251447</v>
      </c>
      <c r="M89" s="2">
        <f>M12/'Output-Calculation-sheet'!M11*'Output-Calculation-sheet'!M74</f>
        <v>98.563228249763853</v>
      </c>
      <c r="N89" s="2">
        <f>N12/'Output-Calculation-sheet'!N11*'Output-Calculation-sheet'!N74</f>
        <v>72.653878242680122</v>
      </c>
      <c r="O89" s="2">
        <f>O12/'Output-Calculation-sheet'!O11*'Output-Calculation-sheet'!O74</f>
        <v>587.59512023912475</v>
      </c>
      <c r="P89" s="2">
        <f>P12/'Output-Calculation-sheet'!P11*'Output-Calculation-sheet'!P74</f>
        <v>44.746061608413918</v>
      </c>
      <c r="Q89" s="2">
        <f>Q12/'Output-Calculation-sheet'!Q11*'Output-Calculation-sheet'!Q74</f>
        <v>63.655727242345876</v>
      </c>
      <c r="R89" s="2">
        <f>R12/'Output-Calculation-sheet'!R11*'Output-Calculation-sheet'!R74</f>
        <v>42.084348621320196</v>
      </c>
      <c r="S89" s="2">
        <f>S12/'Output-Calculation-sheet'!S11*'Output-Calculation-sheet'!S74</f>
        <v>41.647598086339755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13.540044289741113</v>
      </c>
      <c r="V89" s="2">
        <f>V12/'Output-Calculation-sheet'!V11*'Output-Calculation-sheet'!V74</f>
        <v>5.2203010807240151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16.21894367576289</v>
      </c>
      <c r="Y89" s="2">
        <f>Y12/'Output-Calculation-sheet'!Y11*'Output-Calculation-sheet'!Y74</f>
        <v>5.2171938238957889</v>
      </c>
      <c r="AA89" s="2">
        <f t="shared" si="7"/>
        <v>3.8970462940477102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14941279800.672394</v>
      </c>
      <c r="C96" s="2">
        <f>C8/'Output-Calculation-sheet'!C7*'Output-Calculation-sheet'!C79</f>
        <v>1839113330.6167381</v>
      </c>
      <c r="D96" s="2">
        <f>D8/'Output-Calculation-sheet'!D7*'Output-Calculation-sheet'!D79</f>
        <v>6512863410.7729378</v>
      </c>
      <c r="E96" s="2">
        <f>E8/'Output-Calculation-sheet'!E7*'Output-Calculation-sheet'!E79</f>
        <v>11135524684.514994</v>
      </c>
      <c r="F96" s="2">
        <f>F8/'Output-Calculation-sheet'!F7*'Output-Calculation-sheet'!F79</f>
        <v>5011357752.771656</v>
      </c>
      <c r="G96" s="2">
        <f>G8/'Output-Calculation-sheet'!G7*'Output-Calculation-sheet'!G79</f>
        <v>3806353808.5439539</v>
      </c>
      <c r="H96" s="2">
        <f>H8/'Output-Calculation-sheet'!H7*'Output-Calculation-sheet'!H79</f>
        <v>1107398158.3535652</v>
      </c>
      <c r="I96" s="2">
        <f>I8/'Output-Calculation-sheet'!I7*'Output-Calculation-sheet'!I79</f>
        <v>2553198918.3983922</v>
      </c>
      <c r="J96" s="2">
        <f>J8/'Output-Calculation-sheet'!J7*'Output-Calculation-sheet'!J79</f>
        <v>1891964644.6989677</v>
      </c>
      <c r="K96" s="2">
        <f>K8/'Output-Calculation-sheet'!K7*'Output-Calculation-sheet'!K79</f>
        <v>2187586763.9508858</v>
      </c>
      <c r="L96" s="2">
        <f>L8/'Output-Calculation-sheet'!L7*'Output-Calculation-sheet'!L79</f>
        <v>1740185075.3488746</v>
      </c>
      <c r="M96" s="2">
        <f>M8/'Output-Calculation-sheet'!M7*'Output-Calculation-sheet'!M79</f>
        <v>860903244.64484334</v>
      </c>
      <c r="N96" s="2">
        <f>N8/'Output-Calculation-sheet'!N7*'Output-Calculation-sheet'!N79</f>
        <v>874332662.17403448</v>
      </c>
      <c r="O96" s="2">
        <f>O8/'Output-Calculation-sheet'!O7*'Output-Calculation-sheet'!O79</f>
        <v>213424684.66097447</v>
      </c>
      <c r="P96" s="2">
        <f>P8/'Output-Calculation-sheet'!P7*'Output-Calculation-sheet'!P79</f>
        <v>2325424302.8945069</v>
      </c>
      <c r="Q96" s="2">
        <f>Q8/'Output-Calculation-sheet'!Q7*'Output-Calculation-sheet'!Q79</f>
        <v>1031166792.0603082</v>
      </c>
      <c r="R96" s="2">
        <f>R8/'Output-Calculation-sheet'!R7*'Output-Calculation-sheet'!R79</f>
        <v>1568903501.5272603</v>
      </c>
      <c r="S96" s="2">
        <f>S8/'Output-Calculation-sheet'!S7*'Output-Calculation-sheet'!S79</f>
        <v>613240254.43138134</v>
      </c>
      <c r="T96" s="2">
        <f>T8/'Output-Calculation-sheet'!T7*'Output-Calculation-sheet'!T79</f>
        <v>830523060.39418685</v>
      </c>
      <c r="U96" s="2">
        <f>U8/'Output-Calculation-sheet'!U7*'Output-Calculation-sheet'!U79</f>
        <v>412497659.9214747</v>
      </c>
      <c r="V96" s="2">
        <f>V8/'Output-Calculation-sheet'!V7*'Output-Calculation-sheet'!V79</f>
        <v>303956780.35856831</v>
      </c>
      <c r="W96" s="2">
        <f>W8/'Output-Calculation-sheet'!W7*'Output-Calculation-sheet'!W79</f>
        <v>809754188.49071229</v>
      </c>
      <c r="X96" s="2">
        <f>X8/'Output-Calculation-sheet'!X7*'Output-Calculation-sheet'!X79</f>
        <v>95954108.645467833</v>
      </c>
      <c r="Y96" s="2">
        <f>Y8/'Output-Calculation-sheet'!Y7*'Output-Calculation-sheet'!Y79</f>
        <v>363407733.04681718</v>
      </c>
      <c r="AA96" s="2">
        <f t="shared" si="8"/>
        <v>63.030315321893916</v>
      </c>
    </row>
    <row r="97" spans="1:27" x14ac:dyDescent="0.25">
      <c r="A97" s="2">
        <v>2032</v>
      </c>
      <c r="B97" s="2">
        <f>B9/'Output-Calculation-sheet'!B8*'Output-Calculation-sheet'!B80</f>
        <v>16616302270.649033</v>
      </c>
      <c r="C97" s="2">
        <f>C9/'Output-Calculation-sheet'!C8*'Output-Calculation-sheet'!C80</f>
        <v>2087560053.5623581</v>
      </c>
      <c r="D97" s="2">
        <f>D9/'Output-Calculation-sheet'!D8*'Output-Calculation-sheet'!D80</f>
        <v>6875369734.9372826</v>
      </c>
      <c r="E97" s="2">
        <f>E9/'Output-Calculation-sheet'!E8*'Output-Calculation-sheet'!E80</f>
        <v>12104813853.514509</v>
      </c>
      <c r="F97" s="2">
        <f>F9/'Output-Calculation-sheet'!F8*'Output-Calculation-sheet'!F80</f>
        <v>5434990123.1991148</v>
      </c>
      <c r="G97" s="2">
        <f>G9/'Output-Calculation-sheet'!G8*'Output-Calculation-sheet'!G80</f>
        <v>4022876154.7262058</v>
      </c>
      <c r="H97" s="2">
        <f>H9/'Output-Calculation-sheet'!H8*'Output-Calculation-sheet'!H80</f>
        <v>1218957475.8851757</v>
      </c>
      <c r="I97" s="2">
        <f>I9/'Output-Calculation-sheet'!I8*'Output-Calculation-sheet'!I80</f>
        <v>2794174565.3584352</v>
      </c>
      <c r="J97" s="2">
        <f>J9/'Output-Calculation-sheet'!J8*'Output-Calculation-sheet'!J80</f>
        <v>2016160243.8616555</v>
      </c>
      <c r="K97" s="2">
        <f>K9/'Output-Calculation-sheet'!K8*'Output-Calculation-sheet'!K80</f>
        <v>2346869882.7830791</v>
      </c>
      <c r="L97" s="2">
        <f>L9/'Output-Calculation-sheet'!L8*'Output-Calculation-sheet'!L80</f>
        <v>1924299613.4817741</v>
      </c>
      <c r="M97" s="2">
        <f>M9/'Output-Calculation-sheet'!M8*'Output-Calculation-sheet'!M80</f>
        <v>947473838.02097833</v>
      </c>
      <c r="N97" s="2">
        <f>N9/'Output-Calculation-sheet'!N8*'Output-Calculation-sheet'!N80</f>
        <v>939066901.85429108</v>
      </c>
      <c r="O97" s="2">
        <f>O9/'Output-Calculation-sheet'!O8*'Output-Calculation-sheet'!O80</f>
        <v>245078790.57589602</v>
      </c>
      <c r="P97" s="2">
        <f>P9/'Output-Calculation-sheet'!P8*'Output-Calculation-sheet'!P80</f>
        <v>2492322912.364747</v>
      </c>
      <c r="Q97" s="2">
        <f>Q9/'Output-Calculation-sheet'!Q8*'Output-Calculation-sheet'!Q80</f>
        <v>1108228175.670727</v>
      </c>
      <c r="R97" s="2">
        <f>R9/'Output-Calculation-sheet'!R8*'Output-Calculation-sheet'!R80</f>
        <v>1724566182.5428808</v>
      </c>
      <c r="S97" s="2">
        <f>S9/'Output-Calculation-sheet'!S8*'Output-Calculation-sheet'!S80</f>
        <v>665111012.42814136</v>
      </c>
      <c r="T97" s="2">
        <f>T9/'Output-Calculation-sheet'!T8*'Output-Calculation-sheet'!T80</f>
        <v>889320956.84315443</v>
      </c>
      <c r="U97" s="2">
        <f>U9/'Output-Calculation-sheet'!U8*'Output-Calculation-sheet'!U80</f>
        <v>451349136.63448346</v>
      </c>
      <c r="V97" s="2">
        <f>V9/'Output-Calculation-sheet'!V8*'Output-Calculation-sheet'!V80</f>
        <v>332477144.312953</v>
      </c>
      <c r="W97" s="2">
        <f>W9/'Output-Calculation-sheet'!W8*'Output-Calculation-sheet'!W80</f>
        <v>869479195.89358509</v>
      </c>
      <c r="X97" s="2">
        <f>X9/'Output-Calculation-sheet'!X8*'Output-Calculation-sheet'!X80</f>
        <v>106477026.14169689</v>
      </c>
      <c r="Y97" s="2">
        <f>Y9/'Output-Calculation-sheet'!Y8*'Output-Calculation-sheet'!Y80</f>
        <v>390435521.68943834</v>
      </c>
      <c r="AA97" s="2">
        <f t="shared" si="8"/>
        <v>68.6037607669316</v>
      </c>
    </row>
    <row r="98" spans="1:27" x14ac:dyDescent="0.25">
      <c r="A98" s="2">
        <v>2033</v>
      </c>
      <c r="B98" s="2">
        <f>B10/'Output-Calculation-sheet'!B9*'Output-Calculation-sheet'!B81</f>
        <v>20672327868.146263</v>
      </c>
      <c r="C98" s="2">
        <f>C10/'Output-Calculation-sheet'!C9*'Output-Calculation-sheet'!C81</f>
        <v>7087499107.1484756</v>
      </c>
      <c r="D98" s="2">
        <f>D10/'Output-Calculation-sheet'!D9*'Output-Calculation-sheet'!D81</f>
        <v>6745140471.5650434</v>
      </c>
      <c r="E98" s="2">
        <f>E10/'Output-Calculation-sheet'!E9*'Output-Calculation-sheet'!E81</f>
        <v>12688033629.405037</v>
      </c>
      <c r="F98" s="2">
        <f>F10/'Output-Calculation-sheet'!F9*'Output-Calculation-sheet'!F81</f>
        <v>5232851752.2769814</v>
      </c>
      <c r="G98" s="2">
        <f>G10/'Output-Calculation-sheet'!G9*'Output-Calculation-sheet'!G81</f>
        <v>3842119861.4678059</v>
      </c>
      <c r="H98" s="2">
        <f>H10/'Output-Calculation-sheet'!H9*'Output-Calculation-sheet'!H81</f>
        <v>3480991985.5540805</v>
      </c>
      <c r="I98" s="2">
        <f>I10/'Output-Calculation-sheet'!I9*'Output-Calculation-sheet'!I81</f>
        <v>2893732019.4618444</v>
      </c>
      <c r="J98" s="2">
        <f>J10/'Output-Calculation-sheet'!J9*'Output-Calculation-sheet'!J81</f>
        <v>1850325188.7750025</v>
      </c>
      <c r="K98" s="2">
        <f>K10/'Output-Calculation-sheet'!K9*'Output-Calculation-sheet'!K81</f>
        <v>2687670714.7597613</v>
      </c>
      <c r="L98" s="2">
        <f>L10/'Output-Calculation-sheet'!L9*'Output-Calculation-sheet'!L81</f>
        <v>2015793267.4360693</v>
      </c>
      <c r="M98" s="2">
        <f>M10/'Output-Calculation-sheet'!M9*'Output-Calculation-sheet'!M81</f>
        <v>2614078827.3740668</v>
      </c>
      <c r="N98" s="2">
        <f>N10/'Output-Calculation-sheet'!N9*'Output-Calculation-sheet'!N81</f>
        <v>1875397594.6565177</v>
      </c>
      <c r="O98" s="2">
        <f>O10/'Output-Calculation-sheet'!O9*'Output-Calculation-sheet'!O81</f>
        <v>993128978.00351834</v>
      </c>
      <c r="P98" s="2">
        <f>P10/'Output-Calculation-sheet'!P9*'Output-Calculation-sheet'!P81</f>
        <v>3173752061.9110436</v>
      </c>
      <c r="Q98" s="2">
        <f>Q10/'Output-Calculation-sheet'!Q9*'Output-Calculation-sheet'!Q81</f>
        <v>1492217763.0265839</v>
      </c>
      <c r="R98" s="2">
        <f>R10/'Output-Calculation-sheet'!R9*'Output-Calculation-sheet'!R81</f>
        <v>1908772273.8785777</v>
      </c>
      <c r="S98" s="2">
        <f>S10/'Output-Calculation-sheet'!S9*'Output-Calculation-sheet'!S81</f>
        <v>1103610209.8198097</v>
      </c>
      <c r="T98" s="2">
        <f>T10/'Output-Calculation-sheet'!T9*'Output-Calculation-sheet'!T81</f>
        <v>818924177.76589203</v>
      </c>
      <c r="U98" s="2">
        <f>U10/'Output-Calculation-sheet'!U9*'Output-Calculation-sheet'!U81</f>
        <v>532845182.53669232</v>
      </c>
      <c r="V98" s="2">
        <f>V10/'Output-Calculation-sheet'!V9*'Output-Calculation-sheet'!V81</f>
        <v>282203781.65981716</v>
      </c>
      <c r="W98" s="2">
        <f>W10/'Output-Calculation-sheet'!W9*'Output-Calculation-sheet'!W81</f>
        <v>800145081.39744151</v>
      </c>
      <c r="X98" s="2">
        <f>X10/'Output-Calculation-sheet'!X9*'Output-Calculation-sheet'!X81</f>
        <v>294029108.81183827</v>
      </c>
      <c r="Y98" s="2">
        <f>Y10/'Output-Calculation-sheet'!Y9*'Output-Calculation-sheet'!Y81</f>
        <v>439969317.75516641</v>
      </c>
      <c r="AA98" s="2">
        <f t="shared" si="8"/>
        <v>85.525560224593349</v>
      </c>
    </row>
    <row r="99" spans="1:27" x14ac:dyDescent="0.25">
      <c r="A99" s="2">
        <v>2034</v>
      </c>
      <c r="B99" s="2">
        <f>B11/'Output-Calculation-sheet'!B10*'Output-Calculation-sheet'!B82</f>
        <v>25558096417.552109</v>
      </c>
      <c r="C99" s="2">
        <f>C11/'Output-Calculation-sheet'!C10*'Output-Calculation-sheet'!C82</f>
        <v>8818591856.0541821</v>
      </c>
      <c r="D99" s="2">
        <f>D11/'Output-Calculation-sheet'!D10*'Output-Calculation-sheet'!D82</f>
        <v>8022438059.3415575</v>
      </c>
      <c r="E99" s="2">
        <f>E11/'Output-Calculation-sheet'!E10*'Output-Calculation-sheet'!E82</f>
        <v>15518702946.705063</v>
      </c>
      <c r="F99" s="2">
        <f>F11/'Output-Calculation-sheet'!F10*'Output-Calculation-sheet'!F82</f>
        <v>6391358549.7262087</v>
      </c>
      <c r="G99" s="2">
        <f>G11/'Output-Calculation-sheet'!G10*'Output-Calculation-sheet'!G82</f>
        <v>4543801117.8957739</v>
      </c>
      <c r="H99" s="2">
        <f>H11/'Output-Calculation-sheet'!H10*'Output-Calculation-sheet'!H82</f>
        <v>4247007113.8269453</v>
      </c>
      <c r="I99" s="2">
        <f>I11/'Output-Calculation-sheet'!I10*'Output-Calculation-sheet'!I82</f>
        <v>3567190312.0842419</v>
      </c>
      <c r="J99" s="2">
        <f>J11/'Output-Calculation-sheet'!J10*'Output-Calculation-sheet'!J82</f>
        <v>2219861166.906054</v>
      </c>
      <c r="K99" s="2">
        <f>K11/'Output-Calculation-sheet'!K10*'Output-Calculation-sheet'!K82</f>
        <v>3247948192.5205145</v>
      </c>
      <c r="L99" s="2">
        <f>L11/'Output-Calculation-sheet'!L10*'Output-Calculation-sheet'!L82</f>
        <v>2507653525.0847144</v>
      </c>
      <c r="M99" s="2">
        <f>M11/'Output-Calculation-sheet'!M10*'Output-Calculation-sheet'!M82</f>
        <v>3199191739.071229</v>
      </c>
      <c r="N99" s="2">
        <f>N11/'Output-Calculation-sheet'!N10*'Output-Calculation-sheet'!N82</f>
        <v>2253833569.4194837</v>
      </c>
      <c r="O99" s="2">
        <f>O11/'Output-Calculation-sheet'!O10*'Output-Calculation-sheet'!O82</f>
        <v>1221916288.7463667</v>
      </c>
      <c r="P99" s="2">
        <f>P11/'Output-Calculation-sheet'!P10*'Output-Calculation-sheet'!P82</f>
        <v>3808989886.1371603</v>
      </c>
      <c r="Q99" s="2">
        <f>Q11/'Output-Calculation-sheet'!Q10*'Output-Calculation-sheet'!Q82</f>
        <v>1802653373.1027443</v>
      </c>
      <c r="R99" s="2">
        <f>R11/'Output-Calculation-sheet'!R10*'Output-Calculation-sheet'!R82</f>
        <v>2333526454.9202847</v>
      </c>
      <c r="S99" s="2">
        <f>S11/'Output-Calculation-sheet'!S10*'Output-Calculation-sheet'!S82</f>
        <v>1344176475.2697456</v>
      </c>
      <c r="T99" s="2">
        <f>T11/'Output-Calculation-sheet'!T10*'Output-Calculation-sheet'!T82</f>
        <v>982435850.716452</v>
      </c>
      <c r="U99" s="2">
        <f>U11/'Output-Calculation-sheet'!U10*'Output-Calculation-sheet'!U82</f>
        <v>650588824.73784924</v>
      </c>
      <c r="V99" s="2">
        <f>V11/'Output-Calculation-sheet'!V10*'Output-Calculation-sheet'!V82</f>
        <v>347861733.4254595</v>
      </c>
      <c r="W99" s="2">
        <f>W11/'Output-Calculation-sheet'!W10*'Output-Calculation-sheet'!W82</f>
        <v>964632766.0587523</v>
      </c>
      <c r="X99" s="2">
        <f>X11/'Output-Calculation-sheet'!X10*'Output-Calculation-sheet'!X82</f>
        <v>363307257.10014004</v>
      </c>
      <c r="Y99" s="2">
        <f>Y11/'Output-Calculation-sheet'!Y10*'Output-Calculation-sheet'!Y82</f>
        <v>530853967.37910312</v>
      </c>
      <c r="AA99" s="2">
        <f t="shared" si="8"/>
        <v>104.44661744378213</v>
      </c>
    </row>
    <row r="100" spans="1:27" x14ac:dyDescent="0.25">
      <c r="A100" s="2">
        <v>2035</v>
      </c>
      <c r="B100" s="2">
        <f>B12/'Output-Calculation-sheet'!B11*'Output-Calculation-sheet'!B83</f>
        <v>30647256298.635689</v>
      </c>
      <c r="C100" s="2">
        <f>C12/'Output-Calculation-sheet'!C11*'Output-Calculation-sheet'!C83</f>
        <v>10640229602.801977</v>
      </c>
      <c r="D100" s="2">
        <f>D12/'Output-Calculation-sheet'!D11*'Output-Calculation-sheet'!D83</f>
        <v>9260955556.2989712</v>
      </c>
      <c r="E100" s="2">
        <f>E12/'Output-Calculation-sheet'!E11*'Output-Calculation-sheet'!E83</f>
        <v>18417651007.766144</v>
      </c>
      <c r="F100" s="2">
        <f>F12/'Output-Calculation-sheet'!F11*'Output-Calculation-sheet'!F83</f>
        <v>7576287259.7534485</v>
      </c>
      <c r="G100" s="2">
        <f>G12/'Output-Calculation-sheet'!G11*'Output-Calculation-sheet'!G83</f>
        <v>5206384593.1228094</v>
      </c>
      <c r="H100" s="2">
        <f>H12/'Output-Calculation-sheet'!H11*'Output-Calculation-sheet'!H83</f>
        <v>5028978433.163847</v>
      </c>
      <c r="I100" s="2">
        <f>I12/'Output-Calculation-sheet'!I11*'Output-Calculation-sheet'!I83</f>
        <v>4266988869.9780717</v>
      </c>
      <c r="J100" s="2">
        <f>J12/'Output-Calculation-sheet'!J11*'Output-Calculation-sheet'!J83</f>
        <v>2585978908.5480347</v>
      </c>
      <c r="K100" s="2">
        <f>K12/'Output-Calculation-sheet'!K11*'Output-Calculation-sheet'!K83</f>
        <v>3810248451.4913378</v>
      </c>
      <c r="L100" s="2">
        <f>L12/'Output-Calculation-sheet'!L11*'Output-Calculation-sheet'!L83</f>
        <v>3025120012.3771529</v>
      </c>
      <c r="M100" s="2">
        <f>M12/'Output-Calculation-sheet'!M11*'Output-Calculation-sheet'!M83</f>
        <v>3800221076.9628386</v>
      </c>
      <c r="N100" s="2">
        <f>N12/'Output-Calculation-sheet'!N11*'Output-Calculation-sheet'!N83</f>
        <v>2629452834.4199576</v>
      </c>
      <c r="O100" s="2">
        <f>O12/'Output-Calculation-sheet'!O11*'Output-Calculation-sheet'!O83</f>
        <v>1459513281.2802022</v>
      </c>
      <c r="P100" s="2">
        <f>P12/'Output-Calculation-sheet'!P11*'Output-Calculation-sheet'!P83</f>
        <v>4432645541.5681019</v>
      </c>
      <c r="Q100" s="2">
        <f>Q12/'Output-Calculation-sheet'!Q11*'Output-Calculation-sheet'!Q83</f>
        <v>2114392243.2396376</v>
      </c>
      <c r="R100" s="2">
        <f>R12/'Output-Calculation-sheet'!R11*'Output-Calculation-sheet'!R83</f>
        <v>2768678794.57831</v>
      </c>
      <c r="S100" s="2">
        <f>S12/'Output-Calculation-sheet'!S11*'Output-Calculation-sheet'!S83</f>
        <v>1589079375.7702584</v>
      </c>
      <c r="T100" s="2">
        <f>T12/'Output-Calculation-sheet'!T11*'Output-Calculation-sheet'!T83</f>
        <v>1143586573.3903942</v>
      </c>
      <c r="U100" s="2">
        <f>U12/'Output-Calculation-sheet'!U11*'Output-Calculation-sheet'!U83</f>
        <v>770647868.80376315</v>
      </c>
      <c r="V100" s="2">
        <f>V12/'Output-Calculation-sheet'!V11*'Output-Calculation-sheet'!V83</f>
        <v>415809300.99021834</v>
      </c>
      <c r="W100" s="2">
        <f>W12/'Output-Calculation-sheet'!W11*'Output-Calculation-sheet'!W83</f>
        <v>1126529549.3212123</v>
      </c>
      <c r="X100" s="2">
        <f>X12/'Output-Calculation-sheet'!X11*'Output-Calculation-sheet'!X83</f>
        <v>435527024.20953298</v>
      </c>
      <c r="Y100" s="2">
        <f>Y12/'Output-Calculation-sheet'!Y11*'Output-Calculation-sheet'!Y83</f>
        <v>620785023.87585926</v>
      </c>
      <c r="AA100" s="2">
        <f t="shared" si="8"/>
        <v>123.77294748234775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5023.4779627738062</v>
      </c>
      <c r="C19" s="2">
        <f>C8/'Output-Calculation-sheet'!C7*'Output-Calculation-sheet'!C25</f>
        <v>6698.1083411217433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2440.5666824439554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1786.3805964268922</v>
      </c>
      <c r="N19" s="2">
        <f>N8/'Output-Calculation-sheet'!N7*'Output-Calculation-sheet'!N25</f>
        <v>930.64530378544134</v>
      </c>
      <c r="O19" s="2">
        <f>O8/'Output-Calculation-sheet'!O7*'Output-Calculation-sheet'!O25</f>
        <v>1014.8930736832764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405.70600297642386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206.49387471699029</v>
      </c>
      <c r="Y19" s="2">
        <f>Y8/'Output-Calculation-sheet'!Y7*'Output-Calculation-sheet'!Y25</f>
        <v>0</v>
      </c>
      <c r="AA19" s="2">
        <f t="shared" si="0"/>
        <v>18.506271837928534</v>
      </c>
    </row>
    <row r="20" spans="1:27" x14ac:dyDescent="0.25">
      <c r="A20" s="2">
        <v>2032</v>
      </c>
      <c r="B20" s="2">
        <f>B9/'Output-Calculation-sheet'!B8*'Output-Calculation-sheet'!B26</f>
        <v>6629.9854521512461</v>
      </c>
      <c r="C20" s="2">
        <f>C9/'Output-Calculation-sheet'!C8*'Output-Calculation-sheet'!C26</f>
        <v>7641.5778429580087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2751.0004728921954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2008.8587982343124</v>
      </c>
      <c r="N20" s="2">
        <f>N9/'Output-Calculation-sheet'!N8*'Output-Calculation-sheet'!N26</f>
        <v>1142.6629458188524</v>
      </c>
      <c r="O20" s="2">
        <f>O9/'Output-Calculation-sheet'!O8*'Output-Calculation-sheet'!O26</f>
        <v>1182.0881622994696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516.53299812783109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232.04927003667927</v>
      </c>
      <c r="Y20" s="2">
        <f>Y9/'Output-Calculation-sheet'!Y8*'Output-Calculation-sheet'!Y26</f>
        <v>0</v>
      </c>
      <c r="AA20" s="2">
        <f t="shared" si="0"/>
        <v>22.104755942518594</v>
      </c>
    </row>
    <row r="21" spans="1:27" x14ac:dyDescent="0.25">
      <c r="A21" s="2">
        <v>2033</v>
      </c>
      <c r="B21" s="2">
        <f>B10/'Output-Calculation-sheet'!B9*'Output-Calculation-sheet'!B27</f>
        <v>14735.103627793762</v>
      </c>
      <c r="C21" s="2">
        <f>C10/'Output-Calculation-sheet'!C9*'Output-Calculation-sheet'!C27</f>
        <v>25305.07722965326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8528.9464929406058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5923.8842779405604</v>
      </c>
      <c r="N21" s="2">
        <f>N10/'Output-Calculation-sheet'!N9*'Output-Calculation-sheet'!N27</f>
        <v>3241.4308051119142</v>
      </c>
      <c r="O21" s="2">
        <f>O10/'Output-Calculation-sheet'!O9*'Output-Calculation-sheet'!O27</f>
        <v>2524.7907040251757</v>
      </c>
      <c r="P21" s="2">
        <f>P10/'Output-Calculation-sheet'!P9*'Output-Calculation-sheet'!P27</f>
        <v>0</v>
      </c>
      <c r="Q21" s="2">
        <f>Q10/'Output-Calculation-sheet'!Q9*'Output-Calculation-sheet'!Q27</f>
        <v>221.08704504986073</v>
      </c>
      <c r="R21" s="2">
        <f>R10/'Output-Calculation-sheet'!R9*'Output-Calculation-sheet'!R27</f>
        <v>0</v>
      </c>
      <c r="S21" s="2">
        <f>S10/'Output-Calculation-sheet'!S9*'Output-Calculation-sheet'!S27</f>
        <v>1407.8762014582906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696.59804073003886</v>
      </c>
      <c r="Y21" s="2">
        <f>Y10/'Output-Calculation-sheet'!Y9*'Output-Calculation-sheet'!Y27</f>
        <v>0</v>
      </c>
      <c r="AA21" s="2">
        <f t="shared" si="0"/>
        <v>62.584794424703468</v>
      </c>
    </row>
    <row r="22" spans="1:27" x14ac:dyDescent="0.25">
      <c r="A22" s="2">
        <v>2034</v>
      </c>
      <c r="B22" s="2">
        <f>B11/'Output-Calculation-sheet'!B10*'Output-Calculation-sheet'!B28</f>
        <v>29818.149620356573</v>
      </c>
      <c r="C22" s="2">
        <f>C11/'Output-Calculation-sheet'!C10*'Output-Calculation-sheet'!C28</f>
        <v>28606.770541635997</v>
      </c>
      <c r="D22" s="2">
        <f>D11/'Output-Calculation-sheet'!D10*'Output-Calculation-sheet'!D28</f>
        <v>0</v>
      </c>
      <c r="E22" s="2">
        <f>E11/'Output-Calculation-sheet'!E10*'Output-Calculation-sheet'!E28</f>
        <v>1527.8362639690822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10916.289499279459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911.0427197965696</v>
      </c>
      <c r="M22" s="2">
        <f>M11/'Output-Calculation-sheet'!M10*'Output-Calculation-sheet'!M28</f>
        <v>7958.9346223459979</v>
      </c>
      <c r="N22" s="2">
        <f>N11/'Output-Calculation-sheet'!N10*'Output-Calculation-sheet'!N28</f>
        <v>4749.7981277860154</v>
      </c>
      <c r="O22" s="2">
        <f>O11/'Output-Calculation-sheet'!O10*'Output-Calculation-sheet'!O28</f>
        <v>2935.6861945580604</v>
      </c>
      <c r="P22" s="2">
        <f>P11/'Output-Calculation-sheet'!P10*'Output-Calculation-sheet'!P28</f>
        <v>0</v>
      </c>
      <c r="Q22" s="2">
        <f>Q11/'Output-Calculation-sheet'!Q10*'Output-Calculation-sheet'!Q28</f>
        <v>1079.0054762591005</v>
      </c>
      <c r="R22" s="2">
        <f>R11/'Output-Calculation-sheet'!R10*'Output-Calculation-sheet'!R28</f>
        <v>0</v>
      </c>
      <c r="S22" s="2">
        <f>S11/'Output-Calculation-sheet'!S10*'Output-Calculation-sheet'!S28</f>
        <v>2423.0668722071418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799.21242687906454</v>
      </c>
      <c r="Y22" s="2">
        <f>Y11/'Output-Calculation-sheet'!Y10*'Output-Calculation-sheet'!Y28</f>
        <v>82.899785381640115</v>
      </c>
      <c r="AA22" s="2">
        <f t="shared" si="0"/>
        <v>91.808692150454704</v>
      </c>
    </row>
    <row r="23" spans="1:27" x14ac:dyDescent="0.25">
      <c r="A23" s="2">
        <v>2035</v>
      </c>
      <c r="B23" s="2">
        <f>B12/'Output-Calculation-sheet'!B11*'Output-Calculation-sheet'!B29</f>
        <v>38016.162079185553</v>
      </c>
      <c r="C23" s="2">
        <f>C12/'Output-Calculation-sheet'!C11*'Output-Calculation-sheet'!C29</f>
        <v>31051.127870109485</v>
      </c>
      <c r="D23" s="2">
        <f>D12/'Output-Calculation-sheet'!D11*'Output-Calculation-sheet'!D29</f>
        <v>0</v>
      </c>
      <c r="E23" s="2">
        <f>E12/'Output-Calculation-sheet'!E11*'Output-Calculation-sheet'!E29</f>
        <v>5861.1645999116163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11953.041343645433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1328.6787185086994</v>
      </c>
      <c r="M23" s="2">
        <f>M12/'Output-Calculation-sheet'!M11*'Output-Calculation-sheet'!M29</f>
        <v>8757.4943440498391</v>
      </c>
      <c r="N23" s="2">
        <f>N12/'Output-Calculation-sheet'!N11*'Output-Calculation-sheet'!N29</f>
        <v>5108.7349418092645</v>
      </c>
      <c r="O23" s="2">
        <f>O12/'Output-Calculation-sheet'!O11*'Output-Calculation-sheet'!O29</f>
        <v>3443.9153818304626</v>
      </c>
      <c r="P23" s="2">
        <f>P12/'Output-Calculation-sheet'!P11*'Output-Calculation-sheet'!P29</f>
        <v>623.93843491015787</v>
      </c>
      <c r="Q23" s="2">
        <f>Q12/'Output-Calculation-sheet'!Q11*'Output-Calculation-sheet'!Q29</f>
        <v>1400.7348156481955</v>
      </c>
      <c r="R23" s="2">
        <f>R12/'Output-Calculation-sheet'!R11*'Output-Calculation-sheet'!R29</f>
        <v>0</v>
      </c>
      <c r="S23" s="2">
        <f>S12/'Output-Calculation-sheet'!S11*'Output-Calculation-sheet'!S29</f>
        <v>2734.7066843102198</v>
      </c>
      <c r="T23" s="2">
        <f>T12/'Output-Calculation-sheet'!T11*'Output-Calculation-sheet'!T29</f>
        <v>0</v>
      </c>
      <c r="U23" s="2">
        <f>U12/'Output-Calculation-sheet'!U11*'Output-Calculation-sheet'!U29</f>
        <v>119.25358081855164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867.56607456148072</v>
      </c>
      <c r="Y23" s="2">
        <f>Y12/'Output-Calculation-sheet'!Y11*'Output-Calculation-sheet'!Y29</f>
        <v>256.84800406255744</v>
      </c>
      <c r="AA23" s="2">
        <f t="shared" si="0"/>
        <v>111.52336687336152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24704.788433905051</v>
      </c>
      <c r="C30" s="2">
        <f>C8/'Output-Calculation-sheet'!C7*'Output-Calculation-sheet'!C16</f>
        <v>0</v>
      </c>
      <c r="D30" s="2">
        <f>D8/'Output-Calculation-sheet'!D7*'Output-Calculation-sheet'!D16</f>
        <v>5565.7506646420152</v>
      </c>
      <c r="E30" s="2">
        <f>E8/'Output-Calculation-sheet'!E7*'Output-Calculation-sheet'!E16</f>
        <v>6974.7746883775626</v>
      </c>
      <c r="F30" s="2">
        <f>F8/'Output-Calculation-sheet'!F7*'Output-Calculation-sheet'!F16</f>
        <v>3406.4793120673967</v>
      </c>
      <c r="G30" s="2">
        <f>G8/'Output-Calculation-sheet'!G7*'Output-Calculation-sheet'!G16</f>
        <v>2075.8642588704292</v>
      </c>
      <c r="H30" s="2">
        <f>H8/'Output-Calculation-sheet'!H7*'Output-Calculation-sheet'!H16</f>
        <v>0</v>
      </c>
      <c r="I30" s="2">
        <f>I8/'Output-Calculation-sheet'!I7*'Output-Calculation-sheet'!I16</f>
        <v>1954.1699937859034</v>
      </c>
      <c r="J30" s="2">
        <f>J8/'Output-Calculation-sheet'!J7*'Output-Calculation-sheet'!J16</f>
        <v>2094.7857467604526</v>
      </c>
      <c r="K30" s="2">
        <f>K8/'Output-Calculation-sheet'!K7*'Output-Calculation-sheet'!K16</f>
        <v>2027.5171358100827</v>
      </c>
      <c r="L30" s="2">
        <f>L8/'Output-Calculation-sheet'!L7*'Output-Calculation-sheet'!L16</f>
        <v>2241.0977664280358</v>
      </c>
      <c r="M30" s="2">
        <f>M8/'Output-Calculation-sheet'!M7*'Output-Calculation-sheet'!M16</f>
        <v>0</v>
      </c>
      <c r="N30" s="2">
        <f>N8/'Output-Calculation-sheet'!N7*'Output-Calculation-sheet'!N16</f>
        <v>1004.9681856150229</v>
      </c>
      <c r="O30" s="2">
        <f>O8/'Output-Calculation-sheet'!O7*'Output-Calculation-sheet'!O16</f>
        <v>0</v>
      </c>
      <c r="P30" s="2">
        <f>P8/'Output-Calculation-sheet'!P7*'Output-Calculation-sheet'!P16</f>
        <v>1918.4908680144406</v>
      </c>
      <c r="Q30" s="2">
        <f>Q8/'Output-Calculation-sheet'!Q7*'Output-Calculation-sheet'!Q16</f>
        <v>1882.1345867262175</v>
      </c>
      <c r="R30" s="2">
        <f>R8/'Output-Calculation-sheet'!R7*'Output-Calculation-sheet'!R16</f>
        <v>1670.2501889045848</v>
      </c>
      <c r="S30" s="2">
        <f>S8/'Output-Calculation-sheet'!S7*'Output-Calculation-sheet'!S16</f>
        <v>884.61764717780272</v>
      </c>
      <c r="T30" s="2">
        <f>T8/'Output-Calculation-sheet'!T7*'Output-Calculation-sheet'!T16</f>
        <v>630.8783644495162</v>
      </c>
      <c r="U30" s="2">
        <f>U8/'Output-Calculation-sheet'!U7*'Output-Calculation-sheet'!U16</f>
        <v>486.78741816092969</v>
      </c>
      <c r="V30" s="2">
        <f>V8/'Output-Calculation-sheet'!V7*'Output-Calculation-sheet'!V16</f>
        <v>630.29236393305007</v>
      </c>
      <c r="W30" s="2">
        <f>W8/'Output-Calculation-sheet'!W7*'Output-Calculation-sheet'!W16</f>
        <v>303.47289067961839</v>
      </c>
      <c r="X30" s="2">
        <f>X8/'Output-Calculation-sheet'!X7*'Output-Calculation-sheet'!X16</f>
        <v>0</v>
      </c>
      <c r="Y30" s="2">
        <f>Y8/'Output-Calculation-sheet'!Y7*'Output-Calculation-sheet'!Y16</f>
        <v>206.97512754157466</v>
      </c>
      <c r="AA30" s="2">
        <f t="shared" si="1"/>
        <v>60.664095641849691</v>
      </c>
    </row>
    <row r="31" spans="1:27" x14ac:dyDescent="0.25">
      <c r="A31" s="2">
        <v>2032</v>
      </c>
      <c r="B31" s="2">
        <f>B9/'Output-Calculation-sheet'!B8*'Output-Calculation-sheet'!B17</f>
        <v>26863.741706294557</v>
      </c>
      <c r="C31" s="2">
        <f>C9/'Output-Calculation-sheet'!C8*'Output-Calculation-sheet'!C17</f>
        <v>0</v>
      </c>
      <c r="D31" s="2">
        <f>D9/'Output-Calculation-sheet'!D8*'Output-Calculation-sheet'!D17</f>
        <v>6148.5561134299924</v>
      </c>
      <c r="E31" s="2">
        <f>E9/'Output-Calculation-sheet'!E8*'Output-Calculation-sheet'!E17</f>
        <v>7723.3987514470227</v>
      </c>
      <c r="F31" s="2">
        <f>F9/'Output-Calculation-sheet'!F8*'Output-Calculation-sheet'!F17</f>
        <v>3768.3939922611416</v>
      </c>
      <c r="G31" s="2">
        <f>G9/'Output-Calculation-sheet'!G8*'Output-Calculation-sheet'!G17</f>
        <v>2293.9221931021916</v>
      </c>
      <c r="H31" s="2">
        <f>H9/'Output-Calculation-sheet'!H8*'Output-Calculation-sheet'!H17</f>
        <v>0</v>
      </c>
      <c r="I31" s="2">
        <f>I9/'Output-Calculation-sheet'!I8*'Output-Calculation-sheet'!I17</f>
        <v>2158.3640976984061</v>
      </c>
      <c r="J31" s="2">
        <f>J9/'Output-Calculation-sheet'!J8*'Output-Calculation-sheet'!J17</f>
        <v>2315.5541540145769</v>
      </c>
      <c r="K31" s="2">
        <f>K9/'Output-Calculation-sheet'!K8*'Output-Calculation-sheet'!K17</f>
        <v>2239.4660500132832</v>
      </c>
      <c r="L31" s="2">
        <f>L9/'Output-Calculation-sheet'!L8*'Output-Calculation-sheet'!L17</f>
        <v>2474.5299258339883</v>
      </c>
      <c r="M31" s="2">
        <f>M9/'Output-Calculation-sheet'!M8*'Output-Calculation-sheet'!M17</f>
        <v>0</v>
      </c>
      <c r="N31" s="2">
        <f>N9/'Output-Calculation-sheet'!N8*'Output-Calculation-sheet'!N17</f>
        <v>1043.3557841161494</v>
      </c>
      <c r="O31" s="2">
        <f>O9/'Output-Calculation-sheet'!O8*'Output-Calculation-sheet'!O17</f>
        <v>0</v>
      </c>
      <c r="P31" s="2">
        <f>P9/'Output-Calculation-sheet'!P8*'Output-Calculation-sheet'!P17</f>
        <v>2131.5245669762576</v>
      </c>
      <c r="Q31" s="2">
        <f>Q9/'Output-Calculation-sheet'!Q8*'Output-Calculation-sheet'!Q17</f>
        <v>2084.5387648805572</v>
      </c>
      <c r="R31" s="2">
        <f>R9/'Output-Calculation-sheet'!R8*'Output-Calculation-sheet'!R17</f>
        <v>1865.6010853912178</v>
      </c>
      <c r="S31" s="2">
        <f>S9/'Output-Calculation-sheet'!S8*'Output-Calculation-sheet'!S17</f>
        <v>933.88251885091859</v>
      </c>
      <c r="T31" s="2">
        <f>T9/'Output-Calculation-sheet'!T8*'Output-Calculation-sheet'!T17</f>
        <v>698.89688408217228</v>
      </c>
      <c r="U31" s="2">
        <f>U9/'Output-Calculation-sheet'!U8*'Output-Calculation-sheet'!U17</f>
        <v>541.14936373648152</v>
      </c>
      <c r="V31" s="2">
        <f>V9/'Output-Calculation-sheet'!V8*'Output-Calculation-sheet'!V17</f>
        <v>688.15819074524779</v>
      </c>
      <c r="W31" s="2">
        <f>W9/'Output-Calculation-sheet'!W8*'Output-Calculation-sheet'!W17</f>
        <v>335.40423229229719</v>
      </c>
      <c r="X31" s="2">
        <f>X9/'Output-Calculation-sheet'!X8*'Output-Calculation-sheet'!X17</f>
        <v>0</v>
      </c>
      <c r="Y31" s="2">
        <f>Y9/'Output-Calculation-sheet'!Y8*'Output-Calculation-sheet'!Y17</f>
        <v>228.64917951508878</v>
      </c>
      <c r="AA31" s="2">
        <f t="shared" si="1"/>
        <v>66.537087554681534</v>
      </c>
    </row>
    <row r="32" spans="1:27" x14ac:dyDescent="0.25">
      <c r="A32" s="2">
        <v>2033</v>
      </c>
      <c r="B32" s="2">
        <f>B10/'Output-Calculation-sheet'!B9*'Output-Calculation-sheet'!B18</f>
        <v>29914.081044333259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1822.8602798518416</v>
      </c>
      <c r="O32" s="2">
        <f>O10/'Output-Calculation-sheet'!O9*'Output-Calculation-sheet'!O18</f>
        <v>0</v>
      </c>
      <c r="P32" s="2">
        <f>P10/'Output-Calculation-sheet'!P9*'Output-Calculation-sheet'!P18</f>
        <v>2934.7734339138315</v>
      </c>
      <c r="Q32" s="2">
        <f>Q10/'Output-Calculation-sheet'!Q9*'Output-Calculation-sheet'!Q18</f>
        <v>3194.583163867901</v>
      </c>
      <c r="R32" s="2">
        <f>R10/'Output-Calculation-sheet'!R9*'Output-Calculation-sheet'!R18</f>
        <v>2107.3197482225182</v>
      </c>
      <c r="S32" s="2">
        <f>S10/'Output-Calculation-sheet'!S9*'Output-Calculation-sheet'!S18</f>
        <v>1382.8354706023913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680.30681854969896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71.893523879024073</v>
      </c>
    </row>
    <row r="33" spans="1:27" x14ac:dyDescent="0.25">
      <c r="A33" s="2">
        <v>2034</v>
      </c>
      <c r="B33" s="2">
        <f>B11/'Output-Calculation-sheet'!B10*'Output-Calculation-sheet'!B19</f>
        <v>30076.336814073129</v>
      </c>
      <c r="C33" s="2">
        <f>C11/'Output-Calculation-sheet'!C10*'Output-Calculation-sheet'!C19</f>
        <v>0</v>
      </c>
      <c r="D33" s="2">
        <f>D11/'Output-Calculation-sheet'!D10*'Output-Calculation-sheet'!D19</f>
        <v>8971.4409299937433</v>
      </c>
      <c r="E33" s="2">
        <f>E11/'Output-Calculation-sheet'!E10*'Output-Calculation-sheet'!E19</f>
        <v>11111.729493001822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3053.7936424859381</v>
      </c>
      <c r="H33" s="2">
        <f>H11/'Output-Calculation-sheet'!H10*'Output-Calculation-sheet'!H19</f>
        <v>0</v>
      </c>
      <c r="I33" s="2">
        <f>I11/'Output-Calculation-sheet'!I10*'Output-Calculation-sheet'!I19</f>
        <v>3332.1171049745117</v>
      </c>
      <c r="J33" s="2">
        <f>J11/'Output-Calculation-sheet'!J10*'Output-Calculation-sheet'!J19</f>
        <v>2817.5197357222009</v>
      </c>
      <c r="K33" s="2">
        <f>K11/'Output-Calculation-sheet'!K10*'Output-Calculation-sheet'!K19</f>
        <v>3909.7152173576023</v>
      </c>
      <c r="L33" s="2">
        <f>L11/'Output-Calculation-sheet'!L10*'Output-Calculation-sheet'!L19</f>
        <v>3179.5298601505456</v>
      </c>
      <c r="M33" s="2">
        <f>M11/'Output-Calculation-sheet'!M10*'Output-Calculation-sheet'!M19</f>
        <v>0</v>
      </c>
      <c r="N33" s="2">
        <f>N11/'Output-Calculation-sheet'!N10*'Output-Calculation-sheet'!N19</f>
        <v>1797.8890311549046</v>
      </c>
      <c r="O33" s="2">
        <f>O11/'Output-Calculation-sheet'!O10*'Output-Calculation-sheet'!O19</f>
        <v>0</v>
      </c>
      <c r="P33" s="2">
        <f>P11/'Output-Calculation-sheet'!P10*'Output-Calculation-sheet'!P19</f>
        <v>3955.9421205746003</v>
      </c>
      <c r="Q33" s="2">
        <f>Q11/'Output-Calculation-sheet'!Q10*'Output-Calculation-sheet'!Q19</f>
        <v>3257.6768051756385</v>
      </c>
      <c r="R33" s="2">
        <f>R11/'Output-Calculation-sheet'!R10*'Output-Calculation-sheet'!R19</f>
        <v>2824.4789117336304</v>
      </c>
      <c r="S33" s="2">
        <f>S11/'Output-Calculation-sheet'!S10*'Output-Calculation-sheet'!S19</f>
        <v>1316.6726173646302</v>
      </c>
      <c r="T33" s="2">
        <f>T11/'Output-Calculation-sheet'!T10*'Output-Calculation-sheet'!T19</f>
        <v>828.78399075824007</v>
      </c>
      <c r="U33" s="2">
        <f>U11/'Output-Calculation-sheet'!U10*'Output-Calculation-sheet'!U19</f>
        <v>953.85897900292071</v>
      </c>
      <c r="V33" s="2">
        <f>V11/'Output-Calculation-sheet'!V10*'Output-Calculation-sheet'!V19</f>
        <v>649.92840252559074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117.19349219924418</v>
      </c>
      <c r="Y33" s="2">
        <f>Y11/'Output-Calculation-sheet'!Y10*'Output-Calculation-sheet'!Y19</f>
        <v>364.75905567921649</v>
      </c>
      <c r="AA33" s="2">
        <f t="shared" si="1"/>
        <v>88.023526629708755</v>
      </c>
    </row>
    <row r="34" spans="1:27" x14ac:dyDescent="0.25">
      <c r="A34" s="2">
        <v>2035</v>
      </c>
      <c r="B34" s="2">
        <f>B12/'Output-Calculation-sheet'!B11*'Output-Calculation-sheet'!B20</f>
        <v>30256.74405681092</v>
      </c>
      <c r="C34" s="2">
        <f>C12/'Output-Calculation-sheet'!C11*'Output-Calculation-sheet'!C20</f>
        <v>0</v>
      </c>
      <c r="D34" s="2">
        <f>D12/'Output-Calculation-sheet'!D11*'Output-Calculation-sheet'!D20</f>
        <v>9495.4890106345447</v>
      </c>
      <c r="E34" s="2">
        <f>E12/'Output-Calculation-sheet'!E11*'Output-Calculation-sheet'!E20</f>
        <v>10375.2170520985</v>
      </c>
      <c r="F34" s="2">
        <f>F12/'Output-Calculation-sheet'!F11*'Output-Calculation-sheet'!F20</f>
        <v>6536.8732526960148</v>
      </c>
      <c r="G34" s="2">
        <f>G12/'Output-Calculation-sheet'!G11*'Output-Calculation-sheet'!G20</f>
        <v>3493.1109899479648</v>
      </c>
      <c r="H34" s="2">
        <f>H12/'Output-Calculation-sheet'!H11*'Output-Calculation-sheet'!H20</f>
        <v>0</v>
      </c>
      <c r="I34" s="2">
        <f>I12/'Output-Calculation-sheet'!I11*'Output-Calculation-sheet'!I20</f>
        <v>3796.5359926868296</v>
      </c>
      <c r="J34" s="2">
        <f>J12/'Output-Calculation-sheet'!J11*'Output-Calculation-sheet'!J20</f>
        <v>3259.3294281209414</v>
      </c>
      <c r="K34" s="2">
        <f>K12/'Output-Calculation-sheet'!K11*'Output-Calculation-sheet'!K20</f>
        <v>4285.2246217934662</v>
      </c>
      <c r="L34" s="2">
        <f>L12/'Output-Calculation-sheet'!L11*'Output-Calculation-sheet'!L20</f>
        <v>3386.681656598636</v>
      </c>
      <c r="M34" s="2">
        <f>M12/'Output-Calculation-sheet'!M11*'Output-Calculation-sheet'!M20</f>
        <v>0</v>
      </c>
      <c r="N34" s="2">
        <f>N12/'Output-Calculation-sheet'!N11*'Output-Calculation-sheet'!N20</f>
        <v>1884.6888988480791</v>
      </c>
      <c r="O34" s="2">
        <f>O12/'Output-Calculation-sheet'!O11*'Output-Calculation-sheet'!O20</f>
        <v>0</v>
      </c>
      <c r="P34" s="2">
        <f>P12/'Output-Calculation-sheet'!P11*'Output-Calculation-sheet'!P20</f>
        <v>4211.9354208268824</v>
      </c>
      <c r="Q34" s="2">
        <f>Q12/'Output-Calculation-sheet'!Q11*'Output-Calculation-sheet'!Q20</f>
        <v>3332.779875058447</v>
      </c>
      <c r="R34" s="2">
        <f>R12/'Output-Calculation-sheet'!R11*'Output-Calculation-sheet'!R20</f>
        <v>3345.1114527946233</v>
      </c>
      <c r="S34" s="2">
        <f>S12/'Output-Calculation-sheet'!S11*'Output-Calculation-sheet'!S20</f>
        <v>1277.751407582607</v>
      </c>
      <c r="T34" s="2">
        <f>T12/'Output-Calculation-sheet'!T11*'Output-Calculation-sheet'!T20</f>
        <v>1050.9306854836891</v>
      </c>
      <c r="U34" s="2">
        <f>U12/'Output-Calculation-sheet'!U11*'Output-Calculation-sheet'!U20</f>
        <v>958.81139760629344</v>
      </c>
      <c r="V34" s="2">
        <f>V12/'Output-Calculation-sheet'!V11*'Output-Calculation-sheet'!V20</f>
        <v>880.76654644215819</v>
      </c>
      <c r="W34" s="2">
        <f>W12/'Output-Calculation-sheet'!W11*'Output-Calculation-sheet'!W20</f>
        <v>566.6540933054348</v>
      </c>
      <c r="X34" s="2">
        <f>X12/'Output-Calculation-sheet'!X11*'Output-Calculation-sheet'!X20</f>
        <v>114.52292421703119</v>
      </c>
      <c r="Y34" s="2">
        <f>Y12/'Output-Calculation-sheet'!Y11*'Output-Calculation-sheet'!Y20</f>
        <v>317.6310262712496</v>
      </c>
      <c r="AA34" s="2">
        <f t="shared" si="1"/>
        <v>92.826789789824289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1.1984358088422977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0.69847151101453619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1.896907319856834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2.5468951085528557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0.39200681756889366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0.26973905055086639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0.98958640462349234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0.23227642104639135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2.9591038806427244E-2</v>
      </c>
      <c r="Y44" s="2">
        <f>Y11/'Output-Calculation-sheet'!Y10*'Output-Calculation-sheet'!Y37*0.0114</f>
        <v>0</v>
      </c>
      <c r="AA44" s="2">
        <f t="shared" si="2"/>
        <v>4.4600948411489272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2.6844744751692904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1.043042344093922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3.1189501327651293E-2</v>
      </c>
      <c r="Y45" s="2">
        <f>Y12/'Output-Calculation-sheet'!Y11*'Output-Calculation-sheet'!Y38*0.0114</f>
        <v>3.0098447275609872E-2</v>
      </c>
      <c r="AA45" s="2">
        <f t="shared" si="2"/>
        <v>13.374897277019782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141.1710797213409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125.66352006385515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546.44265446630106</v>
      </c>
      <c r="S52" s="2">
        <f>S8/'Output-Calculation-sheet'!S7*'Output-Calculation-sheet'!S43</f>
        <v>0</v>
      </c>
      <c r="T52" s="2">
        <f>T8/'Output-Calculation-sheet'!T7*'Output-Calculation-sheet'!T43</f>
        <v>440.00526827517365</v>
      </c>
      <c r="U52" s="2">
        <f>U8/'Output-Calculation-sheet'!U7*'Output-Calculation-sheet'!U43</f>
        <v>46.537994088042993</v>
      </c>
      <c r="V52" s="2">
        <f>V8/'Output-Calculation-sheet'!V7*'Output-Calculation-sheet'!V43</f>
        <v>793.45753629649266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2.0932780529112058</v>
      </c>
    </row>
    <row r="53" spans="1:27" x14ac:dyDescent="0.25">
      <c r="A53" s="2">
        <v>2032</v>
      </c>
      <c r="B53" s="2">
        <f>B9/'Output-Calculation-sheet'!B8*'Output-Calculation-sheet'!B44</f>
        <v>1646.9456176745839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310.48878508712545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248.74359802498407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777.65780966703539</v>
      </c>
      <c r="S53" s="2">
        <f>S9/'Output-Calculation-sheet'!S8*'Output-Calculation-sheet'!S44</f>
        <v>0</v>
      </c>
      <c r="T53" s="2">
        <f>T9/'Output-Calculation-sheet'!T8*'Output-Calculation-sheet'!T44</f>
        <v>536.1794872502046</v>
      </c>
      <c r="U53" s="2">
        <f>U9/'Output-Calculation-sheet'!U8*'Output-Calculation-sheet'!U44</f>
        <v>90.981966456336338</v>
      </c>
      <c r="V53" s="2">
        <f>V9/'Output-Calculation-sheet'!V8*'Output-Calculation-sheet'!V44</f>
        <v>898.86539298974674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4.5098626571500171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64967.835953029818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0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843.69730981733494</v>
      </c>
      <c r="R54" s="2">
        <f>R10/'Output-Calculation-sheet'!R9*'Output-Calculation-sheet'!R45</f>
        <v>1407.149018403248</v>
      </c>
      <c r="S54" s="2">
        <f>S10/'Output-Calculation-sheet'!S9*'Output-Calculation-sheet'!S45</f>
        <v>3362.1822992891048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507.79210003439829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146.13822888290892</v>
      </c>
    </row>
    <row r="55" spans="1:27" x14ac:dyDescent="0.25">
      <c r="A55" s="2">
        <v>2034</v>
      </c>
      <c r="B55" s="2">
        <f>B11/'Output-Calculation-sheet'!B10*'Output-Calculation-sheet'!B46</f>
        <v>85670.135380879714</v>
      </c>
      <c r="C55" s="2">
        <f>C11/'Output-Calculation-sheet'!C10*'Output-Calculation-sheet'!C46</f>
        <v>70486.439188458418</v>
      </c>
      <c r="D55" s="2">
        <f>D11/'Output-Calculation-sheet'!D10*'Output-Calculation-sheet'!D46</f>
        <v>7916.2101208803879</v>
      </c>
      <c r="E55" s="2">
        <f>E11/'Output-Calculation-sheet'!E10*'Output-Calculation-sheet'!E46</f>
        <v>9751.4770811285871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25411.670016088807</v>
      </c>
      <c r="I55" s="2">
        <f>I11/'Output-Calculation-sheet'!I10*'Output-Calculation-sheet'!I46</f>
        <v>1915.6153410414277</v>
      </c>
      <c r="J55" s="2">
        <f>J11/'Output-Calculation-sheet'!J10*'Output-Calculation-sheet'!J46</f>
        <v>1390.2755228415031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1372.3153284805776</v>
      </c>
      <c r="M55" s="2">
        <f>M11/'Output-Calculation-sheet'!M10*'Output-Calculation-sheet'!M46</f>
        <v>17958.942049833997</v>
      </c>
      <c r="N55" s="2">
        <f>N11/'Output-Calculation-sheet'!N10*'Output-Calculation-sheet'!N46</f>
        <v>13697.360522438446</v>
      </c>
      <c r="O55" s="2">
        <f>O11/'Output-Calculation-sheet'!O10*'Output-Calculation-sheet'!O46</f>
        <v>303.82038738440554</v>
      </c>
      <c r="P55" s="2">
        <f>P11/'Output-Calculation-sheet'!P10*'Output-Calculation-sheet'!P46</f>
        <v>5091.6343949134625</v>
      </c>
      <c r="Q55" s="2">
        <f>Q11/'Output-Calculation-sheet'!Q10*'Output-Calculation-sheet'!Q46</f>
        <v>2995.1433240192569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6732.0003216476498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1560.2183303734212</v>
      </c>
      <c r="V55" s="2">
        <f>V11/'Output-Calculation-sheet'!V10*'Output-Calculation-sheet'!V46</f>
        <v>631.61166426199293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1837.7592521886393</v>
      </c>
      <c r="Y55" s="2">
        <f>Y11/'Output-Calculation-sheet'!Y10*'Output-Calculation-sheet'!Y46</f>
        <v>478.43659186865875</v>
      </c>
      <c r="AA55" s="2">
        <f t="shared" si="3"/>
        <v>267.88495763735375</v>
      </c>
    </row>
    <row r="56" spans="1:27" x14ac:dyDescent="0.25">
      <c r="A56" s="2">
        <v>2035</v>
      </c>
      <c r="B56" s="2">
        <f>B12/'Output-Calculation-sheet'!B11*'Output-Calculation-sheet'!B47</f>
        <v>114856.95016974497</v>
      </c>
      <c r="C56" s="2">
        <f>C12/'Output-Calculation-sheet'!C11*'Output-Calculation-sheet'!C47</f>
        <v>75471.409586996277</v>
      </c>
      <c r="D56" s="2">
        <f>D12/'Output-Calculation-sheet'!D11*'Output-Calculation-sheet'!D47</f>
        <v>9178.2148122387462</v>
      </c>
      <c r="E56" s="2">
        <f>E12/'Output-Calculation-sheet'!E11*'Output-Calculation-sheet'!E47</f>
        <v>25778.481291065218</v>
      </c>
      <c r="F56" s="2">
        <f>F12/'Output-Calculation-sheet'!F11*'Output-Calculation-sheet'!F47</f>
        <v>3180.0215995793742</v>
      </c>
      <c r="G56" s="2">
        <f>G12/'Output-Calculation-sheet'!G11*'Output-Calculation-sheet'!G47</f>
        <v>7183.4680398227283</v>
      </c>
      <c r="H56" s="2">
        <f>H12/'Output-Calculation-sheet'!H11*'Output-Calculation-sheet'!H47</f>
        <v>27436.762748571353</v>
      </c>
      <c r="I56" s="2">
        <f>I12/'Output-Calculation-sheet'!I11*'Output-Calculation-sheet'!I47</f>
        <v>3634.3690974940178</v>
      </c>
      <c r="J56" s="2">
        <f>J12/'Output-Calculation-sheet'!J11*'Output-Calculation-sheet'!J47</f>
        <v>3297.0961660226553</v>
      </c>
      <c r="K56" s="2">
        <f>K12/'Output-Calculation-sheet'!K11*'Output-Calculation-sheet'!K47</f>
        <v>4762.6836585645633</v>
      </c>
      <c r="L56" s="2">
        <f>L12/'Output-Calculation-sheet'!L11*'Output-Calculation-sheet'!L47</f>
        <v>2629.9012677817573</v>
      </c>
      <c r="M56" s="2">
        <f>M12/'Output-Calculation-sheet'!M11*'Output-Calculation-sheet'!M47</f>
        <v>19128.572296415285</v>
      </c>
      <c r="N56" s="2">
        <f>N12/'Output-Calculation-sheet'!N11*'Output-Calculation-sheet'!N47</f>
        <v>14608.851394374498</v>
      </c>
      <c r="O56" s="2">
        <f>O12/'Output-Calculation-sheet'!O11*'Output-Calculation-sheet'!O47</f>
        <v>1372.4241369656868</v>
      </c>
      <c r="P56" s="2">
        <f>P12/'Output-Calculation-sheet'!P11*'Output-Calculation-sheet'!P47</f>
        <v>7585.8088007150645</v>
      </c>
      <c r="Q56" s="2">
        <f>Q12/'Output-Calculation-sheet'!Q11*'Output-Calculation-sheet'!Q47</f>
        <v>3844.1606157400188</v>
      </c>
      <c r="R56" s="2">
        <f>R12/'Output-Calculation-sheet'!R11*'Output-Calculation-sheet'!R47</f>
        <v>5601.1683607417544</v>
      </c>
      <c r="S56" s="2">
        <f>S12/'Output-Calculation-sheet'!S11*'Output-Calculation-sheet'!S47</f>
        <v>7418.8209901649088</v>
      </c>
      <c r="T56" s="2">
        <f>T12/'Output-Calculation-sheet'!T11*'Output-Calculation-sheet'!T47</f>
        <v>1961.9263809074719</v>
      </c>
      <c r="U56" s="2">
        <f>U12/'Output-Calculation-sheet'!U11*'Output-Calculation-sheet'!U47</f>
        <v>1877.4696129788065</v>
      </c>
      <c r="V56" s="2">
        <f>V12/'Output-Calculation-sheet'!V11*'Output-Calculation-sheet'!V47</f>
        <v>1310.3264177808819</v>
      </c>
      <c r="W56" s="2">
        <f>W12/'Output-Calculation-sheet'!W11*'Output-Calculation-sheet'!W47</f>
        <v>745.7540104379824</v>
      </c>
      <c r="X56" s="2">
        <f>X12/'Output-Calculation-sheet'!X11*'Output-Calculation-sheet'!X47</f>
        <v>1975.3350840845819</v>
      </c>
      <c r="Y56" s="2">
        <f>Y12/'Output-Calculation-sheet'!Y11*'Output-Calculation-sheet'!Y47</f>
        <v>1011.2022198735597</v>
      </c>
      <c r="AA56" s="2">
        <f t="shared" si="3"/>
        <v>345.85117875906218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6.8168542400141279</v>
      </c>
      <c r="C63" s="2">
        <f>C8*'Output-Calculation-sheet'!C52/10^9</f>
        <v>3.4553050900368603</v>
      </c>
      <c r="D63" s="2">
        <f>D8*'Output-Calculation-sheet'!D52/10^9</f>
        <v>1.2070920010730184</v>
      </c>
      <c r="E63" s="2">
        <f>E8*'Output-Calculation-sheet'!E52/10^9</f>
        <v>1.5542379807949478</v>
      </c>
      <c r="F63" s="2">
        <f>F8*'Output-Calculation-sheet'!F52/10^9</f>
        <v>0.64648889607597704</v>
      </c>
      <c r="G63" s="2">
        <f>G8*'Output-Calculation-sheet'!G52/10^9</f>
        <v>0.46387116280550311</v>
      </c>
      <c r="H63" s="2">
        <f>H8*'Output-Calculation-sheet'!H52/10^9</f>
        <v>0.896062816854024</v>
      </c>
      <c r="I63" s="2">
        <f>I8*'Output-Calculation-sheet'!I52/10^9</f>
        <v>0.41583081379314152</v>
      </c>
      <c r="J63" s="2">
        <f>J8*'Output-Calculation-sheet'!J52/10^9</f>
        <v>0.44703437637836818</v>
      </c>
      <c r="K63" s="2">
        <f>K8*'Output-Calculation-sheet'!K52/10^9</f>
        <v>0.45649994108762465</v>
      </c>
      <c r="L63" s="2">
        <f>L8*'Output-Calculation-sheet'!L52/10^9</f>
        <v>0.47476487338487716</v>
      </c>
      <c r="M63" s="2">
        <f>M8*'Output-Calculation-sheet'!M52/10^9</f>
        <v>0.6775679120971223</v>
      </c>
      <c r="N63" s="2">
        <f>N8*'Output-Calculation-sheet'!N52/10^9</f>
        <v>0.57246663720712432</v>
      </c>
      <c r="O63" s="2">
        <f>O8*'Output-Calculation-sheet'!O52/10^9</f>
        <v>0.59303965329261865</v>
      </c>
      <c r="P63" s="2">
        <f>P8*'Output-Calculation-sheet'!P52/10^9</f>
        <v>0.49149543343570934</v>
      </c>
      <c r="Q63" s="2">
        <f>Q8*'Output-Calculation-sheet'!Q52/10^9</f>
        <v>0.46495078456041405</v>
      </c>
      <c r="R63" s="2">
        <f>R8*'Output-Calculation-sheet'!R52/10^9</f>
        <v>0.39169384847235811</v>
      </c>
      <c r="S63" s="2">
        <f>S8*'Output-Calculation-sheet'!S52/10^9</f>
        <v>0.36013811664149742</v>
      </c>
      <c r="T63" s="2">
        <f>T8*'Output-Calculation-sheet'!T52/10^9</f>
        <v>0.12826254906898613</v>
      </c>
      <c r="U63" s="2">
        <f>U8*'Output-Calculation-sheet'!U52/10^9</f>
        <v>0.12581661038867009</v>
      </c>
      <c r="V63" s="2">
        <f>V8*'Output-Calculation-sheet'!V52/10^9</f>
        <v>0.11276518235872608</v>
      </c>
      <c r="W63" s="2">
        <f>W8*'Output-Calculation-sheet'!W52/10^9</f>
        <v>5.8865297538327373E-2</v>
      </c>
      <c r="X63" s="2">
        <f>X8*'Output-Calculation-sheet'!X52/10^9</f>
        <v>9.512758713464825E-2</v>
      </c>
      <c r="Y63" s="2">
        <f>Y8*'Output-Calculation-sheet'!Y52/10^9</f>
        <v>4.906490380698629E-2</v>
      </c>
      <c r="AA63" s="2">
        <f t="shared" si="4"/>
        <v>20.955296708301656</v>
      </c>
    </row>
    <row r="64" spans="1:27" x14ac:dyDescent="0.25">
      <c r="A64" s="2">
        <v>2032</v>
      </c>
      <c r="B64" s="2">
        <f>B9*'Output-Calculation-sheet'!B53/10^9</f>
        <v>7.4447737259189664</v>
      </c>
      <c r="C64" s="2">
        <f>C9*'Output-Calculation-sheet'!C53/10^9</f>
        <v>3.7702068698968132</v>
      </c>
      <c r="D64" s="2">
        <f>D9*'Output-Calculation-sheet'!D53/10^9</f>
        <v>1.3206501971188245</v>
      </c>
      <c r="E64" s="2">
        <f>E9*'Output-Calculation-sheet'!E53/10^9</f>
        <v>1.7006752824888496</v>
      </c>
      <c r="F64" s="2">
        <f>F9*'Output-Calculation-sheet'!F53/10^9</f>
        <v>0.70678580265238156</v>
      </c>
      <c r="G64" s="2">
        <f>G9*'Output-Calculation-sheet'!G53/10^9</f>
        <v>0.50740153441098668</v>
      </c>
      <c r="H64" s="2">
        <f>H9*'Output-Calculation-sheet'!H53/10^9</f>
        <v>0.97652275056230231</v>
      </c>
      <c r="I64" s="2">
        <f>I9*'Output-Calculation-sheet'!I53/10^9</f>
        <v>0.45490587442217972</v>
      </c>
      <c r="J64" s="2">
        <f>J9*'Output-Calculation-sheet'!J53/10^9</f>
        <v>0.48888999044215864</v>
      </c>
      <c r="K64" s="2">
        <f>K9*'Output-Calculation-sheet'!K53/10^9</f>
        <v>0.4995399178607664</v>
      </c>
      <c r="L64" s="2">
        <f>L9*'Output-Calculation-sheet'!L53/10^9</f>
        <v>0.51936675037878188</v>
      </c>
      <c r="M64" s="2">
        <f>M9*'Output-Calculation-sheet'!M53/10^9</f>
        <v>0.73858789725780982</v>
      </c>
      <c r="N64" s="2">
        <f>N9*'Output-Calculation-sheet'!N53/10^9</f>
        <v>0.62470905496717455</v>
      </c>
      <c r="O64" s="2">
        <f>O9*'Output-Calculation-sheet'!O53/10^9</f>
        <v>0.64729007331253474</v>
      </c>
      <c r="P64" s="2">
        <f>P9*'Output-Calculation-sheet'!P53/10^9</f>
        <v>0.53814938601615303</v>
      </c>
      <c r="Q64" s="2">
        <f>Q9*'Output-Calculation-sheet'!Q53/10^9</f>
        <v>0.50900790078051661</v>
      </c>
      <c r="R64" s="2">
        <f>R9*'Output-Calculation-sheet'!R53/10^9</f>
        <v>0.42811865468949245</v>
      </c>
      <c r="S64" s="2">
        <f>S9*'Output-Calculation-sheet'!S53/10^9</f>
        <v>0.39335694300601048</v>
      </c>
      <c r="T64" s="2">
        <f>T9*'Output-Calculation-sheet'!T53/10^9</f>
        <v>0.13988269886940422</v>
      </c>
      <c r="U64" s="2">
        <f>U9*'Output-Calculation-sheet'!U53/10^9</f>
        <v>0.13770795292880114</v>
      </c>
      <c r="V64" s="2">
        <f>V9*'Output-Calculation-sheet'!V53/10^9</f>
        <v>0.12257447750303678</v>
      </c>
      <c r="W64" s="2">
        <f>W9*'Output-Calculation-sheet'!W53/10^9</f>
        <v>6.4364046208903805E-2</v>
      </c>
      <c r="X64" s="2">
        <f>X9*'Output-Calculation-sheet'!X53/10^9</f>
        <v>0.10376815459422904</v>
      </c>
      <c r="Y64" s="2">
        <f>Y9*'Output-Calculation-sheet'!Y53/10^9</f>
        <v>5.3704225211109943E-2</v>
      </c>
      <c r="AA64" s="2">
        <f t="shared" si="4"/>
        <v>22.890940161498182</v>
      </c>
    </row>
    <row r="65" spans="1:27" x14ac:dyDescent="0.25">
      <c r="A65" s="2">
        <v>2033</v>
      </c>
      <c r="B65" s="2">
        <f>B10*'Output-Calculation-sheet'!B54/10^9</f>
        <v>8.0255742762122662</v>
      </c>
      <c r="C65" s="2">
        <f>C10*'Output-Calculation-sheet'!C54/10^9</f>
        <v>5.2746019863976876</v>
      </c>
      <c r="D65" s="2">
        <f>D10*'Output-Calculation-sheet'!D54/10^9</f>
        <v>1.430528247744161</v>
      </c>
      <c r="E65" s="2">
        <f>E10*'Output-Calculation-sheet'!E54/10^9</f>
        <v>1.821806111384322</v>
      </c>
      <c r="F65" s="2">
        <f>F10*'Output-Calculation-sheet'!F54/10^9</f>
        <v>0.78284580556665573</v>
      </c>
      <c r="G65" s="2">
        <f>G10*'Output-Calculation-sheet'!G54/10^9</f>
        <v>0.55734757212984121</v>
      </c>
      <c r="H65" s="2">
        <f>H10*'Output-Calculation-sheet'!H54/10^9</f>
        <v>1.3096129586203429</v>
      </c>
      <c r="I65" s="2">
        <f>I10*'Output-Calculation-sheet'!I54/10^9</f>
        <v>0.48867735743047475</v>
      </c>
      <c r="J65" s="2">
        <f>J10*'Output-Calculation-sheet'!J54/10^9</f>
        <v>0.57818290040879805</v>
      </c>
      <c r="K65" s="2">
        <f>K10*'Output-Calculation-sheet'!K54/10^9</f>
        <v>0.54103256877899242</v>
      </c>
      <c r="L65" s="2">
        <f>L10*'Output-Calculation-sheet'!L54/10^9</f>
        <v>0.55798393084902287</v>
      </c>
      <c r="M65" s="2">
        <f>M10*'Output-Calculation-sheet'!M54/10^9</f>
        <v>0.93121660485283042</v>
      </c>
      <c r="N65" s="2">
        <f>N10*'Output-Calculation-sheet'!N54/10^9</f>
        <v>0.79349245310875571</v>
      </c>
      <c r="O65" s="2">
        <f>O10*'Output-Calculation-sheet'!O54/10^9</f>
        <v>0.92327700974130011</v>
      </c>
      <c r="P65" s="2">
        <f>P10*'Output-Calculation-sheet'!P54/10^9</f>
        <v>0.58533762756975838</v>
      </c>
      <c r="Q65" s="2">
        <f>Q10*'Output-Calculation-sheet'!Q54/10^9</f>
        <v>0.57760833005673673</v>
      </c>
      <c r="R65" s="2">
        <f>R10*'Output-Calculation-sheet'!R54/10^9</f>
        <v>0.45790362881889174</v>
      </c>
      <c r="S65" s="2">
        <f>S10*'Output-Calculation-sheet'!S54/10^9</f>
        <v>0.4595773978284679</v>
      </c>
      <c r="T65" s="2">
        <f>T10*'Output-Calculation-sheet'!T54/10^9</f>
        <v>0.15506354089535504</v>
      </c>
      <c r="U65" s="2">
        <f>U10*'Output-Calculation-sheet'!U54/10^9</f>
        <v>0.14892829646058511</v>
      </c>
      <c r="V65" s="2">
        <f>V10*'Output-Calculation-sheet'!V54/10^9</f>
        <v>0.17547200705422983</v>
      </c>
      <c r="W65" s="2">
        <f>W10*'Output-Calculation-sheet'!W54/10^9</f>
        <v>7.4993284154164772E-2</v>
      </c>
      <c r="X65" s="2">
        <f>X10*'Output-Calculation-sheet'!X54/10^9</f>
        <v>0.12054901125143368</v>
      </c>
      <c r="Y65" s="2">
        <f>Y10*'Output-Calculation-sheet'!Y54/10^9</f>
        <v>5.8175621931684574E-2</v>
      </c>
      <c r="AA65" s="2">
        <f t="shared" si="4"/>
        <v>26.829788529246759</v>
      </c>
    </row>
    <row r="66" spans="1:27" x14ac:dyDescent="0.25">
      <c r="A66" s="2">
        <v>2034</v>
      </c>
      <c r="B66" s="2">
        <f>B11*'Output-Calculation-sheet'!B55/10^9</f>
        <v>8.8049962828203387</v>
      </c>
      <c r="C66" s="2">
        <f>C11*'Output-Calculation-sheet'!C55/10^9</f>
        <v>5.8517959311055296</v>
      </c>
      <c r="D66" s="2">
        <f>D11*'Output-Calculation-sheet'!D55/10^9</f>
        <v>1.5929699899105356</v>
      </c>
      <c r="E66" s="2">
        <f>E11*'Output-Calculation-sheet'!E55/10^9</f>
        <v>2.0631505885558981</v>
      </c>
      <c r="F66" s="2">
        <f>F11*'Output-Calculation-sheet'!F55/10^9</f>
        <v>0.81195011104860138</v>
      </c>
      <c r="G66" s="2">
        <f>G11*'Output-Calculation-sheet'!G55/10^9</f>
        <v>0.5923503568849775</v>
      </c>
      <c r="H66" s="2">
        <f>H11*'Output-Calculation-sheet'!H55/10^9</f>
        <v>1.4782601162195879</v>
      </c>
      <c r="I66" s="2">
        <f>I11*'Output-Calculation-sheet'!I55/10^9</f>
        <v>0.55065793937202023</v>
      </c>
      <c r="J66" s="2">
        <f>J11*'Output-Calculation-sheet'!J55/10^9</f>
        <v>0.5544344547623673</v>
      </c>
      <c r="K66" s="2">
        <f>K11*'Output-Calculation-sheet'!K55/10^9</f>
        <v>0.63127346023758169</v>
      </c>
      <c r="L66" s="2">
        <f>L11*'Output-Calculation-sheet'!L55/10^9</f>
        <v>0.61201168688102858</v>
      </c>
      <c r="M66" s="2">
        <f>M11*'Output-Calculation-sheet'!M55/10^9</f>
        <v>1.038938826494872</v>
      </c>
      <c r="N66" s="2">
        <f>N11*'Output-Calculation-sheet'!N55/10^9</f>
        <v>0.90316947589899088</v>
      </c>
      <c r="O66" s="2">
        <f>O11*'Output-Calculation-sheet'!O55/10^9</f>
        <v>1.0297356359702712</v>
      </c>
      <c r="P66" s="2">
        <f>P11*'Output-Calculation-sheet'!P55/10^9</f>
        <v>0.66030751106717389</v>
      </c>
      <c r="Q66" s="2">
        <f>Q11*'Output-Calculation-sheet'!Q55/10^9</f>
        <v>0.67919507410421975</v>
      </c>
      <c r="R66" s="2">
        <f>R11*'Output-Calculation-sheet'!R55/10^9</f>
        <v>0.5025238096382979</v>
      </c>
      <c r="S66" s="2">
        <f>S11*'Output-Calculation-sheet'!S55/10^9</f>
        <v>0.52165066238194735</v>
      </c>
      <c r="T66" s="2">
        <f>T11*'Output-Calculation-sheet'!T55/10^9</f>
        <v>0.1574507615505992</v>
      </c>
      <c r="U66" s="2">
        <f>U11*'Output-Calculation-sheet'!U55/10^9</f>
        <v>0.17136436358993329</v>
      </c>
      <c r="V66" s="2">
        <f>V11*'Output-Calculation-sheet'!V55/10^9</f>
        <v>0.14880551928463639</v>
      </c>
      <c r="W66" s="2">
        <f>W11*'Output-Calculation-sheet'!W55/10^9</f>
        <v>7.2900398396139029E-2</v>
      </c>
      <c r="X66" s="2">
        <f>X11*'Output-Calculation-sheet'!X55/10^9</f>
        <v>0.13622769343515245</v>
      </c>
      <c r="Y66" s="2">
        <f>Y11*'Output-Calculation-sheet'!Y55/10^9</f>
        <v>6.9947501266631643E-2</v>
      </c>
      <c r="AA66" s="2">
        <f t="shared" si="4"/>
        <v>29.636068150877342</v>
      </c>
    </row>
    <row r="67" spans="1:27" x14ac:dyDescent="0.25">
      <c r="A67" s="2">
        <v>2035</v>
      </c>
      <c r="B67" s="2">
        <f>B12*'Output-Calculation-sheet'!B56/10^9</f>
        <v>10.170353982893023</v>
      </c>
      <c r="C67" s="2">
        <f>C12*'Output-Calculation-sheet'!C56/10^9</f>
        <v>6.4269050341784295</v>
      </c>
      <c r="D67" s="2">
        <f>D12*'Output-Calculation-sheet'!D56/10^9</f>
        <v>2.0172859109544152</v>
      </c>
      <c r="E67" s="2">
        <f>E12*'Output-Calculation-sheet'!E56/10^9</f>
        <v>2.7587509346911698</v>
      </c>
      <c r="F67" s="2">
        <f>F12*'Output-Calculation-sheet'!F56/10^9</f>
        <v>1.0812470051118925</v>
      </c>
      <c r="G67" s="2">
        <f>G12*'Output-Calculation-sheet'!G56/10^9</f>
        <v>0.79777506626537087</v>
      </c>
      <c r="H67" s="2">
        <f>H12*'Output-Calculation-sheet'!H56/10^9</f>
        <v>1.6963934337037923</v>
      </c>
      <c r="I67" s="2">
        <f>I12*'Output-Calculation-sheet'!I56/10^9</f>
        <v>0.73095849699920978</v>
      </c>
      <c r="J67" s="2">
        <f>J12*'Output-Calculation-sheet'!J56/10^9</f>
        <v>0.66870266839315295</v>
      </c>
      <c r="K67" s="2">
        <f>K12*'Output-Calculation-sheet'!K56/10^9</f>
        <v>0.80118952236140639</v>
      </c>
      <c r="L67" s="2">
        <f>L12*'Output-Calculation-sheet'!L56/10^9</f>
        <v>0.74694892376804023</v>
      </c>
      <c r="M67" s="2">
        <f>M12*'Output-Calculation-sheet'!M56/10^9</f>
        <v>1.2002814001823696</v>
      </c>
      <c r="N67" s="2">
        <f>N12*'Output-Calculation-sheet'!N56/10^9</f>
        <v>1.0251515878396251</v>
      </c>
      <c r="O67" s="2">
        <f>O12*'Output-Calculation-sheet'!O56/10^9</f>
        <v>1.1338603066894795</v>
      </c>
      <c r="P67" s="2">
        <f>P12*'Output-Calculation-sheet'!P56/10^9</f>
        <v>0.83193395257621139</v>
      </c>
      <c r="Q67" s="2">
        <f>Q12*'Output-Calculation-sheet'!Q56/10^9</f>
        <v>0.78588661266271909</v>
      </c>
      <c r="R67" s="2">
        <f>R12*'Output-Calculation-sheet'!R56/10^9</f>
        <v>0.61710977727518235</v>
      </c>
      <c r="S67" s="2">
        <f>S12*'Output-Calculation-sheet'!S56/10^9</f>
        <v>0.59572076393675644</v>
      </c>
      <c r="T67" s="2">
        <f>T12*'Output-Calculation-sheet'!T56/10^9</f>
        <v>0.19189623652027893</v>
      </c>
      <c r="U67" s="2">
        <f>U12*'Output-Calculation-sheet'!U56/10^9</f>
        <v>0.2074672674744209</v>
      </c>
      <c r="V67" s="2">
        <f>V12*'Output-Calculation-sheet'!V56/10^9</f>
        <v>0.1481062423848781</v>
      </c>
      <c r="W67" s="2">
        <f>W12*'Output-Calculation-sheet'!W56/10^9</f>
        <v>0.10043285594317378</v>
      </c>
      <c r="X67" s="2">
        <f>X12*'Output-Calculation-sheet'!X56/10^9</f>
        <v>0.15590814715426007</v>
      </c>
      <c r="Y67" s="2">
        <f>Y12*'Output-Calculation-sheet'!Y56/10^9</f>
        <v>9.3714054686447668E-2</v>
      </c>
      <c r="AA67" s="2">
        <f t="shared" si="4"/>
        <v>34.983980184645702</v>
      </c>
    </row>
    <row r="68" spans="1:27" x14ac:dyDescent="0.25">
      <c r="B68" s="2">
        <f>SUM(B60:B67)</f>
        <v>55.854789597693156</v>
      </c>
      <c r="C68" s="2">
        <f t="shared" ref="C68:Y68" si="5">SUM(C60:C67)</f>
        <v>32.163303691908212</v>
      </c>
      <c r="D68" s="2">
        <f t="shared" si="5"/>
        <v>10.149302873766501</v>
      </c>
      <c r="E68" s="2">
        <f t="shared" si="5"/>
        <v>13.220355301390773</v>
      </c>
      <c r="F68" s="2">
        <f t="shared" si="5"/>
        <v>5.4142152452591468</v>
      </c>
      <c r="G68" s="2">
        <f t="shared" si="5"/>
        <v>3.9102243107904586</v>
      </c>
      <c r="H68" s="2">
        <f t="shared" si="5"/>
        <v>8.2766587065020012</v>
      </c>
      <c r="I68" s="2">
        <f t="shared" si="5"/>
        <v>3.5302865236278196</v>
      </c>
      <c r="J68" s="2">
        <f t="shared" si="5"/>
        <v>3.6935473265191319</v>
      </c>
      <c r="K68" s="2">
        <f t="shared" si="5"/>
        <v>3.9050005249448425</v>
      </c>
      <c r="L68" s="2">
        <f t="shared" si="5"/>
        <v>3.9264588905688109</v>
      </c>
      <c r="M68" s="2">
        <f t="shared" si="5"/>
        <v>6.0376159565936582</v>
      </c>
      <c r="N68" s="2">
        <f t="shared" si="5"/>
        <v>5.1435088002334064</v>
      </c>
      <c r="O68" s="2">
        <f t="shared" si="5"/>
        <v>5.59075073591411</v>
      </c>
      <c r="P68" s="2">
        <f t="shared" si="5"/>
        <v>4.155760826410571</v>
      </c>
      <c r="Q68" s="2">
        <f t="shared" si="5"/>
        <v>4.0089932000364588</v>
      </c>
      <c r="R68" s="2">
        <f t="shared" si="5"/>
        <v>3.2353978295016823</v>
      </c>
      <c r="S68" s="2">
        <f t="shared" si="5"/>
        <v>3.100221021323482</v>
      </c>
      <c r="T68" s="2">
        <f t="shared" si="5"/>
        <v>1.0492079151478326</v>
      </c>
      <c r="U68" s="2">
        <f t="shared" si="5"/>
        <v>1.0597150740436236</v>
      </c>
      <c r="V68" s="2">
        <f t="shared" si="5"/>
        <v>0.95452735460779681</v>
      </c>
      <c r="W68" s="2">
        <f t="shared" si="5"/>
        <v>0.49761707975037883</v>
      </c>
      <c r="X68" s="2">
        <f t="shared" si="5"/>
        <v>0.81504250268028766</v>
      </c>
      <c r="Y68" s="2">
        <f t="shared" si="5"/>
        <v>0.42938241618895329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51.725083609899308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46.043113751396525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182.68863686230722</v>
      </c>
      <c r="S74" s="2">
        <f>S8/'Output-Calculation-sheet'!S7*'Output-Calculation-sheet'!S61</f>
        <v>0</v>
      </c>
      <c r="T74" s="2">
        <f>T8/'Output-Calculation-sheet'!T7*'Output-Calculation-sheet'!T61</f>
        <v>134.5821519208146</v>
      </c>
      <c r="U74" s="2">
        <f>U8/'Output-Calculation-sheet'!U7*'Output-Calculation-sheet'!U61</f>
        <v>17.048418500919752</v>
      </c>
      <c r="V74" s="2">
        <f>V8/'Output-Calculation-sheet'!V7*'Output-Calculation-sheet'!V61</f>
        <v>154.48099892598648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0.58656840357132389</v>
      </c>
    </row>
    <row r="75" spans="1:27" x14ac:dyDescent="0.25">
      <c r="A75" s="2">
        <v>2032</v>
      </c>
      <c r="B75" s="2">
        <f>B9/'Output-Calculation-sheet'!B8*'Output-Calculation-sheet'!B62</f>
        <v>560.78498281819589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113.73204197741404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91.123071409819161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241.10926907903854</v>
      </c>
      <c r="S75" s="2">
        <f>S9/'Output-Calculation-sheet'!S8*'Output-Calculation-sheet'!S62</f>
        <v>0</v>
      </c>
      <c r="T75" s="2">
        <f>T9/'Output-Calculation-sheet'!T8*'Output-Calculation-sheet'!T62</f>
        <v>159.25838526178029</v>
      </c>
      <c r="U75" s="2">
        <f>U9/'Output-Calculation-sheet'!U8*'Output-Calculation-sheet'!U62</f>
        <v>32.554484872657845</v>
      </c>
      <c r="V75" s="2">
        <f>V9/'Output-Calculation-sheet'!V8*'Output-Calculation-sheet'!V62</f>
        <v>170.60026688021983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1.3691625022991256</v>
      </c>
    </row>
    <row r="76" spans="1:27" x14ac:dyDescent="0.25">
      <c r="A76" s="2">
        <v>2033</v>
      </c>
      <c r="B76" s="2">
        <f>B10/'Output-Calculation-sheet'!B9*'Output-Calculation-sheet'!B63</f>
        <v>5704.3540695397378</v>
      </c>
      <c r="C76" s="2">
        <f>C10/'Output-Calculation-sheet'!C9*'Output-Calculation-sheet'!C63</f>
        <v>11650.898580910014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3714.7238838222324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2529.3501956418413</v>
      </c>
      <c r="N76" s="2">
        <f>N10/'Output-Calculation-sheet'!N9*'Output-Calculation-sheet'!N63</f>
        <v>1444.8768255371958</v>
      </c>
      <c r="O76" s="2">
        <f>O10/'Output-Calculation-sheet'!O9*'Output-Calculation-sheet'!O63</f>
        <v>0</v>
      </c>
      <c r="P76" s="2">
        <f>P10/'Output-Calculation-sheet'!P9*'Output-Calculation-sheet'!P63</f>
        <v>501.73495598502041</v>
      </c>
      <c r="Q76" s="2">
        <f>Q10/'Output-Calculation-sheet'!Q9*'Output-Calculation-sheet'!Q63</f>
        <v>226.30262841964063</v>
      </c>
      <c r="R76" s="2">
        <f>R10/'Output-Calculation-sheet'!R9*'Output-Calculation-sheet'!R63</f>
        <v>382.40225351472048</v>
      </c>
      <c r="S76" s="2">
        <f>S10/'Output-Calculation-sheet'!S9*'Output-Calculation-sheet'!S63</f>
        <v>642.50300102907545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135.12776040312957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297.84895834372941</v>
      </c>
      <c r="Y76" s="2">
        <f>Y10/'Output-Calculation-sheet'!Y9*'Output-Calculation-sheet'!Y63</f>
        <v>5.6505766210566959</v>
      </c>
      <c r="AA76" s="2">
        <f t="shared" si="6"/>
        <v>27.369514409074892</v>
      </c>
    </row>
    <row r="77" spans="1:27" x14ac:dyDescent="0.25">
      <c r="A77" s="2">
        <v>2034</v>
      </c>
      <c r="B77" s="2">
        <f>B11/'Output-Calculation-sheet'!B10*'Output-Calculation-sheet'!B64</f>
        <v>14671.716756519998</v>
      </c>
      <c r="C77" s="2">
        <f>C11/'Output-Calculation-sheet'!C10*'Output-Calculation-sheet'!C64</f>
        <v>12888.518014461401</v>
      </c>
      <c r="D77" s="2">
        <f>D11/'Output-Calculation-sheet'!D10*'Output-Calculation-sheet'!D64</f>
        <v>1808.3592494886136</v>
      </c>
      <c r="E77" s="2">
        <f>E11/'Output-Calculation-sheet'!E10*'Output-Calculation-sheet'!E64</f>
        <v>2234.503788574094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954.81855597667402</v>
      </c>
      <c r="H77" s="2">
        <f>H11/'Output-Calculation-sheet'!H10*'Output-Calculation-sheet'!H64</f>
        <v>4730.6282374199855</v>
      </c>
      <c r="I77" s="2">
        <f>I11/'Output-Calculation-sheet'!I10*'Output-Calculation-sheet'!I64</f>
        <v>563.28669103323182</v>
      </c>
      <c r="J77" s="2">
        <f>J11/'Output-Calculation-sheet'!J10*'Output-Calculation-sheet'!J64</f>
        <v>401.53684873340507</v>
      </c>
      <c r="K77" s="2">
        <f>K11/'Output-Calculation-sheet'!K10*'Output-Calculation-sheet'!K64</f>
        <v>851.34742336936267</v>
      </c>
      <c r="L77" s="2">
        <f>L11/'Output-Calculation-sheet'!L10*'Output-Calculation-sheet'!L64</f>
        <v>369.65184711708645</v>
      </c>
      <c r="M77" s="2">
        <f>M11/'Output-Calculation-sheet'!M10*'Output-Calculation-sheet'!M64</f>
        <v>3364.6633971389251</v>
      </c>
      <c r="N77" s="2">
        <f>N11/'Output-Calculation-sheet'!N10*'Output-Calculation-sheet'!N64</f>
        <v>2393.8753732076248</v>
      </c>
      <c r="O77" s="2">
        <f>O11/'Output-Calculation-sheet'!O10*'Output-Calculation-sheet'!O64</f>
        <v>83.463800705744546</v>
      </c>
      <c r="P77" s="2">
        <f>P11/'Output-Calculation-sheet'!P10*'Output-Calculation-sheet'!P64</f>
        <v>1056.5678461681186</v>
      </c>
      <c r="Q77" s="2">
        <f>Q11/'Output-Calculation-sheet'!Q10*'Output-Calculation-sheet'!Q64</f>
        <v>602.89993848795791</v>
      </c>
      <c r="R77" s="2">
        <f>R11/'Output-Calculation-sheet'!R10*'Output-Calculation-sheet'!R64</f>
        <v>904.14603653688323</v>
      </c>
      <c r="S77" s="2">
        <f>S11/'Output-Calculation-sheet'!S10*'Output-Calculation-sheet'!S64</f>
        <v>1208.8939587497368</v>
      </c>
      <c r="T77" s="2">
        <f>T11/'Output-Calculation-sheet'!T10*'Output-Calculation-sheet'!T64</f>
        <v>248.74433824440268</v>
      </c>
      <c r="U77" s="2">
        <f>U11/'Output-Calculation-sheet'!U10*'Output-Calculation-sheet'!U64</f>
        <v>330.61026420612797</v>
      </c>
      <c r="V77" s="2">
        <f>V11/'Output-Calculation-sheet'!V10*'Output-Calculation-sheet'!V64</f>
        <v>131.79128781834967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341.88551783088985</v>
      </c>
      <c r="Y77" s="2">
        <f>Y11/'Output-Calculation-sheet'!Y10*'Output-Calculation-sheet'!Y64</f>
        <v>82.779550007767355</v>
      </c>
      <c r="AA77" s="2">
        <f t="shared" si="6"/>
        <v>50.391664620713591</v>
      </c>
    </row>
    <row r="78" spans="1:27" x14ac:dyDescent="0.25">
      <c r="A78" s="2">
        <v>2035</v>
      </c>
      <c r="B78" s="2">
        <f>B12/'Output-Calculation-sheet'!B11*'Output-Calculation-sheet'!B65</f>
        <v>19682.462506194181</v>
      </c>
      <c r="C78" s="2">
        <f>C12/'Output-Calculation-sheet'!C11*'Output-Calculation-sheet'!C65</f>
        <v>13899.337555623242</v>
      </c>
      <c r="D78" s="2">
        <f>D12/'Output-Calculation-sheet'!D11*'Output-Calculation-sheet'!D65</f>
        <v>2089.6083382182192</v>
      </c>
      <c r="E78" s="2">
        <f>E12/'Output-Calculation-sheet'!E11*'Output-Calculation-sheet'!E65</f>
        <v>3972.2899000376801</v>
      </c>
      <c r="F78" s="2">
        <f>F12/'Output-Calculation-sheet'!F11*'Output-Calculation-sheet'!F65</f>
        <v>841.40243634772298</v>
      </c>
      <c r="G78" s="2">
        <f>G12/'Output-Calculation-sheet'!G11*'Output-Calculation-sheet'!G65</f>
        <v>1578.791585127289</v>
      </c>
      <c r="H78" s="2">
        <f>H12/'Output-Calculation-sheet'!H11*'Output-Calculation-sheet'!H65</f>
        <v>5083.0861670226395</v>
      </c>
      <c r="I78" s="2">
        <f>I12/'Output-Calculation-sheet'!I11*'Output-Calculation-sheet'!I65</f>
        <v>928.37939501541643</v>
      </c>
      <c r="J78" s="2">
        <f>J12/'Output-Calculation-sheet'!J11*'Output-Calculation-sheet'!J65</f>
        <v>832.60004192491306</v>
      </c>
      <c r="K78" s="2">
        <f>K12/'Output-Calculation-sheet'!K11*'Output-Calculation-sheet'!K65</f>
        <v>1050.7009337866602</v>
      </c>
      <c r="L78" s="2">
        <f>L12/'Output-Calculation-sheet'!L11*'Output-Calculation-sheet'!L65</f>
        <v>624.73304616155644</v>
      </c>
      <c r="M78" s="2">
        <f>M12/'Output-Calculation-sheet'!M11*'Output-Calculation-sheet'!M65</f>
        <v>3618.2929002357478</v>
      </c>
      <c r="N78" s="2">
        <f>N12/'Output-Calculation-sheet'!N11*'Output-Calculation-sheet'!N65</f>
        <v>2544.2442232102085</v>
      </c>
      <c r="O78" s="2">
        <f>O12/'Output-Calculation-sheet'!O11*'Output-Calculation-sheet'!O65</f>
        <v>356.67015946176593</v>
      </c>
      <c r="P78" s="2">
        <f>P12/'Output-Calculation-sheet'!P11*'Output-Calculation-sheet'!P65</f>
        <v>1446.3759741399226</v>
      </c>
      <c r="Q78" s="2">
        <f>Q12/'Output-Calculation-sheet'!Q11*'Output-Calculation-sheet'!Q65</f>
        <v>727.512765468206</v>
      </c>
      <c r="R78" s="2">
        <f>R12/'Output-Calculation-sheet'!R11*'Output-Calculation-sheet'!R65</f>
        <v>1199.1611624331758</v>
      </c>
      <c r="S78" s="2">
        <f>S12/'Output-Calculation-sheet'!S11*'Output-Calculation-sheet'!S65</f>
        <v>1352.8388685133668</v>
      </c>
      <c r="T78" s="2">
        <f>T12/'Output-Calculation-sheet'!T11*'Output-Calculation-sheet'!T65</f>
        <v>431.19044656691329</v>
      </c>
      <c r="U78" s="2">
        <f>U12/'Output-Calculation-sheet'!U11*'Output-Calculation-sheet'!U65</f>
        <v>369.45038902405582</v>
      </c>
      <c r="V78" s="2">
        <f>V12/'Output-Calculation-sheet'!V11*'Output-Calculation-sheet'!V65</f>
        <v>232.70446136420716</v>
      </c>
      <c r="W78" s="2">
        <f>W12/'Output-Calculation-sheet'!W11*'Output-Calculation-sheet'!W65</f>
        <v>163.90117588914282</v>
      </c>
      <c r="X78" s="2">
        <f>X12/'Output-Calculation-sheet'!X11*'Output-Calculation-sheet'!X65</f>
        <v>372.92794271662211</v>
      </c>
      <c r="Y78" s="2">
        <f>Y12/'Output-Calculation-sheet'!Y11*'Output-Calculation-sheet'!Y65</f>
        <v>159.98380812855964</v>
      </c>
      <c r="AA78" s="2">
        <f t="shared" si="6"/>
        <v>63.558646182611426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420.50379257624479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408.46287193832524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0.82896666451457013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893.64740650977387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34.386562944639792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23.661320223760207</v>
      </c>
      <c r="N88" s="2">
        <f>N11/'Output-Calculation-sheet'!N10*'Output-Calculation-sheet'!N73</f>
        <v>0</v>
      </c>
      <c r="O88" s="2">
        <f>O11/'Output-Calculation-sheet'!O10*'Output-Calculation-sheet'!O73</f>
        <v>499.13349356009479</v>
      </c>
      <c r="P88" s="2">
        <f>P11/'Output-Calculation-sheet'!P10*'Output-Calculation-sheet'!P73</f>
        <v>0</v>
      </c>
      <c r="Q88" s="2">
        <f>Q11/'Output-Calculation-sheet'!Q10*'Output-Calculation-sheet'!Q73</f>
        <v>20.375124653192223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2.59570515845853</v>
      </c>
      <c r="Y88" s="2">
        <f>Y11/'Output-Calculation-sheet'!Y10*'Output-Calculation-sheet'!Y73</f>
        <v>0</v>
      </c>
      <c r="AA88" s="2">
        <f t="shared" si="7"/>
        <v>1.4737996130499194</v>
      </c>
    </row>
    <row r="89" spans="1:27" x14ac:dyDescent="0.25">
      <c r="A89" s="2">
        <v>2035</v>
      </c>
      <c r="B89" s="2">
        <f>B12/'Output-Calculation-sheet'!B11*'Output-Calculation-sheet'!B74</f>
        <v>496.14233334663055</v>
      </c>
      <c r="C89" s="2">
        <f>C12/'Output-Calculation-sheet'!C11*'Output-Calculation-sheet'!C74</f>
        <v>1530.6214112807359</v>
      </c>
      <c r="D89" s="2">
        <f>D12/'Output-Calculation-sheet'!D11*'Output-Calculation-sheet'!D74</f>
        <v>208.59579118724423</v>
      </c>
      <c r="E89" s="2">
        <f>E12/'Output-Calculation-sheet'!E11*'Output-Calculation-sheet'!E74</f>
        <v>165.77801473353838</v>
      </c>
      <c r="F89" s="2">
        <f>F12/'Output-Calculation-sheet'!F11*'Output-Calculation-sheet'!F74</f>
        <v>52.13150163244876</v>
      </c>
      <c r="G89" s="2">
        <f>G12/'Output-Calculation-sheet'!G11*'Output-Calculation-sheet'!G74</f>
        <v>74.827792081486749</v>
      </c>
      <c r="H89" s="2">
        <f>H12/'Output-Calculation-sheet'!H11*'Output-Calculation-sheet'!H74</f>
        <v>181.22036161539864</v>
      </c>
      <c r="I89" s="2">
        <f>I12/'Output-Calculation-sheet'!I11*'Output-Calculation-sheet'!I74</f>
        <v>67.303131435074405</v>
      </c>
      <c r="J89" s="2">
        <f>J12/'Output-Calculation-sheet'!J11*'Output-Calculation-sheet'!J74</f>
        <v>33.304001676996521</v>
      </c>
      <c r="K89" s="2">
        <f>K12/'Output-Calculation-sheet'!K11*'Output-Calculation-sheet'!K74</f>
        <v>66.148384146730052</v>
      </c>
      <c r="L89" s="2">
        <f>L12/'Output-Calculation-sheet'!L11*'Output-Calculation-sheet'!L74</f>
        <v>52.598025355635144</v>
      </c>
      <c r="M89" s="2">
        <f>M12/'Output-Calculation-sheet'!M11*'Output-Calculation-sheet'!M74</f>
        <v>99.757873775307871</v>
      </c>
      <c r="N89" s="2">
        <f>N12/'Output-Calculation-sheet'!N11*'Output-Calculation-sheet'!N74</f>
        <v>73.534486884435395</v>
      </c>
      <c r="O89" s="2">
        <f>O12/'Output-Calculation-sheet'!O11*'Output-Calculation-sheet'!O74</f>
        <v>594.71712601846434</v>
      </c>
      <c r="P89" s="2">
        <f>P12/'Output-Calculation-sheet'!P11*'Output-Calculation-sheet'!P74</f>
        <v>45.2884107505377</v>
      </c>
      <c r="Q89" s="2">
        <f>Q12/'Output-Calculation-sheet'!Q11*'Output-Calculation-sheet'!Q74</f>
        <v>64.427272889497516</v>
      </c>
      <c r="R89" s="2">
        <f>R12/'Output-Calculation-sheet'!R11*'Output-Calculation-sheet'!R74</f>
        <v>42.594436203359351</v>
      </c>
      <c r="S89" s="2">
        <f>S12/'Output-Calculation-sheet'!S11*'Output-Calculation-sheet'!S74</f>
        <v>42.152391989573346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13.704157758969391</v>
      </c>
      <c r="V89" s="2">
        <f>V12/'Output-Calculation-sheet'!V11*'Output-Calculation-sheet'!V74</f>
        <v>5.2835742652454911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16.415527014553312</v>
      </c>
      <c r="Y89" s="2">
        <f>Y12/'Output-Calculation-sheet'!Y11*'Output-Calculation-sheet'!Y74</f>
        <v>5.2804293465982228</v>
      </c>
      <c r="AA89" s="2">
        <f t="shared" si="7"/>
        <v>3.9442808357798911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14968331895.294035</v>
      </c>
      <c r="C96" s="2">
        <f>C8/'Output-Calculation-sheet'!C7*'Output-Calculation-sheet'!C79</f>
        <v>1842443157.0106938</v>
      </c>
      <c r="D96" s="2">
        <f>D8/'Output-Calculation-sheet'!D7*'Output-Calculation-sheet'!D79</f>
        <v>6524655345.5734692</v>
      </c>
      <c r="E96" s="2">
        <f>E8/'Output-Calculation-sheet'!E7*'Output-Calculation-sheet'!E79</f>
        <v>11155686228.334923</v>
      </c>
      <c r="F96" s="2">
        <f>F8/'Output-Calculation-sheet'!F7*'Output-Calculation-sheet'!F79</f>
        <v>5020431120.3760014</v>
      </c>
      <c r="G96" s="2">
        <f>G8/'Output-Calculation-sheet'!G7*'Output-Calculation-sheet'!G79</f>
        <v>3813245443.3145938</v>
      </c>
      <c r="H96" s="2">
        <f>H8/'Output-Calculation-sheet'!H7*'Output-Calculation-sheet'!H79</f>
        <v>1109403169.9833093</v>
      </c>
      <c r="I96" s="2">
        <f>I8/'Output-Calculation-sheet'!I7*'Output-Calculation-sheet'!I79</f>
        <v>2557821640.1230249</v>
      </c>
      <c r="J96" s="2">
        <f>J8/'Output-Calculation-sheet'!J7*'Output-Calculation-sheet'!J79</f>
        <v>1895390161.6072907</v>
      </c>
      <c r="K96" s="2">
        <f>K8/'Output-Calculation-sheet'!K7*'Output-Calculation-sheet'!K79</f>
        <v>2191547522.662384</v>
      </c>
      <c r="L96" s="2">
        <f>L8/'Output-Calculation-sheet'!L7*'Output-Calculation-sheet'!L79</f>
        <v>1743335786.1277049</v>
      </c>
      <c r="M96" s="2">
        <f>M8/'Output-Calculation-sheet'!M7*'Output-Calculation-sheet'!M79</f>
        <v>862461962.26106501</v>
      </c>
      <c r="N96" s="2">
        <f>N8/'Output-Calculation-sheet'!N7*'Output-Calculation-sheet'!N79</f>
        <v>875915694.56640399</v>
      </c>
      <c r="O96" s="2">
        <f>O8/'Output-Calculation-sheet'!O7*'Output-Calculation-sheet'!O79</f>
        <v>213811103.01609978</v>
      </c>
      <c r="P96" s="2">
        <f>P8/'Output-Calculation-sheet'!P7*'Output-Calculation-sheet'!P79</f>
        <v>2329634624.8425999</v>
      </c>
      <c r="Q96" s="2">
        <f>Q8/'Output-Calculation-sheet'!Q7*'Output-Calculation-sheet'!Q79</f>
        <v>1033033782.1710382</v>
      </c>
      <c r="R96" s="2">
        <f>R8/'Output-Calculation-sheet'!R7*'Output-Calculation-sheet'!R79</f>
        <v>1571744096.6129389</v>
      </c>
      <c r="S96" s="2">
        <f>S8/'Output-Calculation-sheet'!S7*'Output-Calculation-sheet'!S79</f>
        <v>614350563.16061938</v>
      </c>
      <c r="T96" s="2">
        <f>T8/'Output-Calculation-sheet'!T7*'Output-Calculation-sheet'!T79</f>
        <v>832026772.84151185</v>
      </c>
      <c r="U96" s="2">
        <f>U8/'Output-Calculation-sheet'!U7*'Output-Calculation-sheet'!U79</f>
        <v>413244511.99012405</v>
      </c>
      <c r="V96" s="2">
        <f>V8/'Output-Calculation-sheet'!V7*'Output-Calculation-sheet'!V79</f>
        <v>304507112.57192922</v>
      </c>
      <c r="W96" s="2">
        <f>W8/'Output-Calculation-sheet'!W7*'Output-Calculation-sheet'!W79</f>
        <v>811220297.63394189</v>
      </c>
      <c r="X96" s="2">
        <f>X8/'Output-Calculation-sheet'!X7*'Output-Calculation-sheet'!X79</f>
        <v>96127839.387482017</v>
      </c>
      <c r="Y96" s="2">
        <f>Y8/'Output-Calculation-sheet'!Y7*'Output-Calculation-sheet'!Y79</f>
        <v>364065704.82110757</v>
      </c>
      <c r="AA96" s="2">
        <f t="shared" si="8"/>
        <v>63.144435536284284</v>
      </c>
    </row>
    <row r="97" spans="1:27" x14ac:dyDescent="0.25">
      <c r="A97" s="2">
        <v>2032</v>
      </c>
      <c r="B97" s="2">
        <f>B9/'Output-Calculation-sheet'!B8*'Output-Calculation-sheet'!B80</f>
        <v>16679295576.575779</v>
      </c>
      <c r="C97" s="2">
        <f>C9/'Output-Calculation-sheet'!C8*'Output-Calculation-sheet'!C80</f>
        <v>2095474107.3002222</v>
      </c>
      <c r="D97" s="2">
        <f>D9/'Output-Calculation-sheet'!D8*'Output-Calculation-sheet'!D80</f>
        <v>6901434635.6605568</v>
      </c>
      <c r="E97" s="2">
        <f>E9/'Output-Calculation-sheet'!E8*'Output-Calculation-sheet'!E80</f>
        <v>12150703861.401985</v>
      </c>
      <c r="F97" s="2">
        <f>F9/'Output-Calculation-sheet'!F8*'Output-Calculation-sheet'!F80</f>
        <v>5455594466.4496756</v>
      </c>
      <c r="G97" s="2">
        <f>G9/'Output-Calculation-sheet'!G8*'Output-Calculation-sheet'!G80</f>
        <v>4038127097.0954781</v>
      </c>
      <c r="H97" s="2">
        <f>H9/'Output-Calculation-sheet'!H8*'Output-Calculation-sheet'!H80</f>
        <v>1223578609.9942825</v>
      </c>
      <c r="I97" s="2">
        <f>I9/'Output-Calculation-sheet'!I8*'Output-Calculation-sheet'!I80</f>
        <v>2804767433.1542544</v>
      </c>
      <c r="J97" s="2">
        <f>J9/'Output-Calculation-sheet'!J8*'Output-Calculation-sheet'!J80</f>
        <v>2023803617.0363996</v>
      </c>
      <c r="K97" s="2">
        <f>K9/'Output-Calculation-sheet'!K8*'Output-Calculation-sheet'!K80</f>
        <v>2355766994.1914072</v>
      </c>
      <c r="L97" s="2">
        <f>L9/'Output-Calculation-sheet'!L8*'Output-Calculation-sheet'!L80</f>
        <v>1931594738.0090218</v>
      </c>
      <c r="M97" s="2">
        <f>M9/'Output-Calculation-sheet'!M8*'Output-Calculation-sheet'!M80</f>
        <v>951065762.88873112</v>
      </c>
      <c r="N97" s="2">
        <f>N9/'Output-Calculation-sheet'!N8*'Output-Calculation-sheet'!N80</f>
        <v>942626955.56965244</v>
      </c>
      <c r="O97" s="2">
        <f>O9/'Output-Calculation-sheet'!O8*'Output-Calculation-sheet'!O80</f>
        <v>246007897.60461053</v>
      </c>
      <c r="P97" s="2">
        <f>P9/'Output-Calculation-sheet'!P8*'Output-Calculation-sheet'!P80</f>
        <v>2501771444.1216688</v>
      </c>
      <c r="Q97" s="2">
        <f>Q9/'Output-Calculation-sheet'!Q8*'Output-Calculation-sheet'!Q80</f>
        <v>1112429528.9784348</v>
      </c>
      <c r="R97" s="2">
        <f>R9/'Output-Calculation-sheet'!R8*'Output-Calculation-sheet'!R80</f>
        <v>1731104106.7668364</v>
      </c>
      <c r="S97" s="2">
        <f>S9/'Output-Calculation-sheet'!S8*'Output-Calculation-sheet'!S80</f>
        <v>667632484.46197295</v>
      </c>
      <c r="T97" s="2">
        <f>T9/'Output-Calculation-sheet'!T8*'Output-Calculation-sheet'!T80</f>
        <v>892692420.9745239</v>
      </c>
      <c r="U97" s="2">
        <f>U9/'Output-Calculation-sheet'!U8*'Output-Calculation-sheet'!U80</f>
        <v>453060225.76735342</v>
      </c>
      <c r="V97" s="2">
        <f>V9/'Output-Calculation-sheet'!V8*'Output-Calculation-sheet'!V80</f>
        <v>333737583.25563836</v>
      </c>
      <c r="W97" s="2">
        <f>W9/'Output-Calculation-sheet'!W8*'Output-Calculation-sheet'!W80</f>
        <v>872775438.8296932</v>
      </c>
      <c r="X97" s="2">
        <f>X9/'Output-Calculation-sheet'!X8*'Output-Calculation-sheet'!X80</f>
        <v>106880686.34073898</v>
      </c>
      <c r="Y97" s="2">
        <f>Y9/'Output-Calculation-sheet'!Y8*'Output-Calculation-sheet'!Y80</f>
        <v>391915683.9940142</v>
      </c>
      <c r="AA97" s="2">
        <f t="shared" si="8"/>
        <v>68.863841356422924</v>
      </c>
    </row>
    <row r="98" spans="1:27" x14ac:dyDescent="0.25">
      <c r="A98" s="2">
        <v>2033</v>
      </c>
      <c r="B98" s="2">
        <f>B10/'Output-Calculation-sheet'!B9*'Output-Calculation-sheet'!B81</f>
        <v>20783913946.119892</v>
      </c>
      <c r="C98" s="2">
        <f>C10/'Output-Calculation-sheet'!C9*'Output-Calculation-sheet'!C81</f>
        <v>7125756348.0868263</v>
      </c>
      <c r="D98" s="2">
        <f>D10/'Output-Calculation-sheet'!D9*'Output-Calculation-sheet'!D81</f>
        <v>6781549712.7208424</v>
      </c>
      <c r="E98" s="2">
        <f>E10/'Output-Calculation-sheet'!E9*'Output-Calculation-sheet'!E81</f>
        <v>12756521702.87858</v>
      </c>
      <c r="F98" s="2">
        <f>F10/'Output-Calculation-sheet'!F9*'Output-Calculation-sheet'!F81</f>
        <v>5261097889.2083578</v>
      </c>
      <c r="G98" s="2">
        <f>G10/'Output-Calculation-sheet'!G9*'Output-Calculation-sheet'!G81</f>
        <v>3862859039.4249425</v>
      </c>
      <c r="H98" s="2">
        <f>H10/'Output-Calculation-sheet'!H9*'Output-Calculation-sheet'!H81</f>
        <v>3499781850.2274308</v>
      </c>
      <c r="I98" s="2">
        <f>I10/'Output-Calculation-sheet'!I9*'Output-Calculation-sheet'!I81</f>
        <v>2909351944.2626696</v>
      </c>
      <c r="J98" s="2">
        <f>J10/'Output-Calculation-sheet'!J9*'Output-Calculation-sheet'!J81</f>
        <v>1860312962.3875408</v>
      </c>
      <c r="K98" s="2">
        <f>K10/'Output-Calculation-sheet'!K9*'Output-Calculation-sheet'!K81</f>
        <v>2702178352.0155892</v>
      </c>
      <c r="L98" s="2">
        <f>L10/'Output-Calculation-sheet'!L9*'Output-Calculation-sheet'!L81</f>
        <v>2026674212.540729</v>
      </c>
      <c r="M98" s="2">
        <f>M10/'Output-Calculation-sheet'!M9*'Output-Calculation-sheet'!M81</f>
        <v>2628189226.8279195</v>
      </c>
      <c r="N98" s="2">
        <f>N10/'Output-Calculation-sheet'!N9*'Output-Calculation-sheet'!N81</f>
        <v>1885520705.2981277</v>
      </c>
      <c r="O98" s="2">
        <f>O10/'Output-Calculation-sheet'!O9*'Output-Calculation-sheet'!O81</f>
        <v>998489736.99903166</v>
      </c>
      <c r="P98" s="2">
        <f>P10/'Output-Calculation-sheet'!P9*'Output-Calculation-sheet'!P81</f>
        <v>3190883492.26123</v>
      </c>
      <c r="Q98" s="2">
        <f>Q10/'Output-Calculation-sheet'!Q9*'Output-Calculation-sheet'!Q81</f>
        <v>1500272527.285392</v>
      </c>
      <c r="R98" s="2">
        <f>R10/'Output-Calculation-sheet'!R9*'Output-Calculation-sheet'!R81</f>
        <v>1919075535.9565322</v>
      </c>
      <c r="S98" s="2">
        <f>S10/'Output-Calculation-sheet'!S9*'Output-Calculation-sheet'!S81</f>
        <v>1109567329.6812453</v>
      </c>
      <c r="T98" s="2">
        <f>T10/'Output-Calculation-sheet'!T9*'Output-Calculation-sheet'!T81</f>
        <v>823344605.77658939</v>
      </c>
      <c r="U98" s="2">
        <f>U10/'Output-Calculation-sheet'!U9*'Output-Calculation-sheet'!U81</f>
        <v>535721399.69354326</v>
      </c>
      <c r="V98" s="2">
        <f>V10/'Output-Calculation-sheet'!V9*'Output-Calculation-sheet'!V81</f>
        <v>283727074.70091039</v>
      </c>
      <c r="W98" s="2">
        <f>W10/'Output-Calculation-sheet'!W9*'Output-Calculation-sheet'!W81</f>
        <v>804464142.70551038</v>
      </c>
      <c r="X98" s="2">
        <f>X10/'Output-Calculation-sheet'!X9*'Output-Calculation-sheet'!X81</f>
        <v>295616233.16820782</v>
      </c>
      <c r="Y98" s="2">
        <f>Y10/'Output-Calculation-sheet'!Y9*'Output-Calculation-sheet'!Y81</f>
        <v>442344205.13650858</v>
      </c>
      <c r="AA98" s="2">
        <f t="shared" si="8"/>
        <v>85.987214175364144</v>
      </c>
    </row>
    <row r="99" spans="1:27" x14ac:dyDescent="0.25">
      <c r="A99" s="2">
        <v>2034</v>
      </c>
      <c r="B99" s="2">
        <f>B11/'Output-Calculation-sheet'!B10*'Output-Calculation-sheet'!B82</f>
        <v>25756867416.770355</v>
      </c>
      <c r="C99" s="2">
        <f>C11/'Output-Calculation-sheet'!C10*'Output-Calculation-sheet'!C82</f>
        <v>8887176005.9176273</v>
      </c>
      <c r="D99" s="2">
        <f>D11/'Output-Calculation-sheet'!D10*'Output-Calculation-sheet'!D82</f>
        <v>8084830344.0864658</v>
      </c>
      <c r="E99" s="2">
        <f>E11/'Output-Calculation-sheet'!E10*'Output-Calculation-sheet'!E82</f>
        <v>15639395350.430767</v>
      </c>
      <c r="F99" s="2">
        <f>F11/'Output-Calculation-sheet'!F10*'Output-Calculation-sheet'!F82</f>
        <v>6441065566.4200916</v>
      </c>
      <c r="G99" s="2">
        <f>G11/'Output-Calculation-sheet'!G10*'Output-Calculation-sheet'!G82</f>
        <v>4579139269.5991554</v>
      </c>
      <c r="H99" s="2">
        <f>H11/'Output-Calculation-sheet'!H10*'Output-Calculation-sheet'!H82</f>
        <v>4280037032.5623088</v>
      </c>
      <c r="I99" s="2">
        <f>I11/'Output-Calculation-sheet'!I10*'Output-Calculation-sheet'!I82</f>
        <v>3594933144.3809252</v>
      </c>
      <c r="J99" s="2">
        <f>J11/'Output-Calculation-sheet'!J10*'Output-Calculation-sheet'!J82</f>
        <v>2237125520.8337851</v>
      </c>
      <c r="K99" s="2">
        <f>K11/'Output-Calculation-sheet'!K10*'Output-Calculation-sheet'!K82</f>
        <v>3273208207.8631678</v>
      </c>
      <c r="L99" s="2">
        <f>L11/'Output-Calculation-sheet'!L10*'Output-Calculation-sheet'!L82</f>
        <v>2527156104.1786695</v>
      </c>
      <c r="M99" s="2">
        <f>M11/'Output-Calculation-sheet'!M10*'Output-Calculation-sheet'!M82</f>
        <v>3224072564.6333866</v>
      </c>
      <c r="N99" s="2">
        <f>N11/'Output-Calculation-sheet'!N10*'Output-Calculation-sheet'!N82</f>
        <v>2271362134.2760377</v>
      </c>
      <c r="O99" s="2">
        <f>O11/'Output-Calculation-sheet'!O10*'Output-Calculation-sheet'!O82</f>
        <v>1231419403.4426696</v>
      </c>
      <c r="P99" s="2">
        <f>P11/'Output-Calculation-sheet'!P10*'Output-Calculation-sheet'!P82</f>
        <v>3838613247.4904613</v>
      </c>
      <c r="Q99" s="2">
        <f>Q11/'Output-Calculation-sheet'!Q10*'Output-Calculation-sheet'!Q82</f>
        <v>1816673009.243161</v>
      </c>
      <c r="R99" s="2">
        <f>R11/'Output-Calculation-sheet'!R10*'Output-Calculation-sheet'!R82</f>
        <v>2351674809.0687637</v>
      </c>
      <c r="S99" s="2">
        <f>S11/'Output-Calculation-sheet'!S10*'Output-Calculation-sheet'!S82</f>
        <v>1354630434.6237581</v>
      </c>
      <c r="T99" s="2">
        <f>T11/'Output-Calculation-sheet'!T10*'Output-Calculation-sheet'!T82</f>
        <v>990076472.79269636</v>
      </c>
      <c r="U99" s="2">
        <f>U11/'Output-Calculation-sheet'!U10*'Output-Calculation-sheet'!U82</f>
        <v>655648598.69990981</v>
      </c>
      <c r="V99" s="2">
        <f>V11/'Output-Calculation-sheet'!V10*'Output-Calculation-sheet'!V82</f>
        <v>350567131.48066378</v>
      </c>
      <c r="W99" s="2">
        <f>W11/'Output-Calculation-sheet'!W10*'Output-Calculation-sheet'!W82</f>
        <v>972134929.58672452</v>
      </c>
      <c r="X99" s="2">
        <f>X11/'Output-Calculation-sheet'!X10*'Output-Calculation-sheet'!X82</f>
        <v>366132778.4275986</v>
      </c>
      <c r="Y99" s="2">
        <f>Y11/'Output-Calculation-sheet'!Y10*'Output-Calculation-sheet'!Y82</f>
        <v>534982536.7299273</v>
      </c>
      <c r="AA99" s="2">
        <f t="shared" si="8"/>
        <v>105.25892201353908</v>
      </c>
    </row>
    <row r="100" spans="1:27" x14ac:dyDescent="0.25">
      <c r="A100" s="2">
        <v>2035</v>
      </c>
      <c r="B100" s="2">
        <f>B12/'Output-Calculation-sheet'!B11*'Output-Calculation-sheet'!B83</f>
        <v>31018719452.364674</v>
      </c>
      <c r="C100" s="2">
        <f>C12/'Output-Calculation-sheet'!C11*'Output-Calculation-sheet'!C83</f>
        <v>10769195576.334597</v>
      </c>
      <c r="D100" s="2">
        <f>D12/'Output-Calculation-sheet'!D11*'Output-Calculation-sheet'!D83</f>
        <v>9373203899.9668465</v>
      </c>
      <c r="E100" s="2">
        <f>E12/'Output-Calculation-sheet'!E11*'Output-Calculation-sheet'!E83</f>
        <v>18640884000.010513</v>
      </c>
      <c r="F100" s="2">
        <f>F12/'Output-Calculation-sheet'!F11*'Output-Calculation-sheet'!F83</f>
        <v>7668116411.8198261</v>
      </c>
      <c r="G100" s="2">
        <f>G12/'Output-Calculation-sheet'!G11*'Output-Calculation-sheet'!G83</f>
        <v>5269489101.4560232</v>
      </c>
      <c r="H100" s="2">
        <f>H12/'Output-Calculation-sheet'!H11*'Output-Calculation-sheet'!H83</f>
        <v>5089932672.2844696</v>
      </c>
      <c r="I100" s="2">
        <f>I12/'Output-Calculation-sheet'!I11*'Output-Calculation-sheet'!I83</f>
        <v>4318707337.9258547</v>
      </c>
      <c r="J100" s="2">
        <f>J12/'Output-Calculation-sheet'!J11*'Output-Calculation-sheet'!J83</f>
        <v>2617322526.1131945</v>
      </c>
      <c r="K100" s="2">
        <f>K12/'Output-Calculation-sheet'!K11*'Output-Calculation-sheet'!K83</f>
        <v>3856430951.2391181</v>
      </c>
      <c r="L100" s="2">
        <f>L12/'Output-Calculation-sheet'!L11*'Output-Calculation-sheet'!L83</f>
        <v>3061786283.8781452</v>
      </c>
      <c r="M100" s="2">
        <f>M12/'Output-Calculation-sheet'!M11*'Output-Calculation-sheet'!M83</f>
        <v>3846282038.9086809</v>
      </c>
      <c r="N100" s="2">
        <f>N12/'Output-Calculation-sheet'!N11*'Output-Calculation-sheet'!N83</f>
        <v>2661323382.0780435</v>
      </c>
      <c r="O100" s="2">
        <f>O12/'Output-Calculation-sheet'!O11*'Output-Calculation-sheet'!O83</f>
        <v>1477203458.8638253</v>
      </c>
      <c r="P100" s="2">
        <f>P12/'Output-Calculation-sheet'!P11*'Output-Calculation-sheet'!P83</f>
        <v>4486371867.8724537</v>
      </c>
      <c r="Q100" s="2">
        <f>Q12/'Output-Calculation-sheet'!Q11*'Output-Calculation-sheet'!Q83</f>
        <v>2140019947.1763468</v>
      </c>
      <c r="R100" s="2">
        <f>R12/'Output-Calculation-sheet'!R11*'Output-Calculation-sheet'!R83</f>
        <v>2802236844.4955678</v>
      </c>
      <c r="S100" s="2">
        <f>S12/'Output-Calculation-sheet'!S11*'Output-Calculation-sheet'!S83</f>
        <v>1608339972.2392337</v>
      </c>
      <c r="T100" s="2">
        <f>T12/'Output-Calculation-sheet'!T11*'Output-Calculation-sheet'!T83</f>
        <v>1157447529.5221384</v>
      </c>
      <c r="U100" s="2">
        <f>U12/'Output-Calculation-sheet'!U11*'Output-Calculation-sheet'!U83</f>
        <v>779988583.84105361</v>
      </c>
      <c r="V100" s="2">
        <f>V12/'Output-Calculation-sheet'!V11*'Output-Calculation-sheet'!V83</f>
        <v>420849159.46206933</v>
      </c>
      <c r="W100" s="2">
        <f>W12/'Output-Calculation-sheet'!W11*'Output-Calculation-sheet'!W83</f>
        <v>1140183764.0764291</v>
      </c>
      <c r="X100" s="2">
        <f>X12/'Output-Calculation-sheet'!X11*'Output-Calculation-sheet'!X83</f>
        <v>440805873.32968318</v>
      </c>
      <c r="Y100" s="2">
        <f>Y12/'Output-Calculation-sheet'!Y11*'Output-Calculation-sheet'!Y83</f>
        <v>628309311.22183335</v>
      </c>
      <c r="AA100" s="2">
        <f t="shared" si="8"/>
        <v>125.27314994648061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4889.1363574465686</v>
      </c>
      <c r="C19" s="2">
        <f>C8/'Output-Calculation-sheet'!C7*'Output-Calculation-sheet'!C25</f>
        <v>6518.9825175647929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2375.299222636756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1738.6078702742525</v>
      </c>
      <c r="N19" s="2">
        <f>N8/'Output-Calculation-sheet'!N7*'Output-Calculation-sheet'!N25</f>
        <v>905.75729093313566</v>
      </c>
      <c r="O19" s="2">
        <f>O8/'Output-Calculation-sheet'!O7*'Output-Calculation-sheet'!O25</f>
        <v>987.75204394960122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394.85630956985534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200.97166105838707</v>
      </c>
      <c r="Y19" s="2">
        <f>Y8/'Output-Calculation-sheet'!Y7*'Output-Calculation-sheet'!Y25</f>
        <v>0</v>
      </c>
      <c r="AA19" s="2">
        <f t="shared" si="0"/>
        <v>18.011363273433346</v>
      </c>
    </row>
    <row r="20" spans="1:27" x14ac:dyDescent="0.25">
      <c r="A20" s="2">
        <v>2032</v>
      </c>
      <c r="B20" s="2">
        <f>B9/'Output-Calculation-sheet'!B8*'Output-Calculation-sheet'!B26</f>
        <v>6008.0128273196578</v>
      </c>
      <c r="C20" s="2">
        <f>C9/'Output-Calculation-sheet'!C8*'Output-Calculation-sheet'!C26</f>
        <v>6924.7056472132463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2492.9234382763029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1820.4036064889954</v>
      </c>
      <c r="N20" s="2">
        <f>N9/'Output-Calculation-sheet'!N8*'Output-Calculation-sheet'!N26</f>
        <v>1035.4673755060783</v>
      </c>
      <c r="O20" s="2">
        <f>O9/'Output-Calculation-sheet'!O8*'Output-Calculation-sheet'!O26</f>
        <v>1071.1940310236323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468.07597103835923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210.28024888020943</v>
      </c>
      <c r="Y20" s="2">
        <f>Y9/'Output-Calculation-sheet'!Y8*'Output-Calculation-sheet'!Y26</f>
        <v>0</v>
      </c>
      <c r="AA20" s="2">
        <f t="shared" si="0"/>
        <v>20.031063145746479</v>
      </c>
    </row>
    <row r="21" spans="1:27" x14ac:dyDescent="0.25">
      <c r="A21" s="2">
        <v>2033</v>
      </c>
      <c r="B21" s="2">
        <f>B10/'Output-Calculation-sheet'!B9*'Output-Calculation-sheet'!B27</f>
        <v>11853.770376217899</v>
      </c>
      <c r="C21" s="2">
        <f>C10/'Output-Calculation-sheet'!C9*'Output-Calculation-sheet'!C27</f>
        <v>20356.869039385372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6861.1783012960268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4765.515447990686</v>
      </c>
      <c r="N21" s="2">
        <f>N10/'Output-Calculation-sheet'!N9*'Output-Calculation-sheet'!N27</f>
        <v>2607.5945866930238</v>
      </c>
      <c r="O21" s="2">
        <f>O10/'Output-Calculation-sheet'!O9*'Output-Calculation-sheet'!O27</f>
        <v>2031.0878029437399</v>
      </c>
      <c r="P21" s="2">
        <f>P10/'Output-Calculation-sheet'!P9*'Output-Calculation-sheet'!P27</f>
        <v>0</v>
      </c>
      <c r="Q21" s="2">
        <f>Q10/'Output-Calculation-sheet'!Q9*'Output-Calculation-sheet'!Q27</f>
        <v>177.85521781023147</v>
      </c>
      <c r="R21" s="2">
        <f>R10/'Output-Calculation-sheet'!R9*'Output-Calculation-sheet'!R27</f>
        <v>0</v>
      </c>
      <c r="S21" s="2">
        <f>S10/'Output-Calculation-sheet'!S9*'Output-Calculation-sheet'!S27</f>
        <v>1132.577118680719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560.38379015957457</v>
      </c>
      <c r="Y21" s="2">
        <f>Y10/'Output-Calculation-sheet'!Y9*'Output-Calculation-sheet'!Y27</f>
        <v>0</v>
      </c>
      <c r="AA21" s="2">
        <f t="shared" si="0"/>
        <v>50.346831681177278</v>
      </c>
    </row>
    <row r="22" spans="1:27" x14ac:dyDescent="0.25">
      <c r="A22" s="2">
        <v>2034</v>
      </c>
      <c r="B22" s="2">
        <f>B11/'Output-Calculation-sheet'!B10*'Output-Calculation-sheet'!B28</f>
        <v>20095.438135170589</v>
      </c>
      <c r="C22" s="2">
        <f>C11/'Output-Calculation-sheet'!C10*'Output-Calculation-sheet'!C28</f>
        <v>19279.049672284531</v>
      </c>
      <c r="D22" s="2">
        <f>D11/'Output-Calculation-sheet'!D10*'Output-Calculation-sheet'!D28</f>
        <v>0</v>
      </c>
      <c r="E22" s="2">
        <f>E11/'Output-Calculation-sheet'!E10*'Output-Calculation-sheet'!E28</f>
        <v>1029.6594360872252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7356.8488686039227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613.98184821203495</v>
      </c>
      <c r="M22" s="2">
        <f>M11/'Output-Calculation-sheet'!M10*'Output-Calculation-sheet'!M28</f>
        <v>5363.7895161688002</v>
      </c>
      <c r="N22" s="2">
        <f>N11/'Output-Calculation-sheet'!N10*'Output-Calculation-sheet'!N28</f>
        <v>3201.0461965859417</v>
      </c>
      <c r="O22" s="2">
        <f>O11/'Output-Calculation-sheet'!O10*'Output-Calculation-sheet'!O28</f>
        <v>1978.4561100579251</v>
      </c>
      <c r="P22" s="2">
        <f>P11/'Output-Calculation-sheet'!P10*'Output-Calculation-sheet'!P28</f>
        <v>0</v>
      </c>
      <c r="Q22" s="2">
        <f>Q11/'Output-Calculation-sheet'!Q10*'Output-Calculation-sheet'!Q28</f>
        <v>727.17751006495018</v>
      </c>
      <c r="R22" s="2">
        <f>R11/'Output-Calculation-sheet'!R10*'Output-Calculation-sheet'!R28</f>
        <v>0</v>
      </c>
      <c r="S22" s="2">
        <f>S11/'Output-Calculation-sheet'!S10*'Output-Calculation-sheet'!S28</f>
        <v>1632.9849788726638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538.61571176245684</v>
      </c>
      <c r="Y22" s="2">
        <f>Y11/'Output-Calculation-sheet'!Y10*'Output-Calculation-sheet'!Y28</f>
        <v>55.868909699828187</v>
      </c>
      <c r="AA22" s="2">
        <f t="shared" si="0"/>
        <v>61.872916893570867</v>
      </c>
    </row>
    <row r="23" spans="1:27" x14ac:dyDescent="0.25">
      <c r="A23" s="2">
        <v>2035</v>
      </c>
      <c r="B23" s="2">
        <f>B12/'Output-Calculation-sheet'!B11*'Output-Calculation-sheet'!B29</f>
        <v>20024.528421469131</v>
      </c>
      <c r="C23" s="2">
        <f>C12/'Output-Calculation-sheet'!C11*'Output-Calculation-sheet'!C29</f>
        <v>16355.78550140169</v>
      </c>
      <c r="D23" s="2">
        <f>D12/'Output-Calculation-sheet'!D11*'Output-Calculation-sheet'!D29</f>
        <v>0</v>
      </c>
      <c r="E23" s="2">
        <f>E12/'Output-Calculation-sheet'!E11*'Output-Calculation-sheet'!E29</f>
        <v>3087.2936849692996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6296.1120486140198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699.86456566445281</v>
      </c>
      <c r="M23" s="2">
        <f>M12/'Output-Calculation-sheet'!M11*'Output-Calculation-sheet'!M29</f>
        <v>4612.8984306202801</v>
      </c>
      <c r="N23" s="2">
        <f>N12/'Output-Calculation-sheet'!N11*'Output-Calculation-sheet'!N29</f>
        <v>2690.9609609441072</v>
      </c>
      <c r="O23" s="2">
        <f>O12/'Output-Calculation-sheet'!O11*'Output-Calculation-sheet'!O29</f>
        <v>1814.0384950209645</v>
      </c>
      <c r="P23" s="2">
        <f>P12/'Output-Calculation-sheet'!P11*'Output-Calculation-sheet'!P29</f>
        <v>328.65161130892079</v>
      </c>
      <c r="Q23" s="2">
        <f>Q12/'Output-Calculation-sheet'!Q11*'Output-Calculation-sheet'!Q29</f>
        <v>737.8191956479983</v>
      </c>
      <c r="R23" s="2">
        <f>R12/'Output-Calculation-sheet'!R11*'Output-Calculation-sheet'!R29</f>
        <v>0</v>
      </c>
      <c r="S23" s="2">
        <f>S12/'Output-Calculation-sheet'!S11*'Output-Calculation-sheet'!S29</f>
        <v>1440.4718606335659</v>
      </c>
      <c r="T23" s="2">
        <f>T12/'Output-Calculation-sheet'!T11*'Output-Calculation-sheet'!T29</f>
        <v>0</v>
      </c>
      <c r="U23" s="2">
        <f>U12/'Output-Calculation-sheet'!U11*'Output-Calculation-sheet'!U29</f>
        <v>62.815302436079399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456.97936265561515</v>
      </c>
      <c r="Y23" s="2">
        <f>Y12/'Output-Calculation-sheet'!Y11*'Output-Calculation-sheet'!Y29</f>
        <v>135.29140965453524</v>
      </c>
      <c r="AA23" s="2">
        <f t="shared" si="0"/>
        <v>58.743510851040654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24044.114502004693</v>
      </c>
      <c r="C30" s="2">
        <f>C8/'Output-Calculation-sheet'!C7*'Output-Calculation-sheet'!C16</f>
        <v>0</v>
      </c>
      <c r="D30" s="2">
        <f>D8/'Output-Calculation-sheet'!D7*'Output-Calculation-sheet'!D16</f>
        <v>5416.9071970922378</v>
      </c>
      <c r="E30" s="2">
        <f>E8/'Output-Calculation-sheet'!E7*'Output-Calculation-sheet'!E16</f>
        <v>6788.2500464111763</v>
      </c>
      <c r="F30" s="2">
        <f>F8/'Output-Calculation-sheet'!F7*'Output-Calculation-sheet'!F16</f>
        <v>3315.3806941997746</v>
      </c>
      <c r="G30" s="2">
        <f>G8/'Output-Calculation-sheet'!G7*'Output-Calculation-sheet'!G16</f>
        <v>2020.3499440780333</v>
      </c>
      <c r="H30" s="2">
        <f>H8/'Output-Calculation-sheet'!H7*'Output-Calculation-sheet'!H16</f>
        <v>0</v>
      </c>
      <c r="I30" s="2">
        <f>I8/'Output-Calculation-sheet'!I7*'Output-Calculation-sheet'!I16</f>
        <v>1901.9101180597727</v>
      </c>
      <c r="J30" s="2">
        <f>J8/'Output-Calculation-sheet'!J7*'Output-Calculation-sheet'!J16</f>
        <v>2038.7654193853082</v>
      </c>
      <c r="K30" s="2">
        <f>K8/'Output-Calculation-sheet'!K7*'Output-Calculation-sheet'!K16</f>
        <v>1973.2957559470351</v>
      </c>
      <c r="L30" s="2">
        <f>L8/'Output-Calculation-sheet'!L7*'Output-Calculation-sheet'!L16</f>
        <v>2181.1646535790683</v>
      </c>
      <c r="M30" s="2">
        <f>M8/'Output-Calculation-sheet'!M7*'Output-Calculation-sheet'!M16</f>
        <v>0</v>
      </c>
      <c r="N30" s="2">
        <f>N8/'Output-Calculation-sheet'!N7*'Output-Calculation-sheet'!N16</f>
        <v>978.09257466205395</v>
      </c>
      <c r="O30" s="2">
        <f>O8/'Output-Calculation-sheet'!O7*'Output-Calculation-sheet'!O16</f>
        <v>0</v>
      </c>
      <c r="P30" s="2">
        <f>P8/'Output-Calculation-sheet'!P7*'Output-Calculation-sheet'!P16</f>
        <v>1867.1851501582817</v>
      </c>
      <c r="Q30" s="2">
        <f>Q8/'Output-Calculation-sheet'!Q7*'Output-Calculation-sheet'!Q16</f>
        <v>1831.8011357393839</v>
      </c>
      <c r="R30" s="2">
        <f>R8/'Output-Calculation-sheet'!R7*'Output-Calculation-sheet'!R16</f>
        <v>1625.583108977421</v>
      </c>
      <c r="S30" s="2">
        <f>S8/'Output-Calculation-sheet'!S7*'Output-Calculation-sheet'!S16</f>
        <v>860.96054034796646</v>
      </c>
      <c r="T30" s="2">
        <f>T8/'Output-Calculation-sheet'!T7*'Output-Calculation-sheet'!T16</f>
        <v>614.00694331968782</v>
      </c>
      <c r="U30" s="2">
        <f>U8/'Output-Calculation-sheet'!U7*'Output-Calculation-sheet'!U16</f>
        <v>473.76938489922293</v>
      </c>
      <c r="V30" s="2">
        <f>V8/'Output-Calculation-sheet'!V7*'Output-Calculation-sheet'!V16</f>
        <v>613.43661406737135</v>
      </c>
      <c r="W30" s="2">
        <f>W8/'Output-Calculation-sheet'!W7*'Output-Calculation-sheet'!W16</f>
        <v>295.35719163419338</v>
      </c>
      <c r="X30" s="2">
        <f>X8/'Output-Calculation-sheet'!X7*'Output-Calculation-sheet'!X16</f>
        <v>0</v>
      </c>
      <c r="Y30" s="2">
        <f>Y8/'Output-Calculation-sheet'!Y7*'Output-Calculation-sheet'!Y16</f>
        <v>201.44004385995115</v>
      </c>
      <c r="AA30" s="2">
        <f t="shared" si="1"/>
        <v>59.041771018422637</v>
      </c>
    </row>
    <row r="31" spans="1:27" x14ac:dyDescent="0.25">
      <c r="A31" s="2">
        <v>2032</v>
      </c>
      <c r="B31" s="2">
        <f>B9/'Output-Calculation-sheet'!B8*'Output-Calculation-sheet'!B17</f>
        <v>24343.598628689404</v>
      </c>
      <c r="C31" s="2">
        <f>C9/'Output-Calculation-sheet'!C8*'Output-Calculation-sheet'!C17</f>
        <v>0</v>
      </c>
      <c r="D31" s="2">
        <f>D9/'Output-Calculation-sheet'!D8*'Output-Calculation-sheet'!D17</f>
        <v>5571.7473689170611</v>
      </c>
      <c r="E31" s="2">
        <f>E9/'Output-Calculation-sheet'!E8*'Output-Calculation-sheet'!E17</f>
        <v>6998.8507673334461</v>
      </c>
      <c r="F31" s="2">
        <f>F9/'Output-Calculation-sheet'!F8*'Output-Calculation-sheet'!F17</f>
        <v>3414.8731708835107</v>
      </c>
      <c r="G31" s="2">
        <f>G9/'Output-Calculation-sheet'!G8*'Output-Calculation-sheet'!G17</f>
        <v>2078.724615686654</v>
      </c>
      <c r="H31" s="2">
        <f>H9/'Output-Calculation-sheet'!H8*'Output-Calculation-sheet'!H17</f>
        <v>0</v>
      </c>
      <c r="I31" s="2">
        <f>I9/'Output-Calculation-sheet'!I8*'Output-Calculation-sheet'!I17</f>
        <v>1955.8835051124665</v>
      </c>
      <c r="J31" s="2">
        <f>J9/'Output-Calculation-sheet'!J8*'Output-Calculation-sheet'!J17</f>
        <v>2098.3272376802693</v>
      </c>
      <c r="K31" s="2">
        <f>K9/'Output-Calculation-sheet'!K8*'Output-Calculation-sheet'!K17</f>
        <v>2029.3771158217248</v>
      </c>
      <c r="L31" s="2">
        <f>L9/'Output-Calculation-sheet'!L8*'Output-Calculation-sheet'!L17</f>
        <v>2242.3891640928159</v>
      </c>
      <c r="M31" s="2">
        <f>M9/'Output-Calculation-sheet'!M8*'Output-Calculation-sheet'!M17</f>
        <v>0</v>
      </c>
      <c r="N31" s="2">
        <f>N9/'Output-Calculation-sheet'!N8*'Output-Calculation-sheet'!N17</f>
        <v>945.47642369170364</v>
      </c>
      <c r="O31" s="2">
        <f>O9/'Output-Calculation-sheet'!O8*'Output-Calculation-sheet'!O17</f>
        <v>0</v>
      </c>
      <c r="P31" s="2">
        <f>P9/'Output-Calculation-sheet'!P8*'Output-Calculation-sheet'!P17</f>
        <v>1931.5618461855095</v>
      </c>
      <c r="Q31" s="2">
        <f>Q9/'Output-Calculation-sheet'!Q8*'Output-Calculation-sheet'!Q17</f>
        <v>1888.983879200488</v>
      </c>
      <c r="R31" s="2">
        <f>R9/'Output-Calculation-sheet'!R8*'Output-Calculation-sheet'!R17</f>
        <v>1690.5851954856171</v>
      </c>
      <c r="S31" s="2">
        <f>S9/'Output-Calculation-sheet'!S8*'Output-Calculation-sheet'!S17</f>
        <v>846.27307148092893</v>
      </c>
      <c r="T31" s="2">
        <f>T9/'Output-Calculation-sheet'!T8*'Output-Calculation-sheet'!T17</f>
        <v>633.33192430716088</v>
      </c>
      <c r="U31" s="2">
        <f>U9/'Output-Calculation-sheet'!U8*'Output-Calculation-sheet'!U17</f>
        <v>490.38302456149682</v>
      </c>
      <c r="V31" s="2">
        <f>V9/'Output-Calculation-sheet'!V8*'Output-Calculation-sheet'!V17</f>
        <v>623.60064996538085</v>
      </c>
      <c r="W31" s="2">
        <f>W9/'Output-Calculation-sheet'!W8*'Output-Calculation-sheet'!W17</f>
        <v>303.9392687197489</v>
      </c>
      <c r="X31" s="2">
        <f>X9/'Output-Calculation-sheet'!X8*'Output-Calculation-sheet'!X17</f>
        <v>0</v>
      </c>
      <c r="Y31" s="2">
        <f>Y9/'Output-Calculation-sheet'!Y8*'Output-Calculation-sheet'!Y17</f>
        <v>207.19912787094151</v>
      </c>
      <c r="AA31" s="2">
        <f t="shared" si="1"/>
        <v>60.295105985686334</v>
      </c>
    </row>
    <row r="32" spans="1:27" x14ac:dyDescent="0.25">
      <c r="A32" s="2">
        <v>2033</v>
      </c>
      <c r="B32" s="2">
        <f>B10/'Output-Calculation-sheet'!B9*'Output-Calculation-sheet'!B18</f>
        <v>24064.618524043002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1466.4143348496623</v>
      </c>
      <c r="O32" s="2">
        <f>O10/'Output-Calculation-sheet'!O9*'Output-Calculation-sheet'!O18</f>
        <v>0</v>
      </c>
      <c r="P32" s="2">
        <f>P10/'Output-Calculation-sheet'!P9*'Output-Calculation-sheet'!P18</f>
        <v>2360.9016448463053</v>
      </c>
      <c r="Q32" s="2">
        <f>Q10/'Output-Calculation-sheet'!Q9*'Output-Calculation-sheet'!Q18</f>
        <v>2569.9076320572581</v>
      </c>
      <c r="R32" s="2">
        <f>R10/'Output-Calculation-sheet'!R9*'Output-Calculation-sheet'!R18</f>
        <v>1695.2499986210937</v>
      </c>
      <c r="S32" s="2">
        <f>S10/'Output-Calculation-sheet'!S9*'Output-Calculation-sheet'!S18</f>
        <v>1112.4329051674442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547.27818793568224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57.835312538394973</v>
      </c>
    </row>
    <row r="33" spans="1:27" x14ac:dyDescent="0.25">
      <c r="A33" s="2">
        <v>2034</v>
      </c>
      <c r="B33" s="2">
        <f>B11/'Output-Calculation-sheet'!B10*'Output-Calculation-sheet'!B19</f>
        <v>20269.439032096878</v>
      </c>
      <c r="C33" s="2">
        <f>C11/'Output-Calculation-sheet'!C10*'Output-Calculation-sheet'!C19</f>
        <v>0</v>
      </c>
      <c r="D33" s="2">
        <f>D11/'Output-Calculation-sheet'!D10*'Output-Calculation-sheet'!D19</f>
        <v>6046.15103510473</v>
      </c>
      <c r="E33" s="2">
        <f>E11/'Output-Calculation-sheet'!E10*'Output-Calculation-sheet'!E19</f>
        <v>7488.5623502582166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2058.0526290691932</v>
      </c>
      <c r="H33" s="2">
        <f>H11/'Output-Calculation-sheet'!H10*'Output-Calculation-sheet'!H19</f>
        <v>0</v>
      </c>
      <c r="I33" s="2">
        <f>I11/'Output-Calculation-sheet'!I10*'Output-Calculation-sheet'!I19</f>
        <v>2245.6240241160303</v>
      </c>
      <c r="J33" s="2">
        <f>J11/'Output-Calculation-sheet'!J10*'Output-Calculation-sheet'!J19</f>
        <v>1898.8198216422591</v>
      </c>
      <c r="K33" s="2">
        <f>K11/'Output-Calculation-sheet'!K10*'Output-Calculation-sheet'!K19</f>
        <v>2634.8865129748847</v>
      </c>
      <c r="L33" s="2">
        <f>L11/'Output-Calculation-sheet'!L10*'Output-Calculation-sheet'!L19</f>
        <v>2142.7904285503687</v>
      </c>
      <c r="M33" s="2">
        <f>M11/'Output-Calculation-sheet'!M10*'Output-Calculation-sheet'!M19</f>
        <v>0</v>
      </c>
      <c r="N33" s="2">
        <f>N11/'Output-Calculation-sheet'!N10*'Output-Calculation-sheet'!N19</f>
        <v>1211.6569357747801</v>
      </c>
      <c r="O33" s="2">
        <f>O11/'Output-Calculation-sheet'!O10*'Output-Calculation-sheet'!O19</f>
        <v>0</v>
      </c>
      <c r="P33" s="2">
        <f>P11/'Output-Calculation-sheet'!P10*'Output-Calculation-sheet'!P19</f>
        <v>2666.0403533575059</v>
      </c>
      <c r="Q33" s="2">
        <f>Q11/'Output-Calculation-sheet'!Q10*'Output-Calculation-sheet'!Q19</f>
        <v>2195.4562417949383</v>
      </c>
      <c r="R33" s="2">
        <f>R11/'Output-Calculation-sheet'!R10*'Output-Calculation-sheet'!R19</f>
        <v>1903.5098407343219</v>
      </c>
      <c r="S33" s="2">
        <f>S11/'Output-Calculation-sheet'!S10*'Output-Calculation-sheet'!S19</f>
        <v>887.34926423672755</v>
      </c>
      <c r="T33" s="2">
        <f>T11/'Output-Calculation-sheet'!T10*'Output-Calculation-sheet'!T19</f>
        <v>558.54496760362167</v>
      </c>
      <c r="U33" s="2">
        <f>U11/'Output-Calculation-sheet'!U10*'Output-Calculation-sheet'!U19</f>
        <v>642.83714268923688</v>
      </c>
      <c r="V33" s="2">
        <f>V11/'Output-Calculation-sheet'!V10*'Output-Calculation-sheet'!V19</f>
        <v>438.0082658223335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78.980573989967979</v>
      </c>
      <c r="Y33" s="2">
        <f>Y11/'Output-Calculation-sheet'!Y10*'Output-Calculation-sheet'!Y19</f>
        <v>245.82320267924402</v>
      </c>
      <c r="AA33" s="2">
        <f t="shared" si="1"/>
        <v>59.321968544260734</v>
      </c>
    </row>
    <row r="34" spans="1:27" x14ac:dyDescent="0.25">
      <c r="A34" s="2">
        <v>2035</v>
      </c>
      <c r="B34" s="2">
        <f>B12/'Output-Calculation-sheet'!B11*'Output-Calculation-sheet'!B20</f>
        <v>15937.353961315699</v>
      </c>
      <c r="C34" s="2">
        <f>C12/'Output-Calculation-sheet'!C11*'Output-Calculation-sheet'!C20</f>
        <v>0</v>
      </c>
      <c r="D34" s="2">
        <f>D12/'Output-Calculation-sheet'!D11*'Output-Calculation-sheet'!D20</f>
        <v>5001.6277070037377</v>
      </c>
      <c r="E34" s="2">
        <f>E12/'Output-Calculation-sheet'!E11*'Output-Calculation-sheet'!E20</f>
        <v>5465.0132305809175</v>
      </c>
      <c r="F34" s="2">
        <f>F12/'Output-Calculation-sheet'!F11*'Output-Calculation-sheet'!F20</f>
        <v>3443.2145981359158</v>
      </c>
      <c r="G34" s="2">
        <f>G12/'Output-Calculation-sheet'!G11*'Output-Calculation-sheet'!G20</f>
        <v>1839.9516540323457</v>
      </c>
      <c r="H34" s="2">
        <f>H12/'Output-Calculation-sheet'!H11*'Output-Calculation-sheet'!H20</f>
        <v>0</v>
      </c>
      <c r="I34" s="2">
        <f>I12/'Output-Calculation-sheet'!I11*'Output-Calculation-sheet'!I20</f>
        <v>1999.776903579444</v>
      </c>
      <c r="J34" s="2">
        <f>J12/'Output-Calculation-sheet'!J11*'Output-Calculation-sheet'!J20</f>
        <v>1716.8101985779615</v>
      </c>
      <c r="K34" s="2">
        <f>K12/'Output-Calculation-sheet'!K11*'Output-Calculation-sheet'!K20</f>
        <v>2257.1874049975368</v>
      </c>
      <c r="L34" s="2">
        <f>L12/'Output-Calculation-sheet'!L11*'Output-Calculation-sheet'!L20</f>
        <v>1783.8913603579745</v>
      </c>
      <c r="M34" s="2">
        <f>M12/'Output-Calculation-sheet'!M11*'Output-Calculation-sheet'!M20</f>
        <v>0</v>
      </c>
      <c r="N34" s="2">
        <f>N12/'Output-Calculation-sheet'!N11*'Output-Calculation-sheet'!N20</f>
        <v>992.73583540601476</v>
      </c>
      <c r="O34" s="2">
        <f>O12/'Output-Calculation-sheet'!O11*'Output-Calculation-sheet'!O20</f>
        <v>0</v>
      </c>
      <c r="P34" s="2">
        <f>P12/'Output-Calculation-sheet'!P11*'Output-Calculation-sheet'!P20</f>
        <v>2218.5832533031798</v>
      </c>
      <c r="Q34" s="2">
        <f>Q12/'Output-Calculation-sheet'!Q11*'Output-Calculation-sheet'!Q20</f>
        <v>1755.4992845305646</v>
      </c>
      <c r="R34" s="2">
        <f>R12/'Output-Calculation-sheet'!R11*'Output-Calculation-sheet'!R20</f>
        <v>1761.9947857951397</v>
      </c>
      <c r="S34" s="2">
        <f>S12/'Output-Calculation-sheet'!S11*'Output-Calculation-sheet'!S20</f>
        <v>673.03925428913954</v>
      </c>
      <c r="T34" s="2">
        <f>T12/'Output-Calculation-sheet'!T11*'Output-Calculation-sheet'!T20</f>
        <v>553.56433236547855</v>
      </c>
      <c r="U34" s="2">
        <f>U12/'Output-Calculation-sheet'!U11*'Output-Calculation-sheet'!U20</f>
        <v>505.04167259713807</v>
      </c>
      <c r="V34" s="2">
        <f>V12/'Output-Calculation-sheet'!V11*'Output-Calculation-sheet'!V20</f>
        <v>463.93254282674457</v>
      </c>
      <c r="W34" s="2">
        <f>W12/'Output-Calculation-sheet'!W11*'Output-Calculation-sheet'!W20</f>
        <v>298.47781511719597</v>
      </c>
      <c r="X34" s="2">
        <f>X12/'Output-Calculation-sheet'!X11*'Output-Calculation-sheet'!X20</f>
        <v>60.323489417920406</v>
      </c>
      <c r="Y34" s="2">
        <f>Y12/'Output-Calculation-sheet'!Y11*'Output-Calculation-sheet'!Y20</f>
        <v>167.30809122342919</v>
      </c>
      <c r="AA34" s="2">
        <f t="shared" si="1"/>
        <v>48.895327375453491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0.96409114231526993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0.56189091811198399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1.5259820604272538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1.7164369265808401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0.26418637143207829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0.18178607566191987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0.66691503754281167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0.1565387694684448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1.9942380639341624E-2</v>
      </c>
      <c r="Y44" s="2">
        <f>Y11/'Output-Calculation-sheet'!Y10*'Output-Calculation-sheet'!Y37*0.0114</f>
        <v>0</v>
      </c>
      <c r="AA44" s="2">
        <f t="shared" si="2"/>
        <v>3.0058055613254364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1.4140126852565107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0.54940924916616396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1.6428671954998749E-2</v>
      </c>
      <c r="Y45" s="2">
        <f>Y12/'Output-Calculation-sheet'!Y11*'Output-Calculation-sheet'!Y38*0.0114</f>
        <v>1.5853973151133311E-2</v>
      </c>
      <c r="AA45" s="2">
        <f t="shared" si="2"/>
        <v>7.0450565235924154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137.3957771090702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122.30293221186265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531.82927625218736</v>
      </c>
      <c r="S52" s="2">
        <f>S8/'Output-Calculation-sheet'!S7*'Output-Calculation-sheet'!S43</f>
        <v>0</v>
      </c>
      <c r="T52" s="2">
        <f>T8/'Output-Calculation-sheet'!T7*'Output-Calculation-sheet'!T43</f>
        <v>428.23831825955364</v>
      </c>
      <c r="U52" s="2">
        <f>U8/'Output-Calculation-sheet'!U7*'Output-Calculation-sheet'!U43</f>
        <v>45.293440238931446</v>
      </c>
      <c r="V52" s="2">
        <f>V8/'Output-Calculation-sheet'!V7*'Output-Calculation-sheet'!V43</f>
        <v>772.23830134115371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2.0372980454127592</v>
      </c>
    </row>
    <row r="53" spans="1:27" x14ac:dyDescent="0.25">
      <c r="A53" s="2">
        <v>2032</v>
      </c>
      <c r="B53" s="2">
        <f>B9/'Output-Calculation-sheet'!B8*'Output-Calculation-sheet'!B44</f>
        <v>1492.4422486743445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281.3611910622019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225.40844748955519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704.70412483768951</v>
      </c>
      <c r="S53" s="2">
        <f>S9/'Output-Calculation-sheet'!S8*'Output-Calculation-sheet'!S44</f>
        <v>0</v>
      </c>
      <c r="T53" s="2">
        <f>T9/'Output-Calculation-sheet'!T8*'Output-Calculation-sheet'!T44</f>
        <v>485.87938245017716</v>
      </c>
      <c r="U53" s="2">
        <f>U9/'Output-Calculation-sheet'!U8*'Output-Calculation-sheet'!U44</f>
        <v>82.446760323896655</v>
      </c>
      <c r="V53" s="2">
        <f>V9/'Output-Calculation-sheet'!V8*'Output-Calculation-sheet'!V44</f>
        <v>814.54097450000359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4.0867831293378689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52263.888241301473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0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678.7189578187498</v>
      </c>
      <c r="R54" s="2">
        <f>R10/'Output-Calculation-sheet'!R9*'Output-Calculation-sheet'!R45</f>
        <v>1131.992130534474</v>
      </c>
      <c r="S54" s="2">
        <f>S10/'Output-Calculation-sheet'!S9*'Output-Calculation-sheet'!S45</f>
        <v>2704.7340789366854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408.49736145129975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117.56205128396147</v>
      </c>
    </row>
    <row r="55" spans="1:27" x14ac:dyDescent="0.25">
      <c r="A55" s="2">
        <v>2034</v>
      </c>
      <c r="B55" s="2">
        <f>B11/'Output-Calculation-sheet'!B10*'Output-Calculation-sheet'!B46</f>
        <v>57735.940274538407</v>
      </c>
      <c r="C55" s="2">
        <f>C11/'Output-Calculation-sheet'!C10*'Output-Calculation-sheet'!C46</f>
        <v>47503.144766338162</v>
      </c>
      <c r="D55" s="2">
        <f>D11/'Output-Calculation-sheet'!D10*'Output-Calculation-sheet'!D46</f>
        <v>5334.9960602706515</v>
      </c>
      <c r="E55" s="2">
        <f>E11/'Output-Calculation-sheet'!E10*'Output-Calculation-sheet'!E46</f>
        <v>6571.8432198278724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17125.765656868934</v>
      </c>
      <c r="I55" s="2">
        <f>I11/'Output-Calculation-sheet'!I10*'Output-Calculation-sheet'!I46</f>
        <v>1290.9965932427092</v>
      </c>
      <c r="J55" s="2">
        <f>J11/'Output-Calculation-sheet'!J10*'Output-Calculation-sheet'!J46</f>
        <v>936.95269880295393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924.84872926524588</v>
      </c>
      <c r="M55" s="2">
        <f>M11/'Output-Calculation-sheet'!M10*'Output-Calculation-sheet'!M46</f>
        <v>12103.125563806769</v>
      </c>
      <c r="N55" s="2">
        <f>N11/'Output-Calculation-sheet'!N10*'Output-Calculation-sheet'!N46</f>
        <v>9231.1046962443306</v>
      </c>
      <c r="O55" s="2">
        <f>O11/'Output-Calculation-sheet'!O10*'Output-Calculation-sheet'!O46</f>
        <v>204.7546167894597</v>
      </c>
      <c r="P55" s="2">
        <f>P11/'Output-Calculation-sheet'!P10*'Output-Calculation-sheet'!P46</f>
        <v>3431.4209732195536</v>
      </c>
      <c r="Q55" s="2">
        <f>Q11/'Output-Calculation-sheet'!Q10*'Output-Calculation-sheet'!Q46</f>
        <v>2018.5262378825778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4536.9178742487338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1051.4827826195374</v>
      </c>
      <c r="V55" s="2">
        <f>V11/'Output-Calculation-sheet'!V10*'Output-Calculation-sheet'!V46</f>
        <v>425.66400954551364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1238.5267976012167</v>
      </c>
      <c r="Y55" s="2">
        <f>Y11/'Output-Calculation-sheet'!Y10*'Output-Calculation-sheet'!Y46</f>
        <v>322.43425752129275</v>
      </c>
      <c r="AA55" s="2">
        <f t="shared" si="3"/>
        <v>180.53654106923958</v>
      </c>
    </row>
    <row r="56" spans="1:27" x14ac:dyDescent="0.25">
      <c r="A56" s="2">
        <v>2035</v>
      </c>
      <c r="B56" s="2">
        <f>B12/'Output-Calculation-sheet'!B11*'Output-Calculation-sheet'!B47</f>
        <v>60499.433327505314</v>
      </c>
      <c r="C56" s="2">
        <f>C12/'Output-Calculation-sheet'!C11*'Output-Calculation-sheet'!C47</f>
        <v>39753.602247781724</v>
      </c>
      <c r="D56" s="2">
        <f>D12/'Output-Calculation-sheet'!D11*'Output-Calculation-sheet'!D47</f>
        <v>4834.5075703118218</v>
      </c>
      <c r="E56" s="2">
        <f>E12/'Output-Calculation-sheet'!E11*'Output-Calculation-sheet'!E47</f>
        <v>13578.486176485303</v>
      </c>
      <c r="F56" s="2">
        <f>F12/'Output-Calculation-sheet'!F11*'Output-Calculation-sheet'!F47</f>
        <v>1675.0358115851959</v>
      </c>
      <c r="G56" s="2">
        <f>G12/'Output-Calculation-sheet'!G11*'Output-Calculation-sheet'!G47</f>
        <v>3783.8001539588104</v>
      </c>
      <c r="H56" s="2">
        <f>H12/'Output-Calculation-sheet'!H11*'Output-Calculation-sheet'!H47</f>
        <v>14451.964780334371</v>
      </c>
      <c r="I56" s="2">
        <f>I12/'Output-Calculation-sheet'!I11*'Output-Calculation-sheet'!I47</f>
        <v>1914.3575602210617</v>
      </c>
      <c r="J56" s="2">
        <f>J12/'Output-Calculation-sheet'!J11*'Output-Calculation-sheet'!J47</f>
        <v>1736.7033459957306</v>
      </c>
      <c r="K56" s="2">
        <f>K12/'Output-Calculation-sheet'!K11*'Output-Calculation-sheet'!K47</f>
        <v>2508.6828619033477</v>
      </c>
      <c r="L56" s="2">
        <f>L12/'Output-Calculation-sheet'!L11*'Output-Calculation-sheet'!L47</f>
        <v>1385.2669444290661</v>
      </c>
      <c r="M56" s="2">
        <f>M12/'Output-Calculation-sheet'!M11*'Output-Calculation-sheet'!M47</f>
        <v>10075.731443217299</v>
      </c>
      <c r="N56" s="2">
        <f>N12/'Output-Calculation-sheet'!N11*'Output-Calculation-sheet'!N47</f>
        <v>7695.0261139548029</v>
      </c>
      <c r="O56" s="2">
        <f>O12/'Output-Calculation-sheet'!O11*'Output-Calculation-sheet'!O47</f>
        <v>722.90690679758416</v>
      </c>
      <c r="P56" s="2">
        <f>P12/'Output-Calculation-sheet'!P11*'Output-Calculation-sheet'!P47</f>
        <v>3995.7280172928963</v>
      </c>
      <c r="Q56" s="2">
        <f>Q12/'Output-Calculation-sheet'!Q11*'Output-Calculation-sheet'!Q47</f>
        <v>2024.8625662484926</v>
      </c>
      <c r="R56" s="2">
        <f>R12/'Output-Calculation-sheet'!R11*'Output-Calculation-sheet'!R47</f>
        <v>2950.3439826325011</v>
      </c>
      <c r="S56" s="2">
        <f>S12/'Output-Calculation-sheet'!S11*'Output-Calculation-sheet'!S47</f>
        <v>3907.7693182681132</v>
      </c>
      <c r="T56" s="2">
        <f>T12/'Output-Calculation-sheet'!T11*'Output-Calculation-sheet'!T47</f>
        <v>1033.4196937997012</v>
      </c>
      <c r="U56" s="2">
        <f>U12/'Output-Calculation-sheet'!U11*'Output-Calculation-sheet'!U47</f>
        <v>988.9331686673039</v>
      </c>
      <c r="V56" s="2">
        <f>V12/'Output-Calculation-sheet'!V11*'Output-Calculation-sheet'!V47</f>
        <v>690.19772536747462</v>
      </c>
      <c r="W56" s="2">
        <f>W12/'Output-Calculation-sheet'!W11*'Output-Calculation-sheet'!W47</f>
        <v>392.81641177598578</v>
      </c>
      <c r="X56" s="2">
        <f>X12/'Output-Calculation-sheet'!X11*'Output-Calculation-sheet'!X47</f>
        <v>1040.4825571499207</v>
      </c>
      <c r="Y56" s="2">
        <f>Y12/'Output-Calculation-sheet'!Y11*'Output-Calculation-sheet'!Y47</f>
        <v>532.63786990211031</v>
      </c>
      <c r="AA56" s="2">
        <f t="shared" si="3"/>
        <v>182.17269655558587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6.6345528248050494</v>
      </c>
      <c r="C63" s="2">
        <f>C8*'Output-Calculation-sheet'!C52/10^9</f>
        <v>3.3629007366922683</v>
      </c>
      <c r="D63" s="2">
        <f>D8*'Output-Calculation-sheet'!D52/10^9</f>
        <v>1.1748110438550285</v>
      </c>
      <c r="E63" s="2">
        <f>E8*'Output-Calculation-sheet'!E52/10^9</f>
        <v>1.5126733861161523</v>
      </c>
      <c r="F63" s="2">
        <f>F8*'Output-Calculation-sheet'!F52/10^9</f>
        <v>0.62920000643245133</v>
      </c>
      <c r="G63" s="2">
        <f>G8*'Output-Calculation-sheet'!G52/10^9</f>
        <v>0.45146597318625903</v>
      </c>
      <c r="H63" s="2">
        <f>H8*'Output-Calculation-sheet'!H52/10^9</f>
        <v>0.87209963473552488</v>
      </c>
      <c r="I63" s="2">
        <f>I8*'Output-Calculation-sheet'!I52/10^9</f>
        <v>0.40471035512218201</v>
      </c>
      <c r="J63" s="2">
        <f>J8*'Output-Calculation-sheet'!J52/10^9</f>
        <v>0.43507944869596044</v>
      </c>
      <c r="K63" s="2">
        <f>K8*'Output-Calculation-sheet'!K52/10^9</f>
        <v>0.44429187819335902</v>
      </c>
      <c r="L63" s="2">
        <f>L8*'Output-Calculation-sheet'!L52/10^9</f>
        <v>0.46206835600863927</v>
      </c>
      <c r="M63" s="2">
        <f>M8*'Output-Calculation-sheet'!M52/10^9</f>
        <v>0.65944788415952793</v>
      </c>
      <c r="N63" s="2">
        <f>N8*'Output-Calculation-sheet'!N52/10^9</f>
        <v>0.55715730618017512</v>
      </c>
      <c r="O63" s="2">
        <f>O8*'Output-Calculation-sheet'!O52/10^9</f>
        <v>0.57718014328054579</v>
      </c>
      <c r="P63" s="2">
        <f>P8*'Output-Calculation-sheet'!P52/10^9</f>
        <v>0.47835149490784917</v>
      </c>
      <c r="Q63" s="2">
        <f>Q8*'Output-Calculation-sheet'!Q52/10^9</f>
        <v>0.45251672288862471</v>
      </c>
      <c r="R63" s="2">
        <f>R8*'Output-Calculation-sheet'!R52/10^9</f>
        <v>0.38121887858286652</v>
      </c>
      <c r="S63" s="2">
        <f>S8*'Output-Calculation-sheet'!S52/10^9</f>
        <v>0.3505070337368496</v>
      </c>
      <c r="T63" s="2">
        <f>T8*'Output-Calculation-sheet'!T52/10^9</f>
        <v>0.12483245603922064</v>
      </c>
      <c r="U63" s="2">
        <f>U8*'Output-Calculation-sheet'!U52/10^9</f>
        <v>0.12245192848069723</v>
      </c>
      <c r="V63" s="2">
        <f>V8*'Output-Calculation-sheet'!V52/10^9</f>
        <v>0.10974953150181957</v>
      </c>
      <c r="W63" s="2">
        <f>W8*'Output-Calculation-sheet'!W52/10^9</f>
        <v>5.729107771931622E-2</v>
      </c>
      <c r="X63" s="2">
        <f>X8*'Output-Calculation-sheet'!X52/10^9</f>
        <v>9.2583614042444487E-2</v>
      </c>
      <c r="Y63" s="2">
        <f>Y8*'Output-Calculation-sheet'!Y52/10^9</f>
        <v>4.7752773447999428E-2</v>
      </c>
      <c r="AA63" s="2">
        <f t="shared" si="4"/>
        <v>20.394894488810813</v>
      </c>
    </row>
    <row r="64" spans="1:27" x14ac:dyDescent="0.25">
      <c r="A64" s="2">
        <v>2032</v>
      </c>
      <c r="B64" s="2">
        <f>B9*'Output-Calculation-sheet'!B53/10^9</f>
        <v>6.7463641307539239</v>
      </c>
      <c r="C64" s="2">
        <f>C9*'Output-Calculation-sheet'!C53/10^9</f>
        <v>3.4165159787249579</v>
      </c>
      <c r="D64" s="2">
        <f>D9*'Output-Calculation-sheet'!D53/10^9</f>
        <v>1.1967572752542939</v>
      </c>
      <c r="E64" s="2">
        <f>E9*'Output-Calculation-sheet'!E53/10^9</f>
        <v>1.5411314226916044</v>
      </c>
      <c r="F64" s="2">
        <f>F9*'Output-Calculation-sheet'!F53/10^9</f>
        <v>0.64048076713729396</v>
      </c>
      <c r="G64" s="2">
        <f>G9*'Output-Calculation-sheet'!G53/10^9</f>
        <v>0.45980114878739881</v>
      </c>
      <c r="H64" s="2">
        <f>H9*'Output-Calculation-sheet'!H53/10^9</f>
        <v>0.88491313501210189</v>
      </c>
      <c r="I64" s="2">
        <f>I9*'Output-Calculation-sheet'!I53/10^9</f>
        <v>0.41223021505495344</v>
      </c>
      <c r="J64" s="2">
        <f>J9*'Output-Calculation-sheet'!J53/10^9</f>
        <v>0.44302621098084244</v>
      </c>
      <c r="K64" s="2">
        <f>K9*'Output-Calculation-sheet'!K53/10^9</f>
        <v>0.45267704671838654</v>
      </c>
      <c r="L64" s="2">
        <f>L9*'Output-Calculation-sheet'!L53/10^9</f>
        <v>0.47064388313952898</v>
      </c>
      <c r="M64" s="2">
        <f>M9*'Output-Calculation-sheet'!M53/10^9</f>
        <v>0.66929944158295962</v>
      </c>
      <c r="N64" s="2">
        <f>N9*'Output-Calculation-sheet'!N53/10^9</f>
        <v>0.56610380862414955</v>
      </c>
      <c r="O64" s="2">
        <f>O9*'Output-Calculation-sheet'!O53/10^9</f>
        <v>0.58656645501334248</v>
      </c>
      <c r="P64" s="2">
        <f>P9*'Output-Calculation-sheet'!P53/10^9</f>
        <v>0.48766448094545328</v>
      </c>
      <c r="Q64" s="2">
        <f>Q9*'Output-Calculation-sheet'!Q53/10^9</f>
        <v>0.46125681861098478</v>
      </c>
      <c r="R64" s="2">
        <f>R9*'Output-Calculation-sheet'!R53/10^9</f>
        <v>0.38795595971552504</v>
      </c>
      <c r="S64" s="2">
        <f>S9*'Output-Calculation-sheet'!S53/10^9</f>
        <v>0.35645531598090235</v>
      </c>
      <c r="T64" s="2">
        <f>T9*'Output-Calculation-sheet'!T53/10^9</f>
        <v>0.12676001405927392</v>
      </c>
      <c r="U64" s="2">
        <f>U9*'Output-Calculation-sheet'!U53/10^9</f>
        <v>0.12478928552576481</v>
      </c>
      <c r="V64" s="2">
        <f>V9*'Output-Calculation-sheet'!V53/10^9</f>
        <v>0.11107551267722601</v>
      </c>
      <c r="W64" s="2">
        <f>W9*'Output-Calculation-sheet'!W53/10^9</f>
        <v>5.8325922135442368E-2</v>
      </c>
      <c r="X64" s="2">
        <f>X9*'Output-Calculation-sheet'!X53/10^9</f>
        <v>9.4033449751707701E-2</v>
      </c>
      <c r="Y64" s="2">
        <f>Y9*'Output-Calculation-sheet'!Y53/10^9</f>
        <v>4.8666120955803818E-2</v>
      </c>
      <c r="AA64" s="2">
        <f t="shared" si="4"/>
        <v>20.743493799833828</v>
      </c>
    </row>
    <row r="65" spans="1:27" x14ac:dyDescent="0.25">
      <c r="A65" s="2">
        <v>2033</v>
      </c>
      <c r="B65" s="2">
        <f>B10*'Output-Calculation-sheet'!B54/10^9</f>
        <v>6.4562365498440268</v>
      </c>
      <c r="C65" s="2">
        <f>C10*'Output-Calculation-sheet'!C54/10^9</f>
        <v>4.2431951855952104</v>
      </c>
      <c r="D65" s="2">
        <f>D10*'Output-Calculation-sheet'!D54/10^9</f>
        <v>1.1507997360444475</v>
      </c>
      <c r="E65" s="2">
        <f>E10*'Output-Calculation-sheet'!E54/10^9</f>
        <v>1.465566300708371</v>
      </c>
      <c r="F65" s="2">
        <f>F10*'Output-Calculation-sheet'!F54/10^9</f>
        <v>0.62976648509406363</v>
      </c>
      <c r="G65" s="2">
        <f>G10*'Output-Calculation-sheet'!G54/10^9</f>
        <v>0.4483626519808111</v>
      </c>
      <c r="H65" s="2">
        <f>H10*'Output-Calculation-sheet'!H54/10^9</f>
        <v>1.0535284776635967</v>
      </c>
      <c r="I65" s="2">
        <f>I10*'Output-Calculation-sheet'!I54/10^9</f>
        <v>0.39312035594452921</v>
      </c>
      <c r="J65" s="2">
        <f>J10*'Output-Calculation-sheet'!J54/10^9</f>
        <v>0.46512379620961858</v>
      </c>
      <c r="K65" s="2">
        <f>K10*'Output-Calculation-sheet'!K54/10^9</f>
        <v>0.43523791880666485</v>
      </c>
      <c r="L65" s="2">
        <f>L10*'Output-Calculation-sheet'!L54/10^9</f>
        <v>0.44887457577345113</v>
      </c>
      <c r="M65" s="2">
        <f>M10*'Output-Calculation-sheet'!M54/10^9</f>
        <v>0.74912454525434768</v>
      </c>
      <c r="N65" s="2">
        <f>N10*'Output-Calculation-sheet'!N54/10^9</f>
        <v>0.63833126471342994</v>
      </c>
      <c r="O65" s="2">
        <f>O10*'Output-Calculation-sheet'!O54/10^9</f>
        <v>0.74273747532192447</v>
      </c>
      <c r="P65" s="2">
        <f>P10*'Output-Calculation-sheet'!P54/10^9</f>
        <v>0.47087947292644461</v>
      </c>
      <c r="Q65" s="2">
        <f>Q10*'Output-Calculation-sheet'!Q54/10^9</f>
        <v>0.46466157855643064</v>
      </c>
      <c r="R65" s="2">
        <f>R10*'Output-Calculation-sheet'!R54/10^9</f>
        <v>0.36836418715222535</v>
      </c>
      <c r="S65" s="2">
        <f>S10*'Output-Calculation-sheet'!S54/10^9</f>
        <v>0.36971066383834256</v>
      </c>
      <c r="T65" s="2">
        <f>T10*'Output-Calculation-sheet'!T54/10^9</f>
        <v>0.1247420889548249</v>
      </c>
      <c r="U65" s="2">
        <f>U10*'Output-Calculation-sheet'!U54/10^9</f>
        <v>0.11980654316099998</v>
      </c>
      <c r="V65" s="2">
        <f>V10*'Output-Calculation-sheet'!V54/10^9</f>
        <v>0.14115984058310693</v>
      </c>
      <c r="W65" s="2">
        <f>W10*'Output-Calculation-sheet'!W54/10^9</f>
        <v>6.0328939149444566E-2</v>
      </c>
      <c r="X65" s="2">
        <f>X10*'Output-Calculation-sheet'!X54/10^9</f>
        <v>9.6976603256407265E-2</v>
      </c>
      <c r="Y65" s="2">
        <f>Y10*'Output-Calculation-sheet'!Y54/10^9</f>
        <v>4.679983807993799E-2</v>
      </c>
      <c r="AA65" s="2">
        <f t="shared" si="4"/>
        <v>21.583435074612655</v>
      </c>
    </row>
    <row r="66" spans="1:27" x14ac:dyDescent="0.25">
      <c r="A66" s="2">
        <v>2034</v>
      </c>
      <c r="B66" s="2">
        <f>B11*'Output-Calculation-sheet'!B55/10^9</f>
        <v>5.9339784773575497</v>
      </c>
      <c r="C66" s="2">
        <f>C11*'Output-Calculation-sheet'!C55/10^9</f>
        <v>3.9437189969995159</v>
      </c>
      <c r="D66" s="2">
        <f>D11*'Output-Calculation-sheet'!D55/10^9</f>
        <v>1.0735552101991124</v>
      </c>
      <c r="E66" s="2">
        <f>E11*'Output-Calculation-sheet'!E55/10^9</f>
        <v>1.3904254805791687</v>
      </c>
      <c r="F66" s="2">
        <f>F11*'Output-Calculation-sheet'!F55/10^9</f>
        <v>0.54720005879516209</v>
      </c>
      <c r="G66" s="2">
        <f>G11*'Output-Calculation-sheet'!G55/10^9</f>
        <v>0.39920451478994012</v>
      </c>
      <c r="H66" s="2">
        <f>H11*'Output-Calculation-sheet'!H55/10^9</f>
        <v>0.99624842894009114</v>
      </c>
      <c r="I66" s="2">
        <f>I11*'Output-Calculation-sheet'!I55/10^9</f>
        <v>0.37110661443379733</v>
      </c>
      <c r="J66" s="2">
        <f>J11*'Output-Calculation-sheet'!J55/10^9</f>
        <v>0.37365173317387607</v>
      </c>
      <c r="K66" s="2">
        <f>K11*'Output-Calculation-sheet'!K55/10^9</f>
        <v>0.425436082657489</v>
      </c>
      <c r="L66" s="2">
        <f>L11*'Output-Calculation-sheet'!L55/10^9</f>
        <v>0.41245493594689503</v>
      </c>
      <c r="M66" s="2">
        <f>M11*'Output-Calculation-sheet'!M55/10^9</f>
        <v>0.7001752684144178</v>
      </c>
      <c r="N66" s="2">
        <f>N11*'Output-Calculation-sheet'!N55/10^9</f>
        <v>0.60867580851200975</v>
      </c>
      <c r="O66" s="2">
        <f>O11*'Output-Calculation-sheet'!O55/10^9</f>
        <v>0.69397293365562207</v>
      </c>
      <c r="P66" s="2">
        <f>P11*'Output-Calculation-sheet'!P55/10^9</f>
        <v>0.44500309066059957</v>
      </c>
      <c r="Q66" s="2">
        <f>Q11*'Output-Calculation-sheet'!Q55/10^9</f>
        <v>0.45773204464894407</v>
      </c>
      <c r="R66" s="2">
        <f>R11*'Output-Calculation-sheet'!R55/10^9</f>
        <v>0.33866743096434621</v>
      </c>
      <c r="S66" s="2">
        <f>S11*'Output-Calculation-sheet'!S55/10^9</f>
        <v>0.35155765020746543</v>
      </c>
      <c r="T66" s="2">
        <f>T11*'Output-Calculation-sheet'!T55/10^9</f>
        <v>0.10611128049057411</v>
      </c>
      <c r="U66" s="2">
        <f>U11*'Output-Calculation-sheet'!U55/10^9</f>
        <v>0.115488117503557</v>
      </c>
      <c r="V66" s="2">
        <f>V11*'Output-Calculation-sheet'!V55/10^9</f>
        <v>0.1002849655337059</v>
      </c>
      <c r="W66" s="2">
        <f>W11*'Output-Calculation-sheet'!W55/10^9</f>
        <v>4.9129991788584453E-2</v>
      </c>
      <c r="X66" s="2">
        <f>X11*'Output-Calculation-sheet'!X55/10^9</f>
        <v>9.1808352314866198E-2</v>
      </c>
      <c r="Y66" s="2">
        <f>Y11*'Output-Calculation-sheet'!Y55/10^9</f>
        <v>4.7139936659709926E-2</v>
      </c>
      <c r="AA66" s="2">
        <f t="shared" si="4"/>
        <v>19.972727405227001</v>
      </c>
    </row>
    <row r="67" spans="1:27" x14ac:dyDescent="0.25">
      <c r="A67" s="2">
        <v>2035</v>
      </c>
      <c r="B67" s="2">
        <f>B12*'Output-Calculation-sheet'!B56/10^9</f>
        <v>5.3571042222157468</v>
      </c>
      <c r="C67" s="2">
        <f>C12*'Output-Calculation-sheet'!C56/10^9</f>
        <v>3.3852902418430073</v>
      </c>
      <c r="D67" s="2">
        <f>D12*'Output-Calculation-sheet'!D56/10^9</f>
        <v>1.062579620057253</v>
      </c>
      <c r="E67" s="2">
        <f>E12*'Output-Calculation-sheet'!E56/10^9</f>
        <v>1.4531368628008903</v>
      </c>
      <c r="F67" s="2">
        <f>F12*'Output-Calculation-sheet'!F56/10^9</f>
        <v>0.56953306699904849</v>
      </c>
      <c r="G67" s="2">
        <f>G12*'Output-Calculation-sheet'!G56/10^9</f>
        <v>0.42021783932568363</v>
      </c>
      <c r="H67" s="2">
        <f>H12*'Output-Calculation-sheet'!H56/10^9</f>
        <v>0.89355360113518734</v>
      </c>
      <c r="I67" s="2">
        <f>I12*'Output-Calculation-sheet'!I56/10^9</f>
        <v>0.38502306381130152</v>
      </c>
      <c r="J67" s="2">
        <f>J12*'Output-Calculation-sheet'!J56/10^9</f>
        <v>0.35223060026047248</v>
      </c>
      <c r="K67" s="2">
        <f>K12*'Output-Calculation-sheet'!K56/10^9</f>
        <v>0.42201636051771002</v>
      </c>
      <c r="L67" s="2">
        <f>L12*'Output-Calculation-sheet'!L56/10^9</f>
        <v>0.39344581712966387</v>
      </c>
      <c r="M67" s="2">
        <f>M12*'Output-Calculation-sheet'!M56/10^9</f>
        <v>0.63223291613837607</v>
      </c>
      <c r="N67" s="2">
        <f>N12*'Output-Calculation-sheet'!N56/10^9</f>
        <v>0.53998552153291368</v>
      </c>
      <c r="O67" s="2">
        <f>O12*'Output-Calculation-sheet'!O56/10^9</f>
        <v>0.59724645244267149</v>
      </c>
      <c r="P67" s="2">
        <f>P12*'Output-Calculation-sheet'!P56/10^9</f>
        <v>0.43821059694157311</v>
      </c>
      <c r="Q67" s="2">
        <f>Q12*'Output-Calculation-sheet'!Q56/10^9</f>
        <v>0.41395574804572349</v>
      </c>
      <c r="R67" s="2">
        <f>R12*'Output-Calculation-sheet'!R56/10^9</f>
        <v>0.32505470300957112</v>
      </c>
      <c r="S67" s="2">
        <f>S12*'Output-Calculation-sheet'!S56/10^9</f>
        <v>0.31378831308282479</v>
      </c>
      <c r="T67" s="2">
        <f>T12*'Output-Calculation-sheet'!T56/10^9</f>
        <v>0.10107889465983705</v>
      </c>
      <c r="U67" s="2">
        <f>U12*'Output-Calculation-sheet'!U56/10^9</f>
        <v>0.10928073658284139</v>
      </c>
      <c r="V67" s="2">
        <f>V12*'Output-Calculation-sheet'!V56/10^9</f>
        <v>7.8013073856731771E-2</v>
      </c>
      <c r="W67" s="2">
        <f>W12*'Output-Calculation-sheet'!W56/10^9</f>
        <v>5.2901725694833326E-2</v>
      </c>
      <c r="X67" s="2">
        <f>X12*'Output-Calculation-sheet'!X56/10^9</f>
        <v>8.212262766888849E-2</v>
      </c>
      <c r="Y67" s="2">
        <f>Y12*'Output-Calculation-sheet'!Y56/10^9</f>
        <v>4.9362682841341862E-2</v>
      </c>
      <c r="AA67" s="2">
        <f t="shared" si="4"/>
        <v>18.427365288594089</v>
      </c>
    </row>
    <row r="68" spans="1:27" x14ac:dyDescent="0.25">
      <c r="B68" s="2">
        <f>SUM(B60:B67)</f>
        <v>45.720473294810731</v>
      </c>
      <c r="C68" s="2">
        <f t="shared" ref="C68:Y68" si="5">SUM(C60:C67)</f>
        <v>25.736109920147847</v>
      </c>
      <c r="D68" s="2">
        <f t="shared" si="5"/>
        <v>8.2392794123756818</v>
      </c>
      <c r="E68" s="2">
        <f t="shared" si="5"/>
        <v>10.684667856371773</v>
      </c>
      <c r="F68" s="2">
        <f t="shared" si="5"/>
        <v>4.4010780092616582</v>
      </c>
      <c r="G68" s="2">
        <f t="shared" si="5"/>
        <v>3.1705307463638719</v>
      </c>
      <c r="H68" s="2">
        <f t="shared" si="5"/>
        <v>6.6201499080284538</v>
      </c>
      <c r="I68" s="2">
        <f t="shared" si="5"/>
        <v>2.8554466459775569</v>
      </c>
      <c r="J68" s="2">
        <f t="shared" si="5"/>
        <v>3.0254147254550565</v>
      </c>
      <c r="K68" s="2">
        <f t="shared" si="5"/>
        <v>3.1551244015120803</v>
      </c>
      <c r="L68" s="2">
        <f t="shared" si="5"/>
        <v>3.2028702933052378</v>
      </c>
      <c r="M68" s="2">
        <f t="shared" si="5"/>
        <v>4.861303371258284</v>
      </c>
      <c r="N68" s="2">
        <f t="shared" si="5"/>
        <v>4.1347733007744143</v>
      </c>
      <c r="O68" s="2">
        <f t="shared" si="5"/>
        <v>4.4612515166220117</v>
      </c>
      <c r="P68" s="2">
        <f t="shared" si="5"/>
        <v>3.3686460521274855</v>
      </c>
      <c r="Q68" s="2">
        <f t="shared" si="5"/>
        <v>3.2424674106225604</v>
      </c>
      <c r="R68" s="2">
        <f t="shared" si="5"/>
        <v>2.6393092700319944</v>
      </c>
      <c r="S68" s="2">
        <f t="shared" si="5"/>
        <v>2.511796114375187</v>
      </c>
      <c r="T68" s="2">
        <f t="shared" si="5"/>
        <v>0.86017686244693992</v>
      </c>
      <c r="U68" s="2">
        <f t="shared" si="5"/>
        <v>0.86024719445507369</v>
      </c>
      <c r="V68" s="2">
        <f t="shared" si="5"/>
        <v>0.78708685017487989</v>
      </c>
      <c r="W68" s="2">
        <f t="shared" si="5"/>
        <v>0.40403885399729089</v>
      </c>
      <c r="X68" s="2">
        <f t="shared" si="5"/>
        <v>0.66098655614487833</v>
      </c>
      <c r="Y68" s="2">
        <f t="shared" si="5"/>
        <v>0.34449746127088621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50.341812732763323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44.811794362426475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177.80304068113568</v>
      </c>
      <c r="S74" s="2">
        <f>S8/'Output-Calculation-sheet'!S7*'Output-Calculation-sheet'!S61</f>
        <v>0</v>
      </c>
      <c r="T74" s="2">
        <f>T8/'Output-Calculation-sheet'!T7*'Output-Calculation-sheet'!T61</f>
        <v>130.98305534441536</v>
      </c>
      <c r="U74" s="2">
        <f>U8/'Output-Calculation-sheet'!U7*'Output-Calculation-sheet'!U61</f>
        <v>16.592496940861889</v>
      </c>
      <c r="V74" s="2">
        <f>V8/'Output-Calculation-sheet'!V7*'Output-Calculation-sheet'!V61</f>
        <v>150.34975249829981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0.57088195255990259</v>
      </c>
    </row>
    <row r="75" spans="1:27" x14ac:dyDescent="0.25">
      <c r="A75" s="2">
        <v>2032</v>
      </c>
      <c r="B75" s="2">
        <f>B9/'Output-Calculation-sheet'!B8*'Output-Calculation-sheet'!B62</f>
        <v>508.17658567361434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103.06260428608456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82.574627930340384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218.49031070535818</v>
      </c>
      <c r="S75" s="2">
        <f>S9/'Output-Calculation-sheet'!S8*'Output-Calculation-sheet'!S62</f>
        <v>0</v>
      </c>
      <c r="T75" s="2">
        <f>T9/'Output-Calculation-sheet'!T8*'Output-Calculation-sheet'!T62</f>
        <v>144.31802730434777</v>
      </c>
      <c r="U75" s="2">
        <f>U9/'Output-Calculation-sheet'!U8*'Output-Calculation-sheet'!U62</f>
        <v>29.50048142839427</v>
      </c>
      <c r="V75" s="2">
        <f>V9/'Output-Calculation-sheet'!V8*'Output-Calculation-sheet'!V62</f>
        <v>154.59590358949339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1.2407185409176331</v>
      </c>
    </row>
    <row r="76" spans="1:27" x14ac:dyDescent="0.25">
      <c r="A76" s="2">
        <v>2033</v>
      </c>
      <c r="B76" s="2">
        <f>B10/'Output-Calculation-sheet'!B9*'Output-Calculation-sheet'!B63</f>
        <v>4588.9126397065174</v>
      </c>
      <c r="C76" s="2">
        <f>C10/'Output-Calculation-sheet'!C9*'Output-Calculation-sheet'!C63</f>
        <v>9372.6572912733973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2988.3389382361661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2034.7557219500438</v>
      </c>
      <c r="N76" s="2">
        <f>N10/'Output-Calculation-sheet'!N9*'Output-Calculation-sheet'!N63</f>
        <v>1162.3425626631292</v>
      </c>
      <c r="O76" s="2">
        <f>O10/'Output-Calculation-sheet'!O9*'Output-Calculation-sheet'!O63</f>
        <v>0</v>
      </c>
      <c r="P76" s="2">
        <f>P10/'Output-Calculation-sheet'!P9*'Output-Calculation-sheet'!P63</f>
        <v>403.62464412873072</v>
      </c>
      <c r="Q76" s="2">
        <f>Q10/'Output-Calculation-sheet'!Q9*'Output-Calculation-sheet'!Q63</f>
        <v>182.05093500402012</v>
      </c>
      <c r="R76" s="2">
        <f>R10/'Output-Calculation-sheet'!R9*'Output-Calculation-sheet'!R63</f>
        <v>307.62651006821989</v>
      </c>
      <c r="S76" s="2">
        <f>S10/'Output-Calculation-sheet'!S9*'Output-Calculation-sheet'!S63</f>
        <v>516.86660865172905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108.70459304066094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239.60694462593941</v>
      </c>
      <c r="Y76" s="2">
        <f>Y10/'Output-Calculation-sheet'!Y9*'Output-Calculation-sheet'!Y63</f>
        <v>4.5456509469597863</v>
      </c>
      <c r="AA76" s="2">
        <f t="shared" si="6"/>
        <v>22.017621817182764</v>
      </c>
    </row>
    <row r="77" spans="1:27" x14ac:dyDescent="0.25">
      <c r="A77" s="2">
        <v>2034</v>
      </c>
      <c r="B77" s="2">
        <f>B11/'Output-Calculation-sheet'!B10*'Output-Calculation-sheet'!B64</f>
        <v>9887.7556176763046</v>
      </c>
      <c r="C77" s="2">
        <f>C11/'Output-Calculation-sheet'!C10*'Output-Calculation-sheet'!C64</f>
        <v>8685.9989540338047</v>
      </c>
      <c r="D77" s="2">
        <f>D11/'Output-Calculation-sheet'!D10*'Output-Calculation-sheet'!D64</f>
        <v>1218.7131625180768</v>
      </c>
      <c r="E77" s="2">
        <f>E11/'Output-Calculation-sheet'!E10*'Output-Calculation-sheet'!E64</f>
        <v>1505.9060745821707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643.483833377878</v>
      </c>
      <c r="H77" s="2">
        <f>H11/'Output-Calculation-sheet'!H10*'Output-Calculation-sheet'!H64</f>
        <v>3188.1269728643751</v>
      </c>
      <c r="I77" s="2">
        <f>I11/'Output-Calculation-sheet'!I10*'Output-Calculation-sheet'!I64</f>
        <v>379.61754824301863</v>
      </c>
      <c r="J77" s="2">
        <f>J11/'Output-Calculation-sheet'!J10*'Output-Calculation-sheet'!J64</f>
        <v>270.60897491790769</v>
      </c>
      <c r="K77" s="2">
        <f>K11/'Output-Calculation-sheet'!K10*'Output-Calculation-sheet'!K64</f>
        <v>573.75121178466077</v>
      </c>
      <c r="L77" s="2">
        <f>L11/'Output-Calculation-sheet'!L10*'Output-Calculation-sheet'!L64</f>
        <v>249.12061680117483</v>
      </c>
      <c r="M77" s="2">
        <f>M11/'Output-Calculation-sheet'!M10*'Output-Calculation-sheet'!M64</f>
        <v>2267.5580478246197</v>
      </c>
      <c r="N77" s="2">
        <f>N11/'Output-Calculation-sheet'!N10*'Output-Calculation-sheet'!N64</f>
        <v>1613.3118613356453</v>
      </c>
      <c r="O77" s="2">
        <f>O11/'Output-Calculation-sheet'!O10*'Output-Calculation-sheet'!O64</f>
        <v>56.249018298018719</v>
      </c>
      <c r="P77" s="2">
        <f>P11/'Output-Calculation-sheet'!P10*'Output-Calculation-sheet'!P64</f>
        <v>712.05604836682551</v>
      </c>
      <c r="Q77" s="2">
        <f>Q11/'Output-Calculation-sheet'!Q10*'Output-Calculation-sheet'!Q64</f>
        <v>406.3142270676563</v>
      </c>
      <c r="R77" s="2">
        <f>R11/'Output-Calculation-sheet'!R10*'Output-Calculation-sheet'!R64</f>
        <v>609.33394505414492</v>
      </c>
      <c r="S77" s="2">
        <f>S11/'Output-Calculation-sheet'!S10*'Output-Calculation-sheet'!S64</f>
        <v>814.71365826979491</v>
      </c>
      <c r="T77" s="2">
        <f>T11/'Output-Calculation-sheet'!T10*'Output-Calculation-sheet'!T64</f>
        <v>167.63704402542223</v>
      </c>
      <c r="U77" s="2">
        <f>U11/'Output-Calculation-sheet'!U10*'Output-Calculation-sheet'!U64</f>
        <v>222.80920163707998</v>
      </c>
      <c r="V77" s="2">
        <f>V11/'Output-Calculation-sheet'!V10*'Output-Calculation-sheet'!V64</f>
        <v>88.818511706040468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230.40796831306699</v>
      </c>
      <c r="Y77" s="2">
        <f>Y11/'Output-Calculation-sheet'!Y10*'Output-Calculation-sheet'!Y64</f>
        <v>55.787879101079376</v>
      </c>
      <c r="AA77" s="2">
        <f t="shared" si="6"/>
        <v>33.960610963682775</v>
      </c>
    </row>
    <row r="78" spans="1:27" x14ac:dyDescent="0.25">
      <c r="A78" s="2">
        <v>2035</v>
      </c>
      <c r="B78" s="2">
        <f>B12/'Output-Calculation-sheet'!B11*'Output-Calculation-sheet'!B65</f>
        <v>10367.48604550956</v>
      </c>
      <c r="C78" s="2">
        <f>C12/'Output-Calculation-sheet'!C11*'Output-Calculation-sheet'!C65</f>
        <v>7321.2987503165059</v>
      </c>
      <c r="D78" s="2">
        <f>D12/'Output-Calculation-sheet'!D11*'Output-Calculation-sheet'!D65</f>
        <v>1100.6745360363334</v>
      </c>
      <c r="E78" s="2">
        <f>E12/'Output-Calculation-sheet'!E11*'Output-Calculation-sheet'!E65</f>
        <v>2092.3530322691486</v>
      </c>
      <c r="F78" s="2">
        <f>F12/'Output-Calculation-sheet'!F11*'Output-Calculation-sheet'!F65</f>
        <v>443.19799998336168</v>
      </c>
      <c r="G78" s="2">
        <f>G12/'Output-Calculation-sheet'!G11*'Output-Calculation-sheet'!G65</f>
        <v>831.60832758725985</v>
      </c>
      <c r="H78" s="2">
        <f>H12/'Output-Calculation-sheet'!H11*'Output-Calculation-sheet'!H65</f>
        <v>2677.4507960142328</v>
      </c>
      <c r="I78" s="2">
        <f>I12/'Output-Calculation-sheet'!I11*'Output-Calculation-sheet'!I65</f>
        <v>489.01200343869118</v>
      </c>
      <c r="J78" s="2">
        <f>J12/'Output-Calculation-sheet'!J11*'Output-Calculation-sheet'!J65</f>
        <v>438.5614510090229</v>
      </c>
      <c r="K78" s="2">
        <f>K12/'Output-Calculation-sheet'!K11*'Output-Calculation-sheet'!K65</f>
        <v>553.44331358989962</v>
      </c>
      <c r="L78" s="2">
        <f>L12/'Output-Calculation-sheet'!L11*'Output-Calculation-sheet'!L65</f>
        <v>329.07016264912465</v>
      </c>
      <c r="M78" s="2">
        <f>M12/'Output-Calculation-sheet'!M11*'Output-Calculation-sheet'!M65</f>
        <v>1905.8896283915196</v>
      </c>
      <c r="N78" s="2">
        <f>N12/'Output-Calculation-sheet'!N11*'Output-Calculation-sheet'!N65</f>
        <v>1340.1481888863768</v>
      </c>
      <c r="O78" s="2">
        <f>O12/'Output-Calculation-sheet'!O11*'Output-Calculation-sheet'!O65</f>
        <v>187.87145662824548</v>
      </c>
      <c r="P78" s="2">
        <f>P12/'Output-Calculation-sheet'!P11*'Output-Calculation-sheet'!P65</f>
        <v>761.86009366139251</v>
      </c>
      <c r="Q78" s="2">
        <f>Q12/'Output-Calculation-sheet'!Q11*'Output-Calculation-sheet'!Q65</f>
        <v>383.20806868287116</v>
      </c>
      <c r="R78" s="2">
        <f>R12/'Output-Calculation-sheet'!R11*'Output-Calculation-sheet'!R65</f>
        <v>631.64284519431794</v>
      </c>
      <c r="S78" s="2">
        <f>S12/'Output-Calculation-sheet'!S11*'Output-Calculation-sheet'!S65</f>
        <v>712.5906164800956</v>
      </c>
      <c r="T78" s="2">
        <f>T12/'Output-Calculation-sheet'!T11*'Output-Calculation-sheet'!T65</f>
        <v>227.12406724172152</v>
      </c>
      <c r="U78" s="2">
        <f>U12/'Output-Calculation-sheet'!U11*'Output-Calculation-sheet'!U65</f>
        <v>194.60327951899157</v>
      </c>
      <c r="V78" s="2">
        <f>V12/'Output-Calculation-sheet'!V11*'Output-Calculation-sheet'!V65</f>
        <v>122.57410652564388</v>
      </c>
      <c r="W78" s="2">
        <f>W12/'Output-Calculation-sheet'!W11*'Output-Calculation-sheet'!W65</f>
        <v>86.332853591797019</v>
      </c>
      <c r="X78" s="2">
        <f>X12/'Output-Calculation-sheet'!X11*'Output-Calculation-sheet'!X65</f>
        <v>196.43503656508503</v>
      </c>
      <c r="Y78" s="2">
        <f>Y12/'Output-Calculation-sheet'!Y11*'Output-Calculation-sheet'!Y65</f>
        <v>84.269430095870419</v>
      </c>
      <c r="AA78" s="2">
        <f t="shared" si="6"/>
        <v>33.47870608986706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338.27759379483155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328.59118018244681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0.6668687739772784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602.25857073011935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23.174243108077043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15.946146987887706</v>
      </c>
      <c r="N88" s="2">
        <f>N11/'Output-Calculation-sheet'!N10*'Output-Calculation-sheet'!N73</f>
        <v>0</v>
      </c>
      <c r="O88" s="2">
        <f>O11/'Output-Calculation-sheet'!O10*'Output-Calculation-sheet'!O73</f>
        <v>336.38258472554094</v>
      </c>
      <c r="P88" s="2">
        <f>P11/'Output-Calculation-sheet'!P10*'Output-Calculation-sheet'!P73</f>
        <v>0</v>
      </c>
      <c r="Q88" s="2">
        <f>Q11/'Output-Calculation-sheet'!Q10*'Output-Calculation-sheet'!Q73</f>
        <v>13.731471006003931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1.749331635029967</v>
      </c>
      <c r="Y88" s="2">
        <f>Y11/'Output-Calculation-sheet'!Y10*'Output-Calculation-sheet'!Y73</f>
        <v>0</v>
      </c>
      <c r="AA88" s="2">
        <f t="shared" si="7"/>
        <v>0.99324234819265889</v>
      </c>
    </row>
    <row r="89" spans="1:27" x14ac:dyDescent="0.25">
      <c r="A89" s="2">
        <v>2035</v>
      </c>
      <c r="B89" s="2">
        <f>B12/'Output-Calculation-sheet'!B11*'Output-Calculation-sheet'!B74</f>
        <v>261.33664504321951</v>
      </c>
      <c r="C89" s="2">
        <f>C12/'Output-Calculation-sheet'!C11*'Output-Calculation-sheet'!C74</f>
        <v>806.2353029971332</v>
      </c>
      <c r="D89" s="2">
        <f>D12/'Output-Calculation-sheet'!D11*'Output-Calculation-sheet'!D74</f>
        <v>109.8751720525414</v>
      </c>
      <c r="E89" s="2">
        <f>E12/'Output-Calculation-sheet'!E11*'Output-Calculation-sheet'!E74</f>
        <v>87.321454511159502</v>
      </c>
      <c r="F89" s="2">
        <f>F12/'Output-Calculation-sheet'!F11*'Output-Calculation-sheet'!F74</f>
        <v>27.459603468609767</v>
      </c>
      <c r="G89" s="2">
        <f>G12/'Output-Calculation-sheet'!G11*'Output-Calculation-sheet'!G74</f>
        <v>39.414584937070941</v>
      </c>
      <c r="H89" s="2">
        <f>H12/'Output-Calculation-sheet'!H11*'Output-Calculation-sheet'!H74</f>
        <v>95.455513740649735</v>
      </c>
      <c r="I89" s="2">
        <f>I12/'Output-Calculation-sheet'!I11*'Output-Calculation-sheet'!I74</f>
        <v>35.451065930019659</v>
      </c>
      <c r="J89" s="2">
        <f>J12/'Output-Calculation-sheet'!J11*'Output-Calculation-sheet'!J74</f>
        <v>17.542458040360916</v>
      </c>
      <c r="K89" s="2">
        <f>K12/'Output-Calculation-sheet'!K11*'Output-Calculation-sheet'!K74</f>
        <v>34.842817526435383</v>
      </c>
      <c r="L89" s="2">
        <f>L12/'Output-Calculation-sheet'!L11*'Output-Calculation-sheet'!L74</f>
        <v>27.705338888581323</v>
      </c>
      <c r="M89" s="2">
        <f>M12/'Output-Calculation-sheet'!M11*'Output-Calculation-sheet'!M74</f>
        <v>52.546187448330116</v>
      </c>
      <c r="N89" s="2">
        <f>N12/'Output-Calculation-sheet'!N11*'Output-Calculation-sheet'!N74</f>
        <v>38.733352922591287</v>
      </c>
      <c r="O89" s="2">
        <f>O12/'Output-Calculation-sheet'!O11*'Output-Calculation-sheet'!O74</f>
        <v>313.25965961228644</v>
      </c>
      <c r="P89" s="2">
        <f>P12/'Output-Calculation-sheet'!P11*'Output-Calculation-sheet'!P74</f>
        <v>23.855092640554606</v>
      </c>
      <c r="Q89" s="2">
        <f>Q12/'Output-Calculation-sheet'!Q11*'Output-Calculation-sheet'!Q74</f>
        <v>33.936244127069713</v>
      </c>
      <c r="R89" s="2">
        <f>R12/'Output-Calculation-sheet'!R11*'Output-Calculation-sheet'!R74</f>
        <v>22.436075913555143</v>
      </c>
      <c r="S89" s="2">
        <f>S12/'Output-Calculation-sheet'!S11*'Output-Calculation-sheet'!S74</f>
        <v>22.203234762887007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7.2184902822430939</v>
      </c>
      <c r="V89" s="2">
        <f>V12/'Output-Calculation-sheet'!V11*'Output-Calculation-sheet'!V74</f>
        <v>2.7830553442236878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8.6466694499993402</v>
      </c>
      <c r="Y89" s="2">
        <f>Y12/'Output-Calculation-sheet'!Y11*'Output-Calculation-sheet'!Y74</f>
        <v>2.7813987984444402</v>
      </c>
      <c r="AA89" s="2">
        <f t="shared" si="7"/>
        <v>2.0775996149694071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14568037567.183882</v>
      </c>
      <c r="C96" s="2">
        <f>C8/'Output-Calculation-sheet'!C7*'Output-Calculation-sheet'!C79</f>
        <v>1793171163.9271753</v>
      </c>
      <c r="D96" s="2">
        <f>D8/'Output-Calculation-sheet'!D7*'Output-Calculation-sheet'!D79</f>
        <v>6350168131.7692537</v>
      </c>
      <c r="E96" s="2">
        <f>E8/'Output-Calculation-sheet'!E7*'Output-Calculation-sheet'!E79</f>
        <v>10857352522.574236</v>
      </c>
      <c r="F96" s="2">
        <f>F8/'Output-Calculation-sheet'!F7*'Output-Calculation-sheet'!F79</f>
        <v>4886170995.987257</v>
      </c>
      <c r="G96" s="2">
        <f>G8/'Output-Calculation-sheet'!G7*'Output-Calculation-sheet'!G79</f>
        <v>3711268781.2971916</v>
      </c>
      <c r="H96" s="2">
        <f>H8/'Output-Calculation-sheet'!H7*'Output-Calculation-sheet'!H79</f>
        <v>1079734680.5592234</v>
      </c>
      <c r="I96" s="2">
        <f>I8/'Output-Calculation-sheet'!I7*'Output-Calculation-sheet'!I79</f>
        <v>2489418460.5288744</v>
      </c>
      <c r="J96" s="2">
        <f>J8/'Output-Calculation-sheet'!J7*'Output-Calculation-sheet'!J79</f>
        <v>1844702220.1215928</v>
      </c>
      <c r="K96" s="2">
        <f>K8/'Output-Calculation-sheet'!K7*'Output-Calculation-sheet'!K79</f>
        <v>2132939519.4966199</v>
      </c>
      <c r="L96" s="2">
        <f>L8/'Output-Calculation-sheet'!L7*'Output-Calculation-sheet'!L79</f>
        <v>1696714196.4903345</v>
      </c>
      <c r="M96" s="2">
        <f>M8/'Output-Calculation-sheet'!M7*'Output-Calculation-sheet'!M79</f>
        <v>839397359.33010042</v>
      </c>
      <c r="N96" s="2">
        <f>N8/'Output-Calculation-sheet'!N7*'Output-Calculation-sheet'!N79</f>
        <v>852491301.86250985</v>
      </c>
      <c r="O96" s="2">
        <f>O8/'Output-Calculation-sheet'!O7*'Output-Calculation-sheet'!O79</f>
        <v>208093206.56491086</v>
      </c>
      <c r="P96" s="2">
        <f>P8/'Output-Calculation-sheet'!P7*'Output-Calculation-sheet'!P79</f>
        <v>2267333793.0988374</v>
      </c>
      <c r="Q96" s="2">
        <f>Q8/'Output-Calculation-sheet'!Q7*'Output-Calculation-sheet'!Q79</f>
        <v>1005407620.0414258</v>
      </c>
      <c r="R96" s="2">
        <f>R8/'Output-Calculation-sheet'!R7*'Output-Calculation-sheet'!R79</f>
        <v>1529711340.2900667</v>
      </c>
      <c r="S96" s="2">
        <f>S8/'Output-Calculation-sheet'!S7*'Output-Calculation-sheet'!S79</f>
        <v>597921140.85593438</v>
      </c>
      <c r="T96" s="2">
        <f>T8/'Output-Calculation-sheet'!T7*'Output-Calculation-sheet'!T79</f>
        <v>809776090.51204276</v>
      </c>
      <c r="U96" s="2">
        <f>U8/'Output-Calculation-sheet'!U7*'Output-Calculation-sheet'!U79</f>
        <v>402193218.1365785</v>
      </c>
      <c r="V96" s="2">
        <f>V8/'Output-Calculation-sheet'!V7*'Output-Calculation-sheet'!V79</f>
        <v>296363755.59104455</v>
      </c>
      <c r="W96" s="2">
        <f>W8/'Output-Calculation-sheet'!W7*'Output-Calculation-sheet'!W79</f>
        <v>789526037.62807012</v>
      </c>
      <c r="X96" s="2">
        <f>X8/'Output-Calculation-sheet'!X7*'Output-Calculation-sheet'!X79</f>
        <v>93557116.801327303</v>
      </c>
      <c r="Y96" s="2">
        <f>Y8/'Output-Calculation-sheet'!Y7*'Output-Calculation-sheet'!Y79</f>
        <v>354329587.41545796</v>
      </c>
      <c r="AA96" s="2">
        <f t="shared" si="8"/>
        <v>61.455779808063959</v>
      </c>
    </row>
    <row r="97" spans="1:27" x14ac:dyDescent="0.25">
      <c r="A97" s="2">
        <v>2032</v>
      </c>
      <c r="B97" s="2">
        <f>B9/'Output-Calculation-sheet'!B8*'Output-Calculation-sheet'!B80</f>
        <v>15114576419.199854</v>
      </c>
      <c r="C97" s="2">
        <f>C9/'Output-Calculation-sheet'!C8*'Output-Calculation-sheet'!C80</f>
        <v>1898893354.5685167</v>
      </c>
      <c r="D97" s="2">
        <f>D9/'Output-Calculation-sheet'!D8*'Output-Calculation-sheet'!D80</f>
        <v>6253996802.436861</v>
      </c>
      <c r="E97" s="2">
        <f>E9/'Output-Calculation-sheet'!E8*'Output-Calculation-sheet'!E80</f>
        <v>11010821243.443094</v>
      </c>
      <c r="F97" s="2">
        <f>F9/'Output-Calculation-sheet'!F8*'Output-Calculation-sheet'!F80</f>
        <v>4943793884.8641777</v>
      </c>
      <c r="G97" s="2">
        <f>G9/'Output-Calculation-sheet'!G8*'Output-Calculation-sheet'!G80</f>
        <v>3659302056.2095904</v>
      </c>
      <c r="H97" s="2">
        <f>H9/'Output-Calculation-sheet'!H8*'Output-Calculation-sheet'!H80</f>
        <v>1108792174.1508982</v>
      </c>
      <c r="I97" s="2">
        <f>I9/'Output-Calculation-sheet'!I8*'Output-Calculation-sheet'!I80</f>
        <v>2541646408.9783912</v>
      </c>
      <c r="J97" s="2">
        <f>J9/'Output-Calculation-sheet'!J8*'Output-Calculation-sheet'!J80</f>
        <v>1833946420.9812617</v>
      </c>
      <c r="K97" s="2">
        <f>K9/'Output-Calculation-sheet'!K8*'Output-Calculation-sheet'!K80</f>
        <v>2134767628.2888124</v>
      </c>
      <c r="L97" s="2">
        <f>L9/'Output-Calculation-sheet'!L8*'Output-Calculation-sheet'!L80</f>
        <v>1750387847.2879367</v>
      </c>
      <c r="M97" s="2">
        <f>M9/'Output-Calculation-sheet'!M8*'Output-Calculation-sheet'!M80</f>
        <v>861844319.91566634</v>
      </c>
      <c r="N97" s="2">
        <f>N9/'Output-Calculation-sheet'!N8*'Output-Calculation-sheet'!N80</f>
        <v>854197174.53560305</v>
      </c>
      <c r="O97" s="2">
        <f>O9/'Output-Calculation-sheet'!O8*'Output-Calculation-sheet'!O80</f>
        <v>222929388.77427924</v>
      </c>
      <c r="P97" s="2">
        <f>P9/'Output-Calculation-sheet'!P8*'Output-Calculation-sheet'!P80</f>
        <v>2267075099.3017592</v>
      </c>
      <c r="Q97" s="2">
        <f>Q9/'Output-Calculation-sheet'!Q8*'Output-Calculation-sheet'!Q80</f>
        <v>1008070217.9252887</v>
      </c>
      <c r="R97" s="2">
        <f>R9/'Output-Calculation-sheet'!R8*'Output-Calculation-sheet'!R80</f>
        <v>1568705656.1347685</v>
      </c>
      <c r="S97" s="2">
        <f>S9/'Output-Calculation-sheet'!S8*'Output-Calculation-sheet'!S80</f>
        <v>605000502.56992948</v>
      </c>
      <c r="T97" s="2">
        <f>T9/'Output-Calculation-sheet'!T8*'Output-Calculation-sheet'!T80</f>
        <v>808947101.7354548</v>
      </c>
      <c r="U97" s="2">
        <f>U9/'Output-Calculation-sheet'!U8*'Output-Calculation-sheet'!U80</f>
        <v>410557710.51132363</v>
      </c>
      <c r="V97" s="2">
        <f>V9/'Output-Calculation-sheet'!V8*'Output-Calculation-sheet'!V80</f>
        <v>302428971.47050875</v>
      </c>
      <c r="W97" s="2">
        <f>W9/'Output-Calculation-sheet'!W8*'Output-Calculation-sheet'!W80</f>
        <v>790898572.81012917</v>
      </c>
      <c r="X97" s="2">
        <f>X9/'Output-Calculation-sheet'!X8*'Output-Calculation-sheet'!X80</f>
        <v>96853988.46833545</v>
      </c>
      <c r="Y97" s="2">
        <f>Y9/'Output-Calculation-sheet'!Y8*'Output-Calculation-sheet'!Y80</f>
        <v>355149264.45272678</v>
      </c>
      <c r="AA97" s="2">
        <f t="shared" si="8"/>
        <v>62.403582209015163</v>
      </c>
    </row>
    <row r="98" spans="1:27" x14ac:dyDescent="0.25">
      <c r="A98" s="2">
        <v>2033</v>
      </c>
      <c r="B98" s="2">
        <f>B10/'Output-Calculation-sheet'!B9*'Output-Calculation-sheet'!B81</f>
        <v>16719783563.087561</v>
      </c>
      <c r="C98" s="2">
        <f>C10/'Output-Calculation-sheet'!C9*'Output-Calculation-sheet'!C81</f>
        <v>5732370917.8247042</v>
      </c>
      <c r="D98" s="2">
        <f>D10/'Output-Calculation-sheet'!D9*'Output-Calculation-sheet'!D81</f>
        <v>5455471174.1471081</v>
      </c>
      <c r="E98" s="2">
        <f>E10/'Output-Calculation-sheet'!E9*'Output-Calculation-sheet'!E81</f>
        <v>10262084535.322906</v>
      </c>
      <c r="F98" s="2">
        <f>F10/'Output-Calculation-sheet'!F9*'Output-Calculation-sheet'!F81</f>
        <v>4232331708.061295</v>
      </c>
      <c r="G98" s="2">
        <f>G10/'Output-Calculation-sheet'!G9*'Output-Calculation-sheet'!G81</f>
        <v>3107507432.9760122</v>
      </c>
      <c r="H98" s="2">
        <f>H10/'Output-Calculation-sheet'!H9*'Output-Calculation-sheet'!H81</f>
        <v>2815427123.3762946</v>
      </c>
      <c r="I98" s="2">
        <f>I10/'Output-Calculation-sheet'!I9*'Output-Calculation-sheet'!I81</f>
        <v>2340451126.9159212</v>
      </c>
      <c r="J98" s="2">
        <f>J10/'Output-Calculation-sheet'!J9*'Output-Calculation-sheet'!J81</f>
        <v>1496543440.8244693</v>
      </c>
      <c r="K98" s="2">
        <f>K10/'Output-Calculation-sheet'!K9*'Output-Calculation-sheet'!K81</f>
        <v>2173788695.9927402</v>
      </c>
      <c r="L98" s="2">
        <f>L10/'Output-Calculation-sheet'!L9*'Output-Calculation-sheet'!L81</f>
        <v>1630374061.1328859</v>
      </c>
      <c r="M98" s="2">
        <f>M10/'Output-Calculation-sheet'!M9*'Output-Calculation-sheet'!M81</f>
        <v>2114267560.4469025</v>
      </c>
      <c r="N98" s="2">
        <f>N10/'Output-Calculation-sheet'!N9*'Output-Calculation-sheet'!N81</f>
        <v>1516822008.5028951</v>
      </c>
      <c r="O98" s="2">
        <f>O10/'Output-Calculation-sheet'!O9*'Output-Calculation-sheet'!O81</f>
        <v>803242947.20748222</v>
      </c>
      <c r="P98" s="2">
        <f>P10/'Output-Calculation-sheet'!P9*'Output-Calculation-sheet'!P81</f>
        <v>2566931402.0421414</v>
      </c>
      <c r="Q98" s="2">
        <f>Q10/'Output-Calculation-sheet'!Q9*'Output-Calculation-sheet'!Q81</f>
        <v>1206906072.0173478</v>
      </c>
      <c r="R98" s="2">
        <f>R10/'Output-Calculation-sheet'!R9*'Output-Calculation-sheet'!R81</f>
        <v>1543815456.7802014</v>
      </c>
      <c r="S98" s="2">
        <f>S10/'Output-Calculation-sheet'!S9*'Output-Calculation-sheet'!S81</f>
        <v>892600193.06454194</v>
      </c>
      <c r="T98" s="2">
        <f>T10/'Output-Calculation-sheet'!T9*'Output-Calculation-sheet'!T81</f>
        <v>662346064.4663707</v>
      </c>
      <c r="U98" s="2">
        <f>U10/'Output-Calculation-sheet'!U9*'Output-Calculation-sheet'!U81</f>
        <v>430965306.92971611</v>
      </c>
      <c r="V98" s="2">
        <f>V10/'Output-Calculation-sheet'!V9*'Output-Calculation-sheet'!V81</f>
        <v>228246483.90505964</v>
      </c>
      <c r="W98" s="2">
        <f>W10/'Output-Calculation-sheet'!W9*'Output-Calculation-sheet'!W81</f>
        <v>647157526.9783082</v>
      </c>
      <c r="X98" s="2">
        <f>X10/'Output-Calculation-sheet'!X9*'Output-Calculation-sheet'!X81</f>
        <v>237810811.24185434</v>
      </c>
      <c r="Y98" s="2">
        <f>Y10/'Output-Calculation-sheet'!Y9*'Output-Calculation-sheet'!Y81</f>
        <v>355847286.0040471</v>
      </c>
      <c r="AA98" s="2">
        <f t="shared" si="8"/>
        <v>69.173092899248786</v>
      </c>
    </row>
    <row r="99" spans="1:27" x14ac:dyDescent="0.25">
      <c r="A99" s="2">
        <v>2034</v>
      </c>
      <c r="B99" s="2">
        <f>B11/'Output-Calculation-sheet'!B10*'Output-Calculation-sheet'!B82</f>
        <v>17358405612.672291</v>
      </c>
      <c r="C99" s="2">
        <f>C11/'Output-Calculation-sheet'!C10*'Output-Calculation-sheet'!C82</f>
        <v>5989362113.2468662</v>
      </c>
      <c r="D99" s="2">
        <f>D11/'Output-Calculation-sheet'!D10*'Output-Calculation-sheet'!D82</f>
        <v>5448634810.7269545</v>
      </c>
      <c r="E99" s="2">
        <f>E11/'Output-Calculation-sheet'!E10*'Output-Calculation-sheet'!E82</f>
        <v>10539906256.339249</v>
      </c>
      <c r="F99" s="2">
        <f>F11/'Output-Calculation-sheet'!F10*'Output-Calculation-sheet'!F82</f>
        <v>4340847311.5383282</v>
      </c>
      <c r="G99" s="2">
        <f>G11/'Output-Calculation-sheet'!G10*'Output-Calculation-sheet'!G82</f>
        <v>3086033542.528708</v>
      </c>
      <c r="H99" s="2">
        <f>H11/'Output-Calculation-sheet'!H10*'Output-Calculation-sheet'!H82</f>
        <v>2884458643.4490657</v>
      </c>
      <c r="I99" s="2">
        <f>I11/'Output-Calculation-sheet'!I10*'Output-Calculation-sheet'!I82</f>
        <v>2422744453.3869529</v>
      </c>
      <c r="J99" s="2">
        <f>J11/'Output-Calculation-sheet'!J10*'Output-Calculation-sheet'!J82</f>
        <v>1507672946.7423272</v>
      </c>
      <c r="K99" s="2">
        <f>K11/'Output-Calculation-sheet'!K10*'Output-Calculation-sheet'!K82</f>
        <v>2205923368.2207375</v>
      </c>
      <c r="L99" s="2">
        <f>L11/'Output-Calculation-sheet'!L10*'Output-Calculation-sheet'!L82</f>
        <v>1703134158.089112</v>
      </c>
      <c r="M99" s="2">
        <f>M11/'Output-Calculation-sheet'!M10*'Output-Calculation-sheet'!M82</f>
        <v>2172809231.6519885</v>
      </c>
      <c r="N99" s="2">
        <f>N11/'Output-Calculation-sheet'!N10*'Output-Calculation-sheet'!N82</f>
        <v>1530746133.9167874</v>
      </c>
      <c r="O99" s="2">
        <f>O11/'Output-Calculation-sheet'!O10*'Output-Calculation-sheet'!O82</f>
        <v>829894301.13520634</v>
      </c>
      <c r="P99" s="2">
        <f>P11/'Output-Calculation-sheet'!P10*'Output-Calculation-sheet'!P82</f>
        <v>2586968541.7075315</v>
      </c>
      <c r="Q99" s="2">
        <f>Q11/'Output-Calculation-sheet'!Q10*'Output-Calculation-sheet'!Q82</f>
        <v>1224316080.4370384</v>
      </c>
      <c r="R99" s="2">
        <f>R11/'Output-Calculation-sheet'!R10*'Output-Calculation-sheet'!R82</f>
        <v>1584871504.146518</v>
      </c>
      <c r="S99" s="2">
        <f>S11/'Output-Calculation-sheet'!S10*'Output-Calculation-sheet'!S82</f>
        <v>912930293.85085797</v>
      </c>
      <c r="T99" s="2">
        <f>T11/'Output-Calculation-sheet'!T10*'Output-Calculation-sheet'!T82</f>
        <v>667245310.70535326</v>
      </c>
      <c r="U99" s="2">
        <f>U11/'Output-Calculation-sheet'!U10*'Output-Calculation-sheet'!U82</f>
        <v>441863295.3867299</v>
      </c>
      <c r="V99" s="2">
        <f>V11/'Output-Calculation-sheet'!V10*'Output-Calculation-sheet'!V82</f>
        <v>236258795.14953107</v>
      </c>
      <c r="W99" s="2">
        <f>W11/'Output-Calculation-sheet'!W10*'Output-Calculation-sheet'!W82</f>
        <v>655153910.79840016</v>
      </c>
      <c r="X99" s="2">
        <f>X11/'Output-Calculation-sheet'!X10*'Output-Calculation-sheet'!X82</f>
        <v>246748999.91537246</v>
      </c>
      <c r="Y99" s="2">
        <f>Y11/'Output-Calculation-sheet'!Y10*'Output-Calculation-sheet'!Y82</f>
        <v>360542441.67161435</v>
      </c>
      <c r="AA99" s="2">
        <f t="shared" si="8"/>
        <v>70.937472057413544</v>
      </c>
    </row>
    <row r="100" spans="1:27" x14ac:dyDescent="0.25">
      <c r="A100" s="2">
        <v>2035</v>
      </c>
      <c r="B100" s="2">
        <f>B12/'Output-Calculation-sheet'!B11*'Output-Calculation-sheet'!B83</f>
        <v>16338714780.773075</v>
      </c>
      <c r="C100" s="2">
        <f>C12/'Output-Calculation-sheet'!C11*'Output-Calculation-sheet'!C83</f>
        <v>5672536392.429327</v>
      </c>
      <c r="D100" s="2">
        <f>D12/'Output-Calculation-sheet'!D11*'Output-Calculation-sheet'!D83</f>
        <v>4937215584.8913755</v>
      </c>
      <c r="E100" s="2">
        <f>E12/'Output-Calculation-sheet'!E11*'Output-Calculation-sheet'!E83</f>
        <v>9818847854.2891541</v>
      </c>
      <c r="F100" s="2">
        <f>F12/'Output-Calculation-sheet'!F11*'Output-Calculation-sheet'!F83</f>
        <v>4039082501.4840541</v>
      </c>
      <c r="G100" s="2">
        <f>G12/'Output-Calculation-sheet'!G11*'Output-Calculation-sheet'!G83</f>
        <v>2775636163.8751884</v>
      </c>
      <c r="H100" s="2">
        <f>H12/'Output-Calculation-sheet'!H11*'Output-Calculation-sheet'!H83</f>
        <v>2681057105.3233547</v>
      </c>
      <c r="I100" s="2">
        <f>I12/'Output-Calculation-sheet'!I11*'Output-Calculation-sheet'!I83</f>
        <v>2274823998.5975013</v>
      </c>
      <c r="J100" s="2">
        <f>J12/'Output-Calculation-sheet'!J11*'Output-Calculation-sheet'!J83</f>
        <v>1378641252.7160573</v>
      </c>
      <c r="K100" s="2">
        <f>K12/'Output-Calculation-sheet'!K11*'Output-Calculation-sheet'!K83</f>
        <v>2031325808.9459248</v>
      </c>
      <c r="L100" s="2">
        <f>L12/'Output-Calculation-sheet'!L11*'Output-Calculation-sheet'!L83</f>
        <v>1612756867.3101518</v>
      </c>
      <c r="M100" s="2">
        <f>M12/'Output-Calculation-sheet'!M11*'Output-Calculation-sheet'!M83</f>
        <v>2025979998.8406193</v>
      </c>
      <c r="N100" s="2">
        <f>N12/'Output-Calculation-sheet'!N11*'Output-Calculation-sheet'!N83</f>
        <v>1401818142.2979627</v>
      </c>
      <c r="O100" s="2">
        <f>O12/'Output-Calculation-sheet'!O11*'Output-Calculation-sheet'!O83</f>
        <v>778098077.98843694</v>
      </c>
      <c r="P100" s="2">
        <f>P12/'Output-Calculation-sheet'!P11*'Output-Calculation-sheet'!P83</f>
        <v>2363139150.9317803</v>
      </c>
      <c r="Q100" s="2">
        <f>Q12/'Output-Calculation-sheet'!Q11*'Output-Calculation-sheet'!Q83</f>
        <v>1127228207.9785814</v>
      </c>
      <c r="R100" s="2">
        <f>R12/'Output-Calculation-sheet'!R11*'Output-Calculation-sheet'!R83</f>
        <v>1476042511.0616965</v>
      </c>
      <c r="S100" s="2">
        <f>S12/'Output-Calculation-sheet'!S11*'Output-Calculation-sheet'!S83</f>
        <v>847172563.56403351</v>
      </c>
      <c r="T100" s="2">
        <f>T12/'Output-Calculation-sheet'!T11*'Output-Calculation-sheet'!T83</f>
        <v>609670721.17901278</v>
      </c>
      <c r="U100" s="2">
        <f>U12/'Output-Calculation-sheet'!U11*'Output-Calculation-sheet'!U83</f>
        <v>410849036.60220438</v>
      </c>
      <c r="V100" s="2">
        <f>V12/'Output-Calculation-sheet'!V11*'Output-Calculation-sheet'!V83</f>
        <v>221676926.17802909</v>
      </c>
      <c r="W100" s="2">
        <f>W12/'Output-Calculation-sheet'!W11*'Output-Calculation-sheet'!W83</f>
        <v>600577252.95596826</v>
      </c>
      <c r="X100" s="2">
        <f>X12/'Output-Calculation-sheet'!X11*'Output-Calculation-sheet'!X83</f>
        <v>232188870.62967479</v>
      </c>
      <c r="Y100" s="2">
        <f>Y12/'Output-Calculation-sheet'!Y11*'Output-Calculation-sheet'!Y83</f>
        <v>330953914.64894658</v>
      </c>
      <c r="AA100" s="2">
        <f t="shared" si="8"/>
        <v>65.986033685492131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4984.5737226364008</v>
      </c>
      <c r="C19" s="2">
        <f>C8/'Output-Calculation-sheet'!C7*'Output-Calculation-sheet'!C25</f>
        <v>6646.2349543366518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2421.6657550409172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1772.5460021049505</v>
      </c>
      <c r="N19" s="2">
        <f>N8/'Output-Calculation-sheet'!N7*'Output-Calculation-sheet'!N25</f>
        <v>923.43793696716955</v>
      </c>
      <c r="O19" s="2">
        <f>O8/'Output-Calculation-sheet'!O7*'Output-Calculation-sheet'!O25</f>
        <v>1007.0332514356315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402.56401969672299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204.89468639598545</v>
      </c>
      <c r="Y19" s="2">
        <f>Y8/'Output-Calculation-sheet'!Y7*'Output-Calculation-sheet'!Y25</f>
        <v>0</v>
      </c>
      <c r="AA19" s="2">
        <f t="shared" si="0"/>
        <v>18.362950328614428</v>
      </c>
    </row>
    <row r="20" spans="1:27" x14ac:dyDescent="0.25">
      <c r="A20" s="2">
        <v>2032</v>
      </c>
      <c r="B20" s="2">
        <f>B9/'Output-Calculation-sheet'!B8*'Output-Calculation-sheet'!B26</f>
        <v>6458.0567191855807</v>
      </c>
      <c r="C20" s="2">
        <f>C9/'Output-Calculation-sheet'!C8*'Output-Calculation-sheet'!C26</f>
        <v>7443.4165037092225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2679.6615492843271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1956.7650869614945</v>
      </c>
      <c r="N20" s="2">
        <f>N9/'Output-Calculation-sheet'!N8*'Output-Calculation-sheet'!N26</f>
        <v>1113.0314188872653</v>
      </c>
      <c r="O20" s="2">
        <f>O9/'Output-Calculation-sheet'!O8*'Output-Calculation-sheet'!O26</f>
        <v>1151.4342609501214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503.13826829863388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226.0317701083697</v>
      </c>
      <c r="Y20" s="2">
        <f>Y9/'Output-Calculation-sheet'!Y8*'Output-Calculation-sheet'!Y26</f>
        <v>0</v>
      </c>
      <c r="AA20" s="2">
        <f t="shared" si="0"/>
        <v>21.531535577385018</v>
      </c>
    </row>
    <row r="21" spans="1:27" x14ac:dyDescent="0.25">
      <c r="A21" s="2">
        <v>2033</v>
      </c>
      <c r="B21" s="2">
        <f>B10/'Output-Calculation-sheet'!B9*'Output-Calculation-sheet'!B27</f>
        <v>13944.965521758002</v>
      </c>
      <c r="C21" s="2">
        <f>C10/'Output-Calculation-sheet'!C9*'Output-Calculation-sheet'!C27</f>
        <v>23948.147119055826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8071.6001587281316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5606.2287783946922</v>
      </c>
      <c r="N21" s="2">
        <f>N10/'Output-Calculation-sheet'!N9*'Output-Calculation-sheet'!N27</f>
        <v>3067.6160792781493</v>
      </c>
      <c r="O21" s="2">
        <f>O10/'Output-Calculation-sheet'!O9*'Output-Calculation-sheet'!O27</f>
        <v>2389.4042557580428</v>
      </c>
      <c r="P21" s="2">
        <f>P10/'Output-Calculation-sheet'!P9*'Output-Calculation-sheet'!P27</f>
        <v>0</v>
      </c>
      <c r="Q21" s="2">
        <f>Q10/'Output-Calculation-sheet'!Q9*'Output-Calculation-sheet'!Q27</f>
        <v>209.23172977978453</v>
      </c>
      <c r="R21" s="2">
        <f>R10/'Output-Calculation-sheet'!R9*'Output-Calculation-sheet'!R27</f>
        <v>0</v>
      </c>
      <c r="S21" s="2">
        <f>S10/'Output-Calculation-sheet'!S9*'Output-Calculation-sheet'!S27</f>
        <v>1332.3818809938723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659.24447536165837</v>
      </c>
      <c r="Y21" s="2">
        <f>Y10/'Output-Calculation-sheet'!Y9*'Output-Calculation-sheet'!Y27</f>
        <v>0</v>
      </c>
      <c r="AA21" s="2">
        <f t="shared" si="0"/>
        <v>59.228819999108161</v>
      </c>
    </row>
    <row r="22" spans="1:27" x14ac:dyDescent="0.25">
      <c r="A22" s="2">
        <v>2034</v>
      </c>
      <c r="B22" s="2">
        <f>B11/'Output-Calculation-sheet'!B10*'Output-Calculation-sheet'!B28</f>
        <v>27081.580320318903</v>
      </c>
      <c r="C22" s="2">
        <f>C11/'Output-Calculation-sheet'!C10*'Output-Calculation-sheet'!C28</f>
        <v>25981.375906684571</v>
      </c>
      <c r="D22" s="2">
        <f>D11/'Output-Calculation-sheet'!D10*'Output-Calculation-sheet'!D28</f>
        <v>0</v>
      </c>
      <c r="E22" s="2">
        <f>E11/'Output-Calculation-sheet'!E10*'Output-Calculation-sheet'!E28</f>
        <v>1387.6186492379625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9914.4438752418901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827.43151085971192</v>
      </c>
      <c r="M22" s="2">
        <f>M11/'Output-Calculation-sheet'!M10*'Output-Calculation-sheet'!M28</f>
        <v>7228.5010969320056</v>
      </c>
      <c r="N22" s="2">
        <f>N11/'Output-Calculation-sheet'!N10*'Output-Calculation-sheet'!N28</f>
        <v>4313.8840317281611</v>
      </c>
      <c r="O22" s="2">
        <f>O11/'Output-Calculation-sheet'!O10*'Output-Calculation-sheet'!O28</f>
        <v>2666.2627455225952</v>
      </c>
      <c r="P22" s="2">
        <f>P11/'Output-Calculation-sheet'!P10*'Output-Calculation-sheet'!P28</f>
        <v>0</v>
      </c>
      <c r="Q22" s="2">
        <f>Q11/'Output-Calculation-sheet'!Q10*'Output-Calculation-sheet'!Q28</f>
        <v>979.97943679998741</v>
      </c>
      <c r="R22" s="2">
        <f>R11/'Output-Calculation-sheet'!R10*'Output-Calculation-sheet'!R28</f>
        <v>0</v>
      </c>
      <c r="S22" s="2">
        <f>S11/'Output-Calculation-sheet'!S10*'Output-Calculation-sheet'!S28</f>
        <v>2200.6892096477745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725.86447539810695</v>
      </c>
      <c r="Y22" s="2">
        <f>Y11/'Output-Calculation-sheet'!Y10*'Output-Calculation-sheet'!Y28</f>
        <v>75.29163361690982</v>
      </c>
      <c r="AA22" s="2">
        <f t="shared" si="0"/>
        <v>83.382922891988571</v>
      </c>
    </row>
    <row r="23" spans="1:27" x14ac:dyDescent="0.25">
      <c r="A23" s="2">
        <v>2035</v>
      </c>
      <c r="B23" s="2">
        <f>B12/'Output-Calculation-sheet'!B11*'Output-Calculation-sheet'!B29</f>
        <v>32691.634287965171</v>
      </c>
      <c r="C23" s="2">
        <f>C12/'Output-Calculation-sheet'!C11*'Output-Calculation-sheet'!C29</f>
        <v>26702.119862705764</v>
      </c>
      <c r="D23" s="2">
        <f>D12/'Output-Calculation-sheet'!D11*'Output-Calculation-sheet'!D29</f>
        <v>0</v>
      </c>
      <c r="E23" s="2">
        <f>E12/'Output-Calculation-sheet'!E11*'Output-Calculation-sheet'!E29</f>
        <v>5040.2523327516092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10278.90336277091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1142.5845318423367</v>
      </c>
      <c r="M23" s="2">
        <f>M12/'Output-Calculation-sheet'!M11*'Output-Calculation-sheet'!M29</f>
        <v>7530.9233419791417</v>
      </c>
      <c r="N23" s="2">
        <f>N12/'Output-Calculation-sheet'!N11*'Output-Calculation-sheet'!N29</f>
        <v>4393.2076584663891</v>
      </c>
      <c r="O23" s="2">
        <f>O12/'Output-Calculation-sheet'!O11*'Output-Calculation-sheet'!O29</f>
        <v>2961.5620310905265</v>
      </c>
      <c r="P23" s="2">
        <f>P12/'Output-Calculation-sheet'!P11*'Output-Calculation-sheet'!P29</f>
        <v>536.54987817553069</v>
      </c>
      <c r="Q23" s="2">
        <f>Q12/'Output-Calculation-sheet'!Q11*'Output-Calculation-sheet'!Q29</f>
        <v>1204.5484820958068</v>
      </c>
      <c r="R23" s="2">
        <f>R12/'Output-Calculation-sheet'!R11*'Output-Calculation-sheet'!R29</f>
        <v>0</v>
      </c>
      <c r="S23" s="2">
        <f>S12/'Output-Calculation-sheet'!S11*'Output-Calculation-sheet'!S29</f>
        <v>2351.684807690584</v>
      </c>
      <c r="T23" s="2">
        <f>T12/'Output-Calculation-sheet'!T11*'Output-Calculation-sheet'!T29</f>
        <v>0</v>
      </c>
      <c r="U23" s="2">
        <f>U12/'Output-Calculation-sheet'!U11*'Output-Calculation-sheet'!U29</f>
        <v>102.55097407070795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746.05513231800376</v>
      </c>
      <c r="Y23" s="2">
        <f>Y12/'Output-Calculation-sheet'!Y11*'Output-Calculation-sheet'!Y29</f>
        <v>220.87397983302185</v>
      </c>
      <c r="AA23" s="2">
        <f t="shared" si="0"/>
        <v>95.903450663755507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24513.462617628207</v>
      </c>
      <c r="C30" s="2">
        <f>C8/'Output-Calculation-sheet'!C7*'Output-Calculation-sheet'!C16</f>
        <v>0</v>
      </c>
      <c r="D30" s="2">
        <f>D8/'Output-Calculation-sheet'!D7*'Output-Calculation-sheet'!D16</f>
        <v>5522.6468027346391</v>
      </c>
      <c r="E30" s="2">
        <f>E8/'Output-Calculation-sheet'!E7*'Output-Calculation-sheet'!E16</f>
        <v>6920.758663744482</v>
      </c>
      <c r="F30" s="2">
        <f>F8/'Output-Calculation-sheet'!F7*'Output-Calculation-sheet'!F16</f>
        <v>3380.097890637493</v>
      </c>
      <c r="G30" s="2">
        <f>G8/'Output-Calculation-sheet'!G7*'Output-Calculation-sheet'!G16</f>
        <v>2059.7877632197633</v>
      </c>
      <c r="H30" s="2">
        <f>H8/'Output-Calculation-sheet'!H7*'Output-Calculation-sheet'!H16</f>
        <v>0</v>
      </c>
      <c r="I30" s="2">
        <f>I8/'Output-Calculation-sheet'!I7*'Output-Calculation-sheet'!I16</f>
        <v>1939.0359573133758</v>
      </c>
      <c r="J30" s="2">
        <f>J8/'Output-Calculation-sheet'!J7*'Output-Calculation-sheet'!J16</f>
        <v>2078.5627139667781</v>
      </c>
      <c r="K30" s="2">
        <f>K8/'Output-Calculation-sheet'!K7*'Output-Calculation-sheet'!K16</f>
        <v>2011.8150636364246</v>
      </c>
      <c r="L30" s="2">
        <f>L8/'Output-Calculation-sheet'!L7*'Output-Calculation-sheet'!L16</f>
        <v>2223.7416226721321</v>
      </c>
      <c r="M30" s="2">
        <f>M8/'Output-Calculation-sheet'!M7*'Output-Calculation-sheet'!M16</f>
        <v>0</v>
      </c>
      <c r="N30" s="2">
        <f>N8/'Output-Calculation-sheet'!N7*'Output-Calculation-sheet'!N16</f>
        <v>997.1852264951965</v>
      </c>
      <c r="O30" s="2">
        <f>O8/'Output-Calculation-sheet'!O7*'Output-Calculation-sheet'!O16</f>
        <v>0</v>
      </c>
      <c r="P30" s="2">
        <f>P8/'Output-Calculation-sheet'!P7*'Output-Calculation-sheet'!P16</f>
        <v>1903.633147928128</v>
      </c>
      <c r="Q30" s="2">
        <f>Q8/'Output-Calculation-sheet'!Q7*'Output-Calculation-sheet'!Q16</f>
        <v>1867.5584272455701</v>
      </c>
      <c r="R30" s="2">
        <f>R8/'Output-Calculation-sheet'!R7*'Output-Calculation-sheet'!R16</f>
        <v>1657.3149645599735</v>
      </c>
      <c r="S30" s="2">
        <f>S8/'Output-Calculation-sheet'!S7*'Output-Calculation-sheet'!S16</f>
        <v>877.76674076781683</v>
      </c>
      <c r="T30" s="2">
        <f>T8/'Output-Calculation-sheet'!T7*'Output-Calculation-sheet'!T16</f>
        <v>625.99253762397484</v>
      </c>
      <c r="U30" s="2">
        <f>U8/'Output-Calculation-sheet'!U7*'Output-Calculation-sheet'!U16</f>
        <v>483.01750123239145</v>
      </c>
      <c r="V30" s="2">
        <f>V8/'Output-Calculation-sheet'!V7*'Output-Calculation-sheet'!V16</f>
        <v>625.41107537859932</v>
      </c>
      <c r="W30" s="2">
        <f>W8/'Output-Calculation-sheet'!W7*'Output-Calculation-sheet'!W16</f>
        <v>301.12265000937316</v>
      </c>
      <c r="X30" s="2">
        <f>X8/'Output-Calculation-sheet'!X7*'Output-Calculation-sheet'!X16</f>
        <v>0</v>
      </c>
      <c r="Y30" s="2">
        <f>Y8/'Output-Calculation-sheet'!Y7*'Output-Calculation-sheet'!Y16</f>
        <v>205.37221216620765</v>
      </c>
      <c r="AA30" s="2">
        <f t="shared" si="1"/>
        <v>60.19428357896053</v>
      </c>
    </row>
    <row r="31" spans="1:27" x14ac:dyDescent="0.25">
      <c r="A31" s="2">
        <v>2032</v>
      </c>
      <c r="B31" s="2">
        <f>B9/'Output-Calculation-sheet'!B8*'Output-Calculation-sheet'!B17</f>
        <v>26167.11135806634</v>
      </c>
      <c r="C31" s="2">
        <f>C9/'Output-Calculation-sheet'!C8*'Output-Calculation-sheet'!C17</f>
        <v>0</v>
      </c>
      <c r="D31" s="2">
        <f>D9/'Output-Calculation-sheet'!D8*'Output-Calculation-sheet'!D17</f>
        <v>5989.1118024613615</v>
      </c>
      <c r="E31" s="2">
        <f>E9/'Output-Calculation-sheet'!E8*'Output-Calculation-sheet'!E17</f>
        <v>7523.1156330136282</v>
      </c>
      <c r="F31" s="2">
        <f>F9/'Output-Calculation-sheet'!F8*'Output-Calculation-sheet'!F17</f>
        <v>3670.6720275478319</v>
      </c>
      <c r="G31" s="2">
        <f>G9/'Output-Calculation-sheet'!G8*'Output-Calculation-sheet'!G17</f>
        <v>2234.4362200139835</v>
      </c>
      <c r="H31" s="2">
        <f>H9/'Output-Calculation-sheet'!H8*'Output-Calculation-sheet'!H17</f>
        <v>0</v>
      </c>
      <c r="I31" s="2">
        <f>I9/'Output-Calculation-sheet'!I8*'Output-Calculation-sheet'!I17</f>
        <v>2102.393416122407</v>
      </c>
      <c r="J31" s="2">
        <f>J9/'Output-Calculation-sheet'!J8*'Output-Calculation-sheet'!J17</f>
        <v>2255.5072210784069</v>
      </c>
      <c r="K31" s="2">
        <f>K9/'Output-Calculation-sheet'!K8*'Output-Calculation-sheet'!K17</f>
        <v>2181.3922332187872</v>
      </c>
      <c r="L31" s="2">
        <f>L9/'Output-Calculation-sheet'!L8*'Output-Calculation-sheet'!L17</f>
        <v>2410.3604343766256</v>
      </c>
      <c r="M31" s="2">
        <f>M9/'Output-Calculation-sheet'!M8*'Output-Calculation-sheet'!M17</f>
        <v>0</v>
      </c>
      <c r="N31" s="2">
        <f>N9/'Output-Calculation-sheet'!N8*'Output-Calculation-sheet'!N17</f>
        <v>1016.2994897562148</v>
      </c>
      <c r="O31" s="2">
        <f>O9/'Output-Calculation-sheet'!O8*'Output-Calculation-sheet'!O17</f>
        <v>0</v>
      </c>
      <c r="P31" s="2">
        <f>P9/'Output-Calculation-sheet'!P8*'Output-Calculation-sheet'!P17</f>
        <v>2076.2498879094269</v>
      </c>
      <c r="Q31" s="2">
        <f>Q9/'Output-Calculation-sheet'!Q8*'Output-Calculation-sheet'!Q17</f>
        <v>2030.4825212808921</v>
      </c>
      <c r="R31" s="2">
        <f>R9/'Output-Calculation-sheet'!R8*'Output-Calculation-sheet'!R17</f>
        <v>1817.2223320522332</v>
      </c>
      <c r="S31" s="2">
        <f>S9/'Output-Calculation-sheet'!S8*'Output-Calculation-sheet'!S17</f>
        <v>909.66508438389064</v>
      </c>
      <c r="T31" s="2">
        <f>T9/'Output-Calculation-sheet'!T8*'Output-Calculation-sheet'!T17</f>
        <v>680.77309533163896</v>
      </c>
      <c r="U31" s="2">
        <f>U9/'Output-Calculation-sheet'!U8*'Output-Calculation-sheet'!U17</f>
        <v>527.11628249914622</v>
      </c>
      <c r="V31" s="2">
        <f>V9/'Output-Calculation-sheet'!V8*'Output-Calculation-sheet'!V17</f>
        <v>670.31287770969868</v>
      </c>
      <c r="W31" s="2">
        <f>W9/'Output-Calculation-sheet'!W8*'Output-Calculation-sheet'!W17</f>
        <v>326.70653225878874</v>
      </c>
      <c r="X31" s="2">
        <f>X9/'Output-Calculation-sheet'!X8*'Output-Calculation-sheet'!X17</f>
        <v>0</v>
      </c>
      <c r="Y31" s="2">
        <f>Y9/'Output-Calculation-sheet'!Y8*'Output-Calculation-sheet'!Y17</f>
        <v>222.71985070865634</v>
      </c>
      <c r="AA31" s="2">
        <f t="shared" si="1"/>
        <v>64.811648299789965</v>
      </c>
    </row>
    <row r="32" spans="1:27" x14ac:dyDescent="0.25">
      <c r="A32" s="2">
        <v>2033</v>
      </c>
      <c r="B32" s="2">
        <f>B10/'Output-Calculation-sheet'!B9*'Output-Calculation-sheet'!B18</f>
        <v>28310.003059052837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1725.1133344979462</v>
      </c>
      <c r="O32" s="2">
        <f>O10/'Output-Calculation-sheet'!O9*'Output-Calculation-sheet'!O18</f>
        <v>0</v>
      </c>
      <c r="P32" s="2">
        <f>P10/'Output-Calculation-sheet'!P9*'Output-Calculation-sheet'!P18</f>
        <v>2777.4025472685007</v>
      </c>
      <c r="Q32" s="2">
        <f>Q10/'Output-Calculation-sheet'!Q9*'Output-Calculation-sheet'!Q18</f>
        <v>3023.2805416107253</v>
      </c>
      <c r="R32" s="2">
        <f>R10/'Output-Calculation-sheet'!R9*'Output-Calculation-sheet'!R18</f>
        <v>1994.3192782745778</v>
      </c>
      <c r="S32" s="2">
        <f>S10/'Output-Calculation-sheet'!S9*'Output-Calculation-sheet'!S18</f>
        <v>1308.6839052452333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643.82683478371075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68.038388942147193</v>
      </c>
    </row>
    <row r="33" spans="1:27" x14ac:dyDescent="0.25">
      <c r="A33" s="2">
        <v>2034</v>
      </c>
      <c r="B33" s="2">
        <f>B11/'Output-Calculation-sheet'!B10*'Output-Calculation-sheet'!B19</f>
        <v>27316.072309705767</v>
      </c>
      <c r="C33" s="2">
        <f>C11/'Output-Calculation-sheet'!C10*'Output-Calculation-sheet'!C19</f>
        <v>0</v>
      </c>
      <c r="D33" s="2">
        <f>D11/'Output-Calculation-sheet'!D10*'Output-Calculation-sheet'!D19</f>
        <v>8148.0843455408458</v>
      </c>
      <c r="E33" s="2">
        <f>E11/'Output-Calculation-sheet'!E10*'Output-Calculation-sheet'!E19</f>
        <v>10091.947307050461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2773.5308482791497</v>
      </c>
      <c r="H33" s="2">
        <f>H11/'Output-Calculation-sheet'!H10*'Output-Calculation-sheet'!H19</f>
        <v>0</v>
      </c>
      <c r="I33" s="2">
        <f>I11/'Output-Calculation-sheet'!I10*'Output-Calculation-sheet'!I19</f>
        <v>3026.3110945512999</v>
      </c>
      <c r="J33" s="2">
        <f>J11/'Output-Calculation-sheet'!J10*'Output-Calculation-sheet'!J19</f>
        <v>2558.9410476011963</v>
      </c>
      <c r="K33" s="2">
        <f>K11/'Output-Calculation-sheet'!K10*'Output-Calculation-sheet'!K19</f>
        <v>3550.8999732216394</v>
      </c>
      <c r="L33" s="2">
        <f>L11/'Output-Calculation-sheet'!L10*'Output-Calculation-sheet'!L19</f>
        <v>2887.7275882248268</v>
      </c>
      <c r="M33" s="2">
        <f>M11/'Output-Calculation-sheet'!M10*'Output-Calculation-sheet'!M19</f>
        <v>0</v>
      </c>
      <c r="N33" s="2">
        <f>N11/'Output-Calculation-sheet'!N10*'Output-Calculation-sheet'!N19</f>
        <v>1632.8872456593317</v>
      </c>
      <c r="O33" s="2">
        <f>O11/'Output-Calculation-sheet'!O10*'Output-Calculation-sheet'!O19</f>
        <v>0</v>
      </c>
      <c r="P33" s="2">
        <f>P11/'Output-Calculation-sheet'!P10*'Output-Calculation-sheet'!P19</f>
        <v>3592.8843890344856</v>
      </c>
      <c r="Q33" s="2">
        <f>Q11/'Output-Calculation-sheet'!Q10*'Output-Calculation-sheet'!Q19</f>
        <v>2958.7025747826724</v>
      </c>
      <c r="R33" s="2">
        <f>R11/'Output-Calculation-sheet'!R10*'Output-Calculation-sheet'!R19</f>
        <v>2565.2615432226989</v>
      </c>
      <c r="S33" s="2">
        <f>S11/'Output-Calculation-sheet'!S10*'Output-Calculation-sheet'!S19</f>
        <v>1195.8346073353141</v>
      </c>
      <c r="T33" s="2">
        <f>T11/'Output-Calculation-sheet'!T10*'Output-Calculation-sheet'!T19</f>
        <v>752.72210045491477</v>
      </c>
      <c r="U33" s="2">
        <f>U11/'Output-Calculation-sheet'!U10*'Output-Calculation-sheet'!U19</f>
        <v>866.31829550180089</v>
      </c>
      <c r="V33" s="2">
        <f>V11/'Output-Calculation-sheet'!V10*'Output-Calculation-sheet'!V19</f>
        <v>590.28103552868492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106.43802557908505</v>
      </c>
      <c r="Y33" s="2">
        <f>Y11/'Output-Calculation-sheet'!Y10*'Output-Calculation-sheet'!Y19</f>
        <v>331.28318791440319</v>
      </c>
      <c r="AA33" s="2">
        <f t="shared" si="1"/>
        <v>79.945142030972264</v>
      </c>
    </row>
    <row r="34" spans="1:27" x14ac:dyDescent="0.25">
      <c r="A34" s="2">
        <v>2035</v>
      </c>
      <c r="B34" s="2">
        <f>B12/'Output-Calculation-sheet'!B11*'Output-Calculation-sheet'!B20</f>
        <v>26018.997114687631</v>
      </c>
      <c r="C34" s="2">
        <f>C12/'Output-Calculation-sheet'!C11*'Output-Calculation-sheet'!C20</f>
        <v>0</v>
      </c>
      <c r="D34" s="2">
        <f>D12/'Output-Calculation-sheet'!D11*'Output-Calculation-sheet'!D20</f>
        <v>8165.5547836328869</v>
      </c>
      <c r="E34" s="2">
        <f>E12/'Output-Calculation-sheet'!E11*'Output-Calculation-sheet'!E20</f>
        <v>8922.0684828459362</v>
      </c>
      <c r="F34" s="2">
        <f>F12/'Output-Calculation-sheet'!F11*'Output-Calculation-sheet'!F20</f>
        <v>5621.321513697043</v>
      </c>
      <c r="G34" s="2">
        <f>G12/'Output-Calculation-sheet'!G11*'Output-Calculation-sheet'!G20</f>
        <v>3003.8673228714656</v>
      </c>
      <c r="H34" s="2">
        <f>H12/'Output-Calculation-sheet'!H11*'Output-Calculation-sheet'!H20</f>
        <v>0</v>
      </c>
      <c r="I34" s="2">
        <f>I12/'Output-Calculation-sheet'!I11*'Output-Calculation-sheet'!I20</f>
        <v>3264.7947463894457</v>
      </c>
      <c r="J34" s="2">
        <f>J12/'Output-Calculation-sheet'!J11*'Output-Calculation-sheet'!J20</f>
        <v>2802.8291090033995</v>
      </c>
      <c r="K34" s="2">
        <f>K12/'Output-Calculation-sheet'!K11*'Output-Calculation-sheet'!K20</f>
        <v>3685.0378501031778</v>
      </c>
      <c r="L34" s="2">
        <f>L12/'Output-Calculation-sheet'!L11*'Output-Calculation-sheet'!L20</f>
        <v>2912.3444375228369</v>
      </c>
      <c r="M34" s="2">
        <f>M12/'Output-Calculation-sheet'!M11*'Output-Calculation-sheet'!M20</f>
        <v>0</v>
      </c>
      <c r="N34" s="2">
        <f>N12/'Output-Calculation-sheet'!N11*'Output-Calculation-sheet'!N20</f>
        <v>1620.7201584260811</v>
      </c>
      <c r="O34" s="2">
        <f>O12/'Output-Calculation-sheet'!O11*'Output-Calculation-sheet'!O20</f>
        <v>0</v>
      </c>
      <c r="P34" s="2">
        <f>P12/'Output-Calculation-sheet'!P11*'Output-Calculation-sheet'!P20</f>
        <v>3622.0135040298906</v>
      </c>
      <c r="Q34" s="2">
        <f>Q12/'Output-Calculation-sheet'!Q11*'Output-Calculation-sheet'!Q20</f>
        <v>2865.9921170042321</v>
      </c>
      <c r="R34" s="2">
        <f>R12/'Output-Calculation-sheet'!R11*'Output-Calculation-sheet'!R20</f>
        <v>2876.5965391104137</v>
      </c>
      <c r="S34" s="2">
        <f>S12/'Output-Calculation-sheet'!S11*'Output-Calculation-sheet'!S20</f>
        <v>1098.7900788252907</v>
      </c>
      <c r="T34" s="2">
        <f>T12/'Output-Calculation-sheet'!T11*'Output-Calculation-sheet'!T20</f>
        <v>903.7377723787672</v>
      </c>
      <c r="U34" s="2">
        <f>U12/'Output-Calculation-sheet'!U11*'Output-Calculation-sheet'!U20</f>
        <v>824.52067350690447</v>
      </c>
      <c r="V34" s="2">
        <f>V12/'Output-Calculation-sheet'!V11*'Output-Calculation-sheet'!V20</f>
        <v>757.40675161752131</v>
      </c>
      <c r="W34" s="2">
        <f>W12/'Output-Calculation-sheet'!W11*'Output-Calculation-sheet'!W20</f>
        <v>487.28875754300338</v>
      </c>
      <c r="X34" s="2">
        <f>X12/'Output-Calculation-sheet'!X11*'Output-Calculation-sheet'!X20</f>
        <v>98.482891258015783</v>
      </c>
      <c r="Y34" s="2">
        <f>Y12/'Output-Calculation-sheet'!Y11*'Output-Calculation-sheet'!Y20</f>
        <v>273.14375732462707</v>
      </c>
      <c r="AA34" s="2">
        <f t="shared" si="1"/>
        <v>79.825508361778574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1.1341722770665212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0.66101748484861422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1.7951897619151356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2.3131530738115829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0.35603027858096992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0.24498367122126252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0.89876682630939964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0.21095918536774849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2.6875312666981982E-2</v>
      </c>
      <c r="Y44" s="2">
        <f>Y11/'Output-Calculation-sheet'!Y10*'Output-Calculation-sheet'!Y37*0.0114</f>
        <v>0</v>
      </c>
      <c r="AA44" s="2">
        <f t="shared" si="2"/>
        <v>4.0507683479579448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2.308488100792836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0.89695426879111606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2.6821112791547336E-2</v>
      </c>
      <c r="Y45" s="2">
        <f>Y12/'Output-Calculation-sheet'!Y11*'Output-Calculation-sheet'!Y38*0.0114</f>
        <v>2.5882871314581675E-2</v>
      </c>
      <c r="AA45" s="2">
        <f t="shared" si="2"/>
        <v>11.501614747661019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140.07778268159373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124.69032105764785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542.21073856894554</v>
      </c>
      <c r="S52" s="2">
        <f>S8/'Output-Calculation-sheet'!S7*'Output-Calculation-sheet'!S43</f>
        <v>0</v>
      </c>
      <c r="T52" s="2">
        <f>T8/'Output-Calculation-sheet'!T7*'Output-Calculation-sheet'!T43</f>
        <v>436.59765491535558</v>
      </c>
      <c r="U52" s="2">
        <f>U8/'Output-Calculation-sheet'!U7*'Output-Calculation-sheet'!U43</f>
        <v>46.177581379769741</v>
      </c>
      <c r="V52" s="2">
        <f>V8/'Output-Calculation-sheet'!V7*'Output-Calculation-sheet'!V43</f>
        <v>787.31261782374054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2.0770666964270532</v>
      </c>
    </row>
    <row r="53" spans="1:27" x14ac:dyDescent="0.25">
      <c r="A53" s="2">
        <v>2032</v>
      </c>
      <c r="B53" s="2">
        <f>B9/'Output-Calculation-sheet'!B8*'Output-Calculation-sheet'!B44</f>
        <v>1604.2370362827091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302.43719224347035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242.29318090862679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757.49159318559123</v>
      </c>
      <c r="S53" s="2">
        <f>S9/'Output-Calculation-sheet'!S8*'Output-Calculation-sheet'!S44</f>
        <v>0</v>
      </c>
      <c r="T53" s="2">
        <f>T9/'Output-Calculation-sheet'!T8*'Output-Calculation-sheet'!T44</f>
        <v>522.27528481259662</v>
      </c>
      <c r="U53" s="2">
        <f>U9/'Output-Calculation-sheet'!U8*'Output-Calculation-sheet'!U44</f>
        <v>88.62262278530504</v>
      </c>
      <c r="V53" s="2">
        <f>V9/'Output-Calculation-sheet'!V8*'Output-Calculation-sheet'!V44</f>
        <v>875.55602236763343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4.392912932585932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61484.076072553515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0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798.45586386040929</v>
      </c>
      <c r="R54" s="2">
        <f>R10/'Output-Calculation-sheet'!R9*'Output-Calculation-sheet'!R45</f>
        <v>1331.6936915595309</v>
      </c>
      <c r="S54" s="2">
        <f>S10/'Output-Calculation-sheet'!S9*'Output-Calculation-sheet'!S45</f>
        <v>3181.8925353884069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480.56284543829918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138.30188199959557</v>
      </c>
    </row>
    <row r="55" spans="1:27" x14ac:dyDescent="0.25">
      <c r="A55" s="2">
        <v>2034</v>
      </c>
      <c r="B55" s="2">
        <f>B11/'Output-Calculation-sheet'!B10*'Output-Calculation-sheet'!B46</f>
        <v>77807.733944228021</v>
      </c>
      <c r="C55" s="2">
        <f>C11/'Output-Calculation-sheet'!C10*'Output-Calculation-sheet'!C46</f>
        <v>64017.525858557405</v>
      </c>
      <c r="D55" s="2">
        <f>D11/'Output-Calculation-sheet'!D10*'Output-Calculation-sheet'!D46</f>
        <v>7189.6976489374802</v>
      </c>
      <c r="E55" s="2">
        <f>E11/'Output-Calculation-sheet'!E10*'Output-Calculation-sheet'!E46</f>
        <v>8856.5324534438623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23079.506655380417</v>
      </c>
      <c r="I55" s="2">
        <f>I11/'Output-Calculation-sheet'!I10*'Output-Calculation-sheet'!I46</f>
        <v>1739.8091894284398</v>
      </c>
      <c r="J55" s="2">
        <f>J11/'Output-Calculation-sheet'!J10*'Output-Calculation-sheet'!J46</f>
        <v>1262.6825848878843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1246.3706925556421</v>
      </c>
      <c r="M55" s="2">
        <f>M11/'Output-Calculation-sheet'!M10*'Output-Calculation-sheet'!M46</f>
        <v>16310.754952363004</v>
      </c>
      <c r="N55" s="2">
        <f>N11/'Output-Calculation-sheet'!N10*'Output-Calculation-sheet'!N46</f>
        <v>12440.281301410489</v>
      </c>
      <c r="O55" s="2">
        <f>O11/'Output-Calculation-sheet'!O10*'Output-Calculation-sheet'!O46</f>
        <v>275.93718351604372</v>
      </c>
      <c r="P55" s="2">
        <f>P11/'Output-Calculation-sheet'!P10*'Output-Calculation-sheet'!P46</f>
        <v>4624.3481766357281</v>
      </c>
      <c r="Q55" s="2">
        <f>Q11/'Output-Calculation-sheet'!Q10*'Output-Calculation-sheet'!Q46</f>
        <v>2720.2631797420199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6114.1690463129862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1417.02884213834</v>
      </c>
      <c r="V55" s="2">
        <f>V11/'Output-Calculation-sheet'!V10*'Output-Calculation-sheet'!V46</f>
        <v>573.64532121349362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1669.0983656336177</v>
      </c>
      <c r="Y55" s="2">
        <f>Y11/'Output-Calculation-sheet'!Y10*'Output-Calculation-sheet'!Y46</f>
        <v>434.52793536273686</v>
      </c>
      <c r="AA55" s="2">
        <f t="shared" si="3"/>
        <v>243.29973822079393</v>
      </c>
    </row>
    <row r="56" spans="1:27" x14ac:dyDescent="0.25">
      <c r="A56" s="2">
        <v>2035</v>
      </c>
      <c r="B56" s="2">
        <f>B12/'Output-Calculation-sheet'!B11*'Output-Calculation-sheet'!B47</f>
        <v>98770.133675229343</v>
      </c>
      <c r="C56" s="2">
        <f>C12/'Output-Calculation-sheet'!C11*'Output-Calculation-sheet'!C47</f>
        <v>64900.915465272265</v>
      </c>
      <c r="D56" s="2">
        <f>D12/'Output-Calculation-sheet'!D11*'Output-Calculation-sheet'!D47</f>
        <v>7892.71787702043</v>
      </c>
      <c r="E56" s="2">
        <f>E12/'Output-Calculation-sheet'!E11*'Output-Calculation-sheet'!E47</f>
        <v>22167.957962491699</v>
      </c>
      <c r="F56" s="2">
        <f>F12/'Output-Calculation-sheet'!F11*'Output-Calculation-sheet'!F47</f>
        <v>2734.6291018208472</v>
      </c>
      <c r="G56" s="2">
        <f>G12/'Output-Calculation-sheet'!G11*'Output-Calculation-sheet'!G47</f>
        <v>6177.3545048554188</v>
      </c>
      <c r="H56" s="2">
        <f>H12/'Output-Calculation-sheet'!H11*'Output-Calculation-sheet'!H47</f>
        <v>23593.981211297931</v>
      </c>
      <c r="I56" s="2">
        <f>I12/'Output-Calculation-sheet'!I11*'Output-Calculation-sheet'!I47</f>
        <v>3125.3408788418628</v>
      </c>
      <c r="J56" s="2">
        <f>J12/'Output-Calculation-sheet'!J11*'Output-Calculation-sheet'!J47</f>
        <v>2835.3062533600696</v>
      </c>
      <c r="K56" s="2">
        <f>K12/'Output-Calculation-sheet'!K11*'Output-Calculation-sheet'!K47</f>
        <v>4095.6241734961686</v>
      </c>
      <c r="L56" s="2">
        <f>L12/'Output-Calculation-sheet'!L11*'Output-Calculation-sheet'!L47</f>
        <v>2261.5583940507831</v>
      </c>
      <c r="M56" s="2">
        <f>M12/'Output-Calculation-sheet'!M11*'Output-Calculation-sheet'!M47</f>
        <v>16449.432445672795</v>
      </c>
      <c r="N56" s="2">
        <f>N12/'Output-Calculation-sheet'!N11*'Output-Calculation-sheet'!N47</f>
        <v>12562.741766444848</v>
      </c>
      <c r="O56" s="2">
        <f>O12/'Output-Calculation-sheet'!O11*'Output-Calculation-sheet'!O47</f>
        <v>1180.2029852514684</v>
      </c>
      <c r="P56" s="2">
        <f>P12/'Output-Calculation-sheet'!P11*'Output-Calculation-sheet'!P47</f>
        <v>6523.3435867316111</v>
      </c>
      <c r="Q56" s="2">
        <f>Q12/'Output-Calculation-sheet'!Q11*'Output-Calculation-sheet'!Q47</f>
        <v>3305.7490846183832</v>
      </c>
      <c r="R56" s="2">
        <f>R12/'Output-Calculation-sheet'!R11*'Output-Calculation-sheet'!R47</f>
        <v>4816.6710583062031</v>
      </c>
      <c r="S56" s="2">
        <f>S12/'Output-Calculation-sheet'!S11*'Output-Calculation-sheet'!S47</f>
        <v>6379.7440192191762</v>
      </c>
      <c r="T56" s="2">
        <f>T12/'Output-Calculation-sheet'!T11*'Output-Calculation-sheet'!T47</f>
        <v>1687.1397909905011</v>
      </c>
      <c r="U56" s="2">
        <f>U12/'Output-Calculation-sheet'!U11*'Output-Calculation-sheet'!U47</f>
        <v>1614.5120027220169</v>
      </c>
      <c r="V56" s="2">
        <f>V12/'Output-Calculation-sheet'!V11*'Output-Calculation-sheet'!V47</f>
        <v>1126.8026466934132</v>
      </c>
      <c r="W56" s="2">
        <f>W12/'Output-Calculation-sheet'!W11*'Output-Calculation-sheet'!W47</f>
        <v>641.30401504601832</v>
      </c>
      <c r="X56" s="2">
        <f>X12/'Output-Calculation-sheet'!X11*'Output-Calculation-sheet'!X47</f>
        <v>1698.6704767979979</v>
      </c>
      <c r="Y56" s="2">
        <f>Y12/'Output-Calculation-sheet'!Y11*'Output-Calculation-sheet'!Y47</f>
        <v>869.57365907761243</v>
      </c>
      <c r="AA56" s="2">
        <f t="shared" si="3"/>
        <v>297.41140703530897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6.7640612276230154</v>
      </c>
      <c r="C63" s="2">
        <f>C8*'Output-Calculation-sheet'!C52/10^9</f>
        <v>3.4285455381950998</v>
      </c>
      <c r="D63" s="2">
        <f>D8*'Output-Calculation-sheet'!D52/10^9</f>
        <v>1.197743697482222</v>
      </c>
      <c r="E63" s="2">
        <f>E8*'Output-Calculation-sheet'!E52/10^9</f>
        <v>1.5422012110343151</v>
      </c>
      <c r="F63" s="2">
        <f>F8*'Output-Calculation-sheet'!F52/10^9</f>
        <v>0.64148217375222327</v>
      </c>
      <c r="G63" s="2">
        <f>G8*'Output-Calculation-sheet'!G52/10^9</f>
        <v>0.46027872042905893</v>
      </c>
      <c r="H63" s="2">
        <f>H8*'Output-Calculation-sheet'!H52/10^9</f>
        <v>0.88912327352101417</v>
      </c>
      <c r="I63" s="2">
        <f>I8*'Output-Calculation-sheet'!I52/10^9</f>
        <v>0.41261041908727764</v>
      </c>
      <c r="J63" s="2">
        <f>J8*'Output-Calculation-sheet'!J52/10^9</f>
        <v>0.44357232620970471</v>
      </c>
      <c r="K63" s="2">
        <f>K8*'Output-Calculation-sheet'!K52/10^9</f>
        <v>0.45296458501312975</v>
      </c>
      <c r="L63" s="2">
        <f>L8*'Output-Calculation-sheet'!L52/10^9</f>
        <v>0.47108806485105992</v>
      </c>
      <c r="M63" s="2">
        <f>M8*'Output-Calculation-sheet'!M52/10^9</f>
        <v>0.6723204988593281</v>
      </c>
      <c r="N63" s="2">
        <f>N8*'Output-Calculation-sheet'!N52/10^9</f>
        <v>0.56803317901548922</v>
      </c>
      <c r="O63" s="2">
        <f>O8*'Output-Calculation-sheet'!O52/10^9</f>
        <v>0.58844686772579202</v>
      </c>
      <c r="P63" s="2">
        <f>P8*'Output-Calculation-sheet'!P52/10^9</f>
        <v>0.48768905536248647</v>
      </c>
      <c r="Q63" s="2">
        <f>Q8*'Output-Calculation-sheet'!Q52/10^9</f>
        <v>0.46134998107154496</v>
      </c>
      <c r="R63" s="2">
        <f>R8*'Output-Calculation-sheet'!R52/10^9</f>
        <v>0.38866038208627318</v>
      </c>
      <c r="S63" s="2">
        <f>S8*'Output-Calculation-sheet'!S52/10^9</f>
        <v>0.35734903308697996</v>
      </c>
      <c r="T63" s="2">
        <f>T8*'Output-Calculation-sheet'!T52/10^9</f>
        <v>0.12726922192659729</v>
      </c>
      <c r="U63" s="2">
        <f>U8*'Output-Calculation-sheet'!U52/10^9</f>
        <v>0.12484222577703097</v>
      </c>
      <c r="V63" s="2">
        <f>V8*'Output-Calculation-sheet'!V52/10^9</f>
        <v>0.11189187431076966</v>
      </c>
      <c r="W63" s="2">
        <f>W8*'Output-Calculation-sheet'!W52/10^9</f>
        <v>5.8409416236933902E-2</v>
      </c>
      <c r="X63" s="2">
        <f>X8*'Output-Calculation-sheet'!X52/10^9</f>
        <v>9.4390873144658979E-2</v>
      </c>
      <c r="Y63" s="2">
        <f>Y8*'Output-Calculation-sheet'!Y52/10^9</f>
        <v>4.8684921489123852E-2</v>
      </c>
      <c r="AA63" s="2">
        <f t="shared" si="4"/>
        <v>20.793008767291131</v>
      </c>
    </row>
    <row r="64" spans="1:27" x14ac:dyDescent="0.25">
      <c r="A64" s="2">
        <v>2032</v>
      </c>
      <c r="B64" s="2">
        <f>B9*'Output-Calculation-sheet'!B53/10^9</f>
        <v>7.2517159095555819</v>
      </c>
      <c r="C64" s="2">
        <f>C9*'Output-Calculation-sheet'!C53/10^9</f>
        <v>3.672437893654267</v>
      </c>
      <c r="D64" s="2">
        <f>D9*'Output-Calculation-sheet'!D53/10^9</f>
        <v>1.2864031061228978</v>
      </c>
      <c r="E64" s="2">
        <f>E9*'Output-Calculation-sheet'!E53/10^9</f>
        <v>1.6565733838324268</v>
      </c>
      <c r="F64" s="2">
        <f>F9*'Output-Calculation-sheet'!F53/10^9</f>
        <v>0.68845743852471741</v>
      </c>
      <c r="G64" s="2">
        <f>G9*'Output-Calculation-sheet'!G53/10^9</f>
        <v>0.49424360163033343</v>
      </c>
      <c r="H64" s="2">
        <f>H9*'Output-Calculation-sheet'!H53/10^9</f>
        <v>0.95119956992668797</v>
      </c>
      <c r="I64" s="2">
        <f>I9*'Output-Calculation-sheet'!I53/10^9</f>
        <v>0.44310925870220619</v>
      </c>
      <c r="J64" s="2">
        <f>J9*'Output-Calculation-sheet'!J53/10^9</f>
        <v>0.47621209888071592</v>
      </c>
      <c r="K64" s="2">
        <f>K9*'Output-Calculation-sheet'!K53/10^9</f>
        <v>0.48658585246146657</v>
      </c>
      <c r="L64" s="2">
        <f>L9*'Output-Calculation-sheet'!L53/10^9</f>
        <v>0.50589853570748944</v>
      </c>
      <c r="M64" s="2">
        <f>M9*'Output-Calculation-sheet'!M53/10^9</f>
        <v>0.71943484145161563</v>
      </c>
      <c r="N64" s="2">
        <f>N9*'Output-Calculation-sheet'!N53/10^9</f>
        <v>0.60850910444423112</v>
      </c>
      <c r="O64" s="2">
        <f>O9*'Output-Calculation-sheet'!O53/10^9</f>
        <v>0.63050455199140321</v>
      </c>
      <c r="P64" s="2">
        <f>P9*'Output-Calculation-sheet'!P53/10^9</f>
        <v>0.52419410017853674</v>
      </c>
      <c r="Q64" s="2">
        <f>Q9*'Output-Calculation-sheet'!Q53/10^9</f>
        <v>0.49580831171922973</v>
      </c>
      <c r="R64" s="2">
        <f>R9*'Output-Calculation-sheet'!R53/10^9</f>
        <v>0.41701668495050209</v>
      </c>
      <c r="S64" s="2">
        <f>S9*'Output-Calculation-sheet'!S53/10^9</f>
        <v>0.38315641371339698</v>
      </c>
      <c r="T64" s="2">
        <f>T9*'Output-Calculation-sheet'!T53/10^9</f>
        <v>0.1362552617725957</v>
      </c>
      <c r="U64" s="2">
        <f>U9*'Output-Calculation-sheet'!U53/10^9</f>
        <v>0.1341369113273958</v>
      </c>
      <c r="V64" s="2">
        <f>V9*'Output-Calculation-sheet'!V53/10^9</f>
        <v>0.11939587707274658</v>
      </c>
      <c r="W64" s="2">
        <f>W9*'Output-Calculation-sheet'!W53/10^9</f>
        <v>6.2694958245875204E-2</v>
      </c>
      <c r="X64" s="2">
        <f>X9*'Output-Calculation-sheet'!X53/10^9</f>
        <v>0.1010772395884077</v>
      </c>
      <c r="Y64" s="2">
        <f>Y9*'Output-Calculation-sheet'!Y53/10^9</f>
        <v>5.2311567646159643E-2</v>
      </c>
      <c r="AA64" s="2">
        <f t="shared" si="4"/>
        <v>22.297332473100894</v>
      </c>
    </row>
    <row r="65" spans="1:27" x14ac:dyDescent="0.25">
      <c r="A65" s="2">
        <v>2033</v>
      </c>
      <c r="B65" s="2">
        <f>B10*'Output-Calculation-sheet'!B54/10^9</f>
        <v>7.5952201899000062</v>
      </c>
      <c r="C65" s="2">
        <f>C10*'Output-Calculation-sheet'!C54/10^9</f>
        <v>4.9917628473662159</v>
      </c>
      <c r="D65" s="2">
        <f>D10*'Output-Calculation-sheet'!D54/10^9</f>
        <v>1.3538192602232866</v>
      </c>
      <c r="E65" s="2">
        <f>E10*'Output-Calculation-sheet'!E54/10^9</f>
        <v>1.7241156935376232</v>
      </c>
      <c r="F65" s="2">
        <f>F10*'Output-Calculation-sheet'!F54/10^9</f>
        <v>0.74086739009343616</v>
      </c>
      <c r="G65" s="2">
        <f>G10*'Output-Calculation-sheet'!G54/10^9</f>
        <v>0.52746101237632581</v>
      </c>
      <c r="H65" s="2">
        <f>H10*'Output-Calculation-sheet'!H54/10^9</f>
        <v>1.2393877923166365</v>
      </c>
      <c r="I65" s="2">
        <f>I10*'Output-Calculation-sheet'!I54/10^9</f>
        <v>0.4624730896210269</v>
      </c>
      <c r="J65" s="2">
        <f>J10*'Output-Calculation-sheet'!J54/10^9</f>
        <v>0.54717909117806041</v>
      </c>
      <c r="K65" s="2">
        <f>K10*'Output-Calculation-sheet'!K54/10^9</f>
        <v>0.51202086584177331</v>
      </c>
      <c r="L65" s="2">
        <f>L10*'Output-Calculation-sheet'!L54/10^9</f>
        <v>0.52806324773364766</v>
      </c>
      <c r="M65" s="2">
        <f>M10*'Output-Calculation-sheet'!M54/10^9</f>
        <v>0.88128212573049869</v>
      </c>
      <c r="N65" s="2">
        <f>N10*'Output-Calculation-sheet'!N54/10^9</f>
        <v>0.75094313415653513</v>
      </c>
      <c r="O65" s="2">
        <f>O10*'Output-Calculation-sheet'!O54/10^9</f>
        <v>0.87376827425827874</v>
      </c>
      <c r="P65" s="2">
        <f>P10*'Output-Calculation-sheet'!P54/10^9</f>
        <v>0.55395016154834165</v>
      </c>
      <c r="Q65" s="2">
        <f>Q10*'Output-Calculation-sheet'!Q54/10^9</f>
        <v>0.54663533092012739</v>
      </c>
      <c r="R65" s="2">
        <f>R10*'Output-Calculation-sheet'!R54/10^9</f>
        <v>0.43334953573878543</v>
      </c>
      <c r="S65" s="2">
        <f>S10*'Output-Calculation-sheet'!S54/10^9</f>
        <v>0.43493355250035742</v>
      </c>
      <c r="T65" s="2">
        <f>T10*'Output-Calculation-sheet'!T54/10^9</f>
        <v>0.14674859343294627</v>
      </c>
      <c r="U65" s="2">
        <f>U10*'Output-Calculation-sheet'!U54/10^9</f>
        <v>0.1409423382296203</v>
      </c>
      <c r="V65" s="2">
        <f>V10*'Output-Calculation-sheet'!V54/10^9</f>
        <v>0.16606269967381873</v>
      </c>
      <c r="W65" s="2">
        <f>W10*'Output-Calculation-sheet'!W54/10^9</f>
        <v>7.0971931267633001E-2</v>
      </c>
      <c r="X65" s="2">
        <f>X10*'Output-Calculation-sheet'!X54/10^9</f>
        <v>0.11408483089405722</v>
      </c>
      <c r="Y65" s="2">
        <f>Y10*'Output-Calculation-sheet'!Y54/10^9</f>
        <v>5.5056079857759163E-2</v>
      </c>
      <c r="AA65" s="2">
        <f t="shared" si="4"/>
        <v>25.391099068396802</v>
      </c>
    </row>
    <row r="66" spans="1:27" x14ac:dyDescent="0.25">
      <c r="A66" s="2">
        <v>2034</v>
      </c>
      <c r="B66" s="2">
        <f>B11*'Output-Calculation-sheet'!B55/10^9</f>
        <v>7.9969152039708931</v>
      </c>
      <c r="C66" s="2">
        <f>C11*'Output-Calculation-sheet'!C55/10^9</f>
        <v>5.3147456681268963</v>
      </c>
      <c r="D66" s="2">
        <f>D11*'Output-Calculation-sheet'!D55/10^9</f>
        <v>1.4467747086549057</v>
      </c>
      <c r="E66" s="2">
        <f>E11*'Output-Calculation-sheet'!E55/10^9</f>
        <v>1.8738043469587242</v>
      </c>
      <c r="F66" s="2">
        <f>F11*'Output-Calculation-sheet'!F55/10^9</f>
        <v>0.73743315492128803</v>
      </c>
      <c r="G66" s="2">
        <f>G11*'Output-Calculation-sheet'!G55/10^9</f>
        <v>0.53798723166908069</v>
      </c>
      <c r="H66" s="2">
        <f>H11*'Output-Calculation-sheet'!H55/10^9</f>
        <v>1.3425923667776534</v>
      </c>
      <c r="I66" s="2">
        <f>I11*'Output-Calculation-sheet'!I55/10^9</f>
        <v>0.50012114782413963</v>
      </c>
      <c r="J66" s="2">
        <f>J11*'Output-Calculation-sheet'!J55/10^9</f>
        <v>0.50355107242297459</v>
      </c>
      <c r="K66" s="2">
        <f>K11*'Output-Calculation-sheet'!K55/10^9</f>
        <v>0.5733381559611771</v>
      </c>
      <c r="L66" s="2">
        <f>L11*'Output-Calculation-sheet'!L55/10^9</f>
        <v>0.55584413742183902</v>
      </c>
      <c r="M66" s="2">
        <f>M11*'Output-Calculation-sheet'!M55/10^9</f>
        <v>0.94358991539872372</v>
      </c>
      <c r="N66" s="2">
        <f>N11*'Output-Calculation-sheet'!N55/10^9</f>
        <v>0.82028083619651393</v>
      </c>
      <c r="O66" s="2">
        <f>O11*'Output-Calculation-sheet'!O55/10^9</f>
        <v>0.93523135034460547</v>
      </c>
      <c r="P66" s="2">
        <f>P11*'Output-Calculation-sheet'!P55/10^9</f>
        <v>0.59970759838388954</v>
      </c>
      <c r="Q66" s="2">
        <f>Q11*'Output-Calculation-sheet'!Q55/10^9</f>
        <v>0.61686174986395492</v>
      </c>
      <c r="R66" s="2">
        <f>R11*'Output-Calculation-sheet'!R55/10^9</f>
        <v>0.45640454175940476</v>
      </c>
      <c r="S66" s="2">
        <f>S11*'Output-Calculation-sheet'!S55/10^9</f>
        <v>0.47377602206408576</v>
      </c>
      <c r="T66" s="2">
        <f>T11*'Output-Calculation-sheet'!T55/10^9</f>
        <v>0.14300067239976982</v>
      </c>
      <c r="U66" s="2">
        <f>U11*'Output-Calculation-sheet'!U55/10^9</f>
        <v>0.15563734959036044</v>
      </c>
      <c r="V66" s="2">
        <f>V11*'Output-Calculation-sheet'!V55/10^9</f>
        <v>0.13514884974158412</v>
      </c>
      <c r="W66" s="2">
        <f>W11*'Output-Calculation-sheet'!W55/10^9</f>
        <v>6.6209943262223042E-2</v>
      </c>
      <c r="X66" s="2">
        <f>X11*'Output-Calculation-sheet'!X55/10^9</f>
        <v>0.12372535749492775</v>
      </c>
      <c r="Y66" s="2">
        <f>Y11*'Output-Calculation-sheet'!Y55/10^9</f>
        <v>6.3528049120280747E-2</v>
      </c>
      <c r="AA66" s="2">
        <f t="shared" si="4"/>
        <v>26.916209430329889</v>
      </c>
    </row>
    <row r="67" spans="1:27" x14ac:dyDescent="0.25">
      <c r="A67" s="2">
        <v>2035</v>
      </c>
      <c r="B67" s="2">
        <f>B12*'Output-Calculation-sheet'!B56/10^9</f>
        <v>8.7458984495946712</v>
      </c>
      <c r="C67" s="2">
        <f>C12*'Output-Calculation-sheet'!C56/10^9</f>
        <v>5.5267553979595396</v>
      </c>
      <c r="D67" s="2">
        <f>D12*'Output-Calculation-sheet'!D56/10^9</f>
        <v>1.7347456883685317</v>
      </c>
      <c r="E67" s="2">
        <f>E12*'Output-Calculation-sheet'!E56/10^9</f>
        <v>2.3723614304002876</v>
      </c>
      <c r="F67" s="2">
        <f>F12*'Output-Calculation-sheet'!F56/10^9</f>
        <v>0.92980800093518745</v>
      </c>
      <c r="G67" s="2">
        <f>G12*'Output-Calculation-sheet'!G56/10^9</f>
        <v>0.68603902351006141</v>
      </c>
      <c r="H67" s="2">
        <f>H12*'Output-Calculation-sheet'!H56/10^9</f>
        <v>1.4587972775272318</v>
      </c>
      <c r="I67" s="2">
        <f>I12*'Output-Calculation-sheet'!I56/10^9</f>
        <v>0.628580755043193</v>
      </c>
      <c r="J67" s="2">
        <f>J12*'Output-Calculation-sheet'!J56/10^9</f>
        <v>0.57504445180342478</v>
      </c>
      <c r="K67" s="2">
        <f>K12*'Output-Calculation-sheet'!K56/10^9</f>
        <v>0.68897525231062806</v>
      </c>
      <c r="L67" s="2">
        <f>L12*'Output-Calculation-sheet'!L56/10^9</f>
        <v>0.64233156931387658</v>
      </c>
      <c r="M67" s="2">
        <f>M12*'Output-Calculation-sheet'!M56/10^9</f>
        <v>1.0321704883221987</v>
      </c>
      <c r="N67" s="2">
        <f>N12*'Output-Calculation-sheet'!N56/10^9</f>
        <v>0.88156928438942039</v>
      </c>
      <c r="O67" s="2">
        <f>O12*'Output-Calculation-sheet'!O56/10^9</f>
        <v>0.97505230545688526</v>
      </c>
      <c r="P67" s="2">
        <f>P12*'Output-Calculation-sheet'!P56/10^9</f>
        <v>0.71541363046360207</v>
      </c>
      <c r="Q67" s="2">
        <f>Q12*'Output-Calculation-sheet'!Q56/10^9</f>
        <v>0.67581566175624253</v>
      </c>
      <c r="R67" s="2">
        <f>R12*'Output-Calculation-sheet'!R56/10^9</f>
        <v>0.53067763947833302</v>
      </c>
      <c r="S67" s="2">
        <f>S12*'Output-Calculation-sheet'!S56/10^9</f>
        <v>0.5122843624193878</v>
      </c>
      <c r="T67" s="2">
        <f>T12*'Output-Calculation-sheet'!T56/10^9</f>
        <v>0.1650193297390378</v>
      </c>
      <c r="U67" s="2">
        <f>U12*'Output-Calculation-sheet'!U56/10^9</f>
        <v>0.17840948859776445</v>
      </c>
      <c r="V67" s="2">
        <f>V12*'Output-Calculation-sheet'!V56/10^9</f>
        <v>0.12736254390240359</v>
      </c>
      <c r="W67" s="2">
        <f>W12*'Output-Calculation-sheet'!W56/10^9</f>
        <v>8.6366272064790903E-2</v>
      </c>
      <c r="X67" s="2">
        <f>X12*'Output-Calculation-sheet'!X56/10^9</f>
        <v>0.13407171714663846</v>
      </c>
      <c r="Y67" s="2">
        <f>Y12*'Output-Calculation-sheet'!Y56/10^9</f>
        <v>8.0588503307363599E-2</v>
      </c>
      <c r="AA67" s="2">
        <f t="shared" si="4"/>
        <v>30.084138523810701</v>
      </c>
    </row>
    <row r="68" spans="1:27" x14ac:dyDescent="0.25">
      <c r="B68" s="2">
        <f>SUM(B60:B67)</f>
        <v>52.946048070478604</v>
      </c>
      <c r="C68" s="2">
        <f t="shared" ref="C68:Y68" si="5">SUM(C60:C67)</f>
        <v>30.318736125594906</v>
      </c>
      <c r="D68" s="2">
        <f t="shared" si="5"/>
        <v>9.6002629878173895</v>
      </c>
      <c r="E68" s="2">
        <f t="shared" si="5"/>
        <v>12.490790469238963</v>
      </c>
      <c r="F68" s="2">
        <f t="shared" si="5"/>
        <v>5.1229457830304916</v>
      </c>
      <c r="G68" s="2">
        <f t="shared" si="5"/>
        <v>3.6974882079086395</v>
      </c>
      <c r="H68" s="2">
        <f t="shared" si="5"/>
        <v>7.8009069106111752</v>
      </c>
      <c r="I68" s="2">
        <f t="shared" si="5"/>
        <v>3.3361507118886369</v>
      </c>
      <c r="J68" s="2">
        <f t="shared" si="5"/>
        <v>3.5018619766291668</v>
      </c>
      <c r="K68" s="2">
        <f t="shared" si="5"/>
        <v>3.6893498262066458</v>
      </c>
      <c r="L68" s="2">
        <f t="shared" si="5"/>
        <v>3.7186082803349718</v>
      </c>
      <c r="M68" s="2">
        <f t="shared" si="5"/>
        <v>5.699821185471019</v>
      </c>
      <c r="N68" s="2">
        <f t="shared" si="5"/>
        <v>4.8538551294139261</v>
      </c>
      <c r="O68" s="2">
        <f t="shared" si="5"/>
        <v>5.2665514066848695</v>
      </c>
      <c r="P68" s="2">
        <f t="shared" si="5"/>
        <v>3.9294914616824217</v>
      </c>
      <c r="Q68" s="2">
        <f t="shared" si="5"/>
        <v>3.7888155332029516</v>
      </c>
      <c r="R68" s="2">
        <f t="shared" si="5"/>
        <v>3.0641568946207585</v>
      </c>
      <c r="S68" s="2">
        <f t="shared" si="5"/>
        <v>2.9312765213130101</v>
      </c>
      <c r="T68" s="2">
        <f t="shared" si="5"/>
        <v>0.99494520751415616</v>
      </c>
      <c r="U68" s="2">
        <f t="shared" si="5"/>
        <v>1.0023988967233852</v>
      </c>
      <c r="V68" s="2">
        <f t="shared" si="5"/>
        <v>0.90666577072361232</v>
      </c>
      <c r="W68" s="2">
        <f t="shared" si="5"/>
        <v>0.47071371858712613</v>
      </c>
      <c r="X68" s="2">
        <f t="shared" si="5"/>
        <v>0.77081192737925441</v>
      </c>
      <c r="Y68" s="2">
        <f t="shared" si="5"/>
        <v>0.40494523070678023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51.324499574535949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45.686533635522174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181.27380780332953</v>
      </c>
      <c r="S74" s="2">
        <f>S8/'Output-Calculation-sheet'!S7*'Output-Calculation-sheet'!S61</f>
        <v>0</v>
      </c>
      <c r="T74" s="2">
        <f>T8/'Output-Calculation-sheet'!T7*'Output-Calculation-sheet'!T61</f>
        <v>133.53988272100213</v>
      </c>
      <c r="U74" s="2">
        <f>U8/'Output-Calculation-sheet'!U7*'Output-Calculation-sheet'!U61</f>
        <v>16.916387312122314</v>
      </c>
      <c r="V74" s="2">
        <f>V8/'Output-Calculation-sheet'!V7*'Output-Calculation-sheet'!V61</f>
        <v>153.28462344202515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0.58202573448853734</v>
      </c>
    </row>
    <row r="75" spans="1:27" x14ac:dyDescent="0.25">
      <c r="A75" s="2">
        <v>2032</v>
      </c>
      <c r="B75" s="2">
        <f>B9/'Output-Calculation-sheet'!B8*'Output-Calculation-sheet'!B62</f>
        <v>546.24271085426255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110.78274351878319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88.760068606193613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234.85682532358715</v>
      </c>
      <c r="S75" s="2">
        <f>S9/'Output-Calculation-sheet'!S8*'Output-Calculation-sheet'!S62</f>
        <v>0</v>
      </c>
      <c r="T75" s="2">
        <f>T9/'Output-Calculation-sheet'!T8*'Output-Calculation-sheet'!T62</f>
        <v>155.12849801092199</v>
      </c>
      <c r="U75" s="2">
        <f>U9/'Output-Calculation-sheet'!U8*'Output-Calculation-sheet'!U62</f>
        <v>31.710282215366959</v>
      </c>
      <c r="V75" s="2">
        <f>V9/'Output-Calculation-sheet'!V8*'Output-Calculation-sheet'!V62</f>
        <v>166.17626204038967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1.3336573905695053</v>
      </c>
    </row>
    <row r="76" spans="1:27" x14ac:dyDescent="0.25">
      <c r="A76" s="2">
        <v>2033</v>
      </c>
      <c r="B76" s="2">
        <f>B10/'Output-Calculation-sheet'!B9*'Output-Calculation-sheet'!B63</f>
        <v>5398.4704032612153</v>
      </c>
      <c r="C76" s="2">
        <f>C10/'Output-Calculation-sheet'!C9*'Output-Calculation-sheet'!C63</f>
        <v>11026.144309011264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3515.5298388972451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2393.7192544847039</v>
      </c>
      <c r="N76" s="2">
        <f>N10/'Output-Calculation-sheet'!N9*'Output-Calculation-sheet'!N63</f>
        <v>1367.3984265233269</v>
      </c>
      <c r="O76" s="2">
        <f>O10/'Output-Calculation-sheet'!O9*'Output-Calculation-sheet'!O63</f>
        <v>0</v>
      </c>
      <c r="P76" s="2">
        <f>P10/'Output-Calculation-sheet'!P9*'Output-Calculation-sheet'!P63</f>
        <v>474.83050265588588</v>
      </c>
      <c r="Q76" s="2">
        <f>Q10/'Output-Calculation-sheet'!Q9*'Output-Calculation-sheet'!Q63</f>
        <v>214.16763875637614</v>
      </c>
      <c r="R76" s="2">
        <f>R10/'Output-Calculation-sheet'!R9*'Output-Calculation-sheet'!R63</f>
        <v>361.89675861165085</v>
      </c>
      <c r="S76" s="2">
        <f>S10/'Output-Calculation-sheet'!S9*'Output-Calculation-sheet'!S63</f>
        <v>608.0501653260518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127.88182611079174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281.8774512695253</v>
      </c>
      <c r="Y76" s="2">
        <f>Y10/'Output-Calculation-sheet'!Y9*'Output-Calculation-sheet'!Y63</f>
        <v>5.3475766543004273</v>
      </c>
      <c r="AA76" s="2">
        <f t="shared" si="6"/>
        <v>25.901883313660409</v>
      </c>
    </row>
    <row r="77" spans="1:27" x14ac:dyDescent="0.25">
      <c r="A77" s="2">
        <v>2034</v>
      </c>
      <c r="B77" s="2">
        <f>B11/'Output-Calculation-sheet'!B10*'Output-Calculation-sheet'!B64</f>
        <v>13325.215710481556</v>
      </c>
      <c r="C77" s="2">
        <f>C11/'Output-Calculation-sheet'!C10*'Output-Calculation-sheet'!C64</f>
        <v>11705.670548390641</v>
      </c>
      <c r="D77" s="2">
        <f>D11/'Output-Calculation-sheet'!D10*'Output-Calculation-sheet'!D64</f>
        <v>1642.3965566791555</v>
      </c>
      <c r="E77" s="2">
        <f>E11/'Output-Calculation-sheet'!E10*'Output-Calculation-sheet'!E64</f>
        <v>2029.43155751737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867.18980702143233</v>
      </c>
      <c r="H77" s="2">
        <f>H11/'Output-Calculation-sheet'!H10*'Output-Calculation-sheet'!H64</f>
        <v>4296.4734635913328</v>
      </c>
      <c r="I77" s="2">
        <f>I11/'Output-Calculation-sheet'!I10*'Output-Calculation-sheet'!I64</f>
        <v>511.5908921514328</v>
      </c>
      <c r="J77" s="2">
        <f>J11/'Output-Calculation-sheet'!J10*'Output-Calculation-sheet'!J64</f>
        <v>364.68568838080074</v>
      </c>
      <c r="K77" s="2">
        <f>K11/'Output-Calculation-sheet'!K10*'Output-Calculation-sheet'!K64</f>
        <v>773.21476751642354</v>
      </c>
      <c r="L77" s="2">
        <f>L11/'Output-Calculation-sheet'!L10*'Output-Calculation-sheet'!L64</f>
        <v>335.7269420038516</v>
      </c>
      <c r="M77" s="2">
        <f>M11/'Output-Calculation-sheet'!M10*'Output-Calculation-sheet'!M64</f>
        <v>3055.8704413451533</v>
      </c>
      <c r="N77" s="2">
        <f>N11/'Output-Calculation-sheet'!N10*'Output-Calculation-sheet'!N64</f>
        <v>2174.1767689064418</v>
      </c>
      <c r="O77" s="2">
        <f>O11/'Output-Calculation-sheet'!O10*'Output-Calculation-sheet'!O64</f>
        <v>75.803886271621721</v>
      </c>
      <c r="P77" s="2">
        <f>P11/'Output-Calculation-sheet'!P10*'Output-Calculation-sheet'!P64</f>
        <v>959.60102669597097</v>
      </c>
      <c r="Q77" s="2">
        <f>Q11/'Output-Calculation-sheet'!Q10*'Output-Calculation-sheet'!Q64</f>
        <v>547.56862237119981</v>
      </c>
      <c r="R77" s="2">
        <f>R11/'Output-Calculation-sheet'!R10*'Output-Calculation-sheet'!R64</f>
        <v>821.16777269959869</v>
      </c>
      <c r="S77" s="2">
        <f>S11/'Output-Calculation-sheet'!S10*'Output-Calculation-sheet'!S64</f>
        <v>1097.9473662671153</v>
      </c>
      <c r="T77" s="2">
        <f>T11/'Output-Calculation-sheet'!T10*'Output-Calculation-sheet'!T64</f>
        <v>225.91575470503022</v>
      </c>
      <c r="U77" s="2">
        <f>U11/'Output-Calculation-sheet'!U10*'Output-Calculation-sheet'!U64</f>
        <v>300.26841164911423</v>
      </c>
      <c r="V77" s="2">
        <f>V11/'Output-Calculation-sheet'!V10*'Output-Calculation-sheet'!V64</f>
        <v>119.69610428590445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310.50887561346758</v>
      </c>
      <c r="Y77" s="2">
        <f>Y11/'Output-Calculation-sheet'!Y10*'Output-Calculation-sheet'!Y64</f>
        <v>75.182432879227036</v>
      </c>
      <c r="AA77" s="2">
        <f t="shared" si="6"/>
        <v>45.766955034955252</v>
      </c>
    </row>
    <row r="78" spans="1:27" x14ac:dyDescent="0.25">
      <c r="A78" s="2">
        <v>2035</v>
      </c>
      <c r="B78" s="2">
        <f>B12/'Output-Calculation-sheet'!B11*'Output-Calculation-sheet'!B65</f>
        <v>16925.74502388779</v>
      </c>
      <c r="C78" s="2">
        <f>C12/'Output-Calculation-sheet'!C11*'Output-Calculation-sheet'!C65</f>
        <v>11952.602139767327</v>
      </c>
      <c r="D78" s="2">
        <f>D12/'Output-Calculation-sheet'!D11*'Output-Calculation-sheet'!D65</f>
        <v>1796.9386666602763</v>
      </c>
      <c r="E78" s="2">
        <f>E12/'Output-Calculation-sheet'!E11*'Output-Calculation-sheet'!E65</f>
        <v>3415.9326348440186</v>
      </c>
      <c r="F78" s="2">
        <f>F12/'Output-Calculation-sheet'!F11*'Output-Calculation-sheet'!F65</f>
        <v>723.55596235063069</v>
      </c>
      <c r="G78" s="2">
        <f>G12/'Output-Calculation-sheet'!G11*'Output-Calculation-sheet'!G65</f>
        <v>1357.6666947702552</v>
      </c>
      <c r="H78" s="2">
        <f>H12/'Output-Calculation-sheet'!H11*'Output-Calculation-sheet'!H65</f>
        <v>4371.1512403694715</v>
      </c>
      <c r="I78" s="2">
        <f>I12/'Output-Calculation-sheet'!I11*'Output-Calculation-sheet'!I65</f>
        <v>798.35096449527146</v>
      </c>
      <c r="J78" s="2">
        <f>J12/'Output-Calculation-sheet'!J11*'Output-Calculation-sheet'!J65</f>
        <v>715.98642761617918</v>
      </c>
      <c r="K78" s="2">
        <f>K12/'Output-Calculation-sheet'!K11*'Output-Calculation-sheet'!K65</f>
        <v>903.54019960851599</v>
      </c>
      <c r="L78" s="2">
        <f>L12/'Output-Calculation-sheet'!L11*'Output-Calculation-sheet'!L65</f>
        <v>537.23319650676353</v>
      </c>
      <c r="M78" s="2">
        <f>M12/'Output-Calculation-sheet'!M11*'Output-Calculation-sheet'!M65</f>
        <v>3111.5163070606859</v>
      </c>
      <c r="N78" s="2">
        <f>N12/'Output-Calculation-sheet'!N11*'Output-Calculation-sheet'!N65</f>
        <v>2187.8984393849705</v>
      </c>
      <c r="O78" s="2">
        <f>O12/'Output-Calculation-sheet'!O11*'Output-Calculation-sheet'!O65</f>
        <v>306.71508581710248</v>
      </c>
      <c r="P78" s="2">
        <f>P12/'Output-Calculation-sheet'!P11*'Output-Calculation-sheet'!P65</f>
        <v>1243.797158981776</v>
      </c>
      <c r="Q78" s="2">
        <f>Q12/'Output-Calculation-sheet'!Q11*'Output-Calculation-sheet'!Q65</f>
        <v>625.61763123202422</v>
      </c>
      <c r="R78" s="2">
        <f>R12/'Output-Calculation-sheet'!R11*'Output-Calculation-sheet'!R65</f>
        <v>1031.2071506045211</v>
      </c>
      <c r="S78" s="2">
        <f>S12/'Output-Calculation-sheet'!S11*'Output-Calculation-sheet'!S65</f>
        <v>1163.3608213228422</v>
      </c>
      <c r="T78" s="2">
        <f>T12/'Output-Calculation-sheet'!T11*'Output-Calculation-sheet'!T65</f>
        <v>370.79809261829388</v>
      </c>
      <c r="U78" s="2">
        <f>U12/'Output-Calculation-sheet'!U11*'Output-Calculation-sheet'!U65</f>
        <v>317.70532176191864</v>
      </c>
      <c r="V78" s="2">
        <f>V12/'Output-Calculation-sheet'!V11*'Output-Calculation-sheet'!V65</f>
        <v>200.11197164644352</v>
      </c>
      <c r="W78" s="2">
        <f>W12/'Output-Calculation-sheet'!W11*'Output-Calculation-sheet'!W65</f>
        <v>140.94524561354945</v>
      </c>
      <c r="X78" s="2">
        <f>X12/'Output-Calculation-sheet'!X11*'Output-Calculation-sheet'!X65</f>
        <v>320.69581073598545</v>
      </c>
      <c r="Y78" s="2">
        <f>Y12/'Output-Calculation-sheet'!Y11*'Output-Calculation-sheet'!Y65</f>
        <v>137.57654274623479</v>
      </c>
      <c r="AA78" s="2">
        <f t="shared" si="6"/>
        <v>54.656648730402843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397.95518493562145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386.55993266000826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0.78451511759562975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811.63265747774835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31.230726191313149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21.489795721163379</v>
      </c>
      <c r="N88" s="2">
        <f>N11/'Output-Calculation-sheet'!N10*'Output-Calculation-sheet'!N73</f>
        <v>0</v>
      </c>
      <c r="O88" s="2">
        <f>O11/'Output-Calculation-sheet'!O10*'Output-Calculation-sheet'!O73</f>
        <v>453.32537291921471</v>
      </c>
      <c r="P88" s="2">
        <f>P11/'Output-Calculation-sheet'!P10*'Output-Calculation-sheet'!P73</f>
        <v>0</v>
      </c>
      <c r="Q88" s="2">
        <f>Q11/'Output-Calculation-sheet'!Q10*'Output-Calculation-sheet'!Q73</f>
        <v>18.505191698925305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2.3574835672791212</v>
      </c>
      <c r="Y88" s="2">
        <f>Y11/'Output-Calculation-sheet'!Y10*'Output-Calculation-sheet'!Y73</f>
        <v>0</v>
      </c>
      <c r="AA88" s="2">
        <f t="shared" si="7"/>
        <v>1.3385412275756439</v>
      </c>
    </row>
    <row r="89" spans="1:27" x14ac:dyDescent="0.25">
      <c r="A89" s="2">
        <v>2035</v>
      </c>
      <c r="B89" s="2">
        <f>B12/'Output-Calculation-sheet'!B11*'Output-Calculation-sheet'!B74</f>
        <v>426.65284524937084</v>
      </c>
      <c r="C89" s="2">
        <f>C12/'Output-Calculation-sheet'!C11*'Output-Calculation-sheet'!C74</f>
        <v>1316.2432153643363</v>
      </c>
      <c r="D89" s="2">
        <f>D12/'Output-Calculation-sheet'!D11*'Output-Calculation-sheet'!D74</f>
        <v>179.37995175046433</v>
      </c>
      <c r="E89" s="2">
        <f>E12/'Output-Calculation-sheet'!E11*'Output-Calculation-sheet'!E74</f>
        <v>142.55921519287267</v>
      </c>
      <c r="F89" s="2">
        <f>F12/'Output-Calculation-sheet'!F11*'Output-Calculation-sheet'!F74</f>
        <v>44.829985275751589</v>
      </c>
      <c r="G89" s="2">
        <f>G12/'Output-Calculation-sheet'!G11*'Output-Calculation-sheet'!G74</f>
        <v>64.347442758910617</v>
      </c>
      <c r="H89" s="2">
        <f>H12/'Output-Calculation-sheet'!H11*'Output-Calculation-sheet'!H74</f>
        <v>155.83871341676308</v>
      </c>
      <c r="I89" s="2">
        <f>I12/'Output-Calculation-sheet'!I11*'Output-Calculation-sheet'!I74</f>
        <v>57.87668294151598</v>
      </c>
      <c r="J89" s="2">
        <f>J12/'Output-Calculation-sheet'!J11*'Output-Calculation-sheet'!J74</f>
        <v>28.639457104647168</v>
      </c>
      <c r="K89" s="2">
        <f>K12/'Output-Calculation-sheet'!K11*'Output-Calculation-sheet'!K74</f>
        <v>56.883669076335678</v>
      </c>
      <c r="L89" s="2">
        <f>L12/'Output-Calculation-sheet'!L11*'Output-Calculation-sheet'!L74</f>
        <v>45.231167881015665</v>
      </c>
      <c r="M89" s="2">
        <f>M12/'Output-Calculation-sheet'!M11*'Output-Calculation-sheet'!M74</f>
        <v>85.785827617589547</v>
      </c>
      <c r="N89" s="2">
        <f>N12/'Output-Calculation-sheet'!N11*'Output-Calculation-sheet'!N74</f>
        <v>63.235277347876746</v>
      </c>
      <c r="O89" s="2">
        <f>O12/'Output-Calculation-sheet'!O11*'Output-Calculation-sheet'!O74</f>
        <v>511.42129360896968</v>
      </c>
      <c r="P89" s="2">
        <f>P12/'Output-Calculation-sheet'!P11*'Output-Calculation-sheet'!P74</f>
        <v>38.945334846158872</v>
      </c>
      <c r="Q89" s="2">
        <f>Q12/'Output-Calculation-sheet'!Q11*'Output-Calculation-sheet'!Q74</f>
        <v>55.403615943324851</v>
      </c>
      <c r="R89" s="2">
        <f>R12/'Output-Calculation-sheet'!R11*'Output-Calculation-sheet'!R74</f>
        <v>36.62867724947683</v>
      </c>
      <c r="S89" s="2">
        <f>S12/'Output-Calculation-sheet'!S11*'Output-Calculation-sheet'!S74</f>
        <v>36.248545563745324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11.784759143956327</v>
      </c>
      <c r="V89" s="2">
        <f>V12/'Output-Calculation-sheet'!V11*'Output-Calculation-sheet'!V74</f>
        <v>4.5435590592476336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14.116375153445965</v>
      </c>
      <c r="Y89" s="2">
        <f>Y12/'Output-Calculation-sheet'!Y11*'Output-Calculation-sheet'!Y74</f>
        <v>4.5408546165932764</v>
      </c>
      <c r="AA89" s="2">
        <f t="shared" si="7"/>
        <v>3.3918465084339799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14852409902.040308</v>
      </c>
      <c r="C96" s="2">
        <f>C8/'Output-Calculation-sheet'!C7*'Output-Calculation-sheet'!C79</f>
        <v>1828174387.1363096</v>
      </c>
      <c r="D96" s="2">
        <f>D8/'Output-Calculation-sheet'!D7*'Output-Calculation-sheet'!D79</f>
        <v>6474125262.5793705</v>
      </c>
      <c r="E96" s="2">
        <f>E8/'Output-Calculation-sheet'!E7*'Output-Calculation-sheet'!E79</f>
        <v>11069291204.97843</v>
      </c>
      <c r="F96" s="2">
        <f>F8/'Output-Calculation-sheet'!F7*'Output-Calculation-sheet'!F79</f>
        <v>4981550476.4580259</v>
      </c>
      <c r="G96" s="2">
        <f>G8/'Output-Calculation-sheet'!G7*'Output-Calculation-sheet'!G79</f>
        <v>3783713828.4595227</v>
      </c>
      <c r="H96" s="2">
        <f>H8/'Output-Calculation-sheet'!H7*'Output-Calculation-sheet'!H79</f>
        <v>1100811415.8930023</v>
      </c>
      <c r="I96" s="2">
        <f>I8/'Output-Calculation-sheet'!I7*'Output-Calculation-sheet'!I79</f>
        <v>2538012633.6829824</v>
      </c>
      <c r="J96" s="2">
        <f>J8/'Output-Calculation-sheet'!J7*'Output-Calculation-sheet'!J79</f>
        <v>1880711344.5511239</v>
      </c>
      <c r="K96" s="2">
        <f>K8/'Output-Calculation-sheet'!K7*'Output-Calculation-sheet'!K79</f>
        <v>2174575119.9314461</v>
      </c>
      <c r="L96" s="2">
        <f>L8/'Output-Calculation-sheet'!L7*'Output-Calculation-sheet'!L79</f>
        <v>1729834551.6112518</v>
      </c>
      <c r="M96" s="2">
        <f>M8/'Output-Calculation-sheet'!M7*'Output-Calculation-sheet'!M79</f>
        <v>855782640.17827165</v>
      </c>
      <c r="N96" s="2">
        <f>N8/'Output-Calculation-sheet'!N7*'Output-Calculation-sheet'!N79</f>
        <v>869132180.28127003</v>
      </c>
      <c r="O96" s="2">
        <f>O8/'Output-Calculation-sheet'!O7*'Output-Calculation-sheet'!O79</f>
        <v>212155246.54426435</v>
      </c>
      <c r="P96" s="2">
        <f>P8/'Output-Calculation-sheet'!P7*'Output-Calculation-sheet'!P79</f>
        <v>2311592808.883832</v>
      </c>
      <c r="Q96" s="2">
        <f>Q8/'Output-Calculation-sheet'!Q7*'Output-Calculation-sheet'!Q79</f>
        <v>1025033469.5132633</v>
      </c>
      <c r="R96" s="2">
        <f>R8/'Output-Calculation-sheet'!R7*'Output-Calculation-sheet'!R79</f>
        <v>1559571751.0343761</v>
      </c>
      <c r="S96" s="2">
        <f>S8/'Output-Calculation-sheet'!S7*'Output-Calculation-sheet'!S79</f>
        <v>609592735.61268032</v>
      </c>
      <c r="T96" s="2">
        <f>T8/'Output-Calculation-sheet'!T7*'Output-Calculation-sheet'!T79</f>
        <v>825583155.56852973</v>
      </c>
      <c r="U96" s="2">
        <f>U8/'Output-Calculation-sheet'!U7*'Output-Calculation-sheet'!U79</f>
        <v>410044146.85484022</v>
      </c>
      <c r="V96" s="2">
        <f>V8/'Output-Calculation-sheet'!V7*'Output-Calculation-sheet'!V79</f>
        <v>302148862.38772726</v>
      </c>
      <c r="W96" s="2">
        <f>W8/'Output-Calculation-sheet'!W7*'Output-Calculation-sheet'!W79</f>
        <v>804937815.75637436</v>
      </c>
      <c r="X96" s="2">
        <f>X8/'Output-Calculation-sheet'!X7*'Output-Calculation-sheet'!X79</f>
        <v>95383378.960834593</v>
      </c>
      <c r="Y96" s="2">
        <f>Y8/'Output-Calculation-sheet'!Y7*'Output-Calculation-sheet'!Y79</f>
        <v>361246204.12634724</v>
      </c>
      <c r="AA96" s="2">
        <f t="shared" si="8"/>
        <v>62.655414523024398</v>
      </c>
    </row>
    <row r="97" spans="1:27" x14ac:dyDescent="0.25">
      <c r="A97" s="2">
        <v>2032</v>
      </c>
      <c r="B97" s="2">
        <f>B9/'Output-Calculation-sheet'!B8*'Output-Calculation-sheet'!B80</f>
        <v>16246768208.916166</v>
      </c>
      <c r="C97" s="2">
        <f>C9/'Output-Calculation-sheet'!C8*'Output-Calculation-sheet'!C80</f>
        <v>2041134288.4830351</v>
      </c>
      <c r="D97" s="2">
        <f>D9/'Output-Calculation-sheet'!D8*'Output-Calculation-sheet'!D80</f>
        <v>6722466684.5062361</v>
      </c>
      <c r="E97" s="2">
        <f>E9/'Output-Calculation-sheet'!E8*'Output-Calculation-sheet'!E80</f>
        <v>11835611900.098507</v>
      </c>
      <c r="F97" s="2">
        <f>F9/'Output-Calculation-sheet'!F8*'Output-Calculation-sheet'!F80</f>
        <v>5314120031.7076149</v>
      </c>
      <c r="G97" s="2">
        <f>G9/'Output-Calculation-sheet'!G8*'Output-Calculation-sheet'!G80</f>
        <v>3933410415.532825</v>
      </c>
      <c r="H97" s="2">
        <f>H9/'Output-Calculation-sheet'!H8*'Output-Calculation-sheet'!H80</f>
        <v>1191848778.6668327</v>
      </c>
      <c r="I97" s="2">
        <f>I9/'Output-Calculation-sheet'!I8*'Output-Calculation-sheet'!I80</f>
        <v>2732034225.1365652</v>
      </c>
      <c r="J97" s="2">
        <f>J9/'Output-Calculation-sheet'!J8*'Output-Calculation-sheet'!J80</f>
        <v>1971322356.8346148</v>
      </c>
      <c r="K97" s="2">
        <f>K9/'Output-Calculation-sheet'!K8*'Output-Calculation-sheet'!K80</f>
        <v>2294677262.185699</v>
      </c>
      <c r="L97" s="2">
        <f>L9/'Output-Calculation-sheet'!L8*'Output-Calculation-sheet'!L80</f>
        <v>1881504637.7658484</v>
      </c>
      <c r="M97" s="2">
        <f>M9/'Output-Calculation-sheet'!M8*'Output-Calculation-sheet'!M80</f>
        <v>926402732.6663307</v>
      </c>
      <c r="N97" s="2">
        <f>N9/'Output-Calculation-sheet'!N8*'Output-Calculation-sheet'!N80</f>
        <v>918182760.4352895</v>
      </c>
      <c r="O97" s="2">
        <f>O9/'Output-Calculation-sheet'!O8*'Output-Calculation-sheet'!O80</f>
        <v>239628422.65101409</v>
      </c>
      <c r="P97" s="2">
        <f>P9/'Output-Calculation-sheet'!P8*'Output-Calculation-sheet'!P80</f>
        <v>2436895525.816606</v>
      </c>
      <c r="Q97" s="2">
        <f>Q9/'Output-Calculation-sheet'!Q8*'Output-Calculation-sheet'!Q80</f>
        <v>1083582014.7853539</v>
      </c>
      <c r="R97" s="2">
        <f>R9/'Output-Calculation-sheet'!R8*'Output-Calculation-sheet'!R80</f>
        <v>1686213128.0677037</v>
      </c>
      <c r="S97" s="2">
        <f>S9/'Output-Calculation-sheet'!S8*'Output-Calculation-sheet'!S80</f>
        <v>650319443.88764989</v>
      </c>
      <c r="T97" s="2">
        <f>T9/'Output-Calculation-sheet'!T8*'Output-Calculation-sheet'!T80</f>
        <v>869543127.81636155</v>
      </c>
      <c r="U97" s="2">
        <f>U9/'Output-Calculation-sheet'!U8*'Output-Calculation-sheet'!U80</f>
        <v>441311471.39443922</v>
      </c>
      <c r="V97" s="2">
        <f>V9/'Output-Calculation-sheet'!V8*'Output-Calculation-sheet'!V80</f>
        <v>325083102.75243491</v>
      </c>
      <c r="W97" s="2">
        <f>W9/'Output-Calculation-sheet'!W8*'Output-Calculation-sheet'!W80</f>
        <v>850142632.70296896</v>
      </c>
      <c r="X97" s="2">
        <f>X9/'Output-Calculation-sheet'!X8*'Output-Calculation-sheet'!X80</f>
        <v>104109057.18503678</v>
      </c>
      <c r="Y97" s="2">
        <f>Y9/'Output-Calculation-sheet'!Y8*'Output-Calculation-sheet'!Y80</f>
        <v>381752529.41927838</v>
      </c>
      <c r="AA97" s="2">
        <f t="shared" si="8"/>
        <v>67.078064739414415</v>
      </c>
    </row>
    <row r="98" spans="1:27" x14ac:dyDescent="0.25">
      <c r="A98" s="2">
        <v>2033</v>
      </c>
      <c r="B98" s="2">
        <f>B10/'Output-Calculation-sheet'!B9*'Output-Calculation-sheet'!B81</f>
        <v>19669421451.447411</v>
      </c>
      <c r="C98" s="2">
        <f>C10/'Output-Calculation-sheet'!C9*'Output-Calculation-sheet'!C81</f>
        <v>6743653054.6746569</v>
      </c>
      <c r="D98" s="2">
        <f>D10/'Output-Calculation-sheet'!D9*'Output-Calculation-sheet'!D81</f>
        <v>6417903756.6863365</v>
      </c>
      <c r="E98" s="2">
        <f>E10/'Output-Calculation-sheet'!E9*'Output-Calculation-sheet'!E81</f>
        <v>12072480779.073711</v>
      </c>
      <c r="F98" s="2">
        <f>F10/'Output-Calculation-sheet'!F9*'Output-Calculation-sheet'!F81</f>
        <v>4978982878.2214813</v>
      </c>
      <c r="G98" s="2">
        <f>G10/'Output-Calculation-sheet'!G9*'Output-Calculation-sheet'!G81</f>
        <v>3655721566.7344079</v>
      </c>
      <c r="H98" s="2">
        <f>H10/'Output-Calculation-sheet'!H9*'Output-Calculation-sheet'!H81</f>
        <v>3312113607.6057081</v>
      </c>
      <c r="I98" s="2">
        <f>I10/'Output-Calculation-sheet'!I9*'Output-Calculation-sheet'!I81</f>
        <v>2753344230.0926032</v>
      </c>
      <c r="J98" s="2">
        <f>J10/'Output-Calculation-sheet'!J9*'Output-Calculation-sheet'!J81</f>
        <v>1760557697.8258388</v>
      </c>
      <c r="K98" s="2">
        <f>K10/'Output-Calculation-sheet'!K9*'Output-Calculation-sheet'!K81</f>
        <v>2557279874.2603908</v>
      </c>
      <c r="L98" s="2">
        <f>L10/'Output-Calculation-sheet'!L9*'Output-Calculation-sheet'!L81</f>
        <v>1917998185.2593243</v>
      </c>
      <c r="M98" s="2">
        <f>M10/'Output-Calculation-sheet'!M9*'Output-Calculation-sheet'!M81</f>
        <v>2487258256.1035337</v>
      </c>
      <c r="N98" s="2">
        <f>N10/'Output-Calculation-sheet'!N9*'Output-Calculation-sheet'!N81</f>
        <v>1784413729.9684584</v>
      </c>
      <c r="O98" s="2">
        <f>O10/'Output-Calculation-sheet'!O9*'Output-Calculation-sheet'!O81</f>
        <v>944947881.4670198</v>
      </c>
      <c r="P98" s="2">
        <f>P10/'Output-Calculation-sheet'!P9*'Output-Calculation-sheet'!P81</f>
        <v>3019779256.9031277</v>
      </c>
      <c r="Q98" s="2">
        <f>Q10/'Output-Calculation-sheet'!Q9*'Output-Calculation-sheet'!Q81</f>
        <v>1419823653.4131527</v>
      </c>
      <c r="R98" s="2">
        <f>R10/'Output-Calculation-sheet'!R9*'Output-Calculation-sheet'!R81</f>
        <v>1816169255.3070972</v>
      </c>
      <c r="S98" s="2">
        <f>S10/'Output-Calculation-sheet'!S9*'Output-Calculation-sheet'!S81</f>
        <v>1050069178.1555365</v>
      </c>
      <c r="T98" s="2">
        <f>T10/'Output-Calculation-sheet'!T9*'Output-Calculation-sheet'!T81</f>
        <v>779194529.61452043</v>
      </c>
      <c r="U98" s="2">
        <f>U10/'Output-Calculation-sheet'!U9*'Output-Calculation-sheet'!U81</f>
        <v>506994496.72706169</v>
      </c>
      <c r="V98" s="2">
        <f>V10/'Output-Calculation-sheet'!V9*'Output-Calculation-sheet'!V81</f>
        <v>268512823.13552731</v>
      </c>
      <c r="W98" s="2">
        <f>W10/'Output-Calculation-sheet'!W9*'Output-Calculation-sheet'!W81</f>
        <v>761326490.59615886</v>
      </c>
      <c r="X98" s="2">
        <f>X10/'Output-Calculation-sheet'!X9*'Output-Calculation-sheet'!X81</f>
        <v>279764451.15913033</v>
      </c>
      <c r="Y98" s="2">
        <f>Y10/'Output-Calculation-sheet'!Y9*'Output-Calculation-sheet'!Y81</f>
        <v>418624452.54493582</v>
      </c>
      <c r="AA98" s="2">
        <f t="shared" si="8"/>
        <v>81.376335536977109</v>
      </c>
    </row>
    <row r="99" spans="1:27" x14ac:dyDescent="0.25">
      <c r="A99" s="2">
        <v>2034</v>
      </c>
      <c r="B99" s="2">
        <f>B11/'Output-Calculation-sheet'!B10*'Output-Calculation-sheet'!B82</f>
        <v>23393023464.838657</v>
      </c>
      <c r="C99" s="2">
        <f>C11/'Output-Calculation-sheet'!C10*'Output-Calculation-sheet'!C82</f>
        <v>8071552859.2277231</v>
      </c>
      <c r="D99" s="2">
        <f>D11/'Output-Calculation-sheet'!D10*'Output-Calculation-sheet'!D82</f>
        <v>7342842702.4208784</v>
      </c>
      <c r="E99" s="2">
        <f>E11/'Output-Calculation-sheet'!E10*'Output-Calculation-sheet'!E82</f>
        <v>14204085321.738619</v>
      </c>
      <c r="F99" s="2">
        <f>F11/'Output-Calculation-sheet'!F10*'Output-Calculation-sheet'!F82</f>
        <v>5849934912.3381376</v>
      </c>
      <c r="G99" s="2">
        <f>G11/'Output-Calculation-sheet'!G10*'Output-Calculation-sheet'!G82</f>
        <v>4158887439.5785871</v>
      </c>
      <c r="H99" s="2">
        <f>H11/'Output-Calculation-sheet'!H10*'Output-Calculation-sheet'!H82</f>
        <v>3887235396.7982225</v>
      </c>
      <c r="I99" s="2">
        <f>I11/'Output-Calculation-sheet'!I10*'Output-Calculation-sheet'!I82</f>
        <v>3265007115.9769168</v>
      </c>
      <c r="J99" s="2">
        <f>J11/'Output-Calculation-sheet'!J10*'Output-Calculation-sheet'!J82</f>
        <v>2031812679.5411429</v>
      </c>
      <c r="K99" s="2">
        <f>K11/'Output-Calculation-sheet'!K10*'Output-Calculation-sheet'!K82</f>
        <v>2972808578.499361</v>
      </c>
      <c r="L99" s="2">
        <f>L11/'Output-Calculation-sheet'!L10*'Output-Calculation-sheet'!L82</f>
        <v>2295225622.2691936</v>
      </c>
      <c r="M99" s="2">
        <f>M11/'Output-Calculation-sheet'!M10*'Output-Calculation-sheet'!M82</f>
        <v>2928182373.1291451</v>
      </c>
      <c r="N99" s="2">
        <f>N11/'Output-Calculation-sheet'!N10*'Output-Calculation-sheet'!N82</f>
        <v>2062907217.8889925</v>
      </c>
      <c r="O99" s="2">
        <f>O11/'Output-Calculation-sheet'!O10*'Output-Calculation-sheet'!O82</f>
        <v>1118405531.7626059</v>
      </c>
      <c r="P99" s="2">
        <f>P11/'Output-Calculation-sheet'!P10*'Output-Calculation-sheet'!P82</f>
        <v>3486323407.1903477</v>
      </c>
      <c r="Q99" s="2">
        <f>Q11/'Output-Calculation-sheet'!Q10*'Output-Calculation-sheet'!Q82</f>
        <v>1649947318.7292228</v>
      </c>
      <c r="R99" s="2">
        <f>R11/'Output-Calculation-sheet'!R10*'Output-Calculation-sheet'!R82</f>
        <v>2135849173.7390628</v>
      </c>
      <c r="S99" s="2">
        <f>S11/'Output-Calculation-sheet'!S10*'Output-Calculation-sheet'!S82</f>
        <v>1230308834.9441688</v>
      </c>
      <c r="T99" s="2">
        <f>T11/'Output-Calculation-sheet'!T10*'Output-Calculation-sheet'!T82</f>
        <v>899211918.33072591</v>
      </c>
      <c r="U99" s="2">
        <f>U11/'Output-Calculation-sheet'!U10*'Output-Calculation-sheet'!U82</f>
        <v>595476259.04574192</v>
      </c>
      <c r="V99" s="2">
        <f>V11/'Output-Calculation-sheet'!V10*'Output-Calculation-sheet'!V82</f>
        <v>318393731.66120231</v>
      </c>
      <c r="W99" s="2">
        <f>W11/'Output-Calculation-sheet'!W10*'Output-Calculation-sheet'!W82</f>
        <v>882916965.43830049</v>
      </c>
      <c r="X99" s="2">
        <f>X11/'Output-Calculation-sheet'!X10*'Output-Calculation-sheet'!X82</f>
        <v>332530836.86049205</v>
      </c>
      <c r="Y99" s="2">
        <f>Y11/'Output-Calculation-sheet'!Y10*'Output-Calculation-sheet'!Y82</f>
        <v>485884359.7903387</v>
      </c>
      <c r="AA99" s="2">
        <f t="shared" si="8"/>
        <v>95.598754021737776</v>
      </c>
    </row>
    <row r="100" spans="1:27" x14ac:dyDescent="0.25">
      <c r="A100" s="2">
        <v>2035</v>
      </c>
      <c r="B100" s="2">
        <f>B12/'Output-Calculation-sheet'!B11*'Output-Calculation-sheet'!B83</f>
        <v>26674250554.421616</v>
      </c>
      <c r="C100" s="2">
        <f>C12/'Output-Calculation-sheet'!C11*'Output-Calculation-sheet'!C83</f>
        <v>9260866539.4412003</v>
      </c>
      <c r="D100" s="2">
        <f>D12/'Output-Calculation-sheet'!D11*'Output-Calculation-sheet'!D83</f>
        <v>8060396874.5182123</v>
      </c>
      <c r="E100" s="2">
        <f>E12/'Output-Calculation-sheet'!E11*'Output-Calculation-sheet'!E83</f>
        <v>16030049568.480289</v>
      </c>
      <c r="F100" s="2">
        <f>F12/'Output-Calculation-sheet'!F11*'Output-Calculation-sheet'!F83</f>
        <v>6594123228.1837978</v>
      </c>
      <c r="G100" s="2">
        <f>G12/'Output-Calculation-sheet'!G11*'Output-Calculation-sheet'!G83</f>
        <v>4531446657.618762</v>
      </c>
      <c r="H100" s="2">
        <f>H12/'Output-Calculation-sheet'!H11*'Output-Calculation-sheet'!H83</f>
        <v>4377038826.9623566</v>
      </c>
      <c r="I100" s="2">
        <f>I12/'Output-Calculation-sheet'!I11*'Output-Calculation-sheet'!I83</f>
        <v>3713830990.9911976</v>
      </c>
      <c r="J100" s="2">
        <f>J12/'Output-Calculation-sheet'!J11*'Output-Calculation-sheet'!J83</f>
        <v>2250741425.6894083</v>
      </c>
      <c r="K100" s="2">
        <f>K12/'Output-Calculation-sheet'!K11*'Output-Calculation-sheet'!K83</f>
        <v>3316300842.0496473</v>
      </c>
      <c r="L100" s="2">
        <f>L12/'Output-Calculation-sheet'!L11*'Output-Calculation-sheet'!L83</f>
        <v>2632953775.0801969</v>
      </c>
      <c r="M100" s="2">
        <f>M12/'Output-Calculation-sheet'!M11*'Output-Calculation-sheet'!M83</f>
        <v>3307573382.1436157</v>
      </c>
      <c r="N100" s="2">
        <f>N12/'Output-Calculation-sheet'!N11*'Output-Calculation-sheet'!N83</f>
        <v>2288579540.1356812</v>
      </c>
      <c r="O100" s="2">
        <f>O12/'Output-Calculation-sheet'!O11*'Output-Calculation-sheet'!O83</f>
        <v>1270306959.0639746</v>
      </c>
      <c r="P100" s="2">
        <f>P12/'Output-Calculation-sheet'!P11*'Output-Calculation-sheet'!P83</f>
        <v>3858012496.8639016</v>
      </c>
      <c r="Q100" s="2">
        <f>Q12/'Output-Calculation-sheet'!Q11*'Output-Calculation-sheet'!Q83</f>
        <v>1840289646.7117152</v>
      </c>
      <c r="R100" s="2">
        <f>R12/'Output-Calculation-sheet'!R11*'Output-Calculation-sheet'!R83</f>
        <v>2409756721.8303814</v>
      </c>
      <c r="S100" s="2">
        <f>S12/'Output-Calculation-sheet'!S11*'Output-Calculation-sheet'!S83</f>
        <v>1383076547.1180761</v>
      </c>
      <c r="T100" s="2">
        <f>T12/'Output-Calculation-sheet'!T11*'Output-Calculation-sheet'!T83</f>
        <v>995335911.70592904</v>
      </c>
      <c r="U100" s="2">
        <f>U12/'Output-Calculation-sheet'!U11*'Output-Calculation-sheet'!U83</f>
        <v>670743708.38924706</v>
      </c>
      <c r="V100" s="2">
        <f>V12/'Output-Calculation-sheet'!V11*'Output-Calculation-sheet'!V83</f>
        <v>361905201.86845386</v>
      </c>
      <c r="W100" s="2">
        <f>W12/'Output-Calculation-sheet'!W11*'Output-Calculation-sheet'!W83</f>
        <v>980490102.0419035</v>
      </c>
      <c r="X100" s="2">
        <f>X12/'Output-Calculation-sheet'!X11*'Output-Calculation-sheet'!X83</f>
        <v>379066786.72256529</v>
      </c>
      <c r="Y100" s="2">
        <f>Y12/'Output-Calculation-sheet'!Y11*'Output-Calculation-sheet'!Y83</f>
        <v>540308571.37558579</v>
      </c>
      <c r="AA100" s="2">
        <f t="shared" si="8"/>
        <v>107.72744485940773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5005.8883381524356</v>
      </c>
      <c r="C19" s="2">
        <f>C8/'Output-Calculation-sheet'!C7*'Output-Calculation-sheet'!C25</f>
        <v>6674.6550260546364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2432.0210787554884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1780.1256144492868</v>
      </c>
      <c r="N19" s="2">
        <f>N8/'Output-Calculation-sheet'!N7*'Output-Calculation-sheet'!N25</f>
        <v>927.38666471694501</v>
      </c>
      <c r="O19" s="2">
        <f>O8/'Output-Calculation-sheet'!O7*'Output-Calculation-sheet'!O25</f>
        <v>1011.3394424482623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404.28543014782309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205.77083984557254</v>
      </c>
      <c r="Y19" s="2">
        <f>Y8/'Output-Calculation-sheet'!Y7*'Output-Calculation-sheet'!Y25</f>
        <v>0</v>
      </c>
      <c r="AA19" s="2">
        <f t="shared" si="0"/>
        <v>18.441472434570446</v>
      </c>
    </row>
    <row r="20" spans="1:27" x14ac:dyDescent="0.25">
      <c r="A20" s="2">
        <v>2032</v>
      </c>
      <c r="B20" s="2">
        <f>B9/'Output-Calculation-sheet'!B8*'Output-Calculation-sheet'!B26</f>
        <v>6545.2740450731299</v>
      </c>
      <c r="C20" s="2">
        <f>C9/'Output-Calculation-sheet'!C8*'Output-Calculation-sheet'!C26</f>
        <v>7543.9413072452653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2715.8509054288693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1983.1915842339461</v>
      </c>
      <c r="N20" s="2">
        <f>N9/'Output-Calculation-sheet'!N8*'Output-Calculation-sheet'!N26</f>
        <v>1128.0631270628498</v>
      </c>
      <c r="O20" s="2">
        <f>O9/'Output-Calculation-sheet'!O8*'Output-Calculation-sheet'!O26</f>
        <v>1166.9846070591964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509.93324954776614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229.08437360996413</v>
      </c>
      <c r="Y20" s="2">
        <f>Y9/'Output-Calculation-sheet'!Y8*'Output-Calculation-sheet'!Y26</f>
        <v>0</v>
      </c>
      <c r="AA20" s="2">
        <f t="shared" si="0"/>
        <v>21.822323199260985</v>
      </c>
    </row>
    <row r="21" spans="1:27" x14ac:dyDescent="0.25">
      <c r="A21" s="2">
        <v>2033</v>
      </c>
      <c r="B21" s="2">
        <f>B10/'Output-Calculation-sheet'!B9*'Output-Calculation-sheet'!B27</f>
        <v>14329.397020843102</v>
      </c>
      <c r="C21" s="2">
        <f>C10/'Output-Calculation-sheet'!C9*'Output-Calculation-sheet'!C27</f>
        <v>24608.343953743191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8294.1161157732658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5760.779962485436</v>
      </c>
      <c r="N21" s="2">
        <f>N10/'Output-Calculation-sheet'!N9*'Output-Calculation-sheet'!N27</f>
        <v>3152.1833911251683</v>
      </c>
      <c r="O21" s="2">
        <f>O10/'Output-Calculation-sheet'!O9*'Output-Calculation-sheet'!O27</f>
        <v>2455.2747850561018</v>
      </c>
      <c r="P21" s="2">
        <f>P10/'Output-Calculation-sheet'!P9*'Output-Calculation-sheet'!P27</f>
        <v>0</v>
      </c>
      <c r="Q21" s="2">
        <f>Q10/'Output-Calculation-sheet'!Q9*'Output-Calculation-sheet'!Q27</f>
        <v>214.99978043648269</v>
      </c>
      <c r="R21" s="2">
        <f>R10/'Output-Calculation-sheet'!R9*'Output-Calculation-sheet'!R27</f>
        <v>0</v>
      </c>
      <c r="S21" s="2">
        <f>S10/'Output-Calculation-sheet'!S9*'Output-Calculation-sheet'!S27</f>
        <v>1369.1126683927448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677.41837055927829</v>
      </c>
      <c r="Y21" s="2">
        <f>Y10/'Output-Calculation-sheet'!Y9*'Output-Calculation-sheet'!Y27</f>
        <v>0</v>
      </c>
      <c r="AA21" s="2">
        <f t="shared" si="0"/>
        <v>60.86162604841477</v>
      </c>
    </row>
    <row r="22" spans="1:27" x14ac:dyDescent="0.25">
      <c r="A22" s="2">
        <v>2034</v>
      </c>
      <c r="B22" s="2">
        <f>B11/'Output-Calculation-sheet'!B10*'Output-Calculation-sheet'!B28</f>
        <v>28387.324960287991</v>
      </c>
      <c r="C22" s="2">
        <f>C11/'Output-Calculation-sheet'!C10*'Output-Calculation-sheet'!C28</f>
        <v>27234.073937150763</v>
      </c>
      <c r="D22" s="2">
        <f>D11/'Output-Calculation-sheet'!D10*'Output-Calculation-sheet'!D28</f>
        <v>0</v>
      </c>
      <c r="E22" s="2">
        <f>E11/'Output-Calculation-sheet'!E10*'Output-Calculation-sheet'!E28</f>
        <v>1454.5230023862239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10392.471072888791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867.32631195579052</v>
      </c>
      <c r="M22" s="2">
        <f>M11/'Output-Calculation-sheet'!M10*'Output-Calculation-sheet'!M28</f>
        <v>7577.0249441628857</v>
      </c>
      <c r="N22" s="2">
        <f>N11/'Output-Calculation-sheet'!N10*'Output-Calculation-sheet'!N28</f>
        <v>4521.8789450697241</v>
      </c>
      <c r="O22" s="2">
        <f>O11/'Output-Calculation-sheet'!O10*'Output-Calculation-sheet'!O28</f>
        <v>2794.8172186196957</v>
      </c>
      <c r="P22" s="2">
        <f>P11/'Output-Calculation-sheet'!P10*'Output-Calculation-sheet'!P28</f>
        <v>0</v>
      </c>
      <c r="Q22" s="2">
        <f>Q11/'Output-Calculation-sheet'!Q10*'Output-Calculation-sheet'!Q28</f>
        <v>1027.2293713217716</v>
      </c>
      <c r="R22" s="2">
        <f>R11/'Output-Calculation-sheet'!R10*'Output-Calculation-sheet'!R28</f>
        <v>0</v>
      </c>
      <c r="S22" s="2">
        <f>S11/'Output-Calculation-sheet'!S10*'Output-Calculation-sheet'!S28</f>
        <v>2306.7959473546371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760.86219845874882</v>
      </c>
      <c r="Y22" s="2">
        <f>Y11/'Output-Calculation-sheet'!Y10*'Output-Calculation-sheet'!Y28</f>
        <v>78.92183709347853</v>
      </c>
      <c r="AA22" s="2">
        <f t="shared" si="0"/>
        <v>87.403249746750504</v>
      </c>
    </row>
    <row r="23" spans="1:27" x14ac:dyDescent="0.25">
      <c r="A23" s="2">
        <v>2035</v>
      </c>
      <c r="B23" s="2">
        <f>B12/'Output-Calculation-sheet'!B11*'Output-Calculation-sheet'!B29</f>
        <v>35208.531643871305</v>
      </c>
      <c r="C23" s="2">
        <f>C12/'Output-Calculation-sheet'!C11*'Output-Calculation-sheet'!C29</f>
        <v>28757.890286647948</v>
      </c>
      <c r="D23" s="2">
        <f>D12/'Output-Calculation-sheet'!D11*'Output-Calculation-sheet'!D29</f>
        <v>0</v>
      </c>
      <c r="E23" s="2">
        <f>E12/'Output-Calculation-sheet'!E11*'Output-Calculation-sheet'!E29</f>
        <v>5428.2964928464853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11070.266207084165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1230.5510116384203</v>
      </c>
      <c r="M23" s="2">
        <f>M12/'Output-Calculation-sheet'!M11*'Output-Calculation-sheet'!M29</f>
        <v>8110.7218580153049</v>
      </c>
      <c r="N23" s="2">
        <f>N12/'Output-Calculation-sheet'!N11*'Output-Calculation-sheet'!N29</f>
        <v>4731.4364738918457</v>
      </c>
      <c r="O23" s="2">
        <f>O12/'Output-Calculation-sheet'!O11*'Output-Calculation-sheet'!O29</f>
        <v>3189.5698320999668</v>
      </c>
      <c r="P23" s="2">
        <f>P12/'Output-Calculation-sheet'!P11*'Output-Calculation-sheet'!P29</f>
        <v>577.858335189223</v>
      </c>
      <c r="Q23" s="2">
        <f>Q12/'Output-Calculation-sheet'!Q11*'Output-Calculation-sheet'!Q29</f>
        <v>1297.2855065878421</v>
      </c>
      <c r="R23" s="2">
        <f>R12/'Output-Calculation-sheet'!R11*'Output-Calculation-sheet'!R29</f>
        <v>0</v>
      </c>
      <c r="S23" s="2">
        <f>S12/'Output-Calculation-sheet'!S11*'Output-Calculation-sheet'!S29</f>
        <v>2532.7387501843682</v>
      </c>
      <c r="T23" s="2">
        <f>T12/'Output-Calculation-sheet'!T11*'Output-Calculation-sheet'!T29</f>
        <v>0</v>
      </c>
      <c r="U23" s="2">
        <f>U12/'Output-Calculation-sheet'!U11*'Output-Calculation-sheet'!U29</f>
        <v>110.44627453842371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803.49319654419764</v>
      </c>
      <c r="Y23" s="2">
        <f>Y12/'Output-Calculation-sheet'!Y11*'Output-Calculation-sheet'!Y29</f>
        <v>237.87885425849072</v>
      </c>
      <c r="AA23" s="2">
        <f t="shared" si="0"/>
        <v>103.28696472339797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24618.285027674756</v>
      </c>
      <c r="C30" s="2">
        <f>C8/'Output-Calculation-sheet'!C7*'Output-Calculation-sheet'!C16</f>
        <v>0</v>
      </c>
      <c r="D30" s="2">
        <f>D8/'Output-Calculation-sheet'!D7*'Output-Calculation-sheet'!D16</f>
        <v>5546.2622811649362</v>
      </c>
      <c r="E30" s="2">
        <f>E8/'Output-Calculation-sheet'!E7*'Output-Calculation-sheet'!E16</f>
        <v>6950.3526306923632</v>
      </c>
      <c r="F30" s="2">
        <f>F8/'Output-Calculation-sheet'!F7*'Output-Calculation-sheet'!F16</f>
        <v>3394.55158135498</v>
      </c>
      <c r="G30" s="2">
        <f>G8/'Output-Calculation-sheet'!G7*'Output-Calculation-sheet'!G16</f>
        <v>2068.5956546585603</v>
      </c>
      <c r="H30" s="2">
        <f>H8/'Output-Calculation-sheet'!H7*'Output-Calculation-sheet'!H16</f>
        <v>0</v>
      </c>
      <c r="I30" s="2">
        <f>I8/'Output-Calculation-sheet'!I7*'Output-Calculation-sheet'!I16</f>
        <v>1947.3275000212727</v>
      </c>
      <c r="J30" s="2">
        <f>J8/'Output-Calculation-sheet'!J7*'Output-Calculation-sheet'!J16</f>
        <v>2087.4508892731183</v>
      </c>
      <c r="K30" s="2">
        <f>K8/'Output-Calculation-sheet'!K7*'Output-Calculation-sheet'!K16</f>
        <v>2020.4178182463204</v>
      </c>
      <c r="L30" s="2">
        <f>L8/'Output-Calculation-sheet'!L7*'Output-Calculation-sheet'!L16</f>
        <v>2233.2505998348151</v>
      </c>
      <c r="M30" s="2">
        <f>M8/'Output-Calculation-sheet'!M7*'Output-Calculation-sheet'!M16</f>
        <v>0</v>
      </c>
      <c r="N30" s="2">
        <f>N8/'Output-Calculation-sheet'!N7*'Output-Calculation-sheet'!N16</f>
        <v>1001.4493062106778</v>
      </c>
      <c r="O30" s="2">
        <f>O8/'Output-Calculation-sheet'!O7*'Output-Calculation-sheet'!O16</f>
        <v>0</v>
      </c>
      <c r="P30" s="2">
        <f>P8/'Output-Calculation-sheet'!P7*'Output-Calculation-sheet'!P16</f>
        <v>1911.7733041158888</v>
      </c>
      <c r="Q30" s="2">
        <f>Q8/'Output-Calculation-sheet'!Q7*'Output-Calculation-sheet'!Q16</f>
        <v>1875.5443237425359</v>
      </c>
      <c r="R30" s="2">
        <f>R8/'Output-Calculation-sheet'!R7*'Output-Calculation-sheet'!R16</f>
        <v>1664.4018356194074</v>
      </c>
      <c r="S30" s="2">
        <f>S8/'Output-Calculation-sheet'!S7*'Output-Calculation-sheet'!S16</f>
        <v>881.52017318416654</v>
      </c>
      <c r="T30" s="2">
        <f>T8/'Output-Calculation-sheet'!T7*'Output-Calculation-sheet'!T16</f>
        <v>628.66935433846504</v>
      </c>
      <c r="U30" s="2">
        <f>U8/'Output-Calculation-sheet'!U7*'Output-Calculation-sheet'!U16</f>
        <v>485.08294010423123</v>
      </c>
      <c r="V30" s="2">
        <f>V8/'Output-Calculation-sheet'!V7*'Output-Calculation-sheet'!V16</f>
        <v>628.0854056930707</v>
      </c>
      <c r="W30" s="2">
        <f>W8/'Output-Calculation-sheet'!W7*'Output-Calculation-sheet'!W16</f>
        <v>302.41028539511768</v>
      </c>
      <c r="X30" s="2">
        <f>X8/'Output-Calculation-sheet'!X7*'Output-Calculation-sheet'!X16</f>
        <v>0</v>
      </c>
      <c r="Y30" s="2">
        <f>Y8/'Output-Calculation-sheet'!Y7*'Output-Calculation-sheet'!Y16</f>
        <v>206.25040757138765</v>
      </c>
      <c r="AA30" s="2">
        <f t="shared" si="1"/>
        <v>60.451681318896064</v>
      </c>
    </row>
    <row r="31" spans="1:27" x14ac:dyDescent="0.25">
      <c r="A31" s="2">
        <v>2032</v>
      </c>
      <c r="B31" s="2">
        <f>B9/'Output-Calculation-sheet'!B8*'Output-Calculation-sheet'!B17</f>
        <v>26520.503342387605</v>
      </c>
      <c r="C31" s="2">
        <f>C9/'Output-Calculation-sheet'!C8*'Output-Calculation-sheet'!C17</f>
        <v>0</v>
      </c>
      <c r="D31" s="2">
        <f>D9/'Output-Calculation-sheet'!D8*'Output-Calculation-sheet'!D17</f>
        <v>6069.9959350364779</v>
      </c>
      <c r="E31" s="2">
        <f>E9/'Output-Calculation-sheet'!E8*'Output-Calculation-sheet'!E17</f>
        <v>7624.7167889627517</v>
      </c>
      <c r="F31" s="2">
        <f>F9/'Output-Calculation-sheet'!F8*'Output-Calculation-sheet'!F17</f>
        <v>3720.2451750709643</v>
      </c>
      <c r="G31" s="2">
        <f>G9/'Output-Calculation-sheet'!G8*'Output-Calculation-sheet'!G17</f>
        <v>2264.6127205388157</v>
      </c>
      <c r="H31" s="2">
        <f>H9/'Output-Calculation-sheet'!H8*'Output-Calculation-sheet'!H17</f>
        <v>0</v>
      </c>
      <c r="I31" s="2">
        <f>I9/'Output-Calculation-sheet'!I8*'Output-Calculation-sheet'!I17</f>
        <v>2130.7866526161406</v>
      </c>
      <c r="J31" s="2">
        <f>J9/'Output-Calculation-sheet'!J8*'Output-Calculation-sheet'!J17</f>
        <v>2285.9682896159593</v>
      </c>
      <c r="K31" s="2">
        <f>K9/'Output-Calculation-sheet'!K8*'Output-Calculation-sheet'!K17</f>
        <v>2210.8523642715231</v>
      </c>
      <c r="L31" s="2">
        <f>L9/'Output-Calculation-sheet'!L8*'Output-Calculation-sheet'!L17</f>
        <v>2442.9128260096909</v>
      </c>
      <c r="M31" s="2">
        <f>M9/'Output-Calculation-sheet'!M8*'Output-Calculation-sheet'!M17</f>
        <v>0</v>
      </c>
      <c r="N31" s="2">
        <f>N9/'Output-Calculation-sheet'!N8*'Output-Calculation-sheet'!N17</f>
        <v>1030.0248142077776</v>
      </c>
      <c r="O31" s="2">
        <f>O9/'Output-Calculation-sheet'!O8*'Output-Calculation-sheet'!O17</f>
        <v>0</v>
      </c>
      <c r="P31" s="2">
        <f>P9/'Output-Calculation-sheet'!P8*'Output-Calculation-sheet'!P17</f>
        <v>2104.2900509138512</v>
      </c>
      <c r="Q31" s="2">
        <f>Q9/'Output-Calculation-sheet'!Q8*'Output-Calculation-sheet'!Q17</f>
        <v>2057.9045869994256</v>
      </c>
      <c r="R31" s="2">
        <f>R9/'Output-Calculation-sheet'!R8*'Output-Calculation-sheet'!R17</f>
        <v>1841.7642769803226</v>
      </c>
      <c r="S31" s="2">
        <f>S9/'Output-Calculation-sheet'!S8*'Output-Calculation-sheet'!S17</f>
        <v>921.95029022259678</v>
      </c>
      <c r="T31" s="2">
        <f>T9/'Output-Calculation-sheet'!T8*'Output-Calculation-sheet'!T17</f>
        <v>689.96706984948776</v>
      </c>
      <c r="U31" s="2">
        <f>U9/'Output-Calculation-sheet'!U8*'Output-Calculation-sheet'!U17</f>
        <v>534.23509154502869</v>
      </c>
      <c r="V31" s="2">
        <f>V9/'Output-Calculation-sheet'!V8*'Output-Calculation-sheet'!V17</f>
        <v>679.365584931694</v>
      </c>
      <c r="W31" s="2">
        <f>W9/'Output-Calculation-sheet'!W8*'Output-Calculation-sheet'!W17</f>
        <v>331.11876821963966</v>
      </c>
      <c r="X31" s="2">
        <f>X9/'Output-Calculation-sheet'!X8*'Output-Calculation-sheet'!X17</f>
        <v>0</v>
      </c>
      <c r="Y31" s="2">
        <f>Y9/'Output-Calculation-sheet'!Y8*'Output-Calculation-sheet'!Y17</f>
        <v>225.72772608751069</v>
      </c>
      <c r="AA31" s="2">
        <f t="shared" si="1"/>
        <v>65.686942354467249</v>
      </c>
    </row>
    <row r="32" spans="1:27" x14ac:dyDescent="0.25">
      <c r="A32" s="2">
        <v>2033</v>
      </c>
      <c r="B32" s="2">
        <f>B10/'Output-Calculation-sheet'!B9*'Output-Calculation-sheet'!B18</f>
        <v>29090.446502825755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1772.6708493758406</v>
      </c>
      <c r="O32" s="2">
        <f>O10/'Output-Calculation-sheet'!O9*'Output-Calculation-sheet'!O18</f>
        <v>0</v>
      </c>
      <c r="P32" s="2">
        <f>P10/'Output-Calculation-sheet'!P9*'Output-Calculation-sheet'!P18</f>
        <v>2853.9693213593555</v>
      </c>
      <c r="Q32" s="2">
        <f>Q10/'Output-Calculation-sheet'!Q9*'Output-Calculation-sheet'!Q18</f>
        <v>3106.6256218802164</v>
      </c>
      <c r="R32" s="2">
        <f>R10/'Output-Calculation-sheet'!R9*'Output-Calculation-sheet'!R18</f>
        <v>2049.2981987032572</v>
      </c>
      <c r="S32" s="2">
        <f>S10/'Output-Calculation-sheet'!S9*'Output-Calculation-sheet'!S18</f>
        <v>1344.7613924743694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661.57570012589713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69.914055096757181</v>
      </c>
    </row>
    <row r="33" spans="1:27" x14ac:dyDescent="0.25">
      <c r="A33" s="2">
        <v>2034</v>
      </c>
      <c r="B33" s="2">
        <f>B11/'Output-Calculation-sheet'!B10*'Output-Calculation-sheet'!B19</f>
        <v>28633.123035015371</v>
      </c>
      <c r="C33" s="2">
        <f>C11/'Output-Calculation-sheet'!C10*'Output-Calculation-sheet'!C19</f>
        <v>0</v>
      </c>
      <c r="D33" s="2">
        <f>D11/'Output-Calculation-sheet'!D10*'Output-Calculation-sheet'!D19</f>
        <v>8540.9461111529326</v>
      </c>
      <c r="E33" s="2">
        <f>E11/'Output-Calculation-sheet'!E10*'Output-Calculation-sheet'!E19</f>
        <v>10578.532873593074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2907.2572776859388</v>
      </c>
      <c r="H33" s="2">
        <f>H11/'Output-Calculation-sheet'!H10*'Output-Calculation-sheet'!H19</f>
        <v>0</v>
      </c>
      <c r="I33" s="2">
        <f>I11/'Output-Calculation-sheet'!I10*'Output-Calculation-sheet'!I19</f>
        <v>3172.2253818214758</v>
      </c>
      <c r="J33" s="2">
        <f>J11/'Output-Calculation-sheet'!J10*'Output-Calculation-sheet'!J19</f>
        <v>2682.3209802853762</v>
      </c>
      <c r="K33" s="2">
        <f>K11/'Output-Calculation-sheet'!K10*'Output-Calculation-sheet'!K19</f>
        <v>3722.1074342434686</v>
      </c>
      <c r="L33" s="2">
        <f>L11/'Output-Calculation-sheet'!L10*'Output-Calculation-sheet'!L19</f>
        <v>3026.960039781075</v>
      </c>
      <c r="M33" s="2">
        <f>M11/'Output-Calculation-sheet'!M10*'Output-Calculation-sheet'!M19</f>
        <v>0</v>
      </c>
      <c r="N33" s="2">
        <f>N11/'Output-Calculation-sheet'!N10*'Output-Calculation-sheet'!N19</f>
        <v>1711.6172807412895</v>
      </c>
      <c r="O33" s="2">
        <f>O11/'Output-Calculation-sheet'!O10*'Output-Calculation-sheet'!O19</f>
        <v>0</v>
      </c>
      <c r="P33" s="2">
        <f>P11/'Output-Calculation-sheet'!P10*'Output-Calculation-sheet'!P19</f>
        <v>3766.116138346048</v>
      </c>
      <c r="Q33" s="2">
        <f>Q11/'Output-Calculation-sheet'!Q10*'Output-Calculation-sheet'!Q19</f>
        <v>3101.3571016821465</v>
      </c>
      <c r="R33" s="2">
        <f>R11/'Output-Calculation-sheet'!R10*'Output-Calculation-sheet'!R19</f>
        <v>2688.9462200607318</v>
      </c>
      <c r="S33" s="2">
        <f>S11/'Output-Calculation-sheet'!S10*'Output-Calculation-sheet'!S19</f>
        <v>1253.4920486791673</v>
      </c>
      <c r="T33" s="2">
        <f>T11/'Output-Calculation-sheet'!T10*'Output-Calculation-sheet'!T19</f>
        <v>789.01477010085318</v>
      </c>
      <c r="U33" s="2">
        <f>U11/'Output-Calculation-sheet'!U10*'Output-Calculation-sheet'!U19</f>
        <v>908.08803188642094</v>
      </c>
      <c r="V33" s="2">
        <f>V11/'Output-Calculation-sheet'!V10*'Output-Calculation-sheet'!V19</f>
        <v>618.74157177142024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111.56995952625236</v>
      </c>
      <c r="Y33" s="2">
        <f>Y11/'Output-Calculation-sheet'!Y10*'Output-Calculation-sheet'!Y19</f>
        <v>347.25608321130557</v>
      </c>
      <c r="AA33" s="2">
        <f t="shared" si="1"/>
        <v>83.799715488791804</v>
      </c>
    </row>
    <row r="34" spans="1:27" x14ac:dyDescent="0.25">
      <c r="A34" s="2">
        <v>2035</v>
      </c>
      <c r="B34" s="2">
        <f>B12/'Output-Calculation-sheet'!B11*'Output-Calculation-sheet'!B20</f>
        <v>28022.174577901656</v>
      </c>
      <c r="C34" s="2">
        <f>C12/'Output-Calculation-sheet'!C11*'Output-Calculation-sheet'!C20</f>
        <v>0</v>
      </c>
      <c r="D34" s="2">
        <f>D12/'Output-Calculation-sheet'!D11*'Output-Calculation-sheet'!D20</f>
        <v>8794.2129615447266</v>
      </c>
      <c r="E34" s="2">
        <f>E12/'Output-Calculation-sheet'!E11*'Output-Calculation-sheet'!E20</f>
        <v>9608.9699199501429</v>
      </c>
      <c r="F34" s="2">
        <f>F12/'Output-Calculation-sheet'!F11*'Output-Calculation-sheet'!F20</f>
        <v>6054.1016289368263</v>
      </c>
      <c r="G34" s="2">
        <f>G12/'Output-Calculation-sheet'!G11*'Output-Calculation-sheet'!G20</f>
        <v>3235.1321674439901</v>
      </c>
      <c r="H34" s="2">
        <f>H12/'Output-Calculation-sheet'!H11*'Output-Calculation-sheet'!H20</f>
        <v>0</v>
      </c>
      <c r="I34" s="2">
        <f>I12/'Output-Calculation-sheet'!I11*'Output-Calculation-sheet'!I20</f>
        <v>3516.1481413400575</v>
      </c>
      <c r="J34" s="2">
        <f>J12/'Output-Calculation-sheet'!J11*'Output-Calculation-sheet'!J20</f>
        <v>3018.6162156181458</v>
      </c>
      <c r="K34" s="2">
        <f>K12/'Output-Calculation-sheet'!K11*'Output-Calculation-sheet'!K20</f>
        <v>3968.7453558106276</v>
      </c>
      <c r="L34" s="2">
        <f>L12/'Output-Calculation-sheet'!L11*'Output-Calculation-sheet'!L20</f>
        <v>3136.5630235293379</v>
      </c>
      <c r="M34" s="2">
        <f>M12/'Output-Calculation-sheet'!M11*'Output-Calculation-sheet'!M20</f>
        <v>0</v>
      </c>
      <c r="N34" s="2">
        <f>N12/'Output-Calculation-sheet'!N11*'Output-Calculation-sheet'!N20</f>
        <v>1745.497838412183</v>
      </c>
      <c r="O34" s="2">
        <f>O12/'Output-Calculation-sheet'!O11*'Output-Calculation-sheet'!O20</f>
        <v>0</v>
      </c>
      <c r="P34" s="2">
        <f>P12/'Output-Calculation-sheet'!P11*'Output-Calculation-sheet'!P20</f>
        <v>3900.8688261911675</v>
      </c>
      <c r="Q34" s="2">
        <f>Q12/'Output-Calculation-sheet'!Q11*'Output-Calculation-sheet'!Q20</f>
        <v>3086.642082613057</v>
      </c>
      <c r="R34" s="2">
        <f>R12/'Output-Calculation-sheet'!R11*'Output-Calculation-sheet'!R20</f>
        <v>3098.0629289372773</v>
      </c>
      <c r="S34" s="2">
        <f>S12/'Output-Calculation-sheet'!S11*'Output-Calculation-sheet'!S20</f>
        <v>1183.3848659726973</v>
      </c>
      <c r="T34" s="2">
        <f>T12/'Output-Calculation-sheet'!T11*'Output-Calculation-sheet'!T20</f>
        <v>973.315670800627</v>
      </c>
      <c r="U34" s="2">
        <f>U12/'Output-Calculation-sheet'!U11*'Output-Calculation-sheet'!U20</f>
        <v>887.99972398078773</v>
      </c>
      <c r="V34" s="2">
        <f>V12/'Output-Calculation-sheet'!V11*'Output-Calculation-sheet'!V20</f>
        <v>815.71876605215539</v>
      </c>
      <c r="W34" s="2">
        <f>W12/'Output-Calculation-sheet'!W11*'Output-Calculation-sheet'!W20</f>
        <v>524.80464844706478</v>
      </c>
      <c r="X34" s="2">
        <f>X12/'Output-Calculation-sheet'!X11*'Output-Calculation-sheet'!X20</f>
        <v>106.06499395823292</v>
      </c>
      <c r="Y34" s="2">
        <f>Y12/'Output-Calculation-sheet'!Y11*'Output-Calculation-sheet'!Y20</f>
        <v>294.17283144606688</v>
      </c>
      <c r="AA34" s="2">
        <f t="shared" si="1"/>
        <v>85.971197168886818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1.1654388691576341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0.67924025795087273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1.8446791271085068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2.4246822826624914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0.37319636056086858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0.25679561542073404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0.94210107608931459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0.22113063113598197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2.817111206448154E-2</v>
      </c>
      <c r="Y44" s="2">
        <f>Y11/'Output-Calculation-sheet'!Y10*'Output-Calculation-sheet'!Y37*0.0114</f>
        <v>0</v>
      </c>
      <c r="AA44" s="2">
        <f t="shared" si="2"/>
        <v>4.2460770779338723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2.4862163705344686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0.96600991182209639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2.8886044366178247E-2</v>
      </c>
      <c r="Y45" s="2">
        <f>Y12/'Output-Calculation-sheet'!Y11*'Output-Calculation-sheet'!Y38*0.0114</f>
        <v>2.7875568583892295E-2</v>
      </c>
      <c r="AA45" s="2">
        <f t="shared" si="2"/>
        <v>12.387112960813852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140.67677153125965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125.22351133625588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544.5292945908534</v>
      </c>
      <c r="S52" s="2">
        <f>S8/'Output-Calculation-sheet'!S7*'Output-Calculation-sheet'!S43</f>
        <v>0</v>
      </c>
      <c r="T52" s="2">
        <f>T8/'Output-Calculation-sheet'!T7*'Output-Calculation-sheet'!T43</f>
        <v>438.46459713901294</v>
      </c>
      <c r="U52" s="2">
        <f>U8/'Output-Calculation-sheet'!U7*'Output-Calculation-sheet'!U43</f>
        <v>46.375042074974303</v>
      </c>
      <c r="V52" s="2">
        <f>V8/'Output-Calculation-sheet'!V7*'Output-Calculation-sheet'!V43</f>
        <v>790.67925791647838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2.0859484745888346</v>
      </c>
    </row>
    <row r="53" spans="1:27" x14ac:dyDescent="0.25">
      <c r="A53" s="2">
        <v>2032</v>
      </c>
      <c r="B53" s="2">
        <f>B9/'Output-Calculation-sheet'!B8*'Output-Calculation-sheet'!B44</f>
        <v>1625.9025729105742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306.52166599515647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245.56539796067881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767.7216661026772</v>
      </c>
      <c r="S53" s="2">
        <f>S9/'Output-Calculation-sheet'!S8*'Output-Calculation-sheet'!S44</f>
        <v>0</v>
      </c>
      <c r="T53" s="2">
        <f>T9/'Output-Calculation-sheet'!T8*'Output-Calculation-sheet'!T44</f>
        <v>529.32871523280153</v>
      </c>
      <c r="U53" s="2">
        <f>U9/'Output-Calculation-sheet'!U8*'Output-Calculation-sheet'!U44</f>
        <v>89.819488732535362</v>
      </c>
      <c r="V53" s="2">
        <f>V9/'Output-Calculation-sheet'!V8*'Output-Calculation-sheet'!V44</f>
        <v>887.38057861669552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4.4522400855511197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63179.054485913846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0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820.46750556853772</v>
      </c>
      <c r="R54" s="2">
        <f>R10/'Output-Calculation-sheet'!R9*'Output-Calculation-sheet'!R45</f>
        <v>1368.4055071154478</v>
      </c>
      <c r="S54" s="2">
        <f>S10/'Output-Calculation-sheet'!S9*'Output-Calculation-sheet'!S45</f>
        <v>3269.6101934491953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493.81088787972323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142.1145554508449</v>
      </c>
    </row>
    <row r="55" spans="1:27" x14ac:dyDescent="0.25">
      <c r="A55" s="2">
        <v>2034</v>
      </c>
      <c r="B55" s="2">
        <f>B11/'Output-Calculation-sheet'!B10*'Output-Calculation-sheet'!B46</f>
        <v>81559.251778273698</v>
      </c>
      <c r="C55" s="2">
        <f>C11/'Output-Calculation-sheet'!C10*'Output-Calculation-sheet'!C46</f>
        <v>67104.145629825973</v>
      </c>
      <c r="D55" s="2">
        <f>D11/'Output-Calculation-sheet'!D10*'Output-Calculation-sheet'!D46</f>
        <v>7536.3505789754981</v>
      </c>
      <c r="E55" s="2">
        <f>E11/'Output-Calculation-sheet'!E10*'Output-Calculation-sheet'!E46</f>
        <v>9283.5522079417206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24192.290390744023</v>
      </c>
      <c r="I55" s="2">
        <f>I11/'Output-Calculation-sheet'!I10*'Output-Calculation-sheet'!I46</f>
        <v>1823.6944906846852</v>
      </c>
      <c r="J55" s="2">
        <f>J11/'Output-Calculation-sheet'!J10*'Output-Calculation-sheet'!J46</f>
        <v>1323.5631168841151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1306.4647429016645</v>
      </c>
      <c r="M55" s="2">
        <f>M11/'Output-Calculation-sheet'!M10*'Output-Calculation-sheet'!M46</f>
        <v>17097.181763538345</v>
      </c>
      <c r="N55" s="2">
        <f>N11/'Output-Calculation-sheet'!N10*'Output-Calculation-sheet'!N46</f>
        <v>13040.09233300073</v>
      </c>
      <c r="O55" s="2">
        <f>O11/'Output-Calculation-sheet'!O10*'Output-Calculation-sheet'!O46</f>
        <v>289.24155844847377</v>
      </c>
      <c r="P55" s="2">
        <f>P11/'Output-Calculation-sheet'!P10*'Output-Calculation-sheet'!P46</f>
        <v>4847.3121903148922</v>
      </c>
      <c r="Q55" s="2">
        <f>Q11/'Output-Calculation-sheet'!Q10*'Output-Calculation-sheet'!Q46</f>
        <v>2851.4212962271358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6408.9651167660168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1485.3512145190798</v>
      </c>
      <c r="V55" s="2">
        <f>V11/'Output-Calculation-sheet'!V10*'Output-Calculation-sheet'!V46</f>
        <v>601.30376265444147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1749.5743282151691</v>
      </c>
      <c r="Y55" s="2">
        <f>Y11/'Output-Calculation-sheet'!Y10*'Output-Calculation-sheet'!Y46</f>
        <v>455.4787999653845</v>
      </c>
      <c r="AA55" s="2">
        <f t="shared" si="3"/>
        <v>255.03049120234468</v>
      </c>
    </row>
    <row r="56" spans="1:27" x14ac:dyDescent="0.25">
      <c r="A56" s="2">
        <v>2035</v>
      </c>
      <c r="B56" s="2">
        <f>B12/'Output-Calculation-sheet'!B11*'Output-Calculation-sheet'!B47</f>
        <v>106374.35089177873</v>
      </c>
      <c r="C56" s="2">
        <f>C12/'Output-Calculation-sheet'!C11*'Output-Calculation-sheet'!C47</f>
        <v>69897.574276868167</v>
      </c>
      <c r="D56" s="2">
        <f>D12/'Output-Calculation-sheet'!D11*'Output-Calculation-sheet'!D47</f>
        <v>8500.3706049508583</v>
      </c>
      <c r="E56" s="2">
        <f>E12/'Output-Calculation-sheet'!E11*'Output-Calculation-sheet'!E47</f>
        <v>23874.647640045496</v>
      </c>
      <c r="F56" s="2">
        <f>F12/'Output-Calculation-sheet'!F11*'Output-Calculation-sheet'!F47</f>
        <v>2945.1655557383756</v>
      </c>
      <c r="G56" s="2">
        <f>G12/'Output-Calculation-sheet'!G11*'Output-Calculation-sheet'!G47</f>
        <v>6652.9430631640253</v>
      </c>
      <c r="H56" s="2">
        <f>H12/'Output-Calculation-sheet'!H11*'Output-Calculation-sheet'!H47</f>
        <v>25410.459041770784</v>
      </c>
      <c r="I56" s="2">
        <f>I12/'Output-Calculation-sheet'!I11*'Output-Calculation-sheet'!I47</f>
        <v>3365.9578551904042</v>
      </c>
      <c r="J56" s="2">
        <f>J12/'Output-Calculation-sheet'!J11*'Output-Calculation-sheet'!J47</f>
        <v>3053.5937439580289</v>
      </c>
      <c r="K56" s="2">
        <f>K12/'Output-Calculation-sheet'!K11*'Output-Calculation-sheet'!K47</f>
        <v>4410.9423237684114</v>
      </c>
      <c r="L56" s="2">
        <f>L12/'Output-Calculation-sheet'!L11*'Output-Calculation-sheet'!L47</f>
        <v>2435.6735909869367</v>
      </c>
      <c r="M56" s="2">
        <f>M12/'Output-Calculation-sheet'!M11*'Output-Calculation-sheet'!M47</f>
        <v>17715.858365649266</v>
      </c>
      <c r="N56" s="2">
        <f>N12/'Output-Calculation-sheet'!N11*'Output-Calculation-sheet'!N47</f>
        <v>13529.935124120966</v>
      </c>
      <c r="O56" s="2">
        <f>O12/'Output-Calculation-sheet'!O11*'Output-Calculation-sheet'!O47</f>
        <v>1271.065673450127</v>
      </c>
      <c r="P56" s="2">
        <f>P12/'Output-Calculation-sheet'!P11*'Output-Calculation-sheet'!P47</f>
        <v>7025.5695103574699</v>
      </c>
      <c r="Q56" s="2">
        <f>Q12/'Output-Calculation-sheet'!Q11*'Output-Calculation-sheet'!Q47</f>
        <v>3560.2555145226256</v>
      </c>
      <c r="R56" s="2">
        <f>R12/'Output-Calculation-sheet'!R11*'Output-Calculation-sheet'!R47</f>
        <v>5187.5019119776398</v>
      </c>
      <c r="S56" s="2">
        <f>S12/'Output-Calculation-sheet'!S11*'Output-Calculation-sheet'!S47</f>
        <v>6870.9143508058705</v>
      </c>
      <c r="T56" s="2">
        <f>T12/'Output-Calculation-sheet'!T11*'Output-Calculation-sheet'!T47</f>
        <v>1817.031054351148</v>
      </c>
      <c r="U56" s="2">
        <f>U12/'Output-Calculation-sheet'!U11*'Output-Calculation-sheet'!U47</f>
        <v>1738.811722795225</v>
      </c>
      <c r="V56" s="2">
        <f>V12/'Output-Calculation-sheet'!V11*'Output-Calculation-sheet'!V47</f>
        <v>1213.5540943912952</v>
      </c>
      <c r="W56" s="2">
        <f>W12/'Output-Calculation-sheet'!W11*'Output-Calculation-sheet'!W47</f>
        <v>690.67739190394798</v>
      </c>
      <c r="X56" s="2">
        <f>X12/'Output-Calculation-sheet'!X11*'Output-Calculation-sheet'!X47</f>
        <v>1829.4494765246222</v>
      </c>
      <c r="Y56" s="2">
        <f>Y12/'Output-Calculation-sheet'!Y11*'Output-Calculation-sheet'!Y47</f>
        <v>936.52129540620604</v>
      </c>
      <c r="AA56" s="2">
        <f t="shared" si="3"/>
        <v>320.30882407447655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6.792985138155017</v>
      </c>
      <c r="C63" s="2">
        <f>C8*'Output-Calculation-sheet'!C52/10^9</f>
        <v>3.4432063966741255</v>
      </c>
      <c r="D63" s="2">
        <f>D8*'Output-Calculation-sheet'!D52/10^9</f>
        <v>1.2028653884871421</v>
      </c>
      <c r="E63" s="2">
        <f>E8*'Output-Calculation-sheet'!E52/10^9</f>
        <v>1.5487958423289194</v>
      </c>
      <c r="F63" s="2">
        <f>F8*'Output-Calculation-sheet'!F52/10^9</f>
        <v>0.64422522594780529</v>
      </c>
      <c r="G63" s="2">
        <f>G8*'Output-Calculation-sheet'!G52/10^9</f>
        <v>0.46224692563617714</v>
      </c>
      <c r="H63" s="2">
        <f>H8*'Output-Calculation-sheet'!H52/10^9</f>
        <v>0.89292526778892822</v>
      </c>
      <c r="I63" s="2">
        <f>I8*'Output-Calculation-sheet'!I52/10^9</f>
        <v>0.4143747891076901</v>
      </c>
      <c r="J63" s="2">
        <f>J8*'Output-Calculation-sheet'!J52/10^9</f>
        <v>0.44546909293697301</v>
      </c>
      <c r="K63" s="2">
        <f>K8*'Output-Calculation-sheet'!K52/10^9</f>
        <v>0.4549015141286708</v>
      </c>
      <c r="L63" s="2">
        <f>L8*'Output-Calculation-sheet'!L52/10^9</f>
        <v>0.47310249206895705</v>
      </c>
      <c r="M63" s="2">
        <f>M8*'Output-Calculation-sheet'!M52/10^9</f>
        <v>0.67519541931073157</v>
      </c>
      <c r="N63" s="2">
        <f>N8*'Output-Calculation-sheet'!N52/10^9</f>
        <v>0.57046215478849938</v>
      </c>
      <c r="O63" s="2">
        <f>O8*'Output-Calculation-sheet'!O52/10^9</f>
        <v>0.59096313479999141</v>
      </c>
      <c r="P63" s="2">
        <f>P8*'Output-Calculation-sheet'!P52/10^9</f>
        <v>0.48977447034175015</v>
      </c>
      <c r="Q63" s="2">
        <f>Q8*'Output-Calculation-sheet'!Q52/10^9</f>
        <v>0.46332276711345133</v>
      </c>
      <c r="R63" s="2">
        <f>R8*'Output-Calculation-sheet'!R52/10^9</f>
        <v>0.39032233896994073</v>
      </c>
      <c r="S63" s="2">
        <f>S8*'Output-Calculation-sheet'!S52/10^9</f>
        <v>0.35887709900978615</v>
      </c>
      <c r="T63" s="2">
        <f>T8*'Output-Calculation-sheet'!T52/10^9</f>
        <v>0.12781343988450836</v>
      </c>
      <c r="U63" s="2">
        <f>U8*'Output-Calculation-sheet'!U52/10^9</f>
        <v>0.12537606561784209</v>
      </c>
      <c r="V63" s="2">
        <f>V8*'Output-Calculation-sheet'!V52/10^9</f>
        <v>0.1123703369462949</v>
      </c>
      <c r="W63" s="2">
        <f>W8*'Output-Calculation-sheet'!W52/10^9</f>
        <v>5.865918167704616E-2</v>
      </c>
      <c r="X63" s="2">
        <f>X8*'Output-Calculation-sheet'!X52/10^9</f>
        <v>9.4794499468844856E-2</v>
      </c>
      <c r="Y63" s="2">
        <f>Y8*'Output-Calculation-sheet'!Y52/10^9</f>
        <v>4.8893103861521424E-2</v>
      </c>
      <c r="AA63" s="2">
        <f t="shared" si="4"/>
        <v>20.881922085050611</v>
      </c>
    </row>
    <row r="64" spans="1:27" x14ac:dyDescent="0.25">
      <c r="A64" s="2">
        <v>2032</v>
      </c>
      <c r="B64" s="2">
        <f>B9*'Output-Calculation-sheet'!B53/10^9</f>
        <v>7.349651758872092</v>
      </c>
      <c r="C64" s="2">
        <f>C9*'Output-Calculation-sheet'!C53/10^9</f>
        <v>3.7220348895464017</v>
      </c>
      <c r="D64" s="2">
        <f>D9*'Output-Calculation-sheet'!D53/10^9</f>
        <v>1.3037762330259428</v>
      </c>
      <c r="E64" s="2">
        <f>E9*'Output-Calculation-sheet'!E53/10^9</f>
        <v>1.6789457331252295</v>
      </c>
      <c r="F64" s="2">
        <f>F9*'Output-Calculation-sheet'!F53/10^9</f>
        <v>0.69775519160841726</v>
      </c>
      <c r="G64" s="2">
        <f>G9*'Output-Calculation-sheet'!G53/10^9</f>
        <v>0.50091845865708695</v>
      </c>
      <c r="H64" s="2">
        <f>H9*'Output-Calculation-sheet'!H53/10^9</f>
        <v>0.96404570715987936</v>
      </c>
      <c r="I64" s="2">
        <f>I9*'Output-Calculation-sheet'!I53/10^9</f>
        <v>0.44909353637279537</v>
      </c>
      <c r="J64" s="2">
        <f>J9*'Output-Calculation-sheet'!J53/10^9</f>
        <v>0.48264343691716938</v>
      </c>
      <c r="K64" s="2">
        <f>K9*'Output-Calculation-sheet'!K53/10^9</f>
        <v>0.49315729007989528</v>
      </c>
      <c r="L64" s="2">
        <f>L9*'Output-Calculation-sheet'!L53/10^9</f>
        <v>0.51273079491075002</v>
      </c>
      <c r="M64" s="2">
        <f>M9*'Output-Calculation-sheet'!M53/10^9</f>
        <v>0.72915095045315659</v>
      </c>
      <c r="N64" s="2">
        <f>N9*'Output-Calculation-sheet'!N53/10^9</f>
        <v>0.6167271395553483</v>
      </c>
      <c r="O64" s="2">
        <f>O9*'Output-Calculation-sheet'!O53/10^9</f>
        <v>0.63901963994677069</v>
      </c>
      <c r="P64" s="2">
        <f>P9*'Output-Calculation-sheet'!P53/10^9</f>
        <v>0.53127344457756942</v>
      </c>
      <c r="Q64" s="2">
        <f>Q9*'Output-Calculation-sheet'!Q53/10^9</f>
        <v>0.5025043004634141</v>
      </c>
      <c r="R64" s="2">
        <f>R9*'Output-Calculation-sheet'!R53/10^9</f>
        <v>0.42264857728180072</v>
      </c>
      <c r="S64" s="2">
        <f>S9*'Output-Calculation-sheet'!S53/10^9</f>
        <v>0.38833101642344559</v>
      </c>
      <c r="T64" s="2">
        <f>T9*'Output-Calculation-sheet'!T53/10^9</f>
        <v>0.13809541587570373</v>
      </c>
      <c r="U64" s="2">
        <f>U9*'Output-Calculation-sheet'!U53/10^9</f>
        <v>0.13594845669119465</v>
      </c>
      <c r="V64" s="2">
        <f>V9*'Output-Calculation-sheet'!V53/10^9</f>
        <v>0.12100834187029896</v>
      </c>
      <c r="W64" s="2">
        <f>W9*'Output-Calculation-sheet'!W53/10^9</f>
        <v>6.3541665985154136E-2</v>
      </c>
      <c r="X64" s="2">
        <f>X9*'Output-Calculation-sheet'!X53/10^9</f>
        <v>0.10244230758460636</v>
      </c>
      <c r="Y64" s="2">
        <f>Y9*'Output-Calculation-sheet'!Y53/10^9</f>
        <v>5.3018045653627346E-2</v>
      </c>
      <c r="AA64" s="2">
        <f t="shared" si="4"/>
        <v>22.598462332637759</v>
      </c>
    </row>
    <row r="65" spans="1:27" x14ac:dyDescent="0.25">
      <c r="A65" s="2">
        <v>2033</v>
      </c>
      <c r="B65" s="2">
        <f>B10*'Output-Calculation-sheet'!B54/10^9</f>
        <v>7.8046034170531255</v>
      </c>
      <c r="C65" s="2">
        <f>C10*'Output-Calculation-sheet'!C54/10^9</f>
        <v>5.1293745805394622</v>
      </c>
      <c r="D65" s="2">
        <f>D10*'Output-Calculation-sheet'!D54/10^9</f>
        <v>1.3911410282036998</v>
      </c>
      <c r="E65" s="2">
        <f>E10*'Output-Calculation-sheet'!E54/10^9</f>
        <v>1.7716457056863555</v>
      </c>
      <c r="F65" s="2">
        <f>F10*'Output-Calculation-sheet'!F54/10^9</f>
        <v>0.76129144642778102</v>
      </c>
      <c r="G65" s="2">
        <f>G10*'Output-Calculation-sheet'!G54/10^9</f>
        <v>0.54200193235066296</v>
      </c>
      <c r="H65" s="2">
        <f>H10*'Output-Calculation-sheet'!H54/10^9</f>
        <v>1.2735549407548774</v>
      </c>
      <c r="I65" s="2">
        <f>I10*'Output-Calculation-sheet'!I54/10^9</f>
        <v>0.47522243796843783</v>
      </c>
      <c r="J65" s="2">
        <f>J10*'Output-Calculation-sheet'!J54/10^9</f>
        <v>0.56226359446789609</v>
      </c>
      <c r="K65" s="2">
        <f>K10*'Output-Calculation-sheet'!K54/10^9</f>
        <v>0.52613613552180805</v>
      </c>
      <c r="L65" s="2">
        <f>L10*'Output-Calculation-sheet'!L54/10^9</f>
        <v>0.54262076998934983</v>
      </c>
      <c r="M65" s="2">
        <f>M10*'Output-Calculation-sheet'!M54/10^9</f>
        <v>0.90557710216359677</v>
      </c>
      <c r="N65" s="2">
        <f>N10*'Output-Calculation-sheet'!N54/10^9</f>
        <v>0.77164495621131379</v>
      </c>
      <c r="O65" s="2">
        <f>O10*'Output-Calculation-sheet'!O54/10^9</f>
        <v>0.89785611061771664</v>
      </c>
      <c r="P65" s="2">
        <f>P10*'Output-Calculation-sheet'!P54/10^9</f>
        <v>0.56922132809874937</v>
      </c>
      <c r="Q65" s="2">
        <f>Q10*'Output-Calculation-sheet'!Q54/10^9</f>
        <v>0.56170484395625631</v>
      </c>
      <c r="R65" s="2">
        <f>R10*'Output-Calculation-sheet'!R54/10^9</f>
        <v>0.44529601286646003</v>
      </c>
      <c r="S65" s="2">
        <f>S10*'Output-Calculation-sheet'!S54/10^9</f>
        <v>0.44692369742608268</v>
      </c>
      <c r="T65" s="2">
        <f>T10*'Output-Calculation-sheet'!T54/10^9</f>
        <v>0.15079412381981128</v>
      </c>
      <c r="U65" s="2">
        <f>U10*'Output-Calculation-sheet'!U54/10^9</f>
        <v>0.14482780315139671</v>
      </c>
      <c r="V65" s="2">
        <f>V10*'Output-Calculation-sheet'!V54/10^9</f>
        <v>0.17064067675652408</v>
      </c>
      <c r="W65" s="2">
        <f>W10*'Output-Calculation-sheet'!W54/10^9</f>
        <v>7.2928468620673467E-2</v>
      </c>
      <c r="X65" s="2">
        <f>X10*'Output-Calculation-sheet'!X54/10^9</f>
        <v>0.11722989442935547</v>
      </c>
      <c r="Y65" s="2">
        <f>Y10*'Output-Calculation-sheet'!Y54/10^9</f>
        <v>5.6573852797422844E-2</v>
      </c>
      <c r="AA65" s="2">
        <f t="shared" si="4"/>
        <v>26.091074859878812</v>
      </c>
    </row>
    <row r="66" spans="1:27" x14ac:dyDescent="0.25">
      <c r="A66" s="2">
        <v>2034</v>
      </c>
      <c r="B66" s="2">
        <f>B11*'Output-Calculation-sheet'!B55/10^9</f>
        <v>8.3824883145636253</v>
      </c>
      <c r="C66" s="2">
        <f>C11*'Output-Calculation-sheet'!C55/10^9</f>
        <v>5.5709973560591868</v>
      </c>
      <c r="D66" s="2">
        <f>D11*'Output-Calculation-sheet'!D55/10^9</f>
        <v>1.5165312848489325</v>
      </c>
      <c r="E66" s="2">
        <f>E11*'Output-Calculation-sheet'!E55/10^9</f>
        <v>1.9641502556336476</v>
      </c>
      <c r="F66" s="2">
        <f>F11*'Output-Calculation-sheet'!F55/10^9</f>
        <v>0.77298866453279758</v>
      </c>
      <c r="G66" s="2">
        <f>G11*'Output-Calculation-sheet'!G55/10^9</f>
        <v>0.56392641010013611</v>
      </c>
      <c r="H66" s="2">
        <f>H11*'Output-Calculation-sheet'!H55/10^9</f>
        <v>1.407325767334342</v>
      </c>
      <c r="I66" s="2">
        <f>I11*'Output-Calculation-sheet'!I55/10^9</f>
        <v>0.52423460429095448</v>
      </c>
      <c r="J66" s="2">
        <f>J11*'Output-Calculation-sheet'!J55/10^9</f>
        <v>0.52782990349523917</v>
      </c>
      <c r="K66" s="2">
        <f>K11*'Output-Calculation-sheet'!K55/10^9</f>
        <v>0.60098178735865437</v>
      </c>
      <c r="L66" s="2">
        <f>L11*'Output-Calculation-sheet'!L55/10^9</f>
        <v>0.58264429068144263</v>
      </c>
      <c r="M66" s="2">
        <f>M11*'Output-Calculation-sheet'!M55/10^9</f>
        <v>0.98908532075497446</v>
      </c>
      <c r="N66" s="2">
        <f>N11*'Output-Calculation-sheet'!N55/10^9</f>
        <v>0.85983086586481006</v>
      </c>
      <c r="O66" s="2">
        <f>O11*'Output-Calculation-sheet'!O55/10^9</f>
        <v>0.98032374555934465</v>
      </c>
      <c r="P66" s="2">
        <f>P11*'Output-Calculation-sheet'!P55/10^9</f>
        <v>0.62862263852838884</v>
      </c>
      <c r="Q66" s="2">
        <f>Q11*'Output-Calculation-sheet'!Q55/10^9</f>
        <v>0.64660388137769398</v>
      </c>
      <c r="R66" s="2">
        <f>R11*'Output-Calculation-sheet'!R55/10^9</f>
        <v>0.47841019198406165</v>
      </c>
      <c r="S66" s="2">
        <f>S11*'Output-Calculation-sheet'!S55/10^9</f>
        <v>0.49661924221737613</v>
      </c>
      <c r="T66" s="2">
        <f>T11*'Output-Calculation-sheet'!T55/10^9</f>
        <v>0.14989548279448969</v>
      </c>
      <c r="U66" s="2">
        <f>U11*'Output-Calculation-sheet'!U55/10^9</f>
        <v>0.16314144028975489</v>
      </c>
      <c r="V66" s="2">
        <f>V11*'Output-Calculation-sheet'!V55/10^9</f>
        <v>0.1416650826962636</v>
      </c>
      <c r="W66" s="2">
        <f>W11*'Output-Calculation-sheet'!W55/10^9</f>
        <v>6.9402270944165637E-2</v>
      </c>
      <c r="X66" s="2">
        <f>X11*'Output-Calculation-sheet'!X55/10^9</f>
        <v>0.12969080413675646</v>
      </c>
      <c r="Y66" s="2">
        <f>Y11*'Output-Calculation-sheet'!Y55/10^9</f>
        <v>6.6591068657743363E-2</v>
      </c>
      <c r="AA66" s="2">
        <f t="shared" si="4"/>
        <v>28.213980674704786</v>
      </c>
    </row>
    <row r="67" spans="1:27" x14ac:dyDescent="0.25">
      <c r="A67" s="2">
        <v>2035</v>
      </c>
      <c r="B67" s="2">
        <f>B12*'Output-Calculation-sheet'!B56/10^9</f>
        <v>9.419236725953402</v>
      </c>
      <c r="C67" s="2">
        <f>C12*'Output-Calculation-sheet'!C56/10^9</f>
        <v>5.9522549592642848</v>
      </c>
      <c r="D67" s="2">
        <f>D12*'Output-Calculation-sheet'!D56/10^9</f>
        <v>1.8683020837987743</v>
      </c>
      <c r="E67" s="2">
        <f>E12*'Output-Calculation-sheet'!E56/10^9</f>
        <v>2.5550072461105873</v>
      </c>
      <c r="F67" s="2">
        <f>F12*'Output-Calculation-sheet'!F56/10^9</f>
        <v>1.0013930210794897</v>
      </c>
      <c r="G67" s="2">
        <f>G12*'Output-Calculation-sheet'!G56/10^9</f>
        <v>0.73885650547230652</v>
      </c>
      <c r="H67" s="2">
        <f>H12*'Output-Calculation-sheet'!H56/10^9</f>
        <v>1.5711086712700344</v>
      </c>
      <c r="I67" s="2">
        <f>I12*'Output-Calculation-sheet'!I56/10^9</f>
        <v>0.67697458039942837</v>
      </c>
      <c r="J67" s="2">
        <f>J12*'Output-Calculation-sheet'!J56/10^9</f>
        <v>0.6193165688693294</v>
      </c>
      <c r="K67" s="2">
        <f>K12*'Output-Calculation-sheet'!K56/10^9</f>
        <v>0.74201879169292673</v>
      </c>
      <c r="L67" s="2">
        <f>L12*'Output-Calculation-sheet'!L56/10^9</f>
        <v>0.69178405658265452</v>
      </c>
      <c r="M67" s="2">
        <f>M12*'Output-Calculation-sheet'!M56/10^9</f>
        <v>1.1116362975264467</v>
      </c>
      <c r="N67" s="2">
        <f>N12*'Output-Calculation-sheet'!N56/10^9</f>
        <v>0.94944045232747065</v>
      </c>
      <c r="O67" s="2">
        <f>O12*'Output-Calculation-sheet'!O56/10^9</f>
        <v>1.0501206409171915</v>
      </c>
      <c r="P67" s="2">
        <f>P12*'Output-Calculation-sheet'!P56/10^9</f>
        <v>0.77049263505028698</v>
      </c>
      <c r="Q67" s="2">
        <f>Q12*'Output-Calculation-sheet'!Q56/10^9</f>
        <v>0.72784605696901472</v>
      </c>
      <c r="R67" s="2">
        <f>R12*'Output-Calculation-sheet'!R56/10^9</f>
        <v>0.57153399850511999</v>
      </c>
      <c r="S67" s="2">
        <f>S12*'Output-Calculation-sheet'!S56/10^9</f>
        <v>0.55172464080645145</v>
      </c>
      <c r="T67" s="2">
        <f>T12*'Output-Calculation-sheet'!T56/10^9</f>
        <v>0.17772400858852824</v>
      </c>
      <c r="U67" s="2">
        <f>U12*'Output-Calculation-sheet'!U56/10^9</f>
        <v>0.19214506284788951</v>
      </c>
      <c r="V67" s="2">
        <f>V12*'Output-Calculation-sheet'!V56/10^9</f>
        <v>0.13716806317274022</v>
      </c>
      <c r="W67" s="2">
        <f>W12*'Output-Calculation-sheet'!W56/10^9</f>
        <v>9.3015527953456134E-2</v>
      </c>
      <c r="X67" s="2">
        <f>X12*'Output-Calculation-sheet'!X56/10^9</f>
        <v>0.14439376918648997</v>
      </c>
      <c r="Y67" s="2">
        <f>Y12*'Output-Calculation-sheet'!Y56/10^9</f>
        <v>8.6792934358563945E-2</v>
      </c>
      <c r="AA67" s="2">
        <f t="shared" si="4"/>
        <v>32.400287298702871</v>
      </c>
    </row>
    <row r="68" spans="1:27" x14ac:dyDescent="0.25">
      <c r="B68" s="2">
        <f>SUM(B60:B67)</f>
        <v>54.341202444431701</v>
      </c>
      <c r="C68" s="2">
        <f t="shared" ref="C68:Y68" si="5">SUM(C60:C67)</f>
        <v>31.202356962376346</v>
      </c>
      <c r="D68" s="2">
        <f t="shared" si="5"/>
        <v>9.8633925453300382</v>
      </c>
      <c r="E68" s="2">
        <f t="shared" si="5"/>
        <v>12.840279186360325</v>
      </c>
      <c r="F68" s="2">
        <f t="shared" si="5"/>
        <v>5.2625511743999285</v>
      </c>
      <c r="G68" s="2">
        <f t="shared" si="5"/>
        <v>3.7994288505101488</v>
      </c>
      <c r="H68" s="2">
        <f t="shared" si="5"/>
        <v>8.0287669848500141</v>
      </c>
      <c r="I68" s="2">
        <f t="shared" si="5"/>
        <v>3.4291559897500998</v>
      </c>
      <c r="J68" s="2">
        <f t="shared" si="5"/>
        <v>3.5938255328208935</v>
      </c>
      <c r="K68" s="2">
        <f t="shared" si="5"/>
        <v>3.7926606334004256</v>
      </c>
      <c r="L68" s="2">
        <f t="shared" si="5"/>
        <v>3.8182651295402135</v>
      </c>
      <c r="M68" s="2">
        <f t="shared" si="5"/>
        <v>5.8616684059175617</v>
      </c>
      <c r="N68" s="2">
        <f t="shared" si="5"/>
        <v>4.9926251599591787</v>
      </c>
      <c r="O68" s="2">
        <f t="shared" si="5"/>
        <v>5.4218313287489206</v>
      </c>
      <c r="P68" s="2">
        <f t="shared" si="5"/>
        <v>4.0379214323423103</v>
      </c>
      <c r="Q68" s="2">
        <f t="shared" si="5"/>
        <v>3.894326347751683</v>
      </c>
      <c r="R68" s="2">
        <f t="shared" si="5"/>
        <v>3.1462592302148433</v>
      </c>
      <c r="S68" s="2">
        <f t="shared" si="5"/>
        <v>3.0122528334119449</v>
      </c>
      <c r="T68" s="2">
        <f t="shared" si="5"/>
        <v>1.0209745992062507</v>
      </c>
      <c r="U68" s="2">
        <f t="shared" si="5"/>
        <v>1.029869411799291</v>
      </c>
      <c r="V68" s="2">
        <f t="shared" si="5"/>
        <v>0.92965642746441135</v>
      </c>
      <c r="W68" s="2">
        <f t="shared" si="5"/>
        <v>0.48360831269016558</v>
      </c>
      <c r="X68" s="2">
        <f t="shared" si="5"/>
        <v>0.79201318391661746</v>
      </c>
      <c r="Y68" s="2">
        <f t="shared" si="5"/>
        <v>0.41664511461497211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51.543969089053533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45.881894553604155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182.04895563571267</v>
      </c>
      <c r="S74" s="2">
        <f>S8/'Output-Calculation-sheet'!S7*'Output-Calculation-sheet'!S61</f>
        <v>0</v>
      </c>
      <c r="T74" s="2">
        <f>T8/'Output-Calculation-sheet'!T7*'Output-Calculation-sheet'!T61</f>
        <v>134.11091475195161</v>
      </c>
      <c r="U74" s="2">
        <f>U8/'Output-Calculation-sheet'!U7*'Output-Calculation-sheet'!U61</f>
        <v>16.988723746798922</v>
      </c>
      <c r="V74" s="2">
        <f>V8/'Output-Calculation-sheet'!V7*'Output-Calculation-sheet'!V61</f>
        <v>153.94008627495498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0.58451454405207592</v>
      </c>
    </row>
    <row r="75" spans="1:27" x14ac:dyDescent="0.25">
      <c r="A75" s="2">
        <v>2032</v>
      </c>
      <c r="B75" s="2">
        <f>B9/'Output-Calculation-sheet'!B8*'Output-Calculation-sheet'!B62</f>
        <v>553.61982607605057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112.27888625402582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89.958790786262014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238.02861293119824</v>
      </c>
      <c r="S75" s="2">
        <f>S9/'Output-Calculation-sheet'!S8*'Output-Calculation-sheet'!S62</f>
        <v>0</v>
      </c>
      <c r="T75" s="2">
        <f>T9/'Output-Calculation-sheet'!T8*'Output-Calculation-sheet'!T62</f>
        <v>157.22353888061116</v>
      </c>
      <c r="U75" s="2">
        <f>U9/'Output-Calculation-sheet'!U8*'Output-Calculation-sheet'!U62</f>
        <v>32.138535812110305</v>
      </c>
      <c r="V75" s="2">
        <f>V9/'Output-Calculation-sheet'!V8*'Output-Calculation-sheet'!V62</f>
        <v>168.42050513569947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1.3516686958759576</v>
      </c>
    </row>
    <row r="76" spans="1:27" x14ac:dyDescent="0.25">
      <c r="A76" s="2">
        <v>2033</v>
      </c>
      <c r="B76" s="2">
        <f>B10/'Output-Calculation-sheet'!B9*'Output-Calculation-sheet'!B63</f>
        <v>5547.2941537863881</v>
      </c>
      <c r="C76" s="2">
        <f>C10/'Output-Calculation-sheet'!C9*'Output-Calculation-sheet'!C63</f>
        <v>11330.110437807216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3612.4451309384463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2459.7087386433145</v>
      </c>
      <c r="N76" s="2">
        <f>N10/'Output-Calculation-sheet'!N9*'Output-Calculation-sheet'!N63</f>
        <v>1405.0945417367182</v>
      </c>
      <c r="O76" s="2">
        <f>O10/'Output-Calculation-sheet'!O9*'Output-Calculation-sheet'!O63</f>
        <v>0</v>
      </c>
      <c r="P76" s="2">
        <f>P10/'Output-Calculation-sheet'!P9*'Output-Calculation-sheet'!P63</f>
        <v>487.92051723229486</v>
      </c>
      <c r="Q76" s="2">
        <f>Q10/'Output-Calculation-sheet'!Q9*'Output-Calculation-sheet'!Q63</f>
        <v>220.0717613799973</v>
      </c>
      <c r="R76" s="2">
        <f>R10/'Output-Calculation-sheet'!R9*'Output-Calculation-sheet'!R63</f>
        <v>371.87344254177913</v>
      </c>
      <c r="S76" s="2">
        <f>S10/'Output-Calculation-sheet'!S9*'Output-Calculation-sheet'!S63</f>
        <v>624.81274793771308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131.4072419349331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289.64818193076326</v>
      </c>
      <c r="Y76" s="2">
        <f>Y10/'Output-Calculation-sheet'!Y9*'Output-Calculation-sheet'!Y63</f>
        <v>5.4949973780360022</v>
      </c>
      <c r="AA76" s="2">
        <f t="shared" si="6"/>
        <v>26.61594028395993</v>
      </c>
    </row>
    <row r="77" spans="1:27" x14ac:dyDescent="0.25">
      <c r="A77" s="2">
        <v>2034</v>
      </c>
      <c r="B77" s="2">
        <f>B11/'Output-Calculation-sheet'!B10*'Output-Calculation-sheet'!B64</f>
        <v>13967.694058664905</v>
      </c>
      <c r="C77" s="2">
        <f>C11/'Output-Calculation-sheet'!C10*'Output-Calculation-sheet'!C64</f>
        <v>12270.062153127878</v>
      </c>
      <c r="D77" s="2">
        <f>D11/'Output-Calculation-sheet'!D10*'Output-Calculation-sheet'!D64</f>
        <v>1721.5850853847153</v>
      </c>
      <c r="E77" s="2">
        <f>E11/'Output-Calculation-sheet'!E10*'Output-Calculation-sheet'!E64</f>
        <v>2127.2810680359362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909.00156353493583</v>
      </c>
      <c r="H77" s="2">
        <f>H11/'Output-Calculation-sheet'!H10*'Output-Calculation-sheet'!H64</f>
        <v>4503.628922375422</v>
      </c>
      <c r="I77" s="2">
        <f>I11/'Output-Calculation-sheet'!I10*'Output-Calculation-sheet'!I64</f>
        <v>536.25736498583171</v>
      </c>
      <c r="J77" s="2">
        <f>J11/'Output-Calculation-sheet'!J10*'Output-Calculation-sheet'!J64</f>
        <v>382.26909294007578</v>
      </c>
      <c r="K77" s="2">
        <f>K11/'Output-Calculation-sheet'!K10*'Output-Calculation-sheet'!K64</f>
        <v>810.4954958301995</v>
      </c>
      <c r="L77" s="2">
        <f>L11/'Output-Calculation-sheet'!L10*'Output-Calculation-sheet'!L64</f>
        <v>351.91409392887562</v>
      </c>
      <c r="M77" s="2">
        <f>M11/'Output-Calculation-sheet'!M10*'Output-Calculation-sheet'!M64</f>
        <v>3203.2099393371755</v>
      </c>
      <c r="N77" s="2">
        <f>N11/'Output-Calculation-sheet'!N10*'Output-Calculation-sheet'!N64</f>
        <v>2279.0052031693754</v>
      </c>
      <c r="O77" s="2">
        <f>O11/'Output-Calculation-sheet'!O10*'Output-Calculation-sheet'!O64</f>
        <v>79.458788128059297</v>
      </c>
      <c r="P77" s="2">
        <f>P11/'Output-Calculation-sheet'!P10*'Output-Calculation-sheet'!P64</f>
        <v>1005.8684114754701</v>
      </c>
      <c r="Q77" s="2">
        <f>Q11/'Output-Calculation-sheet'!Q10*'Output-Calculation-sheet'!Q64</f>
        <v>573.96976976436019</v>
      </c>
      <c r="R77" s="2">
        <f>R11/'Output-Calculation-sheet'!R10*'Output-Calculation-sheet'!R64</f>
        <v>860.7605662159126</v>
      </c>
      <c r="S77" s="2">
        <f>S11/'Output-Calculation-sheet'!S10*'Output-Calculation-sheet'!S64</f>
        <v>1150.885151710745</v>
      </c>
      <c r="T77" s="2">
        <f>T11/'Output-Calculation-sheet'!T10*'Output-Calculation-sheet'!T64</f>
        <v>236.80833491274208</v>
      </c>
      <c r="U77" s="2">
        <f>U11/'Output-Calculation-sheet'!U10*'Output-Calculation-sheet'!U64</f>
        <v>314.74592235659298</v>
      </c>
      <c r="V77" s="2">
        <f>V11/'Output-Calculation-sheet'!V10*'Output-Calculation-sheet'!V64</f>
        <v>125.46727955514223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325.48013265236773</v>
      </c>
      <c r="Y77" s="2">
        <f>Y11/'Output-Calculation-sheet'!Y10*'Output-Calculation-sheet'!Y64</f>
        <v>78.807371217047432</v>
      </c>
      <c r="AA77" s="2">
        <f t="shared" si="6"/>
        <v>47.973619325508579</v>
      </c>
    </row>
    <row r="78" spans="1:27" x14ac:dyDescent="0.25">
      <c r="A78" s="2">
        <v>2035</v>
      </c>
      <c r="B78" s="2">
        <f>B12/'Output-Calculation-sheet'!B11*'Output-Calculation-sheet'!B65</f>
        <v>18228.841789320752</v>
      </c>
      <c r="C78" s="2">
        <f>C12/'Output-Calculation-sheet'!C11*'Output-Calculation-sheet'!C65</f>
        <v>12872.821436752831</v>
      </c>
      <c r="D78" s="2">
        <f>D12/'Output-Calculation-sheet'!D11*'Output-Calculation-sheet'!D65</f>
        <v>1935.2832394339823</v>
      </c>
      <c r="E78" s="2">
        <f>E12/'Output-Calculation-sheet'!E11*'Output-Calculation-sheet'!E65</f>
        <v>3678.9219898839237</v>
      </c>
      <c r="F78" s="2">
        <f>F12/'Output-Calculation-sheet'!F11*'Output-Calculation-sheet'!F65</f>
        <v>779.26183720684242</v>
      </c>
      <c r="G78" s="2">
        <f>G12/'Output-Calculation-sheet'!G11*'Output-Calculation-sheet'!G65</f>
        <v>1462.1921426010185</v>
      </c>
      <c r="H78" s="2">
        <f>H12/'Output-Calculation-sheet'!H11*'Output-Calculation-sheet'!H65</f>
        <v>4707.681953463918</v>
      </c>
      <c r="I78" s="2">
        <f>I12/'Output-Calculation-sheet'!I11*'Output-Calculation-sheet'!I65</f>
        <v>859.81523434252665</v>
      </c>
      <c r="J78" s="2">
        <f>J12/'Output-Calculation-sheet'!J11*'Output-Calculation-sheet'!J65</f>
        <v>771.10953130253256</v>
      </c>
      <c r="K78" s="2">
        <f>K12/'Output-Calculation-sheet'!K11*'Output-Calculation-sheet'!K65</f>
        <v>973.10288709357565</v>
      </c>
      <c r="L78" s="2">
        <f>L12/'Output-Calculation-sheet'!L11*'Output-Calculation-sheet'!L65</f>
        <v>578.59426153894685</v>
      </c>
      <c r="M78" s="2">
        <f>M12/'Output-Calculation-sheet'!M11*'Output-Calculation-sheet'!M65</f>
        <v>3351.0689429771737</v>
      </c>
      <c r="N78" s="2">
        <f>N12/'Output-Calculation-sheet'!N11*'Output-Calculation-sheet'!N65</f>
        <v>2356.3426275394431</v>
      </c>
      <c r="O78" s="2">
        <f>O12/'Output-Calculation-sheet'!O11*'Output-Calculation-sheet'!O65</f>
        <v>330.32878410179711</v>
      </c>
      <c r="P78" s="2">
        <f>P12/'Output-Calculation-sheet'!P11*'Output-Calculation-sheet'!P65</f>
        <v>1339.5559012076808</v>
      </c>
      <c r="Q78" s="2">
        <f>Q12/'Output-Calculation-sheet'!Q11*'Output-Calculation-sheet'!Q65</f>
        <v>673.78332854730979</v>
      </c>
      <c r="R78" s="2">
        <f>R12/'Output-Calculation-sheet'!R11*'Output-Calculation-sheet'!R65</f>
        <v>1110.5987933681101</v>
      </c>
      <c r="S78" s="2">
        <f>S12/'Output-Calculation-sheet'!S11*'Output-Calculation-sheet'!S65</f>
        <v>1252.926847583884</v>
      </c>
      <c r="T78" s="2">
        <f>T12/'Output-Calculation-sheet'!T11*'Output-Calculation-sheet'!T65</f>
        <v>399.34547971633162</v>
      </c>
      <c r="U78" s="2">
        <f>U12/'Output-Calculation-sheet'!U11*'Output-Calculation-sheet'!U65</f>
        <v>342.16514769953631</v>
      </c>
      <c r="V78" s="2">
        <f>V12/'Output-Calculation-sheet'!V11*'Output-Calculation-sheet'!V65</f>
        <v>215.51839910998311</v>
      </c>
      <c r="W78" s="2">
        <f>W12/'Output-Calculation-sheet'!W11*'Output-Calculation-sheet'!W65</f>
        <v>151.79648397280386</v>
      </c>
      <c r="X78" s="2">
        <f>X12/'Output-Calculation-sheet'!X11*'Output-Calculation-sheet'!X65</f>
        <v>345.38587153201962</v>
      </c>
      <c r="Y78" s="2">
        <f>Y12/'Output-Calculation-sheet'!Y11*'Output-Calculation-sheet'!Y65</f>
        <v>148.16842792464504</v>
      </c>
      <c r="AA78" s="2">
        <f t="shared" si="6"/>
        <v>58.864611338221565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408.9259190026786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397.21652511746936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0.80614244412014791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850.76571321490928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32.736522856216538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22.525931177257373</v>
      </c>
      <c r="N88" s="2">
        <f>N11/'Output-Calculation-sheet'!N10*'Output-Calculation-sheet'!N73</f>
        <v>0</v>
      </c>
      <c r="O88" s="2">
        <f>O11/'Output-Calculation-sheet'!O10*'Output-Calculation-sheet'!O73</f>
        <v>475.18256030820686</v>
      </c>
      <c r="P88" s="2">
        <f>P11/'Output-Calculation-sheet'!P10*'Output-Calculation-sheet'!P73</f>
        <v>0</v>
      </c>
      <c r="Q88" s="2">
        <f>Q11/'Output-Calculation-sheet'!Q10*'Output-Calculation-sheet'!Q73</f>
        <v>19.397423783858066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2.4711501810948717</v>
      </c>
      <c r="Y88" s="2">
        <f>Y11/'Output-Calculation-sheet'!Y10*'Output-Calculation-sheet'!Y73</f>
        <v>0</v>
      </c>
      <c r="AA88" s="2">
        <f t="shared" si="7"/>
        <v>1.4030793015215428</v>
      </c>
    </row>
    <row r="89" spans="1:27" x14ac:dyDescent="0.25">
      <c r="A89" s="2">
        <v>2035</v>
      </c>
      <c r="B89" s="2">
        <f>B12/'Output-Calculation-sheet'!B11*'Output-Calculation-sheet'!B74</f>
        <v>459.50043581761867</v>
      </c>
      <c r="C89" s="2">
        <f>C12/'Output-Calculation-sheet'!C11*'Output-Calculation-sheet'!C74</f>
        <v>1417.5795095152671</v>
      </c>
      <c r="D89" s="2">
        <f>D12/'Output-Calculation-sheet'!D11*'Output-Calculation-sheet'!D74</f>
        <v>193.1902410216104</v>
      </c>
      <c r="E89" s="2">
        <f>E12/'Output-Calculation-sheet'!E11*'Output-Calculation-sheet'!E74</f>
        <v>153.53471151154659</v>
      </c>
      <c r="F89" s="2">
        <f>F12/'Output-Calculation-sheet'!F11*'Output-Calculation-sheet'!F74</f>
        <v>48.281402553088128</v>
      </c>
      <c r="G89" s="2">
        <f>G12/'Output-Calculation-sheet'!G11*'Output-Calculation-sheet'!G74</f>
        <v>69.30149024129193</v>
      </c>
      <c r="H89" s="2">
        <f>H12/'Output-Calculation-sheet'!H11*'Output-Calculation-sheet'!H74</f>
        <v>167.83658548065247</v>
      </c>
      <c r="I89" s="2">
        <f>I12/'Output-Calculation-sheet'!I11*'Output-Calculation-sheet'!I74</f>
        <v>62.332552873896375</v>
      </c>
      <c r="J89" s="2">
        <f>J12/'Output-Calculation-sheet'!J11*'Output-Calculation-sheet'!J74</f>
        <v>30.8443812521013</v>
      </c>
      <c r="K89" s="2">
        <f>K12/'Output-Calculation-sheet'!K11*'Output-Calculation-sheet'!K74</f>
        <v>61.263087830116824</v>
      </c>
      <c r="L89" s="2">
        <f>L12/'Output-Calculation-sheet'!L11*'Output-Calculation-sheet'!L74</f>
        <v>48.713471819738736</v>
      </c>
      <c r="M89" s="2">
        <f>M12/'Output-Calculation-sheet'!M11*'Output-Calculation-sheet'!M74</f>
        <v>92.390395648757575</v>
      </c>
      <c r="N89" s="2">
        <f>N12/'Output-Calculation-sheet'!N11*'Output-Calculation-sheet'!N74</f>
        <v>68.103700289199494</v>
      </c>
      <c r="O89" s="2">
        <f>O12/'Output-Calculation-sheet'!O11*'Output-Calculation-sheet'!O74</f>
        <v>550.79512516172167</v>
      </c>
      <c r="P89" s="2">
        <f>P12/'Output-Calculation-sheet'!P11*'Output-Calculation-sheet'!P74</f>
        <v>41.943698569298327</v>
      </c>
      <c r="Q89" s="2">
        <f>Q12/'Output-Calculation-sheet'!Q11*'Output-Calculation-sheet'!Q74</f>
        <v>59.669086835574731</v>
      </c>
      <c r="R89" s="2">
        <f>R12/'Output-Calculation-sheet'!R11*'Output-Calculation-sheet'!R74</f>
        <v>39.448683741274827</v>
      </c>
      <c r="S89" s="2">
        <f>S12/'Output-Calculation-sheet'!S11*'Output-Calculation-sheet'!S74</f>
        <v>39.039286084124264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12.692056370768066</v>
      </c>
      <c r="V89" s="2">
        <f>V12/'Output-Calculation-sheet'!V11*'Output-Calculation-sheet'!V74</f>
        <v>4.8933632838358676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15.203181245356971</v>
      </c>
      <c r="Y89" s="2">
        <f>Y12/'Output-Calculation-sheet'!Y11*'Output-Calculation-sheet'!Y74</f>
        <v>4.890450628753034</v>
      </c>
      <c r="AA89" s="2">
        <f t="shared" si="7"/>
        <v>3.6529814958597902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14915920529.86208</v>
      </c>
      <c r="C96" s="2">
        <f>C8/'Output-Calculation-sheet'!C7*'Output-Calculation-sheet'!C79</f>
        <v>1835991872.9086857</v>
      </c>
      <c r="D96" s="2">
        <f>D8/'Output-Calculation-sheet'!D7*'Output-Calculation-sheet'!D79</f>
        <v>6501809373.2883472</v>
      </c>
      <c r="E96" s="2">
        <f>E8/'Output-Calculation-sheet'!E7*'Output-Calculation-sheet'!E79</f>
        <v>11116624778.358572</v>
      </c>
      <c r="F96" s="2">
        <f>F8/'Output-Calculation-sheet'!F7*'Output-Calculation-sheet'!F79</f>
        <v>5002852164.2226648</v>
      </c>
      <c r="G96" s="2">
        <f>G8/'Output-Calculation-sheet'!G7*'Output-Calculation-sheet'!G79</f>
        <v>3799893427.7520504</v>
      </c>
      <c r="H96" s="2">
        <f>H8/'Output-Calculation-sheet'!H7*'Output-Calculation-sheet'!H79</f>
        <v>1105518613.2163897</v>
      </c>
      <c r="I96" s="2">
        <f>I8/'Output-Calculation-sheet'!I7*'Output-Calculation-sheet'!I79</f>
        <v>2548865470.1484404</v>
      </c>
      <c r="J96" s="2">
        <f>J8/'Output-Calculation-sheet'!J7*'Output-Calculation-sheet'!J79</f>
        <v>1888753484.4484048</v>
      </c>
      <c r="K96" s="2">
        <f>K8/'Output-Calculation-sheet'!K7*'Output-Calculation-sheet'!K79</f>
        <v>2183873855.4244294</v>
      </c>
      <c r="L96" s="2">
        <f>L8/'Output-Calculation-sheet'!L7*'Output-Calculation-sheet'!L79</f>
        <v>1737231524.8381712</v>
      </c>
      <c r="M96" s="2">
        <f>M8/'Output-Calculation-sheet'!M7*'Output-Calculation-sheet'!M79</f>
        <v>859442066.03004718</v>
      </c>
      <c r="N96" s="2">
        <f>N8/'Output-Calculation-sheet'!N7*'Output-Calculation-sheet'!N79</f>
        <v>872848690.3152535</v>
      </c>
      <c r="O96" s="2">
        <f>O8/'Output-Calculation-sheet'!O7*'Output-Calculation-sheet'!O79</f>
        <v>213062446.99136868</v>
      </c>
      <c r="P96" s="2">
        <f>P8/'Output-Calculation-sheet'!P7*'Output-Calculation-sheet'!P79</f>
        <v>2321477447.9106836</v>
      </c>
      <c r="Q96" s="2">
        <f>Q8/'Output-Calculation-sheet'!Q7*'Output-Calculation-sheet'!Q79</f>
        <v>1029416631.546663</v>
      </c>
      <c r="R96" s="2">
        <f>R8/'Output-Calculation-sheet'!R7*'Output-Calculation-sheet'!R79</f>
        <v>1566240660.7732382</v>
      </c>
      <c r="S96" s="2">
        <f>S8/'Output-Calculation-sheet'!S7*'Output-Calculation-sheet'!S79</f>
        <v>612199424.87117112</v>
      </c>
      <c r="T96" s="2">
        <f>T8/'Output-Calculation-sheet'!T7*'Output-Calculation-sheet'!T79</f>
        <v>829113444.92056489</v>
      </c>
      <c r="U96" s="2">
        <f>U8/'Output-Calculation-sheet'!U7*'Output-Calculation-sheet'!U79</f>
        <v>411797543.19746441</v>
      </c>
      <c r="V96" s="2">
        <f>V8/'Output-Calculation-sheet'!V7*'Output-Calculation-sheet'!V79</f>
        <v>303440885.97665614</v>
      </c>
      <c r="W96" s="2">
        <f>W8/'Output-Calculation-sheet'!W7*'Output-Calculation-sheet'!W79</f>
        <v>808379823.24023378</v>
      </c>
      <c r="X96" s="2">
        <f>X8/'Output-Calculation-sheet'!X7*'Output-Calculation-sheet'!X79</f>
        <v>95791249.355034545</v>
      </c>
      <c r="Y96" s="2">
        <f>Y8/'Output-Calculation-sheet'!Y7*'Output-Calculation-sheet'!Y79</f>
        <v>362790934.80464238</v>
      </c>
      <c r="AA96" s="2">
        <f t="shared" si="8"/>
        <v>62.92333634440125</v>
      </c>
    </row>
    <row r="97" spans="1:27" x14ac:dyDescent="0.25">
      <c r="A97" s="2">
        <v>2032</v>
      </c>
      <c r="B97" s="2">
        <f>B9/'Output-Calculation-sheet'!B8*'Output-Calculation-sheet'!B80</f>
        <v>16466184008.298494</v>
      </c>
      <c r="C97" s="2">
        <f>C9/'Output-Calculation-sheet'!C8*'Output-Calculation-sheet'!C80</f>
        <v>2068700208.4121685</v>
      </c>
      <c r="D97" s="2">
        <f>D9/'Output-Calculation-sheet'!D8*'Output-Calculation-sheet'!D80</f>
        <v>6813254918.9683046</v>
      </c>
      <c r="E97" s="2">
        <f>E9/'Output-Calculation-sheet'!E8*'Output-Calculation-sheet'!E80</f>
        <v>11995454166.132309</v>
      </c>
      <c r="F97" s="2">
        <f>F9/'Output-Calculation-sheet'!F8*'Output-Calculation-sheet'!F80</f>
        <v>5385888267.6901312</v>
      </c>
      <c r="G97" s="2">
        <f>G9/'Output-Calculation-sheet'!G8*'Output-Calculation-sheet'!G80</f>
        <v>3986531896.6498666</v>
      </c>
      <c r="H97" s="2">
        <f>H9/'Output-Calculation-sheet'!H8*'Output-Calculation-sheet'!H80</f>
        <v>1207944930.7846744</v>
      </c>
      <c r="I97" s="2">
        <f>I9/'Output-Calculation-sheet'!I8*'Output-Calculation-sheet'!I80</f>
        <v>2768930884.5669146</v>
      </c>
      <c r="J97" s="2">
        <f>J9/'Output-Calculation-sheet'!J8*'Output-Calculation-sheet'!J80</f>
        <v>1997945452.8992054</v>
      </c>
      <c r="K97" s="2">
        <f>K9/'Output-Calculation-sheet'!K8*'Output-Calculation-sheet'!K80</f>
        <v>2325667329.8306975</v>
      </c>
      <c r="L97" s="2">
        <f>L9/'Output-Calculation-sheet'!L8*'Output-Calculation-sheet'!L80</f>
        <v>1906914727.8729005</v>
      </c>
      <c r="M97" s="2">
        <f>M9/'Output-Calculation-sheet'!M8*'Output-Calculation-sheet'!M80</f>
        <v>938913983.73633718</v>
      </c>
      <c r="N97" s="2">
        <f>N9/'Output-Calculation-sheet'!N8*'Output-Calculation-sheet'!N80</f>
        <v>930582999.1639626</v>
      </c>
      <c r="O97" s="2">
        <f>O9/'Output-Calculation-sheet'!O8*'Output-Calculation-sheet'!O80</f>
        <v>242864651.61880615</v>
      </c>
      <c r="P97" s="2">
        <f>P9/'Output-Calculation-sheet'!P8*'Output-Calculation-sheet'!P80</f>
        <v>2469806279.0773573</v>
      </c>
      <c r="Q97" s="2">
        <f>Q9/'Output-Calculation-sheet'!Q8*'Output-Calculation-sheet'!Q80</f>
        <v>1098216002.9676902</v>
      </c>
      <c r="R97" s="2">
        <f>R9/'Output-Calculation-sheet'!R8*'Output-Calculation-sheet'!R80</f>
        <v>1708985767.9346836</v>
      </c>
      <c r="S97" s="2">
        <f>S9/'Output-Calculation-sheet'!S8*'Output-Calculation-sheet'!S80</f>
        <v>659102135.8544234</v>
      </c>
      <c r="T97" s="2">
        <f>T9/'Output-Calculation-sheet'!T8*'Output-Calculation-sheet'!T80</f>
        <v>881286478.74214923</v>
      </c>
      <c r="U97" s="2">
        <f>U9/'Output-Calculation-sheet'!U8*'Output-Calculation-sheet'!U80</f>
        <v>447271469.59392482</v>
      </c>
      <c r="V97" s="2">
        <f>V9/'Output-Calculation-sheet'!V8*'Output-Calculation-sheet'!V80</f>
        <v>329473413.97857571</v>
      </c>
      <c r="W97" s="2">
        <f>W9/'Output-Calculation-sheet'!W8*'Output-Calculation-sheet'!W80</f>
        <v>861623976.12738895</v>
      </c>
      <c r="X97" s="2">
        <f>X9/'Output-Calculation-sheet'!X8*'Output-Calculation-sheet'!X80</f>
        <v>105515070.47404641</v>
      </c>
      <c r="Y97" s="2">
        <f>Y9/'Output-Calculation-sheet'!Y8*'Output-Calculation-sheet'!Y80</f>
        <v>386908172.39587891</v>
      </c>
      <c r="AA97" s="2">
        <f t="shared" si="8"/>
        <v>67.983967193770894</v>
      </c>
    </row>
    <row r="98" spans="1:27" x14ac:dyDescent="0.25">
      <c r="A98" s="2">
        <v>2033</v>
      </c>
      <c r="B98" s="2">
        <f>B10/'Output-Calculation-sheet'!B9*'Output-Calculation-sheet'!B81</f>
        <v>20211663392.664005</v>
      </c>
      <c r="C98" s="2">
        <f>C10/'Output-Calculation-sheet'!C9*'Output-Calculation-sheet'!C81</f>
        <v>6929560481.1988306</v>
      </c>
      <c r="D98" s="2">
        <f>D10/'Output-Calculation-sheet'!D9*'Output-Calculation-sheet'!D81</f>
        <v>6594831003.8937397</v>
      </c>
      <c r="E98" s="2">
        <f>E10/'Output-Calculation-sheet'!E9*'Output-Calculation-sheet'!E81</f>
        <v>12405292063.284777</v>
      </c>
      <c r="F98" s="2">
        <f>F10/'Output-Calculation-sheet'!F9*'Output-Calculation-sheet'!F81</f>
        <v>5116242296.2392035</v>
      </c>
      <c r="G98" s="2">
        <f>G10/'Output-Calculation-sheet'!G9*'Output-Calculation-sheet'!G81</f>
        <v>3756501631.0482745</v>
      </c>
      <c r="H98" s="2">
        <f>H10/'Output-Calculation-sheet'!H9*'Output-Calculation-sheet'!H81</f>
        <v>3403421169.2719846</v>
      </c>
      <c r="I98" s="2">
        <f>I10/'Output-Calculation-sheet'!I9*'Output-Calculation-sheet'!I81</f>
        <v>2829247770.2067966</v>
      </c>
      <c r="J98" s="2">
        <f>J10/'Output-Calculation-sheet'!J9*'Output-Calculation-sheet'!J81</f>
        <v>1809092334.4977603</v>
      </c>
      <c r="K98" s="2">
        <f>K10/'Output-Calculation-sheet'!K9*'Output-Calculation-sheet'!K81</f>
        <v>2627778358.7570477</v>
      </c>
      <c r="L98" s="2">
        <f>L10/'Output-Calculation-sheet'!L9*'Output-Calculation-sheet'!L81</f>
        <v>1970873103.9137509</v>
      </c>
      <c r="M98" s="2">
        <f>M10/'Output-Calculation-sheet'!M9*'Output-Calculation-sheet'!M81</f>
        <v>2555826401.2533917</v>
      </c>
      <c r="N98" s="2">
        <f>N10/'Output-Calculation-sheet'!N9*'Output-Calculation-sheet'!N81</f>
        <v>1833606024.0712636</v>
      </c>
      <c r="O98" s="2">
        <f>O10/'Output-Calculation-sheet'!O9*'Output-Calculation-sheet'!O81</f>
        <v>970997980.34054208</v>
      </c>
      <c r="P98" s="2">
        <f>P10/'Output-Calculation-sheet'!P9*'Output-Calculation-sheet'!P81</f>
        <v>3103027814.5869765</v>
      </c>
      <c r="Q98" s="2">
        <f>Q10/'Output-Calculation-sheet'!Q9*'Output-Calculation-sheet'!Q81</f>
        <v>1458965014.8361304</v>
      </c>
      <c r="R98" s="2">
        <f>R10/'Output-Calculation-sheet'!R9*'Output-Calculation-sheet'!R81</f>
        <v>1866236978.1939414</v>
      </c>
      <c r="S98" s="2">
        <f>S10/'Output-Calculation-sheet'!S9*'Output-Calculation-sheet'!S81</f>
        <v>1079017235.9812472</v>
      </c>
      <c r="T98" s="2">
        <f>T10/'Output-Calculation-sheet'!T9*'Output-Calculation-sheet'!T81</f>
        <v>800675179.43263888</v>
      </c>
      <c r="U98" s="2">
        <f>U10/'Output-Calculation-sheet'!U9*'Output-Calculation-sheet'!U81</f>
        <v>520971200.65656036</v>
      </c>
      <c r="V98" s="2">
        <f>V10/'Output-Calculation-sheet'!V9*'Output-Calculation-sheet'!V81</f>
        <v>275915120.90101856</v>
      </c>
      <c r="W98" s="2">
        <f>W10/'Output-Calculation-sheet'!W9*'Output-Calculation-sheet'!W81</f>
        <v>782314558.55634272</v>
      </c>
      <c r="X98" s="2">
        <f>X10/'Output-Calculation-sheet'!X9*'Output-Calculation-sheet'!X81</f>
        <v>287476931.13493359</v>
      </c>
      <c r="Y98" s="2">
        <f>Y10/'Output-Calculation-sheet'!Y9*'Output-Calculation-sheet'!Y81</f>
        <v>430164992.07473463</v>
      </c>
      <c r="AA98" s="2">
        <f t="shared" si="8"/>
        <v>83.619699036995868</v>
      </c>
    </row>
    <row r="99" spans="1:27" x14ac:dyDescent="0.25">
      <c r="A99" s="2">
        <v>2034</v>
      </c>
      <c r="B99" s="2">
        <f>B11/'Output-Calculation-sheet'!B10*'Output-Calculation-sheet'!B82</f>
        <v>24520923485.465092</v>
      </c>
      <c r="C99" s="2">
        <f>C11/'Output-Calculation-sheet'!C10*'Output-Calculation-sheet'!C82</f>
        <v>8460724641.5795927</v>
      </c>
      <c r="D99" s="2">
        <f>D11/'Output-Calculation-sheet'!D10*'Output-Calculation-sheet'!D82</f>
        <v>7696879556.5267878</v>
      </c>
      <c r="E99" s="2">
        <f>E11/'Output-Calculation-sheet'!E10*'Output-Calculation-sheet'!E82</f>
        <v>14888938570.889977</v>
      </c>
      <c r="F99" s="2">
        <f>F11/'Output-Calculation-sheet'!F10*'Output-Calculation-sheet'!F82</f>
        <v>6131990873.0910082</v>
      </c>
      <c r="G99" s="2">
        <f>G11/'Output-Calculation-sheet'!G10*'Output-Calculation-sheet'!G82</f>
        <v>4359409156.4885168</v>
      </c>
      <c r="H99" s="2">
        <f>H11/'Output-Calculation-sheet'!H10*'Output-Calculation-sheet'!H82</f>
        <v>4074659347.8244171</v>
      </c>
      <c r="I99" s="2">
        <f>I11/'Output-Calculation-sheet'!I10*'Output-Calculation-sheet'!I82</f>
        <v>3422430186.9617786</v>
      </c>
      <c r="J99" s="2">
        <f>J11/'Output-Calculation-sheet'!J10*'Output-Calculation-sheet'!J82</f>
        <v>2129776996.4071553</v>
      </c>
      <c r="K99" s="2">
        <f>K11/'Output-Calculation-sheet'!K10*'Output-Calculation-sheet'!K82</f>
        <v>3116143229.6207824</v>
      </c>
      <c r="L99" s="2">
        <f>L11/'Output-Calculation-sheet'!L10*'Output-Calculation-sheet'!L82</f>
        <v>2405890454.9100399</v>
      </c>
      <c r="M99" s="2">
        <f>M11/'Output-Calculation-sheet'!M10*'Output-Calculation-sheet'!M82</f>
        <v>3069365361.4681478</v>
      </c>
      <c r="N99" s="2">
        <f>N11/'Output-Calculation-sheet'!N10*'Output-Calculation-sheet'!N82</f>
        <v>2162370765.0916314</v>
      </c>
      <c r="O99" s="2">
        <f>O11/'Output-Calculation-sheet'!O10*'Output-Calculation-sheet'!O82</f>
        <v>1172329712.373112</v>
      </c>
      <c r="P99" s="2">
        <f>P11/'Output-Calculation-sheet'!P10*'Output-Calculation-sheet'!P82</f>
        <v>3654417294.1900702</v>
      </c>
      <c r="Q99" s="2">
        <f>Q11/'Output-Calculation-sheet'!Q10*'Output-Calculation-sheet'!Q82</f>
        <v>1729499909.16818</v>
      </c>
      <c r="R99" s="2">
        <f>R11/'Output-Calculation-sheet'!R10*'Output-Calculation-sheet'!R82</f>
        <v>2238829634.1629229</v>
      </c>
      <c r="S99" s="2">
        <f>S11/'Output-Calculation-sheet'!S10*'Output-Calculation-sheet'!S82</f>
        <v>1289628459.121701</v>
      </c>
      <c r="T99" s="2">
        <f>T11/'Output-Calculation-sheet'!T10*'Output-Calculation-sheet'!T82</f>
        <v>942567628.32508421</v>
      </c>
      <c r="U99" s="2">
        <f>U11/'Output-Calculation-sheet'!U10*'Output-Calculation-sheet'!U82</f>
        <v>624187284.1883347</v>
      </c>
      <c r="V99" s="2">
        <f>V11/'Output-Calculation-sheet'!V10*'Output-Calculation-sheet'!V82</f>
        <v>333745158.85263723</v>
      </c>
      <c r="W99" s="2">
        <f>W11/'Output-Calculation-sheet'!W10*'Output-Calculation-sheet'!W82</f>
        <v>925487010.52144742</v>
      </c>
      <c r="X99" s="2">
        <f>X11/'Output-Calculation-sheet'!X10*'Output-Calculation-sheet'!X82</f>
        <v>348563887.83902925</v>
      </c>
      <c r="Y99" s="2">
        <f>Y11/'Output-Calculation-sheet'!Y10*'Output-Calculation-sheet'!Y82</f>
        <v>509311386.2391991</v>
      </c>
      <c r="AA99" s="2">
        <f t="shared" si="8"/>
        <v>100.20806999130664</v>
      </c>
    </row>
    <row r="100" spans="1:27" x14ac:dyDescent="0.25">
      <c r="A100" s="2">
        <v>2035</v>
      </c>
      <c r="B100" s="2">
        <f>B12/'Output-Calculation-sheet'!B11*'Output-Calculation-sheet'!B83</f>
        <v>28727875347.230354</v>
      </c>
      <c r="C100" s="2">
        <f>C12/'Output-Calculation-sheet'!C11*'Output-Calculation-sheet'!C83</f>
        <v>9973851711.7701321</v>
      </c>
      <c r="D100" s="2">
        <f>D12/'Output-Calculation-sheet'!D11*'Output-Calculation-sheet'!D83</f>
        <v>8680959046.5506287</v>
      </c>
      <c r="E100" s="2">
        <f>E12/'Output-Calculation-sheet'!E11*'Output-Calculation-sheet'!E83</f>
        <v>17264187605.709129</v>
      </c>
      <c r="F100" s="2">
        <f>F12/'Output-Calculation-sheet'!F11*'Output-Calculation-sheet'!F83</f>
        <v>7101798408.0583286</v>
      </c>
      <c r="G100" s="2">
        <f>G12/'Output-Calculation-sheet'!G11*'Output-Calculation-sheet'!G83</f>
        <v>4880318360.1016521</v>
      </c>
      <c r="H100" s="2">
        <f>H12/'Output-Calculation-sheet'!H11*'Output-Calculation-sheet'!H83</f>
        <v>4714022819.6633768</v>
      </c>
      <c r="I100" s="2">
        <f>I12/'Output-Calculation-sheet'!I11*'Output-Calculation-sheet'!I83</f>
        <v>3999755252.8121824</v>
      </c>
      <c r="J100" s="2">
        <f>J12/'Output-Calculation-sheet'!J11*'Output-Calculation-sheet'!J83</f>
        <v>2424023834.6765761</v>
      </c>
      <c r="K100" s="2">
        <f>K12/'Output-Calculation-sheet'!K11*'Output-Calculation-sheet'!K83</f>
        <v>3571619641.5694618</v>
      </c>
      <c r="L100" s="2">
        <f>L12/'Output-Calculation-sheet'!L11*'Output-Calculation-sheet'!L83</f>
        <v>2835662343.7724028</v>
      </c>
      <c r="M100" s="2">
        <f>M12/'Output-Calculation-sheet'!M11*'Output-Calculation-sheet'!M83</f>
        <v>3562220262.9527354</v>
      </c>
      <c r="N100" s="2">
        <f>N12/'Output-Calculation-sheet'!N11*'Output-Calculation-sheet'!N83</f>
        <v>2464775069.0165634</v>
      </c>
      <c r="O100" s="2">
        <f>O12/'Output-Calculation-sheet'!O11*'Output-Calculation-sheet'!O83</f>
        <v>1368106665.1996291</v>
      </c>
      <c r="P100" s="2">
        <f>P12/'Output-Calculation-sheet'!P11*'Output-Calculation-sheet'!P83</f>
        <v>4155037153.5964732</v>
      </c>
      <c r="Q100" s="2">
        <f>Q12/'Output-Calculation-sheet'!Q11*'Output-Calculation-sheet'!Q83</f>
        <v>1981971769.5787044</v>
      </c>
      <c r="R100" s="2">
        <f>R12/'Output-Calculation-sheet'!R11*'Output-Calculation-sheet'!R83</f>
        <v>2595281564.9179811</v>
      </c>
      <c r="S100" s="2">
        <f>S12/'Output-Calculation-sheet'!S11*'Output-Calculation-sheet'!S83</f>
        <v>1489558274.9446588</v>
      </c>
      <c r="T100" s="2">
        <f>T12/'Output-Calculation-sheet'!T11*'Output-Calculation-sheet'!T83</f>
        <v>1071965862.4249518</v>
      </c>
      <c r="U100" s="2">
        <f>U12/'Output-Calculation-sheet'!U11*'Output-Calculation-sheet'!U83</f>
        <v>722383618.80990934</v>
      </c>
      <c r="V100" s="2">
        <f>V12/'Output-Calculation-sheet'!V11*'Output-Calculation-sheet'!V83</f>
        <v>389767933.89487672</v>
      </c>
      <c r="W100" s="2">
        <f>W12/'Output-Calculation-sheet'!W11*'Output-Calculation-sheet'!W83</f>
        <v>1055977088.2104073</v>
      </c>
      <c r="X100" s="2">
        <f>X12/'Output-Calculation-sheet'!X11*'Output-Calculation-sheet'!X83</f>
        <v>408250772.59521663</v>
      </c>
      <c r="Y100" s="2">
        <f>Y12/'Output-Calculation-sheet'!Y11*'Output-Calculation-sheet'!Y83</f>
        <v>581906406.54925466</v>
      </c>
      <c r="AA100" s="2">
        <f t="shared" si="8"/>
        <v>116.02127681460557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4847.7085051896693</v>
      </c>
      <c r="C19" s="2">
        <f>C8/'Output-Calculation-sheet'!C7*'Output-Calculation-sheet'!C25</f>
        <v>6463.7442454328138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2355.1722435412671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1723.8758634909479</v>
      </c>
      <c r="N19" s="2">
        <f>N8/'Output-Calculation-sheet'!N7*'Output-Calculation-sheet'!N25</f>
        <v>898.08240185538762</v>
      </c>
      <c r="O19" s="2">
        <f>O8/'Output-Calculation-sheet'!O7*'Output-Calculation-sheet'!O25</f>
        <v>979.3823764354463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391.51051439058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199.26873774566951</v>
      </c>
      <c r="Y19" s="2">
        <f>Y8/'Output-Calculation-sheet'!Y7*'Output-Calculation-sheet'!Y25</f>
        <v>0</v>
      </c>
      <c r="AA19" s="2">
        <f t="shared" si="0"/>
        <v>17.85874488808178</v>
      </c>
    </row>
    <row r="20" spans="1:27" x14ac:dyDescent="0.25">
      <c r="A20" s="2">
        <v>2032</v>
      </c>
      <c r="B20" s="2">
        <f>B9/'Output-Calculation-sheet'!B8*'Output-Calculation-sheet'!B26</f>
        <v>5807.1940142138064</v>
      </c>
      <c r="C20" s="2">
        <f>C9/'Output-Calculation-sheet'!C8*'Output-Calculation-sheet'!C26</f>
        <v>6693.2462264115184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2409.5970639113957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1759.5563176872133</v>
      </c>
      <c r="N20" s="2">
        <f>N9/'Output-Calculation-sheet'!N8*'Output-Calculation-sheet'!N26</f>
        <v>1000.8567088288353</v>
      </c>
      <c r="O20" s="2">
        <f>O9/'Output-Calculation-sheet'!O8*'Output-Calculation-sheet'!O26</f>
        <v>1035.3891950322607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452.43045501684514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203.25159710907707</v>
      </c>
      <c r="Y20" s="2">
        <f>Y9/'Output-Calculation-sheet'!Y8*'Output-Calculation-sheet'!Y26</f>
        <v>0</v>
      </c>
      <c r="AA20" s="2">
        <f t="shared" si="0"/>
        <v>19.361521578210951</v>
      </c>
    </row>
    <row r="21" spans="1:27" x14ac:dyDescent="0.25">
      <c r="A21" s="2">
        <v>2033</v>
      </c>
      <c r="B21" s="2">
        <f>B10/'Output-Calculation-sheet'!B9*'Output-Calculation-sheet'!B27</f>
        <v>10992.254535435903</v>
      </c>
      <c r="C21" s="2">
        <f>C10/'Output-Calculation-sheet'!C9*'Output-Calculation-sheet'!C27</f>
        <v>18877.359601498763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6362.5172335183479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4419.1642940850697</v>
      </c>
      <c r="N21" s="2">
        <f>N10/'Output-Calculation-sheet'!N9*'Output-Calculation-sheet'!N27</f>
        <v>2418.078173646883</v>
      </c>
      <c r="O21" s="2">
        <f>O10/'Output-Calculation-sheet'!O9*'Output-Calculation-sheet'!O27</f>
        <v>1883.4711155338193</v>
      </c>
      <c r="P21" s="2">
        <f>P10/'Output-Calculation-sheet'!P9*'Output-Calculation-sheet'!P27</f>
        <v>0</v>
      </c>
      <c r="Q21" s="2">
        <f>Q10/'Output-Calculation-sheet'!Q9*'Output-Calculation-sheet'!Q27</f>
        <v>164.92894349867063</v>
      </c>
      <c r="R21" s="2">
        <f>R10/'Output-Calculation-sheet'!R9*'Output-Calculation-sheet'!R27</f>
        <v>0</v>
      </c>
      <c r="S21" s="2">
        <f>S10/'Output-Calculation-sheet'!S9*'Output-Calculation-sheet'!S27</f>
        <v>1050.2629605957713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519.65586167628589</v>
      </c>
      <c r="Y21" s="2">
        <f>Y10/'Output-Calculation-sheet'!Y9*'Output-Calculation-sheet'!Y27</f>
        <v>0</v>
      </c>
      <c r="AA21" s="2">
        <f t="shared" si="0"/>
        <v>46.687692719489519</v>
      </c>
    </row>
    <row r="22" spans="1:27" x14ac:dyDescent="0.25">
      <c r="A22" s="2">
        <v>2034</v>
      </c>
      <c r="B22" s="2">
        <f>B11/'Output-Calculation-sheet'!B10*'Output-Calculation-sheet'!B28</f>
        <v>17601.49455857676</v>
      </c>
      <c r="C22" s="2">
        <f>C11/'Output-Calculation-sheet'!C10*'Output-Calculation-sheet'!C28</f>
        <v>16886.423954466656</v>
      </c>
      <c r="D22" s="2">
        <f>D11/'Output-Calculation-sheet'!D10*'Output-Calculation-sheet'!D28</f>
        <v>0</v>
      </c>
      <c r="E22" s="2">
        <f>E11/'Output-Calculation-sheet'!E10*'Output-Calculation-sheet'!E28</f>
        <v>901.8735913877432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6443.8274228204236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537.78365456261781</v>
      </c>
      <c r="M22" s="2">
        <f>M11/'Output-Calculation-sheet'!M10*'Output-Calculation-sheet'!M28</f>
        <v>4698.11662463635</v>
      </c>
      <c r="N22" s="2">
        <f>N11/'Output-Calculation-sheet'!N10*'Output-Calculation-sheet'!N28</f>
        <v>2803.7804815188229</v>
      </c>
      <c r="O22" s="2">
        <f>O11/'Output-Calculation-sheet'!O10*'Output-Calculation-sheet'!O28</f>
        <v>1732.9198906402401</v>
      </c>
      <c r="P22" s="2">
        <f>P11/'Output-Calculation-sheet'!P10*'Output-Calculation-sheet'!P28</f>
        <v>0</v>
      </c>
      <c r="Q22" s="2">
        <f>Q11/'Output-Calculation-sheet'!Q10*'Output-Calculation-sheet'!Q28</f>
        <v>636.93117315647771</v>
      </c>
      <c r="R22" s="2">
        <f>R11/'Output-Calculation-sheet'!R10*'Output-Calculation-sheet'!R28</f>
        <v>0</v>
      </c>
      <c r="S22" s="2">
        <f>S11/'Output-Calculation-sheet'!S10*'Output-Calculation-sheet'!S28</f>
        <v>1430.3234408987316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471.7708295774043</v>
      </c>
      <c r="Y22" s="2">
        <f>Y11/'Output-Calculation-sheet'!Y10*'Output-Calculation-sheet'!Y28</f>
        <v>48.935300811086037</v>
      </c>
      <c r="AA22" s="2">
        <f t="shared" si="0"/>
        <v>54.194180923053324</v>
      </c>
    </row>
    <row r="23" spans="1:27" x14ac:dyDescent="0.25">
      <c r="A23" s="2">
        <v>2035</v>
      </c>
      <c r="B23" s="2">
        <f>B12/'Output-Calculation-sheet'!B11*'Output-Calculation-sheet'!B29</f>
        <v>16207.110243479277</v>
      </c>
      <c r="C23" s="2">
        <f>C12/'Output-Calculation-sheet'!C11*'Output-Calculation-sheet'!C29</f>
        <v>13237.765861977245</v>
      </c>
      <c r="D23" s="2">
        <f>D12/'Output-Calculation-sheet'!D11*'Output-Calculation-sheet'!D29</f>
        <v>0</v>
      </c>
      <c r="E23" s="2">
        <f>E12/'Output-Calculation-sheet'!E11*'Output-Calculation-sheet'!E29</f>
        <v>2498.7409467605244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5095.8394589598583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566.44440920104046</v>
      </c>
      <c r="M23" s="2">
        <f>M12/'Output-Calculation-sheet'!M11*'Output-Calculation-sheet'!M29</f>
        <v>3733.5088164613262</v>
      </c>
      <c r="N23" s="2">
        <f>N12/'Output-Calculation-sheet'!N11*'Output-Calculation-sheet'!N29</f>
        <v>2177.9639468643409</v>
      </c>
      <c r="O23" s="2">
        <f>O12/'Output-Calculation-sheet'!O11*'Output-Calculation-sheet'!O29</f>
        <v>1468.2154433758697</v>
      </c>
      <c r="P23" s="2">
        <f>P12/'Output-Calculation-sheet'!P11*'Output-Calculation-sheet'!P29</f>
        <v>265.99841874278667</v>
      </c>
      <c r="Q23" s="2">
        <f>Q12/'Output-Calculation-sheet'!Q11*'Output-Calculation-sheet'!Q29</f>
        <v>597.16347830702125</v>
      </c>
      <c r="R23" s="2">
        <f>R12/'Output-Calculation-sheet'!R11*'Output-Calculation-sheet'!R29</f>
        <v>0</v>
      </c>
      <c r="S23" s="2">
        <f>S12/'Output-Calculation-sheet'!S11*'Output-Calculation-sheet'!S29</f>
        <v>1165.8644716390834</v>
      </c>
      <c r="T23" s="2">
        <f>T12/'Output-Calculation-sheet'!T11*'Output-Calculation-sheet'!T29</f>
        <v>0</v>
      </c>
      <c r="U23" s="2">
        <f>U12/'Output-Calculation-sheet'!U11*'Output-Calculation-sheet'!U29</f>
        <v>50.840374870827546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369.86213875647792</v>
      </c>
      <c r="Y23" s="2">
        <f>Y12/'Output-Calculation-sheet'!Y11*'Output-Calculation-sheet'!Y29</f>
        <v>109.49984664387416</v>
      </c>
      <c r="AA23" s="2">
        <f t="shared" si="0"/>
        <v>47.54481785603955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23840.377901015872</v>
      </c>
      <c r="C30" s="2">
        <f>C8/'Output-Calculation-sheet'!C7*'Output-Calculation-sheet'!C16</f>
        <v>0</v>
      </c>
      <c r="D30" s="2">
        <f>D8/'Output-Calculation-sheet'!D7*'Output-Calculation-sheet'!D16</f>
        <v>5371.007305036931</v>
      </c>
      <c r="E30" s="2">
        <f>E8/'Output-Calculation-sheet'!E7*'Output-Calculation-sheet'!E16</f>
        <v>6730.7301493485202</v>
      </c>
      <c r="F30" s="2">
        <f>F8/'Output-Calculation-sheet'!F7*'Output-Calculation-sheet'!F16</f>
        <v>3287.2879817996604</v>
      </c>
      <c r="G30" s="2">
        <f>G8/'Output-Calculation-sheet'!G7*'Output-Calculation-sheet'!G16</f>
        <v>2003.2306099316213</v>
      </c>
      <c r="H30" s="2">
        <f>H8/'Output-Calculation-sheet'!H7*'Output-Calculation-sheet'!H16</f>
        <v>0</v>
      </c>
      <c r="I30" s="2">
        <f>I8/'Output-Calculation-sheet'!I7*'Output-Calculation-sheet'!I16</f>
        <v>1885.7943778520209</v>
      </c>
      <c r="J30" s="2">
        <f>J8/'Output-Calculation-sheet'!J7*'Output-Calculation-sheet'!J16</f>
        <v>2021.4900426304489</v>
      </c>
      <c r="K30" s="2">
        <f>K8/'Output-Calculation-sheet'!K7*'Output-Calculation-sheet'!K16</f>
        <v>1956.57513310901</v>
      </c>
      <c r="L30" s="2">
        <f>L8/'Output-Calculation-sheet'!L7*'Output-Calculation-sheet'!L16</f>
        <v>2162.6826640393783</v>
      </c>
      <c r="M30" s="2">
        <f>M8/'Output-Calculation-sheet'!M7*'Output-Calculation-sheet'!M16</f>
        <v>0</v>
      </c>
      <c r="N30" s="2">
        <f>N8/'Output-Calculation-sheet'!N7*'Output-Calculation-sheet'!N16</f>
        <v>969.80475617751654</v>
      </c>
      <c r="O30" s="2">
        <f>O8/'Output-Calculation-sheet'!O7*'Output-Calculation-sheet'!O16</f>
        <v>0</v>
      </c>
      <c r="P30" s="2">
        <f>P8/'Output-Calculation-sheet'!P7*'Output-Calculation-sheet'!P16</f>
        <v>1851.3636502282955</v>
      </c>
      <c r="Q30" s="2">
        <f>Q8/'Output-Calculation-sheet'!Q7*'Output-Calculation-sheet'!Q16</f>
        <v>1816.279460484848</v>
      </c>
      <c r="R30" s="2">
        <f>R8/'Output-Calculation-sheet'!R7*'Output-Calculation-sheet'!R16</f>
        <v>1611.8088118528469</v>
      </c>
      <c r="S30" s="2">
        <f>S8/'Output-Calculation-sheet'!S7*'Output-Calculation-sheet'!S16</f>
        <v>853.66523429453002</v>
      </c>
      <c r="T30" s="2">
        <f>T8/'Output-Calculation-sheet'!T7*'Output-Calculation-sheet'!T16</f>
        <v>608.80418621232764</v>
      </c>
      <c r="U30" s="2">
        <f>U8/'Output-Calculation-sheet'!U7*'Output-Calculation-sheet'!U16</f>
        <v>469.7549237252054</v>
      </c>
      <c r="V30" s="2">
        <f>V8/'Output-Calculation-sheet'!V7*'Output-Calculation-sheet'!V16</f>
        <v>608.23868961638948</v>
      </c>
      <c r="W30" s="2">
        <f>W8/'Output-Calculation-sheet'!W7*'Output-Calculation-sheet'!W16</f>
        <v>292.85449725149374</v>
      </c>
      <c r="X30" s="2">
        <f>X8/'Output-Calculation-sheet'!X7*'Output-Calculation-sheet'!X16</f>
        <v>0</v>
      </c>
      <c r="Y30" s="2">
        <f>Y8/'Output-Calculation-sheet'!Y7*'Output-Calculation-sheet'!Y16</f>
        <v>199.73315172900391</v>
      </c>
      <c r="AA30" s="2">
        <f t="shared" si="1"/>
        <v>58.541483526335902</v>
      </c>
    </row>
    <row r="31" spans="1:27" x14ac:dyDescent="0.25">
      <c r="A31" s="2">
        <v>2032</v>
      </c>
      <c r="B31" s="2">
        <f>B9/'Output-Calculation-sheet'!B8*'Output-Calculation-sheet'!B17</f>
        <v>23529.909856070786</v>
      </c>
      <c r="C31" s="2">
        <f>C9/'Output-Calculation-sheet'!C8*'Output-Calculation-sheet'!C17</f>
        <v>0</v>
      </c>
      <c r="D31" s="2">
        <f>D9/'Output-Calculation-sheet'!D8*'Output-Calculation-sheet'!D17</f>
        <v>5385.5108002360412</v>
      </c>
      <c r="E31" s="2">
        <f>E9/'Output-Calculation-sheet'!E8*'Output-Calculation-sheet'!E17</f>
        <v>6764.9130337437682</v>
      </c>
      <c r="F31" s="2">
        <f>F9/'Output-Calculation-sheet'!F8*'Output-Calculation-sheet'!F17</f>
        <v>3300.7304756539834</v>
      </c>
      <c r="G31" s="2">
        <f>G9/'Output-Calculation-sheet'!G8*'Output-Calculation-sheet'!G17</f>
        <v>2009.2429048291312</v>
      </c>
      <c r="H31" s="2">
        <f>H9/'Output-Calculation-sheet'!H8*'Output-Calculation-sheet'!H17</f>
        <v>0</v>
      </c>
      <c r="I31" s="2">
        <f>I9/'Output-Calculation-sheet'!I8*'Output-Calculation-sheet'!I17</f>
        <v>1890.5077785021713</v>
      </c>
      <c r="J31" s="2">
        <f>J9/'Output-Calculation-sheet'!J8*'Output-Calculation-sheet'!J17</f>
        <v>2028.1903059709171</v>
      </c>
      <c r="K31" s="2">
        <f>K9/'Output-Calculation-sheet'!K8*'Output-Calculation-sheet'!K17</f>
        <v>1961.5448532322812</v>
      </c>
      <c r="L31" s="2">
        <f>L9/'Output-Calculation-sheet'!L8*'Output-Calculation-sheet'!L17</f>
        <v>2167.4369388900213</v>
      </c>
      <c r="M31" s="2">
        <f>M9/'Output-Calculation-sheet'!M8*'Output-Calculation-sheet'!M17</f>
        <v>0</v>
      </c>
      <c r="N31" s="2">
        <f>N9/'Output-Calculation-sheet'!N8*'Output-Calculation-sheet'!N17</f>
        <v>913.87371932297185</v>
      </c>
      <c r="O31" s="2">
        <f>O9/'Output-Calculation-sheet'!O8*'Output-Calculation-sheet'!O17</f>
        <v>0</v>
      </c>
      <c r="P31" s="2">
        <f>P9/'Output-Calculation-sheet'!P8*'Output-Calculation-sheet'!P17</f>
        <v>1866.9990750097077</v>
      </c>
      <c r="Q31" s="2">
        <f>Q9/'Output-Calculation-sheet'!Q8*'Output-Calculation-sheet'!Q17</f>
        <v>1825.8442835471344</v>
      </c>
      <c r="R31" s="2">
        <f>R9/'Output-Calculation-sheet'!R8*'Output-Calculation-sheet'!R17</f>
        <v>1634.0771083410687</v>
      </c>
      <c r="S31" s="2">
        <f>S9/'Output-Calculation-sheet'!S8*'Output-Calculation-sheet'!S17</f>
        <v>817.98625541331717</v>
      </c>
      <c r="T31" s="2">
        <f>T9/'Output-Calculation-sheet'!T8*'Output-Calculation-sheet'!T17</f>
        <v>612.16270097210543</v>
      </c>
      <c r="U31" s="2">
        <f>U9/'Output-Calculation-sheet'!U8*'Output-Calculation-sheet'!U17</f>
        <v>473.99189162118461</v>
      </c>
      <c r="V31" s="2">
        <f>V9/'Output-Calculation-sheet'!V8*'Output-Calculation-sheet'!V17</f>
        <v>602.75669606957092</v>
      </c>
      <c r="W31" s="2">
        <f>W9/'Output-Calculation-sheet'!W8*'Output-Calculation-sheet'!W17</f>
        <v>293.78004886538804</v>
      </c>
      <c r="X31" s="2">
        <f>X9/'Output-Calculation-sheet'!X8*'Output-Calculation-sheet'!X17</f>
        <v>0</v>
      </c>
      <c r="Y31" s="2">
        <f>Y9/'Output-Calculation-sheet'!Y8*'Output-Calculation-sheet'!Y17</f>
        <v>200.27346307435471</v>
      </c>
      <c r="AA31" s="2">
        <f t="shared" si="1"/>
        <v>58.279732189365902</v>
      </c>
    </row>
    <row r="32" spans="1:27" x14ac:dyDescent="0.25">
      <c r="A32" s="2">
        <v>2033</v>
      </c>
      <c r="B32" s="2">
        <f>B10/'Output-Calculation-sheet'!B9*'Output-Calculation-sheet'!B18</f>
        <v>22315.634917743912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1359.8373438563658</v>
      </c>
      <c r="O32" s="2">
        <f>O10/'Output-Calculation-sheet'!O9*'Output-Calculation-sheet'!O18</f>
        <v>0</v>
      </c>
      <c r="P32" s="2">
        <f>P10/'Output-Calculation-sheet'!P9*'Output-Calculation-sheet'!P18</f>
        <v>2189.3145378744962</v>
      </c>
      <c r="Q32" s="2">
        <f>Q10/'Output-Calculation-sheet'!Q9*'Output-Calculation-sheet'!Q18</f>
        <v>2383.1302554003059</v>
      </c>
      <c r="R32" s="2">
        <f>R10/'Output-Calculation-sheet'!R9*'Output-Calculation-sheet'!R18</f>
        <v>1572.0415441340822</v>
      </c>
      <c r="S32" s="2">
        <f>S10/'Output-Calculation-sheet'!S9*'Output-Calculation-sheet'!S18</f>
        <v>1031.5828010071955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507.50275672208301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53.631921015949871</v>
      </c>
    </row>
    <row r="33" spans="1:27" x14ac:dyDescent="0.25">
      <c r="A33" s="2">
        <v>2034</v>
      </c>
      <c r="B33" s="2">
        <f>B11/'Output-Calculation-sheet'!B10*'Output-Calculation-sheet'!B19</f>
        <v>17753.901080884694</v>
      </c>
      <c r="C33" s="2">
        <f>C11/'Output-Calculation-sheet'!C10*'Output-Calculation-sheet'!C19</f>
        <v>0</v>
      </c>
      <c r="D33" s="2">
        <f>D11/'Output-Calculation-sheet'!D10*'Output-Calculation-sheet'!D19</f>
        <v>5295.7936935185799</v>
      </c>
      <c r="E33" s="2">
        <f>E11/'Output-Calculation-sheet'!E10*'Output-Calculation-sheet'!E19</f>
        <v>6559.1946079016852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1802.6380867220889</v>
      </c>
      <c r="H33" s="2">
        <f>H11/'Output-Calculation-sheet'!H10*'Output-Calculation-sheet'!H19</f>
        <v>0</v>
      </c>
      <c r="I33" s="2">
        <f>I11/'Output-Calculation-sheet'!I10*'Output-Calculation-sheet'!I19</f>
        <v>1966.9309410034434</v>
      </c>
      <c r="J33" s="2">
        <f>J11/'Output-Calculation-sheet'!J10*'Output-Calculation-sheet'!J19</f>
        <v>1663.1668607343961</v>
      </c>
      <c r="K33" s="2">
        <f>K11/'Output-Calculation-sheet'!K10*'Output-Calculation-sheet'!K19</f>
        <v>2307.8840236593351</v>
      </c>
      <c r="L33" s="2">
        <f>L11/'Output-Calculation-sheet'!L10*'Output-Calculation-sheet'!L19</f>
        <v>1876.8595048589377</v>
      </c>
      <c r="M33" s="2">
        <f>M11/'Output-Calculation-sheet'!M10*'Output-Calculation-sheet'!M19</f>
        <v>0</v>
      </c>
      <c r="N33" s="2">
        <f>N11/'Output-Calculation-sheet'!N10*'Output-Calculation-sheet'!N19</f>
        <v>1061.2842983789239</v>
      </c>
      <c r="O33" s="2">
        <f>O11/'Output-Calculation-sheet'!O10*'Output-Calculation-sheet'!O19</f>
        <v>0</v>
      </c>
      <c r="P33" s="2">
        <f>P11/'Output-Calculation-sheet'!P10*'Output-Calculation-sheet'!P19</f>
        <v>2335.1715178799145</v>
      </c>
      <c r="Q33" s="2">
        <f>Q11/'Output-Calculation-sheet'!Q10*'Output-Calculation-sheet'!Q19</f>
        <v>1922.9892293771065</v>
      </c>
      <c r="R33" s="2">
        <f>R11/'Output-Calculation-sheet'!R10*'Output-Calculation-sheet'!R19</f>
        <v>1667.2748251874864</v>
      </c>
      <c r="S33" s="2">
        <f>S11/'Output-Calculation-sheet'!S10*'Output-Calculation-sheet'!S19</f>
        <v>777.22481793937106</v>
      </c>
      <c r="T33" s="2">
        <f>T11/'Output-Calculation-sheet'!T10*'Output-Calculation-sheet'!T19</f>
        <v>489.22676588917909</v>
      </c>
      <c r="U33" s="2">
        <f>U11/'Output-Calculation-sheet'!U10*'Output-Calculation-sheet'!U19</f>
        <v>563.05786382893348</v>
      </c>
      <c r="V33" s="2">
        <f>V11/'Output-Calculation-sheet'!V10*'Output-Calculation-sheet'!V19</f>
        <v>383.64926684481082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69.178692893718775</v>
      </c>
      <c r="Y33" s="2">
        <f>Y11/'Output-Calculation-sheet'!Y10*'Output-Calculation-sheet'!Y19</f>
        <v>215.31532356877855</v>
      </c>
      <c r="AA33" s="2">
        <f t="shared" si="1"/>
        <v>51.959817920486628</v>
      </c>
    </row>
    <row r="34" spans="1:27" x14ac:dyDescent="0.25">
      <c r="A34" s="2">
        <v>2035</v>
      </c>
      <c r="B34" s="2">
        <f>B12/'Output-Calculation-sheet'!B11*'Output-Calculation-sheet'!B20</f>
        <v>12899.102900394008</v>
      </c>
      <c r="C34" s="2">
        <f>C12/'Output-Calculation-sheet'!C11*'Output-Calculation-sheet'!C20</f>
        <v>0</v>
      </c>
      <c r="D34" s="2">
        <f>D12/'Output-Calculation-sheet'!D11*'Output-Calculation-sheet'!D20</f>
        <v>4048.1318679814785</v>
      </c>
      <c r="E34" s="2">
        <f>E12/'Output-Calculation-sheet'!E11*'Output-Calculation-sheet'!E20</f>
        <v>4423.1789156710392</v>
      </c>
      <c r="F34" s="2">
        <f>F12/'Output-Calculation-sheet'!F11*'Output-Calculation-sheet'!F20</f>
        <v>2786.8101265304008</v>
      </c>
      <c r="G34" s="2">
        <f>G12/'Output-Calculation-sheet'!G11*'Output-Calculation-sheet'!G20</f>
        <v>1489.1885927062672</v>
      </c>
      <c r="H34" s="2">
        <f>H12/'Output-Calculation-sheet'!H11*'Output-Calculation-sheet'!H20</f>
        <v>0</v>
      </c>
      <c r="I34" s="2">
        <f>I12/'Output-Calculation-sheet'!I11*'Output-Calculation-sheet'!I20</f>
        <v>1618.5452189688979</v>
      </c>
      <c r="J34" s="2">
        <f>J12/'Output-Calculation-sheet'!J11*'Output-Calculation-sheet'!J20</f>
        <v>1389.5224681371637</v>
      </c>
      <c r="K34" s="2">
        <f>K12/'Output-Calculation-sheet'!K11*'Output-Calculation-sheet'!K20</f>
        <v>1826.8837269479154</v>
      </c>
      <c r="L34" s="2">
        <f>L12/'Output-Calculation-sheet'!L11*'Output-Calculation-sheet'!L20</f>
        <v>1443.8154712654527</v>
      </c>
      <c r="M34" s="2">
        <f>M12/'Output-Calculation-sheet'!M11*'Output-Calculation-sheet'!M20</f>
        <v>0</v>
      </c>
      <c r="N34" s="2">
        <f>N12/'Output-Calculation-sheet'!N11*'Output-Calculation-sheet'!N20</f>
        <v>803.48354719942802</v>
      </c>
      <c r="O34" s="2">
        <f>O12/'Output-Calculation-sheet'!O11*'Output-Calculation-sheet'!O20</f>
        <v>0</v>
      </c>
      <c r="P34" s="2">
        <f>P12/'Output-Calculation-sheet'!P11*'Output-Calculation-sheet'!P20</f>
        <v>1795.638959071352</v>
      </c>
      <c r="Q34" s="2">
        <f>Q12/'Output-Calculation-sheet'!Q11*'Output-Calculation-sheet'!Q20</f>
        <v>1420.8359786506501</v>
      </c>
      <c r="R34" s="2">
        <f>R12/'Output-Calculation-sheet'!R11*'Output-Calculation-sheet'!R20</f>
        <v>1426.0931963421669</v>
      </c>
      <c r="S34" s="2">
        <f>S12/'Output-Calculation-sheet'!S11*'Output-Calculation-sheet'!S20</f>
        <v>544.7329975950006</v>
      </c>
      <c r="T34" s="2">
        <f>T12/'Output-Calculation-sheet'!T11*'Output-Calculation-sheet'!T20</f>
        <v>448.03442920964886</v>
      </c>
      <c r="U34" s="2">
        <f>U12/'Output-Calculation-sheet'!U11*'Output-Calculation-sheet'!U20</f>
        <v>408.76198894937363</v>
      </c>
      <c r="V34" s="2">
        <f>V12/'Output-Calculation-sheet'!V11*'Output-Calculation-sheet'!V20</f>
        <v>375.48978477162439</v>
      </c>
      <c r="W34" s="2">
        <f>W12/'Output-Calculation-sheet'!W11*'Output-Calculation-sheet'!W20</f>
        <v>241.57686778035557</v>
      </c>
      <c r="X34" s="2">
        <f>X12/'Output-Calculation-sheet'!X11*'Output-Calculation-sheet'!X20</f>
        <v>48.82359387896453</v>
      </c>
      <c r="Y34" s="2">
        <f>Y12/'Output-Calculation-sheet'!Y11*'Output-Calculation-sheet'!Y20</f>
        <v>135.41296064565526</v>
      </c>
      <c r="AA34" s="2">
        <f t="shared" si="1"/>
        <v>39.574063592696845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0.89402231487040906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0.52105345362758548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1.4150757684979944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1.5034185878473967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0.2313995319700648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0.15922552173611237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0.58414757246810178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0.13711153150638908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1.7467432257378769E-2</v>
      </c>
      <c r="Y44" s="2">
        <f>Y11/'Output-Calculation-sheet'!Y10*'Output-Calculation-sheet'!Y37*0.0114</f>
        <v>0</v>
      </c>
      <c r="AA44" s="2">
        <f t="shared" si="2"/>
        <v>2.6327701777854435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1.1444493969236298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0.44467145905301242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1.3296757452882191E-2</v>
      </c>
      <c r="Y45" s="2">
        <f>Y12/'Output-Calculation-sheet'!Y11*'Output-Calculation-sheet'!Y38*0.0114</f>
        <v>1.2831617566688583E-2</v>
      </c>
      <c r="AA45" s="2">
        <f t="shared" si="2"/>
        <v>5.702007325525229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136.23156086745789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121.26660443619292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527.32284749429186</v>
      </c>
      <c r="S52" s="2">
        <f>S8/'Output-Calculation-sheet'!S7*'Output-Calculation-sheet'!S43</f>
        <v>0</v>
      </c>
      <c r="T52" s="2">
        <f>T8/'Output-Calculation-sheet'!T7*'Output-Calculation-sheet'!T43</f>
        <v>424.60966230018801</v>
      </c>
      <c r="U52" s="2">
        <f>U8/'Output-Calculation-sheet'!U7*'Output-Calculation-sheet'!U43</f>
        <v>44.909648539694594</v>
      </c>
      <c r="V52" s="2">
        <f>V8/'Output-Calculation-sheet'!V7*'Output-Calculation-sheet'!V43</f>
        <v>765.6947787399987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2.020035102377824</v>
      </c>
    </row>
    <row r="53" spans="1:27" x14ac:dyDescent="0.25">
      <c r="A53" s="2">
        <v>2032</v>
      </c>
      <c r="B53" s="2">
        <f>B9/'Output-Calculation-sheet'!B8*'Output-Calculation-sheet'!B44</f>
        <v>1442.5571219906988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271.95664715273631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217.87413320130165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681.1492740062813</v>
      </c>
      <c r="S53" s="2">
        <f>S9/'Output-Calculation-sheet'!S8*'Output-Calculation-sheet'!S44</f>
        <v>0</v>
      </c>
      <c r="T53" s="2">
        <f>T9/'Output-Calculation-sheet'!T8*'Output-Calculation-sheet'!T44</f>
        <v>469.63878448531261</v>
      </c>
      <c r="U53" s="2">
        <f>U9/'Output-Calculation-sheet'!U8*'Output-Calculation-sheet'!U44</f>
        <v>79.690963851994979</v>
      </c>
      <c r="V53" s="2">
        <f>V9/'Output-Calculation-sheet'!V8*'Output-Calculation-sheet'!V44</f>
        <v>787.31480897296535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3.9501817336612914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48465.420227185336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0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629.39059097497898</v>
      </c>
      <c r="R54" s="2">
        <f>R10/'Output-Calculation-sheet'!R9*'Output-Calculation-sheet'!R45</f>
        <v>1049.7204885890046</v>
      </c>
      <c r="S54" s="2">
        <f>S10/'Output-Calculation-sheet'!S9*'Output-Calculation-sheet'!S45</f>
        <v>2508.157700269704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378.80833115643168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109.01780196568902</v>
      </c>
    </row>
    <row r="55" spans="1:27" x14ac:dyDescent="0.25">
      <c r="A55" s="2">
        <v>2034</v>
      </c>
      <c r="B55" s="2">
        <f>B11/'Output-Calculation-sheet'!B10*'Output-Calculation-sheet'!B46</f>
        <v>50570.623628155787</v>
      </c>
      <c r="C55" s="2">
        <f>C11/'Output-Calculation-sheet'!C10*'Output-Calculation-sheet'!C46</f>
        <v>41607.768812794173</v>
      </c>
      <c r="D55" s="2">
        <f>D11/'Output-Calculation-sheet'!D10*'Output-Calculation-sheet'!D46</f>
        <v>4672.8965794746136</v>
      </c>
      <c r="E55" s="2">
        <f>E11/'Output-Calculation-sheet'!E10*'Output-Calculation-sheet'!E46</f>
        <v>5756.244869882652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15000.373168936656</v>
      </c>
      <c r="I55" s="2">
        <f>I11/'Output-Calculation-sheet'!I10*'Output-Calculation-sheet'!I46</f>
        <v>1130.7775107093871</v>
      </c>
      <c r="J55" s="2">
        <f>J11/'Output-Calculation-sheet'!J10*'Output-Calculation-sheet'!J46</f>
        <v>820.67222016724713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810.07041330331617</v>
      </c>
      <c r="M55" s="2">
        <f>M11/'Output-Calculation-sheet'!M10*'Output-Calculation-sheet'!M46</f>
        <v>10601.067631378008</v>
      </c>
      <c r="N55" s="2">
        <f>N11/'Output-Calculation-sheet'!N10*'Output-Calculation-sheet'!N46</f>
        <v>8085.4788030834707</v>
      </c>
      <c r="O55" s="2">
        <f>O11/'Output-Calculation-sheet'!O10*'Output-Calculation-sheet'!O46</f>
        <v>179.343552950733</v>
      </c>
      <c r="P55" s="2">
        <f>P11/'Output-Calculation-sheet'!P10*'Output-Calculation-sheet'!P46</f>
        <v>3005.5646053619844</v>
      </c>
      <c r="Q55" s="2">
        <f>Q11/'Output-Calculation-sheet'!Q10*'Output-Calculation-sheet'!Q46</f>
        <v>1768.0171167929116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3973.863856022906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920.98855233831569</v>
      </c>
      <c r="V55" s="2">
        <f>V11/'Output-Calculation-sheet'!V10*'Output-Calculation-sheet'!V46</f>
        <v>372.83699401828073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1084.8194770372079</v>
      </c>
      <c r="Y55" s="2">
        <f>Y11/'Output-Calculation-sheet'!Y10*'Output-Calculation-sheet'!Y46</f>
        <v>282.41856639726342</v>
      </c>
      <c r="AA55" s="2">
        <f t="shared" si="3"/>
        <v>158.13106058598092</v>
      </c>
    </row>
    <row r="56" spans="1:27" x14ac:dyDescent="0.25">
      <c r="A56" s="2">
        <v>2035</v>
      </c>
      <c r="B56" s="2">
        <f>B12/'Output-Calculation-sheet'!B11*'Output-Calculation-sheet'!B47</f>
        <v>48965.996350538051</v>
      </c>
      <c r="C56" s="2">
        <f>C12/'Output-Calculation-sheet'!C11*'Output-Calculation-sheet'!C47</f>
        <v>32175.090501230115</v>
      </c>
      <c r="D56" s="2">
        <f>D12/'Output-Calculation-sheet'!D11*'Output-Calculation-sheet'!D47</f>
        <v>3912.8710307591014</v>
      </c>
      <c r="E56" s="2">
        <f>E12/'Output-Calculation-sheet'!E11*'Output-Calculation-sheet'!E47</f>
        <v>10989.922847117467</v>
      </c>
      <c r="F56" s="2">
        <f>F12/'Output-Calculation-sheet'!F11*'Output-Calculation-sheet'!F47</f>
        <v>1355.7118294496813</v>
      </c>
      <c r="G56" s="2">
        <f>G12/'Output-Calculation-sheet'!G11*'Output-Calculation-sheet'!G47</f>
        <v>3062.4674371235515</v>
      </c>
      <c r="H56" s="2">
        <f>H12/'Output-Calculation-sheet'!H11*'Output-Calculation-sheet'!H47</f>
        <v>11696.88401643641</v>
      </c>
      <c r="I56" s="2">
        <f>I12/'Output-Calculation-sheet'!I11*'Output-Calculation-sheet'!I47</f>
        <v>1549.4099721557625</v>
      </c>
      <c r="J56" s="2">
        <f>J12/'Output-Calculation-sheet'!J11*'Output-Calculation-sheet'!J47</f>
        <v>1405.6232434714734</v>
      </c>
      <c r="K56" s="2">
        <f>K12/'Output-Calculation-sheet'!K11*'Output-Calculation-sheet'!K47</f>
        <v>2030.4348173914036</v>
      </c>
      <c r="L56" s="2">
        <f>L12/'Output-Calculation-sheet'!L11*'Output-Calculation-sheet'!L47</f>
        <v>1121.1836609814347</v>
      </c>
      <c r="M56" s="2">
        <f>M12/'Output-Calculation-sheet'!M11*'Output-Calculation-sheet'!M47</f>
        <v>8154.9231445987107</v>
      </c>
      <c r="N56" s="2">
        <f>N12/'Output-Calculation-sheet'!N11*'Output-Calculation-sheet'!N47</f>
        <v>6228.0685931962425</v>
      </c>
      <c r="O56" s="2">
        <f>O12/'Output-Calculation-sheet'!O11*'Output-Calculation-sheet'!O47</f>
        <v>585.09402506975312</v>
      </c>
      <c r="P56" s="2">
        <f>P12/'Output-Calculation-sheet'!P11*'Output-Calculation-sheet'!P47</f>
        <v>3233.9939855858875</v>
      </c>
      <c r="Q56" s="2">
        <f>Q12/'Output-Calculation-sheet'!Q11*'Output-Calculation-sheet'!Q47</f>
        <v>1638.8486234661598</v>
      </c>
      <c r="R56" s="2">
        <f>R12/'Output-Calculation-sheet'!R11*'Output-Calculation-sheet'!R47</f>
        <v>2387.8989395547778</v>
      </c>
      <c r="S56" s="2">
        <f>S12/'Output-Calculation-sheet'!S11*'Output-Calculation-sheet'!S47</f>
        <v>3162.8034785255923</v>
      </c>
      <c r="T56" s="2">
        <f>T12/'Output-Calculation-sheet'!T11*'Output-Calculation-sheet'!T47</f>
        <v>836.41155250564236</v>
      </c>
      <c r="U56" s="2">
        <f>U12/'Output-Calculation-sheet'!U11*'Output-Calculation-sheet'!U47</f>
        <v>800.40580984869837</v>
      </c>
      <c r="V56" s="2">
        <f>V12/'Output-Calculation-sheet'!V11*'Output-Calculation-sheet'!V47</f>
        <v>558.62042737726586</v>
      </c>
      <c r="W56" s="2">
        <f>W12/'Output-Calculation-sheet'!W11*'Output-Calculation-sheet'!W47</f>
        <v>317.93102724335068</v>
      </c>
      <c r="X56" s="2">
        <f>X12/'Output-Calculation-sheet'!X11*'Output-Calculation-sheet'!X47</f>
        <v>842.12797201587205</v>
      </c>
      <c r="Y56" s="2">
        <f>Y12/'Output-Calculation-sheet'!Y11*'Output-Calculation-sheet'!Y47</f>
        <v>431.09732702120414</v>
      </c>
      <c r="AA56" s="2">
        <f t="shared" si="3"/>
        <v>147.44382061266364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6.5783352734581753</v>
      </c>
      <c r="C63" s="2">
        <f>C8*'Output-Calculation-sheet'!C52/10^9</f>
        <v>3.3344053655901487</v>
      </c>
      <c r="D63" s="2">
        <f>D8*'Output-Calculation-sheet'!D52/10^9</f>
        <v>1.1648563412662016</v>
      </c>
      <c r="E63" s="2">
        <f>E8*'Output-Calculation-sheet'!E52/10^9</f>
        <v>1.4998558238778812</v>
      </c>
      <c r="F63" s="2">
        <f>F8*'Output-Calculation-sheet'!F52/10^9</f>
        <v>0.62386851166511414</v>
      </c>
      <c r="G63" s="2">
        <f>G8*'Output-Calculation-sheet'!G52/10^9</f>
        <v>0.44764049885525753</v>
      </c>
      <c r="H63" s="2">
        <f>H8*'Output-Calculation-sheet'!H52/10^9</f>
        <v>0.86470994212323127</v>
      </c>
      <c r="I63" s="2">
        <f>I8*'Output-Calculation-sheet'!I52/10^9</f>
        <v>0.40128106218104681</v>
      </c>
      <c r="J63" s="2">
        <f>J8*'Output-Calculation-sheet'!J52/10^9</f>
        <v>0.43139282476019375</v>
      </c>
      <c r="K63" s="2">
        <f>K8*'Output-Calculation-sheet'!K52/10^9</f>
        <v>0.44052719319726541</v>
      </c>
      <c r="L63" s="2">
        <f>L8*'Output-Calculation-sheet'!L52/10^9</f>
        <v>0.4581530429173693</v>
      </c>
      <c r="M63" s="2">
        <f>M8*'Output-Calculation-sheet'!M52/10^9</f>
        <v>0.65386008551397035</v>
      </c>
      <c r="N63" s="2">
        <f>N8*'Output-Calculation-sheet'!N52/10^9</f>
        <v>0.55243626162817994</v>
      </c>
      <c r="O63" s="2">
        <f>O8*'Output-Calculation-sheet'!O52/10^9</f>
        <v>0.57228943622038708</v>
      </c>
      <c r="P63" s="2">
        <f>P8*'Output-Calculation-sheet'!P52/10^9</f>
        <v>0.47429820745397683</v>
      </c>
      <c r="Q63" s="2">
        <f>Q8*'Output-Calculation-sheet'!Q52/10^9</f>
        <v>0.44868234508260324</v>
      </c>
      <c r="R63" s="2">
        <f>R8*'Output-Calculation-sheet'!R52/10^9</f>
        <v>0.37798863949259909</v>
      </c>
      <c r="S63" s="2">
        <f>S8*'Output-Calculation-sheet'!S52/10^9</f>
        <v>0.34753702992696645</v>
      </c>
      <c r="T63" s="2">
        <f>T8*'Output-Calculation-sheet'!T52/10^9</f>
        <v>0.12377469446998518</v>
      </c>
      <c r="U63" s="2">
        <f>U8*'Output-Calculation-sheet'!U52/10^9</f>
        <v>0.12141433819259979</v>
      </c>
      <c r="V63" s="2">
        <f>V8*'Output-Calculation-sheet'!V52/10^9</f>
        <v>0.10881957433885429</v>
      </c>
      <c r="W63" s="2">
        <f>W8*'Output-Calculation-sheet'!W52/10^9</f>
        <v>5.6805624639289232E-2</v>
      </c>
      <c r="X63" s="2">
        <f>X8*'Output-Calculation-sheet'!X52/10^9</f>
        <v>9.1799111422034146E-2</v>
      </c>
      <c r="Y63" s="2">
        <f>Y8*'Output-Calculation-sheet'!Y52/10^9</f>
        <v>4.7348142711888364E-2</v>
      </c>
      <c r="AA63" s="2">
        <f t="shared" si="4"/>
        <v>20.22207937098522</v>
      </c>
    </row>
    <row r="64" spans="1:27" x14ac:dyDescent="0.25">
      <c r="A64" s="2">
        <v>2032</v>
      </c>
      <c r="B64" s="2">
        <f>B9*'Output-Calculation-sheet'!B53/10^9</f>
        <v>6.5208658043593211</v>
      </c>
      <c r="C64" s="2">
        <f>C9*'Output-Calculation-sheet'!C53/10^9</f>
        <v>3.302318372374172</v>
      </c>
      <c r="D64" s="2">
        <f>D9*'Output-Calculation-sheet'!D53/10^9</f>
        <v>1.1567554672522331</v>
      </c>
      <c r="E64" s="2">
        <f>E9*'Output-Calculation-sheet'!E53/10^9</f>
        <v>1.4896188523891989</v>
      </c>
      <c r="F64" s="2">
        <f>F9*'Output-Calculation-sheet'!F53/10^9</f>
        <v>0.61907259255937497</v>
      </c>
      <c r="G64" s="2">
        <f>G9*'Output-Calculation-sheet'!G53/10^9</f>
        <v>0.44443222005536975</v>
      </c>
      <c r="H64" s="2">
        <f>H9*'Output-Calculation-sheet'!H53/10^9</f>
        <v>0.85533476849017342</v>
      </c>
      <c r="I64" s="2">
        <f>I9*'Output-Calculation-sheet'!I53/10^9</f>
        <v>0.39845135257695208</v>
      </c>
      <c r="J64" s="2">
        <f>J9*'Output-Calculation-sheet'!J53/10^9</f>
        <v>0.42821798729340294</v>
      </c>
      <c r="K64" s="2">
        <f>K9*'Output-Calculation-sheet'!K53/10^9</f>
        <v>0.43754624226522698</v>
      </c>
      <c r="L64" s="2">
        <f>L9*'Output-Calculation-sheet'!L53/10^9</f>
        <v>0.4549125342353067</v>
      </c>
      <c r="M64" s="2">
        <f>M9*'Output-Calculation-sheet'!M53/10^9</f>
        <v>0.6469279980900432</v>
      </c>
      <c r="N64" s="2">
        <f>N9*'Output-Calculation-sheet'!N53/10^9</f>
        <v>0.54718169607045164</v>
      </c>
      <c r="O64" s="2">
        <f>O9*'Output-Calculation-sheet'!O53/10^9</f>
        <v>0.56696037515148623</v>
      </c>
      <c r="P64" s="2">
        <f>P9*'Output-Calculation-sheet'!P53/10^9</f>
        <v>0.47136421577091353</v>
      </c>
      <c r="Q64" s="2">
        <f>Q9*'Output-Calculation-sheet'!Q53/10^9</f>
        <v>0.44583923387660551</v>
      </c>
      <c r="R64" s="2">
        <f>R9*'Output-Calculation-sheet'!R53/10^9</f>
        <v>0.37498846819933757</v>
      </c>
      <c r="S64" s="2">
        <f>S9*'Output-Calculation-sheet'!S53/10^9</f>
        <v>0.34454073864260948</v>
      </c>
      <c r="T64" s="2">
        <f>T9*'Output-Calculation-sheet'!T53/10^9</f>
        <v>0.12252303982098475</v>
      </c>
      <c r="U64" s="2">
        <f>U9*'Output-Calculation-sheet'!U53/10^9</f>
        <v>0.12061818321159229</v>
      </c>
      <c r="V64" s="2">
        <f>V9*'Output-Calculation-sheet'!V53/10^9</f>
        <v>0.10736279546738012</v>
      </c>
      <c r="W64" s="2">
        <f>W9*'Output-Calculation-sheet'!W53/10^9</f>
        <v>5.6376368631947393E-2</v>
      </c>
      <c r="X64" s="2">
        <f>X9*'Output-Calculation-sheet'!X53/10^9</f>
        <v>9.0890366287318516E-2</v>
      </c>
      <c r="Y64" s="2">
        <f>Y9*'Output-Calculation-sheet'!Y53/10^9</f>
        <v>4.7039447889399878E-2</v>
      </c>
      <c r="AA64" s="2">
        <f t="shared" si="4"/>
        <v>20.050139120960807</v>
      </c>
    </row>
    <row r="65" spans="1:27" x14ac:dyDescent="0.25">
      <c r="A65" s="2">
        <v>2033</v>
      </c>
      <c r="B65" s="2">
        <f>B10*'Output-Calculation-sheet'!B54/10^9</f>
        <v>5.987006095482803</v>
      </c>
      <c r="C65" s="2">
        <f>C10*'Output-Calculation-sheet'!C54/10^9</f>
        <v>3.9348055549630585</v>
      </c>
      <c r="D65" s="2">
        <f>D10*'Output-Calculation-sheet'!D54/10^9</f>
        <v>1.067161183018388</v>
      </c>
      <c r="E65" s="2">
        <f>E10*'Output-Calculation-sheet'!E54/10^9</f>
        <v>1.3590509436781986</v>
      </c>
      <c r="F65" s="2">
        <f>F10*'Output-Calculation-sheet'!F54/10^9</f>
        <v>0.58399591710747134</v>
      </c>
      <c r="G65" s="2">
        <f>G10*'Output-Calculation-sheet'!G54/10^9</f>
        <v>0.41577626681922014</v>
      </c>
      <c r="H65" s="2">
        <f>H10*'Output-Calculation-sheet'!H54/10^9</f>
        <v>0.97695946684125923</v>
      </c>
      <c r="I65" s="2">
        <f>I10*'Output-Calculation-sheet'!I54/10^9</f>
        <v>0.36454890540761342</v>
      </c>
      <c r="J65" s="2">
        <f>J10*'Output-Calculation-sheet'!J54/10^9</f>
        <v>0.43131923397824729</v>
      </c>
      <c r="K65" s="2">
        <f>K10*'Output-Calculation-sheet'!K54/10^9</f>
        <v>0.40360542132609806</v>
      </c>
      <c r="L65" s="2">
        <f>L10*'Output-Calculation-sheet'!L54/10^9</f>
        <v>0.41625098468980881</v>
      </c>
      <c r="M65" s="2">
        <f>M10*'Output-Calculation-sheet'!M54/10^9</f>
        <v>0.69467919647738363</v>
      </c>
      <c r="N65" s="2">
        <f>N10*'Output-Calculation-sheet'!N54/10^9</f>
        <v>0.59193822024208187</v>
      </c>
      <c r="O65" s="2">
        <f>O10*'Output-Calculation-sheet'!O54/10^9</f>
        <v>0.68875633006403669</v>
      </c>
      <c r="P65" s="2">
        <f>P10*'Output-Calculation-sheet'!P54/10^9</f>
        <v>0.43665659597253459</v>
      </c>
      <c r="Q65" s="2">
        <f>Q10*'Output-Calculation-sheet'!Q54/10^9</f>
        <v>0.4308906096727852</v>
      </c>
      <c r="R65" s="2">
        <f>R10*'Output-Calculation-sheet'!R54/10^9</f>
        <v>0.34159198115056999</v>
      </c>
      <c r="S65" s="2">
        <f>S10*'Output-Calculation-sheet'!S54/10^9</f>
        <v>0.34284059775019005</v>
      </c>
      <c r="T65" s="2">
        <f>T10*'Output-Calculation-sheet'!T54/10^9</f>
        <v>0.11567600430530031</v>
      </c>
      <c r="U65" s="2">
        <f>U10*'Output-Calculation-sheet'!U54/10^9</f>
        <v>0.11109916723868477</v>
      </c>
      <c r="V65" s="2">
        <f>V10*'Output-Calculation-sheet'!V54/10^9</f>
        <v>0.13090053616899447</v>
      </c>
      <c r="W65" s="2">
        <f>W10*'Output-Calculation-sheet'!W54/10^9</f>
        <v>5.5944314250762947E-2</v>
      </c>
      <c r="X65" s="2">
        <f>X10*'Output-Calculation-sheet'!X54/10^9</f>
        <v>8.9928476184682887E-2</v>
      </c>
      <c r="Y65" s="2">
        <f>Y10*'Output-Calculation-sheet'!Y54/10^9</f>
        <v>4.3398489768620083E-2</v>
      </c>
      <c r="AA65" s="2">
        <f t="shared" si="4"/>
        <v>20.014780492558796</v>
      </c>
    </row>
    <row r="66" spans="1:27" x14ac:dyDescent="0.25">
      <c r="A66" s="2">
        <v>2034</v>
      </c>
      <c r="B66" s="2">
        <f>B11*'Output-Calculation-sheet'!B55/10^9</f>
        <v>5.1975423067347775</v>
      </c>
      <c r="C66" s="2">
        <f>C11*'Output-Calculation-sheet'!C55/10^9</f>
        <v>3.454283902611389</v>
      </c>
      <c r="D66" s="2">
        <f>D11*'Output-Calculation-sheet'!D55/10^9</f>
        <v>0.94032168214236378</v>
      </c>
      <c r="E66" s="2">
        <f>E11*'Output-Calculation-sheet'!E55/10^9</f>
        <v>1.2178667798084795</v>
      </c>
      <c r="F66" s="2">
        <f>F11*'Output-Calculation-sheet'!F55/10^9</f>
        <v>0.47928981655189823</v>
      </c>
      <c r="G66" s="2">
        <f>G11*'Output-Calculation-sheet'!G55/10^9</f>
        <v>0.34966125384131919</v>
      </c>
      <c r="H66" s="2">
        <f>H11*'Output-Calculation-sheet'!H55/10^9</f>
        <v>0.87260905599711658</v>
      </c>
      <c r="I66" s="2">
        <f>I11*'Output-Calculation-sheet'!I55/10^9</f>
        <v>0.32505044232780944</v>
      </c>
      <c r="J66" s="2">
        <f>J11*'Output-Calculation-sheet'!J55/10^9</f>
        <v>0.32727969920457406</v>
      </c>
      <c r="K66" s="2">
        <f>K11*'Output-Calculation-sheet'!K55/10^9</f>
        <v>0.37263735398792486</v>
      </c>
      <c r="L66" s="2">
        <f>L11*'Output-Calculation-sheet'!L55/10^9</f>
        <v>0.36126723199039978</v>
      </c>
      <c r="M66" s="2">
        <f>M11*'Output-Calculation-sheet'!M55/10^9</f>
        <v>0.61328004366707389</v>
      </c>
      <c r="N66" s="2">
        <f>N11*'Output-Calculation-sheet'!N55/10^9</f>
        <v>0.53313612071541461</v>
      </c>
      <c r="O66" s="2">
        <f>O11*'Output-Calculation-sheet'!O55/10^9</f>
        <v>0.607847449424884</v>
      </c>
      <c r="P66" s="2">
        <f>P11*'Output-Calculation-sheet'!P55/10^9</f>
        <v>0.38977599921564959</v>
      </c>
      <c r="Q66" s="2">
        <f>Q11*'Output-Calculation-sheet'!Q55/10^9</f>
        <v>0.40092522685901688</v>
      </c>
      <c r="R66" s="2">
        <f>R11*'Output-Calculation-sheet'!R55/10^9</f>
        <v>0.29663712247473772</v>
      </c>
      <c r="S66" s="2">
        <f>S11*'Output-Calculation-sheet'!S55/10^9</f>
        <v>0.3079276015546405</v>
      </c>
      <c r="T66" s="2">
        <f>T11*'Output-Calculation-sheet'!T55/10^9</f>
        <v>9.2942344107920502E-2</v>
      </c>
      <c r="U66" s="2">
        <f>U11*'Output-Calculation-sheet'!U55/10^9</f>
        <v>0.10115546912418073</v>
      </c>
      <c r="V66" s="2">
        <f>V11*'Output-Calculation-sheet'!V55/10^9</f>
        <v>8.7839103744607086E-2</v>
      </c>
      <c r="W66" s="2">
        <f>W11*'Output-Calculation-sheet'!W55/10^9</f>
        <v>4.3032716047937493E-2</v>
      </c>
      <c r="X66" s="2">
        <f>X11*'Output-Calculation-sheet'!X55/10^9</f>
        <v>8.0414480283153983E-2</v>
      </c>
      <c r="Y66" s="2">
        <f>Y11*'Output-Calculation-sheet'!Y55/10^9</f>
        <v>4.1289636634264611E-2</v>
      </c>
      <c r="AA66" s="2">
        <f t="shared" si="4"/>
        <v>17.494012839051532</v>
      </c>
    </row>
    <row r="67" spans="1:27" x14ac:dyDescent="0.25">
      <c r="A67" s="2">
        <v>2035</v>
      </c>
      <c r="B67" s="2">
        <f>B12*'Output-Calculation-sheet'!B56/10^9</f>
        <v>4.3358413685374071</v>
      </c>
      <c r="C67" s="2">
        <f>C12*'Output-Calculation-sheet'!C56/10^9</f>
        <v>2.7399283019769074</v>
      </c>
      <c r="D67" s="2">
        <f>D12*'Output-Calculation-sheet'!D56/10^9</f>
        <v>0.8600125147655665</v>
      </c>
      <c r="E67" s="2">
        <f>E12*'Output-Calculation-sheet'!E56/10^9</f>
        <v>1.1761150544263241</v>
      </c>
      <c r="F67" s="2">
        <f>F12*'Output-Calculation-sheet'!F56/10^9</f>
        <v>0.46095893046170622</v>
      </c>
      <c r="G67" s="2">
        <f>G12*'Output-Calculation-sheet'!G56/10^9</f>
        <v>0.34010872590268726</v>
      </c>
      <c r="H67" s="2">
        <f>H12*'Output-Calculation-sheet'!H56/10^9</f>
        <v>0.72320912718869423</v>
      </c>
      <c r="I67" s="2">
        <f>I12*'Output-Calculation-sheet'!I56/10^9</f>
        <v>0.31162338059265537</v>
      </c>
      <c r="J67" s="2">
        <f>J12*'Output-Calculation-sheet'!J56/10^9</f>
        <v>0.28508237744205189</v>
      </c>
      <c r="K67" s="2">
        <f>K12*'Output-Calculation-sheet'!K56/10^9</f>
        <v>0.34156438221682817</v>
      </c>
      <c r="L67" s="2">
        <f>L12*'Output-Calculation-sheet'!L56/10^9</f>
        <v>0.31844044458093751</v>
      </c>
      <c r="M67" s="2">
        <f>M12*'Output-Calculation-sheet'!M56/10^9</f>
        <v>0.51170586171832977</v>
      </c>
      <c r="N67" s="2">
        <f>N12*'Output-Calculation-sheet'!N56/10^9</f>
        <v>0.43704424359794786</v>
      </c>
      <c r="O67" s="2">
        <f>O12*'Output-Calculation-sheet'!O56/10^9</f>
        <v>0.48338911626439779</v>
      </c>
      <c r="P67" s="2">
        <f>P12*'Output-Calculation-sheet'!P56/10^9</f>
        <v>0.35467139625013344</v>
      </c>
      <c r="Q67" s="2">
        <f>Q12*'Output-Calculation-sheet'!Q56/10^9</f>
        <v>0.33504042159144909</v>
      </c>
      <c r="R67" s="2">
        <f>R12*'Output-Calculation-sheet'!R56/10^9</f>
        <v>0.26308721463768803</v>
      </c>
      <c r="S67" s="2">
        <f>S12*'Output-Calculation-sheet'!S56/10^9</f>
        <v>0.2539686166989204</v>
      </c>
      <c r="T67" s="2">
        <f>T12*'Output-Calculation-sheet'!T56/10^9</f>
        <v>8.1809506549209363E-2</v>
      </c>
      <c r="U67" s="2">
        <f>U12*'Output-Calculation-sheet'!U56/10^9</f>
        <v>8.8447773051565717E-2</v>
      </c>
      <c r="V67" s="2">
        <f>V12*'Output-Calculation-sheet'!V56/10^9</f>
        <v>6.3140887106892502E-2</v>
      </c>
      <c r="W67" s="2">
        <f>W12*'Output-Calculation-sheet'!W56/10^9</f>
        <v>4.2816693724843313E-2</v>
      </c>
      <c r="X67" s="2">
        <f>X12*'Output-Calculation-sheet'!X56/10^9</f>
        <v>6.6467007467046688E-2</v>
      </c>
      <c r="Y67" s="2">
        <f>Y12*'Output-Calculation-sheet'!Y56/10^9</f>
        <v>3.9952323764378329E-2</v>
      </c>
      <c r="AA67" s="2">
        <f t="shared" si="4"/>
        <v>14.914425670514568</v>
      </c>
    </row>
    <row r="68" spans="1:27" x14ac:dyDescent="0.25">
      <c r="B68" s="2">
        <f>SUM(B60:B67)</f>
        <v>43.21182793840692</v>
      </c>
      <c r="C68" s="2">
        <f t="shared" ref="C68:Y68" si="5">SUM(C60:C67)</f>
        <v>24.150230277808564</v>
      </c>
      <c r="D68" s="2">
        <f t="shared" si="5"/>
        <v>7.7698837154102991</v>
      </c>
      <c r="E68" s="2">
        <f t="shared" si="5"/>
        <v>10.064241857655668</v>
      </c>
      <c r="F68" s="2">
        <f t="shared" si="5"/>
        <v>4.1520833931492032</v>
      </c>
      <c r="G68" s="2">
        <f t="shared" si="5"/>
        <v>2.989097583767633</v>
      </c>
      <c r="H68" s="2">
        <f t="shared" si="5"/>
        <v>6.2126289911824264</v>
      </c>
      <c r="I68" s="2">
        <f t="shared" si="5"/>
        <v>2.6902111846968708</v>
      </c>
      <c r="J68" s="2">
        <f t="shared" si="5"/>
        <v>2.8595950588127566</v>
      </c>
      <c r="K68" s="2">
        <f t="shared" si="5"/>
        <v>2.9713457076118139</v>
      </c>
      <c r="L68" s="2">
        <f t="shared" si="5"/>
        <v>3.0244069637208821</v>
      </c>
      <c r="M68" s="2">
        <f t="shared" si="5"/>
        <v>4.5714765011754555</v>
      </c>
      <c r="N68" s="2">
        <f t="shared" si="5"/>
        <v>3.8862561334658126</v>
      </c>
      <c r="O68" s="2">
        <f t="shared" si="5"/>
        <v>4.182790764033097</v>
      </c>
      <c r="P68" s="2">
        <f t="shared" si="5"/>
        <v>3.1753033304087728</v>
      </c>
      <c r="Q68" s="2">
        <f t="shared" si="5"/>
        <v>3.0537223349543123</v>
      </c>
      <c r="R68" s="2">
        <f t="shared" si="5"/>
        <v>2.4923415365623929</v>
      </c>
      <c r="S68" s="2">
        <f t="shared" si="5"/>
        <v>2.3665917221021293</v>
      </c>
      <c r="T68" s="2">
        <f t="shared" si="5"/>
        <v>0.81337771749660936</v>
      </c>
      <c r="U68" s="2">
        <f t="shared" si="5"/>
        <v>0.81116551401983639</v>
      </c>
      <c r="V68" s="2">
        <f t="shared" si="5"/>
        <v>0.74486682284901817</v>
      </c>
      <c r="W68" s="2">
        <f t="shared" si="5"/>
        <v>0.3810369148044504</v>
      </c>
      <c r="X68" s="2">
        <f t="shared" si="5"/>
        <v>0.62296135075480052</v>
      </c>
      <c r="Y68" s="2">
        <f t="shared" si="5"/>
        <v>0.32380415005464447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49.915243901836575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44.432083865421085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176.29643551375344</v>
      </c>
      <c r="S74" s="2">
        <f>S8/'Output-Calculation-sheet'!S7*'Output-Calculation-sheet'!S61</f>
        <v>0</v>
      </c>
      <c r="T74" s="2">
        <f>T8/'Output-Calculation-sheet'!T7*'Output-Calculation-sheet'!T61</f>
        <v>129.87317697976292</v>
      </c>
      <c r="U74" s="2">
        <f>U8/'Output-Calculation-sheet'!U7*'Output-Calculation-sheet'!U61</f>
        <v>16.451901248374785</v>
      </c>
      <c r="V74" s="2">
        <f>V8/'Output-Calculation-sheet'!V7*'Output-Calculation-sheet'!V61</f>
        <v>149.07577139448497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0.56604461290363384</v>
      </c>
    </row>
    <row r="75" spans="1:27" x14ac:dyDescent="0.25">
      <c r="A75" s="2">
        <v>2032</v>
      </c>
      <c r="B75" s="2">
        <f>B9/'Output-Calculation-sheet'!B8*'Output-Calculation-sheet'!B62</f>
        <v>491.19070003783298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99.617719852047315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79.814557462743508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211.18723627258382</v>
      </c>
      <c r="S75" s="2">
        <f>S9/'Output-Calculation-sheet'!S8*'Output-Calculation-sheet'!S62</f>
        <v>0</v>
      </c>
      <c r="T75" s="2">
        <f>T9/'Output-Calculation-sheet'!T8*'Output-Calculation-sheet'!T62</f>
        <v>139.49417359663749</v>
      </c>
      <c r="U75" s="2">
        <f>U9/'Output-Calculation-sheet'!U8*'Output-Calculation-sheet'!U62</f>
        <v>28.514423003291952</v>
      </c>
      <c r="V75" s="2">
        <f>V9/'Output-Calculation-sheet'!V8*'Output-Calculation-sheet'!V62</f>
        <v>149.42851018302505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1.1992473204081624</v>
      </c>
    </row>
    <row r="76" spans="1:27" x14ac:dyDescent="0.25">
      <c r="A76" s="2">
        <v>2033</v>
      </c>
      <c r="B76" s="2">
        <f>B10/'Output-Calculation-sheet'!B9*'Output-Calculation-sheet'!B63</f>
        <v>4255.3967366986781</v>
      </c>
      <c r="C76" s="2">
        <f>C10/'Output-Calculation-sheet'!C9*'Output-Calculation-sheet'!C63</f>
        <v>8691.4653607419041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2771.1505457495605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1886.8724551964765</v>
      </c>
      <c r="N76" s="2">
        <f>N10/'Output-Calculation-sheet'!N9*'Output-Calculation-sheet'!N63</f>
        <v>1077.8650927638914</v>
      </c>
      <c r="O76" s="2">
        <f>O10/'Output-Calculation-sheet'!O9*'Output-Calculation-sheet'!O63</f>
        <v>0</v>
      </c>
      <c r="P76" s="2">
        <f>P10/'Output-Calculation-sheet'!P9*'Output-Calculation-sheet'!P63</f>
        <v>374.28975627359375</v>
      </c>
      <c r="Q76" s="2">
        <f>Q10/'Output-Calculation-sheet'!Q9*'Output-Calculation-sheet'!Q63</f>
        <v>168.81972169742505</v>
      </c>
      <c r="R76" s="2">
        <f>R10/'Output-Calculation-sheet'!R9*'Output-Calculation-sheet'!R63</f>
        <v>285.268635480066</v>
      </c>
      <c r="S76" s="2">
        <f>S10/'Output-Calculation-sheet'!S9*'Output-Calculation-sheet'!S63</f>
        <v>479.3014494836292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100.80409168978441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222.19263915139013</v>
      </c>
      <c r="Y76" s="2">
        <f>Y10/'Output-Calculation-sheet'!Y9*'Output-Calculation-sheet'!Y63</f>
        <v>4.2152792446929306</v>
      </c>
      <c r="AA76" s="2">
        <f t="shared" si="6"/>
        <v>20.417411135701489</v>
      </c>
    </row>
    <row r="77" spans="1:27" x14ac:dyDescent="0.25">
      <c r="A77" s="2">
        <v>2034</v>
      </c>
      <c r="B77" s="2">
        <f>B11/'Output-Calculation-sheet'!B10*'Output-Calculation-sheet'!B64</f>
        <v>8660.636087175757</v>
      </c>
      <c r="C77" s="2">
        <f>C11/'Output-Calculation-sheet'!C10*'Output-Calculation-sheet'!C64</f>
        <v>7608.0233880370515</v>
      </c>
      <c r="D77" s="2">
        <f>D11/'Output-Calculation-sheet'!D10*'Output-Calculation-sheet'!D64</f>
        <v>1067.464812373732</v>
      </c>
      <c r="E77" s="2">
        <f>E11/'Output-Calculation-sheet'!E10*'Output-Calculation-sheet'!E64</f>
        <v>1319.0156591358523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563.62429699454231</v>
      </c>
      <c r="H77" s="2">
        <f>H11/'Output-Calculation-sheet'!H10*'Output-Calculation-sheet'!H64</f>
        <v>2792.4645975601538</v>
      </c>
      <c r="I77" s="2">
        <f>I11/'Output-Calculation-sheet'!I10*'Output-Calculation-sheet'!I64</f>
        <v>332.50512702409526</v>
      </c>
      <c r="J77" s="2">
        <f>J11/'Output-Calculation-sheet'!J10*'Output-Calculation-sheet'!J64</f>
        <v>237.02505849739492</v>
      </c>
      <c r="K77" s="2">
        <f>K11/'Output-Calculation-sheet'!K10*'Output-Calculation-sheet'!K64</f>
        <v>502.54583972119025</v>
      </c>
      <c r="L77" s="2">
        <f>L11/'Output-Calculation-sheet'!L10*'Output-Calculation-sheet'!L64</f>
        <v>218.20351223797505</v>
      </c>
      <c r="M77" s="2">
        <f>M11/'Output-Calculation-sheet'!M10*'Output-Calculation-sheet'!M64</f>
        <v>1986.1428435435892</v>
      </c>
      <c r="N77" s="2">
        <f>N11/'Output-Calculation-sheet'!N10*'Output-Calculation-sheet'!N64</f>
        <v>1413.0918548567222</v>
      </c>
      <c r="O77" s="2">
        <f>O11/'Output-Calculation-sheet'!O10*'Output-Calculation-sheet'!O64</f>
        <v>49.268236046322798</v>
      </c>
      <c r="P77" s="2">
        <f>P11/'Output-Calculation-sheet'!P10*'Output-Calculation-sheet'!P64</f>
        <v>623.68635988060089</v>
      </c>
      <c r="Q77" s="2">
        <f>Q11/'Output-Calculation-sheet'!Q10*'Output-Calculation-sheet'!Q64</f>
        <v>355.88861555035544</v>
      </c>
      <c r="R77" s="2">
        <f>R11/'Output-Calculation-sheet'!R10*'Output-Calculation-sheet'!R64</f>
        <v>533.7125792473098</v>
      </c>
      <c r="S77" s="2">
        <f>S11/'Output-Calculation-sheet'!S10*'Output-Calculation-sheet'!S64</f>
        <v>713.60365105631138</v>
      </c>
      <c r="T77" s="2">
        <f>T11/'Output-Calculation-sheet'!T10*'Output-Calculation-sheet'!T64</f>
        <v>146.83245512647864</v>
      </c>
      <c r="U77" s="2">
        <f>U11/'Output-Calculation-sheet'!U10*'Output-Calculation-sheet'!U64</f>
        <v>195.15747424048911</v>
      </c>
      <c r="V77" s="2">
        <f>V11/'Output-Calculation-sheet'!V10*'Output-Calculation-sheet'!V64</f>
        <v>77.795693728052527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201.81319627051511</v>
      </c>
      <c r="Y77" s="2">
        <f>Y11/'Output-Calculation-sheet'!Y10*'Output-Calculation-sheet'!Y64</f>
        <v>48.864326511677298</v>
      </c>
      <c r="AA77" s="2">
        <f t="shared" si="6"/>
        <v>29.74593064666864</v>
      </c>
    </row>
    <row r="78" spans="1:27" x14ac:dyDescent="0.25">
      <c r="A78" s="2">
        <v>2035</v>
      </c>
      <c r="B78" s="2">
        <f>B12/'Output-Calculation-sheet'!B11*'Output-Calculation-sheet'!B65</f>
        <v>8391.058493400411</v>
      </c>
      <c r="C78" s="2">
        <f>C12/'Output-Calculation-sheet'!C11*'Output-Calculation-sheet'!C65</f>
        <v>5925.5875331680445</v>
      </c>
      <c r="D78" s="2">
        <f>D12/'Output-Calculation-sheet'!D11*'Output-Calculation-sheet'!D65</f>
        <v>890.84512615066592</v>
      </c>
      <c r="E78" s="2">
        <f>E12/'Output-Calculation-sheet'!E11*'Output-Calculation-sheet'!E65</f>
        <v>1693.4729022585541</v>
      </c>
      <c r="F78" s="2">
        <f>F12/'Output-Calculation-sheet'!F11*'Output-Calculation-sheet'!F65</f>
        <v>358.70801520193208</v>
      </c>
      <c r="G78" s="2">
        <f>G12/'Output-Calculation-sheet'!G11*'Output-Calculation-sheet'!G65</f>
        <v>673.07292141531059</v>
      </c>
      <c r="H78" s="2">
        <f>H12/'Output-Calculation-sheet'!H11*'Output-Calculation-sheet'!H65</f>
        <v>2167.0293206989973</v>
      </c>
      <c r="I78" s="2">
        <f>I12/'Output-Calculation-sheet'!I11*'Output-Calculation-sheet'!I65</f>
        <v>395.78816955401089</v>
      </c>
      <c r="J78" s="2">
        <f>J12/'Output-Calculation-sheet'!J11*'Output-Calculation-sheet'!J65</f>
        <v>354.9553645129983</v>
      </c>
      <c r="K78" s="2">
        <f>K12/'Output-Calculation-sheet'!K11*'Output-Calculation-sheet'!K65</f>
        <v>447.93648110340359</v>
      </c>
      <c r="L78" s="2">
        <f>L12/'Output-Calculation-sheet'!L11*'Output-Calculation-sheet'!L65</f>
        <v>266.33717866613983</v>
      </c>
      <c r="M78" s="2">
        <f>M12/'Output-Calculation-sheet'!M11*'Output-Calculation-sheet'!M65</f>
        <v>1542.5563423569945</v>
      </c>
      <c r="N78" s="2">
        <f>N12/'Output-Calculation-sheet'!N11*'Output-Calculation-sheet'!N65</f>
        <v>1084.6662144909121</v>
      </c>
      <c r="O78" s="2">
        <f>O12/'Output-Calculation-sheet'!O11*'Output-Calculation-sheet'!O65</f>
        <v>152.05618554854433</v>
      </c>
      <c r="P78" s="2">
        <f>P12/'Output-Calculation-sheet'!P11*'Output-Calculation-sheet'!P65</f>
        <v>616.62128906063572</v>
      </c>
      <c r="Q78" s="2">
        <f>Q12/'Output-Calculation-sheet'!Q11*'Output-Calculation-sheet'!Q65</f>
        <v>310.15439088569622</v>
      </c>
      <c r="R78" s="2">
        <f>R12/'Output-Calculation-sheet'!R11*'Output-Calculation-sheet'!R65</f>
        <v>511.22828019228638</v>
      </c>
      <c r="S78" s="2">
        <f>S12/'Output-Calculation-sheet'!S11*'Output-Calculation-sheet'!S65</f>
        <v>576.74440249886572</v>
      </c>
      <c r="T78" s="2">
        <f>T12/'Output-Calculation-sheet'!T11*'Output-Calculation-sheet'!T65</f>
        <v>183.82579201153123</v>
      </c>
      <c r="U78" s="2">
        <f>U12/'Output-Calculation-sheet'!U11*'Output-Calculation-sheet'!U65</f>
        <v>157.50467319497125</v>
      </c>
      <c r="V78" s="2">
        <f>V12/'Output-Calculation-sheet'!V11*'Output-Calculation-sheet'!V65</f>
        <v>99.206933399100478</v>
      </c>
      <c r="W78" s="2">
        <f>W12/'Output-Calculation-sheet'!W11*'Output-Calculation-sheet'!W65</f>
        <v>69.874608097949661</v>
      </c>
      <c r="X78" s="2">
        <f>X12/'Output-Calculation-sheet'!X11*'Output-Calculation-sheet'!X65</f>
        <v>158.98722937609347</v>
      </c>
      <c r="Y78" s="2">
        <f>Y12/'Output-Calculation-sheet'!Y11*'Output-Calculation-sheet'!Y65</f>
        <v>68.204549688903043</v>
      </c>
      <c r="AA78" s="2">
        <f t="shared" si="6"/>
        <v>27.096422396932955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313.69204030540669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304.70962200443591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0.6184016623098425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527.51529398154264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20.298204558777613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13.967151029483542</v>
      </c>
      <c r="N88" s="2">
        <f>N11/'Output-Calculation-sheet'!N10*'Output-Calculation-sheet'!N73</f>
        <v>0</v>
      </c>
      <c r="O88" s="2">
        <f>O11/'Output-Calculation-sheet'!O10*'Output-Calculation-sheet'!O73</f>
        <v>294.63583699048996</v>
      </c>
      <c r="P88" s="2">
        <f>P11/'Output-Calculation-sheet'!P10*'Output-Calculation-sheet'!P73</f>
        <v>0</v>
      </c>
      <c r="Q88" s="2">
        <f>Q11/'Output-Calculation-sheet'!Q10*'Output-Calculation-sheet'!Q73</f>
        <v>12.027327325121847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1.5322308997700675</v>
      </c>
      <c r="Y88" s="2">
        <f>Y11/'Output-Calculation-sheet'!Y10*'Output-Calculation-sheet'!Y73</f>
        <v>0</v>
      </c>
      <c r="AA88" s="2">
        <f t="shared" si="7"/>
        <v>0.86997604478518553</v>
      </c>
    </row>
    <row r="89" spans="1:27" x14ac:dyDescent="0.25">
      <c r="A89" s="2">
        <v>2035</v>
      </c>
      <c r="B89" s="2">
        <f>B12/'Output-Calculation-sheet'!B11*'Output-Calculation-sheet'!B74</f>
        <v>211.5161829396892</v>
      </c>
      <c r="C89" s="2">
        <f>C12/'Output-Calculation-sheet'!C11*'Output-Calculation-sheet'!C74</f>
        <v>652.53693684242046</v>
      </c>
      <c r="D89" s="2">
        <f>D12/'Output-Calculation-sheet'!D11*'Output-Calculation-sheet'!D74</f>
        <v>88.928887062706849</v>
      </c>
      <c r="E89" s="2">
        <f>E12/'Output-Calculation-sheet'!E11*'Output-Calculation-sheet'!E74</f>
        <v>70.674744997539975</v>
      </c>
      <c r="F89" s="2">
        <f>F12/'Output-Calculation-sheet'!F11*'Output-Calculation-sheet'!F74</f>
        <v>22.224784089339039</v>
      </c>
      <c r="G89" s="2">
        <f>G12/'Output-Calculation-sheet'!G11*'Output-Calculation-sheet'!G74</f>
        <v>31.900702470036997</v>
      </c>
      <c r="H89" s="2">
        <f>H12/'Output-Calculation-sheet'!H11*'Output-Calculation-sheet'!H74</f>
        <v>77.258150703014593</v>
      </c>
      <c r="I89" s="2">
        <f>I12/'Output-Calculation-sheet'!I11*'Output-Calculation-sheet'!I74</f>
        <v>28.69277726214375</v>
      </c>
      <c r="J89" s="2">
        <f>J12/'Output-Calculation-sheet'!J11*'Output-Calculation-sheet'!J74</f>
        <v>14.198214580519933</v>
      </c>
      <c r="K89" s="2">
        <f>K12/'Output-Calculation-sheet'!K11*'Output-Calculation-sheet'!K74</f>
        <v>28.200483574880607</v>
      </c>
      <c r="L89" s="2">
        <f>L12/'Output-Calculation-sheet'!L11*'Output-Calculation-sheet'!L74</f>
        <v>22.423673219628697</v>
      </c>
      <c r="M89" s="2">
        <f>M12/'Output-Calculation-sheet'!M11*'Output-Calculation-sheet'!M74</f>
        <v>42.528934261270983</v>
      </c>
      <c r="N89" s="2">
        <f>N12/'Output-Calculation-sheet'!N11*'Output-Calculation-sheet'!N74</f>
        <v>31.349338556356926</v>
      </c>
      <c r="O89" s="2">
        <f>O12/'Output-Calculation-sheet'!O11*'Output-Calculation-sheet'!O74</f>
        <v>253.54074419689303</v>
      </c>
      <c r="P89" s="2">
        <f>P12/'Output-Calculation-sheet'!P11*'Output-Calculation-sheet'!P74</f>
        <v>19.307426779617238</v>
      </c>
      <c r="Q89" s="2">
        <f>Q12/'Output-Calculation-sheet'!Q11*'Output-Calculation-sheet'!Q74</f>
        <v>27.466736706136757</v>
      </c>
      <c r="R89" s="2">
        <f>R12/'Output-Calculation-sheet'!R11*'Output-Calculation-sheet'!R74</f>
        <v>18.158927296994509</v>
      </c>
      <c r="S89" s="2">
        <f>S12/'Output-Calculation-sheet'!S11*'Output-Calculation-sheet'!S74</f>
        <v>17.970474309804501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5.8423781740780907</v>
      </c>
      <c r="V89" s="2">
        <f>V12/'Output-Calculation-sheet'!V11*'Output-Calculation-sheet'!V74</f>
        <v>2.2525017232954267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6.9982933962537848</v>
      </c>
      <c r="Y89" s="2">
        <f>Y12/'Output-Calculation-sheet'!Y11*'Output-Calculation-sheet'!Y74</f>
        <v>2.2511609766120322</v>
      </c>
      <c r="AA89" s="2">
        <f t="shared" si="7"/>
        <v>1.6815320337590689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14444596029.889256</v>
      </c>
      <c r="C96" s="2">
        <f>C8/'Output-Calculation-sheet'!C7*'Output-Calculation-sheet'!C79</f>
        <v>1777976817.8056231</v>
      </c>
      <c r="D96" s="2">
        <f>D8/'Output-Calculation-sheet'!D7*'Output-Calculation-sheet'!D79</f>
        <v>6296360299.8873053</v>
      </c>
      <c r="E96" s="2">
        <f>E8/'Output-Calculation-sheet'!E7*'Output-Calculation-sheet'!E79</f>
        <v>10765353289.310635</v>
      </c>
      <c r="F96" s="2">
        <f>F8/'Output-Calculation-sheet'!F7*'Output-Calculation-sheet'!F79</f>
        <v>4844768270.5722857</v>
      </c>
      <c r="G96" s="2">
        <f>G8/'Output-Calculation-sheet'!G7*'Output-Calculation-sheet'!G79</f>
        <v>3679821531.0025563</v>
      </c>
      <c r="H96" s="2">
        <f>H8/'Output-Calculation-sheet'!H7*'Output-Calculation-sheet'!H79</f>
        <v>1070585602.7768602</v>
      </c>
      <c r="I96" s="2">
        <f>I8/'Output-Calculation-sheet'!I7*'Output-Calculation-sheet'!I79</f>
        <v>2468324497.7819953</v>
      </c>
      <c r="J96" s="2">
        <f>J8/'Output-Calculation-sheet'!J7*'Output-Calculation-sheet'!J79</f>
        <v>1829071228.174155</v>
      </c>
      <c r="K96" s="2">
        <f>K8/'Output-Calculation-sheet'!K7*'Output-Calculation-sheet'!K79</f>
        <v>2114866163.2172389</v>
      </c>
      <c r="L96" s="2">
        <f>L8/'Output-Calculation-sheet'!L7*'Output-Calculation-sheet'!L79</f>
        <v>1682337173.6553452</v>
      </c>
      <c r="M96" s="2">
        <f>M8/'Output-Calculation-sheet'!M7*'Output-Calculation-sheet'!M79</f>
        <v>832284767.81192875</v>
      </c>
      <c r="N96" s="2">
        <f>N8/'Output-Calculation-sheet'!N7*'Output-Calculation-sheet'!N79</f>
        <v>845267759.47755241</v>
      </c>
      <c r="O96" s="2">
        <f>O8/'Output-Calculation-sheet'!O7*'Output-Calculation-sheet'!O79</f>
        <v>206329939.19272858</v>
      </c>
      <c r="P96" s="2">
        <f>P8/'Output-Calculation-sheet'!P7*'Output-Calculation-sheet'!P79</f>
        <v>2248121653.6676044</v>
      </c>
      <c r="Q96" s="2">
        <f>Q8/'Output-Calculation-sheet'!Q7*'Output-Calculation-sheet'!Q79</f>
        <v>996888348.88679802</v>
      </c>
      <c r="R96" s="2">
        <f>R8/'Output-Calculation-sheet'!R7*'Output-Calculation-sheet'!R79</f>
        <v>1516749407.7997367</v>
      </c>
      <c r="S96" s="2">
        <f>S8/'Output-Calculation-sheet'!S7*'Output-Calculation-sheet'!S79</f>
        <v>592854685.99076605</v>
      </c>
      <c r="T96" s="2">
        <f>T8/'Output-Calculation-sheet'!T7*'Output-Calculation-sheet'!T79</f>
        <v>802914493.33285856</v>
      </c>
      <c r="U96" s="2">
        <f>U8/'Output-Calculation-sheet'!U7*'Output-Calculation-sheet'!U79</f>
        <v>398785254.02972531</v>
      </c>
      <c r="V96" s="2">
        <f>V8/'Output-Calculation-sheet'!V7*'Output-Calculation-sheet'!V79</f>
        <v>293852532.13902819</v>
      </c>
      <c r="W96" s="2">
        <f>W8/'Output-Calculation-sheet'!W7*'Output-Calculation-sheet'!W79</f>
        <v>782836028.25862122</v>
      </c>
      <c r="X96" s="2">
        <f>X8/'Output-Calculation-sheet'!X7*'Output-Calculation-sheet'!X79</f>
        <v>92764365.254006743</v>
      </c>
      <c r="Y96" s="2">
        <f>Y8/'Output-Calculation-sheet'!Y7*'Output-Calculation-sheet'!Y79</f>
        <v>351327193.38827181</v>
      </c>
      <c r="AA96" s="2">
        <f t="shared" si="8"/>
        <v>60.93503733330288</v>
      </c>
    </row>
    <row r="97" spans="1:27" x14ac:dyDescent="0.25">
      <c r="A97" s="2">
        <v>2032</v>
      </c>
      <c r="B97" s="2">
        <f>B9/'Output-Calculation-sheet'!B8*'Output-Calculation-sheet'!B80</f>
        <v>14609369226.016226</v>
      </c>
      <c r="C97" s="2">
        <f>C9/'Output-Calculation-sheet'!C8*'Output-Calculation-sheet'!C80</f>
        <v>1835422533.0774176</v>
      </c>
      <c r="D97" s="2">
        <f>D9/'Output-Calculation-sheet'!D8*'Output-Calculation-sheet'!D80</f>
        <v>6044955934.6607084</v>
      </c>
      <c r="E97" s="2">
        <f>E9/'Output-Calculation-sheet'!E8*'Output-Calculation-sheet'!E80</f>
        <v>10642782739.368298</v>
      </c>
      <c r="F97" s="2">
        <f>F9/'Output-Calculation-sheet'!F8*'Output-Calculation-sheet'!F80</f>
        <v>4778546764.2715101</v>
      </c>
      <c r="G97" s="2">
        <f>G9/'Output-Calculation-sheet'!G8*'Output-Calculation-sheet'!G80</f>
        <v>3536989285.4408145</v>
      </c>
      <c r="H97" s="2">
        <f>H9/'Output-Calculation-sheet'!H8*'Output-Calculation-sheet'!H80</f>
        <v>1071730614.0654187</v>
      </c>
      <c r="I97" s="2">
        <f>I9/'Output-Calculation-sheet'!I8*'Output-Calculation-sheet'!I80</f>
        <v>2456691461.3349957</v>
      </c>
      <c r="J97" s="2">
        <f>J9/'Output-Calculation-sheet'!J8*'Output-Calculation-sheet'!J80</f>
        <v>1772646461.3862209</v>
      </c>
      <c r="K97" s="2">
        <f>K9/'Output-Calculation-sheet'!K8*'Output-Calculation-sheet'!K80</f>
        <v>2063412670.5529771</v>
      </c>
      <c r="L97" s="2">
        <f>L9/'Output-Calculation-sheet'!L8*'Output-Calculation-sheet'!L80</f>
        <v>1691880846.7088304</v>
      </c>
      <c r="M97" s="2">
        <f>M9/'Output-Calculation-sheet'!M8*'Output-Calculation-sheet'!M80</f>
        <v>833037032.31793058</v>
      </c>
      <c r="N97" s="2">
        <f>N9/'Output-Calculation-sheet'!N8*'Output-Calculation-sheet'!N80</f>
        <v>825645494.02510417</v>
      </c>
      <c r="O97" s="2">
        <f>O9/'Output-Calculation-sheet'!O8*'Output-Calculation-sheet'!O80</f>
        <v>215477937.42975274</v>
      </c>
      <c r="P97" s="2">
        <f>P9/'Output-Calculation-sheet'!P8*'Output-Calculation-sheet'!P80</f>
        <v>2191297742.670063</v>
      </c>
      <c r="Q97" s="2">
        <f>Q9/'Output-Calculation-sheet'!Q8*'Output-Calculation-sheet'!Q80</f>
        <v>974375305.72893345</v>
      </c>
      <c r="R97" s="2">
        <f>R9/'Output-Calculation-sheet'!R8*'Output-Calculation-sheet'!R80</f>
        <v>1516271412.5617633</v>
      </c>
      <c r="S97" s="2">
        <f>S9/'Output-Calculation-sheet'!S8*'Output-Calculation-sheet'!S80</f>
        <v>584778261.64826035</v>
      </c>
      <c r="T97" s="2">
        <f>T9/'Output-Calculation-sheet'!T8*'Output-Calculation-sheet'!T80</f>
        <v>781907912.32207179</v>
      </c>
      <c r="U97" s="2">
        <f>U9/'Output-Calculation-sheet'!U8*'Output-Calculation-sheet'!U80</f>
        <v>396834751.77171624</v>
      </c>
      <c r="V97" s="2">
        <f>V9/'Output-Calculation-sheet'!V8*'Output-Calculation-sheet'!V80</f>
        <v>292320233.54915088</v>
      </c>
      <c r="W97" s="2">
        <f>W9/'Output-Calculation-sheet'!W8*'Output-Calculation-sheet'!W80</f>
        <v>764462658.43314552</v>
      </c>
      <c r="X97" s="2">
        <f>X9/'Output-Calculation-sheet'!X8*'Output-Calculation-sheet'!X80</f>
        <v>93616628.035225987</v>
      </c>
      <c r="Y97" s="2">
        <f>Y9/'Output-Calculation-sheet'!Y8*'Output-Calculation-sheet'!Y80</f>
        <v>343278342.10074663</v>
      </c>
      <c r="AA97" s="2">
        <f t="shared" si="8"/>
        <v>60.317732249477288</v>
      </c>
    </row>
    <row r="98" spans="1:27" x14ac:dyDescent="0.25">
      <c r="A98" s="2">
        <v>2033</v>
      </c>
      <c r="B98" s="2">
        <f>B10/'Output-Calculation-sheet'!B9*'Output-Calculation-sheet'!B81</f>
        <v>15504612530.000425</v>
      </c>
      <c r="C98" s="2">
        <f>C10/'Output-Calculation-sheet'!C9*'Output-Calculation-sheet'!C81</f>
        <v>5315750028.9257488</v>
      </c>
      <c r="D98" s="2">
        <f>D10/'Output-Calculation-sheet'!D9*'Output-Calculation-sheet'!D81</f>
        <v>5058974980.4223833</v>
      </c>
      <c r="E98" s="2">
        <f>E10/'Output-Calculation-sheet'!E9*'Output-Calculation-sheet'!E81</f>
        <v>9516250247.4947796</v>
      </c>
      <c r="F98" s="2">
        <f>F10/'Output-Calculation-sheet'!F9*'Output-Calculation-sheet'!F81</f>
        <v>3924731620.1387124</v>
      </c>
      <c r="G98" s="2">
        <f>G10/'Output-Calculation-sheet'!G9*'Output-Calculation-sheet'!G81</f>
        <v>2881658037.0548797</v>
      </c>
      <c r="H98" s="2">
        <f>H10/'Output-Calculation-sheet'!H9*'Output-Calculation-sheet'!H81</f>
        <v>2610805725.4266353</v>
      </c>
      <c r="I98" s="2">
        <f>I10/'Output-Calculation-sheet'!I9*'Output-Calculation-sheet'!I81</f>
        <v>2170350335.6554885</v>
      </c>
      <c r="J98" s="2">
        <f>J10/'Output-Calculation-sheet'!J9*'Output-Calculation-sheet'!J81</f>
        <v>1387776707.5599735</v>
      </c>
      <c r="K98" s="2">
        <f>K10/'Output-Calculation-sheet'!K9*'Output-Calculation-sheet'!K81</f>
        <v>2015800702.5802925</v>
      </c>
      <c r="L98" s="2">
        <f>L10/'Output-Calculation-sheet'!L9*'Output-Calculation-sheet'!L81</f>
        <v>1511880701.173419</v>
      </c>
      <c r="M98" s="2">
        <f>M10/'Output-Calculation-sheet'!M9*'Output-Calculation-sheet'!M81</f>
        <v>1960605481.8705437</v>
      </c>
      <c r="N98" s="2">
        <f>N10/'Output-Calculation-sheet'!N9*'Output-Calculation-sheet'!N81</f>
        <v>1406581456.6364815</v>
      </c>
      <c r="O98" s="2">
        <f>O10/'Output-Calculation-sheet'!O9*'Output-Calculation-sheet'!O81</f>
        <v>744864346.89276469</v>
      </c>
      <c r="P98" s="2">
        <f>P10/'Output-Calculation-sheet'!P9*'Output-Calculation-sheet'!P81</f>
        <v>2380370333.7176819</v>
      </c>
      <c r="Q98" s="2">
        <f>Q10/'Output-Calculation-sheet'!Q9*'Output-Calculation-sheet'!Q81</f>
        <v>1119189787.1241465</v>
      </c>
      <c r="R98" s="2">
        <f>R10/'Output-Calculation-sheet'!R9*'Output-Calculation-sheet'!R81</f>
        <v>1431613057.961287</v>
      </c>
      <c r="S98" s="2">
        <f>S10/'Output-Calculation-sheet'!S9*'Output-Calculation-sheet'!S81</f>
        <v>827727230.16718531</v>
      </c>
      <c r="T98" s="2">
        <f>T10/'Output-Calculation-sheet'!T9*'Output-Calculation-sheet'!T81</f>
        <v>614207657.14896369</v>
      </c>
      <c r="U98" s="2">
        <f>U10/'Output-Calculation-sheet'!U9*'Output-Calculation-sheet'!U81</f>
        <v>399643337.04473108</v>
      </c>
      <c r="V98" s="2">
        <f>V10/'Output-Calculation-sheet'!V9*'Output-Calculation-sheet'!V81</f>
        <v>211657841.19931644</v>
      </c>
      <c r="W98" s="2">
        <f>W10/'Output-Calculation-sheet'!W9*'Output-Calculation-sheet'!W81</f>
        <v>600123001.82066774</v>
      </c>
      <c r="X98" s="2">
        <f>X10/'Output-Calculation-sheet'!X9*'Output-Calculation-sheet'!X81</f>
        <v>220527046.28845868</v>
      </c>
      <c r="Y98" s="2">
        <f>Y10/'Output-Calculation-sheet'!Y9*'Output-Calculation-sheet'!Y81</f>
        <v>329984791.28196001</v>
      </c>
      <c r="AA98" s="2">
        <f t="shared" si="8"/>
        <v>64.14568698558692</v>
      </c>
    </row>
    <row r="99" spans="1:27" x14ac:dyDescent="0.25">
      <c r="A99" s="2">
        <v>2034</v>
      </c>
      <c r="B99" s="2">
        <f>B11/'Output-Calculation-sheet'!B10*'Output-Calculation-sheet'!B82</f>
        <v>15204141351.975853</v>
      </c>
      <c r="C99" s="2">
        <f>C11/'Output-Calculation-sheet'!C10*'Output-Calculation-sheet'!C82</f>
        <v>5246052558.6229343</v>
      </c>
      <c r="D99" s="2">
        <f>D11/'Output-Calculation-sheet'!D10*'Output-Calculation-sheet'!D82</f>
        <v>4772432197.1777849</v>
      </c>
      <c r="E99" s="2">
        <f>E11/'Output-Calculation-sheet'!E10*'Output-Calculation-sheet'!E82</f>
        <v>9231851595.9189186</v>
      </c>
      <c r="F99" s="2">
        <f>F11/'Output-Calculation-sheet'!F10*'Output-Calculation-sheet'!F82</f>
        <v>3802126622.9538646</v>
      </c>
      <c r="G99" s="2">
        <f>G11/'Output-Calculation-sheet'!G10*'Output-Calculation-sheet'!G82</f>
        <v>2703041468.4682531</v>
      </c>
      <c r="H99" s="2">
        <f>H11/'Output-Calculation-sheet'!H10*'Output-Calculation-sheet'!H82</f>
        <v>2526483014.4832997</v>
      </c>
      <c r="I99" s="2">
        <f>I11/'Output-Calculation-sheet'!I10*'Output-Calculation-sheet'!I82</f>
        <v>2122069846.2144022</v>
      </c>
      <c r="J99" s="2">
        <f>J11/'Output-Calculation-sheet'!J10*'Output-Calculation-sheet'!J82</f>
        <v>1320563253.6945531</v>
      </c>
      <c r="K99" s="2">
        <f>K11/'Output-Calculation-sheet'!K10*'Output-Calculation-sheet'!K82</f>
        <v>1932157333.4805539</v>
      </c>
      <c r="L99" s="2">
        <f>L11/'Output-Calculation-sheet'!L10*'Output-Calculation-sheet'!L82</f>
        <v>1491766758.9275105</v>
      </c>
      <c r="M99" s="2">
        <f>M11/'Output-Calculation-sheet'!M10*'Output-Calculation-sheet'!M82</f>
        <v>1903152825.5566039</v>
      </c>
      <c r="N99" s="2">
        <f>N11/'Output-Calculation-sheet'!N10*'Output-Calculation-sheet'!N82</f>
        <v>1340772943.8624671</v>
      </c>
      <c r="O99" s="2">
        <f>O11/'Output-Calculation-sheet'!O10*'Output-Calculation-sheet'!O82</f>
        <v>726900300.82298589</v>
      </c>
      <c r="P99" s="2">
        <f>P11/'Output-Calculation-sheet'!P10*'Output-Calculation-sheet'!P82</f>
        <v>2265912910.3724742</v>
      </c>
      <c r="Q99" s="2">
        <f>Q11/'Output-Calculation-sheet'!Q10*'Output-Calculation-sheet'!Q82</f>
        <v>1072372380.3799331</v>
      </c>
      <c r="R99" s="2">
        <f>R11/'Output-Calculation-sheet'!R10*'Output-Calculation-sheet'!R82</f>
        <v>1388181087.102309</v>
      </c>
      <c r="S99" s="2">
        <f>S11/'Output-Calculation-sheet'!S10*'Output-Calculation-sheet'!S82</f>
        <v>799631114.85746932</v>
      </c>
      <c r="T99" s="2">
        <f>T11/'Output-Calculation-sheet'!T10*'Output-Calculation-sheet'!T82</f>
        <v>584436857.09251356</v>
      </c>
      <c r="U99" s="2">
        <f>U11/'Output-Calculation-sheet'!U10*'Output-Calculation-sheet'!U82</f>
        <v>387025868.11343998</v>
      </c>
      <c r="V99" s="2">
        <f>V11/'Output-Calculation-sheet'!V10*'Output-Calculation-sheet'!V82</f>
        <v>206937906.46755028</v>
      </c>
      <c r="W99" s="2">
        <f>W11/'Output-Calculation-sheet'!W10*'Output-Calculation-sheet'!W82</f>
        <v>573846059.90579641</v>
      </c>
      <c r="X99" s="2">
        <f>X11/'Output-Calculation-sheet'!X10*'Output-Calculation-sheet'!X82</f>
        <v>216126224.77453727</v>
      </c>
      <c r="Y99" s="2">
        <f>Y11/'Output-Calculation-sheet'!Y10*'Output-Calculation-sheet'!Y82</f>
        <v>315797335.81982082</v>
      </c>
      <c r="AA99" s="2">
        <f t="shared" si="8"/>
        <v>62.133779817045827</v>
      </c>
    </row>
    <row r="100" spans="1:27" x14ac:dyDescent="0.25">
      <c r="A100" s="2">
        <v>2035</v>
      </c>
      <c r="B100" s="2">
        <f>B12/'Output-Calculation-sheet'!B11*'Output-Calculation-sheet'!B83</f>
        <v>13223949454.152781</v>
      </c>
      <c r="C100" s="2">
        <f>C12/'Output-Calculation-sheet'!C11*'Output-Calculation-sheet'!C83</f>
        <v>4591140462.1984768</v>
      </c>
      <c r="D100" s="2">
        <f>D12/'Output-Calculation-sheet'!D11*'Output-Calculation-sheet'!D83</f>
        <v>3995999086.5187078</v>
      </c>
      <c r="E100" s="2">
        <f>E12/'Output-Calculation-sheet'!E11*'Output-Calculation-sheet'!E83</f>
        <v>7947011100.0366325</v>
      </c>
      <c r="F100" s="2">
        <f>F12/'Output-Calculation-sheet'!F11*'Output-Calculation-sheet'!F83</f>
        <v>3269083496.3122401</v>
      </c>
      <c r="G100" s="2">
        <f>G12/'Output-Calculation-sheet'!G11*'Output-Calculation-sheet'!G83</f>
        <v>2246496914.0288339</v>
      </c>
      <c r="H100" s="2">
        <f>H12/'Output-Calculation-sheet'!H11*'Output-Calculation-sheet'!H83</f>
        <v>2169948133.6325569</v>
      </c>
      <c r="I100" s="2">
        <f>I12/'Output-Calculation-sheet'!I11*'Output-Calculation-sheet'!I83</f>
        <v>1841158131.3572402</v>
      </c>
      <c r="J100" s="2">
        <f>J12/'Output-Calculation-sheet'!J11*'Output-Calculation-sheet'!J83</f>
        <v>1115821071.9720023</v>
      </c>
      <c r="K100" s="2">
        <f>K12/'Output-Calculation-sheet'!K11*'Output-Calculation-sheet'!K83</f>
        <v>1644079732.270467</v>
      </c>
      <c r="L100" s="2">
        <f>L12/'Output-Calculation-sheet'!L11*'Output-Calculation-sheet'!L83</f>
        <v>1305305562.971467</v>
      </c>
      <c r="M100" s="2">
        <f>M12/'Output-Calculation-sheet'!M11*'Output-Calculation-sheet'!M83</f>
        <v>1639753031.9410598</v>
      </c>
      <c r="N100" s="2">
        <f>N12/'Output-Calculation-sheet'!N11*'Output-Calculation-sheet'!N83</f>
        <v>1134579586.3623917</v>
      </c>
      <c r="O100" s="2">
        <f>O12/'Output-Calculation-sheet'!O11*'Output-Calculation-sheet'!O83</f>
        <v>629763711.02339935</v>
      </c>
      <c r="P100" s="2">
        <f>P12/'Output-Calculation-sheet'!P11*'Output-Calculation-sheet'!P83</f>
        <v>1912637138.4991376</v>
      </c>
      <c r="Q100" s="2">
        <f>Q12/'Output-Calculation-sheet'!Q11*'Output-Calculation-sheet'!Q83</f>
        <v>912336682.87945187</v>
      </c>
      <c r="R100" s="2">
        <f>R12/'Output-Calculation-sheet'!R11*'Output-Calculation-sheet'!R83</f>
        <v>1194654036.1565123</v>
      </c>
      <c r="S100" s="2">
        <f>S12/'Output-Calculation-sheet'!S11*'Output-Calculation-sheet'!S83</f>
        <v>685670036.46450436</v>
      </c>
      <c r="T100" s="2">
        <f>T12/'Output-Calculation-sheet'!T11*'Output-Calculation-sheet'!T83</f>
        <v>493444858.34562486</v>
      </c>
      <c r="U100" s="2">
        <f>U12/'Output-Calculation-sheet'!U11*'Output-Calculation-sheet'!U83</f>
        <v>332525964.63146341</v>
      </c>
      <c r="V100" s="2">
        <f>V12/'Output-Calculation-sheet'!V11*'Output-Calculation-sheet'!V83</f>
        <v>179417078.16454771</v>
      </c>
      <c r="W100" s="2">
        <f>W12/'Output-Calculation-sheet'!W11*'Output-Calculation-sheet'!W83</f>
        <v>486084942.60206884</v>
      </c>
      <c r="X100" s="2">
        <f>X12/'Output-Calculation-sheet'!X11*'Output-Calculation-sheet'!X83</f>
        <v>187925055.93137962</v>
      </c>
      <c r="Y100" s="2">
        <f>Y12/'Output-Calculation-sheet'!Y11*'Output-Calculation-sheet'!Y83</f>
        <v>267861817.63340548</v>
      </c>
      <c r="AA100" s="2">
        <f t="shared" si="8"/>
        <v>53.406647086086366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4934.3129889356051</v>
      </c>
      <c r="C19" s="2">
        <f>C8/'Output-Calculation-sheet'!C7*'Output-Calculation-sheet'!C25</f>
        <v>6579.2192647831307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2397.2474788955155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1754.6729667078359</v>
      </c>
      <c r="N19" s="2">
        <f>N8/'Output-Calculation-sheet'!N7*'Output-Calculation-sheet'!N25</f>
        <v>914.12667569956193</v>
      </c>
      <c r="O19" s="2">
        <f>O8/'Output-Calculation-sheet'!O7*'Output-Calculation-sheet'!O25</f>
        <v>996.87907719834448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398.50486356475238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202.82868078694213</v>
      </c>
      <c r="Y19" s="2">
        <f>Y8/'Output-Calculation-sheet'!Y7*'Output-Calculation-sheet'!Y25</f>
        <v>0</v>
      </c>
      <c r="AA19" s="2">
        <f t="shared" si="0"/>
        <v>18.177791996571681</v>
      </c>
    </row>
    <row r="20" spans="1:27" x14ac:dyDescent="0.25">
      <c r="A20" s="2">
        <v>2032</v>
      </c>
      <c r="B20" s="2">
        <f>B9/'Output-Calculation-sheet'!B8*'Output-Calculation-sheet'!B26</f>
        <v>6158.2065177956638</v>
      </c>
      <c r="C20" s="2">
        <f>C9/'Output-Calculation-sheet'!C8*'Output-Calculation-sheet'!C26</f>
        <v>7097.8156465603997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2555.2437731408168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1865.9116877252989</v>
      </c>
      <c r="N20" s="2">
        <f>N9/'Output-Calculation-sheet'!N8*'Output-Calculation-sheet'!N26</f>
        <v>1061.3529171926036</v>
      </c>
      <c r="O20" s="2">
        <f>O9/'Output-Calculation-sheet'!O8*'Output-Calculation-sheet'!O26</f>
        <v>1097.9726996715631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479.77735376406076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215.53702304519098</v>
      </c>
      <c r="Y20" s="2">
        <f>Y9/'Output-Calculation-sheet'!Y8*'Output-Calculation-sheet'!Y26</f>
        <v>0</v>
      </c>
      <c r="AA20" s="2">
        <f t="shared" si="0"/>
        <v>20.531817618895595</v>
      </c>
    </row>
    <row r="21" spans="1:27" x14ac:dyDescent="0.25">
      <c r="A21" s="2">
        <v>2033</v>
      </c>
      <c r="B21" s="2">
        <f>B10/'Output-Calculation-sheet'!B9*'Output-Calculation-sheet'!B27</f>
        <v>12377.904227929286</v>
      </c>
      <c r="C21" s="2">
        <f>C10/'Output-Calculation-sheet'!C9*'Output-Calculation-sheet'!C27</f>
        <v>21256.981310819607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7164.5565257934277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4976.2305106138592</v>
      </c>
      <c r="N21" s="2">
        <f>N10/'Output-Calculation-sheet'!N9*'Output-Calculation-sheet'!N27</f>
        <v>2722.893647755252</v>
      </c>
      <c r="O21" s="2">
        <f>O10/'Output-Calculation-sheet'!O9*'Output-Calculation-sheet'!O27</f>
        <v>2120.8956733118666</v>
      </c>
      <c r="P21" s="2">
        <f>P10/'Output-Calculation-sheet'!P9*'Output-Calculation-sheet'!P27</f>
        <v>0</v>
      </c>
      <c r="Q21" s="2">
        <f>Q10/'Output-Calculation-sheet'!Q9*'Output-Calculation-sheet'!Q27</f>
        <v>185.71937726323307</v>
      </c>
      <c r="R21" s="2">
        <f>R10/'Output-Calculation-sheet'!R9*'Output-Calculation-sheet'!R27</f>
        <v>0</v>
      </c>
      <c r="S21" s="2">
        <f>S10/'Output-Calculation-sheet'!S9*'Output-Calculation-sheet'!S27</f>
        <v>1182.6558690473776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585.16207631249711</v>
      </c>
      <c r="Y21" s="2">
        <f>Y10/'Output-Calculation-sheet'!Y9*'Output-Calculation-sheet'!Y27</f>
        <v>0</v>
      </c>
      <c r="AA21" s="2">
        <f t="shared" si="0"/>
        <v>52.572999218846405</v>
      </c>
    </row>
    <row r="22" spans="1:27" x14ac:dyDescent="0.25">
      <c r="A22" s="2">
        <v>2034</v>
      </c>
      <c r="B22" s="2">
        <f>B11/'Output-Calculation-sheet'!B10*'Output-Calculation-sheet'!B28</f>
        <v>21527.531570841144</v>
      </c>
      <c r="C22" s="2">
        <f>C11/'Output-Calculation-sheet'!C10*'Output-Calculation-sheet'!C28</f>
        <v>20652.96350765018</v>
      </c>
      <c r="D22" s="2">
        <f>D11/'Output-Calculation-sheet'!D10*'Output-Calculation-sheet'!D28</f>
        <v>0</v>
      </c>
      <c r="E22" s="2">
        <f>E11/'Output-Calculation-sheet'!E10*'Output-Calculation-sheet'!E28</f>
        <v>1103.0377077864125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7881.1317879949002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657.73702132798883</v>
      </c>
      <c r="M22" s="2">
        <f>M11/'Output-Calculation-sheet'!M10*'Output-Calculation-sheet'!M28</f>
        <v>5746.0378505795843</v>
      </c>
      <c r="N22" s="2">
        <f>N11/'Output-Calculation-sheet'!N10*'Output-Calculation-sheet'!N28</f>
        <v>3429.1674853368331</v>
      </c>
      <c r="O22" s="2">
        <f>O11/'Output-Calculation-sheet'!O10*'Output-Calculation-sheet'!O28</f>
        <v>2119.4500007568008</v>
      </c>
      <c r="P22" s="2">
        <f>P11/'Output-Calculation-sheet'!P10*'Output-Calculation-sheet'!P28</f>
        <v>0</v>
      </c>
      <c r="Q22" s="2">
        <f>Q11/'Output-Calculation-sheet'!Q10*'Output-Calculation-sheet'!Q28</f>
        <v>778.99952716786004</v>
      </c>
      <c r="R22" s="2">
        <f>R11/'Output-Calculation-sheet'!R10*'Output-Calculation-sheet'!R28</f>
        <v>0</v>
      </c>
      <c r="S22" s="2">
        <f>S11/'Output-Calculation-sheet'!S10*'Output-Calculation-sheet'!S28</f>
        <v>1749.3590063042541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576.99994702896947</v>
      </c>
      <c r="Y22" s="2">
        <f>Y11/'Output-Calculation-sheet'!Y10*'Output-Calculation-sheet'!Y28</f>
        <v>59.8503854109332</v>
      </c>
      <c r="AA22" s="2">
        <f t="shared" si="0"/>
        <v>66.282265798185847</v>
      </c>
    </row>
    <row r="23" spans="1:27" x14ac:dyDescent="0.25">
      <c r="A23" s="2">
        <v>2035</v>
      </c>
      <c r="B23" s="2">
        <f>B12/'Output-Calculation-sheet'!B11*'Output-Calculation-sheet'!B29</f>
        <v>22284.963664447125</v>
      </c>
      <c r="C23" s="2">
        <f>C12/'Output-Calculation-sheet'!C11*'Output-Calculation-sheet'!C29</f>
        <v>18202.080864558335</v>
      </c>
      <c r="D23" s="2">
        <f>D12/'Output-Calculation-sheet'!D11*'Output-Calculation-sheet'!D29</f>
        <v>0</v>
      </c>
      <c r="E23" s="2">
        <f>E12/'Output-Calculation-sheet'!E11*'Output-Calculation-sheet'!E29</f>
        <v>3435.7976449150392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7006.8380776558233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778.86760115383231</v>
      </c>
      <c r="M23" s="2">
        <f>M12/'Output-Calculation-sheet'!M11*'Output-Calculation-sheet'!M29</f>
        <v>5133.6177187545545</v>
      </c>
      <c r="N23" s="2">
        <f>N12/'Output-Calculation-sheet'!N11*'Output-Calculation-sheet'!N29</f>
        <v>2994.72556730929</v>
      </c>
      <c r="O23" s="2">
        <f>O12/'Output-Calculation-sheet'!O11*'Output-Calculation-sheet'!O29</f>
        <v>2018.8131823423305</v>
      </c>
      <c r="P23" s="2">
        <f>P12/'Output-Calculation-sheet'!P11*'Output-Calculation-sheet'!P29</f>
        <v>365.75089620732069</v>
      </c>
      <c r="Q23" s="2">
        <f>Q12/'Output-Calculation-sheet'!Q11*'Output-Calculation-sheet'!Q29</f>
        <v>821.10667576664605</v>
      </c>
      <c r="R23" s="2">
        <f>R12/'Output-Calculation-sheet'!R11*'Output-Calculation-sheet'!R29</f>
        <v>0</v>
      </c>
      <c r="S23" s="2">
        <f>S12/'Output-Calculation-sheet'!S11*'Output-Calculation-sheet'!S29</f>
        <v>1603.0771061485216</v>
      </c>
      <c r="T23" s="2">
        <f>T12/'Output-Calculation-sheet'!T11*'Output-Calculation-sheet'!T29</f>
        <v>0</v>
      </c>
      <c r="U23" s="2">
        <f>U12/'Output-Calculation-sheet'!U11*'Output-Calculation-sheet'!U29</f>
        <v>69.906102300939239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508.56471013140799</v>
      </c>
      <c r="Y23" s="2">
        <f>Y12/'Output-Calculation-sheet'!Y11*'Output-Calculation-sheet'!Y29</f>
        <v>150.56355309874266</v>
      </c>
      <c r="AA23" s="2">
        <f t="shared" si="0"/>
        <v>65.374673364789913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24266.287094651416</v>
      </c>
      <c r="C30" s="2">
        <f>C8/'Output-Calculation-sheet'!C7*'Output-Calculation-sheet'!C16</f>
        <v>0</v>
      </c>
      <c r="D30" s="2">
        <f>D8/'Output-Calculation-sheet'!D7*'Output-Calculation-sheet'!D16</f>
        <v>5466.9605403336509</v>
      </c>
      <c r="E30" s="2">
        <f>E8/'Output-Calculation-sheet'!E7*'Output-Calculation-sheet'!E16</f>
        <v>6850.9748813066199</v>
      </c>
      <c r="F30" s="2">
        <f>F8/'Output-Calculation-sheet'!F7*'Output-Calculation-sheet'!F16</f>
        <v>3346.0154977555399</v>
      </c>
      <c r="G30" s="2">
        <f>G8/'Output-Calculation-sheet'!G7*'Output-Calculation-sheet'!G16</f>
        <v>2039.0183955650721</v>
      </c>
      <c r="H30" s="2">
        <f>H8/'Output-Calculation-sheet'!H7*'Output-Calculation-sheet'!H16</f>
        <v>0</v>
      </c>
      <c r="I30" s="2">
        <f>I8/'Output-Calculation-sheet'!I7*'Output-Calculation-sheet'!I16</f>
        <v>1919.4841610495921</v>
      </c>
      <c r="J30" s="2">
        <f>J8/'Output-Calculation-sheet'!J7*'Output-Calculation-sheet'!J16</f>
        <v>2057.6040336742872</v>
      </c>
      <c r="K30" s="2">
        <f>K8/'Output-Calculation-sheet'!K7*'Output-Calculation-sheet'!K16</f>
        <v>1991.529417000387</v>
      </c>
      <c r="L30" s="2">
        <f>L8/'Output-Calculation-sheet'!L7*'Output-Calculation-sheet'!L16</f>
        <v>2201.3190662539305</v>
      </c>
      <c r="M30" s="2">
        <f>M8/'Output-Calculation-sheet'!M7*'Output-Calculation-sheet'!M16</f>
        <v>0</v>
      </c>
      <c r="N30" s="2">
        <f>N8/'Output-Calculation-sheet'!N7*'Output-Calculation-sheet'!N16</f>
        <v>987.13035241606769</v>
      </c>
      <c r="O30" s="2">
        <f>O8/'Output-Calculation-sheet'!O7*'Output-Calculation-sheet'!O16</f>
        <v>0</v>
      </c>
      <c r="P30" s="2">
        <f>P8/'Output-Calculation-sheet'!P7*'Output-Calculation-sheet'!P16</f>
        <v>1884.4383272602099</v>
      </c>
      <c r="Q30" s="2">
        <f>Q8/'Output-Calculation-sheet'!Q7*'Output-Calculation-sheet'!Q16</f>
        <v>1848.7273572272454</v>
      </c>
      <c r="R30" s="2">
        <f>R8/'Output-Calculation-sheet'!R7*'Output-Calculation-sheet'!R16</f>
        <v>1640.6038332321705</v>
      </c>
      <c r="S30" s="2">
        <f>S8/'Output-Calculation-sheet'!S7*'Output-Calculation-sheet'!S16</f>
        <v>868.91599387068527</v>
      </c>
      <c r="T30" s="2">
        <f>T8/'Output-Calculation-sheet'!T7*'Output-Calculation-sheet'!T16</f>
        <v>619.68049451197862</v>
      </c>
      <c r="U30" s="2">
        <f>U8/'Output-Calculation-sheet'!U7*'Output-Calculation-sheet'!U16</f>
        <v>478.1471120370191</v>
      </c>
      <c r="V30" s="2">
        <f>V8/'Output-Calculation-sheet'!V7*'Output-Calculation-sheet'!V16</f>
        <v>619.10489529937149</v>
      </c>
      <c r="W30" s="2">
        <f>W8/'Output-Calculation-sheet'!W7*'Output-Calculation-sheet'!W16</f>
        <v>298.08635319332473</v>
      </c>
      <c r="X30" s="2">
        <f>X8/'Output-Calculation-sheet'!X7*'Output-Calculation-sheet'!X16</f>
        <v>0</v>
      </c>
      <c r="Y30" s="2">
        <f>Y8/'Output-Calculation-sheet'!Y7*'Output-Calculation-sheet'!Y16</f>
        <v>203.30139154249952</v>
      </c>
      <c r="AA30" s="2">
        <f t="shared" si="1"/>
        <v>59.587329198181067</v>
      </c>
    </row>
    <row r="31" spans="1:27" x14ac:dyDescent="0.25">
      <c r="A31" s="2">
        <v>2032</v>
      </c>
      <c r="B31" s="2">
        <f>B9/'Output-Calculation-sheet'!B8*'Output-Calculation-sheet'!B17</f>
        <v>24952.161729767311</v>
      </c>
      <c r="C31" s="2">
        <f>C9/'Output-Calculation-sheet'!C8*'Output-Calculation-sheet'!C17</f>
        <v>0</v>
      </c>
      <c r="D31" s="2">
        <f>D9/'Output-Calculation-sheet'!D8*'Output-Calculation-sheet'!D17</f>
        <v>5711.034904378429</v>
      </c>
      <c r="E31" s="2">
        <f>E9/'Output-Calculation-sheet'!E8*'Output-Calculation-sheet'!E17</f>
        <v>7173.8143128599631</v>
      </c>
      <c r="F31" s="2">
        <f>F9/'Output-Calculation-sheet'!F8*'Output-Calculation-sheet'!F17</f>
        <v>3500.2412316356899</v>
      </c>
      <c r="G31" s="2">
        <f>G9/'Output-Calculation-sheet'!G8*'Output-Calculation-sheet'!G17</f>
        <v>2130.6904370799789</v>
      </c>
      <c r="H31" s="2">
        <f>H9/'Output-Calculation-sheet'!H8*'Output-Calculation-sheet'!H17</f>
        <v>0</v>
      </c>
      <c r="I31" s="2">
        <f>I9/'Output-Calculation-sheet'!I8*'Output-Calculation-sheet'!I17</f>
        <v>2004.7784343040619</v>
      </c>
      <c r="J31" s="2">
        <f>J9/'Output-Calculation-sheet'!J8*'Output-Calculation-sheet'!J17</f>
        <v>2150.7831029907506</v>
      </c>
      <c r="K31" s="2">
        <f>K9/'Output-Calculation-sheet'!K8*'Output-Calculation-sheet'!K17</f>
        <v>2080.1093041763893</v>
      </c>
      <c r="L31" s="2">
        <f>L9/'Output-Calculation-sheet'!L8*'Output-Calculation-sheet'!L17</f>
        <v>2298.4464185825268</v>
      </c>
      <c r="M31" s="2">
        <f>M9/'Output-Calculation-sheet'!M8*'Output-Calculation-sheet'!M17</f>
        <v>0</v>
      </c>
      <c r="N31" s="2">
        <f>N9/'Output-Calculation-sheet'!N8*'Output-Calculation-sheet'!N17</f>
        <v>969.11229089334984</v>
      </c>
      <c r="O31" s="2">
        <f>O9/'Output-Calculation-sheet'!O8*'Output-Calculation-sheet'!O17</f>
        <v>0</v>
      </c>
      <c r="P31" s="2">
        <f>P9/'Output-Calculation-sheet'!P8*'Output-Calculation-sheet'!P17</f>
        <v>1979.8487607443581</v>
      </c>
      <c r="Q31" s="2">
        <f>Q9/'Output-Calculation-sheet'!Q8*'Output-Calculation-sheet'!Q17</f>
        <v>1936.2063915720835</v>
      </c>
      <c r="R31" s="2">
        <f>R9/'Output-Calculation-sheet'!R8*'Output-Calculation-sheet'!R17</f>
        <v>1732.8479597093358</v>
      </c>
      <c r="S31" s="2">
        <f>S9/'Output-Calculation-sheet'!S8*'Output-Calculation-sheet'!S17</f>
        <v>867.42896435422881</v>
      </c>
      <c r="T31" s="2">
        <f>T9/'Output-Calculation-sheet'!T8*'Output-Calculation-sheet'!T17</f>
        <v>649.16452349460303</v>
      </c>
      <c r="U31" s="2">
        <f>U9/'Output-Calculation-sheet'!U8*'Output-Calculation-sheet'!U17</f>
        <v>502.64205900808867</v>
      </c>
      <c r="V31" s="2">
        <f>V9/'Output-Calculation-sheet'!V8*'Output-Calculation-sheet'!V17</f>
        <v>639.18997803333048</v>
      </c>
      <c r="W31" s="2">
        <f>W9/'Output-Calculation-sheet'!W8*'Output-Calculation-sheet'!W17</f>
        <v>311.53741502230321</v>
      </c>
      <c r="X31" s="2">
        <f>X9/'Output-Calculation-sheet'!X8*'Output-Calculation-sheet'!X17</f>
        <v>0</v>
      </c>
      <c r="Y31" s="2">
        <f>Y9/'Output-Calculation-sheet'!Y8*'Output-Calculation-sheet'!Y17</f>
        <v>212.37887741089551</v>
      </c>
      <c r="AA31" s="2">
        <f t="shared" si="1"/>
        <v>61.802417096017699</v>
      </c>
    </row>
    <row r="32" spans="1:27" x14ac:dyDescent="0.25">
      <c r="A32" s="2">
        <v>2033</v>
      </c>
      <c r="B32" s="2">
        <f>B10/'Output-Calculation-sheet'!B9*'Output-Calculation-sheet'!B18</f>
        <v>25128.675005369598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1531.2542439364431</v>
      </c>
      <c r="O32" s="2">
        <f>O10/'Output-Calculation-sheet'!O9*'Output-Calculation-sheet'!O18</f>
        <v>0</v>
      </c>
      <c r="P32" s="2">
        <f>P10/'Output-Calculation-sheet'!P9*'Output-Calculation-sheet'!P18</f>
        <v>2465.2927738585295</v>
      </c>
      <c r="Q32" s="2">
        <f>Q10/'Output-Calculation-sheet'!Q9*'Output-Calculation-sheet'!Q18</f>
        <v>2683.5403027588168</v>
      </c>
      <c r="R32" s="2">
        <f>R10/'Output-Calculation-sheet'!R9*'Output-Calculation-sheet'!R18</f>
        <v>1770.2082509906236</v>
      </c>
      <c r="S32" s="2">
        <f>S10/'Output-Calculation-sheet'!S9*'Output-Calculation-sheet'!S18</f>
        <v>1161.6209461746917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571.47698844356592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60.392595509431601</v>
      </c>
    </row>
    <row r="33" spans="1:27" x14ac:dyDescent="0.25">
      <c r="A33" s="2">
        <v>2034</v>
      </c>
      <c r="B33" s="2">
        <f>B11/'Output-Calculation-sheet'!B10*'Output-Calculation-sheet'!B19</f>
        <v>21713.932572737165</v>
      </c>
      <c r="C33" s="2">
        <f>C11/'Output-Calculation-sheet'!C10*'Output-Calculation-sheet'!C19</f>
        <v>0</v>
      </c>
      <c r="D33" s="2">
        <f>D11/'Output-Calculation-sheet'!D10*'Output-Calculation-sheet'!D19</f>
        <v>6477.0275927694274</v>
      </c>
      <c r="E33" s="2">
        <f>E11/'Output-Calculation-sheet'!E10*'Output-Calculation-sheet'!E19</f>
        <v>8022.231778726411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2204.7189341544345</v>
      </c>
      <c r="H33" s="2">
        <f>H11/'Output-Calculation-sheet'!H10*'Output-Calculation-sheet'!H19</f>
        <v>0</v>
      </c>
      <c r="I33" s="2">
        <f>I11/'Output-Calculation-sheet'!I10*'Output-Calculation-sheet'!I19</f>
        <v>2405.6575303421123</v>
      </c>
      <c r="J33" s="2">
        <f>J11/'Output-Calculation-sheet'!J10*'Output-Calculation-sheet'!J19</f>
        <v>2034.1384638039237</v>
      </c>
      <c r="K33" s="2">
        <f>K11/'Output-Calculation-sheet'!K10*'Output-Calculation-sheet'!K19</f>
        <v>2822.6606562200677</v>
      </c>
      <c r="L33" s="2">
        <f>L11/'Output-Calculation-sheet'!L10*'Output-Calculation-sheet'!L19</f>
        <v>2295.4955393373766</v>
      </c>
      <c r="M33" s="2">
        <f>M11/'Output-Calculation-sheet'!M10*'Output-Calculation-sheet'!M19</f>
        <v>0</v>
      </c>
      <c r="N33" s="2">
        <f>N11/'Output-Calculation-sheet'!N10*'Output-Calculation-sheet'!N19</f>
        <v>1298.0051871707446</v>
      </c>
      <c r="O33" s="2">
        <f>O11/'Output-Calculation-sheet'!O10*'Output-Calculation-sheet'!O19</f>
        <v>0</v>
      </c>
      <c r="P33" s="2">
        <f>P11/'Output-Calculation-sheet'!P10*'Output-Calculation-sheet'!P19</f>
        <v>2856.0346626925129</v>
      </c>
      <c r="Q33" s="2">
        <f>Q11/'Output-Calculation-sheet'!Q10*'Output-Calculation-sheet'!Q19</f>
        <v>2351.9145608934282</v>
      </c>
      <c r="R33" s="2">
        <f>R11/'Output-Calculation-sheet'!R10*'Output-Calculation-sheet'!R19</f>
        <v>2039.1627152481117</v>
      </c>
      <c r="S33" s="2">
        <f>S11/'Output-Calculation-sheet'!S10*'Output-Calculation-sheet'!S19</f>
        <v>950.58585793091765</v>
      </c>
      <c r="T33" s="2">
        <f>T11/'Output-Calculation-sheet'!T10*'Output-Calculation-sheet'!T19</f>
        <v>598.34945339047408</v>
      </c>
      <c r="U33" s="2">
        <f>U11/'Output-Calculation-sheet'!U10*'Output-Calculation-sheet'!U19</f>
        <v>688.64867693188944</v>
      </c>
      <c r="V33" s="2">
        <f>V11/'Output-Calculation-sheet'!V10*'Output-Calculation-sheet'!V19</f>
        <v>469.2227513207003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84.609093298465538</v>
      </c>
      <c r="Y33" s="2">
        <f>Y11/'Output-Calculation-sheet'!Y10*'Output-Calculation-sheet'!Y19</f>
        <v>263.34169580810607</v>
      </c>
      <c r="AA33" s="2">
        <f t="shared" si="1"/>
        <v>63.54952512560272</v>
      </c>
    </row>
    <row r="34" spans="1:27" x14ac:dyDescent="0.25">
      <c r="A34" s="2">
        <v>2035</v>
      </c>
      <c r="B34" s="2">
        <f>B12/'Output-Calculation-sheet'!B11*'Output-Calculation-sheet'!B20</f>
        <v>17736.415383174135</v>
      </c>
      <c r="C34" s="2">
        <f>C12/'Output-Calculation-sheet'!C11*'Output-Calculation-sheet'!C20</f>
        <v>0</v>
      </c>
      <c r="D34" s="2">
        <f>D12/'Output-Calculation-sheet'!D11*'Output-Calculation-sheet'!D20</f>
        <v>5566.2280463078578</v>
      </c>
      <c r="E34" s="2">
        <f>E12/'Output-Calculation-sheet'!E11*'Output-Calculation-sheet'!E20</f>
        <v>6081.9220660719757</v>
      </c>
      <c r="F34" s="2">
        <f>F12/'Output-Calculation-sheet'!F11*'Output-Calculation-sheet'!F20</f>
        <v>3831.896092298749</v>
      </c>
      <c r="G34" s="2">
        <f>G12/'Output-Calculation-sheet'!G11*'Output-Calculation-sheet'!G20</f>
        <v>2047.6515047659702</v>
      </c>
      <c r="H34" s="2">
        <f>H12/'Output-Calculation-sheet'!H11*'Output-Calculation-sheet'!H20</f>
        <v>0</v>
      </c>
      <c r="I34" s="2">
        <f>I12/'Output-Calculation-sheet'!I11*'Output-Calculation-sheet'!I20</f>
        <v>2225.5183590485231</v>
      </c>
      <c r="J34" s="2">
        <f>J12/'Output-Calculation-sheet'!J11*'Output-Calculation-sheet'!J20</f>
        <v>1910.6094330312917</v>
      </c>
      <c r="K34" s="2">
        <f>K12/'Output-Calculation-sheet'!K11*'Output-Calculation-sheet'!K20</f>
        <v>2511.9862123837906</v>
      </c>
      <c r="L34" s="2">
        <f>L12/'Output-Calculation-sheet'!L11*'Output-Calculation-sheet'!L20</f>
        <v>1985.2629390401391</v>
      </c>
      <c r="M34" s="2">
        <f>M12/'Output-Calculation-sheet'!M11*'Output-Calculation-sheet'!M20</f>
        <v>0</v>
      </c>
      <c r="N34" s="2">
        <f>N12/'Output-Calculation-sheet'!N11*'Output-Calculation-sheet'!N20</f>
        <v>1104.799152058858</v>
      </c>
      <c r="O34" s="2">
        <f>O12/'Output-Calculation-sheet'!O11*'Output-Calculation-sheet'!O20</f>
        <v>0</v>
      </c>
      <c r="P34" s="2">
        <f>P12/'Output-Calculation-sheet'!P11*'Output-Calculation-sheet'!P20</f>
        <v>2469.0242958932527</v>
      </c>
      <c r="Q34" s="2">
        <f>Q12/'Output-Calculation-sheet'!Q11*'Output-Calculation-sheet'!Q20</f>
        <v>1953.6658714410992</v>
      </c>
      <c r="R34" s="2">
        <f>R12/'Output-Calculation-sheet'!R11*'Output-Calculation-sheet'!R20</f>
        <v>1960.8946064513195</v>
      </c>
      <c r="S34" s="2">
        <f>S12/'Output-Calculation-sheet'!S11*'Output-Calculation-sheet'!S20</f>
        <v>749.01415957937763</v>
      </c>
      <c r="T34" s="2">
        <f>T12/'Output-Calculation-sheet'!T11*'Output-Calculation-sheet'!T20</f>
        <v>616.05251185203986</v>
      </c>
      <c r="U34" s="2">
        <f>U12/'Output-Calculation-sheet'!U11*'Output-Calculation-sheet'!U20</f>
        <v>562.05245316998548</v>
      </c>
      <c r="V34" s="2">
        <f>V12/'Output-Calculation-sheet'!V11*'Output-Calculation-sheet'!V20</f>
        <v>516.30278836249602</v>
      </c>
      <c r="W34" s="2">
        <f>W12/'Output-Calculation-sheet'!W11*'Output-Calculation-sheet'!W20</f>
        <v>332.17098173452399</v>
      </c>
      <c r="X34" s="2">
        <f>X12/'Output-Calculation-sheet'!X11*'Output-Calculation-sheet'!X20</f>
        <v>67.133005157301469</v>
      </c>
      <c r="Y34" s="2">
        <f>Y12/'Output-Calculation-sheet'!Y11*'Output-Calculation-sheet'!Y20</f>
        <v>186.19438396784881</v>
      </c>
      <c r="AA34" s="2">
        <f t="shared" si="1"/>
        <v>54.414794245790539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1.0067200095688771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0.58673584439320725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1.5934558539620842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1.8387581239971267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0.28301350850550894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0.19474098830928907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0.71444247342108069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0.16769444284445123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2.1363566493222599E-2</v>
      </c>
      <c r="Y44" s="2">
        <f>Y11/'Output-Calculation-sheet'!Y10*'Output-Calculation-sheet'!Y37*0.0114</f>
        <v>0</v>
      </c>
      <c r="AA44" s="2">
        <f t="shared" si="2"/>
        <v>3.2200131035706789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1.5736311312192581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0.61142838906769481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1.828319498299617E-2</v>
      </c>
      <c r="Y45" s="2">
        <f>Y12/'Output-Calculation-sheet'!Y11*'Output-Calculation-sheet'!Y38*0.0114</f>
        <v>1.7643622270341851E-2</v>
      </c>
      <c r="AA45" s="2">
        <f t="shared" si="2"/>
        <v>7.8403258912159046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138.66534251629233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123.43303660957463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536.74348879848537</v>
      </c>
      <c r="S52" s="2">
        <f>S8/'Output-Calculation-sheet'!S7*'Output-Calculation-sheet'!S43</f>
        <v>0</v>
      </c>
      <c r="T52" s="2">
        <f>T8/'Output-Calculation-sheet'!T7*'Output-Calculation-sheet'!T43</f>
        <v>432.1953289213713</v>
      </c>
      <c r="U52" s="2">
        <f>U8/'Output-Calculation-sheet'!U7*'Output-Calculation-sheet'!U43</f>
        <v>45.711960997802976</v>
      </c>
      <c r="V52" s="2">
        <f>V8/'Output-Calculation-sheet'!V7*'Output-Calculation-sheet'!V43</f>
        <v>779.37394301911024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2.0561231008626368</v>
      </c>
    </row>
    <row r="53" spans="1:27" x14ac:dyDescent="0.25">
      <c r="A53" s="2">
        <v>2032</v>
      </c>
      <c r="B53" s="2">
        <f>B9/'Output-Calculation-sheet'!B8*'Output-Calculation-sheet'!B44</f>
        <v>1529.7516578905547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288.39491033959729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231.0434099248846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722.32095027483774</v>
      </c>
      <c r="S53" s="2">
        <f>S9/'Output-Calculation-sheet'!S8*'Output-Calculation-sheet'!S44</f>
        <v>0</v>
      </c>
      <c r="T53" s="2">
        <f>T9/'Output-Calculation-sheet'!T8*'Output-Calculation-sheet'!T44</f>
        <v>498.02583081402861</v>
      </c>
      <c r="U53" s="2">
        <f>U9/'Output-Calculation-sheet'!U8*'Output-Calculation-sheet'!U44</f>
        <v>84.507838346987569</v>
      </c>
      <c r="V53" s="2">
        <f>V9/'Output-Calculation-sheet'!V8*'Output-Calculation-sheet'!V44</f>
        <v>834.90359996707605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4.1889481975579663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54574.821571365435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0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708.72962702361281</v>
      </c>
      <c r="R54" s="2">
        <f>R10/'Output-Calculation-sheet'!R9*'Output-Calculation-sheet'!R45</f>
        <v>1182.0450146931189</v>
      </c>
      <c r="S54" s="2">
        <f>S10/'Output-Calculation-sheet'!S9*'Output-Calculation-sheet'!S45</f>
        <v>2824.328321583087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426.55974065015533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122.76024973043873</v>
      </c>
    </row>
    <row r="55" spans="1:27" x14ac:dyDescent="0.25">
      <c r="A55" s="2">
        <v>2034</v>
      </c>
      <c r="B55" s="2">
        <f>B11/'Output-Calculation-sheet'!B10*'Output-Calculation-sheet'!B46</f>
        <v>61850.469179719294</v>
      </c>
      <c r="C55" s="2">
        <f>C11/'Output-Calculation-sheet'!C10*'Output-Calculation-sheet'!C46</f>
        <v>50888.437554481883</v>
      </c>
      <c r="D55" s="2">
        <f>D11/'Output-Calculation-sheet'!D10*'Output-Calculation-sheet'!D46</f>
        <v>5715.1924404565671</v>
      </c>
      <c r="E55" s="2">
        <f>E11/'Output-Calculation-sheet'!E10*'Output-Calculation-sheet'!E46</f>
        <v>7040.1830227257124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18346.226560137817</v>
      </c>
      <c r="I55" s="2">
        <f>I11/'Output-Calculation-sheet'!I10*'Output-Calculation-sheet'!I46</f>
        <v>1382.9989538889374</v>
      </c>
      <c r="J55" s="2">
        <f>J11/'Output-Calculation-sheet'!J10*'Output-Calculation-sheet'!J46</f>
        <v>1003.7242616056145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990.75770747512911</v>
      </c>
      <c r="M55" s="2">
        <f>M11/'Output-Calculation-sheet'!M10*'Output-Calculation-sheet'!M46</f>
        <v>12965.650011118456</v>
      </c>
      <c r="N55" s="2">
        <f>N11/'Output-Calculation-sheet'!N10*'Output-Calculation-sheet'!N46</f>
        <v>9888.9557144981773</v>
      </c>
      <c r="O55" s="2">
        <f>O11/'Output-Calculation-sheet'!O10*'Output-Calculation-sheet'!O46</f>
        <v>219.34637341875282</v>
      </c>
      <c r="P55" s="2">
        <f>P11/'Output-Calculation-sheet'!P10*'Output-Calculation-sheet'!P46</f>
        <v>3675.9598291387697</v>
      </c>
      <c r="Q55" s="2">
        <f>Q11/'Output-Calculation-sheet'!Q10*'Output-Calculation-sheet'!Q46</f>
        <v>2162.3757103626608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4860.2395287548188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1126.4162864616155</v>
      </c>
      <c r="V55" s="2">
        <f>V11/'Output-Calculation-sheet'!V10*'Output-Calculation-sheet'!V46</f>
        <v>455.99878651185645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1326.7899190527719</v>
      </c>
      <c r="Y55" s="2">
        <f>Y11/'Output-Calculation-sheet'!Y10*'Output-Calculation-sheet'!Y46</f>
        <v>345.41240711552325</v>
      </c>
      <c r="AA55" s="2">
        <f t="shared" si="3"/>
        <v>193.4024061290028</v>
      </c>
    </row>
    <row r="56" spans="1:27" x14ac:dyDescent="0.25">
      <c r="A56" s="2">
        <v>2035</v>
      </c>
      <c r="B56" s="2">
        <f>B12/'Output-Calculation-sheet'!B11*'Output-Calculation-sheet'!B47</f>
        <v>67328.810199475469</v>
      </c>
      <c r="C56" s="2">
        <f>C12/'Output-Calculation-sheet'!C11*'Output-Calculation-sheet'!C47</f>
        <v>44241.12083822563</v>
      </c>
      <c r="D56" s="2">
        <f>D12/'Output-Calculation-sheet'!D11*'Output-Calculation-sheet'!D47</f>
        <v>5380.2428338029858</v>
      </c>
      <c r="E56" s="2">
        <f>E12/'Output-Calculation-sheet'!E11*'Output-Calculation-sheet'!E47</f>
        <v>15111.27077213697</v>
      </c>
      <c r="F56" s="2">
        <f>F12/'Output-Calculation-sheet'!F11*'Output-Calculation-sheet'!F47</f>
        <v>1864.1194145577365</v>
      </c>
      <c r="G56" s="2">
        <f>G12/'Output-Calculation-sheet'!G11*'Output-Calculation-sheet'!G47</f>
        <v>4210.9280762934995</v>
      </c>
      <c r="H56" s="2">
        <f>H12/'Output-Calculation-sheet'!H11*'Output-Calculation-sheet'!H47</f>
        <v>16083.350540446456</v>
      </c>
      <c r="I56" s="2">
        <f>I12/'Output-Calculation-sheet'!I11*'Output-Calculation-sheet'!I47</f>
        <v>2130.4565966480864</v>
      </c>
      <c r="J56" s="2">
        <f>J12/'Output-Calculation-sheet'!J11*'Output-Calculation-sheet'!J47</f>
        <v>1932.7481849682001</v>
      </c>
      <c r="K56" s="2">
        <f>K12/'Output-Calculation-sheet'!K11*'Output-Calculation-sheet'!K47</f>
        <v>2791.8713113462527</v>
      </c>
      <c r="L56" s="2">
        <f>L12/'Output-Calculation-sheet'!L11*'Output-Calculation-sheet'!L47</f>
        <v>1541.6404757409293</v>
      </c>
      <c r="M56" s="2">
        <f>M12/'Output-Calculation-sheet'!M11*'Output-Calculation-sheet'!M47</f>
        <v>11213.113456599012</v>
      </c>
      <c r="N56" s="2">
        <f>N12/'Output-Calculation-sheet'!N11*'Output-Calculation-sheet'!N47</f>
        <v>8563.6662066208792</v>
      </c>
      <c r="O56" s="2">
        <f>O12/'Output-Calculation-sheet'!O11*'Output-Calculation-sheet'!O47</f>
        <v>804.51103824696679</v>
      </c>
      <c r="P56" s="2">
        <f>P12/'Output-Calculation-sheet'!P11*'Output-Calculation-sheet'!P47</f>
        <v>4446.7790603706335</v>
      </c>
      <c r="Q56" s="2">
        <f>Q12/'Output-Calculation-sheet'!Q11*'Output-Calculation-sheet'!Q47</f>
        <v>2253.4357745956954</v>
      </c>
      <c r="R56" s="2">
        <f>R12/'Output-Calculation-sheet'!R11*'Output-Calculation-sheet'!R47</f>
        <v>3283.3886055510798</v>
      </c>
      <c r="S56" s="2">
        <f>S12/'Output-Calculation-sheet'!S11*'Output-Calculation-sheet'!S47</f>
        <v>4348.8912914063576</v>
      </c>
      <c r="T56" s="2">
        <f>T12/'Output-Calculation-sheet'!T11*'Output-Calculation-sheet'!T47</f>
        <v>1150.0755394448788</v>
      </c>
      <c r="U56" s="2">
        <f>U12/'Output-Calculation-sheet'!U11*'Output-Calculation-sheet'!U47</f>
        <v>1100.567227675095</v>
      </c>
      <c r="V56" s="2">
        <f>V12/'Output-Calculation-sheet'!V11*'Output-Calculation-sheet'!V47</f>
        <v>768.10953583344224</v>
      </c>
      <c r="W56" s="2">
        <f>W12/'Output-Calculation-sheet'!W11*'Output-Calculation-sheet'!W47</f>
        <v>437.15883235686704</v>
      </c>
      <c r="X56" s="2">
        <f>X12/'Output-Calculation-sheet'!X11*'Output-Calculation-sheet'!X47</f>
        <v>1157.9356822564241</v>
      </c>
      <c r="Y56" s="2">
        <f>Y12/'Output-Calculation-sheet'!Y11*'Output-Calculation-sheet'!Y47</f>
        <v>592.76380083692356</v>
      </c>
      <c r="AA56" s="2">
        <f t="shared" si="3"/>
        <v>202.73695529543645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6.695857465573404</v>
      </c>
      <c r="C63" s="2">
        <f>C8*'Output-Calculation-sheet'!C52/10^9</f>
        <v>3.3939746352724049</v>
      </c>
      <c r="D63" s="2">
        <f>D8*'Output-Calculation-sheet'!D52/10^9</f>
        <v>1.1856665409647897</v>
      </c>
      <c r="E63" s="2">
        <f>E8*'Output-Calculation-sheet'!E52/10^9</f>
        <v>1.5266508011710131</v>
      </c>
      <c r="F63" s="2">
        <f>F8*'Output-Calculation-sheet'!F52/10^9</f>
        <v>0.63501394467129879</v>
      </c>
      <c r="G63" s="2">
        <f>G8*'Output-Calculation-sheet'!G52/10^9</f>
        <v>0.45563761218532478</v>
      </c>
      <c r="H63" s="2">
        <f>H8*'Output-Calculation-sheet'!H52/10^9</f>
        <v>0.88015801579502695</v>
      </c>
      <c r="I63" s="2">
        <f>I8*'Output-Calculation-sheet'!I52/10^9</f>
        <v>0.40844996253675214</v>
      </c>
      <c r="J63" s="2">
        <f>J8*'Output-Calculation-sheet'!J52/10^9</f>
        <v>0.43909967281841789</v>
      </c>
      <c r="K63" s="2">
        <f>K8*'Output-Calculation-sheet'!K52/10^9</f>
        <v>0.44839722707039381</v>
      </c>
      <c r="L63" s="2">
        <f>L8*'Output-Calculation-sheet'!L52/10^9</f>
        <v>0.46633796321858184</v>
      </c>
      <c r="M63" s="2">
        <f>M8*'Output-Calculation-sheet'!M52/10^9</f>
        <v>0.66554131904675995</v>
      </c>
      <c r="N63" s="2">
        <f>N8*'Output-Calculation-sheet'!N52/10^9</f>
        <v>0.56230555496329382</v>
      </c>
      <c r="O63" s="2">
        <f>O8*'Output-Calculation-sheet'!O52/10^9</f>
        <v>0.5825134072211311</v>
      </c>
      <c r="P63" s="2">
        <f>P8*'Output-Calculation-sheet'!P52/10^9</f>
        <v>0.48277156169014857</v>
      </c>
      <c r="Q63" s="2">
        <f>Q8*'Output-Calculation-sheet'!Q52/10^9</f>
        <v>0.45669807103233701</v>
      </c>
      <c r="R63" s="2">
        <f>R8*'Output-Calculation-sheet'!R52/10^9</f>
        <v>0.3847414198939042</v>
      </c>
      <c r="S63" s="2">
        <f>S8*'Output-Calculation-sheet'!S52/10^9</f>
        <v>0.3537457912473303</v>
      </c>
      <c r="T63" s="2">
        <f>T8*'Output-Calculation-sheet'!T52/10^9</f>
        <v>0.12598593376044756</v>
      </c>
      <c r="U63" s="2">
        <f>U8*'Output-Calculation-sheet'!U52/10^9</f>
        <v>0.12358340963476008</v>
      </c>
      <c r="V63" s="2">
        <f>V8*'Output-Calculation-sheet'!V52/10^9</f>
        <v>0.11076363987971341</v>
      </c>
      <c r="W63" s="2">
        <f>W8*'Output-Calculation-sheet'!W52/10^9</f>
        <v>5.7820459130778226E-2</v>
      </c>
      <c r="X63" s="2">
        <f>X8*'Output-Calculation-sheet'!X52/10^9</f>
        <v>9.3439105791441851E-2</v>
      </c>
      <c r="Y63" s="2">
        <f>Y8*'Output-Calculation-sheet'!Y52/10^9</f>
        <v>4.8194018954550687E-2</v>
      </c>
      <c r="AA63" s="2">
        <f t="shared" si="4"/>
        <v>20.583347533524009</v>
      </c>
    </row>
    <row r="64" spans="1:27" x14ac:dyDescent="0.25">
      <c r="A64" s="2">
        <v>2032</v>
      </c>
      <c r="B64" s="2">
        <f>B9*'Output-Calculation-sheet'!B53/10^9</f>
        <v>6.9150157890002877</v>
      </c>
      <c r="C64" s="2">
        <f>C9*'Output-Calculation-sheet'!C53/10^9</f>
        <v>3.5019251078602354</v>
      </c>
      <c r="D64" s="2">
        <f>D9*'Output-Calculation-sheet'!D53/10^9</f>
        <v>1.2266748864413264</v>
      </c>
      <c r="E64" s="2">
        <f>E9*'Output-Calculation-sheet'!E53/10^9</f>
        <v>1.5796580075267863</v>
      </c>
      <c r="F64" s="2">
        <f>F9*'Output-Calculation-sheet'!F53/10^9</f>
        <v>0.65649207950630728</v>
      </c>
      <c r="G64" s="2">
        <f>G9*'Output-Calculation-sheet'!G53/10^9</f>
        <v>0.47129567008859519</v>
      </c>
      <c r="H64" s="2">
        <f>H9*'Output-Calculation-sheet'!H53/10^9</f>
        <v>0.90703498683202466</v>
      </c>
      <c r="I64" s="2">
        <f>I9*'Output-Calculation-sheet'!I53/10^9</f>
        <v>0.42253551551025276</v>
      </c>
      <c r="J64" s="2">
        <f>J9*'Output-Calculation-sheet'!J53/10^9</f>
        <v>0.45410137734903733</v>
      </c>
      <c r="K64" s="2">
        <f>K9*'Output-Calculation-sheet'!K53/10^9</f>
        <v>0.46399347332973684</v>
      </c>
      <c r="L64" s="2">
        <f>L9*'Output-Calculation-sheet'!L53/10^9</f>
        <v>0.48240946083391284</v>
      </c>
      <c r="M64" s="2">
        <f>M9*'Output-Calculation-sheet'!M53/10^9</f>
        <v>0.68603118900995741</v>
      </c>
      <c r="N64" s="2">
        <f>N9*'Output-Calculation-sheet'!N53/10^9</f>
        <v>0.58025577910982451</v>
      </c>
      <c r="O64" s="2">
        <f>O9*'Output-Calculation-sheet'!O53/10^9</f>
        <v>0.60122996907697446</v>
      </c>
      <c r="P64" s="2">
        <f>P9*'Output-Calculation-sheet'!P53/10^9</f>
        <v>0.49985555480172211</v>
      </c>
      <c r="Q64" s="2">
        <f>Q9*'Output-Calculation-sheet'!Q53/10^9</f>
        <v>0.47278773005135083</v>
      </c>
      <c r="R64" s="2">
        <f>R9*'Output-Calculation-sheet'!R53/10^9</f>
        <v>0.39765443057545347</v>
      </c>
      <c r="S64" s="2">
        <f>S9*'Output-Calculation-sheet'!S53/10^9</f>
        <v>0.36536630551033844</v>
      </c>
      <c r="T64" s="2">
        <f>T9*'Output-Calculation-sheet'!T53/10^9</f>
        <v>0.12992887452338289</v>
      </c>
      <c r="U64" s="2">
        <f>U9*'Output-Calculation-sheet'!U53/10^9</f>
        <v>0.12790887995135466</v>
      </c>
      <c r="V64" s="2">
        <f>V9*'Output-Calculation-sheet'!V53/10^9</f>
        <v>0.11385227791558346</v>
      </c>
      <c r="W64" s="2">
        <f>W9*'Output-Calculation-sheet'!W53/10^9</f>
        <v>5.9784005822631575E-2</v>
      </c>
      <c r="X64" s="2">
        <f>X9*'Output-Calculation-sheet'!X53/10^9</f>
        <v>9.6384182223878512E-2</v>
      </c>
      <c r="Y64" s="2">
        <f>Y9*'Output-Calculation-sheet'!Y53/10^9</f>
        <v>4.9882720273679244E-2</v>
      </c>
      <c r="AA64" s="2">
        <f t="shared" si="4"/>
        <v>21.262058253124639</v>
      </c>
    </row>
    <row r="65" spans="1:27" x14ac:dyDescent="0.25">
      <c r="A65" s="2">
        <v>2033</v>
      </c>
      <c r="B65" s="2">
        <f>B10*'Output-Calculation-sheet'!B54/10^9</f>
        <v>6.7417096122561961</v>
      </c>
      <c r="C65" s="2">
        <f>C10*'Output-Calculation-sheet'!C54/10^9</f>
        <v>4.4308150032231284</v>
      </c>
      <c r="D65" s="2">
        <f>D10*'Output-Calculation-sheet'!D54/10^9</f>
        <v>1.2016842292527485</v>
      </c>
      <c r="E65" s="2">
        <f>E10*'Output-Calculation-sheet'!E54/10^9</f>
        <v>1.5303687125780849</v>
      </c>
      <c r="F65" s="2">
        <f>F10*'Output-Calculation-sheet'!F54/10^9</f>
        <v>0.6576126406238969</v>
      </c>
      <c r="G65" s="2">
        <f>G10*'Output-Calculation-sheet'!G54/10^9</f>
        <v>0.46818774022595855</v>
      </c>
      <c r="H65" s="2">
        <f>H10*'Output-Calculation-sheet'!H54/10^9</f>
        <v>1.1001119630323792</v>
      </c>
      <c r="I65" s="2">
        <f>I10*'Output-Calculation-sheet'!I54/10^9</f>
        <v>0.41050281568584063</v>
      </c>
      <c r="J65" s="2">
        <f>J10*'Output-Calculation-sheet'!J54/10^9</f>
        <v>0.48569000587056133</v>
      </c>
      <c r="K65" s="2">
        <f>K10*'Output-Calculation-sheet'!K54/10^9</f>
        <v>0.45448267550050681</v>
      </c>
      <c r="L65" s="2">
        <f>L10*'Output-Calculation-sheet'!L54/10^9</f>
        <v>0.46872229956667338</v>
      </c>
      <c r="M65" s="2">
        <f>M10*'Output-Calculation-sheet'!M54/10^9</f>
        <v>0.78224831270166173</v>
      </c>
      <c r="N65" s="2">
        <f>N10*'Output-Calculation-sheet'!N54/10^9</f>
        <v>0.66655612598738345</v>
      </c>
      <c r="O65" s="2">
        <f>O10*'Output-Calculation-sheet'!O54/10^9</f>
        <v>0.77557882802198241</v>
      </c>
      <c r="P65" s="2">
        <f>P10*'Output-Calculation-sheet'!P54/10^9</f>
        <v>0.49170017925056292</v>
      </c>
      <c r="Q65" s="2">
        <f>Q10*'Output-Calculation-sheet'!Q54/10^9</f>
        <v>0.48520735050758107</v>
      </c>
      <c r="R65" s="2">
        <f>R10*'Output-Calculation-sheet'!R54/10^9</f>
        <v>0.38465201238562019</v>
      </c>
      <c r="S65" s="2">
        <f>S10*'Output-Calculation-sheet'!S54/10^9</f>
        <v>0.38605802574144965</v>
      </c>
      <c r="T65" s="2">
        <f>T10*'Output-Calculation-sheet'!T54/10^9</f>
        <v>0.13025776451452625</v>
      </c>
      <c r="U65" s="2">
        <f>U10*'Output-Calculation-sheet'!U54/10^9</f>
        <v>0.12510398548814222</v>
      </c>
      <c r="V65" s="2">
        <f>V10*'Output-Calculation-sheet'!V54/10^9</f>
        <v>0.14740145389293008</v>
      </c>
      <c r="W65" s="2">
        <f>W10*'Output-Calculation-sheet'!W54/10^9</f>
        <v>6.2996481901031853E-2</v>
      </c>
      <c r="X65" s="2">
        <f>X10*'Output-Calculation-sheet'!X54/10^9</f>
        <v>0.10126458243749928</v>
      </c>
      <c r="Y65" s="2">
        <f>Y10*'Output-Calculation-sheet'!Y54/10^9</f>
        <v>4.886916949212057E-2</v>
      </c>
      <c r="AA65" s="2">
        <f t="shared" si="4"/>
        <v>22.537781970138465</v>
      </c>
    </row>
    <row r="66" spans="1:27" x14ac:dyDescent="0.25">
      <c r="A66" s="2">
        <v>2034</v>
      </c>
      <c r="B66" s="2">
        <f>B11*'Output-Calculation-sheet'!B55/10^9</f>
        <v>6.3568611021439736</v>
      </c>
      <c r="C66" s="2">
        <f>C11*'Output-Calculation-sheet'!C55/10^9</f>
        <v>4.2247665685798381</v>
      </c>
      <c r="D66" s="2">
        <f>D11*'Output-Calculation-sheet'!D55/10^9</f>
        <v>1.1500616968462134</v>
      </c>
      <c r="E66" s="2">
        <f>E11*'Output-Calculation-sheet'!E55/10^9</f>
        <v>1.4895136014816692</v>
      </c>
      <c r="F66" s="2">
        <f>F11*'Output-Calculation-sheet'!F55/10^9</f>
        <v>0.58619605415132114</v>
      </c>
      <c r="G66" s="2">
        <f>G11*'Output-Calculation-sheet'!G55/10^9</f>
        <v>0.42765366634738489</v>
      </c>
      <c r="H66" s="2">
        <f>H11*'Output-Calculation-sheet'!H55/10^9</f>
        <v>1.0672456784544073</v>
      </c>
      <c r="I66" s="2">
        <f>I11*'Output-Calculation-sheet'!I55/10^9</f>
        <v>0.39755338025645531</v>
      </c>
      <c r="J66" s="2">
        <f>J11*'Output-Calculation-sheet'!J55/10^9</f>
        <v>0.40027987587501507</v>
      </c>
      <c r="K66" s="2">
        <f>K11*'Output-Calculation-sheet'!K55/10^9</f>
        <v>0.4557546165044753</v>
      </c>
      <c r="L66" s="2">
        <f>L11*'Output-Calculation-sheet'!L55/10^9</f>
        <v>0.44184837351746897</v>
      </c>
      <c r="M66" s="2">
        <f>M11*'Output-Calculation-sheet'!M55/10^9</f>
        <v>0.75007298146602952</v>
      </c>
      <c r="N66" s="2">
        <f>N11*'Output-Calculation-sheet'!N55/10^9</f>
        <v>0.65205284881131642</v>
      </c>
      <c r="O66" s="2">
        <f>O11*'Output-Calculation-sheet'!O55/10^9</f>
        <v>0.74342863977838969</v>
      </c>
      <c r="P66" s="2">
        <f>P11*'Output-Calculation-sheet'!P55/10^9</f>
        <v>0.47671605957929114</v>
      </c>
      <c r="Q66" s="2">
        <f>Q11*'Output-Calculation-sheet'!Q55/10^9</f>
        <v>0.4903521374296308</v>
      </c>
      <c r="R66" s="2">
        <f>R11*'Output-Calculation-sheet'!R55/10^9</f>
        <v>0.36280243123142719</v>
      </c>
      <c r="S66" s="2">
        <f>S11*'Output-Calculation-sheet'!S55/10^9</f>
        <v>0.37661126684101998</v>
      </c>
      <c r="T66" s="2">
        <f>T11*'Output-Calculation-sheet'!T55/10^9</f>
        <v>0.1136732588470046</v>
      </c>
      <c r="U66" s="2">
        <f>U11*'Output-Calculation-sheet'!U55/10^9</f>
        <v>0.12371833243404573</v>
      </c>
      <c r="V66" s="2">
        <f>V11*'Output-Calculation-sheet'!V55/10^9</f>
        <v>0.10743173386347485</v>
      </c>
      <c r="W66" s="2">
        <f>W11*'Output-Calculation-sheet'!W55/10^9</f>
        <v>5.2631221185113E-2</v>
      </c>
      <c r="X66" s="2">
        <f>X11*'Output-Calculation-sheet'!X55/10^9</f>
        <v>9.8351038162543203E-2</v>
      </c>
      <c r="Y66" s="2">
        <f>Y11*'Output-Calculation-sheet'!Y55/10^9</f>
        <v>5.0499345566059867E-2</v>
      </c>
      <c r="AA66" s="2">
        <f t="shared" si="4"/>
        <v>21.39607590935357</v>
      </c>
    </row>
    <row r="67" spans="1:27" x14ac:dyDescent="0.25">
      <c r="A67" s="2">
        <v>2035</v>
      </c>
      <c r="B67" s="2">
        <f>B12*'Output-Calculation-sheet'!B56/10^9</f>
        <v>5.9618319306205905</v>
      </c>
      <c r="C67" s="2">
        <f>C12*'Output-Calculation-sheet'!C56/10^9</f>
        <v>3.7674330423779332</v>
      </c>
      <c r="D67" s="2">
        <f>D12*'Output-Calculation-sheet'!D56/10^9</f>
        <v>1.1825271349796229</v>
      </c>
      <c r="E67" s="2">
        <f>E12*'Output-Calculation-sheet'!E56/10^9</f>
        <v>1.6171717758040809</v>
      </c>
      <c r="F67" s="2">
        <f>F12*'Output-Calculation-sheet'!F56/10^9</f>
        <v>0.63382385026192567</v>
      </c>
      <c r="G67" s="2">
        <f>G12*'Output-Calculation-sheet'!G56/10^9</f>
        <v>0.46765342401198451</v>
      </c>
      <c r="H67" s="2">
        <f>H12*'Output-Calculation-sheet'!H56/10^9</f>
        <v>0.99442089793156763</v>
      </c>
      <c r="I67" s="2">
        <f>I12*'Output-Calculation-sheet'!I56/10^9</f>
        <v>0.42848574540261047</v>
      </c>
      <c r="J67" s="2">
        <f>J12*'Output-Calculation-sheet'!J56/10^9</f>
        <v>0.39199155970611083</v>
      </c>
      <c r="K67" s="2">
        <f>K12*'Output-Calculation-sheet'!K56/10^9</f>
        <v>0.46965496824665803</v>
      </c>
      <c r="L67" s="2">
        <f>L12*'Output-Calculation-sheet'!L56/10^9</f>
        <v>0.43785928707628435</v>
      </c>
      <c r="M67" s="2">
        <f>M12*'Output-Calculation-sheet'!M56/10^9</f>
        <v>0.70360146651470923</v>
      </c>
      <c r="N67" s="2">
        <f>N12*'Output-Calculation-sheet'!N56/10^9</f>
        <v>0.60094087977556732</v>
      </c>
      <c r="O67" s="2">
        <f>O12*'Output-Calculation-sheet'!O56/10^9</f>
        <v>0.66466561465363094</v>
      </c>
      <c r="P67" s="2">
        <f>P12*'Output-Calculation-sheet'!P56/10^9</f>
        <v>0.48767726383751608</v>
      </c>
      <c r="Q67" s="2">
        <f>Q12*'Output-Calculation-sheet'!Q56/10^9</f>
        <v>0.46068444708028589</v>
      </c>
      <c r="R67" s="2">
        <f>R12*'Output-Calculation-sheet'!R56/10^9</f>
        <v>0.36174795695860329</v>
      </c>
      <c r="S67" s="2">
        <f>S12*'Output-Calculation-sheet'!S56/10^9</f>
        <v>0.34920977953626503</v>
      </c>
      <c r="T67" s="2">
        <f>T12*'Output-Calculation-sheet'!T56/10^9</f>
        <v>0.11248901583729212</v>
      </c>
      <c r="U67" s="2">
        <f>U12*'Output-Calculation-sheet'!U56/10^9</f>
        <v>0.12161670890394767</v>
      </c>
      <c r="V67" s="2">
        <f>V12*'Output-Calculation-sheet'!V56/10^9</f>
        <v>8.6819448611092365E-2</v>
      </c>
      <c r="W67" s="2">
        <f>W12*'Output-Calculation-sheet'!W56/10^9</f>
        <v>5.8873448107369539E-2</v>
      </c>
      <c r="X67" s="2">
        <f>X12*'Output-Calculation-sheet'!X56/10^9</f>
        <v>9.1392902499914747E-2</v>
      </c>
      <c r="Y67" s="2">
        <f>Y12*'Output-Calculation-sheet'!Y56/10^9</f>
        <v>5.4934906348132834E-2</v>
      </c>
      <c r="AA67" s="2">
        <f t="shared" si="4"/>
        <v>20.507507455083697</v>
      </c>
    </row>
    <row r="68" spans="1:27" x14ac:dyDescent="0.25">
      <c r="B68" s="2">
        <f>SUM(B60:B67)</f>
        <v>47.263512989428889</v>
      </c>
      <c r="C68" s="2">
        <f t="shared" ref="C68:Y68" si="5">SUM(C60:C67)</f>
        <v>26.703403137606429</v>
      </c>
      <c r="D68" s="2">
        <f t="shared" si="5"/>
        <v>8.527391015450247</v>
      </c>
      <c r="E68" s="2">
        <f t="shared" si="5"/>
        <v>11.06509730203722</v>
      </c>
      <c r="F68" s="2">
        <f t="shared" si="5"/>
        <v>4.554036194018388</v>
      </c>
      <c r="G68" s="2">
        <f t="shared" si="5"/>
        <v>3.2819067311530268</v>
      </c>
      <c r="H68" s="2">
        <f t="shared" si="5"/>
        <v>6.8687781725873567</v>
      </c>
      <c r="I68" s="2">
        <f t="shared" si="5"/>
        <v>2.9567834610027051</v>
      </c>
      <c r="J68" s="2">
        <f t="shared" si="5"/>
        <v>3.1274654277534291</v>
      </c>
      <c r="K68" s="2">
        <f t="shared" si="5"/>
        <v>3.2677480752702417</v>
      </c>
      <c r="L68" s="2">
        <f t="shared" si="5"/>
        <v>3.3125601095199815</v>
      </c>
      <c r="M68" s="2">
        <f t="shared" si="5"/>
        <v>5.0385185844477727</v>
      </c>
      <c r="N68" s="2">
        <f t="shared" si="5"/>
        <v>4.2866307798591219</v>
      </c>
      <c r="O68" s="2">
        <f t="shared" si="5"/>
        <v>4.630964515660013</v>
      </c>
      <c r="P68" s="2">
        <f t="shared" si="5"/>
        <v>3.4872575349048058</v>
      </c>
      <c r="Q68" s="2">
        <f t="shared" si="5"/>
        <v>3.3580742339730376</v>
      </c>
      <c r="R68" s="2">
        <f t="shared" si="5"/>
        <v>2.7296463616524687</v>
      </c>
      <c r="S68" s="2">
        <f t="shared" si="5"/>
        <v>2.6007683064052056</v>
      </c>
      <c r="T68" s="2">
        <f t="shared" si="5"/>
        <v>0.88898697572586272</v>
      </c>
      <c r="U68" s="2">
        <f t="shared" si="5"/>
        <v>0.89036189961346357</v>
      </c>
      <c r="V68" s="2">
        <f t="shared" si="5"/>
        <v>0.81307248018508382</v>
      </c>
      <c r="W68" s="2">
        <f t="shared" si="5"/>
        <v>0.41816681365659419</v>
      </c>
      <c r="X68" s="2">
        <f t="shared" si="5"/>
        <v>0.68429372022584189</v>
      </c>
      <c r="Y68" s="2">
        <f t="shared" si="5"/>
        <v>0.35715626992063632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50.80698149796951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45.225864613748151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179.44597756389365</v>
      </c>
      <c r="S74" s="2">
        <f>S8/'Output-Calculation-sheet'!S7*'Output-Calculation-sheet'!S61</f>
        <v>0</v>
      </c>
      <c r="T74" s="2">
        <f>T8/'Output-Calculation-sheet'!T7*'Output-Calculation-sheet'!T61</f>
        <v>132.19336587576106</v>
      </c>
      <c r="U74" s="2">
        <f>U8/'Output-Calculation-sheet'!U7*'Output-Calculation-sheet'!U61</f>
        <v>16.745815045528488</v>
      </c>
      <c r="V74" s="2">
        <f>V8/'Output-Calculation-sheet'!V7*'Output-Calculation-sheet'!V61</f>
        <v>151.73901531825331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0.57615701991515411</v>
      </c>
    </row>
    <row r="75" spans="1:27" x14ac:dyDescent="0.25">
      <c r="A75" s="2">
        <v>2032</v>
      </c>
      <c r="B75" s="2">
        <f>B9/'Output-Calculation-sheet'!B8*'Output-Calculation-sheet'!B62</f>
        <v>520.88043951173393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105.63905565739448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84.638902502482722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223.95232735566674</v>
      </c>
      <c r="S75" s="2">
        <f>S9/'Output-Calculation-sheet'!S8*'Output-Calculation-sheet'!S62</f>
        <v>0</v>
      </c>
      <c r="T75" s="2">
        <f>T9/'Output-Calculation-sheet'!T8*'Output-Calculation-sheet'!T62</f>
        <v>147.92581872324976</v>
      </c>
      <c r="U75" s="2">
        <f>U9/'Output-Calculation-sheet'!U8*'Output-Calculation-sheet'!U62</f>
        <v>30.237960908531488</v>
      </c>
      <c r="V75" s="2">
        <f>V9/'Output-Calculation-sheet'!V8*'Output-Calculation-sheet'!V62</f>
        <v>158.46063057326342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1.2717351352323223</v>
      </c>
    </row>
    <row r="76" spans="1:27" x14ac:dyDescent="0.25">
      <c r="A76" s="2">
        <v>2033</v>
      </c>
      <c r="B76" s="2">
        <f>B10/'Output-Calculation-sheet'!B9*'Output-Calculation-sheet'!B63</f>
        <v>4791.8189202130125</v>
      </c>
      <c r="C76" s="2">
        <f>C10/'Output-Calculation-sheet'!C9*'Output-Calculation-sheet'!C63</f>
        <v>9787.0846684648677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3120.473233756119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2124.725775358294</v>
      </c>
      <c r="N76" s="2">
        <f>N10/'Output-Calculation-sheet'!N9*'Output-Calculation-sheet'!N63</f>
        <v>1213.7374408361525</v>
      </c>
      <c r="O76" s="2">
        <f>O10/'Output-Calculation-sheet'!O9*'Output-Calculation-sheet'!O63</f>
        <v>0</v>
      </c>
      <c r="P76" s="2">
        <f>P10/'Output-Calculation-sheet'!P9*'Output-Calculation-sheet'!P63</f>
        <v>421.4715681586805</v>
      </c>
      <c r="Q76" s="2">
        <f>Q10/'Output-Calculation-sheet'!Q9*'Output-Calculation-sheet'!Q63</f>
        <v>190.10061495756088</v>
      </c>
      <c r="R76" s="2">
        <f>R10/'Output-Calculation-sheet'!R9*'Output-Calculation-sheet'!R63</f>
        <v>321.22871953349488</v>
      </c>
      <c r="S76" s="2">
        <f>S10/'Output-Calculation-sheet'!S9*'Output-Calculation-sheet'!S63</f>
        <v>539.72071142371726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113.51114447879495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250.20155771508385</v>
      </c>
      <c r="Y76" s="2">
        <f>Y10/'Output-Calculation-sheet'!Y9*'Output-Calculation-sheet'!Y63</f>
        <v>4.7466443409389356</v>
      </c>
      <c r="AA76" s="2">
        <f t="shared" si="6"/>
        <v>22.99116698992524</v>
      </c>
    </row>
    <row r="77" spans="1:27" x14ac:dyDescent="0.25">
      <c r="A77" s="2">
        <v>2034</v>
      </c>
      <c r="B77" s="2">
        <f>B11/'Output-Calculation-sheet'!B10*'Output-Calculation-sheet'!B64</f>
        <v>10592.402603641047</v>
      </c>
      <c r="C77" s="2">
        <f>C11/'Output-Calculation-sheet'!C10*'Output-Calculation-sheet'!C64</f>
        <v>9305.0032275730027</v>
      </c>
      <c r="D77" s="2">
        <f>D11/'Output-Calculation-sheet'!D10*'Output-Calculation-sheet'!D64</f>
        <v>1305.564273116797</v>
      </c>
      <c r="E77" s="2">
        <f>E11/'Output-Calculation-sheet'!E10*'Output-Calculation-sheet'!E64</f>
        <v>1613.2238742558743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689.34145377619848</v>
      </c>
      <c r="H77" s="2">
        <f>H11/'Output-Calculation-sheet'!H10*'Output-Calculation-sheet'!H64</f>
        <v>3415.3275782561295</v>
      </c>
      <c r="I77" s="2">
        <f>I11/'Output-Calculation-sheet'!I10*'Output-Calculation-sheet'!I64</f>
        <v>406.67084239104207</v>
      </c>
      <c r="J77" s="2">
        <f>J11/'Output-Calculation-sheet'!J10*'Output-Calculation-sheet'!J64</f>
        <v>289.8938162837307</v>
      </c>
      <c r="K77" s="2">
        <f>K11/'Output-Calculation-sheet'!K10*'Output-Calculation-sheet'!K64</f>
        <v>614.63936453743827</v>
      </c>
      <c r="L77" s="2">
        <f>L11/'Output-Calculation-sheet'!L10*'Output-Calculation-sheet'!L64</f>
        <v>266.87409884080068</v>
      </c>
      <c r="M77" s="2">
        <f>M11/'Output-Calculation-sheet'!M10*'Output-Calculation-sheet'!M64</f>
        <v>2429.1546735587031</v>
      </c>
      <c r="N77" s="2">
        <f>N11/'Output-Calculation-sheet'!N10*'Output-Calculation-sheet'!N64</f>
        <v>1728.283891841643</v>
      </c>
      <c r="O77" s="2">
        <f>O11/'Output-Calculation-sheet'!O10*'Output-Calculation-sheet'!O64</f>
        <v>60.257582297751668</v>
      </c>
      <c r="P77" s="2">
        <f>P11/'Output-Calculation-sheet'!P10*'Output-Calculation-sheet'!P64</f>
        <v>762.80044049385947</v>
      </c>
      <c r="Q77" s="2">
        <f>Q11/'Output-Calculation-sheet'!Q10*'Output-Calculation-sheet'!Q64</f>
        <v>435.27004945327297</v>
      </c>
      <c r="R77" s="2">
        <f>R11/'Output-Calculation-sheet'!R10*'Output-Calculation-sheet'!R64</f>
        <v>652.75788719333309</v>
      </c>
      <c r="S77" s="2">
        <f>S11/'Output-Calculation-sheet'!S10*'Output-Calculation-sheet'!S64</f>
        <v>872.77390428738761</v>
      </c>
      <c r="T77" s="2">
        <f>T11/'Output-Calculation-sheet'!T10*'Output-Calculation-sheet'!T64</f>
        <v>179.58363153992158</v>
      </c>
      <c r="U77" s="2">
        <f>U11/'Output-Calculation-sheet'!U10*'Output-Calculation-sheet'!U64</f>
        <v>238.68761110121633</v>
      </c>
      <c r="V77" s="2">
        <f>V11/'Output-Calculation-sheet'!V10*'Output-Calculation-sheet'!V64</f>
        <v>95.148127747485859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246.82790087327496</v>
      </c>
      <c r="Y77" s="2">
        <f>Y11/'Output-Calculation-sheet'!Y10*'Output-Calculation-sheet'!Y64</f>
        <v>59.7635801986738</v>
      </c>
      <c r="AA77" s="2">
        <f t="shared" si="6"/>
        <v>36.380800446754151</v>
      </c>
    </row>
    <row r="78" spans="1:27" x14ac:dyDescent="0.25">
      <c r="A78" s="2">
        <v>2035</v>
      </c>
      <c r="B78" s="2">
        <f>B12/'Output-Calculation-sheet'!B11*'Output-Calculation-sheet'!B65</f>
        <v>11537.802286926097</v>
      </c>
      <c r="C78" s="2">
        <f>C12/'Output-Calculation-sheet'!C11*'Output-Calculation-sheet'!C65</f>
        <v>8147.7512575247647</v>
      </c>
      <c r="D78" s="2">
        <f>D12/'Output-Calculation-sheet'!D11*'Output-Calculation-sheet'!D65</f>
        <v>1224.9223315368502</v>
      </c>
      <c r="E78" s="2">
        <f>E12/'Output-Calculation-sheet'!E11*'Output-Calculation-sheet'!E65</f>
        <v>2328.5447884666237</v>
      </c>
      <c r="F78" s="2">
        <f>F12/'Output-Calculation-sheet'!F11*'Output-Calculation-sheet'!F65</f>
        <v>493.22766149117814</v>
      </c>
      <c r="G78" s="2">
        <f>G12/'Output-Calculation-sheet'!G11*'Output-Calculation-sheet'!G65</f>
        <v>925.48303626788061</v>
      </c>
      <c r="H78" s="2">
        <f>H12/'Output-Calculation-sheet'!H11*'Output-Calculation-sheet'!H65</f>
        <v>2979.690330112885</v>
      </c>
      <c r="I78" s="2">
        <f>I12/'Output-Calculation-sheet'!I11*'Output-Calculation-sheet'!I65</f>
        <v>544.21330174377226</v>
      </c>
      <c r="J78" s="2">
        <f>J12/'Output-Calculation-sheet'!J11*'Output-Calculation-sheet'!J65</f>
        <v>488.06772347681823</v>
      </c>
      <c r="K78" s="2">
        <f>K12/'Output-Calculation-sheet'!K11*'Output-Calculation-sheet'!K65</f>
        <v>615.9178320753316</v>
      </c>
      <c r="L78" s="2">
        <f>L12/'Output-Calculation-sheet'!L11*'Output-Calculation-sheet'!L65</f>
        <v>366.21669501225773</v>
      </c>
      <c r="M78" s="2">
        <f>M12/'Output-Calculation-sheet'!M11*'Output-Calculation-sheet'!M65</f>
        <v>2121.0327765629136</v>
      </c>
      <c r="N78" s="2">
        <f>N12/'Output-Calculation-sheet'!N11*'Output-Calculation-sheet'!N65</f>
        <v>1491.4285652933456</v>
      </c>
      <c r="O78" s="2">
        <f>O12/'Output-Calculation-sheet'!O11*'Output-Calculation-sheet'!O65</f>
        <v>209.07901032308254</v>
      </c>
      <c r="P78" s="2">
        <f>P12/'Output-Calculation-sheet'!P11*'Output-Calculation-sheet'!P65</f>
        <v>847.86139015556375</v>
      </c>
      <c r="Q78" s="2">
        <f>Q12/'Output-Calculation-sheet'!Q11*'Output-Calculation-sheet'!Q65</f>
        <v>426.46586759890374</v>
      </c>
      <c r="R78" s="2">
        <f>R12/'Output-Calculation-sheet'!R11*'Output-Calculation-sheet'!R65</f>
        <v>702.94478640364673</v>
      </c>
      <c r="S78" s="2">
        <f>S12/'Output-Calculation-sheet'!S11*'Output-Calculation-sheet'!S65</f>
        <v>793.0302108317934</v>
      </c>
      <c r="T78" s="2">
        <f>T12/'Output-Calculation-sheet'!T11*'Output-Calculation-sheet'!T65</f>
        <v>252.76258592819676</v>
      </c>
      <c r="U78" s="2">
        <f>U12/'Output-Calculation-sheet'!U11*'Output-Calculation-sheet'!U65</f>
        <v>216.57074372914514</v>
      </c>
      <c r="V78" s="2">
        <f>V12/'Output-Calculation-sheet'!V11*'Output-Calculation-sheet'!V65</f>
        <v>136.41067857545281</v>
      </c>
      <c r="W78" s="2">
        <f>W12/'Output-Calculation-sheet'!W11*'Output-Calculation-sheet'!W65</f>
        <v>96.078392701548481</v>
      </c>
      <c r="X78" s="2">
        <f>X12/'Output-Calculation-sheet'!X11*'Output-Calculation-sheet'!X65</f>
        <v>218.60927559142473</v>
      </c>
      <c r="Y78" s="2">
        <f>Y12/'Output-Calculation-sheet'!Y11*'Output-Calculation-sheet'!Y65</f>
        <v>93.782043111523194</v>
      </c>
      <c r="AA78" s="2">
        <f t="shared" si="6"/>
        <v>37.257893571441009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353.23509107679894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343.12037683813287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0.69635546791493175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645.1782891217988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24.825746360132364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17.082542834148164</v>
      </c>
      <c r="N88" s="2">
        <f>N11/'Output-Calculation-sheet'!N10*'Output-Calculation-sheet'!N73</f>
        <v>0</v>
      </c>
      <c r="O88" s="2">
        <f>O11/'Output-Calculation-sheet'!O10*'Output-Calculation-sheet'!O73</f>
        <v>360.35475633080824</v>
      </c>
      <c r="P88" s="2">
        <f>P11/'Output-Calculation-sheet'!P10*'Output-Calculation-sheet'!P73</f>
        <v>0</v>
      </c>
      <c r="Q88" s="2">
        <f>Q11/'Output-Calculation-sheet'!Q10*'Output-Calculation-sheet'!Q73</f>
        <v>14.710038846004494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1.8739970608089997</v>
      </c>
      <c r="Y88" s="2">
        <f>Y11/'Output-Calculation-sheet'!Y10*'Output-Calculation-sheet'!Y73</f>
        <v>0</v>
      </c>
      <c r="AA88" s="2">
        <f t="shared" si="7"/>
        <v>1.0640253705537008</v>
      </c>
    </row>
    <row r="89" spans="1:27" x14ac:dyDescent="0.25">
      <c r="A89" s="2">
        <v>2035</v>
      </c>
      <c r="B89" s="2">
        <f>B12/'Output-Calculation-sheet'!B11*'Output-Calculation-sheet'!B74</f>
        <v>290.83719308628713</v>
      </c>
      <c r="C89" s="2">
        <f>C12/'Output-Calculation-sheet'!C11*'Output-Calculation-sheet'!C74</f>
        <v>897.24582043203304</v>
      </c>
      <c r="D89" s="2">
        <f>D12/'Output-Calculation-sheet'!D11*'Output-Calculation-sheet'!D74</f>
        <v>122.27824622279513</v>
      </c>
      <c r="E89" s="2">
        <f>E12/'Output-Calculation-sheet'!E11*'Output-Calculation-sheet'!E74</f>
        <v>97.17859017451427</v>
      </c>
      <c r="F89" s="2">
        <f>F12/'Output-Calculation-sheet'!F11*'Output-Calculation-sheet'!F74</f>
        <v>30.559334664880925</v>
      </c>
      <c r="G89" s="2">
        <f>G12/'Output-Calculation-sheet'!G11*'Output-Calculation-sheet'!G74</f>
        <v>43.863834128057285</v>
      </c>
      <c r="H89" s="2">
        <f>H12/'Output-Calculation-sheet'!H11*'Output-Calculation-sheet'!H74</f>
        <v>106.23084901219588</v>
      </c>
      <c r="I89" s="2">
        <f>I12/'Output-Calculation-sheet'!I11*'Output-Calculation-sheet'!I74</f>
        <v>39.452899937927526</v>
      </c>
      <c r="J89" s="2">
        <f>J12/'Output-Calculation-sheet'!J11*'Output-Calculation-sheet'!J74</f>
        <v>19.522708939072729</v>
      </c>
      <c r="K89" s="2">
        <f>K12/'Output-Calculation-sheet'!K11*'Output-Calculation-sheet'!K74</f>
        <v>38.775990435364619</v>
      </c>
      <c r="L89" s="2">
        <f>L12/'Output-Calculation-sheet'!L11*'Output-Calculation-sheet'!L74</f>
        <v>30.832809514818585</v>
      </c>
      <c r="M89" s="2">
        <f>M12/'Output-Calculation-sheet'!M11*'Output-Calculation-sheet'!M74</f>
        <v>58.477775523332532</v>
      </c>
      <c r="N89" s="2">
        <f>N12/'Output-Calculation-sheet'!N11*'Output-Calculation-sheet'!N74</f>
        <v>43.105702382319862</v>
      </c>
      <c r="O89" s="2">
        <f>O12/'Output-Calculation-sheet'!O11*'Output-Calculation-sheet'!O74</f>
        <v>348.62144990701893</v>
      </c>
      <c r="P89" s="2">
        <f>P12/'Output-Calculation-sheet'!P11*'Output-Calculation-sheet'!P74</f>
        <v>26.5479346887799</v>
      </c>
      <c r="Q89" s="2">
        <f>Q12/'Output-Calculation-sheet'!Q11*'Output-Calculation-sheet'!Q74</f>
        <v>37.767080021156907</v>
      </c>
      <c r="R89" s="2">
        <f>R12/'Output-Calculation-sheet'!R11*'Output-Calculation-sheet'!R74</f>
        <v>24.968734642973992</v>
      </c>
      <c r="S89" s="2">
        <f>S12/'Output-Calculation-sheet'!S11*'Output-Calculation-sheet'!S74</f>
        <v>24.709609610263399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8.033337428285364</v>
      </c>
      <c r="V89" s="2">
        <f>V12/'Output-Calculation-sheet'!V11*'Output-Calculation-sheet'!V74</f>
        <v>3.0972158702961381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9.6227342015769324</v>
      </c>
      <c r="Y89" s="2">
        <f>Y12/'Output-Calculation-sheet'!Y11*'Output-Calculation-sheet'!Y74</f>
        <v>3.0953723281301491</v>
      </c>
      <c r="AA89" s="2">
        <f t="shared" si="7"/>
        <v>2.3121259564456569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14702649248.383715</v>
      </c>
      <c r="C96" s="2">
        <f>C8/'Output-Calculation-sheet'!C7*'Output-Calculation-sheet'!C79</f>
        <v>1809740436.4830778</v>
      </c>
      <c r="D96" s="2">
        <f>D8/'Output-Calculation-sheet'!D7*'Output-Calculation-sheet'!D79</f>
        <v>6408844999.1357002</v>
      </c>
      <c r="E96" s="2">
        <f>E8/'Output-Calculation-sheet'!E7*'Output-Calculation-sheet'!E79</f>
        <v>10957676706.233343</v>
      </c>
      <c r="F96" s="2">
        <f>F8/'Output-Calculation-sheet'!F7*'Output-Calculation-sheet'!F79</f>
        <v>4931320226.9228849</v>
      </c>
      <c r="G96" s="2">
        <f>G8/'Output-Calculation-sheet'!G7*'Output-Calculation-sheet'!G79</f>
        <v>3745561672.6856804</v>
      </c>
      <c r="H96" s="2">
        <f>H8/'Output-Calculation-sheet'!H7*'Output-Calculation-sheet'!H79</f>
        <v>1089711652.4011443</v>
      </c>
      <c r="I96" s="2">
        <f>I8/'Output-Calculation-sheet'!I7*'Output-Calculation-sheet'!I79</f>
        <v>2512421202.156652</v>
      </c>
      <c r="J96" s="2">
        <f>J8/'Output-Calculation-sheet'!J7*'Output-Calculation-sheet'!J79</f>
        <v>1861747650.2983377</v>
      </c>
      <c r="K96" s="2">
        <f>K8/'Output-Calculation-sheet'!K7*'Output-Calculation-sheet'!K79</f>
        <v>2152648321.9549394</v>
      </c>
      <c r="L96" s="2">
        <f>L8/'Output-Calculation-sheet'!L7*'Output-Calculation-sheet'!L79</f>
        <v>1712392186.7104907</v>
      </c>
      <c r="M96" s="2">
        <f>M8/'Output-Calculation-sheet'!M7*'Output-Calculation-sheet'!M79</f>
        <v>847153564.59886301</v>
      </c>
      <c r="N96" s="2">
        <f>N8/'Output-Calculation-sheet'!N7*'Output-Calculation-sheet'!N79</f>
        <v>860368497.86936569</v>
      </c>
      <c r="O96" s="2">
        <f>O8/'Output-Calculation-sheet'!O7*'Output-Calculation-sheet'!O79</f>
        <v>210016030.84737059</v>
      </c>
      <c r="P96" s="2">
        <f>P8/'Output-Calculation-sheet'!P7*'Output-Calculation-sheet'!P79</f>
        <v>2288284426.450974</v>
      </c>
      <c r="Q96" s="2">
        <f>Q8/'Output-Calculation-sheet'!Q7*'Output-Calculation-sheet'!Q79</f>
        <v>1014697794.466138</v>
      </c>
      <c r="R96" s="2">
        <f>R8/'Output-Calculation-sheet'!R7*'Output-Calculation-sheet'!R79</f>
        <v>1543846189.5665915</v>
      </c>
      <c r="S96" s="2">
        <f>S8/'Output-Calculation-sheet'!S7*'Output-Calculation-sheet'!S79</f>
        <v>603446055.90536046</v>
      </c>
      <c r="T96" s="2">
        <f>T8/'Output-Calculation-sheet'!T7*'Output-Calculation-sheet'!T79</f>
        <v>817258589.12838352</v>
      </c>
      <c r="U96" s="2">
        <f>U8/'Output-Calculation-sheet'!U7*'Output-Calculation-sheet'!U79</f>
        <v>405909566.68461436</v>
      </c>
      <c r="V96" s="2">
        <f>V8/'Output-Calculation-sheet'!V7*'Output-Calculation-sheet'!V79</f>
        <v>299102218.00939196</v>
      </c>
      <c r="W96" s="2">
        <f>W8/'Output-Calculation-sheet'!W7*'Output-Calculation-sheet'!W79</f>
        <v>796821421.56609356</v>
      </c>
      <c r="X96" s="2">
        <f>X8/'Output-Calculation-sheet'!X7*'Output-Calculation-sheet'!X79</f>
        <v>94421603.917231277</v>
      </c>
      <c r="Y96" s="2">
        <f>Y8/'Output-Calculation-sheet'!Y7*'Output-Calculation-sheet'!Y79</f>
        <v>357603666.1128028</v>
      </c>
      <c r="AA96" s="2">
        <f t="shared" si="8"/>
        <v>62.023643928489143</v>
      </c>
    </row>
    <row r="97" spans="1:27" x14ac:dyDescent="0.25">
      <c r="A97" s="2">
        <v>2032</v>
      </c>
      <c r="B97" s="2">
        <f>B9/'Output-Calculation-sheet'!B8*'Output-Calculation-sheet'!B80</f>
        <v>15492424149.826956</v>
      </c>
      <c r="C97" s="2">
        <f>C9/'Output-Calculation-sheet'!C8*'Output-Calculation-sheet'!C80</f>
        <v>1946363592.8886044</v>
      </c>
      <c r="D97" s="2">
        <f>D9/'Output-Calculation-sheet'!D8*'Output-Calculation-sheet'!D80</f>
        <v>6410339820.8325443</v>
      </c>
      <c r="E97" s="2">
        <f>E9/'Output-Calculation-sheet'!E8*'Output-Calculation-sheet'!E80</f>
        <v>11286079623.419312</v>
      </c>
      <c r="F97" s="2">
        <f>F9/'Output-Calculation-sheet'!F8*'Output-Calculation-sheet'!F80</f>
        <v>5067383276.2090244</v>
      </c>
      <c r="G97" s="2">
        <f>G9/'Output-Calculation-sheet'!G8*'Output-Calculation-sheet'!G80</f>
        <v>3750780569.3528037</v>
      </c>
      <c r="H97" s="2">
        <f>H9/'Output-Calculation-sheet'!H8*'Output-Calculation-sheet'!H80</f>
        <v>1136510754.8851764</v>
      </c>
      <c r="I97" s="2">
        <f>I9/'Output-Calculation-sheet'!I8*'Output-Calculation-sheet'!I80</f>
        <v>2605184764.3417001</v>
      </c>
      <c r="J97" s="2">
        <f>J9/'Output-Calculation-sheet'!J8*'Output-Calculation-sheet'!J80</f>
        <v>1879793057.6345532</v>
      </c>
      <c r="K97" s="2">
        <f>K9/'Output-Calculation-sheet'!K8*'Output-Calculation-sheet'!K80</f>
        <v>2188134463.1503239</v>
      </c>
      <c r="L97" s="2">
        <f>L9/'Output-Calculation-sheet'!L8*'Output-Calculation-sheet'!L80</f>
        <v>1794145611.8108549</v>
      </c>
      <c r="M97" s="2">
        <f>M9/'Output-Calculation-sheet'!M8*'Output-Calculation-sheet'!M80</f>
        <v>883389476.81601655</v>
      </c>
      <c r="N97" s="2">
        <f>N9/'Output-Calculation-sheet'!N8*'Output-Calculation-sheet'!N80</f>
        <v>875551161.24054098</v>
      </c>
      <c r="O97" s="2">
        <f>O9/'Output-Calculation-sheet'!O8*'Output-Calculation-sheet'!O80</f>
        <v>228502377.47751862</v>
      </c>
      <c r="P97" s="2">
        <f>P9/'Output-Calculation-sheet'!P8*'Output-Calculation-sheet'!P80</f>
        <v>2323749474.929266</v>
      </c>
      <c r="Q97" s="2">
        <f>Q9/'Output-Calculation-sheet'!Q8*'Output-Calculation-sheet'!Q80</f>
        <v>1033270860.9067216</v>
      </c>
      <c r="R97" s="2">
        <f>R9/'Output-Calculation-sheet'!R8*'Output-Calculation-sheet'!R80</f>
        <v>1607921566.3761888</v>
      </c>
      <c r="S97" s="2">
        <f>S9/'Output-Calculation-sheet'!S8*'Output-Calculation-sheet'!S80</f>
        <v>620124847.47938526</v>
      </c>
      <c r="T97" s="2">
        <f>T9/'Output-Calculation-sheet'!T8*'Output-Calculation-sheet'!T80</f>
        <v>829169886.55659199</v>
      </c>
      <c r="U97" s="2">
        <f>U9/'Output-Calculation-sheet'!U8*'Output-Calculation-sheet'!U80</f>
        <v>420821200.19874257</v>
      </c>
      <c r="V97" s="2">
        <f>V9/'Output-Calculation-sheet'!V8*'Output-Calculation-sheet'!V80</f>
        <v>309989362.00853676</v>
      </c>
      <c r="W97" s="2">
        <f>W9/'Output-Calculation-sheet'!W8*'Output-Calculation-sheet'!W80</f>
        <v>810670164.32578087</v>
      </c>
      <c r="X97" s="2">
        <f>X9/'Output-Calculation-sheet'!X8*'Output-Calculation-sheet'!X80</f>
        <v>99275231.295786202</v>
      </c>
      <c r="Y97" s="2">
        <f>Y9/'Output-Calculation-sheet'!Y8*'Output-Calculation-sheet'!Y80</f>
        <v>364027604.13526559</v>
      </c>
      <c r="AA97" s="2">
        <f t="shared" si="8"/>
        <v>63.963602898098195</v>
      </c>
    </row>
    <row r="98" spans="1:27" x14ac:dyDescent="0.25">
      <c r="A98" s="2">
        <v>2033</v>
      </c>
      <c r="B98" s="2">
        <f>B10/'Output-Calculation-sheet'!B9*'Output-Calculation-sheet'!B81</f>
        <v>17459076149.375866</v>
      </c>
      <c r="C98" s="2">
        <f>C10/'Output-Calculation-sheet'!C9*'Output-Calculation-sheet'!C81</f>
        <v>5985837076.9655762</v>
      </c>
      <c r="D98" s="2">
        <f>D10/'Output-Calculation-sheet'!D9*'Output-Calculation-sheet'!D81</f>
        <v>5696693758.0722141</v>
      </c>
      <c r="E98" s="2">
        <f>E10/'Output-Calculation-sheet'!E9*'Output-Calculation-sheet'!E81</f>
        <v>10715839393.34495</v>
      </c>
      <c r="F98" s="2">
        <f>F10/'Output-Calculation-sheet'!F9*'Output-Calculation-sheet'!F81</f>
        <v>4419471179.2557917</v>
      </c>
      <c r="G98" s="2">
        <f>G10/'Output-Calculation-sheet'!G9*'Output-Calculation-sheet'!G81</f>
        <v>3244910958.468224</v>
      </c>
      <c r="H98" s="2">
        <f>H10/'Output-Calculation-sheet'!H9*'Output-Calculation-sheet'!H81</f>
        <v>2939915840.0928369</v>
      </c>
      <c r="I98" s="2">
        <f>I10/'Output-Calculation-sheet'!I9*'Output-Calculation-sheet'!I81</f>
        <v>2443938002.8177714</v>
      </c>
      <c r="J98" s="2">
        <f>J10/'Output-Calculation-sheet'!J9*'Output-Calculation-sheet'!J81</f>
        <v>1562715557.6276133</v>
      </c>
      <c r="K98" s="2">
        <f>K10/'Output-Calculation-sheet'!K9*'Output-Calculation-sheet'!K81</f>
        <v>2269906319.8268604</v>
      </c>
      <c r="L98" s="2">
        <f>L10/'Output-Calculation-sheet'!L9*'Output-Calculation-sheet'!L81</f>
        <v>1702463717.779716</v>
      </c>
      <c r="M98" s="2">
        <f>M10/'Output-Calculation-sheet'!M9*'Output-Calculation-sheet'!M81</f>
        <v>2207753359.887455</v>
      </c>
      <c r="N98" s="2">
        <f>N10/'Output-Calculation-sheet'!N9*'Output-Calculation-sheet'!N81</f>
        <v>1583890775.354686</v>
      </c>
      <c r="O98" s="2">
        <f>O10/'Output-Calculation-sheet'!O9*'Output-Calculation-sheet'!O81</f>
        <v>838759648.34288836</v>
      </c>
      <c r="P98" s="2">
        <f>P10/'Output-Calculation-sheet'!P9*'Output-Calculation-sheet'!P81</f>
        <v>2680432473.864028</v>
      </c>
      <c r="Q98" s="2">
        <f>Q10/'Output-Calculation-sheet'!Q9*'Output-Calculation-sheet'!Q81</f>
        <v>1260271398.6689804</v>
      </c>
      <c r="R98" s="2">
        <f>R10/'Output-Calculation-sheet'!R9*'Output-Calculation-sheet'!R81</f>
        <v>1612077783.1128595</v>
      </c>
      <c r="S98" s="2">
        <f>S10/'Output-Calculation-sheet'!S9*'Output-Calculation-sheet'!S81</f>
        <v>932067971.02722907</v>
      </c>
      <c r="T98" s="2">
        <f>T10/'Output-Calculation-sheet'!T9*'Output-Calculation-sheet'!T81</f>
        <v>691632779.40317583</v>
      </c>
      <c r="U98" s="2">
        <f>U10/'Output-Calculation-sheet'!U9*'Output-Calculation-sheet'!U81</f>
        <v>450021143.09879196</v>
      </c>
      <c r="V98" s="2">
        <f>V10/'Output-Calculation-sheet'!V9*'Output-Calculation-sheet'!V81</f>
        <v>238338775.63603121</v>
      </c>
      <c r="W98" s="2">
        <f>W10/'Output-Calculation-sheet'!W9*'Output-Calculation-sheet'!W81</f>
        <v>675772655.87937784</v>
      </c>
      <c r="X98" s="2">
        <f>X10/'Output-Calculation-sheet'!X9*'Output-Calculation-sheet'!X81</f>
        <v>248326005.35468075</v>
      </c>
      <c r="Y98" s="2">
        <f>Y10/'Output-Calculation-sheet'!Y9*'Output-Calculation-sheet'!Y81</f>
        <v>371581655.97366798</v>
      </c>
      <c r="AA98" s="2">
        <f t="shared" si="8"/>
        <v>72.231694379231257</v>
      </c>
    </row>
    <row r="99" spans="1:27" x14ac:dyDescent="0.25">
      <c r="A99" s="2">
        <v>2034</v>
      </c>
      <c r="B99" s="2">
        <f>B11/'Output-Calculation-sheet'!B10*'Output-Calculation-sheet'!B82</f>
        <v>18595445510.205429</v>
      </c>
      <c r="C99" s="2">
        <f>C11/'Output-Calculation-sheet'!C10*'Output-Calculation-sheet'!C82</f>
        <v>6416191630.8985844</v>
      </c>
      <c r="D99" s="2">
        <f>D11/'Output-Calculation-sheet'!D10*'Output-Calculation-sheet'!D82</f>
        <v>5836929611.433567</v>
      </c>
      <c r="E99" s="2">
        <f>E11/'Output-Calculation-sheet'!E10*'Output-Calculation-sheet'!E82</f>
        <v>11291028499.146637</v>
      </c>
      <c r="F99" s="2">
        <f>F11/'Output-Calculation-sheet'!F10*'Output-Calculation-sheet'!F82</f>
        <v>4650196075.0879145</v>
      </c>
      <c r="G99" s="2">
        <f>G11/'Output-Calculation-sheet'!G10*'Output-Calculation-sheet'!G82</f>
        <v>3305958500.0632057</v>
      </c>
      <c r="H99" s="2">
        <f>H11/'Output-Calculation-sheet'!H10*'Output-Calculation-sheet'!H82</f>
        <v>3090018445.6768632</v>
      </c>
      <c r="I99" s="2">
        <f>I11/'Output-Calculation-sheet'!I10*'Output-Calculation-sheet'!I82</f>
        <v>2595400376.8191614</v>
      </c>
      <c r="J99" s="2">
        <f>J11/'Output-Calculation-sheet'!J10*'Output-Calculation-sheet'!J82</f>
        <v>1615116661.8603826</v>
      </c>
      <c r="K99" s="2">
        <f>K11/'Output-Calculation-sheet'!K10*'Output-Calculation-sheet'!K82</f>
        <v>2363127622.9362516</v>
      </c>
      <c r="L99" s="2">
        <f>L11/'Output-Calculation-sheet'!L10*'Output-Calculation-sheet'!L82</f>
        <v>1824507338.9801996</v>
      </c>
      <c r="M99" s="2">
        <f>M11/'Output-Calculation-sheet'!M10*'Output-Calculation-sheet'!M82</f>
        <v>2327653620.5467615</v>
      </c>
      <c r="N99" s="2">
        <f>N11/'Output-Calculation-sheet'!N10*'Output-Calculation-sheet'!N82</f>
        <v>1639834150.5758331</v>
      </c>
      <c r="O99" s="2">
        <f>O11/'Output-Calculation-sheet'!O10*'Output-Calculation-sheet'!O82</f>
        <v>889036389.65111041</v>
      </c>
      <c r="P99" s="2">
        <f>P11/'Output-Calculation-sheet'!P10*'Output-Calculation-sheet'!P82</f>
        <v>2771327829.7183547</v>
      </c>
      <c r="Q99" s="2">
        <f>Q11/'Output-Calculation-sheet'!Q10*'Output-Calculation-sheet'!Q82</f>
        <v>1311566480.7610373</v>
      </c>
      <c r="R99" s="2">
        <f>R11/'Output-Calculation-sheet'!R10*'Output-Calculation-sheet'!R82</f>
        <v>1697816743.8672283</v>
      </c>
      <c r="S99" s="2">
        <f>S11/'Output-Calculation-sheet'!S10*'Output-Calculation-sheet'!S82</f>
        <v>977989909.48374236</v>
      </c>
      <c r="T99" s="2">
        <f>T11/'Output-Calculation-sheet'!T10*'Output-Calculation-sheet'!T82</f>
        <v>714796283.36967659</v>
      </c>
      <c r="U99" s="2">
        <f>U11/'Output-Calculation-sheet'!U10*'Output-Calculation-sheet'!U82</f>
        <v>473352508.0394066</v>
      </c>
      <c r="V99" s="2">
        <f>V11/'Output-Calculation-sheet'!V10*'Output-Calculation-sheet'!V82</f>
        <v>253095684.56578696</v>
      </c>
      <c r="W99" s="2">
        <f>W11/'Output-Calculation-sheet'!W10*'Output-Calculation-sheet'!W82</f>
        <v>701843194.63970089</v>
      </c>
      <c r="X99" s="2">
        <f>X11/'Output-Calculation-sheet'!X10*'Output-Calculation-sheet'!X82</f>
        <v>264333469.61741009</v>
      </c>
      <c r="Y99" s="2">
        <f>Y11/'Output-Calculation-sheet'!Y10*'Output-Calculation-sheet'!Y82</f>
        <v>386236355.90854174</v>
      </c>
      <c r="AA99" s="2">
        <f t="shared" si="8"/>
        <v>75.992802893852797</v>
      </c>
    </row>
    <row r="100" spans="1:27" x14ac:dyDescent="0.25">
      <c r="A100" s="2">
        <v>2035</v>
      </c>
      <c r="B100" s="2">
        <f>B12/'Output-Calculation-sheet'!B11*'Output-Calculation-sheet'!B83</f>
        <v>18183083144.316055</v>
      </c>
      <c r="C100" s="2">
        <f>C12/'Output-Calculation-sheet'!C11*'Output-Calculation-sheet'!C83</f>
        <v>6312871131.3375893</v>
      </c>
      <c r="D100" s="2">
        <f>D12/'Output-Calculation-sheet'!D11*'Output-Calculation-sheet'!D83</f>
        <v>5494544870.0246677</v>
      </c>
      <c r="E100" s="2">
        <f>E12/'Output-Calculation-sheet'!E11*'Output-Calculation-sheet'!E83</f>
        <v>10927231995.384731</v>
      </c>
      <c r="F100" s="2">
        <f>F12/'Output-Calculation-sheet'!F11*'Output-Calculation-sheet'!F83</f>
        <v>4495027542.6597319</v>
      </c>
      <c r="G100" s="2">
        <f>G12/'Output-Calculation-sheet'!G11*'Output-Calculation-sheet'!G83</f>
        <v>3088959188.2406926</v>
      </c>
      <c r="H100" s="2">
        <f>H12/'Output-Calculation-sheet'!H11*'Output-Calculation-sheet'!H83</f>
        <v>2983703731.5885653</v>
      </c>
      <c r="I100" s="2">
        <f>I12/'Output-Calculation-sheet'!I11*'Output-Calculation-sheet'!I83</f>
        <v>2531613683.2169337</v>
      </c>
      <c r="J100" s="2">
        <f>J12/'Output-Calculation-sheet'!J11*'Output-Calculation-sheet'!J83</f>
        <v>1534266853.9522669</v>
      </c>
      <c r="K100" s="2">
        <f>K12/'Output-Calculation-sheet'!K11*'Output-Calculation-sheet'!K83</f>
        <v>2260628609.5846267</v>
      </c>
      <c r="L100" s="2">
        <f>L12/'Output-Calculation-sheet'!L11*'Output-Calculation-sheet'!L83</f>
        <v>1794810216.3075805</v>
      </c>
      <c r="M100" s="2">
        <f>M12/'Output-Calculation-sheet'!M11*'Output-Calculation-sheet'!M83</f>
        <v>2254679346.6883259</v>
      </c>
      <c r="N100" s="2">
        <f>N12/'Output-Calculation-sheet'!N11*'Output-Calculation-sheet'!N83</f>
        <v>1560060027.7697291</v>
      </c>
      <c r="O100" s="2">
        <f>O12/'Output-Calculation-sheet'!O11*'Output-Calculation-sheet'!O83</f>
        <v>865932372.05814278</v>
      </c>
      <c r="P100" s="2">
        <f>P12/'Output-Calculation-sheet'!P11*'Output-Calculation-sheet'!P83</f>
        <v>2629898143.1235867</v>
      </c>
      <c r="Q100" s="2">
        <f>Q12/'Output-Calculation-sheet'!Q11*'Output-Calculation-sheet'!Q83</f>
        <v>1254473470.1172824</v>
      </c>
      <c r="R100" s="2">
        <f>R12/'Output-Calculation-sheet'!R11*'Output-Calculation-sheet'!R83</f>
        <v>1642663089.6796873</v>
      </c>
      <c r="S100" s="2">
        <f>S12/'Output-Calculation-sheet'!S11*'Output-Calculation-sheet'!S83</f>
        <v>942804214.86979032</v>
      </c>
      <c r="T100" s="2">
        <f>T12/'Output-Calculation-sheet'!T11*'Output-Calculation-sheet'!T83</f>
        <v>678492376.0893631</v>
      </c>
      <c r="U100" s="2">
        <f>U12/'Output-Calculation-sheet'!U11*'Output-Calculation-sheet'!U83</f>
        <v>457227039.73577541</v>
      </c>
      <c r="V100" s="2">
        <f>V12/'Output-Calculation-sheet'!V11*'Output-Calculation-sheet'!V83</f>
        <v>246700553.4985413</v>
      </c>
      <c r="W100" s="2">
        <f>W12/'Output-Calculation-sheet'!W11*'Output-Calculation-sheet'!W83</f>
        <v>668372406.98601663</v>
      </c>
      <c r="X100" s="2">
        <f>X12/'Output-Calculation-sheet'!X11*'Output-Calculation-sheet'!X83</f>
        <v>258399121.136042</v>
      </c>
      <c r="Y100" s="2">
        <f>Y12/'Output-Calculation-sheet'!Y11*'Output-Calculation-sheet'!Y83</f>
        <v>368313091.1912486</v>
      </c>
      <c r="AA100" s="2">
        <f t="shared" si="8"/>
        <v>73.434756219556974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1552.6591118284653</v>
      </c>
      <c r="C16" s="2">
        <f>C5/'Output-Calculation-sheet'!C4*'Output-Calculation-sheet'!C22</f>
        <v>3193.0169707822547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1213.5092119710675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887.89798498277435</v>
      </c>
      <c r="N16" s="2">
        <f>N5/'Output-Calculation-sheet'!N4*'Output-Calculation-sheet'!N22</f>
        <v>327.01235645932024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101.8816209796244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101.64978116621893</v>
      </c>
      <c r="Y16" s="2">
        <f>Y5/'Output-Calculation-sheet'!Y4*'Output-Calculation-sheet'!Y22</f>
        <v>0</v>
      </c>
      <c r="AA16" s="2">
        <f t="shared" ref="AA16:AA23" si="0">SUM(B16:Y16)/1000</f>
        <v>7.3776270381697264</v>
      </c>
    </row>
    <row r="17" spans="1:27" x14ac:dyDescent="0.25">
      <c r="A17" s="2">
        <v>2029</v>
      </c>
      <c r="B17" s="2">
        <f>B6/'Output-Calculation-sheet'!B5*'Output-Calculation-sheet'!B23</f>
        <v>2597.6151648104046</v>
      </c>
      <c r="C17" s="2">
        <f>C6/'Output-Calculation-sheet'!C5*'Output-Calculation-sheet'!C23</f>
        <v>4386.2281577738513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1652.809800524099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1207.891856998973</v>
      </c>
      <c r="N17" s="2">
        <f>N6/'Output-Calculation-sheet'!N5*'Output-Calculation-sheet'!N23</f>
        <v>512.03297950029025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195.27497186950887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138.59840929517114</v>
      </c>
      <c r="Y17" s="2">
        <f>Y6/'Output-Calculation-sheet'!Y5*'Output-Calculation-sheet'!Y23</f>
        <v>0</v>
      </c>
      <c r="AA17" s="2">
        <f t="shared" si="0"/>
        <v>10.690451340772299</v>
      </c>
    </row>
    <row r="18" spans="1:27" x14ac:dyDescent="0.25">
      <c r="A18" s="2">
        <v>2030</v>
      </c>
      <c r="B18" s="2">
        <f>B7/'Output-Calculation-sheet'!B6*'Output-Calculation-sheet'!B24</f>
        <v>3679.4984948312585</v>
      </c>
      <c r="C18" s="2">
        <f>C7/'Output-Calculation-sheet'!C6*'Output-Calculation-sheet'!C24</f>
        <v>5549.4130297323381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2065.4186950212243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1505.7109519448561</v>
      </c>
      <c r="N18" s="2">
        <f>N7/'Output-Calculation-sheet'!N6*'Output-Calculation-sheet'!N24</f>
        <v>693.42933492669897</v>
      </c>
      <c r="O18" s="2">
        <f>O7/'Output-Calculation-sheet'!O6*'Output-Calculation-sheet'!O24</f>
        <v>823.01156975392462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294.21098776942938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173.55086399948487</v>
      </c>
      <c r="Y18" s="2">
        <f>Y7/'Output-Calculation-sheet'!Y6*'Output-Calculation-sheet'!Y24</f>
        <v>0</v>
      </c>
      <c r="AA18" s="2">
        <f t="shared" si="0"/>
        <v>14.784243927979213</v>
      </c>
    </row>
    <row r="19" spans="1:27" x14ac:dyDescent="0.25">
      <c r="A19" s="2">
        <v>2031</v>
      </c>
      <c r="B19" s="2">
        <f>B8/'Output-Calculation-sheet'!B7*'Output-Calculation-sheet'!B25</f>
        <v>4950.544176393988</v>
      </c>
      <c r="C19" s="2">
        <f>C8/'Output-Calculation-sheet'!C7*'Output-Calculation-sheet'!C25</f>
        <v>6600.8612930565614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2405.1331102491285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1760.4448798221144</v>
      </c>
      <c r="N19" s="2">
        <f>N8/'Output-Calculation-sheet'!N7*'Output-Calculation-sheet'!N25</f>
        <v>917.13365184137911</v>
      </c>
      <c r="O19" s="2">
        <f>O8/'Output-Calculation-sheet'!O7*'Output-Calculation-sheet'!O25</f>
        <v>1000.1582634217616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399.81572632479634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203.49587606765735</v>
      </c>
      <c r="Y19" s="2">
        <f>Y8/'Output-Calculation-sheet'!Y7*'Output-Calculation-sheet'!Y25</f>
        <v>0</v>
      </c>
      <c r="AA19" s="2">
        <f t="shared" si="0"/>
        <v>18.237586977177386</v>
      </c>
    </row>
    <row r="20" spans="1:27" x14ac:dyDescent="0.25">
      <c r="A20" s="2">
        <v>2032</v>
      </c>
      <c r="B20" s="2">
        <f>B9/'Output-Calculation-sheet'!B8*'Output-Calculation-sheet'!B26</f>
        <v>6293.3337480750779</v>
      </c>
      <c r="C20" s="2">
        <f>C9/'Output-Calculation-sheet'!C8*'Output-Calculation-sheet'!C26</f>
        <v>7253.5603697329652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2611.3125348420444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1906.8546924101361</v>
      </c>
      <c r="N20" s="2">
        <f>N9/'Output-Calculation-sheet'!N8*'Output-Calculation-sheet'!N26</f>
        <v>1084.6417886578215</v>
      </c>
      <c r="O20" s="2">
        <f>O9/'Output-Calculation-sheet'!O8*'Output-Calculation-sheet'!O26</f>
        <v>1122.0651053744712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490.30492941089528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220.2664716050279</v>
      </c>
      <c r="Y20" s="2">
        <f>Y9/'Output-Calculation-sheet'!Y8*'Output-Calculation-sheet'!Y26</f>
        <v>0</v>
      </c>
      <c r="AA20" s="2">
        <f t="shared" si="0"/>
        <v>20.982339640108435</v>
      </c>
    </row>
    <row r="21" spans="1:27" x14ac:dyDescent="0.25">
      <c r="A21" s="2">
        <v>2033</v>
      </c>
      <c r="B21" s="2">
        <f>B10/'Output-Calculation-sheet'!B9*'Output-Calculation-sheet'!B27</f>
        <v>13190.755244123444</v>
      </c>
      <c r="C21" s="2">
        <f>C10/'Output-Calculation-sheet'!C9*'Output-Calculation-sheet'!C27</f>
        <v>22652.917047721854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7635.0495062958234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5303.0171744048048</v>
      </c>
      <c r="N21" s="2">
        <f>N10/'Output-Calculation-sheet'!N9*'Output-Calculation-sheet'!N27</f>
        <v>2901.7047637414626</v>
      </c>
      <c r="O21" s="2">
        <f>O10/'Output-Calculation-sheet'!O9*'Output-Calculation-sheet'!O27</f>
        <v>2260.1738719105765</v>
      </c>
      <c r="P21" s="2">
        <f>P10/'Output-Calculation-sheet'!P9*'Output-Calculation-sheet'!P27</f>
        <v>0</v>
      </c>
      <c r="Q21" s="2">
        <f>Q10/'Output-Calculation-sheet'!Q9*'Output-Calculation-sheet'!Q27</f>
        <v>197.91547942685594</v>
      </c>
      <c r="R21" s="2">
        <f>R10/'Output-Calculation-sheet'!R9*'Output-Calculation-sheet'!R27</f>
        <v>0</v>
      </c>
      <c r="S21" s="2">
        <f>S10/'Output-Calculation-sheet'!S9*'Output-Calculation-sheet'!S27</f>
        <v>1260.3203110450811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623.58938836873733</v>
      </c>
      <c r="Y21" s="2">
        <f>Y10/'Output-Calculation-sheet'!Y9*'Output-Calculation-sheet'!Y27</f>
        <v>0</v>
      </c>
      <c r="AA21" s="2">
        <f t="shared" si="0"/>
        <v>56.025442787038642</v>
      </c>
    </row>
    <row r="22" spans="1:27" x14ac:dyDescent="0.25">
      <c r="A22" s="2">
        <v>2034</v>
      </c>
      <c r="B22" s="2">
        <f>B11/'Output-Calculation-sheet'!B10*'Output-Calculation-sheet'!B28</f>
        <v>24608.607529247434</v>
      </c>
      <c r="C22" s="2">
        <f>C11/'Output-Calculation-sheet'!C10*'Output-Calculation-sheet'!C28</f>
        <v>23608.869024446831</v>
      </c>
      <c r="D22" s="2">
        <f>D11/'Output-Calculation-sheet'!D10*'Output-Calculation-sheet'!D28</f>
        <v>0</v>
      </c>
      <c r="E22" s="2">
        <f>E11/'Output-Calculation-sheet'!E10*'Output-Calculation-sheet'!E28</f>
        <v>1260.9073154324467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9009.099739040108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751.8740438053992</v>
      </c>
      <c r="M22" s="2">
        <f>M11/'Output-Calculation-sheet'!M10*'Output-Calculation-sheet'!M28</f>
        <v>6568.4256389451202</v>
      </c>
      <c r="N22" s="2">
        <f>N11/'Output-Calculation-sheet'!N10*'Output-Calculation-sheet'!N28</f>
        <v>3919.9587988532794</v>
      </c>
      <c r="O22" s="2">
        <f>O11/'Output-Calculation-sheet'!O10*'Output-Calculation-sheet'!O28</f>
        <v>2422.791162788636</v>
      </c>
      <c r="P22" s="2">
        <f>P11/'Output-Calculation-sheet'!P10*'Output-Calculation-sheet'!P28</f>
        <v>0</v>
      </c>
      <c r="Q22" s="2">
        <f>Q11/'Output-Calculation-sheet'!Q10*'Output-Calculation-sheet'!Q28</f>
        <v>890.49195289574766</v>
      </c>
      <c r="R22" s="2">
        <f>R11/'Output-Calculation-sheet'!R10*'Output-Calculation-sheet'!R28</f>
        <v>0</v>
      </c>
      <c r="S22" s="2">
        <f>S11/'Output-Calculation-sheet'!S10*'Output-Calculation-sheet'!S28</f>
        <v>1999.7317886740707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659.58167075992674</v>
      </c>
      <c r="Y22" s="2">
        <f>Y11/'Output-Calculation-sheet'!Y10*'Output-Calculation-sheet'!Y28</f>
        <v>68.416327260055837</v>
      </c>
      <c r="AA22" s="2">
        <f t="shared" si="0"/>
        <v>75.768754992149056</v>
      </c>
    </row>
    <row r="23" spans="1:27" x14ac:dyDescent="0.25">
      <c r="A23" s="2">
        <v>2035</v>
      </c>
      <c r="B23" s="2">
        <f>B12/'Output-Calculation-sheet'!B11*'Output-Calculation-sheet'!B29</f>
        <v>28249.408518150671</v>
      </c>
      <c r="C23" s="2">
        <f>C12/'Output-Calculation-sheet'!C11*'Output-Calculation-sheet'!C29</f>
        <v>23073.765161379204</v>
      </c>
      <c r="D23" s="2">
        <f>D12/'Output-Calculation-sheet'!D11*'Output-Calculation-sheet'!D29</f>
        <v>0</v>
      </c>
      <c r="E23" s="2">
        <f>E12/'Output-Calculation-sheet'!E11*'Output-Calculation-sheet'!E29</f>
        <v>4355.3695091614991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8882.1787756387457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987.32712235241218</v>
      </c>
      <c r="M23" s="2">
        <f>M12/'Output-Calculation-sheet'!M11*'Output-Calculation-sheet'!M29</f>
        <v>6507.6015512862632</v>
      </c>
      <c r="N23" s="2">
        <f>N12/'Output-Calculation-sheet'!N11*'Output-Calculation-sheet'!N29</f>
        <v>3796.2469773122466</v>
      </c>
      <c r="O23" s="2">
        <f>O12/'Output-Calculation-sheet'!O11*'Output-Calculation-sheet'!O29</f>
        <v>2559.1371459492652</v>
      </c>
      <c r="P23" s="2">
        <f>P12/'Output-Calculation-sheet'!P11*'Output-Calculation-sheet'!P29</f>
        <v>463.64206100654917</v>
      </c>
      <c r="Q23" s="2">
        <f>Q12/'Output-Calculation-sheet'!Q11*'Output-Calculation-sheet'!Q29</f>
        <v>1040.8712470874989</v>
      </c>
      <c r="R23" s="2">
        <f>R12/'Output-Calculation-sheet'!R11*'Output-Calculation-sheet'!R29</f>
        <v>0</v>
      </c>
      <c r="S23" s="2">
        <f>S12/'Output-Calculation-sheet'!S11*'Output-Calculation-sheet'!S29</f>
        <v>2032.1316534131263</v>
      </c>
      <c r="T23" s="2">
        <f>T12/'Output-Calculation-sheet'!T11*'Output-Calculation-sheet'!T29</f>
        <v>0</v>
      </c>
      <c r="U23" s="2">
        <f>U12/'Output-Calculation-sheet'!U11*'Output-Calculation-sheet'!U29</f>
        <v>88.616076361902316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644.67918686074518</v>
      </c>
      <c r="Y23" s="2">
        <f>Y12/'Output-Calculation-sheet'!Y11*'Output-Calculation-sheet'!Y29</f>
        <v>190.86103901602095</v>
      </c>
      <c r="AA23" s="2">
        <f t="shared" si="0"/>
        <v>82.871836024976147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13305.667364924975</v>
      </c>
      <c r="C27" s="2">
        <f>C5/'Output-Calculation-sheet'!C4*'Output-Calculation-sheet'!C13</f>
        <v>0</v>
      </c>
      <c r="D27" s="2">
        <f>D5/'Output-Calculation-sheet'!D4*'Output-Calculation-sheet'!D13</f>
        <v>2902.2952369469899</v>
      </c>
      <c r="E27" s="2">
        <f>E5/'Output-Calculation-sheet'!E4*'Output-Calculation-sheet'!E13</f>
        <v>3605.576688887169</v>
      </c>
      <c r="F27" s="2">
        <f>F5/'Output-Calculation-sheet'!F4*'Output-Calculation-sheet'!F13</f>
        <v>1775.8369726888297</v>
      </c>
      <c r="G27" s="2">
        <f>G5/'Output-Calculation-sheet'!G4*'Output-Calculation-sheet'!G13</f>
        <v>1079.9332441612755</v>
      </c>
      <c r="H27" s="2">
        <f>H5/'Output-Calculation-sheet'!H4*'Output-Calculation-sheet'!H13</f>
        <v>0</v>
      </c>
      <c r="I27" s="2">
        <f>I5/'Output-Calculation-sheet'!I4*'Output-Calculation-sheet'!I13</f>
        <v>1013.3489128908701</v>
      </c>
      <c r="J27" s="2">
        <f>J5/'Output-Calculation-sheet'!J4*'Output-Calculation-sheet'!J13</f>
        <v>1097.1439119304139</v>
      </c>
      <c r="K27" s="2">
        <f>K5/'Output-Calculation-sheet'!K4*'Output-Calculation-sheet'!K13</f>
        <v>1043.7532243276373</v>
      </c>
      <c r="L27" s="2">
        <f>L5/'Output-Calculation-sheet'!L4*'Output-Calculation-sheet'!L13</f>
        <v>1166.582595629025</v>
      </c>
      <c r="M27" s="2">
        <f>M5/'Output-Calculation-sheet'!M4*'Output-Calculation-sheet'!M13</f>
        <v>0</v>
      </c>
      <c r="N27" s="2">
        <f>N5/'Output-Calculation-sheet'!N4*'Output-Calculation-sheet'!N13</f>
        <v>582.48798442862596</v>
      </c>
      <c r="O27" s="2">
        <f>O5/'Output-Calculation-sheet'!O4*'Output-Calculation-sheet'!O13</f>
        <v>0</v>
      </c>
      <c r="P27" s="2">
        <f>P5/'Output-Calculation-sheet'!P4*'Output-Calculation-sheet'!P13</f>
        <v>977.53035775054582</v>
      </c>
      <c r="Q27" s="2">
        <f>Q5/'Output-Calculation-sheet'!Q4*'Output-Calculation-sheet'!Q13</f>
        <v>956.50416907632939</v>
      </c>
      <c r="R27" s="2">
        <f>R5/'Output-Calculation-sheet'!R4*'Output-Calculation-sheet'!R13</f>
        <v>836.65623731414757</v>
      </c>
      <c r="S27" s="2">
        <f>S5/'Output-Calculation-sheet'!S4*'Output-Calculation-sheet'!S13</f>
        <v>514.4597588423087</v>
      </c>
      <c r="T27" s="2">
        <f>T5/'Output-Calculation-sheet'!T4*'Output-Calculation-sheet'!T13</f>
        <v>326.51752540748538</v>
      </c>
      <c r="U27" s="2">
        <f>U5/'Output-Calculation-sheet'!U4*'Output-Calculation-sheet'!U13</f>
        <v>247.05759264995373</v>
      </c>
      <c r="V27" s="2">
        <f>V5/'Output-Calculation-sheet'!V4*'Output-Calculation-sheet'!V13</f>
        <v>339.83560347326244</v>
      </c>
      <c r="W27" s="2">
        <f>W5/'Output-Calculation-sheet'!W4*'Output-Calculation-sheet'!W13</f>
        <v>158.76549258265661</v>
      </c>
      <c r="X27" s="2">
        <f>X5/'Output-Calculation-sheet'!X4*'Output-Calculation-sheet'!X13</f>
        <v>0</v>
      </c>
      <c r="Y27" s="2">
        <f>Y5/'Output-Calculation-sheet'!Y4*'Output-Calculation-sheet'!Y13</f>
        <v>107.01010416803786</v>
      </c>
      <c r="AA27" s="2">
        <f t="shared" ref="AA27:AA34" si="1">SUM(B27:Y27)/1000</f>
        <v>32.036962978080538</v>
      </c>
    </row>
    <row r="28" spans="1:27" x14ac:dyDescent="0.25">
      <c r="A28" s="2">
        <v>2029</v>
      </c>
      <c r="B28" s="2">
        <f>B6/'Output-Calculation-sheet'!B5*'Output-Calculation-sheet'!B14</f>
        <v>17672.308599652566</v>
      </c>
      <c r="C28" s="2">
        <f>C6/'Output-Calculation-sheet'!C5*'Output-Calculation-sheet'!C14</f>
        <v>0</v>
      </c>
      <c r="D28" s="2">
        <f>D6/'Output-Calculation-sheet'!D5*'Output-Calculation-sheet'!D14</f>
        <v>3892.6613420169083</v>
      </c>
      <c r="E28" s="2">
        <f>E6/'Output-Calculation-sheet'!E5*'Output-Calculation-sheet'!E14</f>
        <v>4870.7960017223304</v>
      </c>
      <c r="F28" s="2">
        <f>F6/'Output-Calculation-sheet'!F5*'Output-Calculation-sheet'!F14</f>
        <v>2383.4511526219771</v>
      </c>
      <c r="G28" s="2">
        <f>G6/'Output-Calculation-sheet'!G5*'Output-Calculation-sheet'!G14</f>
        <v>1449.6761133266032</v>
      </c>
      <c r="H28" s="2">
        <f>H6/'Output-Calculation-sheet'!H5*'Output-Calculation-sheet'!H14</f>
        <v>0</v>
      </c>
      <c r="I28" s="2">
        <f>I6/'Output-Calculation-sheet'!I5*'Output-Calculation-sheet'!I14</f>
        <v>1361.6503399047906</v>
      </c>
      <c r="J28" s="2">
        <f>J6/'Output-Calculation-sheet'!J5*'Output-Calculation-sheet'!J14</f>
        <v>1474.3798882375625</v>
      </c>
      <c r="K28" s="2">
        <f>K6/'Output-Calculation-sheet'!K5*'Output-Calculation-sheet'!K14</f>
        <v>1408.0634800383161</v>
      </c>
      <c r="L28" s="2">
        <f>L6/'Output-Calculation-sheet'!L5*'Output-Calculation-sheet'!L14</f>
        <v>1566.8324846549522</v>
      </c>
      <c r="M28" s="2">
        <f>M6/'Output-Calculation-sheet'!M5*'Output-Calculation-sheet'!M14</f>
        <v>0</v>
      </c>
      <c r="N28" s="2">
        <f>N6/'Output-Calculation-sheet'!N5*'Output-Calculation-sheet'!N14</f>
        <v>761.58722282130645</v>
      </c>
      <c r="O28" s="2">
        <f>O6/'Output-Calculation-sheet'!O5*'Output-Calculation-sheet'!O14</f>
        <v>0</v>
      </c>
      <c r="P28" s="2">
        <f>P6/'Output-Calculation-sheet'!P5*'Output-Calculation-sheet'!P14</f>
        <v>1324.8200772385424</v>
      </c>
      <c r="Q28" s="2">
        <f>Q6/'Output-Calculation-sheet'!Q5*'Output-Calculation-sheet'!Q14</f>
        <v>1304.478776528937</v>
      </c>
      <c r="R28" s="2">
        <f>R6/'Output-Calculation-sheet'!R5*'Output-Calculation-sheet'!R14</f>
        <v>1125.6108788192389</v>
      </c>
      <c r="S28" s="2">
        <f>S6/'Output-Calculation-sheet'!S5*'Output-Calculation-sheet'!S14</f>
        <v>663.10903609073932</v>
      </c>
      <c r="T28" s="2">
        <f>T6/'Output-Calculation-sheet'!T5*'Output-Calculation-sheet'!T14</f>
        <v>438.97665119546252</v>
      </c>
      <c r="U28" s="2">
        <f>U6/'Output-Calculation-sheet'!U5*'Output-Calculation-sheet'!U14</f>
        <v>333.88008103629733</v>
      </c>
      <c r="V28" s="2">
        <f>V6/'Output-Calculation-sheet'!V5*'Output-Calculation-sheet'!V14</f>
        <v>449.74097162956627</v>
      </c>
      <c r="W28" s="2">
        <f>W6/'Output-Calculation-sheet'!W5*'Output-Calculation-sheet'!W14</f>
        <v>212.7968847902365</v>
      </c>
      <c r="X28" s="2">
        <f>X6/'Output-Calculation-sheet'!X5*'Output-Calculation-sheet'!X14</f>
        <v>0</v>
      </c>
      <c r="Y28" s="2">
        <f>Y6/'Output-Calculation-sheet'!Y5*'Output-Calculation-sheet'!Y14</f>
        <v>143.80595111611922</v>
      </c>
      <c r="AA28" s="2">
        <f t="shared" si="1"/>
        <v>42.838625933442444</v>
      </c>
    </row>
    <row r="29" spans="1:27" x14ac:dyDescent="0.25">
      <c r="A29" s="2">
        <v>2030</v>
      </c>
      <c r="B29" s="2">
        <f>B7/'Output-Calculation-sheet'!B6*'Output-Calculation-sheet'!B15</f>
        <v>21633.142749811941</v>
      </c>
      <c r="C29" s="2">
        <f>C7/'Output-Calculation-sheet'!C6*'Output-Calculation-sheet'!C15</f>
        <v>0</v>
      </c>
      <c r="D29" s="2">
        <f>D7/'Output-Calculation-sheet'!D6*'Output-Calculation-sheet'!D15</f>
        <v>4796.3002249958099</v>
      </c>
      <c r="E29" s="2">
        <f>E7/'Output-Calculation-sheet'!E6*'Output-Calculation-sheet'!E15</f>
        <v>6010.9474030988295</v>
      </c>
      <c r="F29" s="2">
        <f>F7/'Output-Calculation-sheet'!F6*'Output-Calculation-sheet'!F15</f>
        <v>2932.0865556195763</v>
      </c>
      <c r="G29" s="2">
        <f>G7/'Output-Calculation-sheet'!G6*'Output-Calculation-sheet'!G15</f>
        <v>1785.7898092113062</v>
      </c>
      <c r="H29" s="2">
        <f>H7/'Output-Calculation-sheet'!H6*'Output-Calculation-sheet'!H15</f>
        <v>0</v>
      </c>
      <c r="I29" s="2">
        <f>I7/'Output-Calculation-sheet'!I6*'Output-Calculation-sheet'!I15</f>
        <v>1679.2189200945641</v>
      </c>
      <c r="J29" s="2">
        <f>J7/'Output-Calculation-sheet'!J6*'Output-Calculation-sheet'!J15</f>
        <v>1815.8277297317804</v>
      </c>
      <c r="K29" s="2">
        <f>K7/'Output-Calculation-sheet'!K6*'Output-Calculation-sheet'!K15</f>
        <v>1742.8896770656058</v>
      </c>
      <c r="L29" s="2">
        <f>L7/'Output-Calculation-sheet'!L6*'Output-Calculation-sheet'!L15</f>
        <v>1929.7515900012218</v>
      </c>
      <c r="M29" s="2">
        <f>M7/'Output-Calculation-sheet'!M6*'Output-Calculation-sheet'!M15</f>
        <v>0</v>
      </c>
      <c r="N29" s="2">
        <f>N7/'Output-Calculation-sheet'!N6*'Output-Calculation-sheet'!N15</f>
        <v>929.63931372564639</v>
      </c>
      <c r="O29" s="2">
        <f>O7/'Output-Calculation-sheet'!O6*'Output-Calculation-sheet'!O15</f>
        <v>0</v>
      </c>
      <c r="P29" s="2">
        <f>P7/'Output-Calculation-sheet'!P6*'Output-Calculation-sheet'!P15</f>
        <v>1648.2540023856122</v>
      </c>
      <c r="Q29" s="2">
        <f>Q7/'Output-Calculation-sheet'!Q6*'Output-Calculation-sheet'!Q15</f>
        <v>1618.0895386357383</v>
      </c>
      <c r="R29" s="2">
        <f>R7/'Output-Calculation-sheet'!R6*'Output-Calculation-sheet'!R15</f>
        <v>1421.488926254611</v>
      </c>
      <c r="S29" s="2">
        <f>S7/'Output-Calculation-sheet'!S6*'Output-Calculation-sheet'!S15</f>
        <v>794.62583795267278</v>
      </c>
      <c r="T29" s="2">
        <f>T7/'Output-Calculation-sheet'!T6*'Output-Calculation-sheet'!T15</f>
        <v>542.76850808793233</v>
      </c>
      <c r="U29" s="2">
        <f>U7/'Output-Calculation-sheet'!U6*'Output-Calculation-sheet'!U15</f>
        <v>413.71405259958078</v>
      </c>
      <c r="V29" s="2">
        <f>V7/'Output-Calculation-sheet'!V6*'Output-Calculation-sheet'!V15</f>
        <v>544.06514619001086</v>
      </c>
      <c r="W29" s="2">
        <f>W7/'Output-Calculation-sheet'!W6*'Output-Calculation-sheet'!W15</f>
        <v>261.60483012547576</v>
      </c>
      <c r="X29" s="2">
        <f>X7/'Output-Calculation-sheet'!X6*'Output-Calculation-sheet'!X15</f>
        <v>0</v>
      </c>
      <c r="Y29" s="2">
        <f>Y7/'Output-Calculation-sheet'!Y6*'Output-Calculation-sheet'!Y15</f>
        <v>178.18354832912595</v>
      </c>
      <c r="AA29" s="2">
        <f t="shared" si="1"/>
        <v>52.678388363917044</v>
      </c>
    </row>
    <row r="30" spans="1:27" x14ac:dyDescent="0.25">
      <c r="A30" s="2">
        <v>2031</v>
      </c>
      <c r="B30" s="2">
        <f>B8/'Output-Calculation-sheet'!B7*'Output-Calculation-sheet'!B16</f>
        <v>24346.109889767053</v>
      </c>
      <c r="C30" s="2">
        <f>C8/'Output-Calculation-sheet'!C7*'Output-Calculation-sheet'!C16</f>
        <v>0</v>
      </c>
      <c r="D30" s="2">
        <f>D8/'Output-Calculation-sheet'!D7*'Output-Calculation-sheet'!D16</f>
        <v>5484.9438465318417</v>
      </c>
      <c r="E30" s="2">
        <f>E8/'Output-Calculation-sheet'!E7*'Output-Calculation-sheet'!E16</f>
        <v>6873.5108367315206</v>
      </c>
      <c r="F30" s="2">
        <f>F8/'Output-Calculation-sheet'!F7*'Output-Calculation-sheet'!F16</f>
        <v>3357.0220562986451</v>
      </c>
      <c r="G30" s="2">
        <f>G8/'Output-Calculation-sheet'!G7*'Output-Calculation-sheet'!G16</f>
        <v>2045.7256494185913</v>
      </c>
      <c r="H30" s="2">
        <f>H8/'Output-Calculation-sheet'!H7*'Output-Calculation-sheet'!H16</f>
        <v>0</v>
      </c>
      <c r="I30" s="2">
        <f>I8/'Output-Calculation-sheet'!I7*'Output-Calculation-sheet'!I16</f>
        <v>1925.7982127344476</v>
      </c>
      <c r="J30" s="2">
        <f>J8/'Output-Calculation-sheet'!J7*'Output-Calculation-sheet'!J16</f>
        <v>2064.3724240987663</v>
      </c>
      <c r="K30" s="2">
        <f>K8/'Output-Calculation-sheet'!K7*'Output-Calculation-sheet'!K16</f>
        <v>1998.0804581217546</v>
      </c>
      <c r="L30" s="2">
        <f>L8/'Output-Calculation-sheet'!L7*'Output-Calculation-sheet'!L16</f>
        <v>2208.5602004300963</v>
      </c>
      <c r="M30" s="2">
        <f>M8/'Output-Calculation-sheet'!M7*'Output-Calculation-sheet'!M16</f>
        <v>0</v>
      </c>
      <c r="N30" s="2">
        <f>N8/'Output-Calculation-sheet'!N7*'Output-Calculation-sheet'!N16</f>
        <v>990.37747067383771</v>
      </c>
      <c r="O30" s="2">
        <f>O8/'Output-Calculation-sheet'!O7*'Output-Calculation-sheet'!O16</f>
        <v>0</v>
      </c>
      <c r="P30" s="2">
        <f>P8/'Output-Calculation-sheet'!P7*'Output-Calculation-sheet'!P16</f>
        <v>1890.6370973447401</v>
      </c>
      <c r="Q30" s="2">
        <f>Q8/'Output-Calculation-sheet'!Q7*'Output-Calculation-sheet'!Q16</f>
        <v>1854.8086577774702</v>
      </c>
      <c r="R30" s="2">
        <f>R8/'Output-Calculation-sheet'!R7*'Output-Calculation-sheet'!R16</f>
        <v>1646.000521367245</v>
      </c>
      <c r="S30" s="2">
        <f>S8/'Output-Calculation-sheet'!S7*'Output-Calculation-sheet'!S16</f>
        <v>871.77425162890358</v>
      </c>
      <c r="T30" s="2">
        <f>T8/'Output-Calculation-sheet'!T7*'Output-Calculation-sheet'!T16</f>
        <v>621.71890397106256</v>
      </c>
      <c r="U30" s="2">
        <f>U8/'Output-Calculation-sheet'!U7*'Output-Calculation-sheet'!U16</f>
        <v>479.71995417848041</v>
      </c>
      <c r="V30" s="2">
        <f>V8/'Output-Calculation-sheet'!V7*'Output-Calculation-sheet'!V16</f>
        <v>621.14141135227271</v>
      </c>
      <c r="W30" s="2">
        <f>W8/'Output-Calculation-sheet'!W7*'Output-Calculation-sheet'!W16</f>
        <v>299.06689404841757</v>
      </c>
      <c r="X30" s="2">
        <f>X8/'Output-Calculation-sheet'!X7*'Output-Calculation-sheet'!X16</f>
        <v>0</v>
      </c>
      <c r="Y30" s="2">
        <f>Y8/'Output-Calculation-sheet'!Y7*'Output-Calculation-sheet'!Y16</f>
        <v>203.97014178272053</v>
      </c>
      <c r="AA30" s="2">
        <f t="shared" si="1"/>
        <v>59.783338878257887</v>
      </c>
    </row>
    <row r="31" spans="1:27" x14ac:dyDescent="0.25">
      <c r="A31" s="2">
        <v>2032</v>
      </c>
      <c r="B31" s="2">
        <f>B9/'Output-Calculation-sheet'!B8*'Output-Calculation-sheet'!B17</f>
        <v>25499.677714215712</v>
      </c>
      <c r="C31" s="2">
        <f>C9/'Output-Calculation-sheet'!C8*'Output-Calculation-sheet'!C17</f>
        <v>0</v>
      </c>
      <c r="D31" s="2">
        <f>D9/'Output-Calculation-sheet'!D8*'Output-Calculation-sheet'!D17</f>
        <v>5836.3500146183396</v>
      </c>
      <c r="E31" s="2">
        <f>E9/'Output-Calculation-sheet'!E8*'Output-Calculation-sheet'!E17</f>
        <v>7331.2266464402528</v>
      </c>
      <c r="F31" s="2">
        <f>F9/'Output-Calculation-sheet'!F8*'Output-Calculation-sheet'!F17</f>
        <v>3577.0457203409551</v>
      </c>
      <c r="G31" s="2">
        <f>G9/'Output-Calculation-sheet'!G8*'Output-Calculation-sheet'!G17</f>
        <v>2177.4433831712549</v>
      </c>
      <c r="H31" s="2">
        <f>H9/'Output-Calculation-sheet'!H8*'Output-Calculation-sheet'!H17</f>
        <v>0</v>
      </c>
      <c r="I31" s="2">
        <f>I9/'Output-Calculation-sheet'!I8*'Output-Calculation-sheet'!I17</f>
        <v>2048.768540249449</v>
      </c>
      <c r="J31" s="2">
        <f>J9/'Output-Calculation-sheet'!J8*'Output-Calculation-sheet'!J17</f>
        <v>2197.9769349609928</v>
      </c>
      <c r="K31" s="2">
        <f>K9/'Output-Calculation-sheet'!K8*'Output-Calculation-sheet'!K17</f>
        <v>2125.7523673214041</v>
      </c>
      <c r="L31" s="2">
        <f>L9/'Output-Calculation-sheet'!L8*'Output-Calculation-sheet'!L17</f>
        <v>2348.8803716484376</v>
      </c>
      <c r="M31" s="2">
        <f>M9/'Output-Calculation-sheet'!M8*'Output-Calculation-sheet'!M17</f>
        <v>0</v>
      </c>
      <c r="N31" s="2">
        <f>N9/'Output-Calculation-sheet'!N8*'Output-Calculation-sheet'!N17</f>
        <v>990.37716067641588</v>
      </c>
      <c r="O31" s="2">
        <f>O9/'Output-Calculation-sheet'!O8*'Output-Calculation-sheet'!O17</f>
        <v>0</v>
      </c>
      <c r="P31" s="2">
        <f>P9/'Output-Calculation-sheet'!P8*'Output-Calculation-sheet'!P17</f>
        <v>2023.2918441548304</v>
      </c>
      <c r="Q31" s="2">
        <f>Q9/'Output-Calculation-sheet'!Q8*'Output-Calculation-sheet'!Q17</f>
        <v>1978.6918467425742</v>
      </c>
      <c r="R31" s="2">
        <f>R9/'Output-Calculation-sheet'!R8*'Output-Calculation-sheet'!R17</f>
        <v>1770.8711966069945</v>
      </c>
      <c r="S31" s="2">
        <f>S9/'Output-Calculation-sheet'!S8*'Output-Calculation-sheet'!S17</f>
        <v>886.46263480334551</v>
      </c>
      <c r="T31" s="2">
        <f>T9/'Output-Calculation-sheet'!T8*'Output-Calculation-sheet'!T17</f>
        <v>663.40889867136798</v>
      </c>
      <c r="U31" s="2">
        <f>U9/'Output-Calculation-sheet'!U8*'Output-Calculation-sheet'!U17</f>
        <v>513.67134635976004</v>
      </c>
      <c r="V31" s="2">
        <f>V9/'Output-Calculation-sheet'!V8*'Output-Calculation-sheet'!V17</f>
        <v>653.21548547683858</v>
      </c>
      <c r="W31" s="2">
        <f>W9/'Output-Calculation-sheet'!W8*'Output-Calculation-sheet'!W17</f>
        <v>318.37336440118833</v>
      </c>
      <c r="X31" s="2">
        <f>X9/'Output-Calculation-sheet'!X8*'Output-Calculation-sheet'!X17</f>
        <v>0</v>
      </c>
      <c r="Y31" s="2">
        <f>Y9/'Output-Calculation-sheet'!Y8*'Output-Calculation-sheet'!Y17</f>
        <v>217.03902795821068</v>
      </c>
      <c r="AA31" s="2">
        <f t="shared" si="1"/>
        <v>63.158524498818323</v>
      </c>
    </row>
    <row r="32" spans="1:27" x14ac:dyDescent="0.25">
      <c r="A32" s="2">
        <v>2033</v>
      </c>
      <c r="B32" s="2">
        <f>B10/'Output-Calculation-sheet'!B9*'Output-Calculation-sheet'!B18</f>
        <v>26778.863004694947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1631.8109735180856</v>
      </c>
      <c r="O32" s="2">
        <f>O10/'Output-Calculation-sheet'!O9*'Output-Calculation-sheet'!O18</f>
        <v>0</v>
      </c>
      <c r="P32" s="2">
        <f>P10/'Output-Calculation-sheet'!P9*'Output-Calculation-sheet'!P18</f>
        <v>2627.1873643761564</v>
      </c>
      <c r="Q32" s="2">
        <f>Q10/'Output-Calculation-sheet'!Q9*'Output-Calculation-sheet'!Q18</f>
        <v>2859.7671035102389</v>
      </c>
      <c r="R32" s="2">
        <f>R10/'Output-Calculation-sheet'!R9*'Output-Calculation-sheet'!R18</f>
        <v>1886.4569752654702</v>
      </c>
      <c r="S32" s="2">
        <f>S10/'Output-Calculation-sheet'!S9*'Output-Calculation-sheet'!S18</f>
        <v>1237.904034906303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609.00560736273485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64.358548204369896</v>
      </c>
    </row>
    <row r="33" spans="1:27" x14ac:dyDescent="0.25">
      <c r="A33" s="2">
        <v>2034</v>
      </c>
      <c r="B33" s="2">
        <f>B11/'Output-Calculation-sheet'!B10*'Output-Calculation-sheet'!B19</f>
        <v>24821.686724306237</v>
      </c>
      <c r="C33" s="2">
        <f>C11/'Output-Calculation-sheet'!C10*'Output-Calculation-sheet'!C19</f>
        <v>0</v>
      </c>
      <c r="D33" s="2">
        <f>D11/'Output-Calculation-sheet'!D10*'Output-Calculation-sheet'!D19</f>
        <v>7404.0365223508652</v>
      </c>
      <c r="E33" s="2">
        <f>E11/'Output-Calculation-sheet'!E10*'Output-Calculation-sheet'!E19</f>
        <v>9170.3943251316869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2520.2640063199451</v>
      </c>
      <c r="H33" s="2">
        <f>H11/'Output-Calculation-sheet'!H10*'Output-Calculation-sheet'!H19</f>
        <v>0</v>
      </c>
      <c r="I33" s="2">
        <f>I11/'Output-Calculation-sheet'!I10*'Output-Calculation-sheet'!I19</f>
        <v>2749.9614537392408</v>
      </c>
      <c r="J33" s="2">
        <f>J11/'Output-Calculation-sheet'!J10*'Output-Calculation-sheet'!J19</f>
        <v>2325.2696181711449</v>
      </c>
      <c r="K33" s="2">
        <f>K11/'Output-Calculation-sheet'!K10*'Output-Calculation-sheet'!K19</f>
        <v>3226.6471447777599</v>
      </c>
      <c r="L33" s="2">
        <f>L11/'Output-Calculation-sheet'!L10*'Output-Calculation-sheet'!L19</f>
        <v>2624.0327938575856</v>
      </c>
      <c r="M33" s="2">
        <f>M11/'Output-Calculation-sheet'!M10*'Output-Calculation-sheet'!M19</f>
        <v>0</v>
      </c>
      <c r="N33" s="2">
        <f>N11/'Output-Calculation-sheet'!N10*'Output-Calculation-sheet'!N19</f>
        <v>1483.7790443785725</v>
      </c>
      <c r="O33" s="2">
        <f>O11/'Output-Calculation-sheet'!O10*'Output-Calculation-sheet'!O19</f>
        <v>0</v>
      </c>
      <c r="P33" s="2">
        <f>P11/'Output-Calculation-sheet'!P10*'Output-Calculation-sheet'!P19</f>
        <v>3264.7977253148902</v>
      </c>
      <c r="Q33" s="2">
        <f>Q11/'Output-Calculation-sheet'!Q10*'Output-Calculation-sheet'!Q19</f>
        <v>2688.526651599158</v>
      </c>
      <c r="R33" s="2">
        <f>R11/'Output-Calculation-sheet'!R10*'Output-Calculation-sheet'!R19</f>
        <v>2331.0129534676889</v>
      </c>
      <c r="S33" s="2">
        <f>S11/'Output-Calculation-sheet'!S10*'Output-Calculation-sheet'!S19</f>
        <v>1086.6361627990821</v>
      </c>
      <c r="T33" s="2">
        <f>T11/'Output-Calculation-sheet'!T10*'Output-Calculation-sheet'!T19</f>
        <v>683.98677365175411</v>
      </c>
      <c r="U33" s="2">
        <f>U11/'Output-Calculation-sheet'!U10*'Output-Calculation-sheet'!U19</f>
        <v>787.20985545349379</v>
      </c>
      <c r="V33" s="2">
        <f>V11/'Output-Calculation-sheet'!V10*'Output-Calculation-sheet'!V19</f>
        <v>536.37912424130332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96.718565411727027</v>
      </c>
      <c r="Y33" s="2">
        <f>Y11/'Output-Calculation-sheet'!Y10*'Output-Calculation-sheet'!Y19</f>
        <v>301.03183994424569</v>
      </c>
      <c r="AA33" s="2">
        <f t="shared" si="1"/>
        <v>72.644897411473224</v>
      </c>
    </row>
    <row r="34" spans="1:27" x14ac:dyDescent="0.25">
      <c r="A34" s="2">
        <v>2035</v>
      </c>
      <c r="B34" s="2">
        <f>B12/'Output-Calculation-sheet'!B11*'Output-Calculation-sheet'!B20</f>
        <v>22483.466939919221</v>
      </c>
      <c r="C34" s="2">
        <f>C12/'Output-Calculation-sheet'!C11*'Output-Calculation-sheet'!C20</f>
        <v>0</v>
      </c>
      <c r="D34" s="2">
        <f>D12/'Output-Calculation-sheet'!D11*'Output-Calculation-sheet'!D20</f>
        <v>7055.9975933996848</v>
      </c>
      <c r="E34" s="2">
        <f>E12/'Output-Calculation-sheet'!E11*'Output-Calculation-sheet'!E20</f>
        <v>7709.7142094121837</v>
      </c>
      <c r="F34" s="2">
        <f>F12/'Output-Calculation-sheet'!F11*'Output-Calculation-sheet'!F20</f>
        <v>4857.4814722785468</v>
      </c>
      <c r="G34" s="2">
        <f>G12/'Output-Calculation-sheet'!G11*'Output-Calculation-sheet'!G20</f>
        <v>2595.6938827423005</v>
      </c>
      <c r="H34" s="2">
        <f>H12/'Output-Calculation-sheet'!H11*'Output-Calculation-sheet'!H20</f>
        <v>0</v>
      </c>
      <c r="I34" s="2">
        <f>I12/'Output-Calculation-sheet'!I11*'Output-Calculation-sheet'!I20</f>
        <v>2821.1657975330963</v>
      </c>
      <c r="J34" s="2">
        <f>J12/'Output-Calculation-sheet'!J11*'Output-Calculation-sheet'!J20</f>
        <v>2421.9732733260548</v>
      </c>
      <c r="K34" s="2">
        <f>K12/'Output-Calculation-sheet'!K11*'Output-Calculation-sheet'!K20</f>
        <v>3184.3051563419372</v>
      </c>
      <c r="L34" s="2">
        <f>L12/'Output-Calculation-sheet'!L11*'Output-Calculation-sheet'!L20</f>
        <v>2516.6073692263617</v>
      </c>
      <c r="M34" s="2">
        <f>M12/'Output-Calculation-sheet'!M11*'Output-Calculation-sheet'!M20</f>
        <v>0</v>
      </c>
      <c r="N34" s="2">
        <f>N12/'Output-Calculation-sheet'!N11*'Output-Calculation-sheet'!N20</f>
        <v>1400.49241483883</v>
      </c>
      <c r="O34" s="2">
        <f>O12/'Output-Calculation-sheet'!O11*'Output-Calculation-sheet'!O20</f>
        <v>0</v>
      </c>
      <c r="P34" s="2">
        <f>P12/'Output-Calculation-sheet'!P11*'Output-Calculation-sheet'!P20</f>
        <v>3129.8447251768594</v>
      </c>
      <c r="Q34" s="2">
        <f>Q12/'Output-Calculation-sheet'!Q11*'Output-Calculation-sheet'!Q20</f>
        <v>2476.5535246690597</v>
      </c>
      <c r="R34" s="2">
        <f>R12/'Output-Calculation-sheet'!R11*'Output-Calculation-sheet'!R20</f>
        <v>2485.7169898399256</v>
      </c>
      <c r="S34" s="2">
        <f>S12/'Output-Calculation-sheet'!S11*'Output-Calculation-sheet'!S20</f>
        <v>949.48357549238494</v>
      </c>
      <c r="T34" s="2">
        <f>T12/'Output-Calculation-sheet'!T11*'Output-Calculation-sheet'!T20</f>
        <v>780.93549255840321</v>
      </c>
      <c r="U34" s="2">
        <f>U12/'Output-Calculation-sheet'!U11*'Output-Calculation-sheet'!U20</f>
        <v>712.48262269139229</v>
      </c>
      <c r="V34" s="2">
        <f>V12/'Output-Calculation-sheet'!V11*'Output-Calculation-sheet'!V20</f>
        <v>654.48831809321609</v>
      </c>
      <c r="W34" s="2">
        <f>W12/'Output-Calculation-sheet'!W11*'Output-Calculation-sheet'!W20</f>
        <v>421.07467179155191</v>
      </c>
      <c r="X34" s="2">
        <f>X12/'Output-Calculation-sheet'!X11*'Output-Calculation-sheet'!X20</f>
        <v>85.100775406033179</v>
      </c>
      <c r="Y34" s="2">
        <f>Y12/'Output-Calculation-sheet'!Y11*'Output-Calculation-sheet'!Y20</f>
        <v>236.02826083511405</v>
      </c>
      <c r="AA34" s="2">
        <f t="shared" si="1"/>
        <v>68.978607065572135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1.0728308283094701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0.6252665050422388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1.6980973333517089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2.1019259391518132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0.32351913331860349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0.22261282188303433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0.81669532676277978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0.19169530492685621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2.4421175345936526E-2</v>
      </c>
      <c r="Y44" s="2">
        <f>Y11/'Output-Calculation-sheet'!Y10*'Output-Calculation-sheet'!Y37*0.0114</f>
        <v>0</v>
      </c>
      <c r="AA44" s="2">
        <f t="shared" si="2"/>
        <v>3.6808697013890237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1.9948046293480577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0.77507374938753792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2.3176589016191938E-2</v>
      </c>
      <c r="Y45" s="2">
        <f>Y12/'Output-Calculation-sheet'!Y11*'Output-Calculation-sheet'!Y38*0.0114</f>
        <v>2.2365838273723456E-2</v>
      </c>
      <c r="AA45" s="2">
        <f t="shared" si="2"/>
        <v>9.9387449022294234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63.444578919165522</v>
      </c>
      <c r="U49" s="2">
        <f>U5/'Output-Calculation-sheet'!U4*'Output-Calculation-sheet'!U40</f>
        <v>0</v>
      </c>
      <c r="V49" s="2">
        <f>V5/'Output-Calculation-sheet'!V4*'Output-Calculation-sheet'!V40</f>
        <v>319.08048173782288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0.38252506065698838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156.06034142580532</v>
      </c>
      <c r="U50" s="2">
        <f>U6/'Output-Calculation-sheet'!U5*'Output-Calculation-sheet'!U41</f>
        <v>0</v>
      </c>
      <c r="V50" s="2">
        <f>V6/'Output-Calculation-sheet'!V5*'Output-Calculation-sheet'!V41</f>
        <v>475.16513469990844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0.63122547612571378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334.00953818396971</v>
      </c>
      <c r="S51" s="2">
        <f>S7/'Output-Calculation-sheet'!S6*'Output-Calculation-sheet'!S42</f>
        <v>0</v>
      </c>
      <c r="T51" s="2">
        <f>T7/'Output-Calculation-sheet'!T6*'Output-Calculation-sheet'!T42</f>
        <v>339.82243239928982</v>
      </c>
      <c r="U51" s="2">
        <f>U7/'Output-Calculation-sheet'!U6*'Output-Calculation-sheet'!U42</f>
        <v>0</v>
      </c>
      <c r="V51" s="2">
        <f>V7/'Output-Calculation-sheet'!V6*'Output-Calculation-sheet'!V42</f>
        <v>656.00351427602698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1.3298354848592866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139.12147555313246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123.83906370195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538.50908092920145</v>
      </c>
      <c r="S52" s="2">
        <f>S8/'Output-Calculation-sheet'!S7*'Output-Calculation-sheet'!S43</f>
        <v>0</v>
      </c>
      <c r="T52" s="2">
        <f>T8/'Output-Calculation-sheet'!T7*'Output-Calculation-sheet'!T43</f>
        <v>433.61701486186399</v>
      </c>
      <c r="U52" s="2">
        <f>U8/'Output-Calculation-sheet'!U7*'Output-Calculation-sheet'!U43</f>
        <v>45.862328315342296</v>
      </c>
      <c r="V52" s="2">
        <f>V8/'Output-Calculation-sheet'!V7*'Output-Calculation-sheet'!V43</f>
        <v>781.93765646770748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2.0628866198291975</v>
      </c>
    </row>
    <row r="53" spans="1:27" x14ac:dyDescent="0.25">
      <c r="A53" s="2">
        <v>2032</v>
      </c>
      <c r="B53" s="2">
        <f>B9/'Output-Calculation-sheet'!B8*'Output-Calculation-sheet'!B44</f>
        <v>1563.3184283372341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294.72305236410648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236.11310935234641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738.17056965693814</v>
      </c>
      <c r="S53" s="2">
        <f>S9/'Output-Calculation-sheet'!S8*'Output-Calculation-sheet'!S44</f>
        <v>0</v>
      </c>
      <c r="T53" s="2">
        <f>T9/'Output-Calculation-sheet'!T8*'Output-Calculation-sheet'!T44</f>
        <v>508.95382599103874</v>
      </c>
      <c r="U53" s="2">
        <f>U9/'Output-Calculation-sheet'!U8*'Output-Calculation-sheet'!U44</f>
        <v>86.362162345335108</v>
      </c>
      <c r="V53" s="2">
        <f>V9/'Output-Calculation-sheet'!V8*'Output-Calculation-sheet'!V44</f>
        <v>853.22357846858392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4.280864726515583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58158.723850460738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0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755.27156069225168</v>
      </c>
      <c r="R54" s="2">
        <f>R10/'Output-Calculation-sheet'!R9*'Output-Calculation-sheet'!R45</f>
        <v>1259.6693421792331</v>
      </c>
      <c r="S54" s="2">
        <f>S10/'Output-Calculation-sheet'!S9*'Output-Calculation-sheet'!S45</f>
        <v>3009.8006038039048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454.5717136199122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130.82185627579241</v>
      </c>
    </row>
    <row r="55" spans="1:27" x14ac:dyDescent="0.25">
      <c r="A55" s="2">
        <v>2034</v>
      </c>
      <c r="B55" s="2">
        <f>B11/'Output-Calculation-sheet'!B10*'Output-Calculation-sheet'!B46</f>
        <v>70702.668187240546</v>
      </c>
      <c r="C55" s="2">
        <f>C11/'Output-Calculation-sheet'!C10*'Output-Calculation-sheet'!C46</f>
        <v>58171.722263368159</v>
      </c>
      <c r="D55" s="2">
        <f>D11/'Output-Calculation-sheet'!D10*'Output-Calculation-sheet'!D46</f>
        <v>6533.1655540023521</v>
      </c>
      <c r="E55" s="2">
        <f>E11/'Output-Calculation-sheet'!E10*'Output-Calculation-sheet'!E46</f>
        <v>8047.7922129721737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20971.985923021752</v>
      </c>
      <c r="I55" s="2">
        <f>I11/'Output-Calculation-sheet'!I10*'Output-Calculation-sheet'!I46</f>
        <v>1580.9373386640839</v>
      </c>
      <c r="J55" s="2">
        <f>J11/'Output-Calculation-sheet'!J10*'Output-Calculation-sheet'!J46</f>
        <v>1147.3798721490452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1132.5575112780916</v>
      </c>
      <c r="M55" s="2">
        <f>M11/'Output-Calculation-sheet'!M10*'Output-Calculation-sheet'!M46</f>
        <v>14821.327351686232</v>
      </c>
      <c r="N55" s="2">
        <f>N11/'Output-Calculation-sheet'!N10*'Output-Calculation-sheet'!N46</f>
        <v>11304.28861531967</v>
      </c>
      <c r="O55" s="2">
        <f>O11/'Output-Calculation-sheet'!O10*'Output-Calculation-sheet'!O46</f>
        <v>250.73979330436219</v>
      </c>
      <c r="P55" s="2">
        <f>P11/'Output-Calculation-sheet'!P10*'Output-Calculation-sheet'!P46</f>
        <v>4202.0727007588312</v>
      </c>
      <c r="Q55" s="2">
        <f>Q11/'Output-Calculation-sheet'!Q10*'Output-Calculation-sheet'!Q46</f>
        <v>2471.860510898935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5555.8495718693575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1287.6318967118425</v>
      </c>
      <c r="V55" s="2">
        <f>V11/'Output-Calculation-sheet'!V10*'Output-Calculation-sheet'!V46</f>
        <v>521.26251141040177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1516.6835214844789</v>
      </c>
      <c r="Y55" s="2">
        <f>Y11/'Output-Calculation-sheet'!Y10*'Output-Calculation-sheet'!Y46</f>
        <v>394.84872357367175</v>
      </c>
      <c r="AA55" s="2">
        <f t="shared" si="3"/>
        <v>221.08265836141041</v>
      </c>
    </row>
    <row r="56" spans="1:27" x14ac:dyDescent="0.25">
      <c r="A56" s="2">
        <v>2035</v>
      </c>
      <c r="B56" s="2">
        <f>B12/'Output-Calculation-sheet'!B11*'Output-Calculation-sheet'!B47</f>
        <v>85348.986563546176</v>
      </c>
      <c r="C56" s="2">
        <f>C12/'Output-Calculation-sheet'!C11*'Output-Calculation-sheet'!C47</f>
        <v>56082.007342636178</v>
      </c>
      <c r="D56" s="2">
        <f>D12/'Output-Calculation-sheet'!D11*'Output-Calculation-sheet'!D47</f>
        <v>6820.234487590038</v>
      </c>
      <c r="E56" s="2">
        <f>E12/'Output-Calculation-sheet'!E11*'Output-Calculation-sheet'!E47</f>
        <v>19155.717177655901</v>
      </c>
      <c r="F56" s="2">
        <f>F12/'Output-Calculation-sheet'!F11*'Output-Calculation-sheet'!F47</f>
        <v>2363.0404635781497</v>
      </c>
      <c r="G56" s="2">
        <f>G12/'Output-Calculation-sheet'!G11*'Output-Calculation-sheet'!G47</f>
        <v>5337.959229323098</v>
      </c>
      <c r="H56" s="2">
        <f>H12/'Output-Calculation-sheet'!H11*'Output-Calculation-sheet'!H47</f>
        <v>20387.968614126228</v>
      </c>
      <c r="I56" s="2">
        <f>I12/'Output-Calculation-sheet'!I11*'Output-Calculation-sheet'!I47</f>
        <v>2700.661290505805</v>
      </c>
      <c r="J56" s="2">
        <f>J12/'Output-Calculation-sheet'!J11*'Output-Calculation-sheet'!J47</f>
        <v>2450.0373373723196</v>
      </c>
      <c r="K56" s="2">
        <f>K12/'Output-Calculation-sheet'!K11*'Output-Calculation-sheet'!K47</f>
        <v>3539.099923692067</v>
      </c>
      <c r="L56" s="2">
        <f>L12/'Output-Calculation-sheet'!L11*'Output-Calculation-sheet'!L47</f>
        <v>1954.2518553351258</v>
      </c>
      <c r="M56" s="2">
        <f>M12/'Output-Calculation-sheet'!M11*'Output-Calculation-sheet'!M47</f>
        <v>14214.240039403572</v>
      </c>
      <c r="N56" s="2">
        <f>N12/'Output-Calculation-sheet'!N11*'Output-Calculation-sheet'!N47</f>
        <v>10855.683173936048</v>
      </c>
      <c r="O56" s="2">
        <f>O12/'Output-Calculation-sheet'!O11*'Output-Calculation-sheet'!O47</f>
        <v>1019.8338807730762</v>
      </c>
      <c r="P56" s="2">
        <f>P12/'Output-Calculation-sheet'!P11*'Output-Calculation-sheet'!P47</f>
        <v>5636.9343992594168</v>
      </c>
      <c r="Q56" s="2">
        <f>Q12/'Output-Calculation-sheet'!Q11*'Output-Calculation-sheet'!Q47</f>
        <v>2856.5551519174273</v>
      </c>
      <c r="R56" s="2">
        <f>R12/'Output-Calculation-sheet'!R11*'Output-Calculation-sheet'!R47</f>
        <v>4162.1690498885855</v>
      </c>
      <c r="S56" s="2">
        <f>S12/'Output-Calculation-sheet'!S11*'Output-Calculation-sheet'!S47</f>
        <v>5512.8475209481103</v>
      </c>
      <c r="T56" s="2">
        <f>T12/'Output-Calculation-sheet'!T11*'Output-Calculation-sheet'!T47</f>
        <v>1457.8867719826239</v>
      </c>
      <c r="U56" s="2">
        <f>U12/'Output-Calculation-sheet'!U11*'Output-Calculation-sheet'!U47</f>
        <v>1395.1278397587471</v>
      </c>
      <c r="V56" s="2">
        <f>V12/'Output-Calculation-sheet'!V11*'Output-Calculation-sheet'!V47</f>
        <v>973.68972151673131</v>
      </c>
      <c r="W56" s="2">
        <f>W12/'Output-Calculation-sheet'!W11*'Output-Calculation-sheet'!W47</f>
        <v>554.1619285773811</v>
      </c>
      <c r="X56" s="2">
        <f>X12/'Output-Calculation-sheet'!X11*'Output-Calculation-sheet'!X47</f>
        <v>1467.8506376921559</v>
      </c>
      <c r="Y56" s="2">
        <f>Y12/'Output-Calculation-sheet'!Y11*'Output-Calculation-sheet'!Y47</f>
        <v>751.4136893715862</v>
      </c>
      <c r="AA56" s="2">
        <f t="shared" si="3"/>
        <v>256.99835809038655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3.7345050587588942</v>
      </c>
      <c r="C60" s="2">
        <f>C5*'Output-Calculation-sheet'!C49/10^9</f>
        <v>1.8831892589798143</v>
      </c>
      <c r="D60" s="2">
        <f>D5*'Output-Calculation-sheet'!D49/10^9</f>
        <v>0.66065650141789145</v>
      </c>
      <c r="E60" s="2">
        <f>E5*'Output-Calculation-sheet'!E49/10^9</f>
        <v>0.85004530562799963</v>
      </c>
      <c r="F60" s="2">
        <f>F5*'Output-Calculation-sheet'!F49/10^9</f>
        <v>0.35510840704602037</v>
      </c>
      <c r="G60" s="2">
        <f>G5*'Output-Calculation-sheet'!G49/10^9</f>
        <v>0.25371903317307354</v>
      </c>
      <c r="H60" s="2">
        <f>H5*'Output-Calculation-sheet'!H49/10^9</f>
        <v>0.49037652244570201</v>
      </c>
      <c r="I60" s="2">
        <f>I5*'Output-Calculation-sheet'!I49/10^9</f>
        <v>0.2276833703871631</v>
      </c>
      <c r="J60" s="2">
        <f>J5*'Output-Calculation-sheet'!J49/10^9</f>
        <v>0.24486869768726341</v>
      </c>
      <c r="K60" s="2">
        <f>K5*'Output-Calculation-sheet'!K49/10^9</f>
        <v>0.24958434675408969</v>
      </c>
      <c r="L60" s="2">
        <f>L5*'Output-Calculation-sheet'!L49/10^9</f>
        <v>0.26000128525170479</v>
      </c>
      <c r="M60" s="2">
        <f>M5*'Output-Calculation-sheet'!M49/10^9</f>
        <v>0.37053626412357182</v>
      </c>
      <c r="N60" s="2">
        <f>N5*'Output-Calculation-sheet'!N49/10^9</f>
        <v>0.31277672585083299</v>
      </c>
      <c r="O60" s="2">
        <f>O5*'Output-Calculation-sheet'!O49/10^9</f>
        <v>0.32040310500730063</v>
      </c>
      <c r="P60" s="2">
        <f>P5*'Output-Calculation-sheet'!P49/10^9</f>
        <v>0.26790297658834517</v>
      </c>
      <c r="Q60" s="2">
        <f>Q5*'Output-Calculation-sheet'!Q49/10^9</f>
        <v>0.25363986389679444</v>
      </c>
      <c r="R60" s="2">
        <f>R5*'Output-Calculation-sheet'!R49/10^9</f>
        <v>0.21441619162941819</v>
      </c>
      <c r="S60" s="2">
        <f>S5*'Output-Calculation-sheet'!S49/10^9</f>
        <v>0.19662531045625187</v>
      </c>
      <c r="T60" s="2">
        <f>T5*'Output-Calculation-sheet'!T49/10^9</f>
        <v>7.1306036239348114E-2</v>
      </c>
      <c r="U60" s="2">
        <f>U5*'Output-Calculation-sheet'!U49/10^9</f>
        <v>6.8574445335892034E-2</v>
      </c>
      <c r="V60" s="2">
        <f>V5*'Output-Calculation-sheet'!V49/10^9</f>
        <v>6.4610089043192181E-2</v>
      </c>
      <c r="W60" s="2">
        <f>W5*'Output-Calculation-sheet'!W49/10^9</f>
        <v>3.2315884392578098E-2</v>
      </c>
      <c r="X60" s="2">
        <f>X5*'Output-Calculation-sheet'!X49/10^9</f>
        <v>5.1916037857933979E-2</v>
      </c>
      <c r="Y60" s="2">
        <f>Y5*'Output-Calculation-sheet'!Y49/10^9</f>
        <v>2.679384357035771E-2</v>
      </c>
      <c r="AA60" s="2">
        <f t="shared" ref="AA60:AA67" si="4">SUM(B60:Y60)</f>
        <v>11.461554561521433</v>
      </c>
    </row>
    <row r="61" spans="1:27" x14ac:dyDescent="0.25">
      <c r="A61" s="2">
        <v>2029</v>
      </c>
      <c r="B61" s="2">
        <f>B6*'Output-Calculation-sheet'!B50/10^9</f>
        <v>4.9169181953792966</v>
      </c>
      <c r="C61" s="2">
        <f>C6*'Output-Calculation-sheet'!C50/10^9</f>
        <v>2.4869108118528156</v>
      </c>
      <c r="D61" s="2">
        <f>D6*'Output-Calculation-sheet'!D50/10^9</f>
        <v>0.86955428001852897</v>
      </c>
      <c r="E61" s="2">
        <f>E6*'Output-Calculation-sheet'!E50/10^9</f>
        <v>1.119172102952442</v>
      </c>
      <c r="F61" s="2">
        <f>F6*'Output-Calculation-sheet'!F50/10^9</f>
        <v>0.46672823768825611</v>
      </c>
      <c r="G61" s="2">
        <f>G6*'Output-Calculation-sheet'!G50/10^9</f>
        <v>0.33404789148485414</v>
      </c>
      <c r="H61" s="2">
        <f>H6*'Output-Calculation-sheet'!H50/10^9</f>
        <v>0.64667922687942792</v>
      </c>
      <c r="I61" s="2">
        <f>I6*'Output-Calculation-sheet'!I50/10^9</f>
        <v>0.29963057182399067</v>
      </c>
      <c r="J61" s="2">
        <f>J6*'Output-Calculation-sheet'!J50/10^9</f>
        <v>0.3222247565413871</v>
      </c>
      <c r="K61" s="2">
        <f>K6*'Output-Calculation-sheet'!K50/10^9</f>
        <v>0.32865137582237797</v>
      </c>
      <c r="L61" s="2">
        <f>L6*'Output-Calculation-sheet'!L50/10^9</f>
        <v>0.34213113761872305</v>
      </c>
      <c r="M61" s="2">
        <f>M6*'Output-Calculation-sheet'!M50/10^9</f>
        <v>0.48874936638753724</v>
      </c>
      <c r="N61" s="2">
        <f>N6*'Output-Calculation-sheet'!N50/10^9</f>
        <v>0.41251699959729982</v>
      </c>
      <c r="O61" s="2">
        <f>O6*'Output-Calculation-sheet'!O50/10^9</f>
        <v>0.42601316590781424</v>
      </c>
      <c r="P61" s="2">
        <f>P6*'Output-Calculation-sheet'!P50/10^9</f>
        <v>0.3532056635107948</v>
      </c>
      <c r="Q61" s="2">
        <f>Q6*'Output-Calculation-sheet'!Q50/10^9</f>
        <v>0.33429639854462634</v>
      </c>
      <c r="R61" s="2">
        <f>R6*'Output-Calculation-sheet'!R50/10^9</f>
        <v>0.28253063382702731</v>
      </c>
      <c r="S61" s="2">
        <f>S6*'Output-Calculation-sheet'!S50/10^9</f>
        <v>0.25932774146264725</v>
      </c>
      <c r="T61" s="2">
        <f>T6*'Output-Calculation-sheet'!T50/10^9</f>
        <v>9.3384443470760914E-2</v>
      </c>
      <c r="U61" s="2">
        <f>U6*'Output-Calculation-sheet'!U50/10^9</f>
        <v>9.0419130861914415E-2</v>
      </c>
      <c r="V61" s="2">
        <f>V6*'Output-Calculation-sheet'!V50/10^9</f>
        <v>8.3412050054693293E-2</v>
      </c>
      <c r="W61" s="2">
        <f>W6*'Output-Calculation-sheet'!W50/10^9</f>
        <v>4.2482451818003433E-2</v>
      </c>
      <c r="X61" s="2">
        <f>X6*'Output-Calculation-sheet'!X50/10^9</f>
        <v>6.8525636950009919E-2</v>
      </c>
      <c r="Y61" s="2">
        <f>Y6*'Output-Calculation-sheet'!Y50/10^9</f>
        <v>3.5298010871692896E-2</v>
      </c>
      <c r="AA61" s="2">
        <f t="shared" si="4"/>
        <v>15.102810281326922</v>
      </c>
    </row>
    <row r="62" spans="1:27" x14ac:dyDescent="0.25">
      <c r="A62" s="2">
        <v>2030</v>
      </c>
      <c r="B62" s="2">
        <f>B7*'Output-Calculation-sheet'!B51/10^9</f>
        <v>5.9408138356962468</v>
      </c>
      <c r="C62" s="2">
        <f>C7*'Output-Calculation-sheet'!C51/10^9</f>
        <v>3.0143887094602584</v>
      </c>
      <c r="D62" s="2">
        <f>D7*'Output-Calculation-sheet'!D51/10^9</f>
        <v>1.0505657455291262</v>
      </c>
      <c r="E62" s="2">
        <f>E7*'Output-Calculation-sheet'!E51/10^9</f>
        <v>1.3525169948951443</v>
      </c>
      <c r="F62" s="2">
        <f>F7*'Output-Calculation-sheet'!F51/10^9</f>
        <v>0.563060980069362</v>
      </c>
      <c r="G62" s="2">
        <f>G7*'Output-Calculation-sheet'!G51/10^9</f>
        <v>0.40371169363585141</v>
      </c>
      <c r="H62" s="2">
        <f>H7*'Output-Calculation-sheet'!H51/10^9</f>
        <v>0.7827508812168219</v>
      </c>
      <c r="I62" s="2">
        <f>I7*'Output-Calculation-sheet'!I51/10^9</f>
        <v>0.36194209939963945</v>
      </c>
      <c r="J62" s="2">
        <f>J7*'Output-Calculation-sheet'!J51/10^9</f>
        <v>0.38920948190563609</v>
      </c>
      <c r="K62" s="2">
        <f>K7*'Output-Calculation-sheet'!K51/10^9</f>
        <v>0.39722939204200308</v>
      </c>
      <c r="L62" s="2">
        <f>L7*'Output-Calculation-sheet'!L51/10^9</f>
        <v>0.41325030243663191</v>
      </c>
      <c r="M62" s="2">
        <f>M7*'Output-Calculation-sheet'!M51/10^9</f>
        <v>0.59173768519754577</v>
      </c>
      <c r="N62" s="2">
        <f>N7*'Output-Calculation-sheet'!N51/10^9</f>
        <v>0.4992258657636035</v>
      </c>
      <c r="O62" s="2">
        <f>O7*'Output-Calculation-sheet'!O51/10^9</f>
        <v>0.5171317859927903</v>
      </c>
      <c r="P62" s="2">
        <f>P7*'Output-Calculation-sheet'!P51/10^9</f>
        <v>0.42742827564642538</v>
      </c>
      <c r="Q62" s="2">
        <f>Q7*'Output-Calculation-sheet'!Q51/10^9</f>
        <v>0.40440823543043136</v>
      </c>
      <c r="R62" s="2">
        <f>R7*'Output-Calculation-sheet'!R51/10^9</f>
        <v>0.34110128515101462</v>
      </c>
      <c r="S62" s="2">
        <f>S7*'Output-Calculation-sheet'!S51/10^9</f>
        <v>0.31382408560990332</v>
      </c>
      <c r="T62" s="2">
        <f>T7*'Output-Calculation-sheet'!T51/10^9</f>
        <v>0.1119616485331002</v>
      </c>
      <c r="U62" s="2">
        <f>U7*'Output-Calculation-sheet'!U51/10^9</f>
        <v>0.10943700700340668</v>
      </c>
      <c r="V62" s="2">
        <f>V7*'Output-Calculation-sheet'!V51/10^9</f>
        <v>9.8781786924404216E-2</v>
      </c>
      <c r="W62" s="2">
        <f>W7*'Output-Calculation-sheet'!W51/10^9</f>
        <v>5.126286129908849E-2</v>
      </c>
      <c r="X62" s="2">
        <f>X7*'Output-Calculation-sheet'!X51/10^9</f>
        <v>8.3020234302620385E-2</v>
      </c>
      <c r="Y62" s="2">
        <f>Y7*'Output-Calculation-sheet'!Y51/10^9</f>
        <v>4.2684254844042577E-2</v>
      </c>
      <c r="AA62" s="2">
        <f t="shared" si="4"/>
        <v>18.261445127985102</v>
      </c>
    </row>
    <row r="63" spans="1:27" x14ac:dyDescent="0.25">
      <c r="A63" s="2">
        <v>2031</v>
      </c>
      <c r="B63" s="2">
        <f>B8*'Output-Calculation-sheet'!B52/10^9</f>
        <v>6.7178831696505537</v>
      </c>
      <c r="C63" s="2">
        <f>C8*'Output-Calculation-sheet'!C52/10^9</f>
        <v>3.405138953113132</v>
      </c>
      <c r="D63" s="2">
        <f>D8*'Output-Calculation-sheet'!D52/10^9</f>
        <v>1.1895667345545933</v>
      </c>
      <c r="E63" s="2">
        <f>E8*'Output-Calculation-sheet'!E52/10^9</f>
        <v>1.5316726462369548</v>
      </c>
      <c r="F63" s="2">
        <f>F8*'Output-Calculation-sheet'!F52/10^9</f>
        <v>0.63710279278404702</v>
      </c>
      <c r="G63" s="2">
        <f>G8*'Output-Calculation-sheet'!G52/10^9</f>
        <v>0.45713641039959563</v>
      </c>
      <c r="H63" s="2">
        <f>H8*'Output-Calculation-sheet'!H52/10^9</f>
        <v>0.88305325364868581</v>
      </c>
      <c r="I63" s="2">
        <f>I8*'Output-Calculation-sheet'!I52/10^9</f>
        <v>0.40979353922598316</v>
      </c>
      <c r="J63" s="2">
        <f>J8*'Output-Calculation-sheet'!J52/10^9</f>
        <v>0.44054407026916981</v>
      </c>
      <c r="K63" s="2">
        <f>K8*'Output-Calculation-sheet'!K52/10^9</f>
        <v>0.44987220838283143</v>
      </c>
      <c r="L63" s="2">
        <f>L8*'Output-Calculation-sheet'!L52/10^9</f>
        <v>0.46787195972770768</v>
      </c>
      <c r="M63" s="2">
        <f>M8*'Output-Calculation-sheet'!M52/10^9</f>
        <v>0.66773058550289488</v>
      </c>
      <c r="N63" s="2">
        <f>N8*'Output-Calculation-sheet'!N52/10^9</f>
        <v>0.5641552322926332</v>
      </c>
      <c r="O63" s="2">
        <f>O8*'Output-Calculation-sheet'!O52/10^9</f>
        <v>0.58442955731757373</v>
      </c>
      <c r="P63" s="2">
        <f>P8*'Output-Calculation-sheet'!P52/10^9</f>
        <v>0.48435961573838993</v>
      </c>
      <c r="Q63" s="2">
        <f>Q8*'Output-Calculation-sheet'!Q52/10^9</f>
        <v>0.45820035757545452</v>
      </c>
      <c r="R63" s="2">
        <f>R8*'Output-Calculation-sheet'!R52/10^9</f>
        <v>0.38600700846181735</v>
      </c>
      <c r="S63" s="2">
        <f>S8*'Output-Calculation-sheet'!S52/10^9</f>
        <v>0.35490942117174423</v>
      </c>
      <c r="T63" s="2">
        <f>T8*'Output-Calculation-sheet'!T52/10^9</f>
        <v>0.12640035848635583</v>
      </c>
      <c r="U63" s="2">
        <f>U8*'Output-Calculation-sheet'!U52/10^9</f>
        <v>0.12398993137203657</v>
      </c>
      <c r="V63" s="2">
        <f>V8*'Output-Calculation-sheet'!V52/10^9</f>
        <v>0.11112799159523933</v>
      </c>
      <c r="W63" s="2">
        <f>W8*'Output-Calculation-sheet'!W52/10^9</f>
        <v>5.8010656775959193E-2</v>
      </c>
      <c r="X63" s="2">
        <f>X8*'Output-Calculation-sheet'!X52/10^9</f>
        <v>9.3746469277593919E-2</v>
      </c>
      <c r="Y63" s="2">
        <f>Y8*'Output-Calculation-sheet'!Y52/10^9</f>
        <v>4.8352550883469306E-2</v>
      </c>
      <c r="AA63" s="2">
        <f t="shared" si="4"/>
        <v>20.651055474444419</v>
      </c>
    </row>
    <row r="64" spans="1:27" x14ac:dyDescent="0.25">
      <c r="A64" s="2">
        <v>2032</v>
      </c>
      <c r="B64" s="2">
        <f>B9*'Output-Calculation-sheet'!B53/10^9</f>
        <v>7.0667494030331763</v>
      </c>
      <c r="C64" s="2">
        <f>C9*'Output-Calculation-sheet'!C53/10^9</f>
        <v>3.5787665452338668</v>
      </c>
      <c r="D64" s="2">
        <f>D9*'Output-Calculation-sheet'!D53/10^9</f>
        <v>1.2535913562575189</v>
      </c>
      <c r="E64" s="2">
        <f>E9*'Output-Calculation-sheet'!E53/10^9</f>
        <v>1.6143198544020019</v>
      </c>
      <c r="F64" s="2">
        <f>F9*'Output-Calculation-sheet'!F53/10^9</f>
        <v>0.67089724051344612</v>
      </c>
      <c r="G64" s="2">
        <f>G9*'Output-Calculation-sheet'!G53/10^9</f>
        <v>0.48163713531190622</v>
      </c>
      <c r="H64" s="2">
        <f>H9*'Output-Calculation-sheet'!H53/10^9</f>
        <v>0.92693771747006859</v>
      </c>
      <c r="I64" s="2">
        <f>I9*'Output-Calculation-sheet'!I53/10^9</f>
        <v>0.43180705483596249</v>
      </c>
      <c r="J64" s="2">
        <f>J9*'Output-Calculation-sheet'!J53/10^9</f>
        <v>0.46406555461557142</v>
      </c>
      <c r="K64" s="2">
        <f>K9*'Output-Calculation-sheet'!K53/10^9</f>
        <v>0.47417470917130689</v>
      </c>
      <c r="L64" s="2">
        <f>L9*'Output-Calculation-sheet'!L53/10^9</f>
        <v>0.49299479182511918</v>
      </c>
      <c r="M64" s="2">
        <f>M9*'Output-Calculation-sheet'!M53/10^9</f>
        <v>0.7010845156868597</v>
      </c>
      <c r="N64" s="2">
        <f>N9*'Output-Calculation-sheet'!N53/10^9</f>
        <v>0.59298811539282381</v>
      </c>
      <c r="O64" s="2">
        <f>O9*'Output-Calculation-sheet'!O53/10^9</f>
        <v>0.61442253419273962</v>
      </c>
      <c r="P64" s="2">
        <f>P9*'Output-Calculation-sheet'!P53/10^9</f>
        <v>0.51082369893020341</v>
      </c>
      <c r="Q64" s="2">
        <f>Q9*'Output-Calculation-sheet'!Q53/10^9</f>
        <v>0.48316193499029098</v>
      </c>
      <c r="R64" s="2">
        <f>R9*'Output-Calculation-sheet'!R53/10^9</f>
        <v>0.40638001352833431</v>
      </c>
      <c r="S64" s="2">
        <f>S9*'Output-Calculation-sheet'!S53/10^9</f>
        <v>0.37338340216962779</v>
      </c>
      <c r="T64" s="2">
        <f>T9*'Output-Calculation-sheet'!T53/10^9</f>
        <v>0.13277985538882334</v>
      </c>
      <c r="U64" s="2">
        <f>U9*'Output-Calculation-sheet'!U53/10^9</f>
        <v>0.13071553682881112</v>
      </c>
      <c r="V64" s="2">
        <f>V9*'Output-Calculation-sheet'!V53/10^9</f>
        <v>0.11635049601386861</v>
      </c>
      <c r="W64" s="2">
        <f>W9*'Output-Calculation-sheet'!W53/10^9</f>
        <v>6.109582397918021E-2</v>
      </c>
      <c r="X64" s="2">
        <f>X9*'Output-Calculation-sheet'!X53/10^9</f>
        <v>9.8499104409261962E-2</v>
      </c>
      <c r="Y64" s="2">
        <f>Y9*'Output-Calculation-sheet'!Y53/10^9</f>
        <v>5.097727821192094E-2</v>
      </c>
      <c r="AA64" s="2">
        <f t="shared" si="4"/>
        <v>21.728603672392691</v>
      </c>
    </row>
    <row r="65" spans="1:27" x14ac:dyDescent="0.25">
      <c r="A65" s="2">
        <v>2033</v>
      </c>
      <c r="B65" s="2">
        <f>B10*'Output-Calculation-sheet'!B54/10^9</f>
        <v>7.1844344393592676</v>
      </c>
      <c r="C65" s="2">
        <f>C10*'Output-Calculation-sheet'!C54/10^9</f>
        <v>4.7217844930186361</v>
      </c>
      <c r="D65" s="2">
        <f>D10*'Output-Calculation-sheet'!D54/10^9</f>
        <v>1.2805982545114494</v>
      </c>
      <c r="E65" s="2">
        <f>E10*'Output-Calculation-sheet'!E54/10^9</f>
        <v>1.6308672897414134</v>
      </c>
      <c r="F65" s="2">
        <f>F10*'Output-Calculation-sheet'!F54/10^9</f>
        <v>0.70079774638575343</v>
      </c>
      <c r="G65" s="2">
        <f>G10*'Output-Calculation-sheet'!G54/10^9</f>
        <v>0.49893340390249702</v>
      </c>
      <c r="H65" s="2">
        <f>H10*'Output-Calculation-sheet'!H54/10^9</f>
        <v>1.1723557864302447</v>
      </c>
      <c r="I65" s="2">
        <f>I10*'Output-Calculation-sheet'!I54/10^9</f>
        <v>0.43746033811745666</v>
      </c>
      <c r="J65" s="2">
        <f>J10*'Output-Calculation-sheet'!J54/10^9</f>
        <v>0.51758503491242658</v>
      </c>
      <c r="K65" s="2">
        <f>K10*'Output-Calculation-sheet'!K54/10^9</f>
        <v>0.48432833416941617</v>
      </c>
      <c r="L65" s="2">
        <f>L10*'Output-Calculation-sheet'!L54/10^9</f>
        <v>0.49950306749796414</v>
      </c>
      <c r="M65" s="2">
        <f>M10*'Output-Calculation-sheet'!M54/10^9</f>
        <v>0.83361818309223945</v>
      </c>
      <c r="N65" s="2">
        <f>N10*'Output-Calculation-sheet'!N54/10^9</f>
        <v>0.71032854613075103</v>
      </c>
      <c r="O65" s="2">
        <f>O10*'Output-Calculation-sheet'!O54/10^9</f>
        <v>0.82651071656203523</v>
      </c>
      <c r="P65" s="2">
        <f>P10*'Output-Calculation-sheet'!P54/10^9</f>
        <v>0.52398989348706826</v>
      </c>
      <c r="Q65" s="2">
        <f>Q10*'Output-Calculation-sheet'!Q54/10^9</f>
        <v>0.51707068380394328</v>
      </c>
      <c r="R65" s="2">
        <f>R10*'Output-Calculation-sheet'!R54/10^9</f>
        <v>0.40991192500017148</v>
      </c>
      <c r="S65" s="2">
        <f>S10*'Output-Calculation-sheet'!S54/10^9</f>
        <v>0.41141027057670837</v>
      </c>
      <c r="T65" s="2">
        <f>T10*'Output-Calculation-sheet'!T54/10^9</f>
        <v>0.13881172924903321</v>
      </c>
      <c r="U65" s="2">
        <f>U10*'Output-Calculation-sheet'!U54/10^9</f>
        <v>0.13331950403323822</v>
      </c>
      <c r="V65" s="2">
        <f>V10*'Output-Calculation-sheet'!V54/10^9</f>
        <v>0.15708123646185762</v>
      </c>
      <c r="W65" s="2">
        <f>W10*'Output-Calculation-sheet'!W54/10^9</f>
        <v>6.7133430562693719E-2</v>
      </c>
      <c r="X65" s="2">
        <f>X10*'Output-Calculation-sheet'!X54/10^9</f>
        <v>0.10791457885232601</v>
      </c>
      <c r="Y65" s="2">
        <f>Y10*'Output-Calculation-sheet'!Y54/10^9</f>
        <v>5.2078384343904917E-2</v>
      </c>
      <c r="AA65" s="2">
        <f t="shared" si="4"/>
        <v>24.017827270202496</v>
      </c>
    </row>
    <row r="66" spans="1:27" x14ac:dyDescent="0.25">
      <c r="A66" s="2">
        <v>2034</v>
      </c>
      <c r="B66" s="2">
        <f>B11*'Output-Calculation-sheet'!B55/10^9</f>
        <v>7.2666714930051777</v>
      </c>
      <c r="C66" s="2">
        <f>C11*'Output-Calculation-sheet'!C55/10^9</f>
        <v>4.8294260791928041</v>
      </c>
      <c r="D66" s="2">
        <f>D11*'Output-Calculation-sheet'!D55/10^9</f>
        <v>1.314661499344534</v>
      </c>
      <c r="E66" s="2">
        <f>E11*'Output-Calculation-sheet'!E55/10^9</f>
        <v>1.702696637917696</v>
      </c>
      <c r="F66" s="2">
        <f>F11*'Output-Calculation-sheet'!F55/10^9</f>
        <v>0.67009394850185777</v>
      </c>
      <c r="G66" s="2">
        <f>G11*'Output-Calculation-sheet'!G55/10^9</f>
        <v>0.48886056438728637</v>
      </c>
      <c r="H66" s="2">
        <f>H11*'Output-Calculation-sheet'!H55/10^9</f>
        <v>1.2199926383544828</v>
      </c>
      <c r="I66" s="2">
        <f>I11*'Output-Calculation-sheet'!I55/10^9</f>
        <v>0.45445224755392222</v>
      </c>
      <c r="J66" s="2">
        <f>J11*'Output-Calculation-sheet'!J55/10^9</f>
        <v>0.45756896627230192</v>
      </c>
      <c r="K66" s="2">
        <f>K11*'Output-Calculation-sheet'!K55/10^9</f>
        <v>0.52098339516048309</v>
      </c>
      <c r="L66" s="2">
        <f>L11*'Output-Calculation-sheet'!L55/10^9</f>
        <v>0.50508685473514647</v>
      </c>
      <c r="M66" s="2">
        <f>M11*'Output-Calculation-sheet'!M55/10^9</f>
        <v>0.85742536520961599</v>
      </c>
      <c r="N66" s="2">
        <f>N11*'Output-Calculation-sheet'!N55/10^9</f>
        <v>0.74537633782684698</v>
      </c>
      <c r="O66" s="2">
        <f>O11*'Output-Calculation-sheet'!O55/10^9</f>
        <v>0.84983006816669748</v>
      </c>
      <c r="P66" s="2">
        <f>P11*'Output-Calculation-sheet'!P55/10^9</f>
        <v>0.54494489414504377</v>
      </c>
      <c r="Q66" s="2">
        <f>Q11*'Output-Calculation-sheet'!Q55/10^9</f>
        <v>0.56053260270108618</v>
      </c>
      <c r="R66" s="2">
        <f>R11*'Output-Calculation-sheet'!R55/10^9</f>
        <v>0.41472765288724323</v>
      </c>
      <c r="S66" s="2">
        <f>S11*'Output-Calculation-sheet'!S55/10^9</f>
        <v>0.43051284473955215</v>
      </c>
      <c r="T66" s="2">
        <f>T11*'Output-Calculation-sheet'!T55/10^9</f>
        <v>0.12994246945272001</v>
      </c>
      <c r="U66" s="2">
        <f>U11*'Output-Calculation-sheet'!U55/10^9</f>
        <v>0.1414252199340027</v>
      </c>
      <c r="V66" s="2">
        <f>V11*'Output-Calculation-sheet'!V55/10^9</f>
        <v>0.12280764128172245</v>
      </c>
      <c r="W66" s="2">
        <f>W11*'Output-Calculation-sheet'!W55/10^9</f>
        <v>6.0163937591608069E-2</v>
      </c>
      <c r="X66" s="2">
        <f>X11*'Output-Calculation-sheet'!X55/10^9</f>
        <v>0.11242729294213713</v>
      </c>
      <c r="Y66" s="2">
        <f>Y11*'Output-Calculation-sheet'!Y55/10^9</f>
        <v>5.7726942423917314E-2</v>
      </c>
      <c r="AA66" s="2">
        <f t="shared" si="4"/>
        <v>24.458337593727887</v>
      </c>
    </row>
    <row r="67" spans="1:27" x14ac:dyDescent="0.25">
      <c r="A67" s="2">
        <v>2035</v>
      </c>
      <c r="B67" s="2">
        <f>B12*'Output-Calculation-sheet'!B56/10^9</f>
        <v>7.5574826264287891</v>
      </c>
      <c r="C67" s="2">
        <f>C12*'Output-Calculation-sheet'!C56/10^9</f>
        <v>4.7757652505714265</v>
      </c>
      <c r="D67" s="2">
        <f>D12*'Output-Calculation-sheet'!D56/10^9</f>
        <v>1.4990238540587018</v>
      </c>
      <c r="E67" s="2">
        <f>E12*'Output-Calculation-sheet'!E56/10^9</f>
        <v>2.0499986819182476</v>
      </c>
      <c r="F67" s="2">
        <f>F12*'Output-Calculation-sheet'!F56/10^9</f>
        <v>0.80346322947619286</v>
      </c>
      <c r="G67" s="2">
        <f>G12*'Output-Calculation-sheet'!G56/10^9</f>
        <v>0.59281822572153786</v>
      </c>
      <c r="H67" s="2">
        <f>H12*'Output-Calculation-sheet'!H56/10^9</f>
        <v>1.2605720434479339</v>
      </c>
      <c r="I67" s="2">
        <f>I12*'Output-Calculation-sheet'!I56/10^9</f>
        <v>0.54316753880975865</v>
      </c>
      <c r="J67" s="2">
        <f>J12*'Output-Calculation-sheet'!J56/10^9</f>
        <v>0.4969058901124172</v>
      </c>
      <c r="K67" s="2">
        <f>K12*'Output-Calculation-sheet'!K56/10^9</f>
        <v>0.59535547198335903</v>
      </c>
      <c r="L67" s="2">
        <f>L12*'Output-Calculation-sheet'!L56/10^9</f>
        <v>0.5550498560523921</v>
      </c>
      <c r="M67" s="2">
        <f>M12*'Output-Calculation-sheet'!M56/10^9</f>
        <v>0.891916431223719</v>
      </c>
      <c r="N67" s="2">
        <f>N12*'Output-Calculation-sheet'!N56/10^9</f>
        <v>0.76177931737534366</v>
      </c>
      <c r="O67" s="2">
        <f>O12*'Output-Calculation-sheet'!O56/10^9</f>
        <v>0.84255961818208158</v>
      </c>
      <c r="P67" s="2">
        <f>P12*'Output-Calculation-sheet'!P56/10^9</f>
        <v>0.61820133335639094</v>
      </c>
      <c r="Q67" s="2">
        <f>Q12*'Output-Calculation-sheet'!Q56/10^9</f>
        <v>0.58398404141406224</v>
      </c>
      <c r="R67" s="2">
        <f>R12*'Output-Calculation-sheet'!R56/10^9</f>
        <v>0.4585677576415963</v>
      </c>
      <c r="S67" s="2">
        <f>S12*'Output-Calculation-sheet'!S56/10^9</f>
        <v>0.44267380773842635</v>
      </c>
      <c r="T67" s="2">
        <f>T12*'Output-Calculation-sheet'!T56/10^9</f>
        <v>0.14259606656941001</v>
      </c>
      <c r="U67" s="2">
        <f>U12*'Output-Calculation-sheet'!U56/10^9</f>
        <v>0.15416673521176527</v>
      </c>
      <c r="V67" s="2">
        <f>V12*'Output-Calculation-sheet'!V56/10^9</f>
        <v>0.11005618443292103</v>
      </c>
      <c r="W67" s="2">
        <f>W12*'Output-Calculation-sheet'!W56/10^9</f>
        <v>7.4630594489618077E-2</v>
      </c>
      <c r="X67" s="2">
        <f>X12*'Output-Calculation-sheet'!X56/10^9</f>
        <v>0.11585369746411289</v>
      </c>
      <c r="Y67" s="2">
        <f>Y12*'Output-Calculation-sheet'!Y56/10^9</f>
        <v>6.9637924239050103E-2</v>
      </c>
      <c r="AA67" s="2">
        <f t="shared" si="4"/>
        <v>25.996226177919254</v>
      </c>
    </row>
    <row r="68" spans="1:27" x14ac:dyDescent="0.25">
      <c r="B68" s="2">
        <f>SUM(B60:B67)</f>
        <v>50.385458221311396</v>
      </c>
      <c r="C68" s="2">
        <f t="shared" ref="C68:Y68" si="5">SUM(C60:C67)</f>
        <v>28.695370101422753</v>
      </c>
      <c r="D68" s="2">
        <f t="shared" si="5"/>
        <v>9.1182182256923436</v>
      </c>
      <c r="E68" s="2">
        <f t="shared" si="5"/>
        <v>11.851289513691899</v>
      </c>
      <c r="F68" s="2">
        <f t="shared" si="5"/>
        <v>4.8672525824649355</v>
      </c>
      <c r="G68" s="2">
        <f t="shared" si="5"/>
        <v>3.5108643580166023</v>
      </c>
      <c r="H68" s="2">
        <f t="shared" si="5"/>
        <v>7.3827180698933681</v>
      </c>
      <c r="I68" s="2">
        <f t="shared" si="5"/>
        <v>3.1659367601538766</v>
      </c>
      <c r="J68" s="2">
        <f t="shared" si="5"/>
        <v>3.3329724523161732</v>
      </c>
      <c r="K68" s="2">
        <f t="shared" si="5"/>
        <v>3.5001792334858677</v>
      </c>
      <c r="L68" s="2">
        <f t="shared" si="5"/>
        <v>3.5358892551453893</v>
      </c>
      <c r="M68" s="2">
        <f t="shared" si="5"/>
        <v>5.4027983964239841</v>
      </c>
      <c r="N68" s="2">
        <f t="shared" si="5"/>
        <v>4.5991471402301345</v>
      </c>
      <c r="O68" s="2">
        <f t="shared" si="5"/>
        <v>4.9813005513290332</v>
      </c>
      <c r="P68" s="2">
        <f t="shared" si="5"/>
        <v>3.7308563514026614</v>
      </c>
      <c r="Q68" s="2">
        <f t="shared" si="5"/>
        <v>3.5952941183566889</v>
      </c>
      <c r="R68" s="2">
        <f t="shared" si="5"/>
        <v>2.9136424681266222</v>
      </c>
      <c r="S68" s="2">
        <f t="shared" si="5"/>
        <v>2.7826668839248616</v>
      </c>
      <c r="T68" s="2">
        <f t="shared" si="5"/>
        <v>0.94718260738955162</v>
      </c>
      <c r="U68" s="2">
        <f t="shared" si="5"/>
        <v>0.95204751058106707</v>
      </c>
      <c r="V68" s="2">
        <f t="shared" si="5"/>
        <v>0.86422747580789872</v>
      </c>
      <c r="W68" s="2">
        <f t="shared" si="5"/>
        <v>0.44709564090872933</v>
      </c>
      <c r="X68" s="2">
        <f t="shared" si="5"/>
        <v>0.73190305205599615</v>
      </c>
      <c r="Y68" s="2">
        <f t="shared" si="5"/>
        <v>0.3835491893883558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23.239749258090331</v>
      </c>
      <c r="U71" s="2">
        <f>U5/'Output-Calculation-sheet'!U4*'Output-Calculation-sheet'!U58</f>
        <v>0</v>
      </c>
      <c r="V71" s="2">
        <f>V5/'Output-Calculation-sheet'!V4*'Output-Calculation-sheet'!V58</f>
        <v>63.012013533585261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8.6251762791675582E-2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57.164481279565933</v>
      </c>
      <c r="U72" s="2">
        <f>U6/'Output-Calculation-sheet'!U5*'Output-Calculation-sheet'!U59</f>
        <v>0</v>
      </c>
      <c r="V72" s="2">
        <f>V6/'Output-Calculation-sheet'!V5*'Output-Calculation-sheet'!V59</f>
        <v>89.871262827914222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0.14703574410748016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119.0048150421302</v>
      </c>
      <c r="S73" s="2">
        <f>S7/'Output-Calculation-sheet'!S6*'Output-Calculation-sheet'!S60</f>
        <v>0</v>
      </c>
      <c r="T73" s="2">
        <f>T7/'Output-Calculation-sheet'!T6*'Output-Calculation-sheet'!T60</f>
        <v>103.56860951078355</v>
      </c>
      <c r="U73" s="2">
        <f>U7/'Output-Calculation-sheet'!U6*'Output-Calculation-sheet'!U60</f>
        <v>0</v>
      </c>
      <c r="V73" s="2">
        <f>V7/'Output-Calculation-sheet'!V6*'Output-Calculation-sheet'!V60</f>
        <v>127.27158706969951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0.34984501162261322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50.97410864266773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45.374632940394477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180.03625655653624</v>
      </c>
      <c r="S74" s="2">
        <f>S8/'Output-Calculation-sheet'!S7*'Output-Calculation-sheet'!S61</f>
        <v>0</v>
      </c>
      <c r="T74" s="2">
        <f>T8/'Output-Calculation-sheet'!T7*'Output-Calculation-sheet'!T61</f>
        <v>132.62820965383014</v>
      </c>
      <c r="U74" s="2">
        <f>U8/'Output-Calculation-sheet'!U7*'Output-Calculation-sheet'!U61</f>
        <v>16.800899606187059</v>
      </c>
      <c r="V74" s="2">
        <f>V8/'Output-Calculation-sheet'!V7*'Output-Calculation-sheet'!V61</f>
        <v>152.23815357881838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0.57805226097843398</v>
      </c>
    </row>
    <row r="75" spans="1:27" x14ac:dyDescent="0.25">
      <c r="A75" s="2">
        <v>2032</v>
      </c>
      <c r="B75" s="2">
        <f>B9/'Output-Calculation-sheet'!B8*'Output-Calculation-sheet'!B62</f>
        <v>532.30992484882825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107.9570540809722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86.496102392742912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228.8664298013625</v>
      </c>
      <c r="S75" s="2">
        <f>S9/'Output-Calculation-sheet'!S8*'Output-Calculation-sheet'!S62</f>
        <v>0</v>
      </c>
      <c r="T75" s="2">
        <f>T9/'Output-Calculation-sheet'!T8*'Output-Calculation-sheet'!T62</f>
        <v>151.1716998272895</v>
      </c>
      <c r="U75" s="2">
        <f>U9/'Output-Calculation-sheet'!U8*'Output-Calculation-sheet'!U62</f>
        <v>30.901461214190217</v>
      </c>
      <c r="V75" s="2">
        <f>V9/'Output-Calculation-sheet'!V8*'Output-Calculation-sheet'!V62</f>
        <v>161.93767312710079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1.2996403452924865</v>
      </c>
    </row>
    <row r="76" spans="1:27" x14ac:dyDescent="0.25">
      <c r="A76" s="2">
        <v>2033</v>
      </c>
      <c r="B76" s="2">
        <f>B10/'Output-Calculation-sheet'!B9*'Output-Calculation-sheet'!B63</f>
        <v>5106.4953635744705</v>
      </c>
      <c r="C76" s="2">
        <f>C10/'Output-Calculation-sheet'!C9*'Output-Calculation-sheet'!C63</f>
        <v>10429.79781051596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3325.3932098973187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2264.2554949159025</v>
      </c>
      <c r="N76" s="2">
        <f>N10/'Output-Calculation-sheet'!N9*'Output-Calculation-sheet'!N63</f>
        <v>1293.4429947012763</v>
      </c>
      <c r="O76" s="2">
        <f>O10/'Output-Calculation-sheet'!O9*'Output-Calculation-sheet'!O63</f>
        <v>0</v>
      </c>
      <c r="P76" s="2">
        <f>P10/'Output-Calculation-sheet'!P9*'Output-Calculation-sheet'!P63</f>
        <v>449.14940328861354</v>
      </c>
      <c r="Q76" s="2">
        <f>Q10/'Output-Calculation-sheet'!Q9*'Output-Calculation-sheet'!Q63</f>
        <v>202.58443089295349</v>
      </c>
      <c r="R76" s="2">
        <f>R10/'Output-Calculation-sheet'!R9*'Output-Calculation-sheet'!R63</f>
        <v>342.32365501654567</v>
      </c>
      <c r="S76" s="2">
        <f>S10/'Output-Calculation-sheet'!S9*'Output-Calculation-sheet'!S63</f>
        <v>575.16391090751176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120.96536673160242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266.63217364949793</v>
      </c>
      <c r="Y76" s="2">
        <f>Y10/'Output-Calculation-sheet'!Y9*'Output-Calculation-sheet'!Y63</f>
        <v>5.0583541914109285</v>
      </c>
      <c r="AA76" s="2">
        <f t="shared" si="6"/>
        <v>24.500985866135487</v>
      </c>
    </row>
    <row r="77" spans="1:27" x14ac:dyDescent="0.25">
      <c r="A77" s="2">
        <v>2034</v>
      </c>
      <c r="B77" s="2">
        <f>B11/'Output-Calculation-sheet'!B10*'Output-Calculation-sheet'!B64</f>
        <v>12108.41464136319</v>
      </c>
      <c r="C77" s="2">
        <f>C11/'Output-Calculation-sheet'!C10*'Output-Calculation-sheet'!C64</f>
        <v>10636.759339184082</v>
      </c>
      <c r="D77" s="2">
        <f>D11/'Output-Calculation-sheet'!D10*'Output-Calculation-sheet'!D64</f>
        <v>1492.4200062424122</v>
      </c>
      <c r="E77" s="2">
        <f>E11/'Output-Calculation-sheet'!E10*'Output-Calculation-sheet'!E64</f>
        <v>1844.1126446725109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788.00178431030906</v>
      </c>
      <c r="H77" s="2">
        <f>H11/'Output-Calculation-sheet'!H10*'Output-Calculation-sheet'!H64</f>
        <v>3904.1380885006065</v>
      </c>
      <c r="I77" s="2">
        <f>I11/'Output-Calculation-sheet'!I10*'Output-Calculation-sheet'!I64</f>
        <v>464.87462443417388</v>
      </c>
      <c r="J77" s="2">
        <f>J11/'Output-Calculation-sheet'!J10*'Output-Calculation-sheet'!J64</f>
        <v>331.38416852886519</v>
      </c>
      <c r="K77" s="2">
        <f>K11/'Output-Calculation-sheet'!K10*'Output-Calculation-sheet'!K64</f>
        <v>702.60813898492256</v>
      </c>
      <c r="L77" s="2">
        <f>L11/'Output-Calculation-sheet'!L10*'Output-Calculation-sheet'!L64</f>
        <v>305.06980962881681</v>
      </c>
      <c r="M77" s="2">
        <f>M11/'Output-Calculation-sheet'!M10*'Output-Calculation-sheet'!M64</f>
        <v>2776.8215688236282</v>
      </c>
      <c r="N77" s="2">
        <f>N11/'Output-Calculation-sheet'!N10*'Output-Calculation-sheet'!N64</f>
        <v>1975.6403493588991</v>
      </c>
      <c r="O77" s="2">
        <f>O11/'Output-Calculation-sheet'!O10*'Output-Calculation-sheet'!O64</f>
        <v>68.881803217755504</v>
      </c>
      <c r="P77" s="2">
        <f>P11/'Output-Calculation-sheet'!P10*'Output-Calculation-sheet'!P64</f>
        <v>871.97441106885799</v>
      </c>
      <c r="Q77" s="2">
        <f>Q11/'Output-Calculation-sheet'!Q10*'Output-Calculation-sheet'!Q64</f>
        <v>497.56702392856795</v>
      </c>
      <c r="R77" s="2">
        <f>R11/'Output-Calculation-sheet'!R10*'Output-Calculation-sheet'!R64</f>
        <v>746.1822831243378</v>
      </c>
      <c r="S77" s="2">
        <f>S11/'Output-Calculation-sheet'!S10*'Output-Calculation-sheet'!S64</f>
        <v>997.68756123756975</v>
      </c>
      <c r="T77" s="2">
        <f>T11/'Output-Calculation-sheet'!T10*'Output-Calculation-sheet'!T64</f>
        <v>205.28610503718042</v>
      </c>
      <c r="U77" s="2">
        <f>U11/'Output-Calculation-sheet'!U10*'Output-Calculation-sheet'!U64</f>
        <v>272.84919891323943</v>
      </c>
      <c r="V77" s="2">
        <f>V11/'Output-Calculation-sheet'!V10*'Output-Calculation-sheet'!V64</f>
        <v>108.76597371024502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282.1545479968413</v>
      </c>
      <c r="Y77" s="2">
        <f>Y11/'Output-Calculation-sheet'!Y10*'Output-Calculation-sheet'!Y64</f>
        <v>68.31709826146141</v>
      </c>
      <c r="AA77" s="2">
        <f t="shared" si="6"/>
        <v>41.587714636391155</v>
      </c>
    </row>
    <row r="78" spans="1:27" x14ac:dyDescent="0.25">
      <c r="A78" s="2">
        <v>2035</v>
      </c>
      <c r="B78" s="2">
        <f>B12/'Output-Calculation-sheet'!B11*'Output-Calculation-sheet'!B65</f>
        <v>14625.830004157408</v>
      </c>
      <c r="C78" s="2">
        <f>C12/'Output-Calculation-sheet'!C11*'Output-Calculation-sheet'!C65</f>
        <v>10328.450934174016</v>
      </c>
      <c r="D78" s="2">
        <f>D12/'Output-Calculation-sheet'!D11*'Output-Calculation-sheet'!D65</f>
        <v>1552.7658858962091</v>
      </c>
      <c r="E78" s="2">
        <f>E12/'Output-Calculation-sheet'!E11*'Output-Calculation-sheet'!E65</f>
        <v>2951.7666697903655</v>
      </c>
      <c r="F78" s="2">
        <f>F12/'Output-Calculation-sheet'!F11*'Output-Calculation-sheet'!F65</f>
        <v>625.23726364182528</v>
      </c>
      <c r="G78" s="2">
        <f>G12/'Output-Calculation-sheet'!G11*'Output-Calculation-sheet'!G65</f>
        <v>1173.1833518696671</v>
      </c>
      <c r="H78" s="2">
        <f>H12/'Output-Calculation-sheet'!H11*'Output-Calculation-sheet'!H65</f>
        <v>3777.1876436680936</v>
      </c>
      <c r="I78" s="2">
        <f>I12/'Output-Calculation-sheet'!I11*'Output-Calculation-sheet'!I65</f>
        <v>689.86892298587179</v>
      </c>
      <c r="J78" s="2">
        <f>J12/'Output-Calculation-sheet'!J11*'Output-Calculation-sheet'!J65</f>
        <v>618.69629731624229</v>
      </c>
      <c r="K78" s="2">
        <f>K12/'Output-Calculation-sheet'!K11*'Output-Calculation-sheet'!K65</f>
        <v>780.7647664989554</v>
      </c>
      <c r="L78" s="2">
        <f>L12/'Output-Calculation-sheet'!L11*'Output-Calculation-sheet'!L65</f>
        <v>464.2325282348591</v>
      </c>
      <c r="M78" s="2">
        <f>M12/'Output-Calculation-sheet'!M11*'Output-Calculation-sheet'!M65</f>
        <v>2688.7152381183682</v>
      </c>
      <c r="N78" s="2">
        <f>N12/'Output-Calculation-sheet'!N11*'Output-Calculation-sheet'!N65</f>
        <v>1890.601010215124</v>
      </c>
      <c r="O78" s="2">
        <f>O12/'Output-Calculation-sheet'!O11*'Output-Calculation-sheet'!O65</f>
        <v>265.03782838157628</v>
      </c>
      <c r="P78" s="2">
        <f>P12/'Output-Calculation-sheet'!P11*'Output-Calculation-sheet'!P65</f>
        <v>1074.7867099053612</v>
      </c>
      <c r="Q78" s="2">
        <f>Q12/'Output-Calculation-sheet'!Q11*'Output-Calculation-sheet'!Q65</f>
        <v>540.60705210254059</v>
      </c>
      <c r="R78" s="2">
        <f>R12/'Output-Calculation-sheet'!R11*'Output-Calculation-sheet'!R65</f>
        <v>891.08399438413187</v>
      </c>
      <c r="S78" s="2">
        <f>S12/'Output-Calculation-sheet'!S11*'Output-Calculation-sheet'!S65</f>
        <v>1005.2802746437991</v>
      </c>
      <c r="T78" s="2">
        <f>T12/'Output-Calculation-sheet'!T11*'Output-Calculation-sheet'!T65</f>
        <v>320.41306665361088</v>
      </c>
      <c r="U78" s="2">
        <f>U12/'Output-Calculation-sheet'!U11*'Output-Calculation-sheet'!U65</f>
        <v>274.53468198581066</v>
      </c>
      <c r="V78" s="2">
        <f>V12/'Output-Calculation-sheet'!V11*'Output-Calculation-sheet'!V65</f>
        <v>172.92022743855401</v>
      </c>
      <c r="W78" s="2">
        <f>W12/'Output-Calculation-sheet'!W11*'Output-Calculation-sheet'!W65</f>
        <v>121.7932326954362</v>
      </c>
      <c r="X78" s="2">
        <f>X12/'Output-Calculation-sheet'!X11*'Output-Calculation-sheet'!X65</f>
        <v>277.11881540518334</v>
      </c>
      <c r="Y78" s="2">
        <f>Y12/'Output-Calculation-sheet'!Y11*'Output-Calculation-sheet'!Y65</f>
        <v>118.88227808739234</v>
      </c>
      <c r="AA78" s="2">
        <f t="shared" si="6"/>
        <v>47.229758678250398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376.43186958227017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365.65292692528578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0.74208479650755588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737.51787338660108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28.378871343737146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19.527440516055641</v>
      </c>
      <c r="N88" s="2">
        <f>N11/'Output-Calculation-sheet'!N10*'Output-Calculation-sheet'!N73</f>
        <v>0</v>
      </c>
      <c r="O88" s="2">
        <f>O11/'Output-Calculation-sheet'!O10*'Output-Calculation-sheet'!O73</f>
        <v>411.92966042859507</v>
      </c>
      <c r="P88" s="2">
        <f>P11/'Output-Calculation-sheet'!P10*'Output-Calculation-sheet'!P73</f>
        <v>0</v>
      </c>
      <c r="Q88" s="2">
        <f>Q11/'Output-Calculation-sheet'!Q10*'Output-Calculation-sheet'!Q73</f>
        <v>16.815377625162824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2.1422083636786424</v>
      </c>
      <c r="Y88" s="2">
        <f>Y11/'Output-Calculation-sheet'!Y10*'Output-Calculation-sheet'!Y73</f>
        <v>0</v>
      </c>
      <c r="AA88" s="2">
        <f t="shared" si="7"/>
        <v>1.2163114316638306</v>
      </c>
    </row>
    <row r="89" spans="1:27" x14ac:dyDescent="0.25">
      <c r="A89" s="2">
        <v>2035</v>
      </c>
      <c r="B89" s="2">
        <f>B12/'Output-Calculation-sheet'!B11*'Output-Calculation-sheet'!B74</f>
        <v>368.67812770430311</v>
      </c>
      <c r="C89" s="2">
        <f>C12/'Output-Calculation-sheet'!C11*'Output-Calculation-sheet'!C74</f>
        <v>1137.3886044528399</v>
      </c>
      <c r="D89" s="2">
        <f>D12/'Output-Calculation-sheet'!D11*'Output-Calculation-sheet'!D74</f>
        <v>155.00532926340995</v>
      </c>
      <c r="E89" s="2">
        <f>E12/'Output-Calculation-sheet'!E11*'Output-Calculation-sheet'!E74</f>
        <v>123.18789181772283</v>
      </c>
      <c r="F89" s="2">
        <f>F12/'Output-Calculation-sheet'!F11*'Output-Calculation-sheet'!F74</f>
        <v>38.738368255379505</v>
      </c>
      <c r="G89" s="2">
        <f>G12/'Output-Calculation-sheet'!G11*'Output-Calculation-sheet'!G74</f>
        <v>55.6037419721156</v>
      </c>
      <c r="H89" s="2">
        <f>H12/'Output-Calculation-sheet'!H11*'Output-Calculation-sheet'!H74</f>
        <v>134.66293668511378</v>
      </c>
      <c r="I89" s="2">
        <f>I12/'Output-Calculation-sheet'!I11*'Output-Calculation-sheet'!I74</f>
        <v>50.012246120477869</v>
      </c>
      <c r="J89" s="2">
        <f>J12/'Output-Calculation-sheet'!J11*'Output-Calculation-sheet'!J74</f>
        <v>24.747851892649692</v>
      </c>
      <c r="K89" s="2">
        <f>K12/'Output-Calculation-sheet'!K11*'Output-Calculation-sheet'!K74</f>
        <v>49.154165606834262</v>
      </c>
      <c r="L89" s="2">
        <f>L12/'Output-Calculation-sheet'!L11*'Output-Calculation-sheet'!L74</f>
        <v>39.085037106702515</v>
      </c>
      <c r="M89" s="2">
        <f>M12/'Output-Calculation-sheet'!M11*'Output-Calculation-sheet'!M74</f>
        <v>74.129022369770908</v>
      </c>
      <c r="N89" s="2">
        <f>N12/'Output-Calculation-sheet'!N11*'Output-Calculation-sheet'!N74</f>
        <v>54.642700539946546</v>
      </c>
      <c r="O89" s="2">
        <f>O12/'Output-Calculation-sheet'!O11*'Output-Calculation-sheet'!O74</f>
        <v>441.92801500166638</v>
      </c>
      <c r="P89" s="2">
        <f>P12/'Output-Calculation-sheet'!P11*'Output-Calculation-sheet'!P74</f>
        <v>33.653339697071146</v>
      </c>
      <c r="Q89" s="2">
        <f>Q12/'Output-Calculation-sheet'!Q11*'Output-Calculation-sheet'!Q74</f>
        <v>47.875226009789287</v>
      </c>
      <c r="R89" s="2">
        <f>R12/'Output-Calculation-sheet'!R11*'Output-Calculation-sheet'!R74</f>
        <v>31.651475664551981</v>
      </c>
      <c r="S89" s="2">
        <f>S12/'Output-Calculation-sheet'!S11*'Output-Calculation-sheet'!S74</f>
        <v>31.322997278114261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10.183414888749979</v>
      </c>
      <c r="V89" s="2">
        <f>V12/'Output-Calculation-sheet'!V11*'Output-Calculation-sheet'!V74</f>
        <v>3.9261682319223037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12.198204745364176</v>
      </c>
      <c r="Y89" s="2">
        <f>Y12/'Output-Calculation-sheet'!Y11*'Output-Calculation-sheet'!Y74</f>
        <v>3.9238312760918341</v>
      </c>
      <c r="AA89" s="2">
        <f t="shared" si="7"/>
        <v>2.9309534299693318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8096913522.8755188</v>
      </c>
      <c r="C93" s="2">
        <f>C5/'Output-Calculation-sheet'!C4*'Output-Calculation-sheet'!C76</f>
        <v>917497373.53690898</v>
      </c>
      <c r="D93" s="2">
        <f>D5/'Output-Calculation-sheet'!D4*'Output-Calculation-sheet'!D76</f>
        <v>3737755838.5578122</v>
      </c>
      <c r="E93" s="2">
        <f>E5/'Output-Calculation-sheet'!E4*'Output-Calculation-sheet'!E76</f>
        <v>5989622987.0531607</v>
      </c>
      <c r="F93" s="2">
        <f>F5/'Output-Calculation-sheet'!F4*'Output-Calculation-sheet'!F76</f>
        <v>2807642119.7857356</v>
      </c>
      <c r="G93" s="2">
        <f>G5/'Output-Calculation-sheet'!G4*'Output-Calculation-sheet'!G76</f>
        <v>2123993737.1722445</v>
      </c>
      <c r="H93" s="2">
        <f>H5/'Output-Calculation-sheet'!H4*'Output-Calculation-sheet'!H76</f>
        <v>584191844.76254702</v>
      </c>
      <c r="I93" s="2">
        <f>I5/'Output-Calculation-sheet'!I4*'Output-Calculation-sheet'!I76</f>
        <v>1419982345.5675213</v>
      </c>
      <c r="J93" s="2">
        <f>J5/'Output-Calculation-sheet'!J4*'Output-Calculation-sheet'!J76</f>
        <v>1059763920.5136145</v>
      </c>
      <c r="K93" s="2">
        <f>K5/'Output-Calculation-sheet'!K4*'Output-Calculation-sheet'!K76</f>
        <v>1237257434.1197996</v>
      </c>
      <c r="L93" s="2">
        <f>L5/'Output-Calculation-sheet'!L4*'Output-Calculation-sheet'!L76</f>
        <v>939756937.9147402</v>
      </c>
      <c r="M93" s="2">
        <f>M5/'Output-Calculation-sheet'!M4*'Output-Calculation-sheet'!M76</f>
        <v>446636111.63489312</v>
      </c>
      <c r="N93" s="2">
        <f>N5/'Output-Calculation-sheet'!N4*'Output-Calculation-sheet'!N76</f>
        <v>448945817.07164979</v>
      </c>
      <c r="O93" s="2">
        <f>O5/'Output-Calculation-sheet'!O4*'Output-Calculation-sheet'!O76</f>
        <v>0</v>
      </c>
      <c r="P93" s="2">
        <f>P5/'Output-Calculation-sheet'!P4*'Output-Calculation-sheet'!P76</f>
        <v>1285780986.7526195</v>
      </c>
      <c r="Q93" s="2">
        <f>Q5/'Output-Calculation-sheet'!Q4*'Output-Calculation-sheet'!Q76</f>
        <v>557496344.38743019</v>
      </c>
      <c r="R93" s="2">
        <f>R5/'Output-Calculation-sheet'!R4*'Output-Calculation-sheet'!R76</f>
        <v>828217821.41894448</v>
      </c>
      <c r="S93" s="2">
        <f>S5/'Output-Calculation-sheet'!S4*'Output-Calculation-sheet'!S76</f>
        <v>331135010.92987692</v>
      </c>
      <c r="T93" s="2">
        <f>T5/'Output-Calculation-sheet'!T4*'Output-Calculation-sheet'!T76</f>
        <v>453098659.81516385</v>
      </c>
      <c r="U93" s="2">
        <f>U5/'Output-Calculation-sheet'!U4*'Output-Calculation-sheet'!U76</f>
        <v>235720519.29247466</v>
      </c>
      <c r="V93" s="2">
        <f>V5/'Output-Calculation-sheet'!V4*'Output-Calculation-sheet'!V76</f>
        <v>175039426.36510137</v>
      </c>
      <c r="W93" s="2">
        <f>W5/'Output-Calculation-sheet'!W4*'Output-Calculation-sheet'!W76</f>
        <v>444181242.42243367</v>
      </c>
      <c r="X93" s="2">
        <f>X5/'Output-Calculation-sheet'!X4*'Output-Calculation-sheet'!X76</f>
        <v>49688461.384589702</v>
      </c>
      <c r="Y93" s="2">
        <f>Y5/'Output-Calculation-sheet'!Y4*'Output-Calculation-sheet'!Y76</f>
        <v>196556060.69237301</v>
      </c>
      <c r="AA93" s="2">
        <f t="shared" ref="AA93:AA100" si="8">SUM(B93:Y93)/10^9</f>
        <v>34.366874524027153</v>
      </c>
    </row>
    <row r="94" spans="1:27" x14ac:dyDescent="0.25">
      <c r="A94" s="2">
        <v>2029</v>
      </c>
      <c r="B94" s="2">
        <f>B6/'Output-Calculation-sheet'!B5*'Output-Calculation-sheet'!B77</f>
        <v>10678721444.191549</v>
      </c>
      <c r="C94" s="2">
        <f>C6/'Output-Calculation-sheet'!C5*'Output-Calculation-sheet'!C77</f>
        <v>1237153072.7741063</v>
      </c>
      <c r="D94" s="2">
        <f>D6/'Output-Calculation-sheet'!D5*'Output-Calculation-sheet'!D77</f>
        <v>4891888486.557725</v>
      </c>
      <c r="E94" s="2">
        <f>E6/'Output-Calculation-sheet'!E5*'Output-Calculation-sheet'!E77</f>
        <v>7992111304.5851231</v>
      </c>
      <c r="F94" s="2">
        <f>F6/'Output-Calculation-sheet'!F5*'Output-Calculation-sheet'!F77</f>
        <v>3672068617.3029485</v>
      </c>
      <c r="G94" s="2">
        <f>G6/'Output-Calculation-sheet'!G5*'Output-Calculation-sheet'!G77</f>
        <v>2814675295.3783927</v>
      </c>
      <c r="H94" s="2">
        <f>H6/'Output-Calculation-sheet'!H5*'Output-Calculation-sheet'!H77</f>
        <v>782213948.8338939</v>
      </c>
      <c r="I94" s="2">
        <f>I6/'Output-Calculation-sheet'!I5*'Output-Calculation-sheet'!I77</f>
        <v>1853709282.6545305</v>
      </c>
      <c r="J94" s="2">
        <f>J6/'Output-Calculation-sheet'!J5*'Output-Calculation-sheet'!J77</f>
        <v>1398500847.0631828</v>
      </c>
      <c r="K94" s="2">
        <f>K6/'Output-Calculation-sheet'!K5*'Output-Calculation-sheet'!K77</f>
        <v>1617853943.7392306</v>
      </c>
      <c r="L94" s="2">
        <f>L6/'Output-Calculation-sheet'!L5*'Output-Calculation-sheet'!L77</f>
        <v>1239508022.5392184</v>
      </c>
      <c r="M94" s="2">
        <f>M6/'Output-Calculation-sheet'!M5*'Output-Calculation-sheet'!M77</f>
        <v>601737903.89374518</v>
      </c>
      <c r="N94" s="2">
        <f>N6/'Output-Calculation-sheet'!N5*'Output-Calculation-sheet'!N77</f>
        <v>616529406.84962201</v>
      </c>
      <c r="O94" s="2">
        <f>O6/'Output-Calculation-sheet'!O5*'Output-Calculation-sheet'!O77</f>
        <v>0</v>
      </c>
      <c r="P94" s="2">
        <f>P6/'Output-Calculation-sheet'!P5*'Output-Calculation-sheet'!P77</f>
        <v>1702661628.8436012</v>
      </c>
      <c r="Q94" s="2">
        <f>Q6/'Output-Calculation-sheet'!Q5*'Output-Calculation-sheet'!Q77</f>
        <v>747846634.69381094</v>
      </c>
      <c r="R94" s="2">
        <f>R6/'Output-Calculation-sheet'!R5*'Output-Calculation-sheet'!R77</f>
        <v>1089231799.1907797</v>
      </c>
      <c r="S94" s="2">
        <f>S6/'Output-Calculation-sheet'!S5*'Output-Calculation-sheet'!S77</f>
        <v>440999438.06033647</v>
      </c>
      <c r="T94" s="2">
        <f>T6/'Output-Calculation-sheet'!T5*'Output-Calculation-sheet'!T77</f>
        <v>602336398.75292993</v>
      </c>
      <c r="U94" s="2">
        <f>U6/'Output-Calculation-sheet'!U5*'Output-Calculation-sheet'!U77</f>
        <v>303158785.33601838</v>
      </c>
      <c r="V94" s="2">
        <f>V6/'Output-Calculation-sheet'!V5*'Output-Calculation-sheet'!V77</f>
        <v>224514027.11284131</v>
      </c>
      <c r="W94" s="2">
        <f>W6/'Output-Calculation-sheet'!W5*'Output-Calculation-sheet'!W77</f>
        <v>589234245.79800653</v>
      </c>
      <c r="X94" s="2">
        <f>X6/'Output-Calculation-sheet'!X5*'Output-Calculation-sheet'!X77</f>
        <v>66602325.123733453</v>
      </c>
      <c r="Y94" s="2">
        <f>Y6/'Output-Calculation-sheet'!Y5*'Output-Calculation-sheet'!Y77</f>
        <v>262184357.51803768</v>
      </c>
      <c r="AA94" s="2">
        <f t="shared" si="8"/>
        <v>45.425441216793352</v>
      </c>
    </row>
    <row r="95" spans="1:27" x14ac:dyDescent="0.25">
      <c r="A95" s="2">
        <v>2030</v>
      </c>
      <c r="B95" s="2">
        <f>B7/'Output-Calculation-sheet'!B6*'Output-Calculation-sheet'!B78</f>
        <v>12903170262.289406</v>
      </c>
      <c r="C95" s="2">
        <f>C7/'Output-Calculation-sheet'!C6*'Output-Calculation-sheet'!C78</f>
        <v>1532354918.1717007</v>
      </c>
      <c r="D95" s="2">
        <f>D7/'Output-Calculation-sheet'!D6*'Output-Calculation-sheet'!D78</f>
        <v>5878228410.2469749</v>
      </c>
      <c r="E95" s="2">
        <f>E7/'Output-Calculation-sheet'!E6*'Output-Calculation-sheet'!E78</f>
        <v>9770906746.888628</v>
      </c>
      <c r="F95" s="2">
        <f>F7/'Output-Calculation-sheet'!F6*'Output-Calculation-sheet'!F78</f>
        <v>4403127359.8347254</v>
      </c>
      <c r="G95" s="2">
        <f>G7/'Output-Calculation-sheet'!G6*'Output-Calculation-sheet'!G78</f>
        <v>3423331828.2863393</v>
      </c>
      <c r="H95" s="2">
        <f>H7/'Output-Calculation-sheet'!H6*'Output-Calculation-sheet'!H78</f>
        <v>959687609.47660255</v>
      </c>
      <c r="I95" s="2">
        <f>I7/'Output-Calculation-sheet'!I6*'Output-Calculation-sheet'!I78</f>
        <v>2220086533.761858</v>
      </c>
      <c r="J95" s="2">
        <f>J7/'Output-Calculation-sheet'!J6*'Output-Calculation-sheet'!J78</f>
        <v>1693537490.6560535</v>
      </c>
      <c r="K95" s="2">
        <f>K7/'Output-Calculation-sheet'!K6*'Output-Calculation-sheet'!K78</f>
        <v>1940225178.7852039</v>
      </c>
      <c r="L95" s="2">
        <f>L7/'Output-Calculation-sheet'!L6*'Output-Calculation-sheet'!L78</f>
        <v>1499466084.6329427</v>
      </c>
      <c r="M95" s="2">
        <f>M7/'Output-Calculation-sheet'!M6*'Output-Calculation-sheet'!M78</f>
        <v>742696315.05725372</v>
      </c>
      <c r="N95" s="2">
        <f>N7/'Output-Calculation-sheet'!N6*'Output-Calculation-sheet'!N78</f>
        <v>773904426.50340414</v>
      </c>
      <c r="O95" s="2">
        <f>O7/'Output-Calculation-sheet'!O6*'Output-Calculation-sheet'!O78</f>
        <v>175494986.64729381</v>
      </c>
      <c r="P95" s="2">
        <f>P7/'Output-Calculation-sheet'!P6*'Output-Calculation-sheet'!P78</f>
        <v>2067681368.3932068</v>
      </c>
      <c r="Q95" s="2">
        <f>Q7/'Output-Calculation-sheet'!Q6*'Output-Calculation-sheet'!Q78</f>
        <v>914753730.88663161</v>
      </c>
      <c r="R95" s="2">
        <f>R7/'Output-Calculation-sheet'!R6*'Output-Calculation-sheet'!R78</f>
        <v>1358196763.010926</v>
      </c>
      <c r="S95" s="2">
        <f>S7/'Output-Calculation-sheet'!S6*'Output-Calculation-sheet'!S78</f>
        <v>537155827.98741686</v>
      </c>
      <c r="T95" s="2">
        <f>T7/'Output-Calculation-sheet'!T6*'Output-Calculation-sheet'!T78</f>
        <v>738629800.94352305</v>
      </c>
      <c r="U95" s="2">
        <f>U7/'Output-Calculation-sheet'!U6*'Output-Calculation-sheet'!U78</f>
        <v>357057713.99428844</v>
      </c>
      <c r="V95" s="2">
        <f>V7/'Output-Calculation-sheet'!V6*'Output-Calculation-sheet'!V78</f>
        <v>263812987.16712978</v>
      </c>
      <c r="W95" s="2">
        <f>W7/'Output-Calculation-sheet'!W6*'Output-Calculation-sheet'!W78</f>
        <v>717307163.79976869</v>
      </c>
      <c r="X95" s="2">
        <f>X7/'Output-Calculation-sheet'!X6*'Output-Calculation-sheet'!X78</f>
        <v>81929870.708866879</v>
      </c>
      <c r="Y95" s="2">
        <f>Y7/'Output-Calculation-sheet'!Y6*'Output-Calculation-sheet'!Y78</f>
        <v>321639101.17762721</v>
      </c>
      <c r="AA95" s="2">
        <f t="shared" si="8"/>
        <v>55.274382479307754</v>
      </c>
    </row>
    <row r="96" spans="1:27" x14ac:dyDescent="0.25">
      <c r="A96" s="2">
        <v>2031</v>
      </c>
      <c r="B96" s="2">
        <f>B8/'Output-Calculation-sheet'!B7*'Output-Calculation-sheet'!B79</f>
        <v>14751012912.50889</v>
      </c>
      <c r="C96" s="2">
        <f>C8/'Output-Calculation-sheet'!C7*'Output-Calculation-sheet'!C79</f>
        <v>1815693491.4152315</v>
      </c>
      <c r="D96" s="2">
        <f>D8/'Output-Calculation-sheet'!D7*'Output-Calculation-sheet'!D79</f>
        <v>6429926589.3805723</v>
      </c>
      <c r="E96" s="2">
        <f>E8/'Output-Calculation-sheet'!E7*'Output-Calculation-sheet'!E79</f>
        <v>10993721461.628075</v>
      </c>
      <c r="F96" s="2">
        <f>F8/'Output-Calculation-sheet'!F7*'Output-Calculation-sheet'!F79</f>
        <v>4947541569.833231</v>
      </c>
      <c r="G96" s="2">
        <f>G8/'Output-Calculation-sheet'!G7*'Output-Calculation-sheet'!G79</f>
        <v>3757882519.3329482</v>
      </c>
      <c r="H96" s="2">
        <f>H8/'Output-Calculation-sheet'!H7*'Output-Calculation-sheet'!H79</f>
        <v>1093296206.9572432</v>
      </c>
      <c r="I96" s="2">
        <f>I8/'Output-Calculation-sheet'!I7*'Output-Calculation-sheet'!I79</f>
        <v>2520685691.9849343</v>
      </c>
      <c r="J96" s="2">
        <f>J8/'Output-Calculation-sheet'!J7*'Output-Calculation-sheet'!J79</f>
        <v>1867871780.4822066</v>
      </c>
      <c r="K96" s="2">
        <f>K8/'Output-Calculation-sheet'!K7*'Output-Calculation-sheet'!K79</f>
        <v>2159729356.0368814</v>
      </c>
      <c r="L96" s="2">
        <f>L8/'Output-Calculation-sheet'!L7*'Output-Calculation-sheet'!L79</f>
        <v>1718025019.2136362</v>
      </c>
      <c r="M96" s="2">
        <f>M8/'Output-Calculation-sheet'!M7*'Output-Calculation-sheet'!M79</f>
        <v>849940235.88296568</v>
      </c>
      <c r="N96" s="2">
        <f>N8/'Output-Calculation-sheet'!N7*'Output-Calculation-sheet'!N79</f>
        <v>863198639.04677343</v>
      </c>
      <c r="O96" s="2">
        <f>O8/'Output-Calculation-sheet'!O7*'Output-Calculation-sheet'!O79</f>
        <v>210706868.57363415</v>
      </c>
      <c r="P96" s="2">
        <f>P8/'Output-Calculation-sheet'!P7*'Output-Calculation-sheet'!P79</f>
        <v>2295811629.0356317</v>
      </c>
      <c r="Q96" s="2">
        <f>Q8/'Output-Calculation-sheet'!Q7*'Output-Calculation-sheet'!Q79</f>
        <v>1018035594.5109503</v>
      </c>
      <c r="R96" s="2">
        <f>R8/'Output-Calculation-sheet'!R7*'Output-Calculation-sheet'!R79</f>
        <v>1548924598.0433044</v>
      </c>
      <c r="S96" s="2">
        <f>S8/'Output-Calculation-sheet'!S7*'Output-Calculation-sheet'!S79</f>
        <v>605431062.95221472</v>
      </c>
      <c r="T96" s="2">
        <f>T8/'Output-Calculation-sheet'!T7*'Output-Calculation-sheet'!T79</f>
        <v>819946922.31516373</v>
      </c>
      <c r="U96" s="2">
        <f>U8/'Output-Calculation-sheet'!U7*'Output-Calculation-sheet'!U79</f>
        <v>407244786.86273897</v>
      </c>
      <c r="V96" s="2">
        <f>V8/'Output-Calculation-sheet'!V7*'Output-Calculation-sheet'!V79</f>
        <v>300086100.50339156</v>
      </c>
      <c r="W96" s="2">
        <f>W8/'Output-Calculation-sheet'!W7*'Output-Calculation-sheet'!W79</f>
        <v>799442527.66400325</v>
      </c>
      <c r="X96" s="2">
        <f>X8/'Output-Calculation-sheet'!X7*'Output-Calculation-sheet'!X79</f>
        <v>94732199.284152344</v>
      </c>
      <c r="Y96" s="2">
        <f>Y8/'Output-Calculation-sheet'!Y7*'Output-Calculation-sheet'!Y79</f>
        <v>358779986.33275992</v>
      </c>
      <c r="AA96" s="2">
        <f t="shared" si="8"/>
        <v>62.227667749781531</v>
      </c>
    </row>
    <row r="97" spans="1:27" x14ac:dyDescent="0.25">
      <c r="A97" s="2">
        <v>2032</v>
      </c>
      <c r="B97" s="2">
        <f>B9/'Output-Calculation-sheet'!B8*'Output-Calculation-sheet'!B80</f>
        <v>15832368638.474823</v>
      </c>
      <c r="C97" s="2">
        <f>C9/'Output-Calculation-sheet'!C8*'Output-Calculation-sheet'!C80</f>
        <v>1989071923.7417023</v>
      </c>
      <c r="D97" s="2">
        <f>D9/'Output-Calculation-sheet'!D8*'Output-Calculation-sheet'!D80</f>
        <v>6550999518.2031651</v>
      </c>
      <c r="E97" s="2">
        <f>E9/'Output-Calculation-sheet'!E8*'Output-Calculation-sheet'!E80</f>
        <v>11533725861.949722</v>
      </c>
      <c r="F97" s="2">
        <f>F9/'Output-Calculation-sheet'!F8*'Output-Calculation-sheet'!F80</f>
        <v>5178574978.6794767</v>
      </c>
      <c r="G97" s="2">
        <f>G9/'Output-Calculation-sheet'!G8*'Output-Calculation-sheet'!G80</f>
        <v>3833082549.3623834</v>
      </c>
      <c r="H97" s="2">
        <f>H9/'Output-Calculation-sheet'!H8*'Output-Calculation-sheet'!H80</f>
        <v>1161448786.7693958</v>
      </c>
      <c r="I97" s="2">
        <f>I9/'Output-Calculation-sheet'!I8*'Output-Calculation-sheet'!I80</f>
        <v>2662349362.5984063</v>
      </c>
      <c r="J97" s="2">
        <f>J9/'Output-Calculation-sheet'!J8*'Output-Calculation-sheet'!J80</f>
        <v>1921040656.0453236</v>
      </c>
      <c r="K97" s="2">
        <f>K9/'Output-Calculation-sheet'!K8*'Output-Calculation-sheet'!K80</f>
        <v>2236147882.0946221</v>
      </c>
      <c r="L97" s="2">
        <f>L9/'Output-Calculation-sheet'!L8*'Output-Calculation-sheet'!L80</f>
        <v>1833513880.2411811</v>
      </c>
      <c r="M97" s="2">
        <f>M9/'Output-Calculation-sheet'!M8*'Output-Calculation-sheet'!M80</f>
        <v>902773362.84114063</v>
      </c>
      <c r="N97" s="2">
        <f>N9/'Output-Calculation-sheet'!N8*'Output-Calculation-sheet'!N80</f>
        <v>894763054.02855778</v>
      </c>
      <c r="O97" s="2">
        <f>O9/'Output-Calculation-sheet'!O8*'Output-Calculation-sheet'!O80</f>
        <v>233516319.97710371</v>
      </c>
      <c r="P97" s="2">
        <f>P9/'Output-Calculation-sheet'!P8*'Output-Calculation-sheet'!P80</f>
        <v>2374738643.5294166</v>
      </c>
      <c r="Q97" s="2">
        <f>Q9/'Output-Calculation-sheet'!Q8*'Output-Calculation-sheet'!Q80</f>
        <v>1055943538.2778481</v>
      </c>
      <c r="R97" s="2">
        <f>R9/'Output-Calculation-sheet'!R8*'Output-Calculation-sheet'!R80</f>
        <v>1643203589.988596</v>
      </c>
      <c r="S97" s="2">
        <f>S9/'Output-Calculation-sheet'!S8*'Output-Calculation-sheet'!S80</f>
        <v>633732015.86926997</v>
      </c>
      <c r="T97" s="2">
        <f>T9/'Output-Calculation-sheet'!T8*'Output-Calculation-sheet'!T80</f>
        <v>847364052.3218534</v>
      </c>
      <c r="U97" s="2">
        <f>U9/'Output-Calculation-sheet'!U8*'Output-Calculation-sheet'!U80</f>
        <v>430055122.94254637</v>
      </c>
      <c r="V97" s="2">
        <f>V9/'Output-Calculation-sheet'!V8*'Output-Calculation-sheet'!V80</f>
        <v>316791343.03714466</v>
      </c>
      <c r="W97" s="2">
        <f>W9/'Output-Calculation-sheet'!W8*'Output-Calculation-sheet'!W80</f>
        <v>828458397.58150971</v>
      </c>
      <c r="X97" s="2">
        <f>X9/'Output-Calculation-sheet'!X8*'Output-Calculation-sheet'!X80</f>
        <v>101453590.69337745</v>
      </c>
      <c r="Y97" s="2">
        <f>Y9/'Output-Calculation-sheet'!Y8*'Output-Calculation-sheet'!Y80</f>
        <v>372015326.16925424</v>
      </c>
      <c r="AA97" s="2">
        <f t="shared" si="8"/>
        <v>65.367132395417812</v>
      </c>
    </row>
    <row r="98" spans="1:27" x14ac:dyDescent="0.25">
      <c r="A98" s="2">
        <v>2033</v>
      </c>
      <c r="B98" s="2">
        <f>B10/'Output-Calculation-sheet'!B9*'Output-Calculation-sheet'!B81</f>
        <v>18605605281.327751</v>
      </c>
      <c r="C98" s="2">
        <f>C10/'Output-Calculation-sheet'!C9*'Output-Calculation-sheet'!C81</f>
        <v>6378924118.2924509</v>
      </c>
      <c r="D98" s="2">
        <f>D10/'Output-Calculation-sheet'!D9*'Output-Calculation-sheet'!D81</f>
        <v>6070792896.74123</v>
      </c>
      <c r="E98" s="2">
        <f>E10/'Output-Calculation-sheet'!E9*'Output-Calculation-sheet'!E81</f>
        <v>11419543411.396717</v>
      </c>
      <c r="F98" s="2">
        <f>F10/'Output-Calculation-sheet'!F9*'Output-Calculation-sheet'!F81</f>
        <v>4709695725.5883675</v>
      </c>
      <c r="G98" s="2">
        <f>G10/'Output-Calculation-sheet'!G9*'Output-Calculation-sheet'!G81</f>
        <v>3458002700.1298661</v>
      </c>
      <c r="H98" s="2">
        <f>H10/'Output-Calculation-sheet'!H9*'Output-Calculation-sheet'!H81</f>
        <v>3132978699.0502238</v>
      </c>
      <c r="I98" s="2">
        <f>I10/'Output-Calculation-sheet'!I9*'Output-Calculation-sheet'!I81</f>
        <v>2604430235.7939734</v>
      </c>
      <c r="J98" s="2">
        <f>J10/'Output-Calculation-sheet'!J9*'Output-Calculation-sheet'!J81</f>
        <v>1665338336.5447295</v>
      </c>
      <c r="K98" s="2">
        <f>K10/'Output-Calculation-sheet'!K9*'Output-Calculation-sheet'!K81</f>
        <v>2418969975.8998785</v>
      </c>
      <c r="L98" s="2">
        <f>L10/'Output-Calculation-sheet'!L9*'Output-Calculation-sheet'!L81</f>
        <v>1814263691.1474559</v>
      </c>
      <c r="M98" s="2">
        <f>M10/'Output-Calculation-sheet'!M9*'Output-Calculation-sheet'!M81</f>
        <v>2352735460.9802504</v>
      </c>
      <c r="N98" s="2">
        <f>N10/'Output-Calculation-sheet'!N9*'Output-Calculation-sheet'!N81</f>
        <v>1687904120.6334925</v>
      </c>
      <c r="O98" s="2">
        <f>O10/'Output-Calculation-sheet'!O9*'Output-Calculation-sheet'!O81</f>
        <v>893840590.95995927</v>
      </c>
      <c r="P98" s="2">
        <f>P10/'Output-Calculation-sheet'!P9*'Output-Calculation-sheet'!P81</f>
        <v>2856455184.9869661</v>
      </c>
      <c r="Q98" s="2">
        <f>Q10/'Output-Calculation-sheet'!Q9*'Output-Calculation-sheet'!Q81</f>
        <v>1343032815.1595883</v>
      </c>
      <c r="R98" s="2">
        <f>R10/'Output-Calculation-sheet'!R9*'Output-Calculation-sheet'!R81</f>
        <v>1717942155.6316416</v>
      </c>
      <c r="S98" s="2">
        <f>S10/'Output-Calculation-sheet'!S9*'Output-Calculation-sheet'!S81</f>
        <v>993276426.30853593</v>
      </c>
      <c r="T98" s="2">
        <f>T10/'Output-Calculation-sheet'!T9*'Output-Calculation-sheet'!T81</f>
        <v>737051971.3131063</v>
      </c>
      <c r="U98" s="2">
        <f>U10/'Output-Calculation-sheet'!U9*'Output-Calculation-sheet'!U81</f>
        <v>479573815.08112341</v>
      </c>
      <c r="V98" s="2">
        <f>V10/'Output-Calculation-sheet'!V9*'Output-Calculation-sheet'!V81</f>
        <v>253990368.37796581</v>
      </c>
      <c r="W98" s="2">
        <f>W10/'Output-Calculation-sheet'!W9*'Output-Calculation-sheet'!W81</f>
        <v>720150321.10709405</v>
      </c>
      <c r="X98" s="2">
        <f>X10/'Output-Calculation-sheet'!X9*'Output-Calculation-sheet'!X81</f>
        <v>264633454.66783121</v>
      </c>
      <c r="Y98" s="2">
        <f>Y10/'Output-Calculation-sheet'!Y9*'Output-Calculation-sheet'!Y81</f>
        <v>395983244.57020813</v>
      </c>
      <c r="AA98" s="2">
        <f t="shared" si="8"/>
        <v>76.975115001690412</v>
      </c>
    </row>
    <row r="99" spans="1:27" x14ac:dyDescent="0.25">
      <c r="A99" s="2">
        <v>2034</v>
      </c>
      <c r="B99" s="2">
        <f>B11/'Output-Calculation-sheet'!B10*'Output-Calculation-sheet'!B82</f>
        <v>21256873733.353519</v>
      </c>
      <c r="C99" s="2">
        <f>C11/'Output-Calculation-sheet'!C10*'Output-Calculation-sheet'!C82</f>
        <v>7334493560.3806391</v>
      </c>
      <c r="D99" s="2">
        <f>D11/'Output-Calculation-sheet'!D10*'Output-Calculation-sheet'!D82</f>
        <v>6672326063.5310736</v>
      </c>
      <c r="E99" s="2">
        <f>E11/'Output-Calculation-sheet'!E10*'Output-Calculation-sheet'!E82</f>
        <v>12907029680.699739</v>
      </c>
      <c r="F99" s="2">
        <f>F11/'Output-Calculation-sheet'!F10*'Output-Calculation-sheet'!F82</f>
        <v>5315744156.2360239</v>
      </c>
      <c r="G99" s="2">
        <f>G11/'Output-Calculation-sheet'!G10*'Output-Calculation-sheet'!G82</f>
        <v>3779115825.1617513</v>
      </c>
      <c r="H99" s="2">
        <f>H11/'Output-Calculation-sheet'!H10*'Output-Calculation-sheet'!H82</f>
        <v>3532269872.073678</v>
      </c>
      <c r="I99" s="2">
        <f>I11/'Output-Calculation-sheet'!I10*'Output-Calculation-sheet'!I82</f>
        <v>2966860786.8128238</v>
      </c>
      <c r="J99" s="2">
        <f>J11/'Output-Calculation-sheet'!J10*'Output-Calculation-sheet'!J82</f>
        <v>1846276332.9310687</v>
      </c>
      <c r="K99" s="2">
        <f>K11/'Output-Calculation-sheet'!K10*'Output-Calculation-sheet'!K82</f>
        <v>2701344556.0627933</v>
      </c>
      <c r="L99" s="2">
        <f>L11/'Output-Calculation-sheet'!L10*'Output-Calculation-sheet'!L82</f>
        <v>2085635544.9507313</v>
      </c>
      <c r="M99" s="2">
        <f>M11/'Output-Calculation-sheet'!M10*'Output-Calculation-sheet'!M82</f>
        <v>2660793422.7653289</v>
      </c>
      <c r="N99" s="2">
        <f>N11/'Output-Calculation-sheet'!N10*'Output-Calculation-sheet'!N82</f>
        <v>1874531452.5162151</v>
      </c>
      <c r="O99" s="2">
        <f>O11/'Output-Calculation-sheet'!O10*'Output-Calculation-sheet'!O82</f>
        <v>1016277575.5385147</v>
      </c>
      <c r="P99" s="2">
        <f>P11/'Output-Calculation-sheet'!P10*'Output-Calculation-sheet'!P82</f>
        <v>3167967431.4724674</v>
      </c>
      <c r="Q99" s="2">
        <f>Q11/'Output-Calculation-sheet'!Q10*'Output-Calculation-sheet'!Q82</f>
        <v>1499281265.3579826</v>
      </c>
      <c r="R99" s="2">
        <f>R11/'Output-Calculation-sheet'!R10*'Output-Calculation-sheet'!R82</f>
        <v>1940812664.4210949</v>
      </c>
      <c r="S99" s="2">
        <f>S11/'Output-Calculation-sheet'!S10*'Output-Calculation-sheet'!S82</f>
        <v>1117962353.038569</v>
      </c>
      <c r="T99" s="2">
        <f>T11/'Output-Calculation-sheet'!T10*'Output-Calculation-sheet'!T82</f>
        <v>817099774.90567505</v>
      </c>
      <c r="U99" s="2">
        <f>U11/'Output-Calculation-sheet'!U10*'Output-Calculation-sheet'!U82</f>
        <v>541099942.41534674</v>
      </c>
      <c r="V99" s="2">
        <f>V11/'Output-Calculation-sheet'!V10*'Output-Calculation-sheet'!V82</f>
        <v>289319393.09111881</v>
      </c>
      <c r="W99" s="2">
        <f>W11/'Output-Calculation-sheet'!W10*'Output-Calculation-sheet'!W82</f>
        <v>802292806.63815451</v>
      </c>
      <c r="X99" s="2">
        <f>X11/'Output-Calculation-sheet'!X10*'Output-Calculation-sheet'!X82</f>
        <v>302165558.98447263</v>
      </c>
      <c r="Y99" s="2">
        <f>Y11/'Output-Calculation-sheet'!Y10*'Output-Calculation-sheet'!Y82</f>
        <v>441515501.43139124</v>
      </c>
      <c r="AA99" s="2">
        <f t="shared" si="8"/>
        <v>86.869089254770188</v>
      </c>
    </row>
    <row r="100" spans="1:27" x14ac:dyDescent="0.25">
      <c r="A100" s="2">
        <v>2035</v>
      </c>
      <c r="B100" s="2">
        <f>B12/'Output-Calculation-sheet'!B11*'Output-Calculation-sheet'!B83</f>
        <v>23049682808.447491</v>
      </c>
      <c r="C100" s="2">
        <f>C12/'Output-Calculation-sheet'!C11*'Output-Calculation-sheet'!C83</f>
        <v>8002475489.6103573</v>
      </c>
      <c r="D100" s="2">
        <f>D12/'Output-Calculation-sheet'!D11*'Output-Calculation-sheet'!D83</f>
        <v>6965128819.2255955</v>
      </c>
      <c r="E100" s="2">
        <f>E12/'Output-Calculation-sheet'!E11*'Output-Calculation-sheet'!E83</f>
        <v>13851844017.260071</v>
      </c>
      <c r="F100" s="2">
        <f>F12/'Output-Calculation-sheet'!F11*'Output-Calculation-sheet'!F83</f>
        <v>5698096315.7466307</v>
      </c>
      <c r="G100" s="2">
        <f>G12/'Output-Calculation-sheet'!G11*'Output-Calculation-sheet'!G83</f>
        <v>3915701695.4764371</v>
      </c>
      <c r="H100" s="2">
        <f>H12/'Output-Calculation-sheet'!H11*'Output-Calculation-sheet'!H83</f>
        <v>3782275209.4160571</v>
      </c>
      <c r="I100" s="2">
        <f>I12/'Output-Calculation-sheet'!I11*'Output-Calculation-sheet'!I83</f>
        <v>3209185809.0588241</v>
      </c>
      <c r="J100" s="2">
        <f>J12/'Output-Calculation-sheet'!J11*'Output-Calculation-sheet'!J83</f>
        <v>1944904725.2566249</v>
      </c>
      <c r="K100" s="2">
        <f>K12/'Output-Calculation-sheet'!K11*'Output-Calculation-sheet'!K83</f>
        <v>2865673108.6287556</v>
      </c>
      <c r="L100" s="2">
        <f>L12/'Output-Calculation-sheet'!L11*'Output-Calculation-sheet'!L83</f>
        <v>2275181049.2701154</v>
      </c>
      <c r="M100" s="2">
        <f>M12/'Output-Calculation-sheet'!M11*'Output-Calculation-sheet'!M83</f>
        <v>2858131559.067802</v>
      </c>
      <c r="N100" s="2">
        <f>N12/'Output-Calculation-sheet'!N11*'Output-Calculation-sheet'!N83</f>
        <v>1977601296.5914755</v>
      </c>
      <c r="O100" s="2">
        <f>O12/'Output-Calculation-sheet'!O11*'Output-Calculation-sheet'!O83</f>
        <v>1097694288.2068911</v>
      </c>
      <c r="P100" s="2">
        <f>P12/'Output-Calculation-sheet'!P11*'Output-Calculation-sheet'!P83</f>
        <v>3333775550.4061861</v>
      </c>
      <c r="Q100" s="2">
        <f>Q12/'Output-Calculation-sheet'!Q11*'Output-Calculation-sheet'!Q83</f>
        <v>1590226220.0706348</v>
      </c>
      <c r="R100" s="2">
        <f>R12/'Output-Calculation-sheet'!R11*'Output-Calculation-sheet'!R83</f>
        <v>2082312602.2000773</v>
      </c>
      <c r="S100" s="2">
        <f>S12/'Output-Calculation-sheet'!S11*'Output-Calculation-sheet'!S83</f>
        <v>1195140446.2454517</v>
      </c>
      <c r="T100" s="2">
        <f>T12/'Output-Calculation-sheet'!T11*'Output-Calculation-sheet'!T83</f>
        <v>860087034.34314823</v>
      </c>
      <c r="U100" s="2">
        <f>U12/'Output-Calculation-sheet'!U11*'Output-Calculation-sheet'!U83</f>
        <v>579601278.49107158</v>
      </c>
      <c r="V100" s="2">
        <f>V12/'Output-Calculation-sheet'!V11*'Output-Calculation-sheet'!V83</f>
        <v>312728565.4296388</v>
      </c>
      <c r="W100" s="2">
        <f>W12/'Output-Calculation-sheet'!W11*'Output-Calculation-sheet'!W83</f>
        <v>847258512.57860136</v>
      </c>
      <c r="X100" s="2">
        <f>X12/'Output-Calculation-sheet'!X11*'Output-Calculation-sheet'!X83</f>
        <v>327558188.7238518</v>
      </c>
      <c r="Y100" s="2">
        <f>Y12/'Output-Calculation-sheet'!Y11*'Output-Calculation-sheet'!Y83</f>
        <v>466890013.02899796</v>
      </c>
      <c r="AA100" s="2">
        <f t="shared" si="8"/>
        <v>93.089154602780766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5996.2922351241759</v>
      </c>
      <c r="C19" s="2">
        <f>C8/'Output-Calculation-sheet'!C7*'Output-Calculation-sheet'!C25</f>
        <v>7995.2207083459753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2913.1910512375043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2132.3195162214724</v>
      </c>
      <c r="N19" s="2">
        <f>N8/'Output-Calculation-sheet'!N7*'Output-Calculation-sheet'!N25</f>
        <v>1110.8680579663755</v>
      </c>
      <c r="O19" s="2">
        <f>O8/'Output-Calculation-sheet'!O7*'Output-Calculation-sheet'!O25</f>
        <v>1211.4307064359182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484.27240517792956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246.48214379395816</v>
      </c>
      <c r="Y19" s="2">
        <f>Y8/'Output-Calculation-sheet'!Y7*'Output-Calculation-sheet'!Y25</f>
        <v>0</v>
      </c>
      <c r="AA19" s="2">
        <f t="shared" si="0"/>
        <v>22.090076824303306</v>
      </c>
    </row>
    <row r="20" spans="1:27" x14ac:dyDescent="0.25">
      <c r="A20" s="2">
        <v>2032</v>
      </c>
      <c r="B20" s="2">
        <f>B9/'Output-Calculation-sheet'!B8*'Output-Calculation-sheet'!B26</f>
        <v>7945.8218815317996</v>
      </c>
      <c r="C20" s="2">
        <f>C9/'Output-Calculation-sheet'!C8*'Output-Calculation-sheet'!C26</f>
        <v>9158.1824533721738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3296.9845727969901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2407.5519186454085</v>
      </c>
      <c r="N20" s="2">
        <f>N9/'Output-Calculation-sheet'!N8*'Output-Calculation-sheet'!N26</f>
        <v>1369.4443681104926</v>
      </c>
      <c r="O20" s="2">
        <f>O9/'Output-Calculation-sheet'!O8*'Output-Calculation-sheet'!O26</f>
        <v>1416.6942075040572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619.04799470195212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278.10350124564127</v>
      </c>
      <c r="Y20" s="2">
        <f>Y9/'Output-Calculation-sheet'!Y8*'Output-Calculation-sheet'!Y26</f>
        <v>0</v>
      </c>
      <c r="AA20" s="2">
        <f t="shared" si="0"/>
        <v>26.491830897908518</v>
      </c>
    </row>
    <row r="21" spans="1:27" x14ac:dyDescent="0.25">
      <c r="A21" s="2">
        <v>2033</v>
      </c>
      <c r="B21" s="2">
        <f>B10/'Output-Calculation-sheet'!B9*'Output-Calculation-sheet'!B27</f>
        <v>17100.763385903589</v>
      </c>
      <c r="C21" s="2">
        <f>C10/'Output-Calculation-sheet'!C9*'Output-Calculation-sheet'!C27</f>
        <v>29367.702399464506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9898.2334696106518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6874.9393232264365</v>
      </c>
      <c r="N21" s="2">
        <f>N10/'Output-Calculation-sheet'!N9*'Output-Calculation-sheet'!N27</f>
        <v>3761.8290736308386</v>
      </c>
      <c r="O21" s="2">
        <f>O10/'Output-Calculation-sheet'!O9*'Output-Calculation-sheet'!O27</f>
        <v>2930.135377332806</v>
      </c>
      <c r="P21" s="2">
        <f>P10/'Output-Calculation-sheet'!P9*'Output-Calculation-sheet'!P27</f>
        <v>0</v>
      </c>
      <c r="Q21" s="2">
        <f>Q10/'Output-Calculation-sheet'!Q9*'Output-Calculation-sheet'!Q27</f>
        <v>256.58165294168055</v>
      </c>
      <c r="R21" s="2">
        <f>R10/'Output-Calculation-sheet'!R9*'Output-Calculation-sheet'!R27</f>
        <v>0</v>
      </c>
      <c r="S21" s="2">
        <f>S10/'Output-Calculation-sheet'!S9*'Output-Calculation-sheet'!S27</f>
        <v>1633.9048849558546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808.43396629657946</v>
      </c>
      <c r="Y21" s="2">
        <f>Y10/'Output-Calculation-sheet'!Y9*'Output-Calculation-sheet'!Y27</f>
        <v>0</v>
      </c>
      <c r="AA21" s="2">
        <f t="shared" si="0"/>
        <v>72.632523533362942</v>
      </c>
    </row>
    <row r="22" spans="1:27" x14ac:dyDescent="0.25">
      <c r="A22" s="2">
        <v>2034</v>
      </c>
      <c r="B22" s="2">
        <f>B11/'Output-Calculation-sheet'!B10*'Output-Calculation-sheet'!B28</f>
        <v>32169.650731853751</v>
      </c>
      <c r="C22" s="2">
        <f>C11/'Output-Calculation-sheet'!C10*'Output-Calculation-sheet'!C28</f>
        <v>30862.740599519064</v>
      </c>
      <c r="D22" s="2">
        <f>D11/'Output-Calculation-sheet'!D10*'Output-Calculation-sheet'!D28</f>
        <v>0</v>
      </c>
      <c r="E22" s="2">
        <f>E11/'Output-Calculation-sheet'!E10*'Output-Calculation-sheet'!E28</f>
        <v>1648.3235751755526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11777.163403857905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982.88882679847768</v>
      </c>
      <c r="M22" s="2">
        <f>M11/'Output-Calculation-sheet'!M10*'Output-Calculation-sheet'!M28</f>
        <v>8586.5873724013909</v>
      </c>
      <c r="N22" s="2">
        <f>N11/'Output-Calculation-sheet'!N10*'Output-Calculation-sheet'!N28</f>
        <v>5124.3738717232227</v>
      </c>
      <c r="O22" s="2">
        <f>O11/'Output-Calculation-sheet'!O10*'Output-Calculation-sheet'!O28</f>
        <v>3167.1985263895904</v>
      </c>
      <c r="P22" s="2">
        <f>P11/'Output-Calculation-sheet'!P10*'Output-Calculation-sheet'!P28</f>
        <v>0</v>
      </c>
      <c r="Q22" s="2">
        <f>Q11/'Output-Calculation-sheet'!Q10*'Output-Calculation-sheet'!Q28</f>
        <v>1164.0973618737146</v>
      </c>
      <c r="R22" s="2">
        <f>R11/'Output-Calculation-sheet'!R10*'Output-Calculation-sheet'!R28</f>
        <v>0</v>
      </c>
      <c r="S22" s="2">
        <f>S11/'Output-Calculation-sheet'!S10*'Output-Calculation-sheet'!S28</f>
        <v>2614.1533251149108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862.23944009270338</v>
      </c>
      <c r="Y22" s="2">
        <f>Y11/'Output-Calculation-sheet'!Y10*'Output-Calculation-sheet'!Y28</f>
        <v>89.437378758484698</v>
      </c>
      <c r="AA22" s="2">
        <f t="shared" si="0"/>
        <v>99.048854413558757</v>
      </c>
    </row>
    <row r="23" spans="1:27" x14ac:dyDescent="0.25">
      <c r="A23" s="2">
        <v>2035</v>
      </c>
      <c r="B23" s="2">
        <f>B12/'Output-Calculation-sheet'!B11*'Output-Calculation-sheet'!B29</f>
        <v>36438.899988458827</v>
      </c>
      <c r="C23" s="2">
        <f>C12/'Output-Calculation-sheet'!C11*'Output-Calculation-sheet'!C29</f>
        <v>29762.83983193725</v>
      </c>
      <c r="D23" s="2">
        <f>D12/'Output-Calculation-sheet'!D11*'Output-Calculation-sheet'!D29</f>
        <v>0</v>
      </c>
      <c r="E23" s="2">
        <f>E12/'Output-Calculation-sheet'!E11*'Output-Calculation-sheet'!E29</f>
        <v>5617.9892706478649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11457.118611073131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1273.5528336523071</v>
      </c>
      <c r="M23" s="2">
        <f>M12/'Output-Calculation-sheet'!M11*'Output-Calculation-sheet'!M29</f>
        <v>8394.1524630400727</v>
      </c>
      <c r="N23" s="2">
        <f>N12/'Output-Calculation-sheet'!N11*'Output-Calculation-sheet'!N29</f>
        <v>4896.7773554936657</v>
      </c>
      <c r="O23" s="2">
        <f>O12/'Output-Calculation-sheet'!O11*'Output-Calculation-sheet'!O29</f>
        <v>3301.0299121158355</v>
      </c>
      <c r="P23" s="2">
        <f>P12/'Output-Calculation-sheet'!P11*'Output-Calculation-sheet'!P29</f>
        <v>598.05169657288707</v>
      </c>
      <c r="Q23" s="2">
        <f>Q12/'Output-Calculation-sheet'!Q11*'Output-Calculation-sheet'!Q29</f>
        <v>1342.6193772911863</v>
      </c>
      <c r="R23" s="2">
        <f>R12/'Output-Calculation-sheet'!R11*'Output-Calculation-sheet'!R29</f>
        <v>0</v>
      </c>
      <c r="S23" s="2">
        <f>S12/'Output-Calculation-sheet'!S11*'Output-Calculation-sheet'!S29</f>
        <v>2621.2457522615032</v>
      </c>
      <c r="T23" s="2">
        <f>T12/'Output-Calculation-sheet'!T11*'Output-Calculation-sheet'!T29</f>
        <v>0</v>
      </c>
      <c r="U23" s="2">
        <f>U12/'Output-Calculation-sheet'!U11*'Output-Calculation-sheet'!U29</f>
        <v>114.305839070799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831.57140793111023</v>
      </c>
      <c r="Y23" s="2">
        <f>Y12/'Output-Calculation-sheet'!Y11*'Output-Calculation-sheet'!Y29</f>
        <v>246.19157275203065</v>
      </c>
      <c r="AA23" s="2">
        <f t="shared" si="0"/>
        <v>106.89634591229847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29488.958079317174</v>
      </c>
      <c r="C30" s="2">
        <f>C8/'Output-Calculation-sheet'!C7*'Output-Calculation-sheet'!C16</f>
        <v>0</v>
      </c>
      <c r="D30" s="2">
        <f>D8/'Output-Calculation-sheet'!D7*'Output-Calculation-sheet'!D16</f>
        <v>6643.5779633841858</v>
      </c>
      <c r="E30" s="2">
        <f>E8/'Output-Calculation-sheet'!E7*'Output-Calculation-sheet'!E16</f>
        <v>8325.4644721414898</v>
      </c>
      <c r="F30" s="2">
        <f>F8/'Output-Calculation-sheet'!F7*'Output-Calculation-sheet'!F16</f>
        <v>4066.1560774085988</v>
      </c>
      <c r="G30" s="2">
        <f>G8/'Output-Calculation-sheet'!G7*'Output-Calculation-sheet'!G16</f>
        <v>2477.8627136175282</v>
      </c>
      <c r="H30" s="2">
        <f>H8/'Output-Calculation-sheet'!H7*'Output-Calculation-sheet'!H16</f>
        <v>0</v>
      </c>
      <c r="I30" s="2">
        <f>I8/'Output-Calculation-sheet'!I7*'Output-Calculation-sheet'!I16</f>
        <v>2332.6019237438609</v>
      </c>
      <c r="J30" s="2">
        <f>J8/'Output-Calculation-sheet'!J7*'Output-Calculation-sheet'!J16</f>
        <v>2500.4484145507718</v>
      </c>
      <c r="K30" s="2">
        <f>K8/'Output-Calculation-sheet'!K7*'Output-Calculation-sheet'!K16</f>
        <v>2420.1529992033993</v>
      </c>
      <c r="L30" s="2">
        <f>L8/'Output-Calculation-sheet'!L7*'Output-Calculation-sheet'!L16</f>
        <v>2675.0942742399079</v>
      </c>
      <c r="M30" s="2">
        <f>M8/'Output-Calculation-sheet'!M7*'Output-Calculation-sheet'!M16</f>
        <v>0</v>
      </c>
      <c r="N30" s="2">
        <f>N8/'Output-Calculation-sheet'!N7*'Output-Calculation-sheet'!N16</f>
        <v>1199.5838286952057</v>
      </c>
      <c r="O30" s="2">
        <f>O8/'Output-Calculation-sheet'!O7*'Output-Calculation-sheet'!O16</f>
        <v>0</v>
      </c>
      <c r="P30" s="2">
        <f>P8/'Output-Calculation-sheet'!P7*'Output-Calculation-sheet'!P16</f>
        <v>2290.0134090922888</v>
      </c>
      <c r="Q30" s="2">
        <f>Q8/'Output-Calculation-sheet'!Q7*'Output-Calculation-sheet'!Q16</f>
        <v>2246.6166053634665</v>
      </c>
      <c r="R30" s="2">
        <f>R8/'Output-Calculation-sheet'!R7*'Output-Calculation-sheet'!R16</f>
        <v>1993.7000446027862</v>
      </c>
      <c r="S30" s="2">
        <f>S8/'Output-Calculation-sheet'!S7*'Output-Calculation-sheet'!S16</f>
        <v>1055.9269828860045</v>
      </c>
      <c r="T30" s="2">
        <f>T8/'Output-Calculation-sheet'!T7*'Output-Calculation-sheet'!T16</f>
        <v>753.05019074228403</v>
      </c>
      <c r="U30" s="2">
        <f>U8/'Output-Calculation-sheet'!U7*'Output-Calculation-sheet'!U16</f>
        <v>581.05552314651607</v>
      </c>
      <c r="V30" s="2">
        <f>V8/'Output-Calculation-sheet'!V7*'Output-Calculation-sheet'!V16</f>
        <v>752.35070915349161</v>
      </c>
      <c r="W30" s="2">
        <f>W8/'Output-Calculation-sheet'!W7*'Output-Calculation-sheet'!W16</f>
        <v>362.24148915109328</v>
      </c>
      <c r="X30" s="2">
        <f>X8/'Output-Calculation-sheet'!X7*'Output-Calculation-sheet'!X16</f>
        <v>0</v>
      </c>
      <c r="Y30" s="2">
        <f>Y8/'Output-Calculation-sheet'!Y7*'Output-Calculation-sheet'!Y16</f>
        <v>247.05659292990964</v>
      </c>
      <c r="AA30" s="2">
        <f t="shared" si="1"/>
        <v>72.411912293369937</v>
      </c>
    </row>
    <row r="31" spans="1:27" x14ac:dyDescent="0.25">
      <c r="A31" s="2">
        <v>2032</v>
      </c>
      <c r="B31" s="2">
        <f>B9/'Output-Calculation-sheet'!B8*'Output-Calculation-sheet'!B17</f>
        <v>32195.320519207722</v>
      </c>
      <c r="C31" s="2">
        <f>C9/'Output-Calculation-sheet'!C8*'Output-Calculation-sheet'!C17</f>
        <v>0</v>
      </c>
      <c r="D31" s="2">
        <f>D9/'Output-Calculation-sheet'!D8*'Output-Calculation-sheet'!D17</f>
        <v>7368.844480656584</v>
      </c>
      <c r="E31" s="2">
        <f>E9/'Output-Calculation-sheet'!E8*'Output-Calculation-sheet'!E17</f>
        <v>9256.2421504455451</v>
      </c>
      <c r="F31" s="2">
        <f>F9/'Output-Calculation-sheet'!F8*'Output-Calculation-sheet'!F17</f>
        <v>4516.2976085001646</v>
      </c>
      <c r="G31" s="2">
        <f>G9/'Output-Calculation-sheet'!G8*'Output-Calculation-sheet'!G17</f>
        <v>2749.1911238762395</v>
      </c>
      <c r="H31" s="2">
        <f>H9/'Output-Calculation-sheet'!H8*'Output-Calculation-sheet'!H17</f>
        <v>0</v>
      </c>
      <c r="I31" s="2">
        <f>I9/'Output-Calculation-sheet'!I8*'Output-Calculation-sheet'!I17</f>
        <v>2586.7291564327561</v>
      </c>
      <c r="J31" s="2">
        <f>J9/'Output-Calculation-sheet'!J8*'Output-Calculation-sheet'!J17</f>
        <v>2775.11632531123</v>
      </c>
      <c r="K31" s="2">
        <f>K9/'Output-Calculation-sheet'!K8*'Output-Calculation-sheet'!K17</f>
        <v>2683.9272079200932</v>
      </c>
      <c r="L31" s="2">
        <f>L9/'Output-Calculation-sheet'!L8*'Output-Calculation-sheet'!L17</f>
        <v>2965.6436161284691</v>
      </c>
      <c r="M31" s="2">
        <f>M9/'Output-Calculation-sheet'!M8*'Output-Calculation-sheet'!M17</f>
        <v>0</v>
      </c>
      <c r="N31" s="2">
        <f>N9/'Output-Calculation-sheet'!N8*'Output-Calculation-sheet'!N17</f>
        <v>1250.4279654132408</v>
      </c>
      <c r="O31" s="2">
        <f>O9/'Output-Calculation-sheet'!O8*'Output-Calculation-sheet'!O17</f>
        <v>0</v>
      </c>
      <c r="P31" s="2">
        <f>P9/'Output-Calculation-sheet'!P8*'Output-Calculation-sheet'!P17</f>
        <v>2554.5628519904285</v>
      </c>
      <c r="Q31" s="2">
        <f>Q9/'Output-Calculation-sheet'!Q8*'Output-Calculation-sheet'!Q17</f>
        <v>2498.2518966938082</v>
      </c>
      <c r="R31" s="2">
        <f>R9/'Output-Calculation-sheet'!R8*'Output-Calculation-sheet'!R17</f>
        <v>2235.8622101804349</v>
      </c>
      <c r="S31" s="2">
        <f>S9/'Output-Calculation-sheet'!S8*'Output-Calculation-sheet'!S17</f>
        <v>1119.2278183141302</v>
      </c>
      <c r="T31" s="2">
        <f>T9/'Output-Calculation-sheet'!T8*'Output-Calculation-sheet'!T17</f>
        <v>837.60517946123446</v>
      </c>
      <c r="U31" s="2">
        <f>U9/'Output-Calculation-sheet'!U8*'Output-Calculation-sheet'!U17</f>
        <v>648.54990807847912</v>
      </c>
      <c r="V31" s="2">
        <f>V9/'Output-Calculation-sheet'!V8*'Output-Calculation-sheet'!V17</f>
        <v>824.7352048419225</v>
      </c>
      <c r="W31" s="2">
        <f>W9/'Output-Calculation-sheet'!W8*'Output-Calculation-sheet'!W17</f>
        <v>401.97106122484342</v>
      </c>
      <c r="X31" s="2">
        <f>X9/'Output-Calculation-sheet'!X8*'Output-Calculation-sheet'!X17</f>
        <v>0</v>
      </c>
      <c r="Y31" s="2">
        <f>Y9/'Output-Calculation-sheet'!Y8*'Output-Calculation-sheet'!Y17</f>
        <v>274.0286033653033</v>
      </c>
      <c r="AA31" s="2">
        <f t="shared" si="1"/>
        <v>79.742534888042641</v>
      </c>
    </row>
    <row r="32" spans="1:27" x14ac:dyDescent="0.25">
      <c r="A32" s="2">
        <v>2033</v>
      </c>
      <c r="B32" s="2">
        <f>B10/'Output-Calculation-sheet'!B9*'Output-Calculation-sheet'!B18</f>
        <v>34716.662655902888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2115.5129355527761</v>
      </c>
      <c r="O32" s="2">
        <f>O10/'Output-Calculation-sheet'!O9*'Output-Calculation-sheet'!O18</f>
        <v>0</v>
      </c>
      <c r="P32" s="2">
        <f>P10/'Output-Calculation-sheet'!P9*'Output-Calculation-sheet'!P18</f>
        <v>3405.9391336707222</v>
      </c>
      <c r="Q32" s="2">
        <f>Q10/'Output-Calculation-sheet'!Q9*'Output-Calculation-sheet'!Q18</f>
        <v>3707.4602379349403</v>
      </c>
      <c r="R32" s="2">
        <f>R10/'Output-Calculation-sheet'!R9*'Output-Calculation-sheet'!R18</f>
        <v>2445.6411914756841</v>
      </c>
      <c r="S32" s="2">
        <f>S10/'Output-Calculation-sheet'!S9*'Output-Calculation-sheet'!S18</f>
        <v>1604.8439686437957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789.52725598015593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83.435730883833571</v>
      </c>
    </row>
    <row r="33" spans="1:27" x14ac:dyDescent="0.25">
      <c r="A33" s="2">
        <v>2034</v>
      </c>
      <c r="B33" s="2">
        <f>B11/'Output-Calculation-sheet'!B10*'Output-Calculation-sheet'!B19</f>
        <v>32448.198929882401</v>
      </c>
      <c r="C33" s="2">
        <f>C11/'Output-Calculation-sheet'!C10*'Output-Calculation-sheet'!C19</f>
        <v>0</v>
      </c>
      <c r="D33" s="2">
        <f>D11/'Output-Calculation-sheet'!D10*'Output-Calculation-sheet'!D19</f>
        <v>9678.9413479341401</v>
      </c>
      <c r="E33" s="2">
        <f>E11/'Output-Calculation-sheet'!E10*'Output-Calculation-sheet'!E19</f>
        <v>11988.01606967161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3294.6200933561918</v>
      </c>
      <c r="H33" s="2">
        <f>H11/'Output-Calculation-sheet'!H10*'Output-Calculation-sheet'!H19</f>
        <v>0</v>
      </c>
      <c r="I33" s="2">
        <f>I11/'Output-Calculation-sheet'!I10*'Output-Calculation-sheet'!I19</f>
        <v>3594.8925345617695</v>
      </c>
      <c r="J33" s="2">
        <f>J11/'Output-Calculation-sheet'!J10*'Output-Calculation-sheet'!J19</f>
        <v>3039.713294832015</v>
      </c>
      <c r="K33" s="2">
        <f>K11/'Output-Calculation-sheet'!K10*'Output-Calculation-sheet'!K19</f>
        <v>4218.0408444105096</v>
      </c>
      <c r="L33" s="2">
        <f>L11/'Output-Calculation-sheet'!L10*'Output-Calculation-sheet'!L19</f>
        <v>3430.2720455435056</v>
      </c>
      <c r="M33" s="2">
        <f>M11/'Output-Calculation-sheet'!M10*'Output-Calculation-sheet'!M19</f>
        <v>0</v>
      </c>
      <c r="N33" s="2">
        <f>N11/'Output-Calculation-sheet'!N10*'Output-Calculation-sheet'!N19</f>
        <v>1939.6730824436911</v>
      </c>
      <c r="O33" s="2">
        <f>O11/'Output-Calculation-sheet'!O10*'Output-Calculation-sheet'!O19</f>
        <v>0</v>
      </c>
      <c r="P33" s="2">
        <f>P11/'Output-Calculation-sheet'!P10*'Output-Calculation-sheet'!P19</f>
        <v>4267.9132660677806</v>
      </c>
      <c r="Q33" s="2">
        <f>Q11/'Output-Calculation-sheet'!Q10*'Output-Calculation-sheet'!Q19</f>
        <v>3514.5817682870788</v>
      </c>
      <c r="R33" s="2">
        <f>R11/'Output-Calculation-sheet'!R10*'Output-Calculation-sheet'!R19</f>
        <v>3047.2212812268635</v>
      </c>
      <c r="S33" s="2">
        <f>S11/'Output-Calculation-sheet'!S10*'Output-Calculation-sheet'!S19</f>
        <v>1420.5072671544717</v>
      </c>
      <c r="T33" s="2">
        <f>T11/'Output-Calculation-sheet'!T10*'Output-Calculation-sheet'!T19</f>
        <v>894.14305898588702</v>
      </c>
      <c r="U33" s="2">
        <f>U11/'Output-Calculation-sheet'!U10*'Output-Calculation-sheet'!U19</f>
        <v>1029.081636273567</v>
      </c>
      <c r="V33" s="2">
        <f>V11/'Output-Calculation-sheet'!V10*'Output-Calculation-sheet'!V19</f>
        <v>701.18266814538458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126.43553540700317</v>
      </c>
      <c r="Y33" s="2">
        <f>Y11/'Output-Calculation-sheet'!Y10*'Output-Calculation-sheet'!Y19</f>
        <v>393.52446653733267</v>
      </c>
      <c r="AA33" s="2">
        <f t="shared" si="1"/>
        <v>94.965185429567825</v>
      </c>
    </row>
    <row r="34" spans="1:27" x14ac:dyDescent="0.25">
      <c r="A34" s="2">
        <v>2035</v>
      </c>
      <c r="B34" s="2">
        <f>B12/'Output-Calculation-sheet'!B11*'Output-Calculation-sheet'!B20</f>
        <v>29001.41440806245</v>
      </c>
      <c r="C34" s="2">
        <f>C12/'Output-Calculation-sheet'!C11*'Output-Calculation-sheet'!C20</f>
        <v>0</v>
      </c>
      <c r="D34" s="2">
        <f>D12/'Output-Calculation-sheet'!D11*'Output-Calculation-sheet'!D20</f>
        <v>9101.5282836629467</v>
      </c>
      <c r="E34" s="2">
        <f>E12/'Output-Calculation-sheet'!E11*'Output-Calculation-sheet'!E20</f>
        <v>9944.7570675990046</v>
      </c>
      <c r="F34" s="2">
        <f>F12/'Output-Calculation-sheet'!F11*'Output-Calculation-sheet'!F20</f>
        <v>6265.6632775310582</v>
      </c>
      <c r="G34" s="2">
        <f>G12/'Output-Calculation-sheet'!G11*'Output-Calculation-sheet'!G20</f>
        <v>3348.1844312998369</v>
      </c>
      <c r="H34" s="2">
        <f>H12/'Output-Calculation-sheet'!H11*'Output-Calculation-sheet'!H20</f>
        <v>0</v>
      </c>
      <c r="I34" s="2">
        <f>I12/'Output-Calculation-sheet'!I11*'Output-Calculation-sheet'!I20</f>
        <v>3639.0205579390631</v>
      </c>
      <c r="J34" s="2">
        <f>J12/'Output-Calculation-sheet'!J11*'Output-Calculation-sheet'!J20</f>
        <v>3124.1022913716515</v>
      </c>
      <c r="K34" s="2">
        <f>K12/'Output-Calculation-sheet'!K11*'Output-Calculation-sheet'!K20</f>
        <v>4107.4338618497059</v>
      </c>
      <c r="L34" s="2">
        <f>L12/'Output-Calculation-sheet'!L11*'Output-Calculation-sheet'!L20</f>
        <v>3246.1707712760676</v>
      </c>
      <c r="M34" s="2">
        <f>M12/'Output-Calculation-sheet'!M11*'Output-Calculation-sheet'!M20</f>
        <v>0</v>
      </c>
      <c r="N34" s="2">
        <f>N12/'Output-Calculation-sheet'!N11*'Output-Calculation-sheet'!N20</f>
        <v>1806.4945680585927</v>
      </c>
      <c r="O34" s="2">
        <f>O12/'Output-Calculation-sheet'!O11*'Output-Calculation-sheet'!O20</f>
        <v>0</v>
      </c>
      <c r="P34" s="2">
        <f>P12/'Output-Calculation-sheet'!P11*'Output-Calculation-sheet'!P20</f>
        <v>4037.1853749379347</v>
      </c>
      <c r="Q34" s="2">
        <f>Q12/'Output-Calculation-sheet'!Q11*'Output-Calculation-sheet'!Q20</f>
        <v>3194.5053342797833</v>
      </c>
      <c r="R34" s="2">
        <f>R12/'Output-Calculation-sheet'!R11*'Output-Calculation-sheet'!R20</f>
        <v>3206.3252840919845</v>
      </c>
      <c r="S34" s="2">
        <f>S12/'Output-Calculation-sheet'!S11*'Output-Calculation-sheet'!S20</f>
        <v>1224.7384587122058</v>
      </c>
      <c r="T34" s="2">
        <f>T12/'Output-Calculation-sheet'!T11*'Output-Calculation-sheet'!T20</f>
        <v>1007.3283584854456</v>
      </c>
      <c r="U34" s="2">
        <f>U12/'Output-Calculation-sheet'!U11*'Output-Calculation-sheet'!U20</f>
        <v>919.03103086514045</v>
      </c>
      <c r="V34" s="2">
        <f>V12/'Output-Calculation-sheet'!V11*'Output-Calculation-sheet'!V20</f>
        <v>844.22420212055397</v>
      </c>
      <c r="W34" s="2">
        <f>W12/'Output-Calculation-sheet'!W11*'Output-Calculation-sheet'!W20</f>
        <v>543.14403939562328</v>
      </c>
      <c r="X34" s="2">
        <f>X12/'Output-Calculation-sheet'!X11*'Output-Calculation-sheet'!X20</f>
        <v>109.77145386843459</v>
      </c>
      <c r="Y34" s="2">
        <f>Y12/'Output-Calculation-sheet'!Y11*'Output-Calculation-sheet'!Y20</f>
        <v>304.45275289550125</v>
      </c>
      <c r="AA34" s="2">
        <f t="shared" si="1"/>
        <v>88.975475808303003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1.3908397061795648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0.81060821446306519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2.2014479206426301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2.7477468298997803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0.42292102515602098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0.29101105049923109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1.0676265768012456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0.25059406547501456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3.1924629640519973E-2</v>
      </c>
      <c r="Y44" s="2">
        <f>Y11/'Output-Calculation-sheet'!Y10*'Output-Calculation-sheet'!Y37*0.0114</f>
        <v>0</v>
      </c>
      <c r="AA44" s="2">
        <f t="shared" si="2"/>
        <v>4.8118241774718129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2.5730976398541263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0.99976729847160695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2.9895472278366763E-2</v>
      </c>
      <c r="Y45" s="2">
        <f>Y12/'Output-Calculation-sheet'!Y11*'Output-Calculation-sheet'!Y38*0.0114</f>
        <v>2.8849685241749835E-2</v>
      </c>
      <c r="AA45" s="2">
        <f t="shared" si="2"/>
        <v>12.819982806735645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168.50935854205682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149.99870511648439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652.26320692520233</v>
      </c>
      <c r="S52" s="2">
        <f>S8/'Output-Calculation-sheet'!S7*'Output-Calculation-sheet'!S43</f>
        <v>0</v>
      </c>
      <c r="T52" s="2">
        <f>T8/'Output-Calculation-sheet'!T7*'Output-Calculation-sheet'!T43</f>
        <v>525.21384449655534</v>
      </c>
      <c r="U52" s="2">
        <f>U8/'Output-Calculation-sheet'!U7*'Output-Calculation-sheet'!U43</f>
        <v>55.550241218596177</v>
      </c>
      <c r="V52" s="2">
        <f>V8/'Output-Calculation-sheet'!V7*'Output-Calculation-sheet'!V43</f>
        <v>947.11339415696568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2.4986487504558608</v>
      </c>
    </row>
    <row r="53" spans="1:27" x14ac:dyDescent="0.25">
      <c r="A53" s="2">
        <v>2032</v>
      </c>
      <c r="B53" s="2">
        <f>B9/'Output-Calculation-sheet'!B8*'Output-Calculation-sheet'!B44</f>
        <v>1973.8107452958982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372.11070828443576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298.11111024935326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931.99758656958522</v>
      </c>
      <c r="S53" s="2">
        <f>S9/'Output-Calculation-sheet'!S8*'Output-Calculation-sheet'!S44</f>
        <v>0</v>
      </c>
      <c r="T53" s="2">
        <f>T9/'Output-Calculation-sheet'!T8*'Output-Calculation-sheet'!T44</f>
        <v>642.5936727868384</v>
      </c>
      <c r="U53" s="2">
        <f>U9/'Output-Calculation-sheet'!U8*'Output-Calculation-sheet'!U44</f>
        <v>109.03892702494238</v>
      </c>
      <c r="V53" s="2">
        <f>V9/'Output-Calculation-sheet'!V8*'Output-Calculation-sheet'!V44</f>
        <v>1077.2609321265036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5.4049236823375564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75398.152492892186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0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979.14941278698552</v>
      </c>
      <c r="R54" s="2">
        <f>R10/'Output-Calculation-sheet'!R9*'Output-Calculation-sheet'!R45</f>
        <v>1633.060955678081</v>
      </c>
      <c r="S54" s="2">
        <f>S10/'Output-Calculation-sheet'!S9*'Output-Calculation-sheet'!S45</f>
        <v>3901.9667192544157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589.31601509337349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169.60011526812895</v>
      </c>
    </row>
    <row r="55" spans="1:27" x14ac:dyDescent="0.25">
      <c r="A55" s="2">
        <v>2034</v>
      </c>
      <c r="B55" s="2">
        <f>B11/'Output-Calculation-sheet'!B10*'Output-Calculation-sheet'!B46</f>
        <v>92426.202445239789</v>
      </c>
      <c r="C55" s="2">
        <f>C11/'Output-Calculation-sheet'!C10*'Output-Calculation-sheet'!C46</f>
        <v>76045.098669594794</v>
      </c>
      <c r="D55" s="2">
        <f>D11/'Output-Calculation-sheet'!D10*'Output-Calculation-sheet'!D46</f>
        <v>8540.4935568112069</v>
      </c>
      <c r="E55" s="2">
        <f>E11/'Output-Calculation-sheet'!E10*'Output-Calculation-sheet'!E46</f>
        <v>10520.492244274683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27415.669964061359</v>
      </c>
      <c r="I55" s="2">
        <f>I11/'Output-Calculation-sheet'!I10*'Output-Calculation-sheet'!I46</f>
        <v>2066.6834542882921</v>
      </c>
      <c r="J55" s="2">
        <f>J11/'Output-Calculation-sheet'!J10*'Output-Calculation-sheet'!J46</f>
        <v>1499.9146010161339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1480.5380405312155</v>
      </c>
      <c r="M55" s="2">
        <f>M11/'Output-Calculation-sheet'!M10*'Output-Calculation-sheet'!M46</f>
        <v>19375.209414817225</v>
      </c>
      <c r="N55" s="2">
        <f>N11/'Output-Calculation-sheet'!N10*'Output-Calculation-sheet'!N46</f>
        <v>14777.553589519393</v>
      </c>
      <c r="O55" s="2">
        <f>O11/'Output-Calculation-sheet'!O10*'Output-Calculation-sheet'!O46</f>
        <v>327.78008936880349</v>
      </c>
      <c r="P55" s="2">
        <f>P11/'Output-Calculation-sheet'!P10*'Output-Calculation-sheet'!P46</f>
        <v>5493.1678264447883</v>
      </c>
      <c r="Q55" s="2">
        <f>Q11/'Output-Calculation-sheet'!Q10*'Output-Calculation-sheet'!Q46</f>
        <v>3231.3445284936088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7262.895311461054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1683.2593367659399</v>
      </c>
      <c r="V55" s="2">
        <f>V11/'Output-Calculation-sheet'!V10*'Output-Calculation-sheet'!V46</f>
        <v>681.42144620542729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1982.6875250428193</v>
      </c>
      <c r="Y55" s="2">
        <f>Y11/'Output-Calculation-sheet'!Y10*'Output-Calculation-sheet'!Y46</f>
        <v>516.16677271100093</v>
      </c>
      <c r="AA55" s="2">
        <f t="shared" si="3"/>
        <v>289.01074121741726</v>
      </c>
    </row>
    <row r="56" spans="1:27" x14ac:dyDescent="0.25">
      <c r="A56" s="2">
        <v>2035</v>
      </c>
      <c r="B56" s="2">
        <f>B12/'Output-Calculation-sheet'!B11*'Output-Calculation-sheet'!B47</f>
        <v>110091.62133455425</v>
      </c>
      <c r="C56" s="2">
        <f>C12/'Output-Calculation-sheet'!C11*'Output-Calculation-sheet'!C47</f>
        <v>72340.157330986622</v>
      </c>
      <c r="D56" s="2">
        <f>D12/'Output-Calculation-sheet'!D11*'Output-Calculation-sheet'!D47</f>
        <v>8797.4175541216064</v>
      </c>
      <c r="E56" s="2">
        <f>E12/'Output-Calculation-sheet'!E11*'Output-Calculation-sheet'!E47</f>
        <v>24708.951410268361</v>
      </c>
      <c r="F56" s="2">
        <f>F12/'Output-Calculation-sheet'!F11*'Output-Calculation-sheet'!F47</f>
        <v>3048.0848852350591</v>
      </c>
      <c r="G56" s="2">
        <f>G12/'Output-Calculation-sheet'!G11*'Output-Calculation-sheet'!G47</f>
        <v>6885.4313312365439</v>
      </c>
      <c r="H56" s="2">
        <f>H12/'Output-Calculation-sheet'!H11*'Output-Calculation-sheet'!H47</f>
        <v>26298.432012148103</v>
      </c>
      <c r="I56" s="2">
        <f>I12/'Output-Calculation-sheet'!I11*'Output-Calculation-sheet'!I47</f>
        <v>3483.5818457655078</v>
      </c>
      <c r="J56" s="2">
        <f>J12/'Output-Calculation-sheet'!J11*'Output-Calculation-sheet'!J47</f>
        <v>3160.3021156049449</v>
      </c>
      <c r="K56" s="2">
        <f>K12/'Output-Calculation-sheet'!K11*'Output-Calculation-sheet'!K47</f>
        <v>4565.0834807998963</v>
      </c>
      <c r="L56" s="2">
        <f>L12/'Output-Calculation-sheet'!L11*'Output-Calculation-sheet'!L47</f>
        <v>2520.788633966009</v>
      </c>
      <c r="M56" s="2">
        <f>M12/'Output-Calculation-sheet'!M11*'Output-Calculation-sheet'!M47</f>
        <v>18334.942159053786</v>
      </c>
      <c r="N56" s="2">
        <f>N12/'Output-Calculation-sheet'!N11*'Output-Calculation-sheet'!N47</f>
        <v>14002.741091987531</v>
      </c>
      <c r="O56" s="2">
        <f>O12/'Output-Calculation-sheet'!O11*'Output-Calculation-sheet'!O47</f>
        <v>1315.4832874626406</v>
      </c>
      <c r="P56" s="2">
        <f>P12/'Output-Calculation-sheet'!P11*'Output-Calculation-sheet'!P47</f>
        <v>7271.0792753109226</v>
      </c>
      <c r="Q56" s="2">
        <f>Q12/'Output-Calculation-sheet'!Q11*'Output-Calculation-sheet'!Q47</f>
        <v>3684.6692710524089</v>
      </c>
      <c r="R56" s="2">
        <f>R12/'Output-Calculation-sheet'!R11*'Output-Calculation-sheet'!R47</f>
        <v>5368.7800807051199</v>
      </c>
      <c r="S56" s="2">
        <f>S12/'Output-Calculation-sheet'!S11*'Output-Calculation-sheet'!S47</f>
        <v>7111.0196639473552</v>
      </c>
      <c r="T56" s="2">
        <f>T12/'Output-Calculation-sheet'!T11*'Output-Calculation-sheet'!T47</f>
        <v>1880.5275248378766</v>
      </c>
      <c r="U56" s="2">
        <f>U12/'Output-Calculation-sheet'!U11*'Output-Calculation-sheet'!U47</f>
        <v>1799.5748049528227</v>
      </c>
      <c r="V56" s="2">
        <f>V12/'Output-Calculation-sheet'!V11*'Output-Calculation-sheet'!V47</f>
        <v>1255.9619561358938</v>
      </c>
      <c r="W56" s="2">
        <f>W12/'Output-Calculation-sheet'!W11*'Output-Calculation-sheet'!W47</f>
        <v>714.81323511139396</v>
      </c>
      <c r="X56" s="2">
        <f>X12/'Output-Calculation-sheet'!X11*'Output-Calculation-sheet'!X47</f>
        <v>1893.3799109632284</v>
      </c>
      <c r="Y56" s="2">
        <f>Y12/'Output-Calculation-sheet'!Y11*'Output-Calculation-sheet'!Y47</f>
        <v>969.24819715703393</v>
      </c>
      <c r="AA56" s="2">
        <f t="shared" si="3"/>
        <v>331.50207239336493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8.1369621704878892</v>
      </c>
      <c r="C63" s="2">
        <f>C8*'Output-Calculation-sheet'!C52/10^9</f>
        <v>4.1244371399476956</v>
      </c>
      <c r="D63" s="2">
        <f>D8*'Output-Calculation-sheet'!D52/10^9</f>
        <v>1.4408496358005336</v>
      </c>
      <c r="E63" s="2">
        <f>E8*'Output-Calculation-sheet'!E52/10^9</f>
        <v>1.8552216621310311</v>
      </c>
      <c r="F63" s="2">
        <f>F8*'Output-Calculation-sheet'!F52/10^9</f>
        <v>0.77168375702277003</v>
      </c>
      <c r="G63" s="2">
        <f>G8*'Output-Calculation-sheet'!G52/10^9</f>
        <v>0.55370145390123293</v>
      </c>
      <c r="H63" s="2">
        <f>H8*'Output-Calculation-sheet'!H52/10^9</f>
        <v>1.0695885501443407</v>
      </c>
      <c r="I63" s="2">
        <f>I8*'Output-Calculation-sheet'!I52/10^9</f>
        <v>0.49635792141434637</v>
      </c>
      <c r="J63" s="2">
        <f>J8*'Output-Calculation-sheet'!J52/10^9</f>
        <v>0.53360416424143597</v>
      </c>
      <c r="K63" s="2">
        <f>K8*'Output-Calculation-sheet'!K52/10^9</f>
        <v>0.54490276903034596</v>
      </c>
      <c r="L63" s="2">
        <f>L8*'Output-Calculation-sheet'!L52/10^9</f>
        <v>0.56670477005845621</v>
      </c>
      <c r="M63" s="2">
        <f>M8*'Output-Calculation-sheet'!M52/10^9</f>
        <v>0.80878133440320155</v>
      </c>
      <c r="N63" s="2">
        <f>N8*'Output-Calculation-sheet'!N52/10^9</f>
        <v>0.68332682595412697</v>
      </c>
      <c r="O63" s="2">
        <f>O8*'Output-Calculation-sheet'!O52/10^9</f>
        <v>0.7078838793583021</v>
      </c>
      <c r="P63" s="2">
        <f>P8*'Output-Calculation-sheet'!P52/10^9</f>
        <v>0.58667526222852417</v>
      </c>
      <c r="Q63" s="2">
        <f>Q8*'Output-Calculation-sheet'!Q52/10^9</f>
        <v>0.55499014822692083</v>
      </c>
      <c r="R63" s="2">
        <f>R8*'Output-Calculation-sheet'!R52/10^9</f>
        <v>0.4675467474020375</v>
      </c>
      <c r="S63" s="2">
        <f>S8*'Output-Calculation-sheet'!S52/10^9</f>
        <v>0.42988013650949747</v>
      </c>
      <c r="T63" s="2">
        <f>T8*'Output-Calculation-sheet'!T52/10^9</f>
        <v>0.1531010452795781</v>
      </c>
      <c r="U63" s="2">
        <f>U8*'Output-Calculation-sheet'!U52/10^9</f>
        <v>0.15018144192408325</v>
      </c>
      <c r="V63" s="2">
        <f>V8*'Output-Calculation-sheet'!V52/10^9</f>
        <v>0.13460255870150759</v>
      </c>
      <c r="W63" s="2">
        <f>W8*'Output-Calculation-sheet'!W52/10^9</f>
        <v>7.02647705758912E-2</v>
      </c>
      <c r="X63" s="2">
        <f>X8*'Output-Calculation-sheet'!X52/10^9</f>
        <v>0.11354938078928606</v>
      </c>
      <c r="Y63" s="2">
        <f>Y8*'Output-Calculation-sheet'!Y52/10^9</f>
        <v>5.8566495940691729E-2</v>
      </c>
      <c r="AA63" s="2">
        <f t="shared" si="4"/>
        <v>25.013364021473731</v>
      </c>
    </row>
    <row r="64" spans="1:27" x14ac:dyDescent="0.25">
      <c r="A64" s="2">
        <v>2032</v>
      </c>
      <c r="B64" s="2">
        <f>B9*'Output-Calculation-sheet'!B53/10^9</f>
        <v>8.9223191214191644</v>
      </c>
      <c r="C64" s="2">
        <f>C9*'Output-Calculation-sheet'!C53/10^9</f>
        <v>4.5184702833710242</v>
      </c>
      <c r="D64" s="2">
        <f>D9*'Output-Calculation-sheet'!D53/10^9</f>
        <v>1.5827562986146739</v>
      </c>
      <c r="E64" s="2">
        <f>E9*'Output-Calculation-sheet'!E53/10^9</f>
        <v>2.0382040006732591</v>
      </c>
      <c r="F64" s="2">
        <f>F9*'Output-Calculation-sheet'!F53/10^9</f>
        <v>0.847059791729871</v>
      </c>
      <c r="G64" s="2">
        <f>G9*'Output-Calculation-sheet'!G53/10^9</f>
        <v>0.60810423249683698</v>
      </c>
      <c r="H64" s="2">
        <f>H9*'Output-Calculation-sheet'!H53/10^9</f>
        <v>1.170330748872743</v>
      </c>
      <c r="I64" s="2">
        <f>I9*'Output-Calculation-sheet'!I53/10^9</f>
        <v>0.54518989175885368</v>
      </c>
      <c r="J64" s="2">
        <f>J9*'Output-Calculation-sheet'!J53/10^9</f>
        <v>0.58591874925709231</v>
      </c>
      <c r="K64" s="2">
        <f>K9*'Output-Calculation-sheet'!K53/10^9</f>
        <v>0.59868234081098359</v>
      </c>
      <c r="L64" s="2">
        <f>L9*'Output-Calculation-sheet'!L53/10^9</f>
        <v>0.62244415458871927</v>
      </c>
      <c r="M64" s="2">
        <f>M9*'Output-Calculation-sheet'!M53/10^9</f>
        <v>0.88517356754703602</v>
      </c>
      <c r="N64" s="2">
        <f>N9*'Output-Calculation-sheet'!N53/10^9</f>
        <v>0.74869347970267452</v>
      </c>
      <c r="O64" s="2">
        <f>O9*'Output-Calculation-sheet'!O53/10^9</f>
        <v>0.77575609559689429</v>
      </c>
      <c r="P64" s="2">
        <f>P9*'Output-Calculation-sheet'!P53/10^9</f>
        <v>0.6449545323742143</v>
      </c>
      <c r="Q64" s="2">
        <f>Q9*'Output-Calculation-sheet'!Q53/10^9</f>
        <v>0.61002941033333224</v>
      </c>
      <c r="R64" s="2">
        <f>R9*'Output-Calculation-sheet'!R53/10^9</f>
        <v>0.51308628033564552</v>
      </c>
      <c r="S64" s="2">
        <f>S9*'Output-Calculation-sheet'!S53/10^9</f>
        <v>0.47142549973099301</v>
      </c>
      <c r="T64" s="2">
        <f>T9*'Output-Calculation-sheet'!T53/10^9</f>
        <v>0.1676448640115176</v>
      </c>
      <c r="U64" s="2">
        <f>U9*'Output-Calculation-sheet'!U53/10^9</f>
        <v>0.16503850174928827</v>
      </c>
      <c r="V64" s="2">
        <f>V9*'Output-Calculation-sheet'!V53/10^9</f>
        <v>0.14690152376502358</v>
      </c>
      <c r="W64" s="2">
        <f>W9*'Output-Calculation-sheet'!W53/10^9</f>
        <v>7.7138215527258594E-2</v>
      </c>
      <c r="X64" s="2">
        <f>X9*'Output-Calculation-sheet'!X53/10^9</f>
        <v>0.12436275755529219</v>
      </c>
      <c r="Y64" s="2">
        <f>Y9*'Output-Calculation-sheet'!Y53/10^9</f>
        <v>6.4362766840565078E-2</v>
      </c>
      <c r="AA64" s="2">
        <f t="shared" si="4"/>
        <v>27.434047108662959</v>
      </c>
    </row>
    <row r="65" spans="1:27" x14ac:dyDescent="0.25">
      <c r="A65" s="2">
        <v>2033</v>
      </c>
      <c r="B65" s="2">
        <f>B10*'Output-Calculation-sheet'!B54/10^9</f>
        <v>9.3140469317520136</v>
      </c>
      <c r="C65" s="2">
        <f>C10*'Output-Calculation-sheet'!C54/10^9</f>
        <v>6.1214174533572132</v>
      </c>
      <c r="D65" s="2">
        <f>D10*'Output-Calculation-sheet'!D54/10^9</f>
        <v>1.6601936232997467</v>
      </c>
      <c r="E65" s="2">
        <f>E10*'Output-Calculation-sheet'!E54/10^9</f>
        <v>2.1142895247110678</v>
      </c>
      <c r="F65" s="2">
        <f>F10*'Output-Calculation-sheet'!F54/10^9</f>
        <v>0.90852845197444332</v>
      </c>
      <c r="G65" s="2">
        <f>G10*'Output-Calculation-sheet'!G54/10^9</f>
        <v>0.64682741265032451</v>
      </c>
      <c r="H65" s="2">
        <f>H10*'Output-Calculation-sheet'!H54/10^9</f>
        <v>1.5198658861303727</v>
      </c>
      <c r="I65" s="2">
        <f>I10*'Output-Calculation-sheet'!I54/10^9</f>
        <v>0.56713247986287918</v>
      </c>
      <c r="J65" s="2">
        <f>J10*'Output-Calculation-sheet'!J54/10^9</f>
        <v>0.67100776644804105</v>
      </c>
      <c r="K65" s="2">
        <f>K10*'Output-Calculation-sheet'!K54/10^9</f>
        <v>0.62789310319512437</v>
      </c>
      <c r="L65" s="2">
        <f>L10*'Output-Calculation-sheet'!L54/10^9</f>
        <v>0.64756593612190416</v>
      </c>
      <c r="M65" s="2">
        <f>M10*'Output-Calculation-sheet'!M54/10^9</f>
        <v>1.0807195675621495</v>
      </c>
      <c r="N65" s="2">
        <f>N10*'Output-Calculation-sheet'!N54/10^9</f>
        <v>0.92088437461126449</v>
      </c>
      <c r="O65" s="2">
        <f>O10*'Output-Calculation-sheet'!O54/10^9</f>
        <v>1.0715053033932802</v>
      </c>
      <c r="P65" s="2">
        <f>P10*'Output-Calculation-sheet'!P54/10^9</f>
        <v>0.67931115537294129</v>
      </c>
      <c r="Q65" s="2">
        <f>Q10*'Output-Calculation-sheet'!Q54/10^9</f>
        <v>0.6703409512095907</v>
      </c>
      <c r="R65" s="2">
        <f>R10*'Output-Calculation-sheet'!R54/10^9</f>
        <v>0.53141815678909665</v>
      </c>
      <c r="S65" s="2">
        <f>S10*'Output-Calculation-sheet'!S54/10^9</f>
        <v>0.5333606424694437</v>
      </c>
      <c r="T65" s="2">
        <f>T10*'Output-Calculation-sheet'!T54/10^9</f>
        <v>0.17995834909705907</v>
      </c>
      <c r="U65" s="2">
        <f>U10*'Output-Calculation-sheet'!U54/10^9</f>
        <v>0.17283811662066276</v>
      </c>
      <c r="V65" s="2">
        <f>V10*'Output-Calculation-sheet'!V54/10^9</f>
        <v>0.20364330983217355</v>
      </c>
      <c r="W65" s="2">
        <f>W10*'Output-Calculation-sheet'!W54/10^9</f>
        <v>8.7033144811633795E-2</v>
      </c>
      <c r="X65" s="2">
        <f>X10*'Output-Calculation-sheet'!X54/10^9</f>
        <v>0.13990265490410098</v>
      </c>
      <c r="Y65" s="2">
        <f>Y10*'Output-Calculation-sheet'!Y54/10^9</f>
        <v>6.7515476688267892E-2</v>
      </c>
      <c r="AA65" s="2">
        <f t="shared" si="4"/>
        <v>31.1371997728648</v>
      </c>
    </row>
    <row r="66" spans="1:27" x14ac:dyDescent="0.25">
      <c r="A66" s="2">
        <v>2034</v>
      </c>
      <c r="B66" s="2">
        <f>B11*'Output-Calculation-sheet'!B55/10^9</f>
        <v>9.4993706423763538</v>
      </c>
      <c r="C66" s="2">
        <f>C11*'Output-Calculation-sheet'!C55/10^9</f>
        <v>6.3132767678256982</v>
      </c>
      <c r="D66" s="2">
        <f>D11*'Output-Calculation-sheet'!D55/10^9</f>
        <v>1.7185938381220625</v>
      </c>
      <c r="E66" s="2">
        <f>E11*'Output-Calculation-sheet'!E55/10^9</f>
        <v>2.2258535384016924</v>
      </c>
      <c r="F66" s="2">
        <f>F11*'Output-Calculation-sheet'!F55/10^9</f>
        <v>0.87598163590578371</v>
      </c>
      <c r="G66" s="2">
        <f>G11*'Output-Calculation-sheet'!G55/10^9</f>
        <v>0.63906393704824294</v>
      </c>
      <c r="H66" s="2">
        <f>H11*'Output-Calculation-sheet'!H55/10^9</f>
        <v>1.5948377828632345</v>
      </c>
      <c r="I66" s="2">
        <f>I11*'Output-Calculation-sheet'!I55/10^9</f>
        <v>0.59408359699914726</v>
      </c>
      <c r="J66" s="2">
        <f>J11*'Output-Calculation-sheet'!J55/10^9</f>
        <v>0.59815793369132064</v>
      </c>
      <c r="K66" s="2">
        <f>K11*'Output-Calculation-sheet'!K55/10^9</f>
        <v>0.68105657093717842</v>
      </c>
      <c r="L66" s="2">
        <f>L11*'Output-Calculation-sheet'!L55/10^9</f>
        <v>0.66027578711102775</v>
      </c>
      <c r="M66" s="2">
        <f>M11*'Output-Calculation-sheet'!M55/10^9</f>
        <v>1.1208709998988318</v>
      </c>
      <c r="N66" s="2">
        <f>N11*'Output-Calculation-sheet'!N55/10^9</f>
        <v>0.97439468784161587</v>
      </c>
      <c r="O66" s="2">
        <f>O11*'Output-Calculation-sheet'!O55/10^9</f>
        <v>1.1109420328581339</v>
      </c>
      <c r="P66" s="2">
        <f>P11*'Output-Calculation-sheet'!P55/10^9</f>
        <v>0.71238028774760098</v>
      </c>
      <c r="Q66" s="2">
        <f>Q11*'Output-Calculation-sheet'!Q55/10^9</f>
        <v>0.73275735050346147</v>
      </c>
      <c r="R66" s="2">
        <f>R11*'Output-Calculation-sheet'!R55/10^9</f>
        <v>0.54215354226635915</v>
      </c>
      <c r="S66" s="2">
        <f>S11*'Output-Calculation-sheet'!S55/10^9</f>
        <v>0.56278876545078971</v>
      </c>
      <c r="T66" s="2">
        <f>T11*'Output-Calculation-sheet'!T55/10^9</f>
        <v>0.16986754949707686</v>
      </c>
      <c r="U66" s="2">
        <f>U11*'Output-Calculation-sheet'!U55/10^9</f>
        <v>0.1848783977128835</v>
      </c>
      <c r="V66" s="2">
        <f>V11*'Output-Calculation-sheet'!V55/10^9</f>
        <v>0.16054053129744933</v>
      </c>
      <c r="W66" s="2">
        <f>W11*'Output-Calculation-sheet'!W55/10^9</f>
        <v>7.8649426086981292E-2</v>
      </c>
      <c r="X66" s="2">
        <f>X11*'Output-Calculation-sheet'!X55/10^9</f>
        <v>0.14697080045580957</v>
      </c>
      <c r="Y66" s="2">
        <f>Y11*'Output-Calculation-sheet'!Y55/10^9</f>
        <v>7.5463659347166728E-2</v>
      </c>
      <c r="AA66" s="2">
        <f t="shared" si="4"/>
        <v>31.973210062245908</v>
      </c>
    </row>
    <row r="67" spans="1:27" x14ac:dyDescent="0.25">
      <c r="A67" s="2">
        <v>2035</v>
      </c>
      <c r="B67" s="2">
        <f>B12*'Output-Calculation-sheet'!B56/10^9</f>
        <v>9.7483936136933238</v>
      </c>
      <c r="C67" s="2">
        <f>C12*'Output-Calculation-sheet'!C56/10^9</f>
        <v>6.1602575580340542</v>
      </c>
      <c r="D67" s="2">
        <f>D12*'Output-Calculation-sheet'!D56/10^9</f>
        <v>1.9335902294472174</v>
      </c>
      <c r="E67" s="2">
        <f>E12*'Output-Calculation-sheet'!E56/10^9</f>
        <v>2.6442924247031847</v>
      </c>
      <c r="F67" s="2">
        <f>F12*'Output-Calculation-sheet'!F56/10^9</f>
        <v>1.0363868767190654</v>
      </c>
      <c r="G67" s="2">
        <f>G12*'Output-Calculation-sheet'!G56/10^9</f>
        <v>0.76467597629604689</v>
      </c>
      <c r="H67" s="2">
        <f>H12*'Output-Calculation-sheet'!H56/10^9</f>
        <v>1.6260113407306644</v>
      </c>
      <c r="I67" s="2">
        <f>I12*'Output-Calculation-sheet'!I56/10^9</f>
        <v>0.70063157644342144</v>
      </c>
      <c r="J67" s="2">
        <f>J12*'Output-Calculation-sheet'!J56/10^9</f>
        <v>0.64095869553688722</v>
      </c>
      <c r="K67" s="2">
        <f>K12*'Output-Calculation-sheet'!K56/10^9</f>
        <v>0.76794876916607069</v>
      </c>
      <c r="L67" s="2">
        <f>L12*'Output-Calculation-sheet'!L56/10^9</f>
        <v>0.71595857238237248</v>
      </c>
      <c r="M67" s="2">
        <f>M12*'Output-Calculation-sheet'!M56/10^9</f>
        <v>1.1504826238943087</v>
      </c>
      <c r="N67" s="2">
        <f>N12*'Output-Calculation-sheet'!N56/10^9</f>
        <v>0.98261881629420278</v>
      </c>
      <c r="O67" s="2">
        <f>O12*'Output-Calculation-sheet'!O56/10^9</f>
        <v>1.0868172918213304</v>
      </c>
      <c r="P67" s="2">
        <f>P12*'Output-Calculation-sheet'!P56/10^9</f>
        <v>0.79741763599870663</v>
      </c>
      <c r="Q67" s="2">
        <f>Q12*'Output-Calculation-sheet'!Q56/10^9</f>
        <v>0.7532807657289694</v>
      </c>
      <c r="R67" s="2">
        <f>R12*'Output-Calculation-sheet'!R56/10^9</f>
        <v>0.59150635482855207</v>
      </c>
      <c r="S67" s="2">
        <f>S12*'Output-Calculation-sheet'!S56/10^9</f>
        <v>0.57100475563326025</v>
      </c>
      <c r="T67" s="2">
        <f>T12*'Output-Calculation-sheet'!T56/10^9</f>
        <v>0.18393460539649217</v>
      </c>
      <c r="U67" s="2">
        <f>U12*'Output-Calculation-sheet'!U56/10^9</f>
        <v>0.19885960593898072</v>
      </c>
      <c r="V67" s="2">
        <f>V12*'Output-Calculation-sheet'!V56/10^9</f>
        <v>0.14196142531925557</v>
      </c>
      <c r="W67" s="2">
        <f>W12*'Output-Calculation-sheet'!W56/10^9</f>
        <v>9.6265971973860165E-2</v>
      </c>
      <c r="X67" s="2">
        <f>X12*'Output-Calculation-sheet'!X56/10^9</f>
        <v>0.14943963490334836</v>
      </c>
      <c r="Y67" s="2">
        <f>Y12*'Output-Calculation-sheet'!Y56/10^9</f>
        <v>8.9825928748922965E-2</v>
      </c>
      <c r="AA67" s="2">
        <f t="shared" si="4"/>
        <v>33.532521049632486</v>
      </c>
    </row>
    <row r="68" spans="1:27" x14ac:dyDescent="0.25">
      <c r="B68" s="2">
        <f>SUM(B60:B67)</f>
        <v>62.074895967479087</v>
      </c>
      <c r="C68" s="2">
        <f t="shared" ref="C68:Y68" si="5">SUM(C60:C67)</f>
        <v>35.565096208216254</v>
      </c>
      <c r="D68" s="2">
        <f t="shared" si="5"/>
        <v>11.245981679537941</v>
      </c>
      <c r="E68" s="2">
        <f t="shared" si="5"/>
        <v>14.623367857273033</v>
      </c>
      <c r="F68" s="2">
        <f t="shared" si="5"/>
        <v>6.0011448289599212</v>
      </c>
      <c r="G68" s="2">
        <f t="shared" si="5"/>
        <v>4.330340760058184</v>
      </c>
      <c r="H68" s="2">
        <f t="shared" si="5"/>
        <v>9.1454542735158153</v>
      </c>
      <c r="I68" s="2">
        <f t="shared" si="5"/>
        <v>3.9060867697543378</v>
      </c>
      <c r="J68" s="2">
        <f t="shared" si="5"/>
        <v>4.1079362278264027</v>
      </c>
      <c r="K68" s="2">
        <f t="shared" si="5"/>
        <v>4.3203984017860098</v>
      </c>
      <c r="L68" s="2">
        <f t="shared" si="5"/>
        <v>4.3578537142630926</v>
      </c>
      <c r="M68" s="2">
        <f t="shared" si="5"/>
        <v>6.682247099392379</v>
      </c>
      <c r="N68" s="2">
        <f t="shared" si="5"/>
        <v>5.690714193390602</v>
      </c>
      <c r="O68" s="2">
        <f t="shared" si="5"/>
        <v>6.1779167525027239</v>
      </c>
      <c r="P68" s="2">
        <f t="shared" si="5"/>
        <v>4.6030866692082286</v>
      </c>
      <c r="Q68" s="2">
        <f t="shared" si="5"/>
        <v>4.4403731287912285</v>
      </c>
      <c r="R68" s="2">
        <f t="shared" si="5"/>
        <v>3.5906702724432638</v>
      </c>
      <c r="S68" s="2">
        <f t="shared" si="5"/>
        <v>3.436477472752943</v>
      </c>
      <c r="T68" s="2">
        <f t="shared" si="5"/>
        <v>1.1663966590743444</v>
      </c>
      <c r="U68" s="2">
        <f t="shared" si="5"/>
        <v>1.1744839807999365</v>
      </c>
      <c r="V68" s="2">
        <f t="shared" si="5"/>
        <v>1.0657904599745713</v>
      </c>
      <c r="W68" s="2">
        <f t="shared" si="5"/>
        <v>0.55148930930156859</v>
      </c>
      <c r="X68" s="2">
        <f t="shared" si="5"/>
        <v>0.90365932428732454</v>
      </c>
      <c r="Y68" s="2">
        <f t="shared" si="5"/>
        <v>0.47387925148316751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61.741828969809617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54.959525554679885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218.06693744466986</v>
      </c>
      <c r="S74" s="2">
        <f>S8/'Output-Calculation-sheet'!S7*'Output-Calculation-sheet'!S61</f>
        <v>0</v>
      </c>
      <c r="T74" s="2">
        <f>T8/'Output-Calculation-sheet'!T7*'Output-Calculation-sheet'!T61</f>
        <v>160.64446157209505</v>
      </c>
      <c r="U74" s="2">
        <f>U8/'Output-Calculation-sheet'!U7*'Output-Calculation-sheet'!U61</f>
        <v>20.349905033079068</v>
      </c>
      <c r="V74" s="2">
        <f>V8/'Output-Calculation-sheet'!V7*'Output-Calculation-sheet'!V61</f>
        <v>184.39679066943455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0.70015944924376794</v>
      </c>
    </row>
    <row r="75" spans="1:27" x14ac:dyDescent="0.25">
      <c r="A75" s="2">
        <v>2032</v>
      </c>
      <c r="B75" s="2">
        <f>B9/'Output-Calculation-sheet'!B8*'Output-Calculation-sheet'!B62</f>
        <v>672.08255877325337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136.30415244458879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109.20803672134642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288.96161536323365</v>
      </c>
      <c r="S75" s="2">
        <f>S9/'Output-Calculation-sheet'!S8*'Output-Calculation-sheet'!S62</f>
        <v>0</v>
      </c>
      <c r="T75" s="2">
        <f>T9/'Output-Calculation-sheet'!T8*'Output-Calculation-sheet'!T62</f>
        <v>190.86599383410046</v>
      </c>
      <c r="U75" s="2">
        <f>U9/'Output-Calculation-sheet'!U8*'Output-Calculation-sheet'!U62</f>
        <v>39.015491076112191</v>
      </c>
      <c r="V75" s="2">
        <f>V9/'Output-Calculation-sheet'!V8*'Output-Calculation-sheet'!V62</f>
        <v>204.45886998623416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1.6408967181988687</v>
      </c>
    </row>
    <row r="76" spans="1:27" x14ac:dyDescent="0.25">
      <c r="A76" s="2">
        <v>2033</v>
      </c>
      <c r="B76" s="2">
        <f>B10/'Output-Calculation-sheet'!B9*'Output-Calculation-sheet'!B63</f>
        <v>6620.1644505991808</v>
      </c>
      <c r="C76" s="2">
        <f>C10/'Output-Calculation-sheet'!C9*'Output-Calculation-sheet'!C63</f>
        <v>13521.402013725334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4311.1073926475092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2935.4268764132426</v>
      </c>
      <c r="N76" s="2">
        <f>N10/'Output-Calculation-sheet'!N9*'Output-Calculation-sheet'!N63</f>
        <v>1676.8458057316432</v>
      </c>
      <c r="O76" s="2">
        <f>O10/'Output-Calculation-sheet'!O9*'Output-Calculation-sheet'!O63</f>
        <v>0</v>
      </c>
      <c r="P76" s="2">
        <f>P10/'Output-Calculation-sheet'!P9*'Output-Calculation-sheet'!P63</f>
        <v>582.28642169524051</v>
      </c>
      <c r="Q76" s="2">
        <f>Q10/'Output-Calculation-sheet'!Q9*'Output-Calculation-sheet'!Q63</f>
        <v>262.63457658436369</v>
      </c>
      <c r="R76" s="2">
        <f>R10/'Output-Calculation-sheet'!R9*'Output-Calculation-sheet'!R63</f>
        <v>443.79534890116497</v>
      </c>
      <c r="S76" s="2">
        <f>S10/'Output-Calculation-sheet'!S9*'Output-Calculation-sheet'!S63</f>
        <v>745.65419238767038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156.82196175141374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345.66737296414902</v>
      </c>
      <c r="Y76" s="2">
        <f>Y10/'Output-Calculation-sheet'!Y9*'Output-Calculation-sheet'!Y63</f>
        <v>6.5577532558606864</v>
      </c>
      <c r="AA76" s="2">
        <f t="shared" si="6"/>
        <v>31.76357640361886</v>
      </c>
    </row>
    <row r="77" spans="1:27" x14ac:dyDescent="0.25">
      <c r="A77" s="2">
        <v>2034</v>
      </c>
      <c r="B77" s="2">
        <f>B11/'Output-Calculation-sheet'!B10*'Output-Calculation-sheet'!B64</f>
        <v>15828.748923163073</v>
      </c>
      <c r="C77" s="2">
        <f>C11/'Output-Calculation-sheet'!C10*'Output-Calculation-sheet'!C64</f>
        <v>13904.924626623104</v>
      </c>
      <c r="D77" s="2">
        <f>D11/'Output-Calculation-sheet'!D10*'Output-Calculation-sheet'!D64</f>
        <v>1950.9689968840598</v>
      </c>
      <c r="E77" s="2">
        <f>E11/'Output-Calculation-sheet'!E10*'Output-Calculation-sheet'!E64</f>
        <v>2410.7198921679101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1030.1168868336786</v>
      </c>
      <c r="H77" s="2">
        <f>H11/'Output-Calculation-sheet'!H10*'Output-Calculation-sheet'!H64</f>
        <v>5103.6922169091331</v>
      </c>
      <c r="I77" s="2">
        <f>I11/'Output-Calculation-sheet'!I10*'Output-Calculation-sheet'!I64</f>
        <v>607.70826973347232</v>
      </c>
      <c r="J77" s="2">
        <f>J11/'Output-Calculation-sheet'!J10*'Output-Calculation-sheet'!J64</f>
        <v>433.2026079480234</v>
      </c>
      <c r="K77" s="2">
        <f>K11/'Output-Calculation-sheet'!K10*'Output-Calculation-sheet'!K64</f>
        <v>918.48587554738151</v>
      </c>
      <c r="L77" s="2">
        <f>L11/'Output-Calculation-sheet'!L10*'Output-Calculation-sheet'!L64</f>
        <v>398.80311037218104</v>
      </c>
      <c r="M77" s="2">
        <f>M11/'Output-Calculation-sheet'!M10*'Output-Calculation-sheet'!M64</f>
        <v>3630.0054729860663</v>
      </c>
      <c r="N77" s="2">
        <f>N11/'Output-Calculation-sheet'!N10*'Output-Calculation-sheet'!N64</f>
        <v>2582.6597435509962</v>
      </c>
      <c r="O77" s="2">
        <f>O11/'Output-Calculation-sheet'!O10*'Output-Calculation-sheet'!O64</f>
        <v>90.045873122315584</v>
      </c>
      <c r="P77" s="2">
        <f>P11/'Output-Calculation-sheet'!P10*'Output-Calculation-sheet'!P64</f>
        <v>1139.8902687955895</v>
      </c>
      <c r="Q77" s="2">
        <f>Q11/'Output-Calculation-sheet'!Q10*'Output-Calculation-sheet'!Q64</f>
        <v>650.44547345663864</v>
      </c>
      <c r="R77" s="2">
        <f>R11/'Output-Calculation-sheet'!R10*'Output-Calculation-sheet'!R64</f>
        <v>975.44826142144746</v>
      </c>
      <c r="S77" s="2">
        <f>S11/'Output-Calculation-sheet'!S10*'Output-Calculation-sheet'!S64</f>
        <v>1304.2290323165262</v>
      </c>
      <c r="T77" s="2">
        <f>T11/'Output-Calculation-sheet'!T10*'Output-Calculation-sheet'!T64</f>
        <v>268.36066572640789</v>
      </c>
      <c r="U77" s="2">
        <f>U11/'Output-Calculation-sheet'!U10*'Output-Calculation-sheet'!U64</f>
        <v>356.68265346070268</v>
      </c>
      <c r="V77" s="2">
        <f>V11/'Output-Calculation-sheet'!V10*'Output-Calculation-sheet'!V64</f>
        <v>142.1845336681499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368.84708940457597</v>
      </c>
      <c r="Y77" s="2">
        <f>Y11/'Output-Calculation-sheet'!Y10*'Output-Calculation-sheet'!Y64</f>
        <v>89.307661454347894</v>
      </c>
      <c r="AA77" s="2">
        <f t="shared" si="6"/>
        <v>54.365621988105204</v>
      </c>
    </row>
    <row r="78" spans="1:27" x14ac:dyDescent="0.25">
      <c r="A78" s="2">
        <v>2035</v>
      </c>
      <c r="B78" s="2">
        <f>B12/'Output-Calculation-sheet'!B11*'Output-Calculation-sheet'!B65</f>
        <v>18865.851878890287</v>
      </c>
      <c r="C78" s="2">
        <f>C12/'Output-Calculation-sheet'!C11*'Output-Calculation-sheet'!C65</f>
        <v>13322.664450983311</v>
      </c>
      <c r="D78" s="2">
        <f>D12/'Output-Calculation-sheet'!D11*'Output-Calculation-sheet'!D65</f>
        <v>2002.9120533730272</v>
      </c>
      <c r="E78" s="2">
        <f>E12/'Output-Calculation-sheet'!E11*'Output-Calculation-sheet'!E65</f>
        <v>3807.4825673128316</v>
      </c>
      <c r="F78" s="2">
        <f>F12/'Output-Calculation-sheet'!F11*'Output-Calculation-sheet'!F65</f>
        <v>806.49327947039114</v>
      </c>
      <c r="G78" s="2">
        <f>G12/'Output-Calculation-sheet'!G11*'Output-Calculation-sheet'!G65</f>
        <v>1513.2887047683316</v>
      </c>
      <c r="H78" s="2">
        <f>H12/'Output-Calculation-sheet'!H11*'Output-Calculation-sheet'!H65</f>
        <v>4872.1927291621178</v>
      </c>
      <c r="I78" s="2">
        <f>I12/'Output-Calculation-sheet'!I11*'Output-Calculation-sheet'!I65</f>
        <v>889.86162926832253</v>
      </c>
      <c r="J78" s="2">
        <f>J12/'Output-Calculation-sheet'!J11*'Output-Calculation-sheet'!J65</f>
        <v>798.05608979922852</v>
      </c>
      <c r="K78" s="2">
        <f>K12/'Output-Calculation-sheet'!K11*'Output-Calculation-sheet'!K65</f>
        <v>1007.1081390142438</v>
      </c>
      <c r="L78" s="2">
        <f>L12/'Output-Calculation-sheet'!L11*'Output-Calculation-sheet'!L65</f>
        <v>598.81333999862534</v>
      </c>
      <c r="M78" s="2">
        <f>M12/'Output-Calculation-sheet'!M11*'Output-Calculation-sheet'!M65</f>
        <v>3468.1726378904827</v>
      </c>
      <c r="N78" s="2">
        <f>N12/'Output-Calculation-sheet'!N11*'Output-Calculation-sheet'!N65</f>
        <v>2438.6854360169827</v>
      </c>
      <c r="O78" s="2">
        <f>O12/'Output-Calculation-sheet'!O11*'Output-Calculation-sheet'!O65</f>
        <v>341.87218169008258</v>
      </c>
      <c r="P78" s="2">
        <f>P12/'Output-Calculation-sheet'!P11*'Output-Calculation-sheet'!P65</f>
        <v>1386.3669183021191</v>
      </c>
      <c r="Q78" s="2">
        <f>Q12/'Output-Calculation-sheet'!Q11*'Output-Calculation-sheet'!Q65</f>
        <v>697.32880573280113</v>
      </c>
      <c r="R78" s="2">
        <f>R12/'Output-Calculation-sheet'!R11*'Output-Calculation-sheet'!R65</f>
        <v>1149.4088639702757</v>
      </c>
      <c r="S78" s="2">
        <f>S12/'Output-Calculation-sheet'!S11*'Output-Calculation-sheet'!S65</f>
        <v>1296.7105971291273</v>
      </c>
      <c r="T78" s="2">
        <f>T12/'Output-Calculation-sheet'!T11*'Output-Calculation-sheet'!T65</f>
        <v>413.30067789860561</v>
      </c>
      <c r="U78" s="2">
        <f>U12/'Output-Calculation-sheet'!U11*'Output-Calculation-sheet'!U65</f>
        <v>354.12216910016895</v>
      </c>
      <c r="V78" s="2">
        <f>V12/'Output-Calculation-sheet'!V11*'Output-Calculation-sheet'!V65</f>
        <v>223.04972755682729</v>
      </c>
      <c r="W78" s="2">
        <f>W12/'Output-Calculation-sheet'!W11*'Output-Calculation-sheet'!W65</f>
        <v>157.10103886276428</v>
      </c>
      <c r="X78" s="2">
        <f>X12/'Output-Calculation-sheet'!X11*'Output-Calculation-sheet'!X65</f>
        <v>357.45544169470321</v>
      </c>
      <c r="Y78" s="2">
        <f>Y12/'Output-Calculation-sheet'!Y11*'Output-Calculation-sheet'!Y65</f>
        <v>153.34619975647644</v>
      </c>
      <c r="AA78" s="2">
        <f t="shared" si="6"/>
        <v>60.92164555764213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488.01393199282973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474.03989149886854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0.96205382349169821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964.12169470167726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37.098335540001841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25.527285131511498</v>
      </c>
      <c r="N88" s="2">
        <f>N11/'Output-Calculation-sheet'!N10*'Output-Calculation-sheet'!N73</f>
        <v>0</v>
      </c>
      <c r="O88" s="2">
        <f>O11/'Output-Calculation-sheet'!O10*'Output-Calculation-sheet'!O73</f>
        <v>538.49586110589144</v>
      </c>
      <c r="P88" s="2">
        <f>P11/'Output-Calculation-sheet'!P10*'Output-Calculation-sheet'!P73</f>
        <v>0</v>
      </c>
      <c r="Q88" s="2">
        <f>Q11/'Output-Calculation-sheet'!Q10*'Output-Calculation-sheet'!Q73</f>
        <v>21.981935567983733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2.8004061088175414</v>
      </c>
      <c r="Y88" s="2">
        <f>Y11/'Output-Calculation-sheet'!Y10*'Output-Calculation-sheet'!Y73</f>
        <v>0</v>
      </c>
      <c r="AA88" s="2">
        <f t="shared" si="7"/>
        <v>1.5900255181558831</v>
      </c>
    </row>
    <row r="89" spans="1:27" x14ac:dyDescent="0.25">
      <c r="A89" s="2">
        <v>2035</v>
      </c>
      <c r="B89" s="2">
        <f>B12/'Output-Calculation-sheet'!B11*'Output-Calculation-sheet'!B74</f>
        <v>475.55775954451082</v>
      </c>
      <c r="C89" s="2">
        <f>C12/'Output-Calculation-sheet'!C11*'Output-Calculation-sheet'!C74</f>
        <v>1467.1170753554229</v>
      </c>
      <c r="D89" s="2">
        <f>D12/'Output-Calculation-sheet'!D11*'Output-Calculation-sheet'!D74</f>
        <v>199.94130804821833</v>
      </c>
      <c r="E89" s="2">
        <f>E12/'Output-Calculation-sheet'!E11*'Output-Calculation-sheet'!E74</f>
        <v>158.9000090692499</v>
      </c>
      <c r="F89" s="2">
        <f>F12/'Output-Calculation-sheet'!F11*'Output-Calculation-sheet'!F74</f>
        <v>49.968604675984579</v>
      </c>
      <c r="G89" s="2">
        <f>G12/'Output-Calculation-sheet'!G11*'Output-Calculation-sheet'!G74</f>
        <v>71.723243033713999</v>
      </c>
      <c r="H89" s="2">
        <f>H12/'Output-Calculation-sheet'!H11*'Output-Calculation-sheet'!H74</f>
        <v>173.70166454523186</v>
      </c>
      <c r="I89" s="2">
        <f>I12/'Output-Calculation-sheet'!I11*'Output-Calculation-sheet'!I74</f>
        <v>64.510774921583476</v>
      </c>
      <c r="J89" s="2">
        <f>J12/'Output-Calculation-sheet'!J11*'Output-Calculation-sheet'!J74</f>
        <v>31.922243591969139</v>
      </c>
      <c r="K89" s="2">
        <f>K12/'Output-Calculation-sheet'!K11*'Output-Calculation-sheet'!K74</f>
        <v>63.403937233331888</v>
      </c>
      <c r="L89" s="2">
        <f>L12/'Output-Calculation-sheet'!L11*'Output-Calculation-sheet'!L74</f>
        <v>50.415772679320177</v>
      </c>
      <c r="M89" s="2">
        <f>M12/'Output-Calculation-sheet'!M11*'Output-Calculation-sheet'!M74</f>
        <v>95.618994310580362</v>
      </c>
      <c r="N89" s="2">
        <f>N12/'Output-Calculation-sheet'!N11*'Output-Calculation-sheet'!N74</f>
        <v>70.483596100608366</v>
      </c>
      <c r="O89" s="2">
        <f>O12/'Output-Calculation-sheet'!O11*'Output-Calculation-sheet'!O74</f>
        <v>570.04275790047768</v>
      </c>
      <c r="P89" s="2">
        <f>P12/'Output-Calculation-sheet'!P11*'Output-Calculation-sheet'!P74</f>
        <v>43.409428509318943</v>
      </c>
      <c r="Q89" s="2">
        <f>Q12/'Output-Calculation-sheet'!Q11*'Output-Calculation-sheet'!Q74</f>
        <v>61.754233593057137</v>
      </c>
      <c r="R89" s="2">
        <f>R12/'Output-Calculation-sheet'!R11*'Output-Calculation-sheet'!R74</f>
        <v>40.82722494832791</v>
      </c>
      <c r="S89" s="2">
        <f>S12/'Output-Calculation-sheet'!S11*'Output-Calculation-sheet'!S74</f>
        <v>40.403520817882701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13.135582517903815</v>
      </c>
      <c r="V89" s="2">
        <f>V12/'Output-Calculation-sheet'!V11*'Output-Calculation-sheet'!V74</f>
        <v>5.0643627263544104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15.734459093877245</v>
      </c>
      <c r="Y89" s="2">
        <f>Y12/'Output-Calculation-sheet'!Y11*'Output-Calculation-sheet'!Y74</f>
        <v>5.061348288026287</v>
      </c>
      <c r="AA89" s="2">
        <f t="shared" si="7"/>
        <v>3.7806355781524332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17867002300.325321</v>
      </c>
      <c r="C96" s="2">
        <f>C8/'Output-Calculation-sheet'!C7*'Output-Calculation-sheet'!C79</f>
        <v>2199238789.9200888</v>
      </c>
      <c r="D96" s="2">
        <f>D8/'Output-Calculation-sheet'!D7*'Output-Calculation-sheet'!D79</f>
        <v>7788177926.8164148</v>
      </c>
      <c r="E96" s="2">
        <f>E8/'Output-Calculation-sheet'!E7*'Output-Calculation-sheet'!E79</f>
        <v>13316024317.047138</v>
      </c>
      <c r="F96" s="2">
        <f>F8/'Output-Calculation-sheet'!F7*'Output-Calculation-sheet'!F79</f>
        <v>5992655360.9212856</v>
      </c>
      <c r="G96" s="2">
        <f>G8/'Output-Calculation-sheet'!G7*'Output-Calculation-sheet'!G79</f>
        <v>4551693908.4459381</v>
      </c>
      <c r="H96" s="2">
        <f>H8/'Output-Calculation-sheet'!H7*'Output-Calculation-sheet'!H79</f>
        <v>1324243017.1067915</v>
      </c>
      <c r="I96" s="2">
        <f>I8/'Output-Calculation-sheet'!I7*'Output-Calculation-sheet'!I79</f>
        <v>3053152846.1276307</v>
      </c>
      <c r="J96" s="2">
        <f>J8/'Output-Calculation-sheet'!J7*'Output-Calculation-sheet'!J79</f>
        <v>2262439169.1968307</v>
      </c>
      <c r="K96" s="2">
        <f>K8/'Output-Calculation-sheet'!K7*'Output-Calculation-sheet'!K79</f>
        <v>2615948450.5412149</v>
      </c>
      <c r="L96" s="2">
        <f>L8/'Output-Calculation-sheet'!L7*'Output-Calculation-sheet'!L79</f>
        <v>2080938926.1856217</v>
      </c>
      <c r="M96" s="2">
        <f>M8/'Output-Calculation-sheet'!M7*'Output-Calculation-sheet'!M79</f>
        <v>1029480771.2345185</v>
      </c>
      <c r="N96" s="2">
        <f>N8/'Output-Calculation-sheet'!N7*'Output-Calculation-sheet'!N79</f>
        <v>1045539866.3781145</v>
      </c>
      <c r="O96" s="2">
        <f>O8/'Output-Calculation-sheet'!O7*'Output-Calculation-sheet'!O79</f>
        <v>255216379.22959131</v>
      </c>
      <c r="P96" s="2">
        <f>P8/'Output-Calculation-sheet'!P7*'Output-Calculation-sheet'!P79</f>
        <v>2780776608.3852329</v>
      </c>
      <c r="Q96" s="2">
        <f>Q8/'Output-Calculation-sheet'!Q7*'Output-Calculation-sheet'!Q79</f>
        <v>1233084427.2745292</v>
      </c>
      <c r="R96" s="2">
        <f>R8/'Output-Calculation-sheet'!R7*'Output-Calculation-sheet'!R79</f>
        <v>1876117899.1852176</v>
      </c>
      <c r="S96" s="2">
        <f>S8/'Output-Calculation-sheet'!S7*'Output-Calculation-sheet'!S79</f>
        <v>733321722.28542924</v>
      </c>
      <c r="T96" s="2">
        <f>T8/'Output-Calculation-sheet'!T7*'Output-Calculation-sheet'!T79</f>
        <v>993151699.75388432</v>
      </c>
      <c r="U96" s="2">
        <f>U8/'Output-Calculation-sheet'!U7*'Output-Calculation-sheet'!U79</f>
        <v>493270773.12106359</v>
      </c>
      <c r="V96" s="2">
        <f>V8/'Output-Calculation-sheet'!V7*'Output-Calculation-sheet'!V79</f>
        <v>363475991.7702378</v>
      </c>
      <c r="W96" s="2">
        <f>W8/'Output-Calculation-sheet'!W7*'Output-Calculation-sheet'!W79</f>
        <v>968315977.04304624</v>
      </c>
      <c r="X96" s="2">
        <f>X8/'Output-Calculation-sheet'!X7*'Output-Calculation-sheet'!X79</f>
        <v>114743335.42813963</v>
      </c>
      <c r="Y96" s="2">
        <f>Y8/'Output-Calculation-sheet'!Y7*'Output-Calculation-sheet'!Y79</f>
        <v>434568316.02948034</v>
      </c>
      <c r="AA96" s="2">
        <f t="shared" si="8"/>
        <v>75.372578779752757</v>
      </c>
    </row>
    <row r="97" spans="1:27" x14ac:dyDescent="0.25">
      <c r="A97" s="2">
        <v>2032</v>
      </c>
      <c r="B97" s="2">
        <f>B9/'Output-Calculation-sheet'!B8*'Output-Calculation-sheet'!B80</f>
        <v>19989593147.280563</v>
      </c>
      <c r="C97" s="2">
        <f>C9/'Output-Calculation-sheet'!C8*'Output-Calculation-sheet'!C80</f>
        <v>2511357548.8415093</v>
      </c>
      <c r="D97" s="2">
        <f>D9/'Output-Calculation-sheet'!D8*'Output-Calculation-sheet'!D80</f>
        <v>8271144897.3390779</v>
      </c>
      <c r="E97" s="2">
        <f>E9/'Output-Calculation-sheet'!E8*'Output-Calculation-sheet'!E80</f>
        <v>14562223298.184446</v>
      </c>
      <c r="F97" s="2">
        <f>F9/'Output-Calculation-sheet'!F8*'Output-Calculation-sheet'!F80</f>
        <v>6538352489.7802048</v>
      </c>
      <c r="G97" s="2">
        <f>G9/'Output-Calculation-sheet'!G8*'Output-Calculation-sheet'!G80</f>
        <v>4839563959.8419685</v>
      </c>
      <c r="H97" s="2">
        <f>H9/'Output-Calculation-sheet'!H8*'Output-Calculation-sheet'!H80</f>
        <v>1466419159.322922</v>
      </c>
      <c r="I97" s="2">
        <f>I9/'Output-Calculation-sheet'!I8*'Output-Calculation-sheet'!I80</f>
        <v>3361422525.5552573</v>
      </c>
      <c r="J97" s="2">
        <f>J9/'Output-Calculation-sheet'!J8*'Output-Calculation-sheet'!J80</f>
        <v>2425462797.8034639</v>
      </c>
      <c r="K97" s="2">
        <f>K9/'Output-Calculation-sheet'!K8*'Output-Calculation-sheet'!K80</f>
        <v>2823310106.0821848</v>
      </c>
      <c r="L97" s="2">
        <f>L9/'Output-Calculation-sheet'!L8*'Output-Calculation-sheet'!L80</f>
        <v>2314953455.9753423</v>
      </c>
      <c r="M97" s="2">
        <f>M9/'Output-Calculation-sheet'!M8*'Output-Calculation-sheet'!M80</f>
        <v>1139821377.2980421</v>
      </c>
      <c r="N97" s="2">
        <f>N9/'Output-Calculation-sheet'!N8*'Output-Calculation-sheet'!N80</f>
        <v>1129707741.2525494</v>
      </c>
      <c r="O97" s="2">
        <f>O9/'Output-Calculation-sheet'!O8*'Output-Calculation-sheet'!O80</f>
        <v>294832462.29176736</v>
      </c>
      <c r="P97" s="2">
        <f>P9/'Output-Calculation-sheet'!P8*'Output-Calculation-sheet'!P80</f>
        <v>2998291689.5908575</v>
      </c>
      <c r="Q97" s="2">
        <f>Q9/'Output-Calculation-sheet'!Q8*'Output-Calculation-sheet'!Q80</f>
        <v>1333210601.5633709</v>
      </c>
      <c r="R97" s="2">
        <f>R9/'Output-Calculation-sheet'!R8*'Output-Calculation-sheet'!R80</f>
        <v>2074671956.6774254</v>
      </c>
      <c r="S97" s="2">
        <f>S9/'Output-Calculation-sheet'!S8*'Output-Calculation-sheet'!S80</f>
        <v>800135813.59188271</v>
      </c>
      <c r="T97" s="2">
        <f>T9/'Output-Calculation-sheet'!T8*'Output-Calculation-sheet'!T80</f>
        <v>1069862825.9818325</v>
      </c>
      <c r="U97" s="2">
        <f>U9/'Output-Calculation-sheet'!U8*'Output-Calculation-sheet'!U80</f>
        <v>542977941.88762426</v>
      </c>
      <c r="V97" s="2">
        <f>V9/'Output-Calculation-sheet'!V8*'Output-Calculation-sheet'!V80</f>
        <v>399973636.5728752</v>
      </c>
      <c r="W97" s="2">
        <f>W9/'Output-Calculation-sheet'!W8*'Output-Calculation-sheet'!W80</f>
        <v>1045992970.8090547</v>
      </c>
      <c r="X97" s="2">
        <f>X9/'Output-Calculation-sheet'!X8*'Output-Calculation-sheet'!X80</f>
        <v>128093025.5983927</v>
      </c>
      <c r="Y97" s="2">
        <f>Y9/'Output-Calculation-sheet'!Y8*'Output-Calculation-sheet'!Y80</f>
        <v>469698197.69132429</v>
      </c>
      <c r="AA97" s="2">
        <f t="shared" si="8"/>
        <v>82.531073626813935</v>
      </c>
    </row>
    <row r="98" spans="1:27" x14ac:dyDescent="0.25">
      <c r="A98" s="2">
        <v>2033</v>
      </c>
      <c r="B98" s="2">
        <f>B10/'Output-Calculation-sheet'!B9*'Output-Calculation-sheet'!B81</f>
        <v>24120685107.037418</v>
      </c>
      <c r="C98" s="2">
        <f>C10/'Output-Calculation-sheet'!C9*'Output-Calculation-sheet'!C81</f>
        <v>8269766968.2068138</v>
      </c>
      <c r="D98" s="2">
        <f>D10/'Output-Calculation-sheet'!D9*'Output-Calculation-sheet'!D81</f>
        <v>7870299385.4916878</v>
      </c>
      <c r="E98" s="2">
        <f>E10/'Output-Calculation-sheet'!E9*'Output-Calculation-sheet'!E81</f>
        <v>14804528341.191778</v>
      </c>
      <c r="F98" s="2">
        <f>F10/'Output-Calculation-sheet'!F9*'Output-Calculation-sheet'!F81</f>
        <v>6105745329.3865757</v>
      </c>
      <c r="G98" s="2">
        <f>G10/'Output-Calculation-sheet'!G9*'Output-Calculation-sheet'!G81</f>
        <v>4483025032.9359493</v>
      </c>
      <c r="H98" s="2">
        <f>H10/'Output-Calculation-sheet'!H9*'Output-Calculation-sheet'!H81</f>
        <v>4061657307.2571025</v>
      </c>
      <c r="I98" s="2">
        <f>I10/'Output-Calculation-sheet'!I9*'Output-Calculation-sheet'!I81</f>
        <v>3376436329.3184185</v>
      </c>
      <c r="J98" s="2">
        <f>J10/'Output-Calculation-sheet'!J9*'Output-Calculation-sheet'!J81</f>
        <v>2158978490.8952098</v>
      </c>
      <c r="K98" s="2">
        <f>K10/'Output-Calculation-sheet'!K9*'Output-Calculation-sheet'!K81</f>
        <v>3136001876.3063335</v>
      </c>
      <c r="L98" s="2">
        <f>L10/'Output-Calculation-sheet'!L9*'Output-Calculation-sheet'!L81</f>
        <v>2352048349.6023211</v>
      </c>
      <c r="M98" s="2">
        <f>M10/'Output-Calculation-sheet'!M9*'Output-Calculation-sheet'!M81</f>
        <v>3050134104.0174603</v>
      </c>
      <c r="N98" s="2">
        <f>N10/'Output-Calculation-sheet'!N9*'Output-Calculation-sheet'!N81</f>
        <v>2188233232.3544779</v>
      </c>
      <c r="O98" s="2">
        <f>O10/'Output-Calculation-sheet'!O9*'Output-Calculation-sheet'!O81</f>
        <v>1158793121.9883873</v>
      </c>
      <c r="P98" s="2">
        <f>P10/'Output-Calculation-sheet'!P9*'Output-Calculation-sheet'!P81</f>
        <v>3703166599.4000955</v>
      </c>
      <c r="Q98" s="2">
        <f>Q10/'Output-Calculation-sheet'!Q9*'Output-Calculation-sheet'!Q81</f>
        <v>1741135057.5836053</v>
      </c>
      <c r="R98" s="2">
        <f>R10/'Output-Calculation-sheet'!R9*'Output-Calculation-sheet'!R81</f>
        <v>2227175151.8711548</v>
      </c>
      <c r="S98" s="2">
        <f>S10/'Output-Calculation-sheet'!S9*'Output-Calculation-sheet'!S81</f>
        <v>1287703761.3646452</v>
      </c>
      <c r="T98" s="2">
        <f>T10/'Output-Calculation-sheet'!T9*'Output-Calculation-sheet'!T81</f>
        <v>955529166.5467335</v>
      </c>
      <c r="U98" s="2">
        <f>U10/'Output-Calculation-sheet'!U9*'Output-Calculation-sheet'!U81</f>
        <v>621729247.94666338</v>
      </c>
      <c r="V98" s="2">
        <f>V10/'Output-Calculation-sheet'!V9*'Output-Calculation-sheet'!V81</f>
        <v>329278279.48783332</v>
      </c>
      <c r="W98" s="2">
        <f>W10/'Output-Calculation-sheet'!W9*'Output-Calculation-sheet'!W81</f>
        <v>933617523.45616162</v>
      </c>
      <c r="X98" s="2">
        <f>X10/'Output-Calculation-sheet'!X9*'Output-Calculation-sheet'!X81</f>
        <v>343076193.02427226</v>
      </c>
      <c r="Y98" s="2">
        <f>Y10/'Output-Calculation-sheet'!Y9*'Output-Calculation-sheet'!Y81</f>
        <v>513360732.18357325</v>
      </c>
      <c r="AA98" s="2">
        <f t="shared" si="8"/>
        <v>99.792104688854693</v>
      </c>
    </row>
    <row r="99" spans="1:27" x14ac:dyDescent="0.25">
      <c r="A99" s="2">
        <v>2034</v>
      </c>
      <c r="B99" s="2">
        <f>B11/'Output-Calculation-sheet'!B10*'Output-Calculation-sheet'!B82</f>
        <v>27788090116.044495</v>
      </c>
      <c r="C99" s="2">
        <f>C11/'Output-Calculation-sheet'!C10*'Output-Calculation-sheet'!C82</f>
        <v>9588031173.7285538</v>
      </c>
      <c r="D99" s="2">
        <f>D11/'Output-Calculation-sheet'!D10*'Output-Calculation-sheet'!D82</f>
        <v>8722411407.3797588</v>
      </c>
      <c r="E99" s="2">
        <f>E11/'Output-Calculation-sheet'!E10*'Output-Calculation-sheet'!E82</f>
        <v>16872740008.563919</v>
      </c>
      <c r="F99" s="2">
        <f>F11/'Output-Calculation-sheet'!F10*'Output-Calculation-sheet'!F82</f>
        <v>6949017033.2784805</v>
      </c>
      <c r="G99" s="2">
        <f>G11/'Output-Calculation-sheet'!G10*'Output-Calculation-sheet'!G82</f>
        <v>4940256616.5592651</v>
      </c>
      <c r="H99" s="2">
        <f>H11/'Output-Calculation-sheet'!H10*'Output-Calculation-sheet'!H82</f>
        <v>4617566757.4936113</v>
      </c>
      <c r="I99" s="2">
        <f>I11/'Output-Calculation-sheet'!I10*'Output-Calculation-sheet'!I82</f>
        <v>3878434615.5452757</v>
      </c>
      <c r="J99" s="2">
        <f>J11/'Output-Calculation-sheet'!J10*'Output-Calculation-sheet'!J82</f>
        <v>2413548377.9116764</v>
      </c>
      <c r="K99" s="2">
        <f>K11/'Output-Calculation-sheet'!K10*'Output-Calculation-sheet'!K82</f>
        <v>3531337999.1798401</v>
      </c>
      <c r="L99" s="2">
        <f>L11/'Output-Calculation-sheet'!L10*'Output-Calculation-sheet'!L82</f>
        <v>2726451179.9484296</v>
      </c>
      <c r="M99" s="2">
        <f>M11/'Output-Calculation-sheet'!M10*'Output-Calculation-sheet'!M82</f>
        <v>3478327450.1916513</v>
      </c>
      <c r="N99" s="2">
        <f>N11/'Output-Calculation-sheet'!N10*'Output-Calculation-sheet'!N82</f>
        <v>2450484938.7211661</v>
      </c>
      <c r="O99" s="2">
        <f>O11/'Output-Calculation-sheet'!O10*'Output-Calculation-sheet'!O82</f>
        <v>1328530865.1793084</v>
      </c>
      <c r="P99" s="2">
        <f>P11/'Output-Calculation-sheet'!P10*'Output-Calculation-sheet'!P82</f>
        <v>4141331673.4493713</v>
      </c>
      <c r="Q99" s="2">
        <f>Q11/'Output-Calculation-sheet'!Q10*'Output-Calculation-sheet'!Q82</f>
        <v>1959938391.3963795</v>
      </c>
      <c r="R99" s="2">
        <f>R11/'Output-Calculation-sheet'!R10*'Output-Calculation-sheet'!R82</f>
        <v>2537131183.7201891</v>
      </c>
      <c r="S99" s="2">
        <f>S11/'Output-Calculation-sheet'!S10*'Output-Calculation-sheet'!S82</f>
        <v>1461458491.1343813</v>
      </c>
      <c r="T99" s="2">
        <f>T11/'Output-Calculation-sheet'!T10*'Output-Calculation-sheet'!T82</f>
        <v>1068155292.433799</v>
      </c>
      <c r="U99" s="2">
        <f>U11/'Output-Calculation-sheet'!U10*'Output-Calculation-sheet'!U82</f>
        <v>707353967.01497996</v>
      </c>
      <c r="V99" s="2">
        <f>V11/'Output-Calculation-sheet'!V10*'Output-Calculation-sheet'!V82</f>
        <v>378213347.28636807</v>
      </c>
      <c r="W99" s="2">
        <f>W11/'Output-Calculation-sheet'!W10*'Output-Calculation-sheet'!W82</f>
        <v>1048798853.9600798</v>
      </c>
      <c r="X99" s="2">
        <f>X11/'Output-Calculation-sheet'!X10*'Output-Calculation-sheet'!X82</f>
        <v>395006522.9888733</v>
      </c>
      <c r="Y99" s="2">
        <f>Y11/'Output-Calculation-sheet'!Y10*'Output-Calculation-sheet'!Y82</f>
        <v>577172010.11338532</v>
      </c>
      <c r="AA99" s="2">
        <f t="shared" si="8"/>
        <v>113.55978827322322</v>
      </c>
    </row>
    <row r="100" spans="1:27" x14ac:dyDescent="0.25">
      <c r="A100" s="2">
        <v>2035</v>
      </c>
      <c r="B100" s="2">
        <f>B12/'Output-Calculation-sheet'!B11*'Output-Calculation-sheet'!B83</f>
        <v>29731776015.170906</v>
      </c>
      <c r="C100" s="2">
        <f>C12/'Output-Calculation-sheet'!C11*'Output-Calculation-sheet'!C83</f>
        <v>10322389717.952734</v>
      </c>
      <c r="D100" s="2">
        <f>D12/'Output-Calculation-sheet'!D11*'Output-Calculation-sheet'!D83</f>
        <v>8984316690.6458397</v>
      </c>
      <c r="E100" s="2">
        <f>E12/'Output-Calculation-sheet'!E11*'Output-Calculation-sheet'!E83</f>
        <v>17867487684.790443</v>
      </c>
      <c r="F100" s="2">
        <f>F12/'Output-Calculation-sheet'!F11*'Output-Calculation-sheet'!F83</f>
        <v>7349972005.2789888</v>
      </c>
      <c r="G100" s="2">
        <f>G12/'Output-Calculation-sheet'!G11*'Output-Calculation-sheet'!G83</f>
        <v>5050861945.4608421</v>
      </c>
      <c r="H100" s="2">
        <f>H12/'Output-Calculation-sheet'!H11*'Output-Calculation-sheet'!H83</f>
        <v>4878755178.0486364</v>
      </c>
      <c r="I100" s="2">
        <f>I12/'Output-Calculation-sheet'!I11*'Output-Calculation-sheet'!I83</f>
        <v>4139527405.1681685</v>
      </c>
      <c r="J100" s="2">
        <f>J12/'Output-Calculation-sheet'!J11*'Output-Calculation-sheet'!J83</f>
        <v>2508731774.8678522</v>
      </c>
      <c r="K100" s="2">
        <f>K12/'Output-Calculation-sheet'!K11*'Output-Calculation-sheet'!K83</f>
        <v>3696430519.522079</v>
      </c>
      <c r="L100" s="2">
        <f>L12/'Output-Calculation-sheet'!L11*'Output-Calculation-sheet'!L83</f>
        <v>2934755064.2245407</v>
      </c>
      <c r="M100" s="2">
        <f>M12/'Output-Calculation-sheet'!M11*'Output-Calculation-sheet'!M83</f>
        <v>3686702677.9627409</v>
      </c>
      <c r="N100" s="2">
        <f>N12/'Output-Calculation-sheet'!N11*'Output-Calculation-sheet'!N83</f>
        <v>2550907068.2751679</v>
      </c>
      <c r="O100" s="2">
        <f>O12/'Output-Calculation-sheet'!O11*'Output-Calculation-sheet'!O83</f>
        <v>1415915393.774478</v>
      </c>
      <c r="P100" s="2">
        <f>P12/'Output-Calculation-sheet'!P11*'Output-Calculation-sheet'!P83</f>
        <v>4300235659.3472805</v>
      </c>
      <c r="Q100" s="2">
        <f>Q12/'Output-Calculation-sheet'!Q11*'Output-Calculation-sheet'!Q83</f>
        <v>2051232122.4335561</v>
      </c>
      <c r="R100" s="2">
        <f>R12/'Output-Calculation-sheet'!R11*'Output-Calculation-sheet'!R83</f>
        <v>2685974136.6805553</v>
      </c>
      <c r="S100" s="2">
        <f>S12/'Output-Calculation-sheet'!S11*'Output-Calculation-sheet'!S83</f>
        <v>1541611151.4306145</v>
      </c>
      <c r="T100" s="2">
        <f>T12/'Output-Calculation-sheet'!T11*'Output-Calculation-sheet'!T83</f>
        <v>1109425898.4453886</v>
      </c>
      <c r="U100" s="2">
        <f>U12/'Output-Calculation-sheet'!U11*'Output-Calculation-sheet'!U83</f>
        <v>747627441.70551717</v>
      </c>
      <c r="V100" s="2">
        <f>V12/'Output-Calculation-sheet'!V11*'Output-Calculation-sheet'!V83</f>
        <v>403388443.05016297</v>
      </c>
      <c r="W100" s="2">
        <f>W12/'Output-Calculation-sheet'!W11*'Output-Calculation-sheet'!W83</f>
        <v>1092878393.6975374</v>
      </c>
      <c r="X100" s="2">
        <f>X12/'Output-Calculation-sheet'!X11*'Output-Calculation-sheet'!X83</f>
        <v>422517167.80690074</v>
      </c>
      <c r="Y100" s="2">
        <f>Y12/'Output-Calculation-sheet'!Y11*'Output-Calculation-sheet'!Y83</f>
        <v>602241228.50015819</v>
      </c>
      <c r="AA100" s="2">
        <f t="shared" si="8"/>
        <v>120.07566078424109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00"/>
  <sheetViews>
    <sheetView topLeftCell="B73" workbookViewId="0">
      <selection activeCell="AA98" sqref="AA98:AA100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6093.064752462943</v>
      </c>
      <c r="C19" s="2">
        <f>C8/'Output-Calculation-sheet'!C7*'Output-Calculation-sheet'!C25</f>
        <v>8124.2533845877224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2960.2062433700107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2166.7324366169478</v>
      </c>
      <c r="N19" s="2">
        <f>N8/'Output-Calculation-sheet'!N7*'Output-Calculation-sheet'!N25</f>
        <v>1128.796053164963</v>
      </c>
      <c r="O19" s="2">
        <f>O8/'Output-Calculation-sheet'!O7*'Output-Calculation-sheet'!O25</f>
        <v>1230.9816546629863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492.08794482962514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250.46005157408214</v>
      </c>
      <c r="Y19" s="2">
        <f>Y8/'Output-Calculation-sheet'!Y7*'Output-Calculation-sheet'!Y25</f>
        <v>0</v>
      </c>
      <c r="AA19" s="2">
        <f t="shared" si="0"/>
        <v>22.446582521269281</v>
      </c>
    </row>
    <row r="20" spans="1:27" x14ac:dyDescent="0.25">
      <c r="A20" s="2">
        <v>2032</v>
      </c>
      <c r="B20" s="2">
        <f>B9/'Output-Calculation-sheet'!B8*'Output-Calculation-sheet'!B26</f>
        <v>8386.627221180659</v>
      </c>
      <c r="C20" s="2">
        <f>C9/'Output-Calculation-sheet'!C8*'Output-Calculation-sheet'!C26</f>
        <v>9666.2451543884054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3479.8893026156561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2541.114155131907</v>
      </c>
      <c r="N20" s="2">
        <f>N9/'Output-Calculation-sheet'!N8*'Output-Calculation-sheet'!N26</f>
        <v>1445.4161679841118</v>
      </c>
      <c r="O20" s="2">
        <f>O9/'Output-Calculation-sheet'!O8*'Output-Calculation-sheet'!O26</f>
        <v>1495.2872568610867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653.39052913476928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293.53167345386208</v>
      </c>
      <c r="Y20" s="2">
        <f>Y9/'Output-Calculation-sheet'!Y8*'Output-Calculation-sheet'!Y26</f>
        <v>0</v>
      </c>
      <c r="AA20" s="2">
        <f t="shared" si="0"/>
        <v>27.961501460750455</v>
      </c>
    </row>
    <row r="21" spans="1:27" x14ac:dyDescent="0.25">
      <c r="A21" s="2">
        <v>2033</v>
      </c>
      <c r="B21" s="2">
        <f>B10/'Output-Calculation-sheet'!B9*'Output-Calculation-sheet'!B27</f>
        <v>19189.080251113352</v>
      </c>
      <c r="C21" s="2">
        <f>C10/'Output-Calculation-sheet'!C9*'Output-Calculation-sheet'!C27</f>
        <v>32954.037513826559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11106.989325937557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7714.4955121520316</v>
      </c>
      <c r="N21" s="2">
        <f>N10/'Output-Calculation-sheet'!N9*'Output-Calculation-sheet'!N27</f>
        <v>4221.21740157972</v>
      </c>
      <c r="O21" s="2">
        <f>O10/'Output-Calculation-sheet'!O9*'Output-Calculation-sheet'!O27</f>
        <v>3287.9586503497226</v>
      </c>
      <c r="P21" s="2">
        <f>P10/'Output-Calculation-sheet'!P9*'Output-Calculation-sheet'!P27</f>
        <v>0</v>
      </c>
      <c r="Q21" s="2">
        <f>Q10/'Output-Calculation-sheet'!Q9*'Output-Calculation-sheet'!Q27</f>
        <v>287.91497889034531</v>
      </c>
      <c r="R21" s="2">
        <f>R10/'Output-Calculation-sheet'!R9*'Output-Calculation-sheet'!R27</f>
        <v>0</v>
      </c>
      <c r="S21" s="2">
        <f>S10/'Output-Calculation-sheet'!S9*'Output-Calculation-sheet'!S27</f>
        <v>1833.4346398798118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907.15858157411901</v>
      </c>
      <c r="Y21" s="2">
        <f>Y10/'Output-Calculation-sheet'!Y9*'Output-Calculation-sheet'!Y27</f>
        <v>0</v>
      </c>
      <c r="AA21" s="2">
        <f t="shared" si="0"/>
        <v>81.502286855303211</v>
      </c>
    </row>
    <row r="22" spans="1:27" x14ac:dyDescent="0.25">
      <c r="A22" s="2">
        <v>2034</v>
      </c>
      <c r="B22" s="2">
        <f>B11/'Output-Calculation-sheet'!B10*'Output-Calculation-sheet'!B28</f>
        <v>39595.478818010699</v>
      </c>
      <c r="C22" s="2">
        <f>C11/'Output-Calculation-sheet'!C10*'Output-Calculation-sheet'!C28</f>
        <v>37986.890248204996</v>
      </c>
      <c r="D22" s="2">
        <f>D11/'Output-Calculation-sheet'!D10*'Output-Calculation-sheet'!D28</f>
        <v>0</v>
      </c>
      <c r="E22" s="2">
        <f>E11/'Output-Calculation-sheet'!E10*'Output-Calculation-sheet'!E28</f>
        <v>2028.8116196880555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14495.725427070403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1209.7723424588733</v>
      </c>
      <c r="M22" s="2">
        <f>M11/'Output-Calculation-sheet'!M10*'Output-Calculation-sheet'!M28</f>
        <v>10568.658057772014</v>
      </c>
      <c r="N22" s="2">
        <f>N11/'Output-Calculation-sheet'!N10*'Output-Calculation-sheet'!N28</f>
        <v>6307.2502336021562</v>
      </c>
      <c r="O22" s="2">
        <f>O11/'Output-Calculation-sheet'!O10*'Output-Calculation-sheet'!O28</f>
        <v>3898.2935565389412</v>
      </c>
      <c r="P22" s="2">
        <f>P11/'Output-Calculation-sheet'!P10*'Output-Calculation-sheet'!P28</f>
        <v>0</v>
      </c>
      <c r="Q22" s="2">
        <f>Q11/'Output-Calculation-sheet'!Q10*'Output-Calculation-sheet'!Q28</f>
        <v>1432.8098498294366</v>
      </c>
      <c r="R22" s="2">
        <f>R11/'Output-Calculation-sheet'!R10*'Output-Calculation-sheet'!R28</f>
        <v>0</v>
      </c>
      <c r="S22" s="2">
        <f>S11/'Output-Calculation-sheet'!S10*'Output-Calculation-sheet'!S28</f>
        <v>3217.5870815136791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1061.2730542467009</v>
      </c>
      <c r="Y22" s="2">
        <f>Y11/'Output-Calculation-sheet'!Y10*'Output-Calculation-sheet'!Y28</f>
        <v>110.08250806600896</v>
      </c>
      <c r="AA22" s="2">
        <f t="shared" si="0"/>
        <v>121.91263279700198</v>
      </c>
    </row>
    <row r="23" spans="1:27" x14ac:dyDescent="0.25">
      <c r="A23" s="2">
        <v>2035</v>
      </c>
      <c r="B23" s="2">
        <f>B12/'Output-Calculation-sheet'!B11*'Output-Calculation-sheet'!B29</f>
        <v>51109.172571060422</v>
      </c>
      <c r="C23" s="2">
        <f>C12/'Output-Calculation-sheet'!C11*'Output-Calculation-sheet'!C29</f>
        <v>41745.335826742914</v>
      </c>
      <c r="D23" s="2">
        <f>D12/'Output-Calculation-sheet'!D11*'Output-Calculation-sheet'!D29</f>
        <v>0</v>
      </c>
      <c r="E23" s="2">
        <f>E12/'Output-Calculation-sheet'!E11*'Output-Calculation-sheet'!E29</f>
        <v>7879.7873488730347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16069.745586335168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1786.2842065516409</v>
      </c>
      <c r="M23" s="2">
        <f>M12/'Output-Calculation-sheet'!M11*'Output-Calculation-sheet'!M29</f>
        <v>11773.631667179538</v>
      </c>
      <c r="N23" s="2">
        <f>N12/'Output-Calculation-sheet'!N11*'Output-Calculation-sheet'!N29</f>
        <v>6868.2160818041693</v>
      </c>
      <c r="O23" s="2">
        <f>O12/'Output-Calculation-sheet'!O11*'Output-Calculation-sheet'!O29</f>
        <v>4630.0219681163962</v>
      </c>
      <c r="P23" s="2">
        <f>P12/'Output-Calculation-sheet'!P11*'Output-Calculation-sheet'!P29</f>
        <v>838.82684099246126</v>
      </c>
      <c r="Q23" s="2">
        <f>Q12/'Output-Calculation-sheet'!Q11*'Output-Calculation-sheet'!Q29</f>
        <v>1883.1568865404488</v>
      </c>
      <c r="R23" s="2">
        <f>R12/'Output-Calculation-sheet'!R11*'Output-Calculation-sheet'!R29</f>
        <v>0</v>
      </c>
      <c r="S23" s="2">
        <f>S12/'Output-Calculation-sheet'!S11*'Output-Calculation-sheet'!S29</f>
        <v>3676.5572381692114</v>
      </c>
      <c r="T23" s="2">
        <f>T12/'Output-Calculation-sheet'!T11*'Output-Calculation-sheet'!T29</f>
        <v>0</v>
      </c>
      <c r="U23" s="2">
        <f>U12/'Output-Calculation-sheet'!U11*'Output-Calculation-sheet'!U29</f>
        <v>160.3252803130629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1166.3614051623945</v>
      </c>
      <c r="Y23" s="2">
        <f>Y12/'Output-Calculation-sheet'!Y11*'Output-Calculation-sheet'!Y29</f>
        <v>345.30810703148484</v>
      </c>
      <c r="AA23" s="2">
        <f t="shared" si="0"/>
        <v>149.93273101487236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29964.872293490524</v>
      </c>
      <c r="C30" s="2">
        <f>C8/'Output-Calculation-sheet'!C7*'Output-Calculation-sheet'!C16</f>
        <v>0</v>
      </c>
      <c r="D30" s="2">
        <f>D8/'Output-Calculation-sheet'!D7*'Output-Calculation-sheet'!D16</f>
        <v>6750.7968477285931</v>
      </c>
      <c r="E30" s="2">
        <f>E8/'Output-Calculation-sheet'!E7*'Output-Calculation-sheet'!E16</f>
        <v>8459.826861997044</v>
      </c>
      <c r="F30" s="2">
        <f>F8/'Output-Calculation-sheet'!F7*'Output-Calculation-sheet'!F16</f>
        <v>4131.7786561745597</v>
      </c>
      <c r="G30" s="2">
        <f>G8/'Output-Calculation-sheet'!G7*'Output-Calculation-sheet'!G16</f>
        <v>2517.8522609934944</v>
      </c>
      <c r="H30" s="2">
        <f>H8/'Output-Calculation-sheet'!H7*'Output-Calculation-sheet'!H16</f>
        <v>0</v>
      </c>
      <c r="I30" s="2">
        <f>I8/'Output-Calculation-sheet'!I7*'Output-Calculation-sheet'!I16</f>
        <v>2370.2471470349619</v>
      </c>
      <c r="J30" s="2">
        <f>J8/'Output-Calculation-sheet'!J7*'Output-Calculation-sheet'!J16</f>
        <v>2540.8024663653919</v>
      </c>
      <c r="K30" s="2">
        <f>K8/'Output-Calculation-sheet'!K7*'Output-Calculation-sheet'!K16</f>
        <v>2459.2111853114734</v>
      </c>
      <c r="L30" s="2">
        <f>L8/'Output-Calculation-sheet'!L7*'Output-Calculation-sheet'!L16</f>
        <v>2718.2668877293436</v>
      </c>
      <c r="M30" s="2">
        <f>M8/'Output-Calculation-sheet'!M7*'Output-Calculation-sheet'!M16</f>
        <v>0</v>
      </c>
      <c r="N30" s="2">
        <f>N8/'Output-Calculation-sheet'!N7*'Output-Calculation-sheet'!N16</f>
        <v>1218.9435834085793</v>
      </c>
      <c r="O30" s="2">
        <f>O8/'Output-Calculation-sheet'!O7*'Output-Calculation-sheet'!O16</f>
        <v>0</v>
      </c>
      <c r="P30" s="2">
        <f>P8/'Output-Calculation-sheet'!P7*'Output-Calculation-sheet'!P16</f>
        <v>2326.9713080151059</v>
      </c>
      <c r="Q30" s="2">
        <f>Q8/'Output-Calculation-sheet'!Q7*'Output-Calculation-sheet'!Q16</f>
        <v>2282.874135162062</v>
      </c>
      <c r="R30" s="2">
        <f>R8/'Output-Calculation-sheet'!R7*'Output-Calculation-sheet'!R16</f>
        <v>2025.8758233289257</v>
      </c>
      <c r="S30" s="2">
        <f>S8/'Output-Calculation-sheet'!S7*'Output-Calculation-sheet'!S16</f>
        <v>1072.9682991282725</v>
      </c>
      <c r="T30" s="2">
        <f>T8/'Output-Calculation-sheet'!T7*'Output-Calculation-sheet'!T16</f>
        <v>765.20346142740766</v>
      </c>
      <c r="U30" s="2">
        <f>U8/'Output-Calculation-sheet'!U7*'Output-Calculation-sheet'!U16</f>
        <v>590.4330190195667</v>
      </c>
      <c r="V30" s="2">
        <f>V8/'Output-Calculation-sheet'!V7*'Output-Calculation-sheet'!V16</f>
        <v>764.49269109691852</v>
      </c>
      <c r="W30" s="2">
        <f>W8/'Output-Calculation-sheet'!W7*'Output-Calculation-sheet'!W16</f>
        <v>368.08760528672036</v>
      </c>
      <c r="X30" s="2">
        <f>X8/'Output-Calculation-sheet'!X7*'Output-Calculation-sheet'!X16</f>
        <v>0</v>
      </c>
      <c r="Y30" s="2">
        <f>Y8/'Output-Calculation-sheet'!Y7*'Output-Calculation-sheet'!Y16</f>
        <v>251.04377158723392</v>
      </c>
      <c r="AA30" s="2">
        <f t="shared" si="1"/>
        <v>73.580548304286182</v>
      </c>
    </row>
    <row r="31" spans="1:27" x14ac:dyDescent="0.25">
      <c r="A31" s="2">
        <v>2032</v>
      </c>
      <c r="B31" s="2">
        <f>B9/'Output-Calculation-sheet'!B8*'Output-Calculation-sheet'!B17</f>
        <v>33981.399971801409</v>
      </c>
      <c r="C31" s="2">
        <f>C9/'Output-Calculation-sheet'!C8*'Output-Calculation-sheet'!C17</f>
        <v>0</v>
      </c>
      <c r="D31" s="2">
        <f>D9/'Output-Calculation-sheet'!D8*'Output-Calculation-sheet'!D17</f>
        <v>7777.6412096224285</v>
      </c>
      <c r="E31" s="2">
        <f>E9/'Output-Calculation-sheet'!E8*'Output-Calculation-sheet'!E17</f>
        <v>9769.74484731353</v>
      </c>
      <c r="F31" s="2">
        <f>F9/'Output-Calculation-sheet'!F8*'Output-Calculation-sheet'!F17</f>
        <v>4766.8453971307408</v>
      </c>
      <c r="G31" s="2">
        <f>G9/'Output-Calculation-sheet'!G8*'Output-Calculation-sheet'!G17</f>
        <v>2901.7062626734696</v>
      </c>
      <c r="H31" s="2">
        <f>H9/'Output-Calculation-sheet'!H8*'Output-Calculation-sheet'!H17</f>
        <v>0</v>
      </c>
      <c r="I31" s="2">
        <f>I9/'Output-Calculation-sheet'!I8*'Output-Calculation-sheet'!I17</f>
        <v>2730.2314953199598</v>
      </c>
      <c r="J31" s="2">
        <f>J9/'Output-Calculation-sheet'!J8*'Output-Calculation-sheet'!J17</f>
        <v>2929.0697001266335</v>
      </c>
      <c r="K31" s="2">
        <f>K9/'Output-Calculation-sheet'!K8*'Output-Calculation-sheet'!K17</f>
        <v>2832.8217416913376</v>
      </c>
      <c r="L31" s="2">
        <f>L9/'Output-Calculation-sheet'!L8*'Output-Calculation-sheet'!L17</f>
        <v>3130.1667530645518</v>
      </c>
      <c r="M31" s="2">
        <f>M9/'Output-Calculation-sheet'!M8*'Output-Calculation-sheet'!M17</f>
        <v>0</v>
      </c>
      <c r="N31" s="2">
        <f>N9/'Output-Calculation-sheet'!N8*'Output-Calculation-sheet'!N17</f>
        <v>1319.797167519512</v>
      </c>
      <c r="O31" s="2">
        <f>O9/'Output-Calculation-sheet'!O8*'Output-Calculation-sheet'!O17</f>
        <v>0</v>
      </c>
      <c r="P31" s="2">
        <f>P9/'Output-Calculation-sheet'!P8*'Output-Calculation-sheet'!P17</f>
        <v>2696.2807211316017</v>
      </c>
      <c r="Q31" s="2">
        <f>Q9/'Output-Calculation-sheet'!Q8*'Output-Calculation-sheet'!Q17</f>
        <v>2636.8458385502317</v>
      </c>
      <c r="R31" s="2">
        <f>R9/'Output-Calculation-sheet'!R8*'Output-Calculation-sheet'!R17</f>
        <v>2359.8997251991614</v>
      </c>
      <c r="S31" s="2">
        <f>S9/'Output-Calculation-sheet'!S8*'Output-Calculation-sheet'!S17</f>
        <v>1181.3185127636389</v>
      </c>
      <c r="T31" s="2">
        <f>T9/'Output-Calculation-sheet'!T8*'Output-Calculation-sheet'!T17</f>
        <v>884.07247272918687</v>
      </c>
      <c r="U31" s="2">
        <f>U9/'Output-Calculation-sheet'!U8*'Output-Calculation-sheet'!U17</f>
        <v>684.52910151776814</v>
      </c>
      <c r="V31" s="2">
        <f>V9/'Output-Calculation-sheet'!V8*'Output-Calculation-sheet'!V17</f>
        <v>870.48851866030714</v>
      </c>
      <c r="W31" s="2">
        <f>W9/'Output-Calculation-sheet'!W8*'Output-Calculation-sheet'!W17</f>
        <v>424.27095578755279</v>
      </c>
      <c r="X31" s="2">
        <f>X9/'Output-Calculation-sheet'!X8*'Output-Calculation-sheet'!X17</f>
        <v>0</v>
      </c>
      <c r="Y31" s="2">
        <f>Y9/'Output-Calculation-sheet'!Y8*'Output-Calculation-sheet'!Y17</f>
        <v>289.23071503869733</v>
      </c>
      <c r="AA31" s="2">
        <f t="shared" si="1"/>
        <v>84.166361107641706</v>
      </c>
    </row>
    <row r="32" spans="1:27" x14ac:dyDescent="0.25">
      <c r="A32" s="2">
        <v>2033</v>
      </c>
      <c r="B32" s="2">
        <f>B10/'Output-Calculation-sheet'!B9*'Output-Calculation-sheet'!B18</f>
        <v>38956.203926199763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2373.8558669289268</v>
      </c>
      <c r="O32" s="2">
        <f>O10/'Output-Calculation-sheet'!O9*'Output-Calculation-sheet'!O18</f>
        <v>0</v>
      </c>
      <c r="P32" s="2">
        <f>P10/'Output-Calculation-sheet'!P9*'Output-Calculation-sheet'!P18</f>
        <v>3821.8667723506178</v>
      </c>
      <c r="Q32" s="2">
        <f>Q10/'Output-Calculation-sheet'!Q9*'Output-Calculation-sheet'!Q18</f>
        <v>4160.2091338325508</v>
      </c>
      <c r="R32" s="2">
        <f>R10/'Output-Calculation-sheet'!R9*'Output-Calculation-sheet'!R18</f>
        <v>2744.2988379887261</v>
      </c>
      <c r="S32" s="2">
        <f>S10/'Output-Calculation-sheet'!S9*'Output-Calculation-sheet'!S18</f>
        <v>1800.8248526616185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885.94301514826782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93.624763971645393</v>
      </c>
    </row>
    <row r="33" spans="1:27" x14ac:dyDescent="0.25">
      <c r="A33" s="2">
        <v>2034</v>
      </c>
      <c r="B33" s="2">
        <f>B11/'Output-Calculation-sheet'!B10*'Output-Calculation-sheet'!B19</f>
        <v>39938.325228336114</v>
      </c>
      <c r="C33" s="2">
        <f>C11/'Output-Calculation-sheet'!C10*'Output-Calculation-sheet'!C19</f>
        <v>0</v>
      </c>
      <c r="D33" s="2">
        <f>D11/'Output-Calculation-sheet'!D10*'Output-Calculation-sheet'!D19</f>
        <v>11913.163755409234</v>
      </c>
      <c r="E33" s="2">
        <f>E11/'Output-Calculation-sheet'!E10*'Output-Calculation-sheet'!E19</f>
        <v>14755.249919037635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4055.1282700345423</v>
      </c>
      <c r="H33" s="2">
        <f>H11/'Output-Calculation-sheet'!H10*'Output-Calculation-sheet'!H19</f>
        <v>0</v>
      </c>
      <c r="I33" s="2">
        <f>I11/'Output-Calculation-sheet'!I10*'Output-Calculation-sheet'!I19</f>
        <v>4424.7136032571716</v>
      </c>
      <c r="J33" s="2">
        <f>J11/'Output-Calculation-sheet'!J10*'Output-Calculation-sheet'!J19</f>
        <v>3741.3804825418747</v>
      </c>
      <c r="K33" s="2">
        <f>K11/'Output-Calculation-sheet'!K10*'Output-Calculation-sheet'!K19</f>
        <v>5191.7053219040708</v>
      </c>
      <c r="L33" s="2">
        <f>L11/'Output-Calculation-sheet'!L10*'Output-Calculation-sheet'!L19</f>
        <v>4222.0932161020519</v>
      </c>
      <c r="M33" s="2">
        <f>M11/'Output-Calculation-sheet'!M10*'Output-Calculation-sheet'!M19</f>
        <v>0</v>
      </c>
      <c r="N33" s="2">
        <f>N11/'Output-Calculation-sheet'!N10*'Output-Calculation-sheet'!N19</f>
        <v>2387.4143082851874</v>
      </c>
      <c r="O33" s="2">
        <f>O11/'Output-Calculation-sheet'!O10*'Output-Calculation-sheet'!O19</f>
        <v>0</v>
      </c>
      <c r="P33" s="2">
        <f>P11/'Output-Calculation-sheet'!P10*'Output-Calculation-sheet'!P19</f>
        <v>5253.0899614761147</v>
      </c>
      <c r="Q33" s="2">
        <f>Q11/'Output-Calculation-sheet'!Q10*'Output-Calculation-sheet'!Q19</f>
        <v>4325.8644341631789</v>
      </c>
      <c r="R33" s="2">
        <f>R11/'Output-Calculation-sheet'!R10*'Output-Calculation-sheet'!R19</f>
        <v>3750.6215625505174</v>
      </c>
      <c r="S33" s="2">
        <f>S11/'Output-Calculation-sheet'!S10*'Output-Calculation-sheet'!S19</f>
        <v>1748.4077112392092</v>
      </c>
      <c r="T33" s="2">
        <f>T11/'Output-Calculation-sheet'!T10*'Output-Calculation-sheet'!T19</f>
        <v>1100.5410922068429</v>
      </c>
      <c r="U33" s="2">
        <f>U11/'Output-Calculation-sheet'!U10*'Output-Calculation-sheet'!U19</f>
        <v>1266.6279926603916</v>
      </c>
      <c r="V33" s="2">
        <f>V11/'Output-Calculation-sheet'!V10*'Output-Calculation-sheet'!V19</f>
        <v>863.03900889467138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155.62107297281662</v>
      </c>
      <c r="Y33" s="2">
        <f>Y11/'Output-Calculation-sheet'!Y10*'Output-Calculation-sheet'!Y19</f>
        <v>484.36303549043936</v>
      </c>
      <c r="AA33" s="2">
        <f t="shared" si="1"/>
        <v>116.88631684153293</v>
      </c>
    </row>
    <row r="34" spans="1:27" x14ac:dyDescent="0.25">
      <c r="A34" s="2">
        <v>2035</v>
      </c>
      <c r="B34" s="2">
        <f>B12/'Output-Calculation-sheet'!B11*'Output-Calculation-sheet'!B20</f>
        <v>40677.361123852977</v>
      </c>
      <c r="C34" s="2">
        <f>C12/'Output-Calculation-sheet'!C11*'Output-Calculation-sheet'!C20</f>
        <v>0</v>
      </c>
      <c r="D34" s="2">
        <f>D12/'Output-Calculation-sheet'!D11*'Output-Calculation-sheet'!D20</f>
        <v>12765.796438900439</v>
      </c>
      <c r="E34" s="2">
        <f>E12/'Output-Calculation-sheet'!E11*'Output-Calculation-sheet'!E20</f>
        <v>13948.508470512901</v>
      </c>
      <c r="F34" s="2">
        <f>F12/'Output-Calculation-sheet'!F11*'Output-Calculation-sheet'!F20</f>
        <v>8788.2144034237372</v>
      </c>
      <c r="G34" s="2">
        <f>G12/'Output-Calculation-sheet'!G11*'Output-Calculation-sheet'!G20</f>
        <v>4696.1608597745908</v>
      </c>
      <c r="H34" s="2">
        <f>H12/'Output-Calculation-sheet'!H11*'Output-Calculation-sheet'!H20</f>
        <v>0</v>
      </c>
      <c r="I34" s="2">
        <f>I12/'Output-Calculation-sheet'!I11*'Output-Calculation-sheet'!I20</f>
        <v>5104.0873831057279</v>
      </c>
      <c r="J34" s="2">
        <f>J12/'Output-Calculation-sheet'!J11*'Output-Calculation-sheet'!J20</f>
        <v>4381.863425897348</v>
      </c>
      <c r="K34" s="2">
        <f>K12/'Output-Calculation-sheet'!K11*'Output-Calculation-sheet'!K20</f>
        <v>5761.0835161320292</v>
      </c>
      <c r="L34" s="2">
        <f>L12/'Output-Calculation-sheet'!L11*'Output-Calculation-sheet'!L20</f>
        <v>4553.0765801610014</v>
      </c>
      <c r="M34" s="2">
        <f>M12/'Output-Calculation-sheet'!M11*'Output-Calculation-sheet'!M20</f>
        <v>0</v>
      </c>
      <c r="N34" s="2">
        <f>N12/'Output-Calculation-sheet'!N11*'Output-Calculation-sheet'!N20</f>
        <v>2533.7878656280172</v>
      </c>
      <c r="O34" s="2">
        <f>O12/'Output-Calculation-sheet'!O11*'Output-Calculation-sheet'!O20</f>
        <v>0</v>
      </c>
      <c r="P34" s="2">
        <f>P12/'Output-Calculation-sheet'!P11*'Output-Calculation-sheet'!P20</f>
        <v>5662.5530434348102</v>
      </c>
      <c r="Q34" s="2">
        <f>Q12/'Output-Calculation-sheet'!Q11*'Output-Calculation-sheet'!Q20</f>
        <v>4480.610678713957</v>
      </c>
      <c r="R34" s="2">
        <f>R12/'Output-Calculation-sheet'!R11*'Output-Calculation-sheet'!R20</f>
        <v>4497.1893310586875</v>
      </c>
      <c r="S34" s="2">
        <f>S12/'Output-Calculation-sheet'!S11*'Output-Calculation-sheet'!S20</f>
        <v>1717.8172025105675</v>
      </c>
      <c r="T34" s="2">
        <f>T12/'Output-Calculation-sheet'!T11*'Output-Calculation-sheet'!T20</f>
        <v>1412.8779662904733</v>
      </c>
      <c r="U34" s="2">
        <f>U12/'Output-Calculation-sheet'!U11*'Output-Calculation-sheet'!U20</f>
        <v>1289.0322037581529</v>
      </c>
      <c r="V34" s="2">
        <f>V12/'Output-Calculation-sheet'!V11*'Output-Calculation-sheet'!V20</f>
        <v>1184.1082043780461</v>
      </c>
      <c r="W34" s="2">
        <f>W12/'Output-Calculation-sheet'!W11*'Output-Calculation-sheet'!W20</f>
        <v>761.81340406011088</v>
      </c>
      <c r="X34" s="2">
        <f>X12/'Output-Calculation-sheet'!X11*'Output-Calculation-sheet'!X20</f>
        <v>153.96535518127504</v>
      </c>
      <c r="Y34" s="2">
        <f>Y12/'Output-Calculation-sheet'!Y11*'Output-Calculation-sheet'!Y20</f>
        <v>427.02519264848723</v>
      </c>
      <c r="AA34" s="2">
        <f t="shared" si="1"/>
        <v>124.79693264942335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1.5606867445645536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0.90959834532097761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2.4702850898855311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3.3820184218793159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0.52054530006678867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0.35818610472011675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1.3140703907431897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0.308439531847642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3.9293898688566954E-2</v>
      </c>
      <c r="Y44" s="2">
        <f>Y11/'Output-Calculation-sheet'!Y10*'Output-Calculation-sheet'!Y37*0.0114</f>
        <v>0</v>
      </c>
      <c r="AA44" s="2">
        <f t="shared" si="2"/>
        <v>5.9225536479456204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3.6090247334344681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1.40227282943975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4.1931365992176964E-2</v>
      </c>
      <c r="Y45" s="2">
        <f>Y12/'Output-Calculation-sheet'!Y11*'Output-Calculation-sheet'!Y38*0.0114</f>
        <v>4.0464545914074682E-2</v>
      </c>
      <c r="AA45" s="2">
        <f t="shared" si="2"/>
        <v>17.981297839259824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171.22888490632147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152.41949311721748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662.78990409514131</v>
      </c>
      <c r="S52" s="2">
        <f>S8/'Output-Calculation-sheet'!S7*'Output-Calculation-sheet'!S43</f>
        <v>0</v>
      </c>
      <c r="T52" s="2">
        <f>T8/'Output-Calculation-sheet'!T7*'Output-Calculation-sheet'!T43</f>
        <v>533.69012681905133</v>
      </c>
      <c r="U52" s="2">
        <f>U8/'Output-Calculation-sheet'!U7*'Output-Calculation-sheet'!U43</f>
        <v>56.44675134030274</v>
      </c>
      <c r="V52" s="2">
        <f>V8/'Output-Calculation-sheet'!V7*'Output-Calculation-sheet'!V43</f>
        <v>962.39859770674457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2.5389737579847789</v>
      </c>
    </row>
    <row r="53" spans="1:27" x14ac:dyDescent="0.25">
      <c r="A53" s="2">
        <v>2032</v>
      </c>
      <c r="B53" s="2">
        <f>B9/'Output-Calculation-sheet'!B8*'Output-Calculation-sheet'!B44</f>
        <v>2083.310596784514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392.75405891548161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314.64923193969639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983.70142776121781</v>
      </c>
      <c r="S53" s="2">
        <f>S9/'Output-Calculation-sheet'!S8*'Output-Calculation-sheet'!S44</f>
        <v>0</v>
      </c>
      <c r="T53" s="2">
        <f>T9/'Output-Calculation-sheet'!T8*'Output-Calculation-sheet'!T44</f>
        <v>678.24243592452933</v>
      </c>
      <c r="U53" s="2">
        <f>U9/'Output-Calculation-sheet'!U8*'Output-Calculation-sheet'!U44</f>
        <v>115.08801067906911</v>
      </c>
      <c r="V53" s="2">
        <f>V9/'Output-Calculation-sheet'!V8*'Output-Calculation-sheet'!V44</f>
        <v>1137.0234561493705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5.7047692181538796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84605.649836920536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0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1098.7215152797219</v>
      </c>
      <c r="R54" s="2">
        <f>R10/'Output-Calculation-sheet'!R9*'Output-Calculation-sheet'!R45</f>
        <v>1832.487651358188</v>
      </c>
      <c r="S54" s="2">
        <f>S10/'Output-Calculation-sheet'!S9*'Output-Calculation-sheet'!S45</f>
        <v>4378.4684240860934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661.28230954968831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190.31140008409858</v>
      </c>
    </row>
    <row r="55" spans="1:27" x14ac:dyDescent="0.25">
      <c r="A55" s="2">
        <v>2034</v>
      </c>
      <c r="B55" s="2">
        <f>B11/'Output-Calculation-sheet'!B10*'Output-Calculation-sheet'!B46</f>
        <v>113761.25192201538</v>
      </c>
      <c r="C55" s="2">
        <f>C11/'Output-Calculation-sheet'!C10*'Output-Calculation-sheet'!C46</f>
        <v>93598.843166923165</v>
      </c>
      <c r="D55" s="2">
        <f>D11/'Output-Calculation-sheet'!D10*'Output-Calculation-sheet'!D46</f>
        <v>10511.924252544986</v>
      </c>
      <c r="E55" s="2">
        <f>E11/'Output-Calculation-sheet'!E10*'Output-Calculation-sheet'!E46</f>
        <v>12948.972660146123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33744.120767487439</v>
      </c>
      <c r="I55" s="2">
        <f>I11/'Output-Calculation-sheet'!I10*'Output-Calculation-sheet'!I46</f>
        <v>2543.7429091133245</v>
      </c>
      <c r="J55" s="2">
        <f>J11/'Output-Calculation-sheet'!J10*'Output-Calculation-sheet'!J46</f>
        <v>1846.144905594286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1822.295588837894</v>
      </c>
      <c r="M55" s="2">
        <f>M11/'Output-Calculation-sheet'!M10*'Output-Calculation-sheet'!M46</f>
        <v>23847.653814260404</v>
      </c>
      <c r="N55" s="2">
        <f>N11/'Output-Calculation-sheet'!N10*'Output-Calculation-sheet'!N46</f>
        <v>18188.705715615826</v>
      </c>
      <c r="O55" s="2">
        <f>O11/'Output-Calculation-sheet'!O10*'Output-Calculation-sheet'!O46</f>
        <v>403.44266382466344</v>
      </c>
      <c r="P55" s="2">
        <f>P11/'Output-Calculation-sheet'!P10*'Output-Calculation-sheet'!P46</f>
        <v>6761.174130510648</v>
      </c>
      <c r="Q55" s="2">
        <f>Q11/'Output-Calculation-sheet'!Q10*'Output-Calculation-sheet'!Q46</f>
        <v>3977.2465948774889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8939.4137306449393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2071.811719986737</v>
      </c>
      <c r="V55" s="2">
        <f>V11/'Output-Calculation-sheet'!V10*'Output-Calculation-sheet'!V46</f>
        <v>838.71623799287795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2440.3579185531057</v>
      </c>
      <c r="Y55" s="2">
        <f>Y11/'Output-Calculation-sheet'!Y10*'Output-Calculation-sheet'!Y46</f>
        <v>635.31527543761024</v>
      </c>
      <c r="AA55" s="2">
        <f t="shared" si="3"/>
        <v>355.72405735573244</v>
      </c>
    </row>
    <row r="56" spans="1:27" x14ac:dyDescent="0.25">
      <c r="A56" s="2">
        <v>2035</v>
      </c>
      <c r="B56" s="2">
        <f>B12/'Output-Calculation-sheet'!B11*'Output-Calculation-sheet'!B47</f>
        <v>154414.421818378</v>
      </c>
      <c r="C56" s="2">
        <f>C12/'Output-Calculation-sheet'!C11*'Output-Calculation-sheet'!C47</f>
        <v>101464.24798822342</v>
      </c>
      <c r="D56" s="2">
        <f>D12/'Output-Calculation-sheet'!D11*'Output-Calculation-sheet'!D47</f>
        <v>12339.250967940496</v>
      </c>
      <c r="E56" s="2">
        <f>E12/'Output-Calculation-sheet'!E11*'Output-Calculation-sheet'!E47</f>
        <v>34656.755886630279</v>
      </c>
      <c r="F56" s="2">
        <f>F12/'Output-Calculation-sheet'!F11*'Output-Calculation-sheet'!F47</f>
        <v>4275.2414716157964</v>
      </c>
      <c r="G56" s="2">
        <f>G12/'Output-Calculation-sheet'!G11*'Output-Calculation-sheet'!G47</f>
        <v>9657.5005899138996</v>
      </c>
      <c r="H56" s="2">
        <f>H12/'Output-Calculation-sheet'!H11*'Output-Calculation-sheet'!H47</f>
        <v>36886.160133343408</v>
      </c>
      <c r="I56" s="2">
        <f>I12/'Output-Calculation-sheet'!I11*'Output-Calculation-sheet'!I47</f>
        <v>4886.0691672095891</v>
      </c>
      <c r="J56" s="2">
        <f>J12/'Output-Calculation-sheet'!J11*'Output-Calculation-sheet'!J47</f>
        <v>4432.6372710015476</v>
      </c>
      <c r="K56" s="2">
        <f>K12/'Output-Calculation-sheet'!K11*'Output-Calculation-sheet'!K47</f>
        <v>6402.982513066996</v>
      </c>
      <c r="L56" s="2">
        <f>L12/'Output-Calculation-sheet'!L11*'Output-Calculation-sheet'!L47</f>
        <v>3535.6561627640253</v>
      </c>
      <c r="M56" s="2">
        <f>M12/'Output-Calculation-sheet'!M11*'Output-Calculation-sheet'!M47</f>
        <v>25716.575505415651</v>
      </c>
      <c r="N56" s="2">
        <f>N12/'Output-Calculation-sheet'!N11*'Output-Calculation-sheet'!N47</f>
        <v>19640.233683369726</v>
      </c>
      <c r="O56" s="2">
        <f>O12/'Output-Calculation-sheet'!O11*'Output-Calculation-sheet'!O47</f>
        <v>1845.0958282101974</v>
      </c>
      <c r="P56" s="2">
        <f>P12/'Output-Calculation-sheet'!P11*'Output-Calculation-sheet'!P47</f>
        <v>10198.410094087048</v>
      </c>
      <c r="Q56" s="2">
        <f>Q12/'Output-Calculation-sheet'!Q11*'Output-Calculation-sheet'!Q47</f>
        <v>5168.1142323491404</v>
      </c>
      <c r="R56" s="2">
        <f>R12/'Output-Calculation-sheet'!R11*'Output-Calculation-sheet'!R47</f>
        <v>7530.2467343343942</v>
      </c>
      <c r="S56" s="2">
        <f>S12/'Output-Calculation-sheet'!S11*'Output-Calculation-sheet'!S47</f>
        <v>9973.9106086078391</v>
      </c>
      <c r="T56" s="2">
        <f>T12/'Output-Calculation-sheet'!T11*'Output-Calculation-sheet'!T47</f>
        <v>2637.6264327959802</v>
      </c>
      <c r="U56" s="2">
        <f>U12/'Output-Calculation-sheet'!U11*'Output-Calculation-sheet'!U47</f>
        <v>2524.0822113180443</v>
      </c>
      <c r="V56" s="2">
        <f>V12/'Output-Calculation-sheet'!V11*'Output-Calculation-sheet'!V47</f>
        <v>1761.6112555309596</v>
      </c>
      <c r="W56" s="2">
        <f>W12/'Output-Calculation-sheet'!W11*'Output-Calculation-sheet'!W47</f>
        <v>1002.5964834546972</v>
      </c>
      <c r="X56" s="2">
        <f>X12/'Output-Calculation-sheet'!X11*'Output-Calculation-sheet'!X47</f>
        <v>2655.6531795045407</v>
      </c>
      <c r="Y56" s="2">
        <f>Y12/'Output-Calculation-sheet'!Y11*'Output-Calculation-sheet'!Y47</f>
        <v>1359.4667618500528</v>
      </c>
      <c r="AA56" s="2">
        <f t="shared" si="3"/>
        <v>464.96454698091577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8.2682823733485691</v>
      </c>
      <c r="C63" s="2">
        <f>C8*'Output-Calculation-sheet'!C52/10^9</f>
        <v>4.191000300812382</v>
      </c>
      <c r="D63" s="2">
        <f>D8*'Output-Calculation-sheet'!D52/10^9</f>
        <v>1.4641031132655415</v>
      </c>
      <c r="E63" s="2">
        <f>E8*'Output-Calculation-sheet'!E52/10^9</f>
        <v>1.8851625761869171</v>
      </c>
      <c r="F63" s="2">
        <f>F8*'Output-Calculation-sheet'!F52/10^9</f>
        <v>0.78413774972831141</v>
      </c>
      <c r="G63" s="2">
        <f>G8*'Output-Calculation-sheet'!G52/10^9</f>
        <v>0.56263748994602203</v>
      </c>
      <c r="H63" s="2">
        <f>H8*'Output-Calculation-sheet'!H52/10^9</f>
        <v>1.0868503466771851</v>
      </c>
      <c r="I63" s="2">
        <f>I8*'Output-Calculation-sheet'!I52/10^9</f>
        <v>0.50436850590102944</v>
      </c>
      <c r="J63" s="2">
        <f>J8*'Output-Calculation-sheet'!J52/10^9</f>
        <v>0.54221585563526331</v>
      </c>
      <c r="K63" s="2">
        <f>K8*'Output-Calculation-sheet'!K52/10^9</f>
        <v>0.55369680551093103</v>
      </c>
      <c r="L63" s="2">
        <f>L8*'Output-Calculation-sheet'!L52/10^9</f>
        <v>0.57585066305966814</v>
      </c>
      <c r="M63" s="2">
        <f>M8*'Output-Calculation-sheet'!M52/10^9</f>
        <v>0.8218340347449794</v>
      </c>
      <c r="N63" s="2">
        <f>N8*'Output-Calculation-sheet'!N52/10^9</f>
        <v>0.69435485035983224</v>
      </c>
      <c r="O63" s="2">
        <f>O8*'Output-Calculation-sheet'!O52/10^9</f>
        <v>0.71930822332001976</v>
      </c>
      <c r="P63" s="2">
        <f>P8*'Output-Calculation-sheet'!P52/10^9</f>
        <v>0.59614345353075482</v>
      </c>
      <c r="Q63" s="2">
        <f>Q8*'Output-Calculation-sheet'!Q52/10^9</f>
        <v>0.563946982156317</v>
      </c>
      <c r="R63" s="2">
        <f>R8*'Output-Calculation-sheet'!R52/10^9</f>
        <v>0.47509235624588508</v>
      </c>
      <c r="S63" s="2">
        <f>S8*'Output-Calculation-sheet'!S52/10^9</f>
        <v>0.43681785424117764</v>
      </c>
      <c r="T63" s="2">
        <f>T8*'Output-Calculation-sheet'!T52/10^9</f>
        <v>0.15557190109813121</v>
      </c>
      <c r="U63" s="2">
        <f>U8*'Output-Calculation-sheet'!U52/10^9</f>
        <v>0.15260517906408244</v>
      </c>
      <c r="V63" s="2">
        <f>V8*'Output-Calculation-sheet'!V52/10^9</f>
        <v>0.13677487251394707</v>
      </c>
      <c r="W63" s="2">
        <f>W8*'Output-Calculation-sheet'!W52/10^9</f>
        <v>7.1398754454967281E-2</v>
      </c>
      <c r="X63" s="2">
        <f>X8*'Output-Calculation-sheet'!X52/10^9</f>
        <v>0.11538192313218107</v>
      </c>
      <c r="Y63" s="2">
        <f>Y8*'Output-Calculation-sheet'!Y52/10^9</f>
        <v>5.9511684570874301E-2</v>
      </c>
      <c r="AA63" s="2">
        <f t="shared" si="4"/>
        <v>25.417047849504975</v>
      </c>
    </row>
    <row r="64" spans="1:27" x14ac:dyDescent="0.25">
      <c r="A64" s="2">
        <v>2032</v>
      </c>
      <c r="B64" s="2">
        <f>B9*'Output-Calculation-sheet'!B53/10^9</f>
        <v>9.417296981407949</v>
      </c>
      <c r="C64" s="2">
        <f>C9*'Output-Calculation-sheet'!C53/10^9</f>
        <v>4.7691386041125234</v>
      </c>
      <c r="D64" s="2">
        <f>D9*'Output-Calculation-sheet'!D53/10^9</f>
        <v>1.6705618696675337</v>
      </c>
      <c r="E64" s="2">
        <f>E9*'Output-Calculation-sheet'!E53/10^9</f>
        <v>2.1512761561010914</v>
      </c>
      <c r="F64" s="2">
        <f>F9*'Output-Calculation-sheet'!F53/10^9</f>
        <v>0.89405159254839062</v>
      </c>
      <c r="G64" s="2">
        <f>G9*'Output-Calculation-sheet'!G53/10^9</f>
        <v>0.6418396467490376</v>
      </c>
      <c r="H64" s="2">
        <f>H9*'Output-Calculation-sheet'!H53/10^9</f>
        <v>1.2352564483095017</v>
      </c>
      <c r="I64" s="2">
        <f>I9*'Output-Calculation-sheet'!I53/10^9</f>
        <v>0.57543504688477698</v>
      </c>
      <c r="J64" s="2">
        <f>J9*'Output-Calculation-sheet'!J53/10^9</f>
        <v>0.61842339347435171</v>
      </c>
      <c r="K64" s="2">
        <f>K9*'Output-Calculation-sheet'!K53/10^9</f>
        <v>0.63189506273171259</v>
      </c>
      <c r="L64" s="2">
        <f>L9*'Output-Calculation-sheet'!L53/10^9</f>
        <v>0.6569750956375805</v>
      </c>
      <c r="M64" s="2">
        <f>M9*'Output-Calculation-sheet'!M53/10^9</f>
        <v>0.93427978222291053</v>
      </c>
      <c r="N64" s="2">
        <f>N9*'Output-Calculation-sheet'!N53/10^9</f>
        <v>0.79022827478539526</v>
      </c>
      <c r="O64" s="2">
        <f>O9*'Output-Calculation-sheet'!O53/10^9</f>
        <v>0.81879222632102489</v>
      </c>
      <c r="P64" s="2">
        <f>P9*'Output-Calculation-sheet'!P53/10^9</f>
        <v>0.68073426742743426</v>
      </c>
      <c r="Q64" s="2">
        <f>Q9*'Output-Calculation-sheet'!Q53/10^9</f>
        <v>0.64387162645987073</v>
      </c>
      <c r="R64" s="2">
        <f>R9*'Output-Calculation-sheet'!R53/10^9</f>
        <v>0.54155044369654393</v>
      </c>
      <c r="S64" s="2">
        <f>S9*'Output-Calculation-sheet'!S53/10^9</f>
        <v>0.49757847429125229</v>
      </c>
      <c r="T64" s="2">
        <f>T9*'Output-Calculation-sheet'!T53/10^9</f>
        <v>0.1769451921994353</v>
      </c>
      <c r="U64" s="2">
        <f>U9*'Output-Calculation-sheet'!U53/10^9</f>
        <v>0.17419423842491438</v>
      </c>
      <c r="V64" s="2">
        <f>V9*'Output-Calculation-sheet'!V53/10^9</f>
        <v>0.15505108677356313</v>
      </c>
      <c r="W64" s="2">
        <f>W9*'Output-Calculation-sheet'!W53/10^9</f>
        <v>8.1417563567318704E-2</v>
      </c>
      <c r="X64" s="2">
        <f>X9*'Output-Calculation-sheet'!X53/10^9</f>
        <v>0.1312619516728</v>
      </c>
      <c r="Y64" s="2">
        <f>Y9*'Output-Calculation-sheet'!Y53/10^9</f>
        <v>6.7933379386491674E-2</v>
      </c>
      <c r="AA64" s="2">
        <f t="shared" si="4"/>
        <v>28.955988404853411</v>
      </c>
    </row>
    <row r="65" spans="1:27" x14ac:dyDescent="0.25">
      <c r="A65" s="2">
        <v>2033</v>
      </c>
      <c r="B65" s="2">
        <f>B10*'Output-Calculation-sheet'!B54/10^9</f>
        <v>10.451462896875913</v>
      </c>
      <c r="C65" s="2">
        <f>C10*'Output-Calculation-sheet'!C54/10^9</f>
        <v>6.8689548011561348</v>
      </c>
      <c r="D65" s="2">
        <f>D10*'Output-Calculation-sheet'!D54/10^9</f>
        <v>1.8629337153536765</v>
      </c>
      <c r="E65" s="2">
        <f>E10*'Output-Calculation-sheet'!E54/10^9</f>
        <v>2.372483055184103</v>
      </c>
      <c r="F65" s="2">
        <f>F10*'Output-Calculation-sheet'!F54/10^9</f>
        <v>1.0194764398487808</v>
      </c>
      <c r="G65" s="2">
        <f>G10*'Output-Calculation-sheet'!G54/10^9</f>
        <v>0.72581690360083584</v>
      </c>
      <c r="H65" s="2">
        <f>H10*'Output-Calculation-sheet'!H54/10^9</f>
        <v>1.7054693876371758</v>
      </c>
      <c r="I65" s="2">
        <f>I10*'Output-Calculation-sheet'!I54/10^9</f>
        <v>0.63638975778546403</v>
      </c>
      <c r="J65" s="2">
        <f>J10*'Output-Calculation-sheet'!J54/10^9</f>
        <v>0.75295012210423773</v>
      </c>
      <c r="K65" s="2">
        <f>K10*'Output-Calculation-sheet'!K54/10^9</f>
        <v>0.70457036767515024</v>
      </c>
      <c r="L65" s="2">
        <f>L10*'Output-Calculation-sheet'!L54/10^9</f>
        <v>0.72664561433401598</v>
      </c>
      <c r="M65" s="2">
        <f>M10*'Output-Calculation-sheet'!M54/10^9</f>
        <v>1.2126952489146334</v>
      </c>
      <c r="N65" s="2">
        <f>N10*'Output-Calculation-sheet'!N54/10^9</f>
        <v>1.0333412472672587</v>
      </c>
      <c r="O65" s="2">
        <f>O10*'Output-Calculation-sheet'!O54/10^9</f>
        <v>1.2023557540861665</v>
      </c>
      <c r="P65" s="2">
        <f>P10*'Output-Calculation-sheet'!P54/10^9</f>
        <v>0.76226750711451485</v>
      </c>
      <c r="Q65" s="2">
        <f>Q10*'Output-Calculation-sheet'!Q54/10^9</f>
        <v>0.7522018764946975</v>
      </c>
      <c r="R65" s="2">
        <f>R10*'Output-Calculation-sheet'!R54/10^9</f>
        <v>0.59631406080564808</v>
      </c>
      <c r="S65" s="2">
        <f>S10*'Output-Calculation-sheet'!S54/10^9</f>
        <v>0.59849375961590956</v>
      </c>
      <c r="T65" s="2">
        <f>T10*'Output-Calculation-sheet'!T54/10^9</f>
        <v>0.20193456425038261</v>
      </c>
      <c r="U65" s="2">
        <f>U10*'Output-Calculation-sheet'!U54/10^9</f>
        <v>0.19394482079198358</v>
      </c>
      <c r="V65" s="2">
        <f>V10*'Output-Calculation-sheet'!V54/10^9</f>
        <v>0.22851189311192488</v>
      </c>
      <c r="W65" s="2">
        <f>W10*'Output-Calculation-sheet'!W54/10^9</f>
        <v>9.7661488122447626E-2</v>
      </c>
      <c r="X65" s="2">
        <f>X10*'Output-Calculation-sheet'!X54/10^9</f>
        <v>0.15698733510993834</v>
      </c>
      <c r="Y65" s="2">
        <f>Y10*'Output-Calculation-sheet'!Y54/10^9</f>
        <v>7.5760354735467217E-2</v>
      </c>
      <c r="AA65" s="2">
        <f t="shared" si="4"/>
        <v>34.939622971976448</v>
      </c>
    </row>
    <row r="66" spans="1:27" x14ac:dyDescent="0.25">
      <c r="A66" s="2">
        <v>2034</v>
      </c>
      <c r="B66" s="2">
        <f>B11*'Output-Calculation-sheet'!B55/10^9</f>
        <v>11.692142143222185</v>
      </c>
      <c r="C66" s="2">
        <f>C11*'Output-Calculation-sheet'!C55/10^9</f>
        <v>7.7705915621010773</v>
      </c>
      <c r="D66" s="2">
        <f>D11*'Output-Calculation-sheet'!D55/10^9</f>
        <v>2.1153026024850656</v>
      </c>
      <c r="E66" s="2">
        <f>E11*'Output-Calculation-sheet'!E55/10^9</f>
        <v>2.7396547561677469</v>
      </c>
      <c r="F66" s="2">
        <f>F11*'Output-Calculation-sheet'!F55/10^9</f>
        <v>1.0781874070870625</v>
      </c>
      <c r="G66" s="2">
        <f>G11*'Output-Calculation-sheet'!G55/10^9</f>
        <v>0.78658120331075498</v>
      </c>
      <c r="H66" s="2">
        <f>H11*'Output-Calculation-sheet'!H55/10^9</f>
        <v>1.9629795230259084</v>
      </c>
      <c r="I66" s="2">
        <f>I11*'Output-Calculation-sheet'!I55/10^9</f>
        <v>0.73121790090855121</v>
      </c>
      <c r="J66" s="2">
        <f>J11*'Output-Calculation-sheet'!J55/10^9</f>
        <v>0.7362327303680658</v>
      </c>
      <c r="K66" s="2">
        <f>K11*'Output-Calculation-sheet'!K55/10^9</f>
        <v>0.83826713734594871</v>
      </c>
      <c r="L66" s="2">
        <f>L11*'Output-Calculation-sheet'!L55/10^9</f>
        <v>0.81268945567732975</v>
      </c>
      <c r="M66" s="2">
        <f>M11*'Output-Calculation-sheet'!M55/10^9</f>
        <v>1.3796054021273865</v>
      </c>
      <c r="N66" s="2">
        <f>N11*'Output-Calculation-sheet'!N55/10^9</f>
        <v>1.1993174729936402</v>
      </c>
      <c r="O66" s="2">
        <f>O11*'Output-Calculation-sheet'!O55/10^9</f>
        <v>1.367384498412215</v>
      </c>
      <c r="P66" s="2">
        <f>P11*'Output-Calculation-sheet'!P55/10^9</f>
        <v>0.87682141248578915</v>
      </c>
      <c r="Q66" s="2">
        <f>Q11*'Output-Calculation-sheet'!Q55/10^9</f>
        <v>0.90190218079901263</v>
      </c>
      <c r="R66" s="2">
        <f>R11*'Output-Calculation-sheet'!R55/10^9</f>
        <v>0.66730065793537063</v>
      </c>
      <c r="S66" s="2">
        <f>S11*'Output-Calculation-sheet'!S55/10^9</f>
        <v>0.69269917871243991</v>
      </c>
      <c r="T66" s="2">
        <f>T11*'Output-Calculation-sheet'!T55/10^9</f>
        <v>0.20907864415571517</v>
      </c>
      <c r="U66" s="2">
        <f>U11*'Output-Calculation-sheet'!U55/10^9</f>
        <v>0.22755449667657637</v>
      </c>
      <c r="V66" s="2">
        <f>V11*'Output-Calculation-sheet'!V55/10^9</f>
        <v>0.19759863914612169</v>
      </c>
      <c r="W66" s="2">
        <f>W11*'Output-Calculation-sheet'!W55/10^9</f>
        <v>9.680433619355977E-2</v>
      </c>
      <c r="X66" s="2">
        <f>X11*'Output-Calculation-sheet'!X55/10^9</f>
        <v>0.18089656194345471</v>
      </c>
      <c r="Y66" s="2">
        <f>Y11*'Output-Calculation-sheet'!Y55/10^9</f>
        <v>9.2883188260780153E-2</v>
      </c>
      <c r="AA66" s="2">
        <f t="shared" si="4"/>
        <v>39.353693091541757</v>
      </c>
    </row>
    <row r="67" spans="1:27" x14ac:dyDescent="0.25">
      <c r="A67" s="2">
        <v>2035</v>
      </c>
      <c r="B67" s="2">
        <f>B12*'Output-Calculation-sheet'!B56/10^9</f>
        <v>13.673089243931045</v>
      </c>
      <c r="C67" s="2">
        <f>C12*'Output-Calculation-sheet'!C56/10^9</f>
        <v>8.6403724238509323</v>
      </c>
      <c r="D67" s="2">
        <f>D12*'Output-Calculation-sheet'!D56/10^9</f>
        <v>2.7120521407022284</v>
      </c>
      <c r="E67" s="2">
        <f>E12*'Output-Calculation-sheet'!E56/10^9</f>
        <v>3.7088824828770282</v>
      </c>
      <c r="F67" s="2">
        <f>F12*'Output-Calculation-sheet'!F56/10^9</f>
        <v>1.4536354211953075</v>
      </c>
      <c r="G67" s="2">
        <f>G12*'Output-Calculation-sheet'!G56/10^9</f>
        <v>1.0725339251689008</v>
      </c>
      <c r="H67" s="2">
        <f>H12*'Output-Calculation-sheet'!H56/10^9</f>
        <v>2.2806422324007083</v>
      </c>
      <c r="I67" s="2">
        <f>I12*'Output-Calculation-sheet'!I56/10^9</f>
        <v>0.9827053001194469</v>
      </c>
      <c r="J67" s="2">
        <f>J12*'Output-Calculation-sheet'!J56/10^9</f>
        <v>0.89900816411835016</v>
      </c>
      <c r="K67" s="2">
        <f>K12*'Output-Calculation-sheet'!K56/10^9</f>
        <v>1.0771243418839049</v>
      </c>
      <c r="L67" s="2">
        <f>L12*'Output-Calculation-sheet'!L56/10^9</f>
        <v>1.0042029326135096</v>
      </c>
      <c r="M67" s="2">
        <f>M12*'Output-Calculation-sheet'!M56/10^9</f>
        <v>1.6136660267802874</v>
      </c>
      <c r="N67" s="2">
        <f>N12*'Output-Calculation-sheet'!N56/10^9</f>
        <v>1.3782203817749112</v>
      </c>
      <c r="O67" s="2">
        <f>O12*'Output-Calculation-sheet'!O56/10^9</f>
        <v>1.524369081901537</v>
      </c>
      <c r="P67" s="2">
        <f>P12*'Output-Calculation-sheet'!P56/10^9</f>
        <v>1.1184573514121789</v>
      </c>
      <c r="Q67" s="2">
        <f>Q12*'Output-Calculation-sheet'!Q56/10^9</f>
        <v>1.0565510117565644</v>
      </c>
      <c r="R67" s="2">
        <f>R12*'Output-Calculation-sheet'!R56/10^9</f>
        <v>0.82964634979064855</v>
      </c>
      <c r="S67" s="2">
        <f>S12*'Output-Calculation-sheet'!S56/10^9</f>
        <v>0.80089082282395219</v>
      </c>
      <c r="T67" s="2">
        <f>T12*'Output-Calculation-sheet'!T56/10^9</f>
        <v>0.25798653340185046</v>
      </c>
      <c r="U67" s="2">
        <f>U12*'Output-Calculation-sheet'!U56/10^9</f>
        <v>0.2789203274678298</v>
      </c>
      <c r="V67" s="2">
        <f>V12*'Output-Calculation-sheet'!V56/10^9</f>
        <v>0.19911498391481519</v>
      </c>
      <c r="W67" s="2">
        <f>W12*'Output-Calculation-sheet'!W56/10^9</f>
        <v>0.13502257685855515</v>
      </c>
      <c r="X67" s="2">
        <f>X12*'Output-Calculation-sheet'!X56/10^9</f>
        <v>0.20960391481769675</v>
      </c>
      <c r="Y67" s="2">
        <f>Y12*'Output-Calculation-sheet'!Y56/10^9</f>
        <v>0.12598977727753996</v>
      </c>
      <c r="AA67" s="2">
        <f t="shared" si="4"/>
        <v>47.032687748839734</v>
      </c>
    </row>
    <row r="68" spans="1:27" x14ac:dyDescent="0.25">
      <c r="B68" s="2">
        <f>SUM(B60:B67)</f>
        <v>69.956077126536002</v>
      </c>
      <c r="C68" s="2">
        <f t="shared" ref="C68:Y68" si="5">SUM(C60:C67)</f>
        <v>40.567294697713621</v>
      </c>
      <c r="D68" s="2">
        <f t="shared" si="5"/>
        <v>12.734951495727755</v>
      </c>
      <c r="E68" s="2">
        <f t="shared" si="5"/>
        <v>16.602965733169686</v>
      </c>
      <c r="F68" s="2">
        <f t="shared" si="5"/>
        <v>6.7909929260158401</v>
      </c>
      <c r="G68" s="2">
        <f t="shared" si="5"/>
        <v>4.9073769164410512</v>
      </c>
      <c r="H68" s="2">
        <f t="shared" si="5"/>
        <v>10.43601790282494</v>
      </c>
      <c r="I68" s="2">
        <f t="shared" si="5"/>
        <v>4.432807814874959</v>
      </c>
      <c r="J68" s="2">
        <f t="shared" si="5"/>
        <v>4.6271191843518933</v>
      </c>
      <c r="K68" s="2">
        <f t="shared" si="5"/>
        <v>4.9054685637939546</v>
      </c>
      <c r="L68" s="2">
        <f t="shared" si="5"/>
        <v>4.9212682553227163</v>
      </c>
      <c r="M68" s="2">
        <f t="shared" si="5"/>
        <v>7.5982995008770482</v>
      </c>
      <c r="N68" s="2">
        <f t="shared" si="5"/>
        <v>6.4762582361677543</v>
      </c>
      <c r="O68" s="2">
        <f t="shared" si="5"/>
        <v>7.0572219335157458</v>
      </c>
      <c r="P68" s="2">
        <f t="shared" si="5"/>
        <v>5.2167717874569126</v>
      </c>
      <c r="Q68" s="2">
        <f t="shared" si="5"/>
        <v>5.0374481804554163</v>
      </c>
      <c r="R68" s="2">
        <f t="shared" si="5"/>
        <v>4.0548630592956689</v>
      </c>
      <c r="S68" s="2">
        <f t="shared" si="5"/>
        <v>3.8944977626436907</v>
      </c>
      <c r="T68" s="2">
        <f t="shared" si="5"/>
        <v>1.3134070808981353</v>
      </c>
      <c r="U68" s="2">
        <f t="shared" si="5"/>
        <v>1.3299069792794247</v>
      </c>
      <c r="V68" s="2">
        <f t="shared" si="5"/>
        <v>1.1951925865195339</v>
      </c>
      <c r="W68" s="2">
        <f t="shared" si="5"/>
        <v>0.62444249952279218</v>
      </c>
      <c r="X68" s="2">
        <f t="shared" si="5"/>
        <v>1.0235657823555582</v>
      </c>
      <c r="Y68" s="2">
        <f t="shared" si="5"/>
        <v>0.54022330814870645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62.738263429676188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55.846502278148485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221.5862599955727</v>
      </c>
      <c r="S74" s="2">
        <f>S8/'Output-Calculation-sheet'!S7*'Output-Calculation-sheet'!S61</f>
        <v>0</v>
      </c>
      <c r="T74" s="2">
        <f>T8/'Output-Calculation-sheet'!T7*'Output-Calculation-sheet'!T61</f>
        <v>163.23705851922173</v>
      </c>
      <c r="U74" s="2">
        <f>U8/'Output-Calculation-sheet'!U7*'Output-Calculation-sheet'!U61</f>
        <v>20.678326574330903</v>
      </c>
      <c r="V74" s="2">
        <f>V8/'Output-Calculation-sheet'!V7*'Output-Calculation-sheet'!V61</f>
        <v>187.37271994748801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0.71145913074443801</v>
      </c>
    </row>
    <row r="75" spans="1:27" x14ac:dyDescent="0.25">
      <c r="A75" s="2">
        <v>2032</v>
      </c>
      <c r="B75" s="2">
        <f>B9/'Output-Calculation-sheet'!B8*'Output-Calculation-sheet'!B62</f>
        <v>709.36725820512709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143.8658117807409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115.26650196724211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304.99215630723938</v>
      </c>
      <c r="S75" s="2">
        <f>S9/'Output-Calculation-sheet'!S8*'Output-Calculation-sheet'!S62</f>
        <v>0</v>
      </c>
      <c r="T75" s="2">
        <f>T9/'Output-Calculation-sheet'!T8*'Output-Calculation-sheet'!T62</f>
        <v>201.45454596802242</v>
      </c>
      <c r="U75" s="2">
        <f>U9/'Output-Calculation-sheet'!U8*'Output-Calculation-sheet'!U62</f>
        <v>41.179928821104411</v>
      </c>
      <c r="V75" s="2">
        <f>V9/'Output-Calculation-sheet'!V8*'Output-Calculation-sheet'!V62</f>
        <v>215.80150552126688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1.7319277085707432</v>
      </c>
    </row>
    <row r="76" spans="1:27" x14ac:dyDescent="0.25">
      <c r="A76" s="2">
        <v>2033</v>
      </c>
      <c r="B76" s="2">
        <f>B10/'Output-Calculation-sheet'!B9*'Output-Calculation-sheet'!B63</f>
        <v>7428.6079545917883</v>
      </c>
      <c r="C76" s="2">
        <f>C10/'Output-Calculation-sheet'!C9*'Output-Calculation-sheet'!C63</f>
        <v>15172.613204087751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4837.5726780053283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3293.8963385225729</v>
      </c>
      <c r="N76" s="2">
        <f>N10/'Output-Calculation-sheet'!N9*'Output-Calculation-sheet'!N63</f>
        <v>1881.619434688595</v>
      </c>
      <c r="O76" s="2">
        <f>O10/'Output-Calculation-sheet'!O9*'Output-Calculation-sheet'!O63</f>
        <v>0</v>
      </c>
      <c r="P76" s="2">
        <f>P10/'Output-Calculation-sheet'!P9*'Output-Calculation-sheet'!P63</f>
        <v>653.39427386347643</v>
      </c>
      <c r="Q76" s="2">
        <f>Q10/'Output-Calculation-sheet'!Q9*'Output-Calculation-sheet'!Q63</f>
        <v>294.7070755302563</v>
      </c>
      <c r="R76" s="2">
        <f>R10/'Output-Calculation-sheet'!R9*'Output-Calculation-sheet'!R63</f>
        <v>497.99090092990753</v>
      </c>
      <c r="S76" s="2">
        <f>S10/'Output-Calculation-sheet'!S9*'Output-Calculation-sheet'!S63</f>
        <v>836.71224578785518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175.97279965089115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387.87969930443552</v>
      </c>
      <c r="Y76" s="2">
        <f>Y10/'Output-Calculation-sheet'!Y9*'Output-Calculation-sheet'!Y63</f>
        <v>7.3585752082529883</v>
      </c>
      <c r="AA76" s="2">
        <f t="shared" si="6"/>
        <v>35.642491678110936</v>
      </c>
    </row>
    <row r="77" spans="1:27" x14ac:dyDescent="0.25">
      <c r="A77" s="2">
        <v>2034</v>
      </c>
      <c r="B77" s="2">
        <f>B11/'Output-Calculation-sheet'!B10*'Output-Calculation-sheet'!B64</f>
        <v>19482.551984380756</v>
      </c>
      <c r="C77" s="2">
        <f>C11/'Output-Calculation-sheet'!C10*'Output-Calculation-sheet'!C64</f>
        <v>17114.644890263753</v>
      </c>
      <c r="D77" s="2">
        <f>D11/'Output-Calculation-sheet'!D10*'Output-Calculation-sheet'!D64</f>
        <v>2401.3176964407453</v>
      </c>
      <c r="E77" s="2">
        <f>E11/'Output-Calculation-sheet'!E10*'Output-Calculation-sheet'!E64</f>
        <v>2967.194428753161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1267.9022135702148</v>
      </c>
      <c r="H77" s="2">
        <f>H11/'Output-Calculation-sheet'!H10*'Output-Calculation-sheet'!H64</f>
        <v>6281.7945632270394</v>
      </c>
      <c r="I77" s="2">
        <f>I11/'Output-Calculation-sheet'!I10*'Output-Calculation-sheet'!I64</f>
        <v>747.98760242477306</v>
      </c>
      <c r="J77" s="2">
        <f>J11/'Output-Calculation-sheet'!J10*'Output-Calculation-sheet'!J64</f>
        <v>533.20021500664063</v>
      </c>
      <c r="K77" s="2">
        <f>K11/'Output-Calculation-sheet'!K10*'Output-Calculation-sheet'!K64</f>
        <v>1130.503042542131</v>
      </c>
      <c r="L77" s="2">
        <f>L11/'Output-Calculation-sheet'!L10*'Output-Calculation-sheet'!L64</f>
        <v>490.8601663387891</v>
      </c>
      <c r="M77" s="2">
        <f>M11/'Output-Calculation-sheet'!M10*'Output-Calculation-sheet'!M64</f>
        <v>4467.9317787109931</v>
      </c>
      <c r="N77" s="2">
        <f>N11/'Output-Calculation-sheet'!N10*'Output-Calculation-sheet'!N64</f>
        <v>3178.8237311710991</v>
      </c>
      <c r="O77" s="2">
        <f>O11/'Output-Calculation-sheet'!O10*'Output-Calculation-sheet'!O64</f>
        <v>110.83146321926112</v>
      </c>
      <c r="P77" s="2">
        <f>P11/'Output-Calculation-sheet'!P10*'Output-Calculation-sheet'!P64</f>
        <v>1403.01495248318</v>
      </c>
      <c r="Q77" s="2">
        <f>Q11/'Output-Calculation-sheet'!Q10*'Output-Calculation-sheet'!Q64</f>
        <v>800.58997783962513</v>
      </c>
      <c r="R77" s="2">
        <f>R11/'Output-Calculation-sheet'!R10*'Output-Calculation-sheet'!R64</f>
        <v>1200.6142464871159</v>
      </c>
      <c r="S77" s="2">
        <f>S11/'Output-Calculation-sheet'!S10*'Output-Calculation-sheet'!S64</f>
        <v>1605.2885825020521</v>
      </c>
      <c r="T77" s="2">
        <f>T11/'Output-Calculation-sheet'!T10*'Output-Calculation-sheet'!T64</f>
        <v>330.30725586447574</v>
      </c>
      <c r="U77" s="2">
        <f>U11/'Output-Calculation-sheet'!U10*'Output-Calculation-sheet'!U64</f>
        <v>439.01690346518956</v>
      </c>
      <c r="V77" s="2">
        <f>V11/'Output-Calculation-sheet'!V10*'Output-Calculation-sheet'!V64</f>
        <v>175.00546518310122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453.98929684811668</v>
      </c>
      <c r="Y77" s="2">
        <f>Y11/'Output-Calculation-sheet'!Y10*'Output-Calculation-sheet'!Y64</f>
        <v>109.9228476826529</v>
      </c>
      <c r="AA77" s="2">
        <f t="shared" si="6"/>
        <v>66.915020365033115</v>
      </c>
    </row>
    <row r="78" spans="1:27" x14ac:dyDescent="0.25">
      <c r="A78" s="2">
        <v>2035</v>
      </c>
      <c r="B78" s="2">
        <f>B12/'Output-Calculation-sheet'!B11*'Output-Calculation-sheet'!B65</f>
        <v>26461.2290624487</v>
      </c>
      <c r="C78" s="2">
        <f>C12/'Output-Calculation-sheet'!C11*'Output-Calculation-sheet'!C65</f>
        <v>18686.358719590895</v>
      </c>
      <c r="D78" s="2">
        <f>D12/'Output-Calculation-sheet'!D11*'Output-Calculation-sheet'!D65</f>
        <v>2809.2828766214529</v>
      </c>
      <c r="E78" s="2">
        <f>E12/'Output-Calculation-sheet'!E11*'Output-Calculation-sheet'!E65</f>
        <v>5340.3720654501067</v>
      </c>
      <c r="F78" s="2">
        <f>F12/'Output-Calculation-sheet'!F11*'Output-Calculation-sheet'!F65</f>
        <v>1131.1868418340814</v>
      </c>
      <c r="G78" s="2">
        <f>G12/'Output-Calculation-sheet'!G11*'Output-Calculation-sheet'!G65</f>
        <v>2122.5375515270143</v>
      </c>
      <c r="H78" s="2">
        <f>H12/'Output-Calculation-sheet'!H11*'Output-Calculation-sheet'!H65</f>
        <v>6833.7337041755345</v>
      </c>
      <c r="I78" s="2">
        <f>I12/'Output-Calculation-sheet'!I11*'Output-Calculation-sheet'!I65</f>
        <v>1248.1192239349828</v>
      </c>
      <c r="J78" s="2">
        <f>J12/'Output-Calculation-sheet'!J11*'Output-Calculation-sheet'!J65</f>
        <v>1119.3528462125121</v>
      </c>
      <c r="K78" s="2">
        <f>K12/'Output-Calculation-sheet'!K11*'Output-Calculation-sheet'!K65</f>
        <v>1412.5690866327245</v>
      </c>
      <c r="L78" s="2">
        <f>L12/'Output-Calculation-sheet'!L11*'Output-Calculation-sheet'!L65</f>
        <v>839.89512146459424</v>
      </c>
      <c r="M78" s="2">
        <f>M12/'Output-Calculation-sheet'!M11*'Output-Calculation-sheet'!M65</f>
        <v>4864.4562243184073</v>
      </c>
      <c r="N78" s="2">
        <f>N12/'Output-Calculation-sheet'!N11*'Output-Calculation-sheet'!N65</f>
        <v>3420.4982816550519</v>
      </c>
      <c r="O78" s="2">
        <f>O12/'Output-Calculation-sheet'!O11*'Output-Calculation-sheet'!O65</f>
        <v>479.50965415469346</v>
      </c>
      <c r="P78" s="2">
        <f>P12/'Output-Calculation-sheet'!P11*'Output-Calculation-sheet'!P65</f>
        <v>1944.5171532827346</v>
      </c>
      <c r="Q78" s="2">
        <f>Q12/'Output-Calculation-sheet'!Q11*'Output-Calculation-sheet'!Q65</f>
        <v>978.07283650871204</v>
      </c>
      <c r="R78" s="2">
        <f>R12/'Output-Calculation-sheet'!R11*'Output-Calculation-sheet'!R65</f>
        <v>1612.1599719522144</v>
      </c>
      <c r="S78" s="2">
        <f>S12/'Output-Calculation-sheet'!S11*'Output-Calculation-sheet'!S65</f>
        <v>1818.7652674582953</v>
      </c>
      <c r="T78" s="2">
        <f>T12/'Output-Calculation-sheet'!T11*'Output-Calculation-sheet'!T65</f>
        <v>579.69520696690779</v>
      </c>
      <c r="U78" s="2">
        <f>U12/'Output-Calculation-sheet'!U11*'Output-Calculation-sheet'!U65</f>
        <v>496.69147689724929</v>
      </c>
      <c r="V78" s="2">
        <f>V12/'Output-Calculation-sheet'!V11*'Output-Calculation-sheet'!V65</f>
        <v>312.84937309415341</v>
      </c>
      <c r="W78" s="2">
        <f>W12/'Output-Calculation-sheet'!W11*'Output-Calculation-sheet'!W65</f>
        <v>220.34979400785934</v>
      </c>
      <c r="X78" s="2">
        <f>X12/'Output-Calculation-sheet'!X11*'Output-Calculation-sheet'!X65</f>
        <v>501.36672242646108</v>
      </c>
      <c r="Y78" s="2">
        <f>Y12/'Output-Calculation-sheet'!Y11*'Output-Calculation-sheet'!Y65</f>
        <v>215.08325961959255</v>
      </c>
      <c r="AA78" s="2">
        <f t="shared" si="6"/>
        <v>85.448652322234935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547.60938405773811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531.92885691285232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1.0795382409705903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1186.6731304839705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45.661868426911283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31.419833747378661</v>
      </c>
      <c r="N88" s="2">
        <f>N11/'Output-Calculation-sheet'!N10*'Output-Calculation-sheet'!N73</f>
        <v>0</v>
      </c>
      <c r="O88" s="2">
        <f>O11/'Output-Calculation-sheet'!O10*'Output-Calculation-sheet'!O73</f>
        <v>662.79866199766138</v>
      </c>
      <c r="P88" s="2">
        <f>P11/'Output-Calculation-sheet'!P10*'Output-Calculation-sheet'!P73</f>
        <v>0</v>
      </c>
      <c r="Q88" s="2">
        <f>Q11/'Output-Calculation-sheet'!Q10*'Output-Calculation-sheet'!Q73</f>
        <v>27.056099284880876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3.4468332182953469</v>
      </c>
      <c r="Y88" s="2">
        <f>Y11/'Output-Calculation-sheet'!Y10*'Output-Calculation-sheet'!Y73</f>
        <v>0</v>
      </c>
      <c r="AA88" s="2">
        <f t="shared" si="7"/>
        <v>1.957056427159098</v>
      </c>
    </row>
    <row r="89" spans="1:27" x14ac:dyDescent="0.25">
      <c r="A89" s="2">
        <v>2035</v>
      </c>
      <c r="B89" s="2">
        <f>B12/'Output-Calculation-sheet'!B11*'Output-Calculation-sheet'!B74</f>
        <v>667.01694090012097</v>
      </c>
      <c r="C89" s="2">
        <f>C12/'Output-Calculation-sheet'!C11*'Output-Calculation-sheet'!C74</f>
        <v>2057.7772602915825</v>
      </c>
      <c r="D89" s="2">
        <f>D12/'Output-Calculation-sheet'!D11*'Output-Calculation-sheet'!D74</f>
        <v>280.43752199864764</v>
      </c>
      <c r="E89" s="2">
        <f>E12/'Output-Calculation-sheet'!E11*'Output-Calculation-sheet'!E74</f>
        <v>222.87302820984104</v>
      </c>
      <c r="F89" s="2">
        <f>F12/'Output-Calculation-sheet'!F11*'Output-Calculation-sheet'!F74</f>
        <v>70.085925764193391</v>
      </c>
      <c r="G89" s="2">
        <f>G12/'Output-Calculation-sheet'!G11*'Output-Calculation-sheet'!G74</f>
        <v>100.59896447826979</v>
      </c>
      <c r="H89" s="2">
        <f>H12/'Output-Calculation-sheet'!H11*'Output-Calculation-sheet'!H74</f>
        <v>243.63381858218895</v>
      </c>
      <c r="I89" s="2">
        <f>I12/'Output-Calculation-sheet'!I11*'Output-Calculation-sheet'!I74</f>
        <v>90.482762355733129</v>
      </c>
      <c r="J89" s="2">
        <f>J12/'Output-Calculation-sheet'!J11*'Output-Calculation-sheet'!J74</f>
        <v>44.774113848500484</v>
      </c>
      <c r="K89" s="2">
        <f>K12/'Output-Calculation-sheet'!K11*'Output-Calculation-sheet'!K74</f>
        <v>88.930312681486058</v>
      </c>
      <c r="L89" s="2">
        <f>L12/'Output-Calculation-sheet'!L11*'Output-Calculation-sheet'!L74</f>
        <v>70.713123255280507</v>
      </c>
      <c r="M89" s="2">
        <f>M12/'Output-Calculation-sheet'!M11*'Output-Calculation-sheet'!M74</f>
        <v>134.11512649499687</v>
      </c>
      <c r="N89" s="2">
        <f>N12/'Output-Calculation-sheet'!N11*'Output-Calculation-sheet'!N74</f>
        <v>98.860236661257005</v>
      </c>
      <c r="O89" s="2">
        <f>O12/'Output-Calculation-sheet'!O11*'Output-Calculation-sheet'!O74</f>
        <v>799.54152555775215</v>
      </c>
      <c r="P89" s="2">
        <f>P12/'Output-Calculation-sheet'!P11*'Output-Calculation-sheet'!P74</f>
        <v>60.886030412459988</v>
      </c>
      <c r="Q89" s="2">
        <f>Q12/'Output-Calculation-sheet'!Q11*'Output-Calculation-sheet'!Q74</f>
        <v>86.616439648309608</v>
      </c>
      <c r="R89" s="2">
        <f>R12/'Output-Calculation-sheet'!R11*'Output-Calculation-sheet'!R74</f>
        <v>57.264233721174101</v>
      </c>
      <c r="S89" s="2">
        <f>S12/'Output-Calculation-sheet'!S11*'Output-Calculation-sheet'!S74</f>
        <v>56.669946639817269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18.423957746847037</v>
      </c>
      <c r="V89" s="2">
        <f>V12/'Output-Calculation-sheet'!V11*'Output-Calculation-sheet'!V74</f>
        <v>7.103271191657095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22.069139995882608</v>
      </c>
      <c r="Y89" s="2">
        <f>Y12/'Output-Calculation-sheet'!Y11*'Output-Calculation-sheet'!Y74</f>
        <v>7.0990431428201193</v>
      </c>
      <c r="AA89" s="2">
        <f t="shared" si="7"/>
        <v>5.3027164994904643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18155352954.713367</v>
      </c>
      <c r="C96" s="2">
        <f>C8/'Output-Calculation-sheet'!C7*'Output-Calculation-sheet'!C79</f>
        <v>2234731702.1372371</v>
      </c>
      <c r="D96" s="2">
        <f>D8/'Output-Calculation-sheet'!D7*'Output-Calculation-sheet'!D79</f>
        <v>7913869196.3388443</v>
      </c>
      <c r="E96" s="2">
        <f>E8/'Output-Calculation-sheet'!E7*'Output-Calculation-sheet'!E79</f>
        <v>13530927984.776432</v>
      </c>
      <c r="F96" s="2">
        <f>F8/'Output-Calculation-sheet'!F7*'Output-Calculation-sheet'!F79</f>
        <v>6089369183.7438316</v>
      </c>
      <c r="G96" s="2">
        <f>G8/'Output-Calculation-sheet'!G7*'Output-Calculation-sheet'!G79</f>
        <v>4625152449.2248001</v>
      </c>
      <c r="H96" s="2">
        <f>H8/'Output-Calculation-sheet'!H7*'Output-Calculation-sheet'!H79</f>
        <v>1345614612.3040783</v>
      </c>
      <c r="I96" s="2">
        <f>I8/'Output-Calculation-sheet'!I7*'Output-Calculation-sheet'!I79</f>
        <v>3102426843.3169408</v>
      </c>
      <c r="J96" s="2">
        <f>J8/'Output-Calculation-sheet'!J7*'Output-Calculation-sheet'!J79</f>
        <v>2298952055.017592</v>
      </c>
      <c r="K96" s="2">
        <f>K8/'Output-Calculation-sheet'!K7*'Output-Calculation-sheet'!K79</f>
        <v>2658166525.7885232</v>
      </c>
      <c r="L96" s="2">
        <f>L8/'Output-Calculation-sheet'!L7*'Output-Calculation-sheet'!L79</f>
        <v>2114522629.3173027</v>
      </c>
      <c r="M96" s="2">
        <f>M8/'Output-Calculation-sheet'!M7*'Output-Calculation-sheet'!M79</f>
        <v>1046095279.3134692</v>
      </c>
      <c r="N96" s="2">
        <f>N8/'Output-Calculation-sheet'!N7*'Output-Calculation-sheet'!N79</f>
        <v>1062413547.7932353</v>
      </c>
      <c r="O96" s="2">
        <f>O8/'Output-Calculation-sheet'!O7*'Output-Calculation-sheet'!O79</f>
        <v>259335246.44214326</v>
      </c>
      <c r="P96" s="2">
        <f>P8/'Output-Calculation-sheet'!P7*'Output-Calculation-sheet'!P79</f>
        <v>2825654800.1074257</v>
      </c>
      <c r="Q96" s="2">
        <f>Q8/'Output-Calculation-sheet'!Q7*'Output-Calculation-sheet'!Q79</f>
        <v>1252984838.9688764</v>
      </c>
      <c r="R96" s="2">
        <f>R8/'Output-Calculation-sheet'!R7*'Output-Calculation-sheet'!R79</f>
        <v>1906396051.885144</v>
      </c>
      <c r="S96" s="2">
        <f>S8/'Output-Calculation-sheet'!S7*'Output-Calculation-sheet'!S79</f>
        <v>745156600.62392497</v>
      </c>
      <c r="T96" s="2">
        <f>T8/'Output-Calculation-sheet'!T7*'Output-Calculation-sheet'!T79</f>
        <v>1009179902.902737</v>
      </c>
      <c r="U96" s="2">
        <f>U8/'Output-Calculation-sheet'!U7*'Output-Calculation-sheet'!U79</f>
        <v>501231534.96735084</v>
      </c>
      <c r="V96" s="2">
        <f>V8/'Output-Calculation-sheet'!V7*'Output-Calculation-sheet'!V79</f>
        <v>369342031.20536911</v>
      </c>
      <c r="W96" s="2">
        <f>W8/'Output-Calculation-sheet'!W7*'Output-Calculation-sheet'!W79</f>
        <v>983943363.26830459</v>
      </c>
      <c r="X96" s="2">
        <f>X8/'Output-Calculation-sheet'!X7*'Output-Calculation-sheet'!X79</f>
        <v>116595146.6777956</v>
      </c>
      <c r="Y96" s="2">
        <f>Y8/'Output-Calculation-sheet'!Y7*'Output-Calculation-sheet'!Y79</f>
        <v>441581695.00582552</v>
      </c>
      <c r="AA96" s="2">
        <f t="shared" si="8"/>
        <v>76.588996175840578</v>
      </c>
    </row>
    <row r="97" spans="1:27" x14ac:dyDescent="0.25">
      <c r="A97" s="2">
        <v>2032</v>
      </c>
      <c r="B97" s="2">
        <f>B9/'Output-Calculation-sheet'!B8*'Output-Calculation-sheet'!B80</f>
        <v>21098543175.119701</v>
      </c>
      <c r="C97" s="2">
        <f>C9/'Output-Calculation-sheet'!C8*'Output-Calculation-sheet'!C80</f>
        <v>2650678544.6808209</v>
      </c>
      <c r="D97" s="2">
        <f>D9/'Output-Calculation-sheet'!D8*'Output-Calculation-sheet'!D80</f>
        <v>8729997976.3680267</v>
      </c>
      <c r="E97" s="2">
        <f>E9/'Output-Calculation-sheet'!E8*'Output-Calculation-sheet'!E80</f>
        <v>15370082558.397467</v>
      </c>
      <c r="F97" s="2">
        <f>F9/'Output-Calculation-sheet'!F8*'Output-Calculation-sheet'!F80</f>
        <v>6901076539.3464775</v>
      </c>
      <c r="G97" s="2">
        <f>G9/'Output-Calculation-sheet'!G8*'Output-Calculation-sheet'!G80</f>
        <v>5108045391.5776682</v>
      </c>
      <c r="H97" s="2">
        <f>H9/'Output-Calculation-sheet'!H8*'Output-Calculation-sheet'!H80</f>
        <v>1547770768.4113853</v>
      </c>
      <c r="I97" s="2">
        <f>I9/'Output-Calculation-sheet'!I8*'Output-Calculation-sheet'!I80</f>
        <v>3547902038.9614964</v>
      </c>
      <c r="J97" s="2">
        <f>J9/'Output-Calculation-sheet'!J8*'Output-Calculation-sheet'!J80</f>
        <v>2560018664.8153367</v>
      </c>
      <c r="K97" s="2">
        <f>K9/'Output-Calculation-sheet'!K8*'Output-Calculation-sheet'!K80</f>
        <v>2979937096.8203273</v>
      </c>
      <c r="L97" s="2">
        <f>L9/'Output-Calculation-sheet'!L8*'Output-Calculation-sheet'!L80</f>
        <v>2443378666.0601912</v>
      </c>
      <c r="M97" s="2">
        <f>M9/'Output-Calculation-sheet'!M8*'Output-Calculation-sheet'!M80</f>
        <v>1203054527.6064692</v>
      </c>
      <c r="N97" s="2">
        <f>N9/'Output-Calculation-sheet'!N8*'Output-Calculation-sheet'!N80</f>
        <v>1192379823.7647705</v>
      </c>
      <c r="O97" s="2">
        <f>O9/'Output-Calculation-sheet'!O8*'Output-Calculation-sheet'!O80</f>
        <v>311188696.50110722</v>
      </c>
      <c r="P97" s="2">
        <f>P9/'Output-Calculation-sheet'!P8*'Output-Calculation-sheet'!P80</f>
        <v>3164626023.0684724</v>
      </c>
      <c r="Q97" s="2">
        <f>Q9/'Output-Calculation-sheet'!Q8*'Output-Calculation-sheet'!Q80</f>
        <v>1407172283.6659534</v>
      </c>
      <c r="R97" s="2">
        <f>R9/'Output-Calculation-sheet'!R8*'Output-Calculation-sheet'!R80</f>
        <v>2189767221.8568211</v>
      </c>
      <c r="S97" s="2">
        <f>S9/'Output-Calculation-sheet'!S8*'Output-Calculation-sheet'!S80</f>
        <v>844524442.52595973</v>
      </c>
      <c r="T97" s="2">
        <f>T9/'Output-Calculation-sheet'!T8*'Output-Calculation-sheet'!T80</f>
        <v>1129214929.9448893</v>
      </c>
      <c r="U97" s="2">
        <f>U9/'Output-Calculation-sheet'!U8*'Output-Calculation-sheet'!U80</f>
        <v>573100386.06824672</v>
      </c>
      <c r="V97" s="2">
        <f>V9/'Output-Calculation-sheet'!V8*'Output-Calculation-sheet'!V80</f>
        <v>422162721.27031678</v>
      </c>
      <c r="W97" s="2">
        <f>W9/'Output-Calculation-sheet'!W8*'Output-Calculation-sheet'!W80</f>
        <v>1104020861.8997765</v>
      </c>
      <c r="X97" s="2">
        <f>X9/'Output-Calculation-sheet'!X8*'Output-Calculation-sheet'!X80</f>
        <v>135199161.43901441</v>
      </c>
      <c r="Y97" s="2">
        <f>Y9/'Output-Calculation-sheet'!Y8*'Output-Calculation-sheet'!Y80</f>
        <v>495755347.80779099</v>
      </c>
      <c r="AA97" s="2">
        <f t="shared" si="8"/>
        <v>87.109597847978492</v>
      </c>
    </row>
    <row r="98" spans="1:27" x14ac:dyDescent="0.25">
      <c r="A98" s="2">
        <v>2033</v>
      </c>
      <c r="B98" s="2">
        <f>B10/'Output-Calculation-sheet'!B9*'Output-Calculation-sheet'!B81</f>
        <v>27066263171.170055</v>
      </c>
      <c r="C98" s="2">
        <f>C10/'Output-Calculation-sheet'!C9*'Output-Calculation-sheet'!C81</f>
        <v>9279657195.9902554</v>
      </c>
      <c r="D98" s="2">
        <f>D10/'Output-Calculation-sheet'!D9*'Output-Calculation-sheet'!D81</f>
        <v>8831407294.5409718</v>
      </c>
      <c r="E98" s="2">
        <f>E10/'Output-Calculation-sheet'!E9*'Output-Calculation-sheet'!E81</f>
        <v>16612432790.759899</v>
      </c>
      <c r="F98" s="2">
        <f>F10/'Output-Calculation-sheet'!F9*'Output-Calculation-sheet'!F81</f>
        <v>6851368823.3964605</v>
      </c>
      <c r="G98" s="2">
        <f>G10/'Output-Calculation-sheet'!G9*'Output-Calculation-sheet'!G81</f>
        <v>5030484615.4218941</v>
      </c>
      <c r="H98" s="2">
        <f>H10/'Output-Calculation-sheet'!H9*'Output-Calculation-sheet'!H81</f>
        <v>4557660161.8688059</v>
      </c>
      <c r="I98" s="2">
        <f>I10/'Output-Calculation-sheet'!I9*'Output-Calculation-sheet'!I81</f>
        <v>3788761134.4575219</v>
      </c>
      <c r="J98" s="2">
        <f>J10/'Output-Calculation-sheet'!J9*'Output-Calculation-sheet'!J81</f>
        <v>2422629363.8075914</v>
      </c>
      <c r="K98" s="2">
        <f>K10/'Output-Calculation-sheet'!K9*'Output-Calculation-sheet'!K81</f>
        <v>3518965224.7740626</v>
      </c>
      <c r="L98" s="2">
        <f>L10/'Output-Calculation-sheet'!L9*'Output-Calculation-sheet'!L81</f>
        <v>2639276593.477808</v>
      </c>
      <c r="M98" s="2">
        <f>M10/'Output-Calculation-sheet'!M9*'Output-Calculation-sheet'!M81</f>
        <v>3422611422.5342302</v>
      </c>
      <c r="N98" s="2">
        <f>N10/'Output-Calculation-sheet'!N9*'Output-Calculation-sheet'!N81</f>
        <v>2455456645.7785373</v>
      </c>
      <c r="O98" s="2">
        <f>O10/'Output-Calculation-sheet'!O9*'Output-Calculation-sheet'!O81</f>
        <v>1300303016.3321805</v>
      </c>
      <c r="P98" s="2">
        <f>P10/'Output-Calculation-sheet'!P9*'Output-Calculation-sheet'!P81</f>
        <v>4155391163.2802925</v>
      </c>
      <c r="Q98" s="2">
        <f>Q10/'Output-Calculation-sheet'!Q9*'Output-Calculation-sheet'!Q81</f>
        <v>1953759583.3610368</v>
      </c>
      <c r="R98" s="2">
        <f>R10/'Output-Calculation-sheet'!R9*'Output-Calculation-sheet'!R81</f>
        <v>2499154087.9262886</v>
      </c>
      <c r="S98" s="2">
        <f>S10/'Output-Calculation-sheet'!S9*'Output-Calculation-sheet'!S81</f>
        <v>1444956009.2068982</v>
      </c>
      <c r="T98" s="2">
        <f>T10/'Output-Calculation-sheet'!T9*'Output-Calculation-sheet'!T81</f>
        <v>1072216803.7398341</v>
      </c>
      <c r="U98" s="2">
        <f>U10/'Output-Calculation-sheet'!U9*'Output-Calculation-sheet'!U81</f>
        <v>697653792.64573014</v>
      </c>
      <c r="V98" s="2">
        <f>V10/'Output-Calculation-sheet'!V9*'Output-Calculation-sheet'!V81</f>
        <v>369489196.91205347</v>
      </c>
      <c r="W98" s="2">
        <f>W10/'Output-Calculation-sheet'!W9*'Output-Calculation-sheet'!W81</f>
        <v>1047629347.1327603</v>
      </c>
      <c r="X98" s="2">
        <f>X10/'Output-Calculation-sheet'!X9*'Output-Calculation-sheet'!X81</f>
        <v>384972088.76744878</v>
      </c>
      <c r="Y98" s="2">
        <f>Y10/'Output-Calculation-sheet'!Y9*'Output-Calculation-sheet'!Y81</f>
        <v>576051493.45327795</v>
      </c>
      <c r="AA98" s="2">
        <f t="shared" si="8"/>
        <v>111.97855102073591</v>
      </c>
    </row>
    <row r="99" spans="1:27" x14ac:dyDescent="0.25">
      <c r="A99" s="2">
        <v>2034</v>
      </c>
      <c r="B99" s="2">
        <f>B11/'Output-Calculation-sheet'!B10*'Output-Calculation-sheet'!B82</f>
        <v>34202507908.901047</v>
      </c>
      <c r="C99" s="2">
        <f>C11/'Output-Calculation-sheet'!C10*'Output-Calculation-sheet'!C82</f>
        <v>11801268481.596556</v>
      </c>
      <c r="D99" s="2">
        <f>D11/'Output-Calculation-sheet'!D10*'Output-Calculation-sheet'!D82</f>
        <v>10735834809.076853</v>
      </c>
      <c r="E99" s="2">
        <f>E11/'Output-Calculation-sheet'!E10*'Output-Calculation-sheet'!E82</f>
        <v>20767531024.18269</v>
      </c>
      <c r="F99" s="2">
        <f>F11/'Output-Calculation-sheet'!F10*'Output-Calculation-sheet'!F82</f>
        <v>8553081879.5842857</v>
      </c>
      <c r="G99" s="2">
        <f>G11/'Output-Calculation-sheet'!G10*'Output-Calculation-sheet'!G82</f>
        <v>6080632576.5551023</v>
      </c>
      <c r="H99" s="2">
        <f>H11/'Output-Calculation-sheet'!H10*'Output-Calculation-sheet'!H82</f>
        <v>5683455137.9213219</v>
      </c>
      <c r="I99" s="2">
        <f>I11/'Output-Calculation-sheet'!I10*'Output-Calculation-sheet'!I82</f>
        <v>4773706651.2444897</v>
      </c>
      <c r="J99" s="2">
        <f>J11/'Output-Calculation-sheet'!J10*'Output-Calculation-sheet'!J82</f>
        <v>2970675823.3224673</v>
      </c>
      <c r="K99" s="2">
        <f>K11/'Output-Calculation-sheet'!K10*'Output-Calculation-sheet'!K82</f>
        <v>4346488561.8826342</v>
      </c>
      <c r="L99" s="2">
        <f>L11/'Output-Calculation-sheet'!L10*'Output-Calculation-sheet'!L82</f>
        <v>3355807025.8155866</v>
      </c>
      <c r="M99" s="2">
        <f>M11/'Output-Calculation-sheet'!M10*'Output-Calculation-sheet'!M82</f>
        <v>4281241410.5508184</v>
      </c>
      <c r="N99" s="2">
        <f>N11/'Output-Calculation-sheet'!N10*'Output-Calculation-sheet'!N82</f>
        <v>3016138574.016685</v>
      </c>
      <c r="O99" s="2">
        <f>O11/'Output-Calculation-sheet'!O10*'Output-Calculation-sheet'!O82</f>
        <v>1635200088.7343633</v>
      </c>
      <c r="P99" s="2">
        <f>P11/'Output-Calculation-sheet'!P10*'Output-Calculation-sheet'!P82</f>
        <v>5097289116.4172211</v>
      </c>
      <c r="Q99" s="2">
        <f>Q11/'Output-Calculation-sheet'!Q10*'Output-Calculation-sheet'!Q82</f>
        <v>2412357526.2910352</v>
      </c>
      <c r="R99" s="2">
        <f>R11/'Output-Calculation-sheet'!R10*'Output-Calculation-sheet'!R82</f>
        <v>3122785661.5811725</v>
      </c>
      <c r="S99" s="2">
        <f>S11/'Output-Calculation-sheet'!S10*'Output-Calculation-sheet'!S82</f>
        <v>1798811843.2325525</v>
      </c>
      <c r="T99" s="2">
        <f>T11/'Output-Calculation-sheet'!T10*'Output-Calculation-sheet'!T82</f>
        <v>1314721151.5737631</v>
      </c>
      <c r="U99" s="2">
        <f>U11/'Output-Calculation-sheet'!U10*'Output-Calculation-sheet'!U82</f>
        <v>870634849.32537651</v>
      </c>
      <c r="V99" s="2">
        <f>V11/'Output-Calculation-sheet'!V10*'Output-Calculation-sheet'!V82</f>
        <v>465517599.36696571</v>
      </c>
      <c r="W99" s="2">
        <f>W11/'Output-Calculation-sheet'!W10*'Output-Calculation-sheet'!W82</f>
        <v>1290896601.6597235</v>
      </c>
      <c r="X99" s="2">
        <f>X11/'Output-Calculation-sheet'!X10*'Output-Calculation-sheet'!X82</f>
        <v>486187199.99017906</v>
      </c>
      <c r="Y99" s="2">
        <f>Y11/'Output-Calculation-sheet'!Y10*'Output-Calculation-sheet'!Y82</f>
        <v>710402555.85256386</v>
      </c>
      <c r="AA99" s="2">
        <f t="shared" si="8"/>
        <v>139.77317405867541</v>
      </c>
    </row>
    <row r="100" spans="1:27" x14ac:dyDescent="0.25">
      <c r="A100" s="2">
        <v>2035</v>
      </c>
      <c r="B100" s="2">
        <f>B12/'Output-Calculation-sheet'!B11*'Output-Calculation-sheet'!B83</f>
        <v>41701765741.687386</v>
      </c>
      <c r="C100" s="2">
        <f>C12/'Output-Calculation-sheet'!C11*'Output-Calculation-sheet'!C83</f>
        <v>14478175729.99408</v>
      </c>
      <c r="D100" s="2">
        <f>D12/'Output-Calculation-sheet'!D11*'Output-Calculation-sheet'!D83</f>
        <v>12601395550.379171</v>
      </c>
      <c r="E100" s="2">
        <f>E12/'Output-Calculation-sheet'!E11*'Output-Calculation-sheet'!E83</f>
        <v>25060924226.101345</v>
      </c>
      <c r="F100" s="2">
        <f>F12/'Output-Calculation-sheet'!F11*'Output-Calculation-sheet'!F83</f>
        <v>10309064975.321581</v>
      </c>
      <c r="G100" s="2">
        <f>G12/'Output-Calculation-sheet'!G11*'Output-Calculation-sheet'!G83</f>
        <v>7084335006.9547005</v>
      </c>
      <c r="H100" s="2">
        <f>H12/'Output-Calculation-sheet'!H11*'Output-Calculation-sheet'!H83</f>
        <v>6842938189.8415689</v>
      </c>
      <c r="I100" s="2">
        <f>I12/'Output-Calculation-sheet'!I11*'Output-Calculation-sheet'!I83</f>
        <v>5806097894.8426838</v>
      </c>
      <c r="J100" s="2">
        <f>J12/'Output-Calculation-sheet'!J11*'Output-Calculation-sheet'!J83</f>
        <v>3518745221.6404505</v>
      </c>
      <c r="K100" s="2">
        <f>K12/'Output-Calculation-sheet'!K11*'Output-Calculation-sheet'!K83</f>
        <v>5184610550.2368326</v>
      </c>
      <c r="L100" s="2">
        <f>L12/'Output-Calculation-sheet'!L11*'Output-Calculation-sheet'!L83</f>
        <v>4116285153.4692965</v>
      </c>
      <c r="M100" s="2">
        <f>M12/'Output-Calculation-sheet'!M11*'Output-Calculation-sheet'!M83</f>
        <v>5170966287.2882357</v>
      </c>
      <c r="N100" s="2">
        <f>N12/'Output-Calculation-sheet'!N11*'Output-Calculation-sheet'!N83</f>
        <v>3577900255.1258831</v>
      </c>
      <c r="O100" s="2">
        <f>O12/'Output-Calculation-sheet'!O11*'Output-Calculation-sheet'!O83</f>
        <v>1985961821.8267045</v>
      </c>
      <c r="P100" s="2">
        <f>P12/'Output-Calculation-sheet'!P11*'Output-Calculation-sheet'!P83</f>
        <v>6031507166.2267141</v>
      </c>
      <c r="Q100" s="2">
        <f>Q12/'Output-Calculation-sheet'!Q11*'Output-Calculation-sheet'!Q83</f>
        <v>2877056567.6231651</v>
      </c>
      <c r="R100" s="2">
        <f>R12/'Output-Calculation-sheet'!R11*'Output-Calculation-sheet'!R83</f>
        <v>3767345219.4355788</v>
      </c>
      <c r="S100" s="2">
        <f>S12/'Output-Calculation-sheet'!S11*'Output-Calculation-sheet'!S83</f>
        <v>2162262593.0226622</v>
      </c>
      <c r="T100" s="2">
        <f>T12/'Output-Calculation-sheet'!T11*'Output-Calculation-sheet'!T83</f>
        <v>1556079895.8368149</v>
      </c>
      <c r="U100" s="2">
        <f>U12/'Output-Calculation-sheet'!U11*'Output-Calculation-sheet'!U83</f>
        <v>1048621663.9110954</v>
      </c>
      <c r="V100" s="2">
        <f>V12/'Output-Calculation-sheet'!V11*'Output-Calculation-sheet'!V83</f>
        <v>565792314.13549995</v>
      </c>
      <c r="W100" s="2">
        <f>W12/'Output-Calculation-sheet'!W11*'Output-Calculation-sheet'!W83</f>
        <v>1532870378.6437538</v>
      </c>
      <c r="X100" s="2">
        <f>X12/'Output-Calculation-sheet'!X11*'Output-Calculation-sheet'!X83</f>
        <v>592622248.49043584</v>
      </c>
      <c r="Y100" s="2">
        <f>Y12/'Output-Calculation-sheet'!Y11*'Output-Calculation-sheet'!Y83</f>
        <v>844703075.1908232</v>
      </c>
      <c r="AA100" s="2">
        <f t="shared" si="8"/>
        <v>168.4180277272265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6100.0728085344226</v>
      </c>
      <c r="C19" s="2">
        <f>C8/'Output-Calculation-sheet'!C7*'Output-Calculation-sheet'!C25</f>
        <v>8133.5976514831427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2963.610981737233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2169.22454576474</v>
      </c>
      <c r="N19" s="2">
        <f>N8/'Output-Calculation-sheet'!N7*'Output-Calculation-sheet'!N25</f>
        <v>1130.0943597405906</v>
      </c>
      <c r="O19" s="2">
        <f>O8/'Output-Calculation-sheet'!O7*'Output-Calculation-sheet'!O25</f>
        <v>1232.3974919812019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492.65392928072936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250.74812303834599</v>
      </c>
      <c r="Y19" s="2">
        <f>Y8/'Output-Calculation-sheet'!Y7*'Output-Calculation-sheet'!Y25</f>
        <v>0</v>
      </c>
      <c r="AA19" s="2">
        <f t="shared" si="0"/>
        <v>22.472399891560407</v>
      </c>
    </row>
    <row r="20" spans="1:27" x14ac:dyDescent="0.25">
      <c r="A20" s="2">
        <v>2032</v>
      </c>
      <c r="B20" s="2">
        <f>B9/'Output-Calculation-sheet'!B8*'Output-Calculation-sheet'!B26</f>
        <v>8398.7595558626563</v>
      </c>
      <c r="C20" s="2">
        <f>C9/'Output-Calculation-sheet'!C8*'Output-Calculation-sheet'!C26</f>
        <v>9680.2286209523081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3484.9234099584764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2544.7902035101351</v>
      </c>
      <c r="N20" s="2">
        <f>N9/'Output-Calculation-sheet'!N8*'Output-Calculation-sheet'!N26</f>
        <v>1447.5071483320244</v>
      </c>
      <c r="O20" s="2">
        <f>O9/'Output-Calculation-sheet'!O8*'Output-Calculation-sheet'!O26</f>
        <v>1497.4503821518053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654.33574255232668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293.95630476370673</v>
      </c>
      <c r="Y20" s="2">
        <f>Y9/'Output-Calculation-sheet'!Y8*'Output-Calculation-sheet'!Y26</f>
        <v>0</v>
      </c>
      <c r="AA20" s="2">
        <f t="shared" si="0"/>
        <v>28.001951368083439</v>
      </c>
    </row>
    <row r="21" spans="1:27" x14ac:dyDescent="0.25">
      <c r="A21" s="2">
        <v>2033</v>
      </c>
      <c r="B21" s="2">
        <f>B10/'Output-Calculation-sheet'!B9*'Output-Calculation-sheet'!B27</f>
        <v>19203.664127195978</v>
      </c>
      <c r="C21" s="2">
        <f>C10/'Output-Calculation-sheet'!C9*'Output-Calculation-sheet'!C27</f>
        <v>32979.082883027942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11115.430739171587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7720.3585991325917</v>
      </c>
      <c r="N21" s="2">
        <f>N10/'Output-Calculation-sheet'!N9*'Output-Calculation-sheet'!N27</f>
        <v>4224.4255653216433</v>
      </c>
      <c r="O21" s="2">
        <f>O10/'Output-Calculation-sheet'!O9*'Output-Calculation-sheet'!O27</f>
        <v>3290.4575289251425</v>
      </c>
      <c r="P21" s="2">
        <f>P10/'Output-Calculation-sheet'!P9*'Output-Calculation-sheet'!P27</f>
        <v>0</v>
      </c>
      <c r="Q21" s="2">
        <f>Q10/'Output-Calculation-sheet'!Q9*'Output-Calculation-sheet'!Q27</f>
        <v>288.13379690139749</v>
      </c>
      <c r="R21" s="2">
        <f>R10/'Output-Calculation-sheet'!R9*'Output-Calculation-sheet'!R27</f>
        <v>0</v>
      </c>
      <c r="S21" s="2">
        <f>S10/'Output-Calculation-sheet'!S9*'Output-Calculation-sheet'!S27</f>
        <v>1834.8280669353924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907.84803037353208</v>
      </c>
      <c r="Y21" s="2">
        <f>Y10/'Output-Calculation-sheet'!Y9*'Output-Calculation-sheet'!Y27</f>
        <v>0</v>
      </c>
      <c r="AA21" s="2">
        <f t="shared" si="0"/>
        <v>81.564229336985193</v>
      </c>
    </row>
    <row r="22" spans="1:27" x14ac:dyDescent="0.25">
      <c r="A22" s="2">
        <v>2034</v>
      </c>
      <c r="B22" s="2">
        <f>B11/'Output-Calculation-sheet'!B10*'Output-Calculation-sheet'!B28</f>
        <v>39618.481899539649</v>
      </c>
      <c r="C22" s="2">
        <f>C11/'Output-Calculation-sheet'!C10*'Output-Calculation-sheet'!C28</f>
        <v>38008.958816624807</v>
      </c>
      <c r="D22" s="2">
        <f>D11/'Output-Calculation-sheet'!D10*'Output-Calculation-sheet'!D28</f>
        <v>0</v>
      </c>
      <c r="E22" s="2">
        <f>E11/'Output-Calculation-sheet'!E10*'Output-Calculation-sheet'!E28</f>
        <v>2029.9902623131159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14504.146751013797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1210.4751623932641</v>
      </c>
      <c r="M22" s="2">
        <f>M11/'Output-Calculation-sheet'!M10*'Output-Calculation-sheet'!M28</f>
        <v>10574.797943188525</v>
      </c>
      <c r="N22" s="2">
        <f>N11/'Output-Calculation-sheet'!N10*'Output-Calculation-sheet'!N28</f>
        <v>6310.9144446605424</v>
      </c>
      <c r="O22" s="2">
        <f>O11/'Output-Calculation-sheet'!O10*'Output-Calculation-sheet'!O28</f>
        <v>3900.5582788552692</v>
      </c>
      <c r="P22" s="2">
        <f>P11/'Output-Calculation-sheet'!P10*'Output-Calculation-sheet'!P28</f>
        <v>0</v>
      </c>
      <c r="Q22" s="2">
        <f>Q11/'Output-Calculation-sheet'!Q10*'Output-Calculation-sheet'!Q28</f>
        <v>1433.6422439000476</v>
      </c>
      <c r="R22" s="2">
        <f>R11/'Output-Calculation-sheet'!R10*'Output-Calculation-sheet'!R28</f>
        <v>0</v>
      </c>
      <c r="S22" s="2">
        <f>S11/'Output-Calculation-sheet'!S10*'Output-Calculation-sheet'!S28</f>
        <v>3219.4563458886032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1061.8896031891575</v>
      </c>
      <c r="Y22" s="2">
        <f>Y11/'Output-Calculation-sheet'!Y10*'Output-Calculation-sheet'!Y28</f>
        <v>110.14646074403039</v>
      </c>
      <c r="AA22" s="2">
        <f t="shared" si="0"/>
        <v>121.98345821231079</v>
      </c>
    </row>
    <row r="23" spans="1:27" x14ac:dyDescent="0.25">
      <c r="A23" s="2">
        <v>2035</v>
      </c>
      <c r="B23" s="2">
        <f>B12/'Output-Calculation-sheet'!B11*'Output-Calculation-sheet'!B29</f>
        <v>51235.955816791909</v>
      </c>
      <c r="C23" s="2">
        <f>C12/'Output-Calculation-sheet'!C11*'Output-Calculation-sheet'!C29</f>
        <v>41848.89080335512</v>
      </c>
      <c r="D23" s="2">
        <f>D12/'Output-Calculation-sheet'!D11*'Output-Calculation-sheet'!D29</f>
        <v>0</v>
      </c>
      <c r="E23" s="2">
        <f>E12/'Output-Calculation-sheet'!E11*'Output-Calculation-sheet'!E29</f>
        <v>7899.3342318591576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16109.608773333201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1790.7153271922782</v>
      </c>
      <c r="M23" s="2">
        <f>M12/'Output-Calculation-sheet'!M11*'Output-Calculation-sheet'!M29</f>
        <v>11802.837759975046</v>
      </c>
      <c r="N23" s="2">
        <f>N12/'Output-Calculation-sheet'!N11*'Output-Calculation-sheet'!N29</f>
        <v>6885.2536248406104</v>
      </c>
      <c r="O23" s="2">
        <f>O12/'Output-Calculation-sheet'!O11*'Output-Calculation-sheet'!O29</f>
        <v>4641.5073665956943</v>
      </c>
      <c r="P23" s="2">
        <f>P12/'Output-Calculation-sheet'!P11*'Output-Calculation-sheet'!P29</f>
        <v>840.90766492597027</v>
      </c>
      <c r="Q23" s="2">
        <f>Q12/'Output-Calculation-sheet'!Q11*'Output-Calculation-sheet'!Q29</f>
        <v>1887.8283130239288</v>
      </c>
      <c r="R23" s="2">
        <f>R12/'Output-Calculation-sheet'!R11*'Output-Calculation-sheet'!R29</f>
        <v>0</v>
      </c>
      <c r="S23" s="2">
        <f>S12/'Output-Calculation-sheet'!S11*'Output-Calculation-sheet'!S29</f>
        <v>3685.6774378579184</v>
      </c>
      <c r="T23" s="2">
        <f>T12/'Output-Calculation-sheet'!T11*'Output-Calculation-sheet'!T29</f>
        <v>0</v>
      </c>
      <c r="U23" s="2">
        <f>U12/'Output-Calculation-sheet'!U11*'Output-Calculation-sheet'!U29</f>
        <v>160.72298895103083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1169.25472307782</v>
      </c>
      <c r="Y23" s="2">
        <f>Y12/'Output-Calculation-sheet'!Y11*'Output-Calculation-sheet'!Y29</f>
        <v>346.16469070100089</v>
      </c>
      <c r="AA23" s="2">
        <f t="shared" si="0"/>
        <v>150.30465952248068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29999.336969928212</v>
      </c>
      <c r="C30" s="2">
        <f>C8/'Output-Calculation-sheet'!C7*'Output-Calculation-sheet'!C16</f>
        <v>0</v>
      </c>
      <c r="D30" s="2">
        <f>D8/'Output-Calculation-sheet'!D7*'Output-Calculation-sheet'!D16</f>
        <v>6758.5614070690999</v>
      </c>
      <c r="E30" s="2">
        <f>E8/'Output-Calculation-sheet'!E7*'Output-Calculation-sheet'!E16</f>
        <v>8469.5570952068483</v>
      </c>
      <c r="F30" s="2">
        <f>F8/'Output-Calculation-sheet'!F7*'Output-Calculation-sheet'!F16</f>
        <v>4136.5309011733852</v>
      </c>
      <c r="G30" s="2">
        <f>G8/'Output-Calculation-sheet'!G7*'Output-Calculation-sheet'!G16</f>
        <v>2520.7482173868048</v>
      </c>
      <c r="H30" s="2">
        <f>H8/'Output-Calculation-sheet'!H7*'Output-Calculation-sheet'!H16</f>
        <v>0</v>
      </c>
      <c r="I30" s="2">
        <f>I8/'Output-Calculation-sheet'!I7*'Output-Calculation-sheet'!I16</f>
        <v>2372.9733325564553</v>
      </c>
      <c r="J30" s="2">
        <f>J8/'Output-Calculation-sheet'!J7*'Output-Calculation-sheet'!J16</f>
        <v>2543.7248193805385</v>
      </c>
      <c r="K30" s="2">
        <f>K8/'Output-Calculation-sheet'!K7*'Output-Calculation-sheet'!K16</f>
        <v>2462.0396945393309</v>
      </c>
      <c r="L30" s="2">
        <f>L8/'Output-Calculation-sheet'!L7*'Output-Calculation-sheet'!L16</f>
        <v>2721.3933548752498</v>
      </c>
      <c r="M30" s="2">
        <f>M8/'Output-Calculation-sheet'!M7*'Output-Calculation-sheet'!M16</f>
        <v>0</v>
      </c>
      <c r="N30" s="2">
        <f>N8/'Output-Calculation-sheet'!N7*'Output-Calculation-sheet'!N16</f>
        <v>1220.3455749067077</v>
      </c>
      <c r="O30" s="2">
        <f>O8/'Output-Calculation-sheet'!O7*'Output-Calculation-sheet'!O16</f>
        <v>0</v>
      </c>
      <c r="P30" s="2">
        <f>P8/'Output-Calculation-sheet'!P7*'Output-Calculation-sheet'!P16</f>
        <v>2329.64771899477</v>
      </c>
      <c r="Q30" s="2">
        <f>Q8/'Output-Calculation-sheet'!Q7*'Output-Calculation-sheet'!Q16</f>
        <v>2285.499826926929</v>
      </c>
      <c r="R30" s="2">
        <f>R8/'Output-Calculation-sheet'!R7*'Output-Calculation-sheet'!R16</f>
        <v>2028.2059235232496</v>
      </c>
      <c r="S30" s="2">
        <f>S8/'Output-Calculation-sheet'!S7*'Output-Calculation-sheet'!S16</f>
        <v>1074.202394334658</v>
      </c>
      <c r="T30" s="2">
        <f>T8/'Output-Calculation-sheet'!T7*'Output-Calculation-sheet'!T16</f>
        <v>766.08357496331041</v>
      </c>
      <c r="U30" s="2">
        <f>U8/'Output-Calculation-sheet'!U7*'Output-Calculation-sheet'!U16</f>
        <v>591.112116956622</v>
      </c>
      <c r="V30" s="2">
        <f>V8/'Output-Calculation-sheet'!V7*'Output-Calculation-sheet'!V16</f>
        <v>765.37198712660188</v>
      </c>
      <c r="W30" s="2">
        <f>W8/'Output-Calculation-sheet'!W7*'Output-Calculation-sheet'!W16</f>
        <v>368.51096835306947</v>
      </c>
      <c r="X30" s="2">
        <f>X8/'Output-Calculation-sheet'!X7*'Output-Calculation-sheet'!X16</f>
        <v>0</v>
      </c>
      <c r="Y30" s="2">
        <f>Y8/'Output-Calculation-sheet'!Y7*'Output-Calculation-sheet'!Y16</f>
        <v>251.3325144283416</v>
      </c>
      <c r="AA30" s="2">
        <f t="shared" si="1"/>
        <v>73.665178392630182</v>
      </c>
    </row>
    <row r="31" spans="1:27" x14ac:dyDescent="0.25">
      <c r="A31" s="2">
        <v>2032</v>
      </c>
      <c r="B31" s="2">
        <f>B9/'Output-Calculation-sheet'!B8*'Output-Calculation-sheet'!B17</f>
        <v>34030.558436407955</v>
      </c>
      <c r="C31" s="2">
        <f>C9/'Output-Calculation-sheet'!C8*'Output-Calculation-sheet'!C17</f>
        <v>0</v>
      </c>
      <c r="D31" s="2">
        <f>D9/'Output-Calculation-sheet'!D8*'Output-Calculation-sheet'!D17</f>
        <v>7788.8925677313637</v>
      </c>
      <c r="E31" s="2">
        <f>E9/'Output-Calculation-sheet'!E8*'Output-Calculation-sheet'!E17</f>
        <v>9783.8780394919031</v>
      </c>
      <c r="F31" s="2">
        <f>F9/'Output-Calculation-sheet'!F8*'Output-Calculation-sheet'!F17</f>
        <v>4773.7412519493837</v>
      </c>
      <c r="G31" s="2">
        <f>G9/'Output-Calculation-sheet'!G8*'Output-Calculation-sheet'!G17</f>
        <v>2905.9039539025134</v>
      </c>
      <c r="H31" s="2">
        <f>H9/'Output-Calculation-sheet'!H8*'Output-Calculation-sheet'!H17</f>
        <v>0</v>
      </c>
      <c r="I31" s="2">
        <f>I9/'Output-Calculation-sheet'!I8*'Output-Calculation-sheet'!I17</f>
        <v>2734.1811262486963</v>
      </c>
      <c r="J31" s="2">
        <f>J9/'Output-Calculation-sheet'!J8*'Output-Calculation-sheet'!J17</f>
        <v>2933.3069760865205</v>
      </c>
      <c r="K31" s="2">
        <f>K9/'Output-Calculation-sheet'!K8*'Output-Calculation-sheet'!K17</f>
        <v>2836.919782603165</v>
      </c>
      <c r="L31" s="2">
        <f>L9/'Output-Calculation-sheet'!L8*'Output-Calculation-sheet'!L17</f>
        <v>3134.6949417698675</v>
      </c>
      <c r="M31" s="2">
        <f>M9/'Output-Calculation-sheet'!M8*'Output-Calculation-sheet'!M17</f>
        <v>0</v>
      </c>
      <c r="N31" s="2">
        <f>N9/'Output-Calculation-sheet'!N8*'Output-Calculation-sheet'!N17</f>
        <v>1321.7064238303519</v>
      </c>
      <c r="O31" s="2">
        <f>O9/'Output-Calculation-sheet'!O8*'Output-Calculation-sheet'!O17</f>
        <v>0</v>
      </c>
      <c r="P31" s="2">
        <f>P9/'Output-Calculation-sheet'!P8*'Output-Calculation-sheet'!P17</f>
        <v>2700.1812378998652</v>
      </c>
      <c r="Q31" s="2">
        <f>Q9/'Output-Calculation-sheet'!Q8*'Output-Calculation-sheet'!Q17</f>
        <v>2640.6603751183211</v>
      </c>
      <c r="R31" s="2">
        <f>R9/'Output-Calculation-sheet'!R8*'Output-Calculation-sheet'!R17</f>
        <v>2363.3136236027735</v>
      </c>
      <c r="S31" s="2">
        <f>S9/'Output-Calculation-sheet'!S8*'Output-Calculation-sheet'!S17</f>
        <v>1183.0274418938968</v>
      </c>
      <c r="T31" s="2">
        <f>T9/'Output-Calculation-sheet'!T8*'Output-Calculation-sheet'!T17</f>
        <v>885.35139724072405</v>
      </c>
      <c r="U31" s="2">
        <f>U9/'Output-Calculation-sheet'!U8*'Output-Calculation-sheet'!U17</f>
        <v>685.5193608842759</v>
      </c>
      <c r="V31" s="2">
        <f>V9/'Output-Calculation-sheet'!V8*'Output-Calculation-sheet'!V17</f>
        <v>871.74779223557141</v>
      </c>
      <c r="W31" s="2">
        <f>W9/'Output-Calculation-sheet'!W8*'Output-Calculation-sheet'!W17</f>
        <v>424.88471828059249</v>
      </c>
      <c r="X31" s="2">
        <f>X9/'Output-Calculation-sheet'!X8*'Output-Calculation-sheet'!X17</f>
        <v>0</v>
      </c>
      <c r="Y31" s="2">
        <f>Y9/'Output-Calculation-sheet'!Y8*'Output-Calculation-sheet'!Y17</f>
        <v>289.64912445914956</v>
      </c>
      <c r="AA31" s="2">
        <f t="shared" si="1"/>
        <v>84.288118571636872</v>
      </c>
    </row>
    <row r="32" spans="1:27" x14ac:dyDescent="0.25">
      <c r="A32" s="2">
        <v>2033</v>
      </c>
      <c r="B32" s="2">
        <f>B10/'Output-Calculation-sheet'!B9*'Output-Calculation-sheet'!B18</f>
        <v>38985.810996641623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2375.6600190481672</v>
      </c>
      <c r="O32" s="2">
        <f>O10/'Output-Calculation-sheet'!O9*'Output-Calculation-sheet'!O18</f>
        <v>0</v>
      </c>
      <c r="P32" s="2">
        <f>P10/'Output-Calculation-sheet'!P9*'Output-Calculation-sheet'!P18</f>
        <v>3824.7714259704308</v>
      </c>
      <c r="Q32" s="2">
        <f>Q10/'Output-Calculation-sheet'!Q9*'Output-Calculation-sheet'!Q18</f>
        <v>4163.3709307343133</v>
      </c>
      <c r="R32" s="2">
        <f>R10/'Output-Calculation-sheet'!R9*'Output-Calculation-sheet'!R18</f>
        <v>2746.3845301460988</v>
      </c>
      <c r="S32" s="2">
        <f>S10/'Output-Calculation-sheet'!S9*'Output-Calculation-sheet'!S18</f>
        <v>1802.1934959813634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886.61633992361465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93.695919646547978</v>
      </c>
    </row>
    <row r="33" spans="1:27" x14ac:dyDescent="0.25">
      <c r="A33" s="2">
        <v>2034</v>
      </c>
      <c r="B33" s="2">
        <f>B11/'Output-Calculation-sheet'!B10*'Output-Calculation-sheet'!B19</f>
        <v>39961.527487250059</v>
      </c>
      <c r="C33" s="2">
        <f>C11/'Output-Calculation-sheet'!C10*'Output-Calculation-sheet'!C19</f>
        <v>0</v>
      </c>
      <c r="D33" s="2">
        <f>D11/'Output-Calculation-sheet'!D10*'Output-Calculation-sheet'!D19</f>
        <v>11920.084734402641</v>
      </c>
      <c r="E33" s="2">
        <f>E11/'Output-Calculation-sheet'!E10*'Output-Calculation-sheet'!E19</f>
        <v>14763.822014312143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4057.4841058266711</v>
      </c>
      <c r="H33" s="2">
        <f>H11/'Output-Calculation-sheet'!H10*'Output-Calculation-sheet'!H19</f>
        <v>0</v>
      </c>
      <c r="I33" s="2">
        <f>I11/'Output-Calculation-sheet'!I10*'Output-Calculation-sheet'!I19</f>
        <v>4427.284150471055</v>
      </c>
      <c r="J33" s="2">
        <f>J11/'Output-Calculation-sheet'!J10*'Output-Calculation-sheet'!J19</f>
        <v>3743.5540458586943</v>
      </c>
      <c r="K33" s="2">
        <f>K11/'Output-Calculation-sheet'!K10*'Output-Calculation-sheet'!K19</f>
        <v>5194.7214546636451</v>
      </c>
      <c r="L33" s="2">
        <f>L11/'Output-Calculation-sheet'!L10*'Output-Calculation-sheet'!L19</f>
        <v>4224.5460505511364</v>
      </c>
      <c r="M33" s="2">
        <f>M11/'Output-Calculation-sheet'!M10*'Output-Calculation-sheet'!M19</f>
        <v>0</v>
      </c>
      <c r="N33" s="2">
        <f>N11/'Output-Calculation-sheet'!N10*'Output-Calculation-sheet'!N19</f>
        <v>2388.8012819401665</v>
      </c>
      <c r="O33" s="2">
        <f>O11/'Output-Calculation-sheet'!O10*'Output-Calculation-sheet'!O19</f>
        <v>0</v>
      </c>
      <c r="P33" s="2">
        <f>P11/'Output-Calculation-sheet'!P10*'Output-Calculation-sheet'!P19</f>
        <v>5256.1417557786444</v>
      </c>
      <c r="Q33" s="2">
        <f>Q11/'Output-Calculation-sheet'!Q10*'Output-Calculation-sheet'!Q19</f>
        <v>4328.377554732313</v>
      </c>
      <c r="R33" s="2">
        <f>R11/'Output-Calculation-sheet'!R10*'Output-Calculation-sheet'!R19</f>
        <v>3752.8004944933323</v>
      </c>
      <c r="S33" s="2">
        <f>S11/'Output-Calculation-sheet'!S10*'Output-Calculation-sheet'!S19</f>
        <v>1749.4234525896886</v>
      </c>
      <c r="T33" s="2">
        <f>T11/'Output-Calculation-sheet'!T10*'Output-Calculation-sheet'!T19</f>
        <v>1101.1804540033336</v>
      </c>
      <c r="U33" s="2">
        <f>U11/'Output-Calculation-sheet'!U10*'Output-Calculation-sheet'!U19</f>
        <v>1267.3638430112846</v>
      </c>
      <c r="V33" s="2">
        <f>V11/'Output-Calculation-sheet'!V10*'Output-Calculation-sheet'!V19</f>
        <v>863.5403933273617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155.71148138145514</v>
      </c>
      <c r="Y33" s="2">
        <f>Y11/'Output-Calculation-sheet'!Y10*'Output-Calculation-sheet'!Y19</f>
        <v>484.64442727373375</v>
      </c>
      <c r="AA33" s="2">
        <f t="shared" si="1"/>
        <v>116.95422220740268</v>
      </c>
    </row>
    <row r="34" spans="1:27" x14ac:dyDescent="0.25">
      <c r="A34" s="2">
        <v>2035</v>
      </c>
      <c r="B34" s="2">
        <f>B12/'Output-Calculation-sheet'!B11*'Output-Calculation-sheet'!B20</f>
        <v>40778.266844130558</v>
      </c>
      <c r="C34" s="2">
        <f>C12/'Output-Calculation-sheet'!C11*'Output-Calculation-sheet'!C20</f>
        <v>0</v>
      </c>
      <c r="D34" s="2">
        <f>D12/'Output-Calculation-sheet'!D11*'Output-Calculation-sheet'!D20</f>
        <v>12797.463731197549</v>
      </c>
      <c r="E34" s="2">
        <f>E12/'Output-Calculation-sheet'!E11*'Output-Calculation-sheet'!E20</f>
        <v>13983.109640675577</v>
      </c>
      <c r="F34" s="2">
        <f>F12/'Output-Calculation-sheet'!F11*'Output-Calculation-sheet'!F20</f>
        <v>8810.0147631282725</v>
      </c>
      <c r="G34" s="2">
        <f>G12/'Output-Calculation-sheet'!G11*'Output-Calculation-sheet'!G20</f>
        <v>4707.8103247596009</v>
      </c>
      <c r="H34" s="2">
        <f>H12/'Output-Calculation-sheet'!H11*'Output-Calculation-sheet'!H20</f>
        <v>0</v>
      </c>
      <c r="I34" s="2">
        <f>I12/'Output-Calculation-sheet'!I11*'Output-Calculation-sheet'!I20</f>
        <v>5116.7487652485834</v>
      </c>
      <c r="J34" s="2">
        <f>J12/'Output-Calculation-sheet'!J11*'Output-Calculation-sheet'!J20</f>
        <v>4392.7332334003941</v>
      </c>
      <c r="K34" s="2">
        <f>K12/'Output-Calculation-sheet'!K11*'Output-Calculation-sheet'!K20</f>
        <v>5775.3746664356258</v>
      </c>
      <c r="L34" s="2">
        <f>L12/'Output-Calculation-sheet'!L11*'Output-Calculation-sheet'!L20</f>
        <v>4564.3711051524651</v>
      </c>
      <c r="M34" s="2">
        <f>M12/'Output-Calculation-sheet'!M11*'Output-Calculation-sheet'!M20</f>
        <v>0</v>
      </c>
      <c r="N34" s="2">
        <f>N12/'Output-Calculation-sheet'!N11*'Output-Calculation-sheet'!N20</f>
        <v>2540.0732706431882</v>
      </c>
      <c r="O34" s="2">
        <f>O12/'Output-Calculation-sheet'!O11*'Output-Calculation-sheet'!O20</f>
        <v>0</v>
      </c>
      <c r="P34" s="2">
        <f>P12/'Output-Calculation-sheet'!P11*'Output-Calculation-sheet'!P20</f>
        <v>5676.5997755155367</v>
      </c>
      <c r="Q34" s="2">
        <f>Q12/'Output-Calculation-sheet'!Q11*'Output-Calculation-sheet'!Q20</f>
        <v>4491.7254421924054</v>
      </c>
      <c r="R34" s="2">
        <f>R12/'Output-Calculation-sheet'!R11*'Output-Calculation-sheet'!R20</f>
        <v>4508.3452201364826</v>
      </c>
      <c r="S34" s="2">
        <f>S12/'Output-Calculation-sheet'!S11*'Output-Calculation-sheet'!S20</f>
        <v>1722.0784814464544</v>
      </c>
      <c r="T34" s="2">
        <f>T12/'Output-Calculation-sheet'!T11*'Output-Calculation-sheet'!T20</f>
        <v>1416.3828020249937</v>
      </c>
      <c r="U34" s="2">
        <f>U12/'Output-Calculation-sheet'!U11*'Output-Calculation-sheet'!U20</f>
        <v>1292.2298232542946</v>
      </c>
      <c r="V34" s="2">
        <f>V12/'Output-Calculation-sheet'!V11*'Output-Calculation-sheet'!V20</f>
        <v>1187.0455456398247</v>
      </c>
      <c r="W34" s="2">
        <f>W12/'Output-Calculation-sheet'!W11*'Output-Calculation-sheet'!W20</f>
        <v>763.70318570105223</v>
      </c>
      <c r="X34" s="2">
        <f>X12/'Output-Calculation-sheet'!X11*'Output-Calculation-sheet'!X20</f>
        <v>154.34728716095918</v>
      </c>
      <c r="Y34" s="2">
        <f>Y12/'Output-Calculation-sheet'!Y11*'Output-Calculation-sheet'!Y20</f>
        <v>428.08448665012298</v>
      </c>
      <c r="AA34" s="2">
        <f t="shared" si="1"/>
        <v>125.10650839449396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1.5618728807309921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0.91028964836309989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2.4721625290940921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3.3839832130073244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0.52084771201720315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0.3583941937347056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1.31483380286082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0.30861872048002231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3.9316726566448613E-2</v>
      </c>
      <c r="Y44" s="2">
        <f>Y11/'Output-Calculation-sheet'!Y10*'Output-Calculation-sheet'!Y37*0.0114</f>
        <v>0</v>
      </c>
      <c r="AA44" s="2">
        <f t="shared" si="2"/>
        <v>5.9259943686665233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3.6179774095709063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1.4057513576916065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4.2035382441886683E-2</v>
      </c>
      <c r="Y45" s="2">
        <f>Y12/'Output-Calculation-sheet'!Y11*'Output-Calculation-sheet'!Y38*0.0114</f>
        <v>4.056492371731351E-2</v>
      </c>
      <c r="AA45" s="2">
        <f t="shared" si="2"/>
        <v>18.025902891305158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171.42582711442711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152.59480134018034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663.55222470065132</v>
      </c>
      <c r="S52" s="2">
        <f>S8/'Output-Calculation-sheet'!S7*'Output-Calculation-sheet'!S43</f>
        <v>0</v>
      </c>
      <c r="T52" s="2">
        <f>T8/'Output-Calculation-sheet'!T7*'Output-Calculation-sheet'!T43</f>
        <v>534.30396082303628</v>
      </c>
      <c r="U52" s="2">
        <f>U8/'Output-Calculation-sheet'!U7*'Output-Calculation-sheet'!U43</f>
        <v>56.511674661244932</v>
      </c>
      <c r="V52" s="2">
        <f>V8/'Output-Calculation-sheet'!V7*'Output-Calculation-sheet'!V43</f>
        <v>963.50551903613268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2.5418940076756726</v>
      </c>
    </row>
    <row r="53" spans="1:27" x14ac:dyDescent="0.25">
      <c r="A53" s="2">
        <v>2032</v>
      </c>
      <c r="B53" s="2">
        <f>B9/'Output-Calculation-sheet'!B8*'Output-Calculation-sheet'!B44</f>
        <v>2086.3243734482612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393.32222816455021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315.10441251332259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985.12447836714205</v>
      </c>
      <c r="S53" s="2">
        <f>S9/'Output-Calculation-sheet'!S8*'Output-Calculation-sheet'!S44</f>
        <v>0</v>
      </c>
      <c r="T53" s="2">
        <f>T9/'Output-Calculation-sheet'!T8*'Output-Calculation-sheet'!T44</f>
        <v>679.22360082087641</v>
      </c>
      <c r="U53" s="2">
        <f>U9/'Output-Calculation-sheet'!U8*'Output-Calculation-sheet'!U44</f>
        <v>115.2545002852743</v>
      </c>
      <c r="V53" s="2">
        <f>V9/'Output-Calculation-sheet'!V8*'Output-Calculation-sheet'!V44</f>
        <v>1138.6683067844924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5.7130219003839189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84669.950902785349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0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1099.5565536566774</v>
      </c>
      <c r="R54" s="2">
        <f>R10/'Output-Calculation-sheet'!R9*'Output-Calculation-sheet'!R45</f>
        <v>1833.8803586938513</v>
      </c>
      <c r="S54" s="2">
        <f>S10/'Output-Calculation-sheet'!S9*'Output-Calculation-sheet'!S45</f>
        <v>4381.7961000399673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661.78489013885167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190.45603848466897</v>
      </c>
    </row>
    <row r="55" spans="1:27" x14ac:dyDescent="0.25">
      <c r="A55" s="2">
        <v>2034</v>
      </c>
      <c r="B55" s="2">
        <f>B11/'Output-Calculation-sheet'!B10*'Output-Calculation-sheet'!B46</f>
        <v>113827.34177446608</v>
      </c>
      <c r="C55" s="2">
        <f>C11/'Output-Calculation-sheet'!C10*'Output-Calculation-sheet'!C46</f>
        <v>93653.219623141311</v>
      </c>
      <c r="D55" s="2">
        <f>D11/'Output-Calculation-sheet'!D10*'Output-Calculation-sheet'!D46</f>
        <v>10518.031178331104</v>
      </c>
      <c r="E55" s="2">
        <f>E11/'Output-Calculation-sheet'!E10*'Output-Calculation-sheet'!E46</f>
        <v>12956.495394627669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33763.724489536238</v>
      </c>
      <c r="I55" s="2">
        <f>I11/'Output-Calculation-sheet'!I10*'Output-Calculation-sheet'!I46</f>
        <v>2545.2207022168241</v>
      </c>
      <c r="J55" s="2">
        <f>J11/'Output-Calculation-sheet'!J10*'Output-Calculation-sheet'!J46</f>
        <v>1847.2174275853151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1823.3542555152831</v>
      </c>
      <c r="M55" s="2">
        <f>M11/'Output-Calculation-sheet'!M10*'Output-Calculation-sheet'!M46</f>
        <v>23861.50816181066</v>
      </c>
      <c r="N55" s="2">
        <f>N11/'Output-Calculation-sheet'!N10*'Output-Calculation-sheet'!N46</f>
        <v>18199.272484675635</v>
      </c>
      <c r="O55" s="2">
        <f>O11/'Output-Calculation-sheet'!O10*'Output-Calculation-sheet'!O46</f>
        <v>403.67704473797102</v>
      </c>
      <c r="P55" s="2">
        <f>P11/'Output-Calculation-sheet'!P10*'Output-Calculation-sheet'!P46</f>
        <v>6765.1020496670344</v>
      </c>
      <c r="Q55" s="2">
        <f>Q11/'Output-Calculation-sheet'!Q10*'Output-Calculation-sheet'!Q46</f>
        <v>3979.5571851371296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8944.6071029441409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2073.0153436157511</v>
      </c>
      <c r="V55" s="2">
        <f>V11/'Output-Calculation-sheet'!V10*'Output-Calculation-sheet'!V46</f>
        <v>839.20349205768878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2441.7756499162824</v>
      </c>
      <c r="Y55" s="2">
        <f>Y11/'Output-Calculation-sheet'!Y10*'Output-Calculation-sheet'!Y46</f>
        <v>635.68436326060748</v>
      </c>
      <c r="AA55" s="2">
        <f t="shared" si="3"/>
        <v>355.93071603842628</v>
      </c>
    </row>
    <row r="56" spans="1:27" x14ac:dyDescent="0.25">
      <c r="A56" s="2">
        <v>2035</v>
      </c>
      <c r="B56" s="2">
        <f>B12/'Output-Calculation-sheet'!B11*'Output-Calculation-sheet'!B47</f>
        <v>154797.46776886107</v>
      </c>
      <c r="C56" s="2">
        <f>C12/'Output-Calculation-sheet'!C11*'Output-Calculation-sheet'!C47</f>
        <v>101715.94383925223</v>
      </c>
      <c r="D56" s="2">
        <f>D12/'Output-Calculation-sheet'!D11*'Output-Calculation-sheet'!D47</f>
        <v>12369.860156250788</v>
      </c>
      <c r="E56" s="2">
        <f>E12/'Output-Calculation-sheet'!E11*'Output-Calculation-sheet'!E47</f>
        <v>34742.72667771914</v>
      </c>
      <c r="F56" s="2">
        <f>F12/'Output-Calculation-sheet'!F11*'Output-Calculation-sheet'!F47</f>
        <v>4285.84678887668</v>
      </c>
      <c r="G56" s="2">
        <f>G12/'Output-Calculation-sheet'!G11*'Output-Calculation-sheet'!G47</f>
        <v>9681.4573320963482</v>
      </c>
      <c r="H56" s="2">
        <f>H12/'Output-Calculation-sheet'!H11*'Output-Calculation-sheet'!H47</f>
        <v>36977.661264530274</v>
      </c>
      <c r="I56" s="2">
        <f>I12/'Output-Calculation-sheet'!I11*'Output-Calculation-sheet'!I47</f>
        <v>4898.1897255501908</v>
      </c>
      <c r="J56" s="2">
        <f>J12/'Output-Calculation-sheet'!J11*'Output-Calculation-sheet'!J47</f>
        <v>4443.6330299249894</v>
      </c>
      <c r="K56" s="2">
        <f>K12/'Output-Calculation-sheet'!K11*'Output-Calculation-sheet'!K47</f>
        <v>6418.865981034317</v>
      </c>
      <c r="L56" s="2">
        <f>L12/'Output-Calculation-sheet'!L11*'Output-Calculation-sheet'!L47</f>
        <v>3544.4268381938132</v>
      </c>
      <c r="M56" s="2">
        <f>M12/'Output-Calculation-sheet'!M11*'Output-Calculation-sheet'!M47</f>
        <v>25780.368964547517</v>
      </c>
      <c r="N56" s="2">
        <f>N12/'Output-Calculation-sheet'!N11*'Output-Calculation-sheet'!N47</f>
        <v>19688.953951142412</v>
      </c>
      <c r="O56" s="2">
        <f>O12/'Output-Calculation-sheet'!O11*'Output-Calculation-sheet'!O47</f>
        <v>1849.6728390679032</v>
      </c>
      <c r="P56" s="2">
        <f>P12/'Output-Calculation-sheet'!P11*'Output-Calculation-sheet'!P47</f>
        <v>10223.708635777022</v>
      </c>
      <c r="Q56" s="2">
        <f>Q12/'Output-Calculation-sheet'!Q11*'Output-Calculation-sheet'!Q47</f>
        <v>5180.9344417895754</v>
      </c>
      <c r="R56" s="2">
        <f>R12/'Output-Calculation-sheet'!R11*'Output-Calculation-sheet'!R47</f>
        <v>7548.9265343411435</v>
      </c>
      <c r="S56" s="2">
        <f>S12/'Output-Calculation-sheet'!S11*'Output-Calculation-sheet'!S47</f>
        <v>9998.6522488258797</v>
      </c>
      <c r="T56" s="2">
        <f>T12/'Output-Calculation-sheet'!T11*'Output-Calculation-sheet'!T47</f>
        <v>2644.1694234834567</v>
      </c>
      <c r="U56" s="2">
        <f>U12/'Output-Calculation-sheet'!U11*'Output-Calculation-sheet'!U47</f>
        <v>2530.3435401391889</v>
      </c>
      <c r="V56" s="2">
        <f>V12/'Output-Calculation-sheet'!V11*'Output-Calculation-sheet'!V47</f>
        <v>1765.9811715647754</v>
      </c>
      <c r="W56" s="2">
        <f>W12/'Output-Calculation-sheet'!W11*'Output-Calculation-sheet'!W47</f>
        <v>1005.0835602344011</v>
      </c>
      <c r="X56" s="2">
        <f>X12/'Output-Calculation-sheet'!X11*'Output-Calculation-sheet'!X47</f>
        <v>2662.2408879861564</v>
      </c>
      <c r="Y56" s="2">
        <f>Y12/'Output-Calculation-sheet'!Y11*'Output-Calculation-sheet'!Y47</f>
        <v>1362.8391038360592</v>
      </c>
      <c r="AA56" s="2">
        <f t="shared" si="3"/>
        <v>466.11795470502523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8.2777922979663625</v>
      </c>
      <c r="C63" s="2">
        <f>C8*'Output-Calculation-sheet'!C52/10^9</f>
        <v>4.1958206607292539</v>
      </c>
      <c r="D63" s="2">
        <f>D8*'Output-Calculation-sheet'!D52/10^9</f>
        <v>1.465787079730537</v>
      </c>
      <c r="E63" s="2">
        <f>E8*'Output-Calculation-sheet'!E52/10^9</f>
        <v>1.8873308323231144</v>
      </c>
      <c r="F63" s="2">
        <f>F8*'Output-Calculation-sheet'!F52/10^9</f>
        <v>0.78503964090149136</v>
      </c>
      <c r="G63" s="2">
        <f>G8*'Output-Calculation-sheet'!G52/10^9</f>
        <v>0.5632846183186303</v>
      </c>
      <c r="H63" s="2">
        <f>H8*'Output-Calculation-sheet'!H52/10^9</f>
        <v>1.088100408588597</v>
      </c>
      <c r="I63" s="2">
        <f>I8*'Output-Calculation-sheet'!I52/10^9</f>
        <v>0.50494861507656619</v>
      </c>
      <c r="J63" s="2">
        <f>J8*'Output-Calculation-sheet'!J52/10^9</f>
        <v>0.54283949567086298</v>
      </c>
      <c r="K63" s="2">
        <f>K8*'Output-Calculation-sheet'!K52/10^9</f>
        <v>0.55433365058270745</v>
      </c>
      <c r="L63" s="2">
        <f>L8*'Output-Calculation-sheet'!L52/10^9</f>
        <v>0.57651298881845658</v>
      </c>
      <c r="M63" s="2">
        <f>M8*'Output-Calculation-sheet'!M52/10^9</f>
        <v>0.82277928302822056</v>
      </c>
      <c r="N63" s="2">
        <f>N8*'Output-Calculation-sheet'!N52/10^9</f>
        <v>0.69515347599775279</v>
      </c>
      <c r="O63" s="2">
        <f>O8*'Output-Calculation-sheet'!O52/10^9</f>
        <v>0.72013554956165637</v>
      </c>
      <c r="P63" s="2">
        <f>P8*'Output-Calculation-sheet'!P52/10^9</f>
        <v>0.59682911943432171</v>
      </c>
      <c r="Q63" s="2">
        <f>Q8*'Output-Calculation-sheet'!Q52/10^9</f>
        <v>0.5645956166666749</v>
      </c>
      <c r="R63" s="2">
        <f>R8*'Output-Calculation-sheet'!R52/10^9</f>
        <v>0.47563879289262462</v>
      </c>
      <c r="S63" s="2">
        <f>S8*'Output-Calculation-sheet'!S52/10^9</f>
        <v>0.43732026873042268</v>
      </c>
      <c r="T63" s="2">
        <f>T8*'Output-Calculation-sheet'!T52/10^9</f>
        <v>0.15575083512400081</v>
      </c>
      <c r="U63" s="2">
        <f>U8*'Output-Calculation-sheet'!U52/10^9</f>
        <v>0.1527807008573224</v>
      </c>
      <c r="V63" s="2">
        <f>V8*'Output-Calculation-sheet'!V52/10^9</f>
        <v>0.13693218677445285</v>
      </c>
      <c r="W63" s="2">
        <f>W8*'Output-Calculation-sheet'!W52/10^9</f>
        <v>7.148087511098887E-2</v>
      </c>
      <c r="X63" s="2">
        <f>X8*'Output-Calculation-sheet'!X52/10^9</f>
        <v>0.11551463187889485</v>
      </c>
      <c r="Y63" s="2">
        <f>Y8*'Output-Calculation-sheet'!Y52/10^9</f>
        <v>5.9580133083950146E-2</v>
      </c>
      <c r="AA63" s="2">
        <f t="shared" si="4"/>
        <v>25.446281757847867</v>
      </c>
    </row>
    <row r="64" spans="1:27" x14ac:dyDescent="0.25">
      <c r="A64" s="2">
        <v>2032</v>
      </c>
      <c r="B64" s="2">
        <f>B9*'Output-Calculation-sheet'!B53/10^9</f>
        <v>9.4309203124282739</v>
      </c>
      <c r="C64" s="2">
        <f>C9*'Output-Calculation-sheet'!C53/10^9</f>
        <v>4.7760377763499404</v>
      </c>
      <c r="D64" s="2">
        <f>D9*'Output-Calculation-sheet'!D53/10^9</f>
        <v>1.672978552223616</v>
      </c>
      <c r="E64" s="2">
        <f>E9*'Output-Calculation-sheet'!E53/10^9</f>
        <v>2.1543882536858399</v>
      </c>
      <c r="F64" s="2">
        <f>F9*'Output-Calculation-sheet'!F53/10^9</f>
        <v>0.89534495313992579</v>
      </c>
      <c r="G64" s="2">
        <f>G9*'Output-Calculation-sheet'!G53/10^9</f>
        <v>0.64276815032993717</v>
      </c>
      <c r="H64" s="2">
        <f>H9*'Output-Calculation-sheet'!H53/10^9</f>
        <v>1.2370434055992139</v>
      </c>
      <c r="I64" s="2">
        <f>I9*'Output-Calculation-sheet'!I53/10^9</f>
        <v>0.57626748767324165</v>
      </c>
      <c r="J64" s="2">
        <f>J9*'Output-Calculation-sheet'!J53/10^9</f>
        <v>0.61931802243387679</v>
      </c>
      <c r="K64" s="2">
        <f>K9*'Output-Calculation-sheet'!K53/10^9</f>
        <v>0.63280918019309218</v>
      </c>
      <c r="L64" s="2">
        <f>L9*'Output-Calculation-sheet'!L53/10^9</f>
        <v>0.65792549459151073</v>
      </c>
      <c r="M64" s="2">
        <f>M9*'Output-Calculation-sheet'!M53/10^9</f>
        <v>0.93563133806360976</v>
      </c>
      <c r="N64" s="2">
        <f>N9*'Output-Calculation-sheet'!N53/10^9</f>
        <v>0.79137144159751527</v>
      </c>
      <c r="O64" s="2">
        <f>O9*'Output-Calculation-sheet'!O53/10^9</f>
        <v>0.81997671456197796</v>
      </c>
      <c r="P64" s="2">
        <f>P9*'Output-Calculation-sheet'!P53/10^9</f>
        <v>0.68171903707846593</v>
      </c>
      <c r="Q64" s="2">
        <f>Q9*'Output-Calculation-sheet'!Q53/10^9</f>
        <v>0.64480306956070699</v>
      </c>
      <c r="R64" s="2">
        <f>R9*'Output-Calculation-sheet'!R53/10^9</f>
        <v>0.54233386604939626</v>
      </c>
      <c r="S64" s="2">
        <f>S9*'Output-Calculation-sheet'!S53/10^9</f>
        <v>0.49829828553616062</v>
      </c>
      <c r="T64" s="2">
        <f>T9*'Output-Calculation-sheet'!T53/10^9</f>
        <v>0.17720116617270459</v>
      </c>
      <c r="U64" s="2">
        <f>U9*'Output-Calculation-sheet'!U53/10^9</f>
        <v>0.17444623278981353</v>
      </c>
      <c r="V64" s="2">
        <f>V9*'Output-Calculation-sheet'!V53/10^9</f>
        <v>0.15527538810804881</v>
      </c>
      <c r="W64" s="2">
        <f>W9*'Output-Calculation-sheet'!W53/10^9</f>
        <v>8.1535344542213714E-2</v>
      </c>
      <c r="X64" s="2">
        <f>X9*'Output-Calculation-sheet'!X53/10^9</f>
        <v>0.13145183896440213</v>
      </c>
      <c r="Y64" s="2">
        <f>Y9*'Output-Calculation-sheet'!Y53/10^9</f>
        <v>6.8031653755085825E-2</v>
      </c>
      <c r="AA64" s="2">
        <f t="shared" si="4"/>
        <v>28.997876965428567</v>
      </c>
    </row>
    <row r="65" spans="1:27" x14ac:dyDescent="0.25">
      <c r="A65" s="2">
        <v>2033</v>
      </c>
      <c r="B65" s="2">
        <f>B10*'Output-Calculation-sheet'!B54/10^9</f>
        <v>10.459406104042465</v>
      </c>
      <c r="C65" s="2">
        <f>C10*'Output-Calculation-sheet'!C54/10^9</f>
        <v>6.8741752694811566</v>
      </c>
      <c r="D65" s="2">
        <f>D10*'Output-Calculation-sheet'!D54/10^9</f>
        <v>1.8643495619757831</v>
      </c>
      <c r="E65" s="2">
        <f>E10*'Output-Calculation-sheet'!E54/10^9</f>
        <v>2.3742861639538906</v>
      </c>
      <c r="F65" s="2">
        <f>F10*'Output-Calculation-sheet'!F54/10^9</f>
        <v>1.020251251245333</v>
      </c>
      <c r="G65" s="2">
        <f>G10*'Output-Calculation-sheet'!G54/10^9</f>
        <v>0.72636853107032751</v>
      </c>
      <c r="H65" s="2">
        <f>H10*'Output-Calculation-sheet'!H54/10^9</f>
        <v>1.7067655599334262</v>
      </c>
      <c r="I65" s="2">
        <f>I10*'Output-Calculation-sheet'!I54/10^9</f>
        <v>0.63687341980815315</v>
      </c>
      <c r="J65" s="2">
        <f>J10*'Output-Calculation-sheet'!J54/10^9</f>
        <v>0.7535223710673703</v>
      </c>
      <c r="K65" s="2">
        <f>K10*'Output-Calculation-sheet'!K54/10^9</f>
        <v>0.70510584758347317</v>
      </c>
      <c r="L65" s="2">
        <f>L10*'Output-Calculation-sheet'!L54/10^9</f>
        <v>0.7271978716312264</v>
      </c>
      <c r="M65" s="2">
        <f>M10*'Output-Calculation-sheet'!M54/10^9</f>
        <v>1.2136169083691111</v>
      </c>
      <c r="N65" s="2">
        <f>N10*'Output-Calculation-sheet'!N54/10^9</f>
        <v>1.034126596043959</v>
      </c>
      <c r="O65" s="2">
        <f>O10*'Output-Calculation-sheet'!O54/10^9</f>
        <v>1.2032695554302308</v>
      </c>
      <c r="P65" s="2">
        <f>P10*'Output-Calculation-sheet'!P54/10^9</f>
        <v>0.76284683737527237</v>
      </c>
      <c r="Q65" s="2">
        <f>Q10*'Output-Calculation-sheet'!Q54/10^9</f>
        <v>0.75277355678433944</v>
      </c>
      <c r="R65" s="2">
        <f>R10*'Output-Calculation-sheet'!R54/10^9</f>
        <v>0.59676726493295984</v>
      </c>
      <c r="S65" s="2">
        <f>S10*'Output-Calculation-sheet'!S54/10^9</f>
        <v>0.59894862033420571</v>
      </c>
      <c r="T65" s="2">
        <f>T10*'Output-Calculation-sheet'!T54/10^9</f>
        <v>0.20208803636177558</v>
      </c>
      <c r="U65" s="2">
        <f>U10*'Output-Calculation-sheet'!U54/10^9</f>
        <v>0.19409222062544534</v>
      </c>
      <c r="V65" s="2">
        <f>V10*'Output-Calculation-sheet'!V54/10^9</f>
        <v>0.22868556423575886</v>
      </c>
      <c r="W65" s="2">
        <f>W10*'Output-Calculation-sheet'!W54/10^9</f>
        <v>9.7735711744538128E-2</v>
      </c>
      <c r="X65" s="2">
        <f>X10*'Output-Calculation-sheet'!X54/10^9</f>
        <v>0.15710664691706122</v>
      </c>
      <c r="Y65" s="2">
        <f>Y10*'Output-Calculation-sheet'!Y54/10^9</f>
        <v>7.5817933296345549E-2</v>
      </c>
      <c r="AA65" s="2">
        <f t="shared" si="4"/>
        <v>34.966177404243602</v>
      </c>
    </row>
    <row r="66" spans="1:27" x14ac:dyDescent="0.25">
      <c r="A66" s="2">
        <v>2034</v>
      </c>
      <c r="B66" s="2">
        <f>B11*'Output-Calculation-sheet'!B55/10^9</f>
        <v>11.698934719218167</v>
      </c>
      <c r="C66" s="2">
        <f>C11*'Output-Calculation-sheet'!C55/10^9</f>
        <v>7.7751059045605455</v>
      </c>
      <c r="D66" s="2">
        <f>D11*'Output-Calculation-sheet'!D55/10^9</f>
        <v>2.1165314922390452</v>
      </c>
      <c r="E66" s="2">
        <f>E11*'Output-Calculation-sheet'!E55/10^9</f>
        <v>2.7412463646947449</v>
      </c>
      <c r="F66" s="2">
        <f>F11*'Output-Calculation-sheet'!F55/10^9</f>
        <v>1.0788137824604407</v>
      </c>
      <c r="G66" s="2">
        <f>G11*'Output-Calculation-sheet'!G55/10^9</f>
        <v>0.7870381694111539</v>
      </c>
      <c r="H66" s="2">
        <f>H11*'Output-Calculation-sheet'!H55/10^9</f>
        <v>1.9641199203479203</v>
      </c>
      <c r="I66" s="2">
        <f>I11*'Output-Calculation-sheet'!I55/10^9</f>
        <v>0.73164270357522287</v>
      </c>
      <c r="J66" s="2">
        <f>J11*'Output-Calculation-sheet'!J55/10^9</f>
        <v>0.73666044641107109</v>
      </c>
      <c r="K66" s="2">
        <f>K11*'Output-Calculation-sheet'!K55/10^9</f>
        <v>0.83875413050473913</v>
      </c>
      <c r="L66" s="2">
        <f>L11*'Output-Calculation-sheet'!L55/10^9</f>
        <v>0.81316158942503847</v>
      </c>
      <c r="M66" s="2">
        <f>M11*'Output-Calculation-sheet'!M55/10^9</f>
        <v>1.3804068869557118</v>
      </c>
      <c r="N66" s="2">
        <f>N11*'Output-Calculation-sheet'!N55/10^9</f>
        <v>1.2000142191483507</v>
      </c>
      <c r="O66" s="2">
        <f>O11*'Output-Calculation-sheet'!O55/10^9</f>
        <v>1.3681788834793325</v>
      </c>
      <c r="P66" s="2">
        <f>P11*'Output-Calculation-sheet'!P55/10^9</f>
        <v>0.87733080383651496</v>
      </c>
      <c r="Q66" s="2">
        <f>Q11*'Output-Calculation-sheet'!Q55/10^9</f>
        <v>0.90242614287790079</v>
      </c>
      <c r="R66" s="2">
        <f>R11*'Output-Calculation-sheet'!R55/10^9</f>
        <v>0.66768832773750553</v>
      </c>
      <c r="S66" s="2">
        <f>S11*'Output-Calculation-sheet'!S55/10^9</f>
        <v>0.69310160384173813</v>
      </c>
      <c r="T66" s="2">
        <f>T11*'Output-Calculation-sheet'!T55/10^9</f>
        <v>0.20920010885928855</v>
      </c>
      <c r="U66" s="2">
        <f>U11*'Output-Calculation-sheet'!U55/10^9</f>
        <v>0.22768669496778507</v>
      </c>
      <c r="V66" s="2">
        <f>V11*'Output-Calculation-sheet'!V55/10^9</f>
        <v>0.19771343451523893</v>
      </c>
      <c r="W66" s="2">
        <f>W11*'Output-Calculation-sheet'!W55/10^9</f>
        <v>9.6860574888084736E-2</v>
      </c>
      <c r="X66" s="2">
        <f>X11*'Output-Calculation-sheet'!X55/10^9</f>
        <v>0.18100165420365485</v>
      </c>
      <c r="Y66" s="2">
        <f>Y11*'Output-Calculation-sheet'!Y55/10^9</f>
        <v>9.2937148955688054E-2</v>
      </c>
      <c r="AA66" s="2">
        <f t="shared" si="4"/>
        <v>39.376555707114882</v>
      </c>
    </row>
    <row r="67" spans="1:27" x14ac:dyDescent="0.25">
      <c r="A67" s="2">
        <v>2035</v>
      </c>
      <c r="B67" s="2">
        <f>B12*'Output-Calculation-sheet'!B56/10^9</f>
        <v>13.707007199286545</v>
      </c>
      <c r="C67" s="2">
        <f>C12*'Output-Calculation-sheet'!C56/10^9</f>
        <v>8.6618060414408404</v>
      </c>
      <c r="D67" s="2">
        <f>D12*'Output-Calculation-sheet'!D56/10^9</f>
        <v>2.7187797544688803</v>
      </c>
      <c r="E67" s="2">
        <f>E12*'Output-Calculation-sheet'!E56/10^9</f>
        <v>3.7180828697266106</v>
      </c>
      <c r="F67" s="2">
        <f>F12*'Output-Calculation-sheet'!F56/10^9</f>
        <v>1.4572413613336099</v>
      </c>
      <c r="G67" s="2">
        <f>G12*'Output-Calculation-sheet'!G56/10^9</f>
        <v>1.0751944912737617</v>
      </c>
      <c r="H67" s="2">
        <f>H12*'Output-Calculation-sheet'!H56/10^9</f>
        <v>2.2862996752828848</v>
      </c>
      <c r="I67" s="2">
        <f>I12*'Output-Calculation-sheet'!I56/10^9</f>
        <v>0.98514303411667525</v>
      </c>
      <c r="J67" s="2">
        <f>J12*'Output-Calculation-sheet'!J56/10^9</f>
        <v>0.9012382759994918</v>
      </c>
      <c r="K67" s="2">
        <f>K12*'Output-Calculation-sheet'!K56/10^9</f>
        <v>1.0797962951410347</v>
      </c>
      <c r="L67" s="2">
        <f>L12*'Output-Calculation-sheet'!L56/10^9</f>
        <v>1.0066939944085878</v>
      </c>
      <c r="M67" s="2">
        <f>M12*'Output-Calculation-sheet'!M56/10^9</f>
        <v>1.617668944575863</v>
      </c>
      <c r="N67" s="2">
        <f>N12*'Output-Calculation-sheet'!N56/10^9</f>
        <v>1.3816392446628158</v>
      </c>
      <c r="O67" s="2">
        <f>O12*'Output-Calculation-sheet'!O56/10^9</f>
        <v>1.5281504864943718</v>
      </c>
      <c r="P67" s="2">
        <f>P12*'Output-Calculation-sheet'!P56/10^9</f>
        <v>1.1212318368145227</v>
      </c>
      <c r="Q67" s="2">
        <f>Q12*'Output-Calculation-sheet'!Q56/10^9</f>
        <v>1.059171930073431</v>
      </c>
      <c r="R67" s="2">
        <f>R12*'Output-Calculation-sheet'!R56/10^9</f>
        <v>0.83170440026856407</v>
      </c>
      <c r="S67" s="2">
        <f>S12*'Output-Calculation-sheet'!S56/10^9</f>
        <v>0.80287754131079536</v>
      </c>
      <c r="T67" s="2">
        <f>T12*'Output-Calculation-sheet'!T56/10^9</f>
        <v>0.25862650404536314</v>
      </c>
      <c r="U67" s="2">
        <f>U12*'Output-Calculation-sheet'!U56/10^9</f>
        <v>0.27961222723137419</v>
      </c>
      <c r="V67" s="2">
        <f>V12*'Output-Calculation-sheet'!V56/10^9</f>
        <v>0.19960891568213926</v>
      </c>
      <c r="W67" s="2">
        <f>W12*'Output-Calculation-sheet'!W56/10^9</f>
        <v>0.13535751870323784</v>
      </c>
      <c r="X67" s="2">
        <f>X12*'Output-Calculation-sheet'!X56/10^9</f>
        <v>0.21012386580304421</v>
      </c>
      <c r="Y67" s="2">
        <f>Y12*'Output-Calculation-sheet'!Y56/10^9</f>
        <v>0.12630231203575829</v>
      </c>
      <c r="AA67" s="2">
        <f t="shared" si="4"/>
        <v>47.149358720180189</v>
      </c>
    </row>
    <row r="68" spans="1:27" x14ac:dyDescent="0.25">
      <c r="B68" s="2">
        <f>SUM(B60:B67)</f>
        <v>70.027864120692158</v>
      </c>
      <c r="C68" s="2">
        <f t="shared" ref="C68:Y68" si="5">SUM(C60:C67)</f>
        <v>40.610182658242309</v>
      </c>
      <c r="D68" s="2">
        <f t="shared" si="5"/>
        <v>12.748424494891569</v>
      </c>
      <c r="E68" s="2">
        <f t="shared" si="5"/>
        <v>16.620841191036998</v>
      </c>
      <c r="F68" s="2">
        <f t="shared" si="5"/>
        <v>6.7981953046887886</v>
      </c>
      <c r="G68" s="2">
        <f t="shared" si="5"/>
        <v>4.9126217080693104</v>
      </c>
      <c r="H68" s="2">
        <f t="shared" si="5"/>
        <v>10.447148934526503</v>
      </c>
      <c r="I68" s="2">
        <f t="shared" si="5"/>
        <v>4.4375665635255492</v>
      </c>
      <c r="J68" s="2">
        <f t="shared" si="5"/>
        <v>4.631867530234298</v>
      </c>
      <c r="K68" s="2">
        <f t="shared" si="5"/>
        <v>4.9107139526513546</v>
      </c>
      <c r="L68" s="2">
        <f t="shared" si="5"/>
        <v>4.9263964328754319</v>
      </c>
      <c r="M68" s="2">
        <f t="shared" si="5"/>
        <v>7.6063223670793665</v>
      </c>
      <c r="N68" s="2">
        <f t="shared" si="5"/>
        <v>6.483100986437111</v>
      </c>
      <c r="O68" s="2">
        <f t="shared" si="5"/>
        <v>7.0647233390023523</v>
      </c>
      <c r="P68" s="2">
        <f t="shared" si="5"/>
        <v>5.2223054300253384</v>
      </c>
      <c r="Q68" s="2">
        <f t="shared" si="5"/>
        <v>5.0427448187520074</v>
      </c>
      <c r="R68" s="2">
        <f t="shared" si="5"/>
        <v>4.0590918427026237</v>
      </c>
      <c r="S68" s="2">
        <f t="shared" si="5"/>
        <v>3.8985639927122819</v>
      </c>
      <c r="T68" s="2">
        <f t="shared" si="5"/>
        <v>1.3147568963557532</v>
      </c>
      <c r="U68" s="2">
        <f t="shared" si="5"/>
        <v>1.3313059933257787</v>
      </c>
      <c r="V68" s="2">
        <f t="shared" si="5"/>
        <v>1.1963566003748005</v>
      </c>
      <c r="W68" s="2">
        <f t="shared" si="5"/>
        <v>0.62510780531500698</v>
      </c>
      <c r="X68" s="2">
        <f t="shared" si="5"/>
        <v>1.0246327334465448</v>
      </c>
      <c r="Y68" s="2">
        <f t="shared" si="5"/>
        <v>0.54081410504438099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62.810423054726094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55.910735211042081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221.84112171095009</v>
      </c>
      <c r="S74" s="2">
        <f>S8/'Output-Calculation-sheet'!S7*'Output-Calculation-sheet'!S61</f>
        <v>0</v>
      </c>
      <c r="T74" s="2">
        <f>T8/'Output-Calculation-sheet'!T7*'Output-Calculation-sheet'!T61</f>
        <v>163.42480877390003</v>
      </c>
      <c r="U74" s="2">
        <f>U8/'Output-Calculation-sheet'!U7*'Output-Calculation-sheet'!U61</f>
        <v>20.70211015090273</v>
      </c>
      <c r="V74" s="2">
        <f>V8/'Output-Calculation-sheet'!V7*'Output-Calculation-sheet'!V61</f>
        <v>187.58823029917548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0.71227742920069659</v>
      </c>
    </row>
    <row r="75" spans="1:27" x14ac:dyDescent="0.25">
      <c r="A75" s="2">
        <v>2032</v>
      </c>
      <c r="B75" s="2">
        <f>B9/'Output-Calculation-sheet'!B8*'Output-Calculation-sheet'!B62</f>
        <v>710.39344915913296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144.07393217667473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115.43324978404719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305.43336667919431</v>
      </c>
      <c r="S75" s="2">
        <f>S9/'Output-Calculation-sheet'!S8*'Output-Calculation-sheet'!S62</f>
        <v>0</v>
      </c>
      <c r="T75" s="2">
        <f>T9/'Output-Calculation-sheet'!T8*'Output-Calculation-sheet'!T62</f>
        <v>201.74597587308861</v>
      </c>
      <c r="U75" s="2">
        <f>U9/'Output-Calculation-sheet'!U8*'Output-Calculation-sheet'!U62</f>
        <v>41.239500883324709</v>
      </c>
      <c r="V75" s="2">
        <f>V9/'Output-Calculation-sheet'!V8*'Output-Calculation-sheet'!V62</f>
        <v>216.11369014815136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1.734433164703614</v>
      </c>
    </row>
    <row r="76" spans="1:27" x14ac:dyDescent="0.25">
      <c r="A76" s="2">
        <v>2033</v>
      </c>
      <c r="B76" s="2">
        <f>B10/'Output-Calculation-sheet'!B9*'Output-Calculation-sheet'!B63</f>
        <v>7434.2537644200056</v>
      </c>
      <c r="C76" s="2">
        <f>C10/'Output-Calculation-sheet'!C9*'Output-Calculation-sheet'!C63</f>
        <v>15184.144528566174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4841.2492773813019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3296.3997297951823</v>
      </c>
      <c r="N76" s="2">
        <f>N10/'Output-Calculation-sheet'!N9*'Output-Calculation-sheet'!N63</f>
        <v>1883.0494826278948</v>
      </c>
      <c r="O76" s="2">
        <f>O10/'Output-Calculation-sheet'!O9*'Output-Calculation-sheet'!O63</f>
        <v>0</v>
      </c>
      <c r="P76" s="2">
        <f>P10/'Output-Calculation-sheet'!P9*'Output-Calculation-sheet'!P63</f>
        <v>653.89085947354351</v>
      </c>
      <c r="Q76" s="2">
        <f>Q10/'Output-Calculation-sheet'!Q9*'Output-Calculation-sheet'!Q63</f>
        <v>294.93105559672966</v>
      </c>
      <c r="R76" s="2">
        <f>R10/'Output-Calculation-sheet'!R9*'Output-Calculation-sheet'!R63</f>
        <v>498.36937855855876</v>
      </c>
      <c r="S76" s="2">
        <f>S10/'Output-Calculation-sheet'!S9*'Output-Calculation-sheet'!S63</f>
        <v>837.34815472927937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176.10654058429898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388.17449141513589</v>
      </c>
      <c r="Y76" s="2">
        <f>Y10/'Output-Calculation-sheet'!Y9*'Output-Calculation-sheet'!Y63</f>
        <v>7.364167792554972</v>
      </c>
      <c r="AA76" s="2">
        <f t="shared" si="6"/>
        <v>35.669580297008096</v>
      </c>
    </row>
    <row r="77" spans="1:27" x14ac:dyDescent="0.25">
      <c r="A77" s="2">
        <v>2034</v>
      </c>
      <c r="B77" s="2">
        <f>B11/'Output-Calculation-sheet'!B10*'Output-Calculation-sheet'!B64</f>
        <v>19493.870416309524</v>
      </c>
      <c r="C77" s="2">
        <f>C11/'Output-Calculation-sheet'!C10*'Output-Calculation-sheet'!C64</f>
        <v>17124.587681297024</v>
      </c>
      <c r="D77" s="2">
        <f>D11/'Output-Calculation-sheet'!D10*'Output-Calculation-sheet'!D64</f>
        <v>2402.7127473000114</v>
      </c>
      <c r="E77" s="2">
        <f>E11/'Output-Calculation-sheet'!E10*'Output-Calculation-sheet'!E64</f>
        <v>2968.9182269592793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1268.638804182581</v>
      </c>
      <c r="H77" s="2">
        <f>H11/'Output-Calculation-sheet'!H10*'Output-Calculation-sheet'!H64</f>
        <v>6285.4439857570769</v>
      </c>
      <c r="I77" s="2">
        <f>I11/'Output-Calculation-sheet'!I10*'Output-Calculation-sheet'!I64</f>
        <v>748.42214748685717</v>
      </c>
      <c r="J77" s="2">
        <f>J11/'Output-Calculation-sheet'!J10*'Output-Calculation-sheet'!J64</f>
        <v>533.50997885804964</v>
      </c>
      <c r="K77" s="2">
        <f>K11/'Output-Calculation-sheet'!K10*'Output-Calculation-sheet'!K64</f>
        <v>1131.1598108003416</v>
      </c>
      <c r="L77" s="2">
        <f>L11/'Output-Calculation-sheet'!L10*'Output-Calculation-sheet'!L64</f>
        <v>491.14533264470759</v>
      </c>
      <c r="M77" s="2">
        <f>M11/'Output-Calculation-sheet'!M10*'Output-Calculation-sheet'!M64</f>
        <v>4470.5274336200755</v>
      </c>
      <c r="N77" s="2">
        <f>N11/'Output-Calculation-sheet'!N10*'Output-Calculation-sheet'!N64</f>
        <v>3180.6704758913834</v>
      </c>
      <c r="O77" s="2">
        <f>O11/'Output-Calculation-sheet'!O10*'Output-Calculation-sheet'!O64</f>
        <v>110.89585100444546</v>
      </c>
      <c r="P77" s="2">
        <f>P11/'Output-Calculation-sheet'!P10*'Output-Calculation-sheet'!P64</f>
        <v>1403.8300371418766</v>
      </c>
      <c r="Q77" s="2">
        <f>Q11/'Output-Calculation-sheet'!Q10*'Output-Calculation-sheet'!Q64</f>
        <v>801.0550823687596</v>
      </c>
      <c r="R77" s="2">
        <f>R11/'Output-Calculation-sheet'!R10*'Output-Calculation-sheet'!R64</f>
        <v>1201.3117460052733</v>
      </c>
      <c r="S77" s="2">
        <f>S11/'Output-Calculation-sheet'!S10*'Output-Calculation-sheet'!S64</f>
        <v>1606.2211784762167</v>
      </c>
      <c r="T77" s="2">
        <f>T11/'Output-Calculation-sheet'!T10*'Output-Calculation-sheet'!T64</f>
        <v>330.49914859978463</v>
      </c>
      <c r="U77" s="2">
        <f>U11/'Output-Calculation-sheet'!U10*'Output-Calculation-sheet'!U64</f>
        <v>439.27195131217769</v>
      </c>
      <c r="V77" s="2">
        <f>V11/'Output-Calculation-sheet'!V10*'Output-Calculation-sheet'!V64</f>
        <v>175.10713499752933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454.25304294035783</v>
      </c>
      <c r="Y77" s="2">
        <f>Y11/'Output-Calculation-sheet'!Y10*'Output-Calculation-sheet'!Y64</f>
        <v>109.98670760561934</v>
      </c>
      <c r="AA77" s="2">
        <f t="shared" si="6"/>
        <v>66.953894795016453</v>
      </c>
    </row>
    <row r="78" spans="1:27" x14ac:dyDescent="0.25">
      <c r="A78" s="2">
        <v>2035</v>
      </c>
      <c r="B78" s="2">
        <f>B12/'Output-Calculation-sheet'!B11*'Output-Calculation-sheet'!B65</f>
        <v>26526.869735889795</v>
      </c>
      <c r="C78" s="2">
        <f>C12/'Output-Calculation-sheet'!C11*'Output-Calculation-sheet'!C65</f>
        <v>18732.712770932238</v>
      </c>
      <c r="D78" s="2">
        <f>D12/'Output-Calculation-sheet'!D11*'Output-Calculation-sheet'!D65</f>
        <v>2816.2516844373245</v>
      </c>
      <c r="E78" s="2">
        <f>E12/'Output-Calculation-sheet'!E11*'Output-Calculation-sheet'!E65</f>
        <v>5353.6195838467338</v>
      </c>
      <c r="F78" s="2">
        <f>F12/'Output-Calculation-sheet'!F11*'Output-Calculation-sheet'!F65</f>
        <v>1133.9929044667151</v>
      </c>
      <c r="G78" s="2">
        <f>G12/'Output-Calculation-sheet'!G11*'Output-Calculation-sheet'!G65</f>
        <v>2127.8027942698004</v>
      </c>
      <c r="H78" s="2">
        <f>H12/'Output-Calculation-sheet'!H11*'Output-Calculation-sheet'!H65</f>
        <v>6850.6857089898458</v>
      </c>
      <c r="I78" s="2">
        <f>I12/'Output-Calculation-sheet'!I11*'Output-Calculation-sheet'!I65</f>
        <v>1251.2153532266543</v>
      </c>
      <c r="J78" s="2">
        <f>J12/'Output-Calculation-sheet'!J11*'Output-Calculation-sheet'!J65</f>
        <v>1122.1295530113609</v>
      </c>
      <c r="K78" s="2">
        <f>K12/'Output-Calculation-sheet'!K11*'Output-Calculation-sheet'!K65</f>
        <v>1416.0731561492928</v>
      </c>
      <c r="L78" s="2">
        <f>L12/'Output-Calculation-sheet'!L11*'Output-Calculation-sheet'!L65</f>
        <v>841.97859541294019</v>
      </c>
      <c r="M78" s="2">
        <f>M12/'Output-Calculation-sheet'!M11*'Output-Calculation-sheet'!M65</f>
        <v>4876.5231688180538</v>
      </c>
      <c r="N78" s="2">
        <f>N12/'Output-Calculation-sheet'!N11*'Output-Calculation-sheet'!N65</f>
        <v>3428.9832923165773</v>
      </c>
      <c r="O78" s="2">
        <f>O12/'Output-Calculation-sheet'!O11*'Output-Calculation-sheet'!O65</f>
        <v>480.69914299309693</v>
      </c>
      <c r="P78" s="2">
        <f>P12/'Output-Calculation-sheet'!P11*'Output-Calculation-sheet'!P65</f>
        <v>1949.3407922436463</v>
      </c>
      <c r="Q78" s="2">
        <f>Q12/'Output-Calculation-sheet'!Q11*'Output-Calculation-sheet'!Q65</f>
        <v>980.4990790506348</v>
      </c>
      <c r="R78" s="2">
        <f>R12/'Output-Calculation-sheet'!R11*'Output-Calculation-sheet'!R65</f>
        <v>1616.1591537741917</v>
      </c>
      <c r="S78" s="2">
        <f>S12/'Output-Calculation-sheet'!S11*'Output-Calculation-sheet'!S65</f>
        <v>1823.2769617830556</v>
      </c>
      <c r="T78" s="2">
        <f>T12/'Output-Calculation-sheet'!T11*'Output-Calculation-sheet'!T65</f>
        <v>581.1332196792456</v>
      </c>
      <c r="U78" s="2">
        <f>U12/'Output-Calculation-sheet'!U11*'Output-Calculation-sheet'!U65</f>
        <v>497.92358758111237</v>
      </c>
      <c r="V78" s="2">
        <f>V12/'Output-Calculation-sheet'!V11*'Output-Calculation-sheet'!V65</f>
        <v>313.6254384646266</v>
      </c>
      <c r="W78" s="2">
        <f>W12/'Output-Calculation-sheet'!W11*'Output-Calculation-sheet'!W65</f>
        <v>220.8964016063631</v>
      </c>
      <c r="X78" s="2">
        <f>X12/'Output-Calculation-sheet'!X11*'Output-Calculation-sheet'!X65</f>
        <v>502.6104306919903</v>
      </c>
      <c r="Y78" s="2">
        <f>Y12/'Output-Calculation-sheet'!Y11*'Output-Calculation-sheet'!Y65</f>
        <v>215.61680286408878</v>
      </c>
      <c r="AA78" s="2">
        <f t="shared" si="6"/>
        <v>85.660619312499378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548.02557218631296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532.33312769771931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1.0803586998840324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1187.362530879763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45.688395790982732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31.438087169711014</v>
      </c>
      <c r="N88" s="2">
        <f>N11/'Output-Calculation-sheet'!N10*'Output-Calculation-sheet'!N73</f>
        <v>0</v>
      </c>
      <c r="O88" s="2">
        <f>O11/'Output-Calculation-sheet'!O10*'Output-Calculation-sheet'!O73</f>
        <v>663.18371635523806</v>
      </c>
      <c r="P88" s="2">
        <f>P11/'Output-Calculation-sheet'!P10*'Output-Calculation-sheet'!P73</f>
        <v>0</v>
      </c>
      <c r="Q88" s="2">
        <f>Q11/'Output-Calculation-sheet'!Q10*'Output-Calculation-sheet'!Q73</f>
        <v>27.071817585966869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3.4488356637235627</v>
      </c>
      <c r="Y88" s="2">
        <f>Y11/'Output-Calculation-sheet'!Y10*'Output-Calculation-sheet'!Y73</f>
        <v>0</v>
      </c>
      <c r="AA88" s="2">
        <f t="shared" si="7"/>
        <v>1.9581933834453853</v>
      </c>
    </row>
    <row r="89" spans="1:27" x14ac:dyDescent="0.25">
      <c r="A89" s="2">
        <v>2035</v>
      </c>
      <c r="B89" s="2">
        <f>B12/'Output-Calculation-sheet'!B11*'Output-Calculation-sheet'!B74</f>
        <v>668.67156703611693</v>
      </c>
      <c r="C89" s="2">
        <f>C12/'Output-Calculation-sheet'!C11*'Output-Calculation-sheet'!C74</f>
        <v>2062.8818563342884</v>
      </c>
      <c r="D89" s="2">
        <f>D12/'Output-Calculation-sheet'!D11*'Output-Calculation-sheet'!D74</f>
        <v>281.1331853693361</v>
      </c>
      <c r="E89" s="2">
        <f>E12/'Output-Calculation-sheet'!E11*'Output-Calculation-sheet'!E74</f>
        <v>223.42589503356359</v>
      </c>
      <c r="F89" s="2">
        <f>F12/'Output-Calculation-sheet'!F11*'Output-Calculation-sheet'!F74</f>
        <v>70.259783424207868</v>
      </c>
      <c r="G89" s="2">
        <f>G12/'Output-Calculation-sheet'!G11*'Output-Calculation-sheet'!G74</f>
        <v>100.84851387600362</v>
      </c>
      <c r="H89" s="2">
        <f>H12/'Output-Calculation-sheet'!H11*'Output-Calculation-sheet'!H74</f>
        <v>244.23818536677857</v>
      </c>
      <c r="I89" s="2">
        <f>I12/'Output-Calculation-sheet'!I11*'Output-Calculation-sheet'!I74</f>
        <v>90.707217139818354</v>
      </c>
      <c r="J89" s="2">
        <f>J12/'Output-Calculation-sheet'!J11*'Output-Calculation-sheet'!J74</f>
        <v>44.885182120454438</v>
      </c>
      <c r="K89" s="2">
        <f>K12/'Output-Calculation-sheet'!K11*'Output-Calculation-sheet'!K74</f>
        <v>89.150916403254399</v>
      </c>
      <c r="L89" s="2">
        <f>L12/'Output-Calculation-sheet'!L11*'Output-Calculation-sheet'!L74</f>
        <v>70.88853676387626</v>
      </c>
      <c r="M89" s="2">
        <f>M12/'Output-Calculation-sheet'!M11*'Output-Calculation-sheet'!M74</f>
        <v>134.44781728577584</v>
      </c>
      <c r="N89" s="2">
        <f>N12/'Output-Calculation-sheet'!N11*'Output-Calculation-sheet'!N74</f>
        <v>99.105472908434962</v>
      </c>
      <c r="O89" s="2">
        <f>O12/'Output-Calculation-sheet'!O11*'Output-Calculation-sheet'!O74</f>
        <v>801.52489692942481</v>
      </c>
      <c r="P89" s="2">
        <f>P12/'Output-Calculation-sheet'!P11*'Output-Calculation-sheet'!P74</f>
        <v>61.037066482250879</v>
      </c>
      <c r="Q89" s="2">
        <f>Q12/'Output-Calculation-sheet'!Q11*'Output-Calculation-sheet'!Q74</f>
        <v>86.831303493680025</v>
      </c>
      <c r="R89" s="2">
        <f>R12/'Output-Calculation-sheet'!R11*'Output-Calculation-sheet'!R74</f>
        <v>57.406285432252041</v>
      </c>
      <c r="S89" s="2">
        <f>S12/'Output-Calculation-sheet'!S11*'Output-Calculation-sheet'!S74</f>
        <v>56.810524141056135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18.469660876928387</v>
      </c>
      <c r="V89" s="2">
        <f>V12/'Output-Calculation-sheet'!V11*'Output-Calculation-sheet'!V74</f>
        <v>7.1208918208257073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22.12388549572983</v>
      </c>
      <c r="Y89" s="2">
        <f>Y12/'Output-Calculation-sheet'!Y11*'Output-Calculation-sheet'!Y74</f>
        <v>7.116653283739212</v>
      </c>
      <c r="AA89" s="2">
        <f t="shared" si="7"/>
        <v>5.3158706081402292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18176234684.462376</v>
      </c>
      <c r="C96" s="2">
        <f>C8/'Output-Calculation-sheet'!C7*'Output-Calculation-sheet'!C79</f>
        <v>2237302021.9532146</v>
      </c>
      <c r="D96" s="2">
        <f>D8/'Output-Calculation-sheet'!D7*'Output-Calculation-sheet'!D79</f>
        <v>7922971485.7979994</v>
      </c>
      <c r="E96" s="2">
        <f>E8/'Output-Calculation-sheet'!E7*'Output-Calculation-sheet'!E79</f>
        <v>13546490842.856703</v>
      </c>
      <c r="F96" s="2">
        <f>F8/'Output-Calculation-sheet'!F7*'Output-Calculation-sheet'!F79</f>
        <v>6096372989.285594</v>
      </c>
      <c r="G96" s="2">
        <f>G8/'Output-Calculation-sheet'!G7*'Output-Calculation-sheet'!G79</f>
        <v>4630472157.6178904</v>
      </c>
      <c r="H96" s="2">
        <f>H8/'Output-Calculation-sheet'!H7*'Output-Calculation-sheet'!H79</f>
        <v>1347162296.9318869</v>
      </c>
      <c r="I96" s="2">
        <f>I8/'Output-Calculation-sheet'!I7*'Output-Calculation-sheet'!I79</f>
        <v>3105995159.4532237</v>
      </c>
      <c r="J96" s="2">
        <f>J8/'Output-Calculation-sheet'!J7*'Output-Calculation-sheet'!J79</f>
        <v>2301596239.1124177</v>
      </c>
      <c r="K96" s="2">
        <f>K8/'Output-Calculation-sheet'!K7*'Output-Calculation-sheet'!K79</f>
        <v>2661223867.34271</v>
      </c>
      <c r="L96" s="2">
        <f>L8/'Output-Calculation-sheet'!L7*'Output-Calculation-sheet'!L79</f>
        <v>2116954688.3471496</v>
      </c>
      <c r="M96" s="2">
        <f>M8/'Output-Calculation-sheet'!M7*'Output-Calculation-sheet'!M79</f>
        <v>1047298465.9972435</v>
      </c>
      <c r="N96" s="2">
        <f>N8/'Output-Calculation-sheet'!N7*'Output-Calculation-sheet'!N79</f>
        <v>1063635503.2485794</v>
      </c>
      <c r="O96" s="2">
        <f>O8/'Output-Calculation-sheet'!O7*'Output-Calculation-sheet'!O79</f>
        <v>259633525.88314921</v>
      </c>
      <c r="P96" s="2">
        <f>P8/'Output-Calculation-sheet'!P7*'Output-Calculation-sheet'!P79</f>
        <v>2828904781.5342269</v>
      </c>
      <c r="Q96" s="2">
        <f>Q8/'Output-Calculation-sheet'!Q7*'Output-Calculation-sheet'!Q79</f>
        <v>1254425983.6743641</v>
      </c>
      <c r="R96" s="2">
        <f>R8/'Output-Calculation-sheet'!R7*'Output-Calculation-sheet'!R79</f>
        <v>1908588730.1133962</v>
      </c>
      <c r="S96" s="2">
        <f>S8/'Output-Calculation-sheet'!S7*'Output-Calculation-sheet'!S79</f>
        <v>746013656.87580454</v>
      </c>
      <c r="T96" s="2">
        <f>T8/'Output-Calculation-sheet'!T7*'Output-Calculation-sheet'!T79</f>
        <v>1010340630.6535615</v>
      </c>
      <c r="U96" s="2">
        <f>U8/'Output-Calculation-sheet'!U7*'Output-Calculation-sheet'!U79</f>
        <v>501808036.09519875</v>
      </c>
      <c r="V96" s="2">
        <f>V8/'Output-Calculation-sheet'!V7*'Output-Calculation-sheet'!V79</f>
        <v>369766837.0739094</v>
      </c>
      <c r="W96" s="2">
        <f>W8/'Output-Calculation-sheet'!W7*'Output-Calculation-sheet'!W79</f>
        <v>985075064.72579503</v>
      </c>
      <c r="X96" s="2">
        <f>X8/'Output-Calculation-sheet'!X7*'Output-Calculation-sheet'!X79</f>
        <v>116729250.8369956</v>
      </c>
      <c r="Y96" s="2">
        <f>Y8/'Output-Calculation-sheet'!Y7*'Output-Calculation-sheet'!Y79</f>
        <v>442089588.71850747</v>
      </c>
      <c r="AA96" s="2">
        <f t="shared" si="8"/>
        <v>76.677086488591925</v>
      </c>
    </row>
    <row r="97" spans="1:27" x14ac:dyDescent="0.25">
      <c r="A97" s="2">
        <v>2032</v>
      </c>
      <c r="B97" s="2">
        <f>B9/'Output-Calculation-sheet'!B8*'Output-Calculation-sheet'!B80</f>
        <v>21129064930.80912</v>
      </c>
      <c r="C97" s="2">
        <f>C9/'Output-Calculation-sheet'!C8*'Output-Calculation-sheet'!C80</f>
        <v>2654513092.0370269</v>
      </c>
      <c r="D97" s="2">
        <f>D9/'Output-Calculation-sheet'!D8*'Output-Calculation-sheet'!D80</f>
        <v>8742627041.0002289</v>
      </c>
      <c r="E97" s="2">
        <f>E9/'Output-Calculation-sheet'!E8*'Output-Calculation-sheet'!E80</f>
        <v>15392317359.202427</v>
      </c>
      <c r="F97" s="2">
        <f>F9/'Output-Calculation-sheet'!F8*'Output-Calculation-sheet'!F80</f>
        <v>6911059833.9455261</v>
      </c>
      <c r="G97" s="2">
        <f>G9/'Output-Calculation-sheet'!G8*'Output-Calculation-sheet'!G80</f>
        <v>5115434836.0619726</v>
      </c>
      <c r="H97" s="2">
        <f>H9/'Output-Calculation-sheet'!H8*'Output-Calculation-sheet'!H80</f>
        <v>1550009817.8502297</v>
      </c>
      <c r="I97" s="2">
        <f>I9/'Output-Calculation-sheet'!I8*'Output-Calculation-sheet'!I80</f>
        <v>3553034535.4729571</v>
      </c>
      <c r="J97" s="2">
        <f>J9/'Output-Calculation-sheet'!J8*'Output-Calculation-sheet'!J80</f>
        <v>2563722060.9976859</v>
      </c>
      <c r="K97" s="2">
        <f>K9/'Output-Calculation-sheet'!K8*'Output-Calculation-sheet'!K80</f>
        <v>2984247959.0103889</v>
      </c>
      <c r="L97" s="2">
        <f>L9/'Output-Calculation-sheet'!L8*'Output-Calculation-sheet'!L80</f>
        <v>2446913327.4860177</v>
      </c>
      <c r="M97" s="2">
        <f>M9/'Output-Calculation-sheet'!M8*'Output-Calculation-sheet'!M80</f>
        <v>1204794900.6771543</v>
      </c>
      <c r="N97" s="2">
        <f>N9/'Output-Calculation-sheet'!N8*'Output-Calculation-sheet'!N80</f>
        <v>1194104754.5037262</v>
      </c>
      <c r="O97" s="2">
        <f>O9/'Output-Calculation-sheet'!O8*'Output-Calculation-sheet'!O80</f>
        <v>311638870.96524352</v>
      </c>
      <c r="P97" s="2">
        <f>P9/'Output-Calculation-sheet'!P8*'Output-Calculation-sheet'!P80</f>
        <v>3169204061.5388441</v>
      </c>
      <c r="Q97" s="2">
        <f>Q9/'Output-Calculation-sheet'!Q8*'Output-Calculation-sheet'!Q80</f>
        <v>1409207939.3175547</v>
      </c>
      <c r="R97" s="2">
        <f>R9/'Output-Calculation-sheet'!R8*'Output-Calculation-sheet'!R80</f>
        <v>2192935001.7176151</v>
      </c>
      <c r="S97" s="2">
        <f>S9/'Output-Calculation-sheet'!S8*'Output-Calculation-sheet'!S80</f>
        <v>845746155.72646749</v>
      </c>
      <c r="T97" s="2">
        <f>T9/'Output-Calculation-sheet'!T8*'Output-Calculation-sheet'!T80</f>
        <v>1130848484.5427856</v>
      </c>
      <c r="U97" s="2">
        <f>U9/'Output-Calculation-sheet'!U8*'Output-Calculation-sheet'!U80</f>
        <v>573929449.46963453</v>
      </c>
      <c r="V97" s="2">
        <f>V9/'Output-Calculation-sheet'!V8*'Output-Calculation-sheet'!V80</f>
        <v>422773433.93103695</v>
      </c>
      <c r="W97" s="2">
        <f>W9/'Output-Calculation-sheet'!W8*'Output-Calculation-sheet'!W80</f>
        <v>1105617970.03863</v>
      </c>
      <c r="X97" s="2">
        <f>X9/'Output-Calculation-sheet'!X8*'Output-Calculation-sheet'!X80</f>
        <v>135394744.41081515</v>
      </c>
      <c r="Y97" s="2">
        <f>Y9/'Output-Calculation-sheet'!Y8*'Output-Calculation-sheet'!Y80</f>
        <v>496472521.6658116</v>
      </c>
      <c r="AA97" s="2">
        <f t="shared" si="8"/>
        <v>87.235613082378904</v>
      </c>
    </row>
    <row r="98" spans="1:27" x14ac:dyDescent="0.25">
      <c r="A98" s="2">
        <v>2033</v>
      </c>
      <c r="B98" s="2">
        <f>B10/'Output-Calculation-sheet'!B9*'Output-Calculation-sheet'!B81</f>
        <v>27086833778.147697</v>
      </c>
      <c r="C98" s="2">
        <f>C10/'Output-Calculation-sheet'!C9*'Output-Calculation-sheet'!C81</f>
        <v>9286709820.1319351</v>
      </c>
      <c r="D98" s="2">
        <f>D10/'Output-Calculation-sheet'!D9*'Output-Calculation-sheet'!D81</f>
        <v>8838119244.6674671</v>
      </c>
      <c r="E98" s="2">
        <f>E10/'Output-Calculation-sheet'!E9*'Output-Calculation-sheet'!E81</f>
        <v>16625058391.261904</v>
      </c>
      <c r="F98" s="2">
        <f>F10/'Output-Calculation-sheet'!F9*'Output-Calculation-sheet'!F81</f>
        <v>6856575926.2179203</v>
      </c>
      <c r="G98" s="2">
        <f>G10/'Output-Calculation-sheet'!G9*'Output-Calculation-sheet'!G81</f>
        <v>5034307829.6305389</v>
      </c>
      <c r="H98" s="2">
        <f>H10/'Output-Calculation-sheet'!H9*'Output-Calculation-sheet'!H81</f>
        <v>4561124025.1784391</v>
      </c>
      <c r="I98" s="2">
        <f>I10/'Output-Calculation-sheet'!I9*'Output-Calculation-sheet'!I81</f>
        <v>3791640627.4904613</v>
      </c>
      <c r="J98" s="2">
        <f>J10/'Output-Calculation-sheet'!J9*'Output-Calculation-sheet'!J81</f>
        <v>2424470584.229496</v>
      </c>
      <c r="K98" s="2">
        <f>K10/'Output-Calculation-sheet'!K9*'Output-Calculation-sheet'!K81</f>
        <v>3521639670.4538755</v>
      </c>
      <c r="L98" s="2">
        <f>L10/'Output-Calculation-sheet'!L9*'Output-Calculation-sheet'!L81</f>
        <v>2641282467.771071</v>
      </c>
      <c r="M98" s="2">
        <f>M10/'Output-Calculation-sheet'!M9*'Output-Calculation-sheet'!M81</f>
        <v>3425212638.4451561</v>
      </c>
      <c r="N98" s="2">
        <f>N10/'Output-Calculation-sheet'!N9*'Output-Calculation-sheet'!N81</f>
        <v>2457322815.2342739</v>
      </c>
      <c r="O98" s="2">
        <f>O10/'Output-Calculation-sheet'!O9*'Output-Calculation-sheet'!O81</f>
        <v>1301291258.4892771</v>
      </c>
      <c r="P98" s="2">
        <f>P10/'Output-Calculation-sheet'!P9*'Output-Calculation-sheet'!P81</f>
        <v>4158549298.4804735</v>
      </c>
      <c r="Q98" s="2">
        <f>Q10/'Output-Calculation-sheet'!Q9*'Output-Calculation-sheet'!Q81</f>
        <v>1955244458.4715743</v>
      </c>
      <c r="R98" s="2">
        <f>R10/'Output-Calculation-sheet'!R9*'Output-Calculation-sheet'!R81</f>
        <v>2501053467.8367772</v>
      </c>
      <c r="S98" s="2">
        <f>S10/'Output-Calculation-sheet'!S9*'Output-Calculation-sheet'!S81</f>
        <v>1446054188.9584732</v>
      </c>
      <c r="T98" s="2">
        <f>T10/'Output-Calculation-sheet'!T9*'Output-Calculation-sheet'!T81</f>
        <v>1073031698.2941757</v>
      </c>
      <c r="U98" s="2">
        <f>U10/'Output-Calculation-sheet'!U9*'Output-Calculation-sheet'!U81</f>
        <v>698184015.89391994</v>
      </c>
      <c r="V98" s="2">
        <f>V10/'Output-Calculation-sheet'!V9*'Output-Calculation-sheet'!V81</f>
        <v>369770012.07313049</v>
      </c>
      <c r="W98" s="2">
        <f>W10/'Output-Calculation-sheet'!W9*'Output-Calculation-sheet'!W81</f>
        <v>1048425554.9957309</v>
      </c>
      <c r="X98" s="2">
        <f>X10/'Output-Calculation-sheet'!X9*'Output-Calculation-sheet'!X81</f>
        <v>385264671.06761038</v>
      </c>
      <c r="Y98" s="2">
        <f>Y10/'Output-Calculation-sheet'!Y9*'Output-Calculation-sheet'!Y81</f>
        <v>576489297.84451497</v>
      </c>
      <c r="AA98" s="2">
        <f t="shared" si="8"/>
        <v>112.06365574126589</v>
      </c>
    </row>
    <row r="99" spans="1:27" x14ac:dyDescent="0.25">
      <c r="A99" s="2">
        <v>2034</v>
      </c>
      <c r="B99" s="2">
        <f>B11/'Output-Calculation-sheet'!B10*'Output-Calculation-sheet'!B82</f>
        <v>34222377931.979671</v>
      </c>
      <c r="C99" s="2">
        <f>C11/'Output-Calculation-sheet'!C10*'Output-Calculation-sheet'!C82</f>
        <v>11808124454.781647</v>
      </c>
      <c r="D99" s="2">
        <f>D11/'Output-Calculation-sheet'!D10*'Output-Calculation-sheet'!D82</f>
        <v>10742071816.199043</v>
      </c>
      <c r="E99" s="2">
        <f>E11/'Output-Calculation-sheet'!E10*'Output-Calculation-sheet'!E82</f>
        <v>20779595967.544029</v>
      </c>
      <c r="F99" s="2">
        <f>F11/'Output-Calculation-sheet'!F10*'Output-Calculation-sheet'!F82</f>
        <v>8558050811.5349283</v>
      </c>
      <c r="G99" s="2">
        <f>G11/'Output-Calculation-sheet'!G10*'Output-Calculation-sheet'!G82</f>
        <v>6084165133.5813475</v>
      </c>
      <c r="H99" s="2">
        <f>H11/'Output-Calculation-sheet'!H10*'Output-Calculation-sheet'!H82</f>
        <v>5686756953.8307762</v>
      </c>
      <c r="I99" s="2">
        <f>I11/'Output-Calculation-sheet'!I10*'Output-Calculation-sheet'!I82</f>
        <v>4776479946.7461958</v>
      </c>
      <c r="J99" s="2">
        <f>J11/'Output-Calculation-sheet'!J10*'Output-Calculation-sheet'!J82</f>
        <v>2972401644.0525069</v>
      </c>
      <c r="K99" s="2">
        <f>K11/'Output-Calculation-sheet'!K10*'Output-Calculation-sheet'!K82</f>
        <v>4349013664.0846596</v>
      </c>
      <c r="L99" s="2">
        <f>L11/'Output-Calculation-sheet'!L10*'Output-Calculation-sheet'!L82</f>
        <v>3357756589.3747258</v>
      </c>
      <c r="M99" s="2">
        <f>M11/'Output-Calculation-sheet'!M10*'Output-Calculation-sheet'!M82</f>
        <v>4283728607.2750869</v>
      </c>
      <c r="N99" s="2">
        <f>N11/'Output-Calculation-sheet'!N10*'Output-Calculation-sheet'!N82</f>
        <v>3017890806.4329062</v>
      </c>
      <c r="O99" s="2">
        <f>O11/'Output-Calculation-sheet'!O10*'Output-Calculation-sheet'!O82</f>
        <v>1636150061.8646338</v>
      </c>
      <c r="P99" s="2">
        <f>P11/'Output-Calculation-sheet'!P10*'Output-Calculation-sheet'!P82</f>
        <v>5100250397.8721189</v>
      </c>
      <c r="Q99" s="2">
        <f>Q11/'Output-Calculation-sheet'!Q10*'Output-Calculation-sheet'!Q82</f>
        <v>2413758990.7640195</v>
      </c>
      <c r="R99" s="2">
        <f>R11/'Output-Calculation-sheet'!R10*'Output-Calculation-sheet'!R82</f>
        <v>3124599850.8602304</v>
      </c>
      <c r="S99" s="2">
        <f>S11/'Output-Calculation-sheet'!S10*'Output-Calculation-sheet'!S82</f>
        <v>1799856866.9756751</v>
      </c>
      <c r="T99" s="2">
        <f>T11/'Output-Calculation-sheet'!T10*'Output-Calculation-sheet'!T82</f>
        <v>1315484941.7523463</v>
      </c>
      <c r="U99" s="2">
        <f>U11/'Output-Calculation-sheet'!U10*'Output-Calculation-sheet'!U82</f>
        <v>871140646.57846761</v>
      </c>
      <c r="V99" s="2">
        <f>V11/'Output-Calculation-sheet'!V10*'Output-Calculation-sheet'!V82</f>
        <v>465788042.85220855</v>
      </c>
      <c r="W99" s="2">
        <f>W11/'Output-Calculation-sheet'!W10*'Output-Calculation-sheet'!W82</f>
        <v>1291646550.9130182</v>
      </c>
      <c r="X99" s="2">
        <f>X11/'Output-Calculation-sheet'!X10*'Output-Calculation-sheet'!X82</f>
        <v>486469651.52589881</v>
      </c>
      <c r="Y99" s="2">
        <f>Y11/'Output-Calculation-sheet'!Y10*'Output-Calculation-sheet'!Y82</f>
        <v>710815265.79820585</v>
      </c>
      <c r="AA99" s="2">
        <f t="shared" si="8"/>
        <v>139.85437559517439</v>
      </c>
    </row>
    <row r="100" spans="1:27" x14ac:dyDescent="0.25">
      <c r="A100" s="2">
        <v>2035</v>
      </c>
      <c r="B100" s="2">
        <f>B12/'Output-Calculation-sheet'!B11*'Output-Calculation-sheet'!B83</f>
        <v>41805212636.784622</v>
      </c>
      <c r="C100" s="2">
        <f>C12/'Output-Calculation-sheet'!C11*'Output-Calculation-sheet'!C83</f>
        <v>14514090811.749069</v>
      </c>
      <c r="D100" s="2">
        <f>D12/'Output-Calculation-sheet'!D11*'Output-Calculation-sheet'!D83</f>
        <v>12632655023.938482</v>
      </c>
      <c r="E100" s="2">
        <f>E12/'Output-Calculation-sheet'!E11*'Output-Calculation-sheet'!E83</f>
        <v>25123091253.164803</v>
      </c>
      <c r="F100" s="2">
        <f>F12/'Output-Calculation-sheet'!F11*'Output-Calculation-sheet'!F83</f>
        <v>10334638011.476898</v>
      </c>
      <c r="G100" s="2">
        <f>G12/'Output-Calculation-sheet'!G11*'Output-Calculation-sheet'!G83</f>
        <v>7101908662.3446827</v>
      </c>
      <c r="H100" s="2">
        <f>H12/'Output-Calculation-sheet'!H11*'Output-Calculation-sheet'!H83</f>
        <v>6859913027.6330023</v>
      </c>
      <c r="I100" s="2">
        <f>I12/'Output-Calculation-sheet'!I11*'Output-Calculation-sheet'!I83</f>
        <v>5820500709.4278641</v>
      </c>
      <c r="J100" s="2">
        <f>J12/'Output-Calculation-sheet'!J11*'Output-Calculation-sheet'!J83</f>
        <v>3527473947.1834335</v>
      </c>
      <c r="K100" s="2">
        <f>K12/'Output-Calculation-sheet'!K11*'Output-Calculation-sheet'!K83</f>
        <v>5197471681.0348101</v>
      </c>
      <c r="L100" s="2">
        <f>L12/'Output-Calculation-sheet'!L11*'Output-Calculation-sheet'!L83</f>
        <v>4126496157.9888391</v>
      </c>
      <c r="M100" s="2">
        <f>M12/'Output-Calculation-sheet'!M11*'Output-Calculation-sheet'!M83</f>
        <v>5183793571.6383982</v>
      </c>
      <c r="N100" s="2">
        <f>N12/'Output-Calculation-sheet'!N11*'Output-Calculation-sheet'!N83</f>
        <v>3586775722.765624</v>
      </c>
      <c r="O100" s="2">
        <f>O12/'Output-Calculation-sheet'!O11*'Output-Calculation-sheet'!O83</f>
        <v>1990888269.9181879</v>
      </c>
      <c r="P100" s="2">
        <f>P12/'Output-Calculation-sheet'!P11*'Output-Calculation-sheet'!P83</f>
        <v>6046469139.1313572</v>
      </c>
      <c r="Q100" s="2">
        <f>Q12/'Output-Calculation-sheet'!Q11*'Output-Calculation-sheet'!Q83</f>
        <v>2884193497.2866073</v>
      </c>
      <c r="R100" s="2">
        <f>R12/'Output-Calculation-sheet'!R11*'Output-Calculation-sheet'!R83</f>
        <v>3776690631.0453429</v>
      </c>
      <c r="S100" s="2">
        <f>S12/'Output-Calculation-sheet'!S11*'Output-Calculation-sheet'!S83</f>
        <v>2167626379.1275153</v>
      </c>
      <c r="T100" s="2">
        <f>T12/'Output-Calculation-sheet'!T11*'Output-Calculation-sheet'!T83</f>
        <v>1559939963.4115231</v>
      </c>
      <c r="U100" s="2">
        <f>U12/'Output-Calculation-sheet'!U11*'Output-Calculation-sheet'!U83</f>
        <v>1051222912.4034314</v>
      </c>
      <c r="V100" s="2">
        <f>V12/'Output-Calculation-sheet'!V11*'Output-Calculation-sheet'!V83</f>
        <v>567195838.83346474</v>
      </c>
      <c r="W100" s="2">
        <f>W12/'Output-Calculation-sheet'!W11*'Output-Calculation-sheet'!W83</f>
        <v>1536672871.858057</v>
      </c>
      <c r="X100" s="2">
        <f>X12/'Output-Calculation-sheet'!X11*'Output-Calculation-sheet'!X83</f>
        <v>594092328.48540819</v>
      </c>
      <c r="Y100" s="2">
        <f>Y12/'Output-Calculation-sheet'!Y11*'Output-Calculation-sheet'!Y83</f>
        <v>846798475.92154646</v>
      </c>
      <c r="AA100" s="2">
        <f t="shared" si="8"/>
        <v>168.83581152455298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5931.9990797377932</v>
      </c>
      <c r="C19" s="2">
        <f>C8/'Output-Calculation-sheet'!C7*'Output-Calculation-sheet'!C25</f>
        <v>7909.4947384976313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2881.9553746588504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2109.456462752064</v>
      </c>
      <c r="N19" s="2">
        <f>N8/'Output-Calculation-sheet'!N7*'Output-Calculation-sheet'!N25</f>
        <v>1098.957162055359</v>
      </c>
      <c r="O19" s="2">
        <f>O8/'Output-Calculation-sheet'!O7*'Output-Calculation-sheet'!O25</f>
        <v>1198.4415625458844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479.07996295287228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243.83932484025758</v>
      </c>
      <c r="Y19" s="2">
        <f>Y8/'Output-Calculation-sheet'!Y7*'Output-Calculation-sheet'!Y25</f>
        <v>0</v>
      </c>
      <c r="AA19" s="2">
        <f t="shared" si="0"/>
        <v>21.853223668040712</v>
      </c>
    </row>
    <row r="20" spans="1:27" x14ac:dyDescent="0.25">
      <c r="A20" s="2">
        <v>2032</v>
      </c>
      <c r="B20" s="2">
        <f>B9/'Output-Calculation-sheet'!B8*'Output-Calculation-sheet'!B26</f>
        <v>7592.4418337263123</v>
      </c>
      <c r="C20" s="2">
        <f>C9/'Output-Calculation-sheet'!C8*'Output-Calculation-sheet'!C26</f>
        <v>8750.8842529549074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3150.3554910833745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2300.4791922755221</v>
      </c>
      <c r="N20" s="2">
        <f>N9/'Output-Calculation-sheet'!N8*'Output-Calculation-sheet'!N26</f>
        <v>1308.5401188729611</v>
      </c>
      <c r="O20" s="2">
        <f>O9/'Output-Calculation-sheet'!O8*'Output-Calculation-sheet'!O26</f>
        <v>1353.6885833864135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591.51664385829395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265.735211340543</v>
      </c>
      <c r="Y20" s="2">
        <f>Y9/'Output-Calculation-sheet'!Y8*'Output-Calculation-sheet'!Y26</f>
        <v>0</v>
      </c>
      <c r="AA20" s="2">
        <f t="shared" si="0"/>
        <v>25.313641327498324</v>
      </c>
    </row>
    <row r="21" spans="1:27" x14ac:dyDescent="0.25">
      <c r="A21" s="2">
        <v>2033</v>
      </c>
      <c r="B21" s="2">
        <f>B10/'Output-Calculation-sheet'!B9*'Output-Calculation-sheet'!B27</f>
        <v>15357.321485988839</v>
      </c>
      <c r="C21" s="2">
        <f>C10/'Output-Calculation-sheet'!C9*'Output-Calculation-sheet'!C27</f>
        <v>26373.632385627643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8889.097527744867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6174.0315915069987</v>
      </c>
      <c r="N21" s="2">
        <f>N10/'Output-Calculation-sheet'!N9*'Output-Calculation-sheet'!N27</f>
        <v>3378.3064039533097</v>
      </c>
      <c r="O21" s="2">
        <f>O10/'Output-Calculation-sheet'!O9*'Output-Calculation-sheet'!O27</f>
        <v>2631.4048075925357</v>
      </c>
      <c r="P21" s="2">
        <f>P10/'Output-Calculation-sheet'!P9*'Output-Calculation-sheet'!P27</f>
        <v>0</v>
      </c>
      <c r="Q21" s="2">
        <f>Q10/'Output-Calculation-sheet'!Q9*'Output-Calculation-sheet'!Q27</f>
        <v>230.42286725515055</v>
      </c>
      <c r="R21" s="2">
        <f>R10/'Output-Calculation-sheet'!R9*'Output-Calculation-sheet'!R27</f>
        <v>0</v>
      </c>
      <c r="S21" s="2">
        <f>S10/'Output-Calculation-sheet'!S9*'Output-Calculation-sheet'!S27</f>
        <v>1467.3264596175109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726.01322177487214</v>
      </c>
      <c r="Y21" s="2">
        <f>Y10/'Output-Calculation-sheet'!Y9*'Output-Calculation-sheet'!Y27</f>
        <v>0</v>
      </c>
      <c r="AA21" s="2">
        <f t="shared" si="0"/>
        <v>65.227556751061726</v>
      </c>
    </row>
    <row r="22" spans="1:27" x14ac:dyDescent="0.25">
      <c r="A22" s="2">
        <v>2034</v>
      </c>
      <c r="B22" s="2">
        <f>B11/'Output-Calculation-sheet'!B10*'Output-Calculation-sheet'!B28</f>
        <v>26380.804098606321</v>
      </c>
      <c r="C22" s="2">
        <f>C11/'Output-Calculation-sheet'!C10*'Output-Calculation-sheet'!C28</f>
        <v>25309.069112641235</v>
      </c>
      <c r="D22" s="2">
        <f>D11/'Output-Calculation-sheet'!D10*'Output-Calculation-sheet'!D28</f>
        <v>0</v>
      </c>
      <c r="E22" s="2">
        <f>E11/'Output-Calculation-sheet'!E10*'Output-Calculation-sheet'!E28</f>
        <v>1351.7119501942104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9657.8928750013092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806.02048827359079</v>
      </c>
      <c r="M22" s="2">
        <f>M11/'Output-Calculation-sheet'!M10*'Output-Calculation-sheet'!M28</f>
        <v>7041.4528660888218</v>
      </c>
      <c r="N22" s="2">
        <f>N11/'Output-Calculation-sheet'!N10*'Output-Calculation-sheet'!N28</f>
        <v>4202.2558580062405</v>
      </c>
      <c r="O22" s="2">
        <f>O11/'Output-Calculation-sheet'!O10*'Output-Calculation-sheet'!O28</f>
        <v>2597.2692262818268</v>
      </c>
      <c r="P22" s="2">
        <f>P11/'Output-Calculation-sheet'!P10*'Output-Calculation-sheet'!P28</f>
        <v>0</v>
      </c>
      <c r="Q22" s="2">
        <f>Q11/'Output-Calculation-sheet'!Q10*'Output-Calculation-sheet'!Q28</f>
        <v>954.62100944996052</v>
      </c>
      <c r="R22" s="2">
        <f>R11/'Output-Calculation-sheet'!R10*'Output-Calculation-sheet'!R28</f>
        <v>0</v>
      </c>
      <c r="S22" s="2">
        <f>S11/'Output-Calculation-sheet'!S10*'Output-Calculation-sheet'!S28</f>
        <v>2143.7430989976688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707.08165111206517</v>
      </c>
      <c r="Y22" s="2">
        <f>Y11/'Output-Calculation-sheet'!Y10*'Output-Calculation-sheet'!Y28</f>
        <v>73.343350469894233</v>
      </c>
      <c r="AA22" s="2">
        <f t="shared" si="0"/>
        <v>81.22526558512314</v>
      </c>
    </row>
    <row r="23" spans="1:27" x14ac:dyDescent="0.25">
      <c r="A23" s="2">
        <v>2035</v>
      </c>
      <c r="B23" s="2">
        <f>B12/'Output-Calculation-sheet'!B11*'Output-Calculation-sheet'!B29</f>
        <v>26476.796594375803</v>
      </c>
      <c r="C23" s="2">
        <f>C12/'Output-Calculation-sheet'!C11*'Output-Calculation-sheet'!C29</f>
        <v>21625.917811755491</v>
      </c>
      <c r="D23" s="2">
        <f>D12/'Output-Calculation-sheet'!D11*'Output-Calculation-sheet'!D29</f>
        <v>0</v>
      </c>
      <c r="E23" s="2">
        <f>E12/'Output-Calculation-sheet'!E11*'Output-Calculation-sheet'!E29</f>
        <v>4082.0760021691417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8324.8341502926578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925.37368964164534</v>
      </c>
      <c r="M23" s="2">
        <f>M12/'Output-Calculation-sheet'!M11*'Output-Calculation-sheet'!M29</f>
        <v>6099.2584138512211</v>
      </c>
      <c r="N23" s="2">
        <f>N12/'Output-Calculation-sheet'!N11*'Output-Calculation-sheet'!N29</f>
        <v>3558.0376479645433</v>
      </c>
      <c r="O23" s="2">
        <f>O12/'Output-Calculation-sheet'!O11*'Output-Calculation-sheet'!O29</f>
        <v>2398.5547742309273</v>
      </c>
      <c r="P23" s="2">
        <f>P12/'Output-Calculation-sheet'!P11*'Output-Calculation-sheet'!P29</f>
        <v>434.54915291342201</v>
      </c>
      <c r="Q23" s="2">
        <f>Q12/'Output-Calculation-sheet'!Q11*'Output-Calculation-sheet'!Q29</f>
        <v>975.55799344835668</v>
      </c>
      <c r="R23" s="2">
        <f>R12/'Output-Calculation-sheet'!R11*'Output-Calculation-sheet'!R29</f>
        <v>0</v>
      </c>
      <c r="S23" s="2">
        <f>S12/'Output-Calculation-sheet'!S11*'Output-Calculation-sheet'!S29</f>
        <v>1904.618158848948</v>
      </c>
      <c r="T23" s="2">
        <f>T12/'Output-Calculation-sheet'!T11*'Output-Calculation-sheet'!T29</f>
        <v>0</v>
      </c>
      <c r="U23" s="2">
        <f>U12/'Output-Calculation-sheet'!U11*'Output-Calculation-sheet'!U29</f>
        <v>83.055538218375361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604.22644559699086</v>
      </c>
      <c r="Y23" s="2">
        <f>Y12/'Output-Calculation-sheet'!Y11*'Output-Calculation-sheet'!Y29</f>
        <v>178.88476866945842</v>
      </c>
      <c r="AA23" s="2">
        <f t="shared" si="0"/>
        <v>77.67174114197698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29172.77299532972</v>
      </c>
      <c r="C30" s="2">
        <f>C8/'Output-Calculation-sheet'!C7*'Output-Calculation-sheet'!C16</f>
        <v>0</v>
      </c>
      <c r="D30" s="2">
        <f>D8/'Output-Calculation-sheet'!D7*'Output-Calculation-sheet'!D16</f>
        <v>6572.3445121825607</v>
      </c>
      <c r="E30" s="2">
        <f>E8/'Output-Calculation-sheet'!E7*'Output-Calculation-sheet'!E16</f>
        <v>8236.1975785375089</v>
      </c>
      <c r="F30" s="2">
        <f>F8/'Output-Calculation-sheet'!F7*'Output-Calculation-sheet'!F16</f>
        <v>4022.5581348368923</v>
      </c>
      <c r="G30" s="2">
        <f>G8/'Output-Calculation-sheet'!G7*'Output-Calculation-sheet'!G16</f>
        <v>2451.2946935434643</v>
      </c>
      <c r="H30" s="2">
        <f>H8/'Output-Calculation-sheet'!H7*'Output-Calculation-sheet'!H16</f>
        <v>0</v>
      </c>
      <c r="I30" s="2">
        <f>I8/'Output-Calculation-sheet'!I7*'Output-Calculation-sheet'!I16</f>
        <v>2307.591411904667</v>
      </c>
      <c r="J30" s="2">
        <f>J8/'Output-Calculation-sheet'!J7*'Output-Calculation-sheet'!J16</f>
        <v>2473.6382271635289</v>
      </c>
      <c r="K30" s="2">
        <f>K8/'Output-Calculation-sheet'!K7*'Output-Calculation-sheet'!K16</f>
        <v>2394.2037514457338</v>
      </c>
      <c r="L30" s="2">
        <f>L8/'Output-Calculation-sheet'!L7*'Output-Calculation-sheet'!L16</f>
        <v>2646.4115074395395</v>
      </c>
      <c r="M30" s="2">
        <f>M8/'Output-Calculation-sheet'!M7*'Output-Calculation-sheet'!M16</f>
        <v>0</v>
      </c>
      <c r="N30" s="2">
        <f>N8/'Output-Calculation-sheet'!N7*'Output-Calculation-sheet'!N16</f>
        <v>1186.7217088262773</v>
      </c>
      <c r="O30" s="2">
        <f>O8/'Output-Calculation-sheet'!O7*'Output-Calculation-sheet'!O16</f>
        <v>0</v>
      </c>
      <c r="P30" s="2">
        <f>P8/'Output-Calculation-sheet'!P7*'Output-Calculation-sheet'!P16</f>
        <v>2265.4595377707351</v>
      </c>
      <c r="Q30" s="2">
        <f>Q8/'Output-Calculation-sheet'!Q7*'Output-Calculation-sheet'!Q16</f>
        <v>2222.528041157711</v>
      </c>
      <c r="R30" s="2">
        <f>R8/'Output-Calculation-sheet'!R7*'Output-Calculation-sheet'!R16</f>
        <v>1972.323290145983</v>
      </c>
      <c r="S30" s="2">
        <f>S8/'Output-Calculation-sheet'!S7*'Output-Calculation-sheet'!S16</f>
        <v>1044.6051735202609</v>
      </c>
      <c r="T30" s="2">
        <f>T8/'Output-Calculation-sheet'!T7*'Output-Calculation-sheet'!T16</f>
        <v>744.97587230871352</v>
      </c>
      <c r="U30" s="2">
        <f>U8/'Output-Calculation-sheet'!U7*'Output-Calculation-sheet'!U16</f>
        <v>574.82535764208217</v>
      </c>
      <c r="V30" s="2">
        <f>V8/'Output-Calculation-sheet'!V7*'Output-Calculation-sheet'!V16</f>
        <v>744.28389066767454</v>
      </c>
      <c r="W30" s="2">
        <f>W8/'Output-Calculation-sheet'!W7*'Output-Calculation-sheet'!W16</f>
        <v>358.35748092798445</v>
      </c>
      <c r="X30" s="2">
        <f>X8/'Output-Calculation-sheet'!X7*'Output-Calculation-sheet'!X16</f>
        <v>0</v>
      </c>
      <c r="Y30" s="2">
        <f>Y8/'Output-Calculation-sheet'!Y7*'Output-Calculation-sheet'!Y16</f>
        <v>244.40761464539082</v>
      </c>
      <c r="AA30" s="2">
        <f t="shared" si="1"/>
        <v>71.635500779996434</v>
      </c>
    </row>
    <row r="31" spans="1:27" x14ac:dyDescent="0.25">
      <c r="A31" s="2">
        <v>2032</v>
      </c>
      <c r="B31" s="2">
        <f>B9/'Output-Calculation-sheet'!B8*'Output-Calculation-sheet'!B17</f>
        <v>30763.475698896029</v>
      </c>
      <c r="C31" s="2">
        <f>C9/'Output-Calculation-sheet'!C8*'Output-Calculation-sheet'!C17</f>
        <v>0</v>
      </c>
      <c r="D31" s="2">
        <f>D9/'Output-Calculation-sheet'!D8*'Output-Calculation-sheet'!D17</f>
        <v>7041.1247489950902</v>
      </c>
      <c r="E31" s="2">
        <f>E9/'Output-Calculation-sheet'!E8*'Output-Calculation-sheet'!E17</f>
        <v>8844.582873105559</v>
      </c>
      <c r="F31" s="2">
        <f>F9/'Output-Calculation-sheet'!F8*'Output-Calculation-sheet'!F17</f>
        <v>4315.4411724271322</v>
      </c>
      <c r="G31" s="2">
        <f>G9/'Output-Calculation-sheet'!G8*'Output-Calculation-sheet'!G17</f>
        <v>2626.9244401691899</v>
      </c>
      <c r="H31" s="2">
        <f>H9/'Output-Calculation-sheet'!H8*'Output-Calculation-sheet'!H17</f>
        <v>0</v>
      </c>
      <c r="I31" s="2">
        <f>I9/'Output-Calculation-sheet'!I8*'Output-Calculation-sheet'!I17</f>
        <v>2471.6877564883816</v>
      </c>
      <c r="J31" s="2">
        <f>J9/'Output-Calculation-sheet'!J8*'Output-Calculation-sheet'!J17</f>
        <v>2651.6966521388913</v>
      </c>
      <c r="K31" s="2">
        <f>K9/'Output-Calculation-sheet'!K8*'Output-Calculation-sheet'!K17</f>
        <v>2564.5630516147912</v>
      </c>
      <c r="L31" s="2">
        <f>L9/'Output-Calculation-sheet'!L8*'Output-Calculation-sheet'!L17</f>
        <v>2833.7504906007816</v>
      </c>
      <c r="M31" s="2">
        <f>M9/'Output-Calculation-sheet'!M8*'Output-Calculation-sheet'!M17</f>
        <v>0</v>
      </c>
      <c r="N31" s="2">
        <f>N9/'Output-Calculation-sheet'!N8*'Output-Calculation-sheet'!N17</f>
        <v>1194.8168152033311</v>
      </c>
      <c r="O31" s="2">
        <f>O9/'Output-Calculation-sheet'!O8*'Output-Calculation-sheet'!O17</f>
        <v>0</v>
      </c>
      <c r="P31" s="2">
        <f>P9/'Output-Calculation-sheet'!P8*'Output-Calculation-sheet'!P17</f>
        <v>2440.9520064142534</v>
      </c>
      <c r="Q31" s="2">
        <f>Q9/'Output-Calculation-sheet'!Q8*'Output-Calculation-sheet'!Q17</f>
        <v>2387.1454072901447</v>
      </c>
      <c r="R31" s="2">
        <f>R9/'Output-Calculation-sheet'!R8*'Output-Calculation-sheet'!R17</f>
        <v>2136.4251593000881</v>
      </c>
      <c r="S31" s="2">
        <f>S9/'Output-Calculation-sheet'!S8*'Output-Calculation-sheet'!S17</f>
        <v>1069.4516232473422</v>
      </c>
      <c r="T31" s="2">
        <f>T9/'Output-Calculation-sheet'!T8*'Output-Calculation-sheet'!T17</f>
        <v>800.35378334724635</v>
      </c>
      <c r="U31" s="2">
        <f>U9/'Output-Calculation-sheet'!U8*'Output-Calculation-sheet'!U17</f>
        <v>619.70649817852859</v>
      </c>
      <c r="V31" s="2">
        <f>V9/'Output-Calculation-sheet'!V8*'Output-Calculation-sheet'!V17</f>
        <v>788.05618403586777</v>
      </c>
      <c r="W31" s="2">
        <f>W9/'Output-Calculation-sheet'!W8*'Output-Calculation-sheet'!W17</f>
        <v>384.09392340953235</v>
      </c>
      <c r="X31" s="2">
        <f>X9/'Output-Calculation-sheet'!X8*'Output-Calculation-sheet'!X17</f>
        <v>0</v>
      </c>
      <c r="Y31" s="2">
        <f>Y9/'Output-Calculation-sheet'!Y8*'Output-Calculation-sheet'!Y17</f>
        <v>261.84153922001008</v>
      </c>
      <c r="AA31" s="2">
        <f t="shared" si="1"/>
        <v>76.196089824082193</v>
      </c>
    </row>
    <row r="32" spans="1:27" x14ac:dyDescent="0.25">
      <c r="A32" s="2">
        <v>2033</v>
      </c>
      <c r="B32" s="2">
        <f>B10/'Output-Calculation-sheet'!B9*'Output-Calculation-sheet'!B18</f>
        <v>31177.260178151537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1899.8340323118452</v>
      </c>
      <c r="O32" s="2">
        <f>O10/'Output-Calculation-sheet'!O9*'Output-Calculation-sheet'!O18</f>
        <v>0</v>
      </c>
      <c r="P32" s="2">
        <f>P10/'Output-Calculation-sheet'!P9*'Output-Calculation-sheet'!P18</f>
        <v>3058.6998403011812</v>
      </c>
      <c r="Q32" s="2">
        <f>Q10/'Output-Calculation-sheet'!Q9*'Output-Calculation-sheet'!Q18</f>
        <v>3329.4805316949346</v>
      </c>
      <c r="R32" s="2">
        <f>R10/'Output-Calculation-sheet'!R9*'Output-Calculation-sheet'!R18</f>
        <v>2196.3053443467261</v>
      </c>
      <c r="S32" s="2">
        <f>S10/'Output-Calculation-sheet'!S9*'Output-Calculation-sheet'!S18</f>
        <v>1441.2283361355148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709.03407166212799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74.929365063182772</v>
      </c>
    </row>
    <row r="33" spans="1:27" x14ac:dyDescent="0.25">
      <c r="A33" s="2">
        <v>2034</v>
      </c>
      <c r="B33" s="2">
        <f>B11/'Output-Calculation-sheet'!B10*'Output-Calculation-sheet'!B19</f>
        <v>26609.228258553369</v>
      </c>
      <c r="C33" s="2">
        <f>C11/'Output-Calculation-sheet'!C10*'Output-Calculation-sheet'!C19</f>
        <v>0</v>
      </c>
      <c r="D33" s="2">
        <f>D11/'Output-Calculation-sheet'!D10*'Output-Calculation-sheet'!D19</f>
        <v>7937.2405286613921</v>
      </c>
      <c r="E33" s="2">
        <f>E11/'Output-Calculation-sheet'!E10*'Output-Calculation-sheet'!E19</f>
        <v>9830.8031411669417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2701.7616071317971</v>
      </c>
      <c r="H33" s="2">
        <f>H11/'Output-Calculation-sheet'!H10*'Output-Calculation-sheet'!H19</f>
        <v>0</v>
      </c>
      <c r="I33" s="2">
        <f>I11/'Output-Calculation-sheet'!I10*'Output-Calculation-sheet'!I19</f>
        <v>2948.0007880816538</v>
      </c>
      <c r="J33" s="2">
        <f>J11/'Output-Calculation-sheet'!J10*'Output-Calculation-sheet'!J19</f>
        <v>2492.7246371217184</v>
      </c>
      <c r="K33" s="2">
        <f>K11/'Output-Calculation-sheet'!K10*'Output-Calculation-sheet'!K19</f>
        <v>3459.0151482785923</v>
      </c>
      <c r="L33" s="2">
        <f>L11/'Output-Calculation-sheet'!L10*'Output-Calculation-sheet'!L19</f>
        <v>2813.003336365231</v>
      </c>
      <c r="M33" s="2">
        <f>M11/'Output-Calculation-sheet'!M10*'Output-Calculation-sheet'!M19</f>
        <v>0</v>
      </c>
      <c r="N33" s="2">
        <f>N11/'Output-Calculation-sheet'!N10*'Output-Calculation-sheet'!N19</f>
        <v>1590.6338564198097</v>
      </c>
      <c r="O33" s="2">
        <f>O11/'Output-Calculation-sheet'!O10*'Output-Calculation-sheet'!O19</f>
        <v>0</v>
      </c>
      <c r="P33" s="2">
        <f>P11/'Output-Calculation-sheet'!P10*'Output-Calculation-sheet'!P19</f>
        <v>3499.9131548074856</v>
      </c>
      <c r="Q33" s="2">
        <f>Q11/'Output-Calculation-sheet'!Q10*'Output-Calculation-sheet'!Q19</f>
        <v>2882.1417394472296</v>
      </c>
      <c r="R33" s="2">
        <f>R11/'Output-Calculation-sheet'!R10*'Output-Calculation-sheet'!R19</f>
        <v>2498.8815805062909</v>
      </c>
      <c r="S33" s="2">
        <f>S11/'Output-Calculation-sheet'!S10*'Output-Calculation-sheet'!S19</f>
        <v>1164.8906059879171</v>
      </c>
      <c r="T33" s="2">
        <f>T11/'Output-Calculation-sheet'!T10*'Output-Calculation-sheet'!T19</f>
        <v>733.24429512312668</v>
      </c>
      <c r="U33" s="2">
        <f>U11/'Output-Calculation-sheet'!U10*'Output-Calculation-sheet'!U19</f>
        <v>843.90101945138008</v>
      </c>
      <c r="V33" s="2">
        <f>V11/'Output-Calculation-sheet'!V10*'Output-Calculation-sheet'!V19</f>
        <v>575.00663466530455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103.683783155651</v>
      </c>
      <c r="Y33" s="2">
        <f>Y11/'Output-Calculation-sheet'!Y10*'Output-Calculation-sheet'!Y19</f>
        <v>322.71074206753462</v>
      </c>
      <c r="AA33" s="2">
        <f t="shared" si="1"/>
        <v>77.876442423560221</v>
      </c>
    </row>
    <row r="34" spans="1:27" x14ac:dyDescent="0.25">
      <c r="A34" s="2">
        <v>2035</v>
      </c>
      <c r="B34" s="2">
        <f>B12/'Output-Calculation-sheet'!B11*'Output-Calculation-sheet'!B20</f>
        <v>21072.660000018452</v>
      </c>
      <c r="C34" s="2">
        <f>C12/'Output-Calculation-sheet'!C11*'Output-Calculation-sheet'!C20</f>
        <v>0</v>
      </c>
      <c r="D34" s="2">
        <f>D12/'Output-Calculation-sheet'!D11*'Output-Calculation-sheet'!D20</f>
        <v>6613.243350947113</v>
      </c>
      <c r="E34" s="2">
        <f>E12/'Output-Calculation-sheet'!E11*'Output-Calculation-sheet'!E20</f>
        <v>7225.9401393207772</v>
      </c>
      <c r="F34" s="2">
        <f>F12/'Output-Calculation-sheet'!F11*'Output-Calculation-sheet'!F20</f>
        <v>4552.6811232112696</v>
      </c>
      <c r="G34" s="2">
        <f>G12/'Output-Calculation-sheet'!G11*'Output-Calculation-sheet'!G20</f>
        <v>2432.8176255611215</v>
      </c>
      <c r="H34" s="2">
        <f>H12/'Output-Calculation-sheet'!H11*'Output-Calculation-sheet'!H20</f>
        <v>0</v>
      </c>
      <c r="I34" s="2">
        <f>I12/'Output-Calculation-sheet'!I11*'Output-Calculation-sheet'!I20</f>
        <v>2644.1414846721777</v>
      </c>
      <c r="J34" s="2">
        <f>J12/'Output-Calculation-sheet'!J11*'Output-Calculation-sheet'!J20</f>
        <v>2269.997747870244</v>
      </c>
      <c r="K34" s="2">
        <f>K12/'Output-Calculation-sheet'!K11*'Output-Calculation-sheet'!K20</f>
        <v>2984.4943431193237</v>
      </c>
      <c r="L34" s="2">
        <f>L12/'Output-Calculation-sheet'!L11*'Output-Calculation-sheet'!L20</f>
        <v>2358.6936830943455</v>
      </c>
      <c r="M34" s="2">
        <f>M12/'Output-Calculation-sheet'!M11*'Output-Calculation-sheet'!M20</f>
        <v>0</v>
      </c>
      <c r="N34" s="2">
        <f>N12/'Output-Calculation-sheet'!N11*'Output-Calculation-sheet'!N20</f>
        <v>1312.6134225369383</v>
      </c>
      <c r="O34" s="2">
        <f>O12/'Output-Calculation-sheet'!O11*'Output-Calculation-sheet'!O20</f>
        <v>0</v>
      </c>
      <c r="P34" s="2">
        <f>P12/'Output-Calculation-sheet'!P11*'Output-Calculation-sheet'!P20</f>
        <v>2933.4512298635796</v>
      </c>
      <c r="Q34" s="2">
        <f>Q12/'Output-Calculation-sheet'!Q11*'Output-Calculation-sheet'!Q20</f>
        <v>2321.1531627508825</v>
      </c>
      <c r="R34" s="2">
        <f>R12/'Output-Calculation-sheet'!R11*'Output-Calculation-sheet'!R20</f>
        <v>2329.7416329580647</v>
      </c>
      <c r="S34" s="2">
        <f>S12/'Output-Calculation-sheet'!S11*'Output-Calculation-sheet'!S20</f>
        <v>889.90477382420829</v>
      </c>
      <c r="T34" s="2">
        <f>T12/'Output-Calculation-sheet'!T11*'Output-Calculation-sheet'!T20</f>
        <v>731.93285362107474</v>
      </c>
      <c r="U34" s="2">
        <f>U12/'Output-Calculation-sheet'!U11*'Output-Calculation-sheet'!U20</f>
        <v>667.77530814164936</v>
      </c>
      <c r="V34" s="2">
        <f>V12/'Output-Calculation-sheet'!V11*'Output-Calculation-sheet'!V20</f>
        <v>613.42006719946824</v>
      </c>
      <c r="W34" s="2">
        <f>W12/'Output-Calculation-sheet'!W11*'Output-Calculation-sheet'!W20</f>
        <v>394.6528094174169</v>
      </c>
      <c r="X34" s="2">
        <f>X12/'Output-Calculation-sheet'!X11*'Output-Calculation-sheet'!X20</f>
        <v>79.760817611508102</v>
      </c>
      <c r="Y34" s="2">
        <f>Y12/'Output-Calculation-sheet'!Y11*'Output-Calculation-sheet'!Y20</f>
        <v>221.21780881324793</v>
      </c>
      <c r="AA34" s="2">
        <f t="shared" si="1"/>
        <v>64.650293384552853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1.2490420469114758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0.72796580291581514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1.9770078498272909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2.2532967931907542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0.34681746490879084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0.23864435388936722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0.87550989620073993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0.20550030227787733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2.617987392798116E-2</v>
      </c>
      <c r="Y44" s="2">
        <f>Y11/'Output-Calculation-sheet'!Y10*'Output-Calculation-sheet'!Y37*0.0114</f>
        <v>0</v>
      </c>
      <c r="AA44" s="2">
        <f t="shared" si="2"/>
        <v>3.9459486843955105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1.8696333547243169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0.72643892685359035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2.1722289609670379E-2</v>
      </c>
      <c r="Y45" s="2">
        <f>Y12/'Output-Calculation-sheet'!Y11*'Output-Calculation-sheet'!Y38*0.0114</f>
        <v>2.0962412372478503E-2</v>
      </c>
      <c r="AA45" s="2">
        <f t="shared" si="2"/>
        <v>9.3151021909234881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166.70257562555011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148.39039623531949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645.26954182829206</v>
      </c>
      <c r="S52" s="2">
        <f>S8/'Output-Calculation-sheet'!S7*'Output-Calculation-sheet'!S43</f>
        <v>0</v>
      </c>
      <c r="T52" s="2">
        <f>T8/'Output-Calculation-sheet'!T7*'Output-Calculation-sheet'!T43</f>
        <v>519.58242194554998</v>
      </c>
      <c r="U52" s="2">
        <f>U8/'Output-Calculation-sheet'!U7*'Output-Calculation-sheet'!U43</f>
        <v>54.954623101537493</v>
      </c>
      <c r="V52" s="2">
        <f>V8/'Output-Calculation-sheet'!V7*'Output-Calculation-sheet'!V43</f>
        <v>936.95830060392484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2.4718578593401741</v>
      </c>
    </row>
    <row r="53" spans="1:27" x14ac:dyDescent="0.25">
      <c r="A53" s="2">
        <v>2032</v>
      </c>
      <c r="B53" s="2">
        <f>B9/'Output-Calculation-sheet'!B8*'Output-Calculation-sheet'!B44</f>
        <v>1886.0280909737774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355.56157065675745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284.85300807163935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890.54821146314646</v>
      </c>
      <c r="S53" s="2">
        <f>S9/'Output-Calculation-sheet'!S8*'Output-Calculation-sheet'!S44</f>
        <v>0</v>
      </c>
      <c r="T53" s="2">
        <f>T9/'Output-Calculation-sheet'!T8*'Output-Calculation-sheet'!T44</f>
        <v>614.01515867029229</v>
      </c>
      <c r="U53" s="2">
        <f>U9/'Output-Calculation-sheet'!U8*'Output-Calculation-sheet'!U44</f>
        <v>104.18956319333016</v>
      </c>
      <c r="V53" s="2">
        <f>V9/'Output-Calculation-sheet'!V8*'Output-Calculation-sheet'!V44</f>
        <v>1029.3511594976133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5.1645467625265562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67711.226753622104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0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879.32403809424329</v>
      </c>
      <c r="R54" s="2">
        <f>R10/'Output-Calculation-sheet'!R9*'Output-Calculation-sheet'!R45</f>
        <v>1466.5685698708523</v>
      </c>
      <c r="S54" s="2">
        <f>S10/'Output-Calculation-sheet'!S9*'Output-Calculation-sheet'!S45</f>
        <v>3504.1568603080759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529.23459008216537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152.3091943591497</v>
      </c>
    </row>
    <row r="55" spans="1:27" x14ac:dyDescent="0.25">
      <c r="A55" s="2">
        <v>2034</v>
      </c>
      <c r="B55" s="2">
        <f>B11/'Output-Calculation-sheet'!B10*'Output-Calculation-sheet'!B46</f>
        <v>75794.342954170323</v>
      </c>
      <c r="C55" s="2">
        <f>C11/'Output-Calculation-sheet'!C10*'Output-Calculation-sheet'!C46</f>
        <v>62360.977039621306</v>
      </c>
      <c r="D55" s="2">
        <f>D11/'Output-Calculation-sheet'!D10*'Output-Calculation-sheet'!D46</f>
        <v>7003.6535150987311</v>
      </c>
      <c r="E55" s="2">
        <f>E11/'Output-Calculation-sheet'!E10*'Output-Calculation-sheet'!E46</f>
        <v>8627.356486724424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22482.290049789161</v>
      </c>
      <c r="I55" s="2">
        <f>I11/'Output-Calculation-sheet'!I10*'Output-Calculation-sheet'!I46</f>
        <v>1694.7890356616479</v>
      </c>
      <c r="J55" s="2">
        <f>J11/'Output-Calculation-sheet'!J10*'Output-Calculation-sheet'!J46</f>
        <v>1230.0087925687519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1214.1189947428998</v>
      </c>
      <c r="M55" s="2">
        <f>M11/'Output-Calculation-sheet'!M10*'Output-Calculation-sheet'!M46</f>
        <v>15888.689877371027</v>
      </c>
      <c r="N55" s="2">
        <f>N11/'Output-Calculation-sheet'!N10*'Output-Calculation-sheet'!N46</f>
        <v>12118.370496194175</v>
      </c>
      <c r="O55" s="2">
        <f>O11/'Output-Calculation-sheet'!O10*'Output-Calculation-sheet'!O46</f>
        <v>268.7968979563675</v>
      </c>
      <c r="P55" s="2">
        <f>P11/'Output-Calculation-sheet'!P10*'Output-Calculation-sheet'!P46</f>
        <v>4504.6862808092565</v>
      </c>
      <c r="Q55" s="2">
        <f>Q11/'Output-Calculation-sheet'!Q10*'Output-Calculation-sheet'!Q46</f>
        <v>2649.8723188463127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5955.9558167854429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1380.3611105545074</v>
      </c>
      <c r="V55" s="2">
        <f>V11/'Output-Calculation-sheet'!V10*'Output-Calculation-sheet'!V46</f>
        <v>558.80139423256037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1625.9079597377772</v>
      </c>
      <c r="Y55" s="2">
        <f>Y11/'Output-Calculation-sheet'!Y10*'Output-Calculation-sheet'!Y46</f>
        <v>423.28387791961927</v>
      </c>
      <c r="AA55" s="2">
        <f t="shared" si="3"/>
        <v>237.00399516306308</v>
      </c>
    </row>
    <row r="56" spans="1:27" x14ac:dyDescent="0.25">
      <c r="A56" s="2">
        <v>2035</v>
      </c>
      <c r="B56" s="2">
        <f>B12/'Output-Calculation-sheet'!B11*'Output-Calculation-sheet'!B47</f>
        <v>79993.453856819353</v>
      </c>
      <c r="C56" s="2">
        <f>C12/'Output-Calculation-sheet'!C11*'Output-Calculation-sheet'!C47</f>
        <v>52562.937735889784</v>
      </c>
      <c r="D56" s="2">
        <f>D12/'Output-Calculation-sheet'!D11*'Output-Calculation-sheet'!D47</f>
        <v>6392.2740590424846</v>
      </c>
      <c r="E56" s="2">
        <f>E12/'Output-Calculation-sheet'!E11*'Output-Calculation-sheet'!E47</f>
        <v>17953.722004703697</v>
      </c>
      <c r="F56" s="2">
        <f>F12/'Output-Calculation-sheet'!F11*'Output-Calculation-sheet'!F47</f>
        <v>2214.7628916987323</v>
      </c>
      <c r="G56" s="2">
        <f>G12/'Output-Calculation-sheet'!G11*'Output-Calculation-sheet'!G47</f>
        <v>5003.0095551576123</v>
      </c>
      <c r="H56" s="2">
        <f>H12/'Output-Calculation-sheet'!H11*'Output-Calculation-sheet'!H47</f>
        <v>19108.65134120961</v>
      </c>
      <c r="I56" s="2">
        <f>I12/'Output-Calculation-sheet'!I11*'Output-Calculation-sheet'!I47</f>
        <v>2531.1984713975057</v>
      </c>
      <c r="J56" s="2">
        <f>J12/'Output-Calculation-sheet'!J11*'Output-Calculation-sheet'!J47</f>
        <v>2296.3008301060036</v>
      </c>
      <c r="K56" s="2">
        <f>K12/'Output-Calculation-sheet'!K11*'Output-Calculation-sheet'!K47</f>
        <v>3317.0262218608768</v>
      </c>
      <c r="L56" s="2">
        <f>L12/'Output-Calculation-sheet'!L11*'Output-Calculation-sheet'!L47</f>
        <v>1831.6252120692873</v>
      </c>
      <c r="M56" s="2">
        <f>M12/'Output-Calculation-sheet'!M11*'Output-Calculation-sheet'!M47</f>
        <v>13322.315829200874</v>
      </c>
      <c r="N56" s="2">
        <f>N12/'Output-Calculation-sheet'!N11*'Output-Calculation-sheet'!N47</f>
        <v>10174.503834465017</v>
      </c>
      <c r="O56" s="2">
        <f>O12/'Output-Calculation-sheet'!O11*'Output-Calculation-sheet'!O47</f>
        <v>955.84069322840833</v>
      </c>
      <c r="P56" s="2">
        <f>P12/'Output-Calculation-sheet'!P11*'Output-Calculation-sheet'!P47</f>
        <v>5283.2244402263332</v>
      </c>
      <c r="Q56" s="2">
        <f>Q12/'Output-Calculation-sheet'!Q11*'Output-Calculation-sheet'!Q47</f>
        <v>2677.3102052504573</v>
      </c>
      <c r="R56" s="2">
        <f>R12/'Output-Calculation-sheet'!R11*'Output-Calculation-sheet'!R47</f>
        <v>3900.9986086788585</v>
      </c>
      <c r="S56" s="2">
        <f>S12/'Output-Calculation-sheet'!S11*'Output-Calculation-sheet'!S47</f>
        <v>5166.9238445884221</v>
      </c>
      <c r="T56" s="2">
        <f>T12/'Output-Calculation-sheet'!T11*'Output-Calculation-sheet'!T47</f>
        <v>1366.4063619106885</v>
      </c>
      <c r="U56" s="2">
        <f>U12/'Output-Calculation-sheet'!U11*'Output-Calculation-sheet'!U47</f>
        <v>1307.5854672394191</v>
      </c>
      <c r="V56" s="2">
        <f>V12/'Output-Calculation-sheet'!V11*'Output-Calculation-sheet'!V47</f>
        <v>912.59201714148321</v>
      </c>
      <c r="W56" s="2">
        <f>W12/'Output-Calculation-sheet'!W11*'Output-Calculation-sheet'!W47</f>
        <v>519.38902203432235</v>
      </c>
      <c r="X56" s="2">
        <f>X12/'Output-Calculation-sheet'!X11*'Output-Calculation-sheet'!X47</f>
        <v>1375.7450086124572</v>
      </c>
      <c r="Y56" s="2">
        <f>Y12/'Output-Calculation-sheet'!Y11*'Output-Calculation-sheet'!Y47</f>
        <v>704.26350339116368</v>
      </c>
      <c r="AA56" s="2">
        <f t="shared" si="3"/>
        <v>240.8720610159229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8.0497164271707344</v>
      </c>
      <c r="C63" s="2">
        <f>C8*'Output-Calculation-sheet'!C52/10^9</f>
        <v>4.0802142989782819</v>
      </c>
      <c r="D63" s="2">
        <f>D8*'Output-Calculation-sheet'!D52/10^9</f>
        <v>1.4254006273315496</v>
      </c>
      <c r="E63" s="2">
        <f>E8*'Output-Calculation-sheet'!E52/10^9</f>
        <v>1.8353296939075867</v>
      </c>
      <c r="F63" s="2">
        <f>F8*'Output-Calculation-sheet'!F52/10^9</f>
        <v>0.76340964666357325</v>
      </c>
      <c r="G63" s="2">
        <f>G8*'Output-Calculation-sheet'!G52/10^9</f>
        <v>0.54776458287870178</v>
      </c>
      <c r="H63" s="2">
        <f>H8*'Output-Calculation-sheet'!H52/10^9</f>
        <v>1.0581202593810732</v>
      </c>
      <c r="I63" s="2">
        <f>I8*'Output-Calculation-sheet'!I52/10^9</f>
        <v>0.49103589645001544</v>
      </c>
      <c r="J63" s="2">
        <f>J8*'Output-Calculation-sheet'!J52/10^9</f>
        <v>0.5278827794087495</v>
      </c>
      <c r="K63" s="2">
        <f>K8*'Output-Calculation-sheet'!K52/10^9</f>
        <v>0.53906023884235343</v>
      </c>
      <c r="L63" s="2">
        <f>L8*'Output-Calculation-sheet'!L52/10^9</f>
        <v>0.56062847550660833</v>
      </c>
      <c r="M63" s="2">
        <f>M8*'Output-Calculation-sheet'!M52/10^9</f>
        <v>0.80010945818913071</v>
      </c>
      <c r="N63" s="2">
        <f>N8*'Output-Calculation-sheet'!N52/10^9</f>
        <v>0.67600009201954558</v>
      </c>
      <c r="O63" s="2">
        <f>O8*'Output-Calculation-sheet'!O52/10^9</f>
        <v>0.70029384097016212</v>
      </c>
      <c r="P63" s="2">
        <f>P8*'Output-Calculation-sheet'!P52/10^9</f>
        <v>0.58038484102876031</v>
      </c>
      <c r="Q63" s="2">
        <f>Q8*'Output-Calculation-sheet'!Q52/10^9</f>
        <v>0.54903945962824774</v>
      </c>
      <c r="R63" s="2">
        <f>R8*'Output-Calculation-sheet'!R52/10^9</f>
        <v>0.46253364021806209</v>
      </c>
      <c r="S63" s="2">
        <f>S8*'Output-Calculation-sheet'!S52/10^9</f>
        <v>0.42527089644407362</v>
      </c>
      <c r="T63" s="2">
        <f>T8*'Output-Calculation-sheet'!T52/10^9</f>
        <v>0.15145947263635057</v>
      </c>
      <c r="U63" s="2">
        <f>U8*'Output-Calculation-sheet'!U52/10^9</f>
        <v>0.14857117371113379</v>
      </c>
      <c r="V63" s="2">
        <f>V8*'Output-Calculation-sheet'!V52/10^9</f>
        <v>0.13315932963883642</v>
      </c>
      <c r="W63" s="2">
        <f>W8*'Output-Calculation-sheet'!W52/10^9</f>
        <v>6.9511381041878456E-2</v>
      </c>
      <c r="X63" s="2">
        <f>X8*'Output-Calculation-sheet'!X52/10^9</f>
        <v>0.11233188709537473</v>
      </c>
      <c r="Y63" s="2">
        <f>Y8*'Output-Calculation-sheet'!Y52/10^9</f>
        <v>5.7938537082733763E-2</v>
      </c>
      <c r="AA63" s="2">
        <f t="shared" si="4"/>
        <v>24.745166936223512</v>
      </c>
    </row>
    <row r="64" spans="1:27" x14ac:dyDescent="0.25">
      <c r="A64" s="2">
        <v>2032</v>
      </c>
      <c r="B64" s="2">
        <f>B9*'Output-Calculation-sheet'!B53/10^9</f>
        <v>8.5255106345600176</v>
      </c>
      <c r="C64" s="2">
        <f>C9*'Output-Calculation-sheet'!C53/10^9</f>
        <v>4.3175172204214798</v>
      </c>
      <c r="D64" s="2">
        <f>D9*'Output-Calculation-sheet'!D53/10^9</f>
        <v>1.5123652799374385</v>
      </c>
      <c r="E64" s="2">
        <f>E9*'Output-Calculation-sheet'!E53/10^9</f>
        <v>1.9475575404412055</v>
      </c>
      <c r="F64" s="2">
        <f>F9*'Output-Calculation-sheet'!F53/10^9</f>
        <v>0.80938791408668598</v>
      </c>
      <c r="G64" s="2">
        <f>G9*'Output-Calculation-sheet'!G53/10^9</f>
        <v>0.58105959118038397</v>
      </c>
      <c r="H64" s="2">
        <f>H9*'Output-Calculation-sheet'!H53/10^9</f>
        <v>1.118281817729933</v>
      </c>
      <c r="I64" s="2">
        <f>I9*'Output-Calculation-sheet'!I53/10^9</f>
        <v>0.52094328355579245</v>
      </c>
      <c r="J64" s="2">
        <f>J9*'Output-Calculation-sheet'!J53/10^9</f>
        <v>0.55986077832474024</v>
      </c>
      <c r="K64" s="2">
        <f>K9*'Output-Calculation-sheet'!K53/10^9</f>
        <v>0.57205672581855416</v>
      </c>
      <c r="L64" s="2">
        <f>L9*'Output-Calculation-sheet'!L53/10^9</f>
        <v>0.59476176397082081</v>
      </c>
      <c r="M64" s="2">
        <f>M9*'Output-Calculation-sheet'!M53/10^9</f>
        <v>0.84580662951599828</v>
      </c>
      <c r="N64" s="2">
        <f>N9*'Output-Calculation-sheet'!N53/10^9</f>
        <v>0.71539631528171921</v>
      </c>
      <c r="O64" s="2">
        <f>O9*'Output-Calculation-sheet'!O53/10^9</f>
        <v>0.74125535668848808</v>
      </c>
      <c r="P64" s="2">
        <f>P9*'Output-Calculation-sheet'!P53/10^9</f>
        <v>0.61627102211173279</v>
      </c>
      <c r="Q64" s="2">
        <f>Q9*'Output-Calculation-sheet'!Q53/10^9</f>
        <v>0.5828991492476423</v>
      </c>
      <c r="R64" s="2">
        <f>R9*'Output-Calculation-sheet'!R53/10^9</f>
        <v>0.49026743831065961</v>
      </c>
      <c r="S64" s="2">
        <f>S9*'Output-Calculation-sheet'!S53/10^9</f>
        <v>0.45045946649799679</v>
      </c>
      <c r="T64" s="2">
        <f>T9*'Output-Calculation-sheet'!T53/10^9</f>
        <v>0.16018907769488375</v>
      </c>
      <c r="U64" s="2">
        <f>U9*'Output-Calculation-sheet'!U53/10^9</f>
        <v>0.15769862998933051</v>
      </c>
      <c r="V64" s="2">
        <f>V9*'Output-Calculation-sheet'!V53/10^9</f>
        <v>0.14036827040687308</v>
      </c>
      <c r="W64" s="2">
        <f>W9*'Output-Calculation-sheet'!W53/10^9</f>
        <v>7.3707594164601292E-2</v>
      </c>
      <c r="X64" s="2">
        <f>X9*'Output-Calculation-sheet'!X53/10^9</f>
        <v>0.118831886379806</v>
      </c>
      <c r="Y64" s="2">
        <f>Y9*'Output-Calculation-sheet'!Y53/10^9</f>
        <v>6.1500316868476394E-2</v>
      </c>
      <c r="AA64" s="2">
        <f t="shared" si="4"/>
        <v>26.213953703185254</v>
      </c>
    </row>
    <row r="65" spans="1:27" x14ac:dyDescent="0.25">
      <c r="A65" s="2">
        <v>2033</v>
      </c>
      <c r="B65" s="2">
        <f>B10*'Output-Calculation-sheet'!B54/10^9</f>
        <v>8.3644694589723763</v>
      </c>
      <c r="C65" s="2">
        <f>C10*'Output-Calculation-sheet'!C54/10^9</f>
        <v>5.4973321166844791</v>
      </c>
      <c r="D65" s="2">
        <f>D10*'Output-Calculation-sheet'!D54/10^9</f>
        <v>1.4909350317670436</v>
      </c>
      <c r="E65" s="2">
        <f>E10*'Output-Calculation-sheet'!E54/10^9</f>
        <v>1.8987353495699357</v>
      </c>
      <c r="F65" s="2">
        <f>F10*'Output-Calculation-sheet'!F54/10^9</f>
        <v>0.81590296300109044</v>
      </c>
      <c r="G65" s="2">
        <f>G10*'Output-Calculation-sheet'!G54/10^9</f>
        <v>0.58088263651491479</v>
      </c>
      <c r="H65" s="2">
        <f>H10*'Output-Calculation-sheet'!H54/10^9</f>
        <v>1.3649138639115859</v>
      </c>
      <c r="I65" s="2">
        <f>I10*'Output-Calculation-sheet'!I54/10^9</f>
        <v>0.50931269101002885</v>
      </c>
      <c r="J65" s="2">
        <f>J10*'Output-Calculation-sheet'!J54/10^9</f>
        <v>0.60259777627426536</v>
      </c>
      <c r="K65" s="2">
        <f>K10*'Output-Calculation-sheet'!K54/10^9</f>
        <v>0.56387870102637394</v>
      </c>
      <c r="L65" s="2">
        <f>L10*'Output-Calculation-sheet'!L54/10^9</f>
        <v>0.58154586669488118</v>
      </c>
      <c r="M65" s="2">
        <f>M10*'Output-Calculation-sheet'!M54/10^9</f>
        <v>0.9705390023074576</v>
      </c>
      <c r="N65" s="2">
        <f>N10*'Output-Calculation-sheet'!N54/10^9</f>
        <v>0.82699918554435348</v>
      </c>
      <c r="O65" s="2">
        <f>O10*'Output-Calculation-sheet'!O54/10^9</f>
        <v>0.96226414264740268</v>
      </c>
      <c r="P65" s="2">
        <f>P10*'Output-Calculation-sheet'!P54/10^9</f>
        <v>0.61005462543738564</v>
      </c>
      <c r="Q65" s="2">
        <f>Q10*'Output-Calculation-sheet'!Q54/10^9</f>
        <v>0.60199894359308348</v>
      </c>
      <c r="R65" s="2">
        <f>R10*'Output-Calculation-sheet'!R54/10^9</f>
        <v>0.47723948300630503</v>
      </c>
      <c r="S65" s="2">
        <f>S10*'Output-Calculation-sheet'!S54/10^9</f>
        <v>0.47898393010505919</v>
      </c>
      <c r="T65" s="2">
        <f>T10*'Output-Calculation-sheet'!T54/10^9</f>
        <v>0.16161139469653654</v>
      </c>
      <c r="U65" s="2">
        <f>U10*'Output-Calculation-sheet'!U54/10^9</f>
        <v>0.15521707786240424</v>
      </c>
      <c r="V65" s="2">
        <f>V10*'Output-Calculation-sheet'!V54/10^9</f>
        <v>0.1828816472685364</v>
      </c>
      <c r="W65" s="2">
        <f>W10*'Output-Calculation-sheet'!W54/10^9</f>
        <v>7.8160018628797456E-2</v>
      </c>
      <c r="X65" s="2">
        <f>X10*'Output-Calculation-sheet'!X54/10^9</f>
        <v>0.12563942320122953</v>
      </c>
      <c r="Y65" s="2">
        <f>Y10*'Output-Calculation-sheet'!Y54/10^9</f>
        <v>6.063219853893842E-2</v>
      </c>
      <c r="AA65" s="2">
        <f t="shared" si="4"/>
        <v>27.962727528264463</v>
      </c>
    </row>
    <row r="66" spans="1:27" x14ac:dyDescent="0.25">
      <c r="A66" s="2">
        <v>2034</v>
      </c>
      <c r="B66" s="2">
        <f>B11*'Output-Calculation-sheet'!B55/10^9</f>
        <v>7.7899831137564242</v>
      </c>
      <c r="C66" s="2">
        <f>C11*'Output-Calculation-sheet'!C55/10^9</f>
        <v>5.1772187090417612</v>
      </c>
      <c r="D66" s="2">
        <f>D11*'Output-Calculation-sheet'!D55/10^9</f>
        <v>1.4093372584762758</v>
      </c>
      <c r="E66" s="2">
        <f>E11*'Output-Calculation-sheet'!E55/10^9</f>
        <v>1.8253168689401269</v>
      </c>
      <c r="F66" s="2">
        <f>F11*'Output-Calculation-sheet'!F55/10^9</f>
        <v>0.71835097382406454</v>
      </c>
      <c r="G66" s="2">
        <f>G11*'Output-Calculation-sheet'!G55/10^9</f>
        <v>0.52406601085849891</v>
      </c>
      <c r="H66" s="2">
        <f>H11*'Output-Calculation-sheet'!H55/10^9</f>
        <v>1.3078507898474223</v>
      </c>
      <c r="I66" s="2">
        <f>I11*'Output-Calculation-sheet'!I55/10^9</f>
        <v>0.4871797683246647</v>
      </c>
      <c r="J66" s="2">
        <f>J11*'Output-Calculation-sheet'!J55/10^9</f>
        <v>0.49052093851653011</v>
      </c>
      <c r="K66" s="2">
        <f>K11*'Output-Calculation-sheet'!K55/10^9</f>
        <v>0.55850217733858987</v>
      </c>
      <c r="L66" s="2">
        <f>L11*'Output-Calculation-sheet'!L55/10^9</f>
        <v>0.541460842581718</v>
      </c>
      <c r="M66" s="2">
        <f>M11*'Output-Calculation-sheet'!M55/10^9</f>
        <v>0.91917312110762084</v>
      </c>
      <c r="N66" s="2">
        <f>N11*'Output-Calculation-sheet'!N55/10^9</f>
        <v>0.79905484796636084</v>
      </c>
      <c r="O66" s="2">
        <f>O11*'Output-Calculation-sheet'!O55/10^9</f>
        <v>0.91103084637217235</v>
      </c>
      <c r="P66" s="2">
        <f>P11*'Output-Calculation-sheet'!P55/10^9</f>
        <v>0.58418927116823327</v>
      </c>
      <c r="Q66" s="2">
        <f>Q11*'Output-Calculation-sheet'!Q55/10^9</f>
        <v>0.60089953343213387</v>
      </c>
      <c r="R66" s="2">
        <f>R11*'Output-Calculation-sheet'!R55/10^9</f>
        <v>0.44459439454629524</v>
      </c>
      <c r="S66" s="2">
        <f>S11*'Output-Calculation-sheet'!S55/10^9</f>
        <v>0.46151636192782025</v>
      </c>
      <c r="T66" s="2">
        <f>T11*'Output-Calculation-sheet'!T55/10^9</f>
        <v>0.13930031703935972</v>
      </c>
      <c r="U66" s="2">
        <f>U11*'Output-Calculation-sheet'!U55/10^9</f>
        <v>0.15161000138862124</v>
      </c>
      <c r="V66" s="2">
        <f>V11*'Output-Calculation-sheet'!V55/10^9</f>
        <v>0.13165167198568892</v>
      </c>
      <c r="W66" s="2">
        <f>W11*'Output-Calculation-sheet'!W55/10^9</f>
        <v>6.4496662377935318E-2</v>
      </c>
      <c r="X66" s="2">
        <f>X11*'Output-Calculation-sheet'!X55/10^9</f>
        <v>0.12052377961321595</v>
      </c>
      <c r="Y66" s="2">
        <f>Y11*'Output-Calculation-sheet'!Y55/10^9</f>
        <v>6.1884166240895024E-2</v>
      </c>
      <c r="AA66" s="2">
        <f t="shared" si="4"/>
        <v>26.219712426672427</v>
      </c>
    </row>
    <row r="67" spans="1:27" x14ac:dyDescent="0.25">
      <c r="A67" s="2">
        <v>2035</v>
      </c>
      <c r="B67" s="2">
        <f>B12*'Output-Calculation-sheet'!B56/10^9</f>
        <v>7.0832608809107667</v>
      </c>
      <c r="C67" s="2">
        <f>C12*'Output-Calculation-sheet'!C56/10^9</f>
        <v>4.4760924831620379</v>
      </c>
      <c r="D67" s="2">
        <f>D12*'Output-Calculation-sheet'!D56/10^9</f>
        <v>1.4049621480934202</v>
      </c>
      <c r="E67" s="2">
        <f>E12*'Output-Calculation-sheet'!E56/10^9</f>
        <v>1.9213640556408074</v>
      </c>
      <c r="F67" s="2">
        <f>F12*'Output-Calculation-sheet'!F56/10^9</f>
        <v>0.75304700571812477</v>
      </c>
      <c r="G67" s="2">
        <f>G12*'Output-Calculation-sheet'!G56/10^9</f>
        <v>0.55561968916209503</v>
      </c>
      <c r="H67" s="2">
        <f>H12*'Output-Calculation-sheet'!H56/10^9</f>
        <v>1.1814728639533487</v>
      </c>
      <c r="I67" s="2">
        <f>I12*'Output-Calculation-sheet'!I56/10^9</f>
        <v>0.50908451525607978</v>
      </c>
      <c r="J67" s="2">
        <f>J12*'Output-Calculation-sheet'!J56/10^9</f>
        <v>0.46572572203062207</v>
      </c>
      <c r="K67" s="2">
        <f>K12*'Output-Calculation-sheet'!K56/10^9</f>
        <v>0.55799772667537328</v>
      </c>
      <c r="L67" s="2">
        <f>L12*'Output-Calculation-sheet'!L56/10^9</f>
        <v>0.52022123326916359</v>
      </c>
      <c r="M67" s="2">
        <f>M12*'Output-Calculation-sheet'!M56/10^9</f>
        <v>0.83594988948242688</v>
      </c>
      <c r="N67" s="2">
        <f>N12*'Output-Calculation-sheet'!N56/10^9</f>
        <v>0.71397870235018313</v>
      </c>
      <c r="O67" s="2">
        <f>O12*'Output-Calculation-sheet'!O56/10^9</f>
        <v>0.78969014926130254</v>
      </c>
      <c r="P67" s="2">
        <f>P12*'Output-Calculation-sheet'!P56/10^9</f>
        <v>0.5794100413512161</v>
      </c>
      <c r="Q67" s="2">
        <f>Q12*'Output-Calculation-sheet'!Q56/10^9</f>
        <v>0.54733983789243146</v>
      </c>
      <c r="R67" s="2">
        <f>R12*'Output-Calculation-sheet'!R56/10^9</f>
        <v>0.42979325517610495</v>
      </c>
      <c r="S67" s="2">
        <f>S12*'Output-Calculation-sheet'!S56/10^9</f>
        <v>0.41489662899021346</v>
      </c>
      <c r="T67" s="2">
        <f>T12*'Output-Calculation-sheet'!T56/10^9</f>
        <v>0.13364835753253146</v>
      </c>
      <c r="U67" s="2">
        <f>U12*'Output-Calculation-sheet'!U56/10^9</f>
        <v>0.14449298247070405</v>
      </c>
      <c r="V67" s="2">
        <f>V12*'Output-Calculation-sheet'!V56/10^9</f>
        <v>0.10315030869801439</v>
      </c>
      <c r="W67" s="2">
        <f>W12*'Output-Calculation-sheet'!W56/10^9</f>
        <v>6.9947626292754597E-2</v>
      </c>
      <c r="X67" s="2">
        <f>X12*'Output-Calculation-sheet'!X56/10^9</f>
        <v>0.10858403567964246</v>
      </c>
      <c r="Y67" s="2">
        <f>Y12*'Output-Calculation-sheet'!Y56/10^9</f>
        <v>6.5268239303036019E-2</v>
      </c>
      <c r="AA67" s="2">
        <f t="shared" si="4"/>
        <v>24.364998378352414</v>
      </c>
    </row>
    <row r="68" spans="1:27" x14ac:dyDescent="0.25">
      <c r="B68" s="2">
        <f>SUM(B60:B67)</f>
        <v>56.266744003120657</v>
      </c>
      <c r="C68" s="2">
        <f t="shared" ref="C68:Y68" si="5">SUM(C60:C67)</f>
        <v>31.875611833968609</v>
      </c>
      <c r="D68" s="2">
        <f t="shared" si="5"/>
        <v>10.152998399859435</v>
      </c>
      <c r="E68" s="2">
        <f t="shared" si="5"/>
        <v>13.173810215152461</v>
      </c>
      <c r="F68" s="2">
        <f t="shared" si="5"/>
        <v>5.4216028189015271</v>
      </c>
      <c r="G68" s="2">
        <f t="shared" si="5"/>
        <v>3.9073602582600944</v>
      </c>
      <c r="H68" s="2">
        <f t="shared" si="5"/>
        <v>8.1954595595978219</v>
      </c>
      <c r="I68" s="2">
        <f t="shared" si="5"/>
        <v>3.5202474578722707</v>
      </c>
      <c r="J68" s="2">
        <f t="shared" si="5"/>
        <v>3.7248769132065327</v>
      </c>
      <c r="K68" s="2">
        <f t="shared" si="5"/>
        <v>3.8914104183475517</v>
      </c>
      <c r="L68" s="2">
        <f t="shared" si="5"/>
        <v>3.9435226760238038</v>
      </c>
      <c r="M68" s="2">
        <f t="shared" si="5"/>
        <v>6.0077971066894849</v>
      </c>
      <c r="N68" s="2">
        <f t="shared" si="5"/>
        <v>5.1122251521488797</v>
      </c>
      <c r="O68" s="2">
        <f t="shared" si="5"/>
        <v>5.5295464854143104</v>
      </c>
      <c r="P68" s="2">
        <f t="shared" si="5"/>
        <v>4.1526575965835688</v>
      </c>
      <c r="Q68" s="2">
        <f t="shared" si="5"/>
        <v>4.0011514265824939</v>
      </c>
      <c r="R68" s="2">
        <f t="shared" si="5"/>
        <v>3.2493874020789995</v>
      </c>
      <c r="S68" s="2">
        <f t="shared" si="5"/>
        <v>3.0991449569241225</v>
      </c>
      <c r="T68" s="2">
        <f t="shared" si="5"/>
        <v>1.0580988653922827</v>
      </c>
      <c r="U68" s="2">
        <f t="shared" si="5"/>
        <v>1.0602777822762319</v>
      </c>
      <c r="V68" s="2">
        <f t="shared" si="5"/>
        <v>0.96935233905711105</v>
      </c>
      <c r="W68" s="2">
        <f t="shared" si="5"/>
        <v>0.49796106283191072</v>
      </c>
      <c r="X68" s="2">
        <f t="shared" si="5"/>
        <v>0.81534510764875601</v>
      </c>
      <c r="Y68" s="2">
        <f t="shared" si="5"/>
        <v>0.42536838195163273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61.079823709201563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54.370241180621065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215.72879064594693</v>
      </c>
      <c r="S74" s="2">
        <f>S8/'Output-Calculation-sheet'!S7*'Output-Calculation-sheet'!S61</f>
        <v>0</v>
      </c>
      <c r="T74" s="2">
        <f>T8/'Output-Calculation-sheet'!T7*'Output-Calculation-sheet'!T61</f>
        <v>158.92200727453485</v>
      </c>
      <c r="U74" s="2">
        <f>U8/'Output-Calculation-sheet'!U7*'Output-Calculation-sheet'!U61</f>
        <v>20.131710262863237</v>
      </c>
      <c r="V74" s="2">
        <f>V8/'Output-Calculation-sheet'!V7*'Output-Calculation-sheet'!V61</f>
        <v>182.41966029446465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0.69265223336763238</v>
      </c>
    </row>
    <row r="75" spans="1:27" x14ac:dyDescent="0.25">
      <c r="A75" s="2">
        <v>2032</v>
      </c>
      <c r="B75" s="2">
        <f>B9/'Output-Calculation-sheet'!B8*'Output-Calculation-sheet'!B62</f>
        <v>642.19256497657125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130.24220333157027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104.35115195691057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276.11042501773278</v>
      </c>
      <c r="S75" s="2">
        <f>S9/'Output-Calculation-sheet'!S8*'Output-Calculation-sheet'!S62</f>
        <v>0</v>
      </c>
      <c r="T75" s="2">
        <f>T9/'Output-Calculation-sheet'!T8*'Output-Calculation-sheet'!T62</f>
        <v>182.37747810455659</v>
      </c>
      <c r="U75" s="2">
        <f>U9/'Output-Calculation-sheet'!U8*'Output-Calculation-sheet'!U62</f>
        <v>37.280328080113442</v>
      </c>
      <c r="V75" s="2">
        <f>V9/'Output-Calculation-sheet'!V8*'Output-Calculation-sheet'!V62</f>
        <v>195.36582884747872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1.5679199803149335</v>
      </c>
    </row>
    <row r="76" spans="1:27" x14ac:dyDescent="0.25">
      <c r="A76" s="2">
        <v>2033</v>
      </c>
      <c r="B76" s="2">
        <f>B10/'Output-Calculation-sheet'!B9*'Output-Calculation-sheet'!B63</f>
        <v>5945.2313012980885</v>
      </c>
      <c r="C76" s="2">
        <f>C10/'Output-Calculation-sheet'!C9*'Output-Calculation-sheet'!C63</f>
        <v>12142.879997816231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3871.5851857283969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2636.1568324400391</v>
      </c>
      <c r="N76" s="2">
        <f>N10/'Output-Calculation-sheet'!N9*'Output-Calculation-sheet'!N63</f>
        <v>1505.8895056275951</v>
      </c>
      <c r="O76" s="2">
        <f>O10/'Output-Calculation-sheet'!O9*'Output-Calculation-sheet'!O63</f>
        <v>0</v>
      </c>
      <c r="P76" s="2">
        <f>P10/'Output-Calculation-sheet'!P9*'Output-Calculation-sheet'!P63</f>
        <v>522.92167157117638</v>
      </c>
      <c r="Q76" s="2">
        <f>Q10/'Output-Calculation-sheet'!Q9*'Output-Calculation-sheet'!Q63</f>
        <v>235.85868858155135</v>
      </c>
      <c r="R76" s="2">
        <f>R10/'Output-Calculation-sheet'!R9*'Output-Calculation-sheet'!R63</f>
        <v>398.54991810949781</v>
      </c>
      <c r="S76" s="2">
        <f>S10/'Output-Calculation-sheet'!S9*'Output-Calculation-sheet'!S63</f>
        <v>669.63391583514101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140.83378784511791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310.42619876277212</v>
      </c>
      <c r="Y76" s="2">
        <f>Y10/'Output-Calculation-sheet'!Y9*'Output-Calculation-sheet'!Y63</f>
        <v>5.8891829974712673</v>
      </c>
      <c r="AA76" s="2">
        <f t="shared" si="6"/>
        <v>28.525244362906488</v>
      </c>
    </row>
    <row r="77" spans="1:27" x14ac:dyDescent="0.25">
      <c r="A77" s="2">
        <v>2034</v>
      </c>
      <c r="B77" s="2">
        <f>B11/'Output-Calculation-sheet'!B10*'Output-Calculation-sheet'!B64</f>
        <v>12980.40590955239</v>
      </c>
      <c r="C77" s="2">
        <f>C11/'Output-Calculation-sheet'!C10*'Output-Calculation-sheet'!C64</f>
        <v>11402.768890419124</v>
      </c>
      <c r="D77" s="2">
        <f>D11/'Output-Calculation-sheet'!D10*'Output-Calculation-sheet'!D64</f>
        <v>1599.8970998553662</v>
      </c>
      <c r="E77" s="2">
        <f>E11/'Output-Calculation-sheet'!E10*'Output-Calculation-sheet'!E64</f>
        <v>1976.9169936595788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844.74997931255257</v>
      </c>
      <c r="H77" s="2">
        <f>H11/'Output-Calculation-sheet'!H10*'Output-Calculation-sheet'!H64</f>
        <v>4185.2958142484367</v>
      </c>
      <c r="I77" s="2">
        <f>I11/'Output-Calculation-sheet'!I10*'Output-Calculation-sheet'!I64</f>
        <v>498.35271593630762</v>
      </c>
      <c r="J77" s="2">
        <f>J11/'Output-Calculation-sheet'!J10*'Output-Calculation-sheet'!J64</f>
        <v>355.24890309008407</v>
      </c>
      <c r="K77" s="2">
        <f>K11/'Output-Calculation-sheet'!K10*'Output-Calculation-sheet'!K64</f>
        <v>753.20668390595597</v>
      </c>
      <c r="L77" s="2">
        <f>L11/'Output-Calculation-sheet'!L10*'Output-Calculation-sheet'!L64</f>
        <v>327.03950740211013</v>
      </c>
      <c r="M77" s="2">
        <f>M11/'Output-Calculation-sheet'!M10*'Output-Calculation-sheet'!M64</f>
        <v>2976.7952427563077</v>
      </c>
      <c r="N77" s="2">
        <f>N11/'Output-Calculation-sheet'!N10*'Output-Calculation-sheet'!N64</f>
        <v>2117.9167071438574</v>
      </c>
      <c r="O77" s="2">
        <f>O11/'Output-Calculation-sheet'!O10*'Output-Calculation-sheet'!O64</f>
        <v>73.842347824299253</v>
      </c>
      <c r="P77" s="2">
        <f>P11/'Output-Calculation-sheet'!P10*'Output-Calculation-sheet'!P64</f>
        <v>934.76992105569309</v>
      </c>
      <c r="Q77" s="2">
        <f>Q11/'Output-Calculation-sheet'!Q10*'Output-Calculation-sheet'!Q64</f>
        <v>533.39946880722721</v>
      </c>
      <c r="R77" s="2">
        <f>R11/'Output-Calculation-sheet'!R10*'Output-Calculation-sheet'!R64</f>
        <v>799.91883366656896</v>
      </c>
      <c r="S77" s="2">
        <f>S11/'Output-Calculation-sheet'!S10*'Output-Calculation-sheet'!S64</f>
        <v>1069.5363430597779</v>
      </c>
      <c r="T77" s="2">
        <f>T11/'Output-Calculation-sheet'!T10*'Output-Calculation-sheet'!T64</f>
        <v>220.06984810966233</v>
      </c>
      <c r="U77" s="2">
        <f>U11/'Output-Calculation-sheet'!U10*'Output-Calculation-sheet'!U64</f>
        <v>292.49851932650012</v>
      </c>
      <c r="V77" s="2">
        <f>V11/'Output-Calculation-sheet'!V10*'Output-Calculation-sheet'!V64</f>
        <v>116.598789331494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302.47399603528544</v>
      </c>
      <c r="Y77" s="2">
        <f>Y11/'Output-Calculation-sheet'!Y10*'Output-Calculation-sheet'!Y64</f>
        <v>73.236975463924907</v>
      </c>
      <c r="AA77" s="2">
        <f t="shared" si="6"/>
        <v>44.58266691552739</v>
      </c>
    </row>
    <row r="78" spans="1:27" x14ac:dyDescent="0.25">
      <c r="A78" s="2">
        <v>2035</v>
      </c>
      <c r="B78" s="2">
        <f>B12/'Output-Calculation-sheet'!B11*'Output-Calculation-sheet'!B65</f>
        <v>13708.079084034041</v>
      </c>
      <c r="C78" s="2">
        <f>C12/'Output-Calculation-sheet'!C11*'Output-Calculation-sheet'!C65</f>
        <v>9680.3546999368573</v>
      </c>
      <c r="D78" s="2">
        <f>D12/'Output-Calculation-sheet'!D11*'Output-Calculation-sheet'!D65</f>
        <v>1455.3319406013204</v>
      </c>
      <c r="E78" s="2">
        <f>E12/'Output-Calculation-sheet'!E11*'Output-Calculation-sheet'!E65</f>
        <v>2766.547330004551</v>
      </c>
      <c r="F78" s="2">
        <f>F12/'Output-Calculation-sheet'!F11*'Output-Calculation-sheet'!F65</f>
        <v>586.00447659045153</v>
      </c>
      <c r="G78" s="2">
        <f>G12/'Output-Calculation-sheet'!G11*'Output-Calculation-sheet'!G65</f>
        <v>1099.5676937944841</v>
      </c>
      <c r="H78" s="2">
        <f>H12/'Output-Calculation-sheet'!H11*'Output-Calculation-sheet'!H65</f>
        <v>3540.1742615578378</v>
      </c>
      <c r="I78" s="2">
        <f>I12/'Output-Calculation-sheet'!I11*'Output-Calculation-sheet'!I65</f>
        <v>646.58058730476284</v>
      </c>
      <c r="J78" s="2">
        <f>J12/'Output-Calculation-sheet'!J11*'Output-Calculation-sheet'!J65</f>
        <v>579.87394699646563</v>
      </c>
      <c r="K78" s="2">
        <f>K12/'Output-Calculation-sheet'!K11*'Output-Calculation-sheet'!K65</f>
        <v>731.772840389419</v>
      </c>
      <c r="L78" s="2">
        <f>L12/'Output-Calculation-sheet'!L11*'Output-Calculation-sheet'!L65</f>
        <v>435.10256912705916</v>
      </c>
      <c r="M78" s="2">
        <f>M12/'Output-Calculation-sheet'!M11*'Output-Calculation-sheet'!M65</f>
        <v>2520.0020175331815</v>
      </c>
      <c r="N78" s="2">
        <f>N12/'Output-Calculation-sheet'!N11*'Output-Calculation-sheet'!N65</f>
        <v>1771.9683708218117</v>
      </c>
      <c r="O78" s="2">
        <f>O12/'Output-Calculation-sheet'!O11*'Output-Calculation-sheet'!O65</f>
        <v>248.40706549184287</v>
      </c>
      <c r="P78" s="2">
        <f>P12/'Output-Calculation-sheet'!P11*'Output-Calculation-sheet'!P65</f>
        <v>1007.3453071493039</v>
      </c>
      <c r="Q78" s="2">
        <f>Q12/'Output-Calculation-sheet'!Q11*'Output-Calculation-sheet'!Q65</f>
        <v>506.68469560371221</v>
      </c>
      <c r="R78" s="2">
        <f>R12/'Output-Calculation-sheet'!R11*'Output-Calculation-sheet'!R65</f>
        <v>835.16968692118553</v>
      </c>
      <c r="S78" s="2">
        <f>S12/'Output-Calculation-sheet'!S11*'Output-Calculation-sheet'!S65</f>
        <v>942.20030606943646</v>
      </c>
      <c r="T78" s="2">
        <f>T12/'Output-Calculation-sheet'!T11*'Output-Calculation-sheet'!T65</f>
        <v>300.30758295406594</v>
      </c>
      <c r="U78" s="2">
        <f>U12/'Output-Calculation-sheet'!U11*'Output-Calculation-sheet'!U65</f>
        <v>257.30800446209855</v>
      </c>
      <c r="V78" s="2">
        <f>V12/'Output-Calculation-sheet'!V11*'Output-Calculation-sheet'!V65</f>
        <v>162.06971859259011</v>
      </c>
      <c r="W78" s="2">
        <f>W12/'Output-Calculation-sheet'!W11*'Output-Calculation-sheet'!W65</f>
        <v>114.15087316170283</v>
      </c>
      <c r="X78" s="2">
        <f>X12/'Output-Calculation-sheet'!X11*'Output-Calculation-sheet'!X65</f>
        <v>259.7299870276272</v>
      </c>
      <c r="Y78" s="2">
        <f>Y12/'Output-Calculation-sheet'!Y11*'Output-Calculation-sheet'!Y65</f>
        <v>111.42257699213462</v>
      </c>
      <c r="AA78" s="2">
        <f t="shared" si="6"/>
        <v>44.266155623117946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438.26036733735992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425.71099585720185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0.86397136319456169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790.63045375114177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30.422584641122004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20.933715253453265</v>
      </c>
      <c r="N88" s="2">
        <f>N11/'Output-Calculation-sheet'!N10*'Output-Calculation-sheet'!N73</f>
        <v>0</v>
      </c>
      <c r="O88" s="2">
        <f>O11/'Output-Calculation-sheet'!O10*'Output-Calculation-sheet'!O73</f>
        <v>441.59490378546093</v>
      </c>
      <c r="P88" s="2">
        <f>P11/'Output-Calculation-sheet'!P10*'Output-Calculation-sheet'!P73</f>
        <v>0</v>
      </c>
      <c r="Q88" s="2">
        <f>Q11/'Output-Calculation-sheet'!Q10*'Output-Calculation-sheet'!Q73</f>
        <v>18.026342305076959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2.2964801691211543</v>
      </c>
      <c r="Y88" s="2">
        <f>Y11/'Output-Calculation-sheet'!Y10*'Output-Calculation-sheet'!Y73</f>
        <v>0</v>
      </c>
      <c r="AA88" s="2">
        <f t="shared" si="7"/>
        <v>1.3039044799053761</v>
      </c>
    </row>
    <row r="89" spans="1:27" x14ac:dyDescent="0.25">
      <c r="A89" s="2">
        <v>2035</v>
      </c>
      <c r="B89" s="2">
        <f>B12/'Output-Calculation-sheet'!B11*'Output-Calculation-sheet'!B74</f>
        <v>345.54407713528877</v>
      </c>
      <c r="C89" s="2">
        <f>C12/'Output-Calculation-sheet'!C11*'Output-Calculation-sheet'!C74</f>
        <v>1066.0190180445666</v>
      </c>
      <c r="D89" s="2">
        <f>D12/'Output-Calculation-sheet'!D11*'Output-Calculation-sheet'!D74</f>
        <v>145.2789558873292</v>
      </c>
      <c r="E89" s="2">
        <f>E12/'Output-Calculation-sheet'!E11*'Output-Calculation-sheet'!E74</f>
        <v>115.45801932285336</v>
      </c>
      <c r="F89" s="2">
        <f>F12/'Output-Calculation-sheet'!F11*'Output-Calculation-sheet'!F74</f>
        <v>36.30758838850381</v>
      </c>
      <c r="G89" s="2">
        <f>G12/'Output-Calculation-sheet'!G11*'Output-Calculation-sheet'!G74</f>
        <v>52.114682866225131</v>
      </c>
      <c r="H89" s="2">
        <f>H12/'Output-Calculation-sheet'!H11*'Output-Calculation-sheet'!H74</f>
        <v>126.21302074775173</v>
      </c>
      <c r="I89" s="2">
        <f>I12/'Output-Calculation-sheet'!I11*'Output-Calculation-sheet'!I74</f>
        <v>46.874045766620476</v>
      </c>
      <c r="J89" s="2">
        <f>J12/'Output-Calculation-sheet'!J11*'Output-Calculation-sheet'!J74</f>
        <v>23.194957879858624</v>
      </c>
      <c r="K89" s="2">
        <f>K12/'Output-Calculation-sheet'!K11*'Output-Calculation-sheet'!K74</f>
        <v>46.069808636956623</v>
      </c>
      <c r="L89" s="2">
        <f>L12/'Output-Calculation-sheet'!L11*'Output-Calculation-sheet'!L74</f>
        <v>36.632504241385746</v>
      </c>
      <c r="M89" s="2">
        <f>M12/'Output-Calculation-sheet'!M11*'Output-Calculation-sheet'!M74</f>
        <v>69.477527140552141</v>
      </c>
      <c r="N89" s="2">
        <f>N12/'Output-Calculation-sheet'!N11*'Output-Calculation-sheet'!N74</f>
        <v>51.213945475495052</v>
      </c>
      <c r="O89" s="2">
        <f>O12/'Output-Calculation-sheet'!O11*'Output-Calculation-sheet'!O74</f>
        <v>414.19763373231029</v>
      </c>
      <c r="P89" s="2">
        <f>P12/'Output-Calculation-sheet'!P11*'Output-Calculation-sheet'!P74</f>
        <v>31.541638449112437</v>
      </c>
      <c r="Q89" s="2">
        <f>Q12/'Output-Calculation-sheet'!Q11*'Output-Calculation-sheet'!Q74</f>
        <v>44.871120758387555</v>
      </c>
      <c r="R89" s="2">
        <f>R12/'Output-Calculation-sheet'!R11*'Output-Calculation-sheet'!R74</f>
        <v>29.665388659154818</v>
      </c>
      <c r="S89" s="2">
        <f>S12/'Output-Calculation-sheet'!S11*'Output-Calculation-sheet'!S74</f>
        <v>29.3575218442524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9.5444194689008697</v>
      </c>
      <c r="V89" s="2">
        <f>V12/'Output-Calculation-sheet'!V11*'Output-Calculation-sheet'!V74</f>
        <v>3.6798065207317872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11.432784005089673</v>
      </c>
      <c r="Y89" s="2">
        <f>Y12/'Output-Calculation-sheet'!Y11*'Output-Calculation-sheet'!Y74</f>
        <v>3.6776162056979826</v>
      </c>
      <c r="AA89" s="2">
        <f t="shared" si="7"/>
        <v>2.7470400926456713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17675429590.033646</v>
      </c>
      <c r="C96" s="2">
        <f>C8/'Output-Calculation-sheet'!C7*'Output-Calculation-sheet'!C79</f>
        <v>2175658217.8419228</v>
      </c>
      <c r="D96" s="2">
        <f>D8/'Output-Calculation-sheet'!D7*'Output-Calculation-sheet'!D79</f>
        <v>7704671901.0939655</v>
      </c>
      <c r="E96" s="2">
        <f>E8/'Output-Calculation-sheet'!E7*'Output-Calculation-sheet'!E79</f>
        <v>13173247883.382036</v>
      </c>
      <c r="F96" s="2">
        <f>F8/'Output-Calculation-sheet'!F7*'Output-Calculation-sheet'!F79</f>
        <v>5928401200.6520653</v>
      </c>
      <c r="G96" s="2">
        <f>G8/'Output-Calculation-sheet'!G7*'Output-Calculation-sheet'!G79</f>
        <v>4502889955.56106</v>
      </c>
      <c r="H96" s="2">
        <f>H8/'Output-Calculation-sheet'!H7*'Output-Calculation-sheet'!H79</f>
        <v>1310044282.5005193</v>
      </c>
      <c r="I96" s="2">
        <f>I8/'Output-Calculation-sheet'!I7*'Output-Calculation-sheet'!I79</f>
        <v>3020416477.942534</v>
      </c>
      <c r="J96" s="2">
        <f>J8/'Output-Calculation-sheet'!J7*'Output-Calculation-sheet'!J79</f>
        <v>2238180953.0603056</v>
      </c>
      <c r="K96" s="2">
        <f>K8/'Output-Calculation-sheet'!K7*'Output-Calculation-sheet'!K79</f>
        <v>2587899854.2389488</v>
      </c>
      <c r="L96" s="2">
        <f>L8/'Output-Calculation-sheet'!L7*'Output-Calculation-sheet'!L79</f>
        <v>2058626783.2004735</v>
      </c>
      <c r="M96" s="2">
        <f>M8/'Output-Calculation-sheet'!M7*'Output-Calculation-sheet'!M79</f>
        <v>1018442522.1637737</v>
      </c>
      <c r="N96" s="2">
        <f>N8/'Output-Calculation-sheet'!N7*'Output-Calculation-sheet'!N79</f>
        <v>1034329429.2519939</v>
      </c>
      <c r="O96" s="2">
        <f>O8/'Output-Calculation-sheet'!O7*'Output-Calculation-sheet'!O79</f>
        <v>252479910.47797814</v>
      </c>
      <c r="P96" s="2">
        <f>P8/'Output-Calculation-sheet'!P7*'Output-Calculation-sheet'!P79</f>
        <v>2750960699.5590305</v>
      </c>
      <c r="Q96" s="2">
        <f>Q8/'Output-Calculation-sheet'!Q7*'Output-Calculation-sheet'!Q79</f>
        <v>1219863108.9033358</v>
      </c>
      <c r="R96" s="2">
        <f>R8/'Output-Calculation-sheet'!R7*'Output-Calculation-sheet'!R79</f>
        <v>1856001878.3367124</v>
      </c>
      <c r="S96" s="2">
        <f>S8/'Output-Calculation-sheet'!S7*'Output-Calculation-sheet'!S79</f>
        <v>725458935.48479056</v>
      </c>
      <c r="T96" s="2">
        <f>T8/'Output-Calculation-sheet'!T7*'Output-Calculation-sheet'!T79</f>
        <v>982502976.50112176</v>
      </c>
      <c r="U96" s="2">
        <f>U8/'Output-Calculation-sheet'!U7*'Output-Calculation-sheet'!U79</f>
        <v>487981849.02926153</v>
      </c>
      <c r="V96" s="2">
        <f>V8/'Output-Calculation-sheet'!V7*'Output-Calculation-sheet'!V79</f>
        <v>359578747.02268928</v>
      </c>
      <c r="W96" s="2">
        <f>W8/'Output-Calculation-sheet'!W7*'Output-Calculation-sheet'!W79</f>
        <v>957933546.17844117</v>
      </c>
      <c r="X96" s="2">
        <f>X8/'Output-Calculation-sheet'!X7*'Output-Calculation-sheet'!X79</f>
        <v>113513039.97138718</v>
      </c>
      <c r="Y96" s="2">
        <f>Y8/'Output-Calculation-sheet'!Y7*'Output-Calculation-sheet'!Y79</f>
        <v>429908808.59173065</v>
      </c>
      <c r="AA96" s="2">
        <f t="shared" si="8"/>
        <v>74.564422550979728</v>
      </c>
    </row>
    <row r="97" spans="1:27" x14ac:dyDescent="0.25">
      <c r="A97" s="2">
        <v>2032</v>
      </c>
      <c r="B97" s="2">
        <f>B9/'Output-Calculation-sheet'!B8*'Output-Calculation-sheet'!B80</f>
        <v>19100582106.343857</v>
      </c>
      <c r="C97" s="2">
        <f>C9/'Output-Calculation-sheet'!C8*'Output-Calculation-sheet'!C80</f>
        <v>2399668202.6797252</v>
      </c>
      <c r="D97" s="2">
        <f>D9/'Output-Calculation-sheet'!D8*'Output-Calculation-sheet'!D80</f>
        <v>7903296533.4056635</v>
      </c>
      <c r="E97" s="2">
        <f>E9/'Output-Calculation-sheet'!E8*'Output-Calculation-sheet'!E80</f>
        <v>13914587441.001783</v>
      </c>
      <c r="F97" s="2">
        <f>F9/'Output-Calculation-sheet'!F8*'Output-Calculation-sheet'!F80</f>
        <v>6247567804.4630156</v>
      </c>
      <c r="G97" s="2">
        <f>G9/'Output-Calculation-sheet'!G8*'Output-Calculation-sheet'!G80</f>
        <v>4624330675.1062975</v>
      </c>
      <c r="H97" s="2">
        <f>H9/'Output-Calculation-sheet'!H8*'Output-Calculation-sheet'!H80</f>
        <v>1401202082.9335229</v>
      </c>
      <c r="I97" s="2">
        <f>I9/'Output-Calculation-sheet'!I8*'Output-Calculation-sheet'!I80</f>
        <v>3211927650.0740857</v>
      </c>
      <c r="J97" s="2">
        <f>J9/'Output-Calculation-sheet'!J8*'Output-Calculation-sheet'!J80</f>
        <v>2317593508.4816918</v>
      </c>
      <c r="K97" s="2">
        <f>K9/'Output-Calculation-sheet'!K8*'Output-Calculation-sheet'!K80</f>
        <v>2697747077.4701333</v>
      </c>
      <c r="L97" s="2">
        <f>L9/'Output-Calculation-sheet'!L8*'Output-Calculation-sheet'!L80</f>
        <v>2211998925.2626123</v>
      </c>
      <c r="M97" s="2">
        <f>M9/'Output-Calculation-sheet'!M8*'Output-Calculation-sheet'!M80</f>
        <v>1089129310.5987506</v>
      </c>
      <c r="N97" s="2">
        <f>N9/'Output-Calculation-sheet'!N8*'Output-Calculation-sheet'!N80</f>
        <v>1079465465.3039858</v>
      </c>
      <c r="O97" s="2">
        <f>O9/'Output-Calculation-sheet'!O8*'Output-Calculation-sheet'!O80</f>
        <v>281720173.69876039</v>
      </c>
      <c r="P97" s="2">
        <f>P9/'Output-Calculation-sheet'!P8*'Output-Calculation-sheet'!P80</f>
        <v>2864946583.6471839</v>
      </c>
      <c r="Q97" s="2">
        <f>Q9/'Output-Calculation-sheet'!Q8*'Output-Calculation-sheet'!Q80</f>
        <v>1273917801.7574403</v>
      </c>
      <c r="R97" s="2">
        <f>R9/'Output-Calculation-sheet'!R8*'Output-Calculation-sheet'!R80</f>
        <v>1982403631.7436125</v>
      </c>
      <c r="S97" s="2">
        <f>S9/'Output-Calculation-sheet'!S8*'Output-Calculation-sheet'!S80</f>
        <v>764550818.57517159</v>
      </c>
      <c r="T97" s="2">
        <f>T9/'Output-Calculation-sheet'!T8*'Output-Calculation-sheet'!T80</f>
        <v>1022282074.4588835</v>
      </c>
      <c r="U97" s="2">
        <f>U9/'Output-Calculation-sheet'!U8*'Output-Calculation-sheet'!U80</f>
        <v>518829707.26540738</v>
      </c>
      <c r="V97" s="2">
        <f>V9/'Output-Calculation-sheet'!V8*'Output-Calculation-sheet'!V80</f>
        <v>382185331.60953635</v>
      </c>
      <c r="W97" s="2">
        <f>W9/'Output-Calculation-sheet'!W8*'Output-Calculation-sheet'!W80</f>
        <v>999473799.91147459</v>
      </c>
      <c r="X97" s="2">
        <f>X9/'Output-Calculation-sheet'!X8*'Output-Calculation-sheet'!X80</f>
        <v>122396255.62489016</v>
      </c>
      <c r="Y97" s="2">
        <f>Y9/'Output-Calculation-sheet'!Y8*'Output-Calculation-sheet'!Y80</f>
        <v>448808983.96000493</v>
      </c>
      <c r="AA97" s="2">
        <f t="shared" si="8"/>
        <v>78.860611945377485</v>
      </c>
    </row>
    <row r="98" spans="1:27" x14ac:dyDescent="0.25">
      <c r="A98" s="2">
        <v>2033</v>
      </c>
      <c r="B98" s="2">
        <f>B10/'Output-Calculation-sheet'!B9*'Output-Calculation-sheet'!B81</f>
        <v>21661554358.235664</v>
      </c>
      <c r="C98" s="2">
        <f>C10/'Output-Calculation-sheet'!C9*'Output-Calculation-sheet'!C81</f>
        <v>7426655002.4107399</v>
      </c>
      <c r="D98" s="2">
        <f>D10/'Output-Calculation-sheet'!D9*'Output-Calculation-sheet'!D81</f>
        <v>7067913585.2852325</v>
      </c>
      <c r="E98" s="2">
        <f>E10/'Output-Calculation-sheet'!E9*'Output-Calculation-sheet'!E81</f>
        <v>13295190165.108631</v>
      </c>
      <c r="F98" s="2">
        <f>F10/'Output-Calculation-sheet'!F9*'Output-Calculation-sheet'!F81</f>
        <v>5483257783.2319889</v>
      </c>
      <c r="G98" s="2">
        <f>G10/'Output-Calculation-sheet'!G9*'Output-Calculation-sheet'!G81</f>
        <v>4025975630.84727</v>
      </c>
      <c r="H98" s="2">
        <f>H10/'Output-Calculation-sheet'!H9*'Output-Calculation-sheet'!H81</f>
        <v>3647566814.7587304</v>
      </c>
      <c r="I98" s="2">
        <f>I10/'Output-Calculation-sheet'!I9*'Output-Calculation-sheet'!I81</f>
        <v>3032204879.7574878</v>
      </c>
      <c r="J98" s="2">
        <f>J10/'Output-Calculation-sheet'!J9*'Output-Calculation-sheet'!J81</f>
        <v>1938868225.8093719</v>
      </c>
      <c r="K98" s="2">
        <f>K10/'Output-Calculation-sheet'!K9*'Output-Calculation-sheet'!K81</f>
        <v>2816282987.3899112</v>
      </c>
      <c r="L98" s="2">
        <f>L10/'Output-Calculation-sheet'!L9*'Output-Calculation-sheet'!L81</f>
        <v>2112254397.0877652</v>
      </c>
      <c r="M98" s="2">
        <f>M10/'Output-Calculation-sheet'!M9*'Output-Calculation-sheet'!M81</f>
        <v>2739169530.2554231</v>
      </c>
      <c r="N98" s="2">
        <f>N10/'Output-Calculation-sheet'!N9*'Output-Calculation-sheet'!N81</f>
        <v>1965140413.7486436</v>
      </c>
      <c r="O98" s="2">
        <f>O10/'Output-Calculation-sheet'!O9*'Output-Calculation-sheet'!O81</f>
        <v>1040652870.7834071</v>
      </c>
      <c r="P98" s="2">
        <f>P10/'Output-Calculation-sheet'!P9*'Output-Calculation-sheet'!P81</f>
        <v>3325624634.3974724</v>
      </c>
      <c r="Q98" s="2">
        <f>Q10/'Output-Calculation-sheet'!Q9*'Output-Calculation-sheet'!Q81</f>
        <v>1563624396.5505426</v>
      </c>
      <c r="R98" s="2">
        <f>R10/'Output-Calculation-sheet'!R9*'Output-Calculation-sheet'!R81</f>
        <v>2000112161.1381245</v>
      </c>
      <c r="S98" s="2">
        <f>S10/'Output-Calculation-sheet'!S9*'Output-Calculation-sheet'!S81</f>
        <v>1156420926.6994066</v>
      </c>
      <c r="T98" s="2">
        <f>T10/'Output-Calculation-sheet'!T9*'Output-Calculation-sheet'!T81</f>
        <v>858111902.30217791</v>
      </c>
      <c r="U98" s="2">
        <f>U10/'Output-Calculation-sheet'!U9*'Output-Calculation-sheet'!U81</f>
        <v>558343257.69512796</v>
      </c>
      <c r="V98" s="2">
        <f>V10/'Output-Calculation-sheet'!V9*'Output-Calculation-sheet'!V81</f>
        <v>295707991.64535326</v>
      </c>
      <c r="W98" s="2">
        <f>W10/'Output-Calculation-sheet'!W9*'Output-Calculation-sheet'!W81</f>
        <v>838434175.66305339</v>
      </c>
      <c r="X98" s="2">
        <f>X10/'Output-Calculation-sheet'!X9*'Output-Calculation-sheet'!X81</f>
        <v>308099192.50774521</v>
      </c>
      <c r="Y98" s="2">
        <f>Y10/'Output-Calculation-sheet'!Y9*'Output-Calculation-sheet'!Y81</f>
        <v>461023032.9790144</v>
      </c>
      <c r="AA98" s="2">
        <f t="shared" si="8"/>
        <v>89.618188316288283</v>
      </c>
    </row>
    <row r="99" spans="1:27" x14ac:dyDescent="0.25">
      <c r="A99" s="2">
        <v>2034</v>
      </c>
      <c r="B99" s="2">
        <f>B11/'Output-Calculation-sheet'!B10*'Output-Calculation-sheet'!B82</f>
        <v>22787694144.901455</v>
      </c>
      <c r="C99" s="2">
        <f>C11/'Output-Calculation-sheet'!C10*'Output-Calculation-sheet'!C82</f>
        <v>7862689408.5302362</v>
      </c>
      <c r="D99" s="2">
        <f>D11/'Output-Calculation-sheet'!D10*'Output-Calculation-sheet'!D82</f>
        <v>7152835712.2537813</v>
      </c>
      <c r="E99" s="2">
        <f>E11/'Output-Calculation-sheet'!E10*'Output-Calculation-sheet'!E82</f>
        <v>13836533460.771969</v>
      </c>
      <c r="F99" s="2">
        <f>F11/'Output-Calculation-sheet'!F10*'Output-Calculation-sheet'!F82</f>
        <v>5698559134.5347624</v>
      </c>
      <c r="G99" s="2">
        <f>G11/'Output-Calculation-sheet'!G10*'Output-Calculation-sheet'!G82</f>
        <v>4051270033.5053854</v>
      </c>
      <c r="H99" s="2">
        <f>H11/'Output-Calculation-sheet'!H10*'Output-Calculation-sheet'!H82</f>
        <v>3786647391.8865662</v>
      </c>
      <c r="I99" s="2">
        <f>I11/'Output-Calculation-sheet'!I10*'Output-Calculation-sheet'!I82</f>
        <v>3180520194.4776459</v>
      </c>
      <c r="J99" s="2">
        <f>J11/'Output-Calculation-sheet'!J10*'Output-Calculation-sheet'!J82</f>
        <v>1979236500.6049285</v>
      </c>
      <c r="K99" s="2">
        <f>K11/'Output-Calculation-sheet'!K10*'Output-Calculation-sheet'!K82</f>
        <v>2895882729.3105493</v>
      </c>
      <c r="L99" s="2">
        <f>L11/'Output-Calculation-sheet'!L10*'Output-Calculation-sheet'!L82</f>
        <v>2235833241.1552701</v>
      </c>
      <c r="M99" s="2">
        <f>M11/'Output-Calculation-sheet'!M10*'Output-Calculation-sheet'!M82</f>
        <v>2852411293.4633393</v>
      </c>
      <c r="N99" s="2">
        <f>N11/'Output-Calculation-sheet'!N10*'Output-Calculation-sheet'!N82</f>
        <v>2009526421.4658523</v>
      </c>
      <c r="O99" s="2">
        <f>O11/'Output-Calculation-sheet'!O10*'Output-Calculation-sheet'!O82</f>
        <v>1089465123.0559912</v>
      </c>
      <c r="P99" s="2">
        <f>P11/'Output-Calculation-sheet'!P10*'Output-Calculation-sheet'!P82</f>
        <v>3396109597.063251</v>
      </c>
      <c r="Q99" s="2">
        <f>Q11/'Output-Calculation-sheet'!Q10*'Output-Calculation-sheet'!Q82</f>
        <v>1607252474.6925044</v>
      </c>
      <c r="R99" s="2">
        <f>R11/'Output-Calculation-sheet'!R10*'Output-Calculation-sheet'!R82</f>
        <v>2080580895.5803547</v>
      </c>
      <c r="S99" s="2">
        <f>S11/'Output-Calculation-sheet'!S10*'Output-Calculation-sheet'!S82</f>
        <v>1198472761.6170554</v>
      </c>
      <c r="T99" s="2">
        <f>T11/'Output-Calculation-sheet'!T10*'Output-Calculation-sheet'!T82</f>
        <v>875943470.80316639</v>
      </c>
      <c r="U99" s="2">
        <f>U11/'Output-Calculation-sheet'!U10*'Output-Calculation-sheet'!U82</f>
        <v>580067424.03693247</v>
      </c>
      <c r="V99" s="2">
        <f>V11/'Output-Calculation-sheet'!V10*'Output-Calculation-sheet'!V82</f>
        <v>310154819.69035614</v>
      </c>
      <c r="W99" s="2">
        <f>W11/'Output-Calculation-sheet'!W10*'Output-Calculation-sheet'!W82</f>
        <v>860070174.08389902</v>
      </c>
      <c r="X99" s="2">
        <f>X11/'Output-Calculation-sheet'!X10*'Output-Calculation-sheet'!X82</f>
        <v>323926106.23909688</v>
      </c>
      <c r="Y99" s="2">
        <f>Y11/'Output-Calculation-sheet'!Y10*'Output-Calculation-sheet'!Y82</f>
        <v>473311378.38320708</v>
      </c>
      <c r="AA99" s="2">
        <f t="shared" si="8"/>
        <v>93.124993892107511</v>
      </c>
    </row>
    <row r="100" spans="1:27" x14ac:dyDescent="0.25">
      <c r="A100" s="2">
        <v>2035</v>
      </c>
      <c r="B100" s="2">
        <f>B12/'Output-Calculation-sheet'!B11*'Output-Calculation-sheet'!B83</f>
        <v>21603346593.682827</v>
      </c>
      <c r="C100" s="2">
        <f>C12/'Output-Calculation-sheet'!C11*'Output-Calculation-sheet'!C83</f>
        <v>7500331047.7723913</v>
      </c>
      <c r="D100" s="2">
        <f>D12/'Output-Calculation-sheet'!D11*'Output-Calculation-sheet'!D83</f>
        <v>6528076468.6372833</v>
      </c>
      <c r="E100" s="2">
        <f>E12/'Output-Calculation-sheet'!E11*'Output-Calculation-sheet'!E83</f>
        <v>12982659664.055347</v>
      </c>
      <c r="F100" s="2">
        <f>F12/'Output-Calculation-sheet'!F11*'Output-Calculation-sheet'!F83</f>
        <v>5340548529.7241249</v>
      </c>
      <c r="G100" s="2">
        <f>G12/'Output-Calculation-sheet'!G11*'Output-Calculation-sheet'!G83</f>
        <v>3669996745.1980162</v>
      </c>
      <c r="H100" s="2">
        <f>H12/'Output-Calculation-sheet'!H11*'Output-Calculation-sheet'!H83</f>
        <v>3544942589.481688</v>
      </c>
      <c r="I100" s="2">
        <f>I12/'Output-Calculation-sheet'!I11*'Output-Calculation-sheet'!I83</f>
        <v>3007813768.7525029</v>
      </c>
      <c r="J100" s="2">
        <f>J12/'Output-Calculation-sheet'!J11*'Output-Calculation-sheet'!J83</f>
        <v>1822864601.6773698</v>
      </c>
      <c r="K100" s="2">
        <f>K12/'Output-Calculation-sheet'!K11*'Output-Calculation-sheet'!K83</f>
        <v>2685856022.59198</v>
      </c>
      <c r="L100" s="2">
        <f>L12/'Output-Calculation-sheet'!L11*'Output-Calculation-sheet'!L83</f>
        <v>2132416536.0205178</v>
      </c>
      <c r="M100" s="2">
        <f>M12/'Output-Calculation-sheet'!M11*'Output-Calculation-sheet'!M83</f>
        <v>2678787694.9983778</v>
      </c>
      <c r="N100" s="2">
        <f>N12/'Output-Calculation-sheet'!N11*'Output-Calculation-sheet'!N83</f>
        <v>1853509507.6763792</v>
      </c>
      <c r="O100" s="2">
        <f>O12/'Output-Calculation-sheet'!O11*'Output-Calculation-sheet'!O83</f>
        <v>1028815466.1004066</v>
      </c>
      <c r="P100" s="2">
        <f>P12/'Output-Calculation-sheet'!P11*'Output-Calculation-sheet'!P83</f>
        <v>3124585673.4555883</v>
      </c>
      <c r="Q100" s="2">
        <f>Q12/'Output-Calculation-sheet'!Q11*'Output-Calculation-sheet'!Q83</f>
        <v>1490441689.8074439</v>
      </c>
      <c r="R100" s="2">
        <f>R12/'Output-Calculation-sheet'!R11*'Output-Calculation-sheet'!R83</f>
        <v>1951650321.4194045</v>
      </c>
      <c r="S100" s="2">
        <f>S12/'Output-Calculation-sheet'!S11*'Output-Calculation-sheet'!S83</f>
        <v>1120147010.3921266</v>
      </c>
      <c r="T100" s="2">
        <f>T12/'Output-Calculation-sheet'!T11*'Output-Calculation-sheet'!T83</f>
        <v>806117743.9213239</v>
      </c>
      <c r="U100" s="2">
        <f>U12/'Output-Calculation-sheet'!U11*'Output-Calculation-sheet'!U83</f>
        <v>543232087.37585568</v>
      </c>
      <c r="V100" s="2">
        <f>V12/'Output-Calculation-sheet'!V11*'Output-Calculation-sheet'!V83</f>
        <v>293105273.71967578</v>
      </c>
      <c r="W100" s="2">
        <f>W12/'Output-Calculation-sheet'!W11*'Output-Calculation-sheet'!W83</f>
        <v>794094194.43184721</v>
      </c>
      <c r="X100" s="2">
        <f>X12/'Output-Calculation-sheet'!X11*'Output-Calculation-sheet'!X83</f>
        <v>307004358.34227288</v>
      </c>
      <c r="Y100" s="2">
        <f>Y12/'Output-Calculation-sheet'!Y11*'Output-Calculation-sheet'!Y83</f>
        <v>437593300.36845326</v>
      </c>
      <c r="AA100" s="2">
        <f t="shared" si="8"/>
        <v>87.247936889603196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6047.4861236028328</v>
      </c>
      <c r="C19" s="2">
        <f>C8/'Output-Calculation-sheet'!C7*'Output-Calculation-sheet'!C25</f>
        <v>8063.480629853424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2938.0626838975127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2150.5243873708259</v>
      </c>
      <c r="N19" s="2">
        <f>N8/'Output-Calculation-sheet'!N7*'Output-Calculation-sheet'!N25</f>
        <v>1120.3521947035597</v>
      </c>
      <c r="O19" s="2">
        <f>O8/'Output-Calculation-sheet'!O7*'Output-Calculation-sheet'!O25</f>
        <v>1221.7734058997003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488.40692473298861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248.58650743845402</v>
      </c>
      <c r="Y19" s="2">
        <f>Y8/'Output-Calculation-sheet'!Y7*'Output-Calculation-sheet'!Y25</f>
        <v>0</v>
      </c>
      <c r="AA19" s="2">
        <f t="shared" si="0"/>
        <v>22.278672857499295</v>
      </c>
    </row>
    <row r="20" spans="1:27" x14ac:dyDescent="0.25">
      <c r="A20" s="2">
        <v>2032</v>
      </c>
      <c r="B20" s="2">
        <f>B9/'Output-Calculation-sheet'!B8*'Output-Calculation-sheet'!B26</f>
        <v>8151.6959859810331</v>
      </c>
      <c r="C20" s="2">
        <f>C9/'Output-Calculation-sheet'!C8*'Output-Calculation-sheet'!C26</f>
        <v>9395.4684936435933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3382.4085549133206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2469.9309402942804</v>
      </c>
      <c r="N20" s="2">
        <f>N9/'Output-Calculation-sheet'!N8*'Output-Calculation-sheet'!N26</f>
        <v>1404.9263027777019</v>
      </c>
      <c r="O20" s="2">
        <f>O9/'Output-Calculation-sheet'!O8*'Output-Calculation-sheet'!O26</f>
        <v>1453.4003727814604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635.08736148118692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285.3090880454431</v>
      </c>
      <c r="Y20" s="2">
        <f>Y9/'Output-Calculation-sheet'!Y8*'Output-Calculation-sheet'!Y26</f>
        <v>0</v>
      </c>
      <c r="AA20" s="2">
        <f t="shared" si="0"/>
        <v>27.178227099918018</v>
      </c>
    </row>
    <row r="21" spans="1:27" x14ac:dyDescent="0.25">
      <c r="A21" s="2">
        <v>2033</v>
      </c>
      <c r="B21" s="2">
        <f>B10/'Output-Calculation-sheet'!B9*'Output-Calculation-sheet'!B27</f>
        <v>18014.919252716714</v>
      </c>
      <c r="C21" s="2">
        <f>C10/'Output-Calculation-sheet'!C9*'Output-Calculation-sheet'!C27</f>
        <v>30937.612282284266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10427.363543697837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7242.4530987513535</v>
      </c>
      <c r="N21" s="2">
        <f>N10/'Output-Calculation-sheet'!N9*'Output-Calculation-sheet'!N27</f>
        <v>3962.9252492812511</v>
      </c>
      <c r="O21" s="2">
        <f>O10/'Output-Calculation-sheet'!O9*'Output-Calculation-sheet'!O27</f>
        <v>3086.771685624954</v>
      </c>
      <c r="P21" s="2">
        <f>P10/'Output-Calculation-sheet'!P9*'Output-Calculation-sheet'!P27</f>
        <v>0</v>
      </c>
      <c r="Q21" s="2">
        <f>Q10/'Output-Calculation-sheet'!Q9*'Output-Calculation-sheet'!Q27</f>
        <v>270.29774374184871</v>
      </c>
      <c r="R21" s="2">
        <f>R10/'Output-Calculation-sheet'!R9*'Output-Calculation-sheet'!R27</f>
        <v>0</v>
      </c>
      <c r="S21" s="2">
        <f>S10/'Output-Calculation-sheet'!S9*'Output-Calculation-sheet'!S27</f>
        <v>1721.2485726434024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851.65043778054928</v>
      </c>
      <c r="Y21" s="2">
        <f>Y10/'Output-Calculation-sheet'!Y9*'Output-Calculation-sheet'!Y27</f>
        <v>0</v>
      </c>
      <c r="AA21" s="2">
        <f t="shared" si="0"/>
        <v>76.515241866522189</v>
      </c>
    </row>
    <row r="22" spans="1:27" x14ac:dyDescent="0.25">
      <c r="A22" s="2">
        <v>2034</v>
      </c>
      <c r="B22" s="2">
        <f>B11/'Output-Calculation-sheet'!B10*'Output-Calculation-sheet'!B28</f>
        <v>35375.524056485556</v>
      </c>
      <c r="C22" s="2">
        <f>C11/'Output-Calculation-sheet'!C10*'Output-Calculation-sheet'!C28</f>
        <v>33938.373519433197</v>
      </c>
      <c r="D22" s="2">
        <f>D11/'Output-Calculation-sheet'!D10*'Output-Calculation-sheet'!D28</f>
        <v>0</v>
      </c>
      <c r="E22" s="2">
        <f>E11/'Output-Calculation-sheet'!E10*'Output-Calculation-sheet'!E28</f>
        <v>1812.587608505097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12950.819105344048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1080.8388200134123</v>
      </c>
      <c r="M22" s="2">
        <f>M11/'Output-Calculation-sheet'!M10*'Output-Calculation-sheet'!M28</f>
        <v>9442.2855469403112</v>
      </c>
      <c r="N22" s="2">
        <f>N11/'Output-Calculation-sheet'!N10*'Output-Calculation-sheet'!N28</f>
        <v>5635.0444300619538</v>
      </c>
      <c r="O22" s="2">
        <f>O11/'Output-Calculation-sheet'!O10*'Output-Calculation-sheet'!O28</f>
        <v>3482.8263631416885</v>
      </c>
      <c r="P22" s="2">
        <f>P11/'Output-Calculation-sheet'!P10*'Output-Calculation-sheet'!P28</f>
        <v>0</v>
      </c>
      <c r="Q22" s="2">
        <f>Q11/'Output-Calculation-sheet'!Q10*'Output-Calculation-sheet'!Q28</f>
        <v>1280.1057298480018</v>
      </c>
      <c r="R22" s="2">
        <f>R11/'Output-Calculation-sheet'!R10*'Output-Calculation-sheet'!R28</f>
        <v>0</v>
      </c>
      <c r="S22" s="2">
        <f>S11/'Output-Calculation-sheet'!S10*'Output-Calculation-sheet'!S28</f>
        <v>2874.6673257591601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948.16609324413389</v>
      </c>
      <c r="Y22" s="2">
        <f>Y11/'Output-Calculation-sheet'!Y10*'Output-Calculation-sheet'!Y28</f>
        <v>98.350279590911455</v>
      </c>
      <c r="AA22" s="2">
        <f t="shared" si="0"/>
        <v>108.91958887836749</v>
      </c>
    </row>
    <row r="23" spans="1:27" x14ac:dyDescent="0.25">
      <c r="A23" s="2">
        <v>2035</v>
      </c>
      <c r="B23" s="2">
        <f>B12/'Output-Calculation-sheet'!B11*'Output-Calculation-sheet'!B29</f>
        <v>42839.011423697644</v>
      </c>
      <c r="C23" s="2">
        <f>C12/'Output-Calculation-sheet'!C11*'Output-Calculation-sheet'!C29</f>
        <v>34990.371168335849</v>
      </c>
      <c r="D23" s="2">
        <f>D12/'Output-Calculation-sheet'!D11*'Output-Calculation-sheet'!D29</f>
        <v>0</v>
      </c>
      <c r="E23" s="2">
        <f>E12/'Output-Calculation-sheet'!E11*'Output-Calculation-sheet'!E29</f>
        <v>6604.7302915214523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13469.441591756993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1497.2390606410615</v>
      </c>
      <c r="M23" s="2">
        <f>M12/'Output-Calculation-sheet'!M11*'Output-Calculation-sheet'!M29</f>
        <v>9868.4974949937387</v>
      </c>
      <c r="N23" s="2">
        <f>N12/'Output-Calculation-sheet'!N11*'Output-Calculation-sheet'!N29</f>
        <v>5756.8450512429808</v>
      </c>
      <c r="O23" s="2">
        <f>O12/'Output-Calculation-sheet'!O11*'Output-Calculation-sheet'!O29</f>
        <v>3880.8212695741945</v>
      </c>
      <c r="P23" s="2">
        <f>P12/'Output-Calculation-sheet'!P11*'Output-Calculation-sheet'!P29</f>
        <v>703.09321822453978</v>
      </c>
      <c r="Q23" s="2">
        <f>Q12/'Output-Calculation-sheet'!Q11*'Output-Calculation-sheet'!Q29</f>
        <v>1578.4364198609715</v>
      </c>
      <c r="R23" s="2">
        <f>R12/'Output-Calculation-sheet'!R11*'Output-Calculation-sheet'!R29</f>
        <v>0</v>
      </c>
      <c r="S23" s="2">
        <f>S12/'Output-Calculation-sheet'!S11*'Output-Calculation-sheet'!S29</f>
        <v>3081.6401362559022</v>
      </c>
      <c r="T23" s="2">
        <f>T12/'Output-Calculation-sheet'!T11*'Output-Calculation-sheet'!T29</f>
        <v>0</v>
      </c>
      <c r="U23" s="2">
        <f>U12/'Output-Calculation-sheet'!U11*'Output-Calculation-sheet'!U29</f>
        <v>134.38246344703694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977.62822300519883</v>
      </c>
      <c r="Y23" s="2">
        <f>Y12/'Output-Calculation-sheet'!Y11*'Output-Calculation-sheet'!Y29</f>
        <v>289.4325460121662</v>
      </c>
      <c r="AA23" s="2">
        <f t="shared" si="0"/>
        <v>125.67157035856974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29740.722731883856</v>
      </c>
      <c r="C30" s="2">
        <f>C8/'Output-Calculation-sheet'!C7*'Output-Calculation-sheet'!C16</f>
        <v>0</v>
      </c>
      <c r="D30" s="2">
        <f>D8/'Output-Calculation-sheet'!D7*'Output-Calculation-sheet'!D16</f>
        <v>6700.2981124397138</v>
      </c>
      <c r="E30" s="2">
        <f>E8/'Output-Calculation-sheet'!E7*'Output-Calculation-sheet'!E16</f>
        <v>8396.5438797165934</v>
      </c>
      <c r="F30" s="2">
        <f>F8/'Output-Calculation-sheet'!F7*'Output-Calculation-sheet'!F16</f>
        <v>4100.8712534876304</v>
      </c>
      <c r="G30" s="2">
        <f>G8/'Output-Calculation-sheet'!G7*'Output-Calculation-sheet'!G16</f>
        <v>2499.0176911356862</v>
      </c>
      <c r="H30" s="2">
        <f>H8/'Output-Calculation-sheet'!H7*'Output-Calculation-sheet'!H16</f>
        <v>0</v>
      </c>
      <c r="I30" s="2">
        <f>I8/'Output-Calculation-sheet'!I7*'Output-Calculation-sheet'!I16</f>
        <v>2352.5167241016138</v>
      </c>
      <c r="J30" s="2">
        <f>J8/'Output-Calculation-sheet'!J7*'Output-Calculation-sheet'!J16</f>
        <v>2521.79621953788</v>
      </c>
      <c r="K30" s="2">
        <f>K8/'Output-Calculation-sheet'!K7*'Output-Calculation-sheet'!K16</f>
        <v>2440.8152748037714</v>
      </c>
      <c r="L30" s="2">
        <f>L8/'Output-Calculation-sheet'!L7*'Output-Calculation-sheet'!L16</f>
        <v>2697.9331340845192</v>
      </c>
      <c r="M30" s="2">
        <f>M8/'Output-Calculation-sheet'!M7*'Output-Calculation-sheet'!M16</f>
        <v>0</v>
      </c>
      <c r="N30" s="2">
        <f>N8/'Output-Calculation-sheet'!N7*'Output-Calculation-sheet'!N16</f>
        <v>1209.8253843664413</v>
      </c>
      <c r="O30" s="2">
        <f>O8/'Output-Calculation-sheet'!O7*'Output-Calculation-sheet'!O16</f>
        <v>0</v>
      </c>
      <c r="P30" s="2">
        <f>P8/'Output-Calculation-sheet'!P7*'Output-Calculation-sheet'!P16</f>
        <v>2309.5646061458579</v>
      </c>
      <c r="Q30" s="2">
        <f>Q8/'Output-Calculation-sheet'!Q7*'Output-Calculation-sheet'!Q16</f>
        <v>2265.7972982715887</v>
      </c>
      <c r="R30" s="2">
        <f>R8/'Output-Calculation-sheet'!R7*'Output-Calculation-sheet'!R16</f>
        <v>2010.7214394483253</v>
      </c>
      <c r="S30" s="2">
        <f>S8/'Output-Calculation-sheet'!S7*'Output-Calculation-sheet'!S16</f>
        <v>1064.9420552146719</v>
      </c>
      <c r="T30" s="2">
        <f>T8/'Output-Calculation-sheet'!T7*'Output-Calculation-sheet'!T16</f>
        <v>759.47942500439513</v>
      </c>
      <c r="U30" s="2">
        <f>U8/'Output-Calculation-sheet'!U7*'Output-Calculation-sheet'!U16</f>
        <v>586.01633734393374</v>
      </c>
      <c r="V30" s="2">
        <f>V8/'Output-Calculation-sheet'!V7*'Output-Calculation-sheet'!V16</f>
        <v>758.77397152813535</v>
      </c>
      <c r="W30" s="2">
        <f>W8/'Output-Calculation-sheet'!W7*'Output-Calculation-sheet'!W16</f>
        <v>365.33415869933782</v>
      </c>
      <c r="X30" s="2">
        <f>X8/'Output-Calculation-sheet'!X7*'Output-Calculation-sheet'!X16</f>
        <v>0</v>
      </c>
      <c r="Y30" s="2">
        <f>Y8/'Output-Calculation-sheet'!Y7*'Output-Calculation-sheet'!Y16</f>
        <v>249.16586098597344</v>
      </c>
      <c r="AA30" s="2">
        <f t="shared" si="1"/>
        <v>73.03013555819993</v>
      </c>
    </row>
    <row r="31" spans="1:27" x14ac:dyDescent="0.25">
      <c r="A31" s="2">
        <v>2032</v>
      </c>
      <c r="B31" s="2">
        <f>B9/'Output-Calculation-sheet'!B8*'Output-Calculation-sheet'!B17</f>
        <v>33029.492600859034</v>
      </c>
      <c r="C31" s="2">
        <f>C9/'Output-Calculation-sheet'!C8*'Output-Calculation-sheet'!C17</f>
        <v>0</v>
      </c>
      <c r="D31" s="2">
        <f>D9/'Output-Calculation-sheet'!D8*'Output-Calculation-sheet'!D17</f>
        <v>7559.7692560793612</v>
      </c>
      <c r="E31" s="2">
        <f>E9/'Output-Calculation-sheet'!E8*'Output-Calculation-sheet'!E17</f>
        <v>9496.0688910521258</v>
      </c>
      <c r="F31" s="2">
        <f>F9/'Output-Calculation-sheet'!F8*'Output-Calculation-sheet'!F17</f>
        <v>4633.313662904462</v>
      </c>
      <c r="G31" s="2">
        <f>G9/'Output-Calculation-sheet'!G8*'Output-Calculation-sheet'!G17</f>
        <v>2820.4219252994767</v>
      </c>
      <c r="H31" s="2">
        <f>H9/'Output-Calculation-sheet'!H8*'Output-Calculation-sheet'!H17</f>
        <v>0</v>
      </c>
      <c r="I31" s="2">
        <f>I9/'Output-Calculation-sheet'!I8*'Output-Calculation-sheet'!I17</f>
        <v>2653.7506120446765</v>
      </c>
      <c r="J31" s="2">
        <f>J9/'Output-Calculation-sheet'!J8*'Output-Calculation-sheet'!J17</f>
        <v>2847.0188417197342</v>
      </c>
      <c r="K31" s="2">
        <f>K9/'Output-Calculation-sheet'!K8*'Output-Calculation-sheet'!K17</f>
        <v>2753.467038862158</v>
      </c>
      <c r="L31" s="2">
        <f>L9/'Output-Calculation-sheet'!L8*'Output-Calculation-sheet'!L17</f>
        <v>3042.4826433164694</v>
      </c>
      <c r="M31" s="2">
        <f>M9/'Output-Calculation-sheet'!M8*'Output-Calculation-sheet'!M17</f>
        <v>0</v>
      </c>
      <c r="N31" s="2">
        <f>N9/'Output-Calculation-sheet'!N8*'Output-Calculation-sheet'!N17</f>
        <v>1282.826217148038</v>
      </c>
      <c r="O31" s="2">
        <f>O9/'Output-Calculation-sheet'!O8*'Output-Calculation-sheet'!O17</f>
        <v>0</v>
      </c>
      <c r="P31" s="2">
        <f>P9/'Output-Calculation-sheet'!P8*'Output-Calculation-sheet'!P17</f>
        <v>2620.7508873194338</v>
      </c>
      <c r="Q31" s="2">
        <f>Q9/'Output-Calculation-sheet'!Q8*'Output-Calculation-sheet'!Q17</f>
        <v>2562.9809303405177</v>
      </c>
      <c r="R31" s="2">
        <f>R9/'Output-Calculation-sheet'!R8*'Output-Calculation-sheet'!R17</f>
        <v>2293.7927977339582</v>
      </c>
      <c r="S31" s="2">
        <f>S9/'Output-Calculation-sheet'!S8*'Output-Calculation-sheet'!S17</f>
        <v>1148.226709581206</v>
      </c>
      <c r="T31" s="2">
        <f>T9/'Output-Calculation-sheet'!T8*'Output-Calculation-sheet'!T17</f>
        <v>859.30730402111431</v>
      </c>
      <c r="U31" s="2">
        <f>U9/'Output-Calculation-sheet'!U8*'Output-Calculation-sheet'!U17</f>
        <v>665.35366148586729</v>
      </c>
      <c r="V31" s="2">
        <f>V9/'Output-Calculation-sheet'!V8*'Output-Calculation-sheet'!V17</f>
        <v>846.10387182641989</v>
      </c>
      <c r="W31" s="2">
        <f>W9/'Output-Calculation-sheet'!W8*'Output-Calculation-sheet'!W17</f>
        <v>412.38602313539383</v>
      </c>
      <c r="X31" s="2">
        <f>X9/'Output-Calculation-sheet'!X8*'Output-Calculation-sheet'!X17</f>
        <v>0</v>
      </c>
      <c r="Y31" s="2">
        <f>Y9/'Output-Calculation-sheet'!Y8*'Output-Calculation-sheet'!Y17</f>
        <v>281.12861065875018</v>
      </c>
      <c r="AA31" s="2">
        <f t="shared" si="1"/>
        <v>81.808642485388177</v>
      </c>
    </row>
    <row r="32" spans="1:27" x14ac:dyDescent="0.25">
      <c r="A32" s="2">
        <v>2033</v>
      </c>
      <c r="B32" s="2">
        <f>B10/'Output-Calculation-sheet'!B9*'Output-Calculation-sheet'!B18</f>
        <v>36572.512019284324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2228.6019548973031</v>
      </c>
      <c r="O32" s="2">
        <f>O10/'Output-Calculation-sheet'!O9*'Output-Calculation-sheet'!O18</f>
        <v>0</v>
      </c>
      <c r="P32" s="2">
        <f>P10/'Output-Calculation-sheet'!P9*'Output-Calculation-sheet'!P18</f>
        <v>3588.0104933399662</v>
      </c>
      <c r="Q32" s="2">
        <f>Q10/'Output-Calculation-sheet'!Q9*'Output-Calculation-sheet'!Q18</f>
        <v>3905.6500175957917</v>
      </c>
      <c r="R32" s="2">
        <f>R10/'Output-Calculation-sheet'!R9*'Output-Calculation-sheet'!R18</f>
        <v>2576.3778839177453</v>
      </c>
      <c r="S32" s="2">
        <f>S10/'Output-Calculation-sheet'!S9*'Output-Calculation-sheet'!S18</f>
        <v>1690.6341463188294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831.73303105438902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87.895956498800558</v>
      </c>
    </row>
    <row r="33" spans="1:27" x14ac:dyDescent="0.25">
      <c r="A33" s="2">
        <v>2034</v>
      </c>
      <c r="B33" s="2">
        <f>B11/'Output-Calculation-sheet'!B10*'Output-Calculation-sheet'!B19</f>
        <v>35681.83103390313</v>
      </c>
      <c r="C33" s="2">
        <f>C11/'Output-Calculation-sheet'!C10*'Output-Calculation-sheet'!C19</f>
        <v>0</v>
      </c>
      <c r="D33" s="2">
        <f>D11/'Output-Calculation-sheet'!D10*'Output-Calculation-sheet'!D19</f>
        <v>10643.498288158959</v>
      </c>
      <c r="E33" s="2">
        <f>E11/'Output-Calculation-sheet'!E10*'Output-Calculation-sheet'!E19</f>
        <v>13182.684338014447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3622.9461532231758</v>
      </c>
      <c r="H33" s="2">
        <f>H11/'Output-Calculation-sheet'!H10*'Output-Calculation-sheet'!H19</f>
        <v>0</v>
      </c>
      <c r="I33" s="2">
        <f>I11/'Output-Calculation-sheet'!I10*'Output-Calculation-sheet'!I19</f>
        <v>3953.1423078506668</v>
      </c>
      <c r="J33" s="2">
        <f>J11/'Output-Calculation-sheet'!J10*'Output-Calculation-sheet'!J19</f>
        <v>3342.6365639609949</v>
      </c>
      <c r="K33" s="2">
        <f>K11/'Output-Calculation-sheet'!K10*'Output-Calculation-sheet'!K19</f>
        <v>4638.3905938690368</v>
      </c>
      <c r="L33" s="2">
        <f>L11/'Output-Calculation-sheet'!L10*'Output-Calculation-sheet'!L19</f>
        <v>3772.1165292994042</v>
      </c>
      <c r="M33" s="2">
        <f>M11/'Output-Calculation-sheet'!M10*'Output-Calculation-sheet'!M19</f>
        <v>0</v>
      </c>
      <c r="N33" s="2">
        <f>N11/'Output-Calculation-sheet'!N10*'Output-Calculation-sheet'!N19</f>
        <v>2132.9716123327739</v>
      </c>
      <c r="O33" s="2">
        <f>O11/'Output-Calculation-sheet'!O10*'Output-Calculation-sheet'!O19</f>
        <v>0</v>
      </c>
      <c r="P33" s="2">
        <f>P11/'Output-Calculation-sheet'!P10*'Output-Calculation-sheet'!P19</f>
        <v>4693.2330622190302</v>
      </c>
      <c r="Q33" s="2">
        <f>Q11/'Output-Calculation-sheet'!Q10*'Output-Calculation-sheet'!Q19</f>
        <v>3864.8281552343933</v>
      </c>
      <c r="R33" s="2">
        <f>R11/'Output-Calculation-sheet'!R10*'Output-Calculation-sheet'!R19</f>
        <v>3350.8927603226093</v>
      </c>
      <c r="S33" s="2">
        <f>S11/'Output-Calculation-sheet'!S10*'Output-Calculation-sheet'!S19</f>
        <v>1562.0682182874257</v>
      </c>
      <c r="T33" s="2">
        <f>T11/'Output-Calculation-sheet'!T10*'Output-Calculation-sheet'!T19</f>
        <v>983.24907400299071</v>
      </c>
      <c r="U33" s="2">
        <f>U11/'Output-Calculation-sheet'!U10*'Output-Calculation-sheet'!U19</f>
        <v>1131.6349836535921</v>
      </c>
      <c r="V33" s="2">
        <f>V11/'Output-Calculation-sheet'!V10*'Output-Calculation-sheet'!V19</f>
        <v>771.05917473970771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139.03549533897396</v>
      </c>
      <c r="Y33" s="2">
        <f>Y11/'Output-Calculation-sheet'!Y10*'Output-Calculation-sheet'!Y19</f>
        <v>432.74123020001042</v>
      </c>
      <c r="AA33" s="2">
        <f t="shared" si="1"/>
        <v>104.42896100099193</v>
      </c>
    </row>
    <row r="34" spans="1:27" x14ac:dyDescent="0.25">
      <c r="A34" s="2">
        <v>2035</v>
      </c>
      <c r="B34" s="2">
        <f>B12/'Output-Calculation-sheet'!B11*'Output-Calculation-sheet'!B20</f>
        <v>34095.209337380526</v>
      </c>
      <c r="C34" s="2">
        <f>C12/'Output-Calculation-sheet'!C11*'Output-Calculation-sheet'!C20</f>
        <v>0</v>
      </c>
      <c r="D34" s="2">
        <f>D12/'Output-Calculation-sheet'!D11*'Output-Calculation-sheet'!D20</f>
        <v>10700.116475536748</v>
      </c>
      <c r="E34" s="2">
        <f>E12/'Output-Calculation-sheet'!E11*'Output-Calculation-sheet'!E20</f>
        <v>11691.449570643043</v>
      </c>
      <c r="F34" s="2">
        <f>F12/'Output-Calculation-sheet'!F11*'Output-Calculation-sheet'!F20</f>
        <v>7366.16145954488</v>
      </c>
      <c r="G34" s="2">
        <f>G12/'Output-Calculation-sheet'!G11*'Output-Calculation-sheet'!G20</f>
        <v>3936.2579865618695</v>
      </c>
      <c r="H34" s="2">
        <f>H12/'Output-Calculation-sheet'!H11*'Output-Calculation-sheet'!H20</f>
        <v>0</v>
      </c>
      <c r="I34" s="2">
        <f>I12/'Output-Calculation-sheet'!I11*'Output-Calculation-sheet'!I20</f>
        <v>4278.1764351283182</v>
      </c>
      <c r="J34" s="2">
        <f>J12/'Output-Calculation-sheet'!J11*'Output-Calculation-sheet'!J20</f>
        <v>3672.818163864958</v>
      </c>
      <c r="K34" s="2">
        <f>K12/'Output-Calculation-sheet'!K11*'Output-Calculation-sheet'!K20</f>
        <v>4828.8616337373742</v>
      </c>
      <c r="L34" s="2">
        <f>L12/'Output-Calculation-sheet'!L11*'Output-Calculation-sheet'!L20</f>
        <v>3816.3266947688803</v>
      </c>
      <c r="M34" s="2">
        <f>M12/'Output-Calculation-sheet'!M11*'Output-Calculation-sheet'!M20</f>
        <v>0</v>
      </c>
      <c r="N34" s="2">
        <f>N12/'Output-Calculation-sheet'!N11*'Output-Calculation-sheet'!N20</f>
        <v>2123.7864332463596</v>
      </c>
      <c r="O34" s="2">
        <f>O12/'Output-Calculation-sheet'!O11*'Output-Calculation-sheet'!O20</f>
        <v>0</v>
      </c>
      <c r="P34" s="2">
        <f>P12/'Output-Calculation-sheet'!P11*'Output-Calculation-sheet'!P20</f>
        <v>4746.2747352781998</v>
      </c>
      <c r="Q34" s="2">
        <f>Q12/'Output-Calculation-sheet'!Q11*'Output-Calculation-sheet'!Q20</f>
        <v>3755.5867644637615</v>
      </c>
      <c r="R34" s="2">
        <f>R12/'Output-Calculation-sheet'!R11*'Output-Calculation-sheet'!R20</f>
        <v>3769.48276475995</v>
      </c>
      <c r="S34" s="2">
        <f>S12/'Output-Calculation-sheet'!S11*'Output-Calculation-sheet'!S20</f>
        <v>1439.8509516047848</v>
      </c>
      <c r="T34" s="2">
        <f>T12/'Output-Calculation-sheet'!T11*'Output-Calculation-sheet'!T20</f>
        <v>1184.2550425572754</v>
      </c>
      <c r="U34" s="2">
        <f>U12/'Output-Calculation-sheet'!U11*'Output-Calculation-sheet'!U20</f>
        <v>1080.4492134074856</v>
      </c>
      <c r="V34" s="2">
        <f>V12/'Output-Calculation-sheet'!V11*'Output-Calculation-sheet'!V20</f>
        <v>992.50334807744196</v>
      </c>
      <c r="W34" s="2">
        <f>W12/'Output-Calculation-sheet'!W11*'Output-Calculation-sheet'!W20</f>
        <v>638.54160569479052</v>
      </c>
      <c r="X34" s="2">
        <f>X12/'Output-Calculation-sheet'!X11*'Output-Calculation-sheet'!X20</f>
        <v>129.05166093804084</v>
      </c>
      <c r="Y34" s="2">
        <f>Y12/'Output-Calculation-sheet'!Y11*'Output-Calculation-sheet'!Y20</f>
        <v>357.92669272117075</v>
      </c>
      <c r="AA34" s="2">
        <f t="shared" si="1"/>
        <v>104.60308696991585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1.4651898535097572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0.85394091477685108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2.319130768286608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3.0215741194231596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0.46506730906426086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0.32001181807812124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1.1740211283543347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0.27556706989193541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3.5106085336647615E-2</v>
      </c>
      <c r="Y44" s="2">
        <f>Y11/'Output-Calculation-sheet'!Y10*'Output-Calculation-sheet'!Y37*0.0114</f>
        <v>0</v>
      </c>
      <c r="AA44" s="2">
        <f t="shared" si="2"/>
        <v>5.2913475301484594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3.025035311793518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1.1753659614815375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3.5146299115928842E-2</v>
      </c>
      <c r="Y45" s="2">
        <f>Y12/'Output-Calculation-sheet'!Y11*'Output-Calculation-sheet'!Y38*0.0114</f>
        <v>3.3916830530911816E-2</v>
      </c>
      <c r="AA45" s="2">
        <f t="shared" si="2"/>
        <v>15.071678620466054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169.94802246478559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151.27933265773316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657.83196317735133</v>
      </c>
      <c r="S52" s="2">
        <f>S8/'Output-Calculation-sheet'!S7*'Output-Calculation-sheet'!S43</f>
        <v>0</v>
      </c>
      <c r="T52" s="2">
        <f>T8/'Output-Calculation-sheet'!T7*'Output-Calculation-sheet'!T43</f>
        <v>529.69790530084765</v>
      </c>
      <c r="U52" s="2">
        <f>U8/'Output-Calculation-sheet'!U7*'Output-Calculation-sheet'!U43</f>
        <v>56.024506438234589</v>
      </c>
      <c r="V52" s="2">
        <f>V8/'Output-Calculation-sheet'!V7*'Output-Calculation-sheet'!V43</f>
        <v>955.19946060868006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2.5199811906476324</v>
      </c>
    </row>
    <row r="53" spans="1:27" x14ac:dyDescent="0.25">
      <c r="A53" s="2">
        <v>2032</v>
      </c>
      <c r="B53" s="2">
        <f>B9/'Output-Calculation-sheet'!B8*'Output-Calculation-sheet'!B44</f>
        <v>2024.9516499875258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381.75199649429175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305.83508880865122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956.1453929695532</v>
      </c>
      <c r="S53" s="2">
        <f>S9/'Output-Calculation-sheet'!S8*'Output-Calculation-sheet'!S44</f>
        <v>0</v>
      </c>
      <c r="T53" s="2">
        <f>T9/'Output-Calculation-sheet'!T8*'Output-Calculation-sheet'!T44</f>
        <v>659.24310174235268</v>
      </c>
      <c r="U53" s="2">
        <f>U9/'Output-Calculation-sheet'!U8*'Output-Calculation-sheet'!U44</f>
        <v>111.86409625048732</v>
      </c>
      <c r="V53" s="2">
        <f>V9/'Output-Calculation-sheet'!V8*'Output-Calculation-sheet'!V44</f>
        <v>1105.172472677792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5.5449637989306533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79428.713111318415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0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1031.4918234727963</v>
      </c>
      <c r="R54" s="2">
        <f>R10/'Output-Calculation-sheet'!R9*'Output-Calculation-sheet'!R45</f>
        <v>1720.3595294205354</v>
      </c>
      <c r="S54" s="2">
        <f>S10/'Output-Calculation-sheet'!S9*'Output-Calculation-sheet'!S45</f>
        <v>4110.5542359647116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620.81909366638149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178.6664321854395</v>
      </c>
    </row>
    <row r="55" spans="1:27" x14ac:dyDescent="0.25">
      <c r="A55" s="2">
        <v>2034</v>
      </c>
      <c r="B55" s="2">
        <f>B11/'Output-Calculation-sheet'!B10*'Output-Calculation-sheet'!B46</f>
        <v>101636.95513217575</v>
      </c>
      <c r="C55" s="2">
        <f>C11/'Output-Calculation-sheet'!C10*'Output-Calculation-sheet'!C46</f>
        <v>83623.389006842714</v>
      </c>
      <c r="D55" s="2">
        <f>D11/'Output-Calculation-sheet'!D10*'Output-Calculation-sheet'!D46</f>
        <v>9391.5982424415051</v>
      </c>
      <c r="E55" s="2">
        <f>E11/'Output-Calculation-sheet'!E10*'Output-Calculation-sheet'!E46</f>
        <v>11568.914116462427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30147.784333200769</v>
      </c>
      <c r="I55" s="2">
        <f>I11/'Output-Calculation-sheet'!I10*'Output-Calculation-sheet'!I46</f>
        <v>2272.6392295557025</v>
      </c>
      <c r="J55" s="2">
        <f>J11/'Output-Calculation-sheet'!J10*'Output-Calculation-sheet'!J46</f>
        <v>1649.3889067431173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1628.0813710387447</v>
      </c>
      <c r="M55" s="2">
        <f>M11/'Output-Calculation-sheet'!M10*'Output-Calculation-sheet'!M46</f>
        <v>21306.049993095963</v>
      </c>
      <c r="N55" s="2">
        <f>N11/'Output-Calculation-sheet'!N10*'Output-Calculation-sheet'!N46</f>
        <v>16250.213807401324</v>
      </c>
      <c r="O55" s="2">
        <f>O11/'Output-Calculation-sheet'!O10*'Output-Calculation-sheet'!O46</f>
        <v>360.44508326668171</v>
      </c>
      <c r="P55" s="2">
        <f>P11/'Output-Calculation-sheet'!P10*'Output-Calculation-sheet'!P46</f>
        <v>6040.5906240783224</v>
      </c>
      <c r="Q55" s="2">
        <f>Q11/'Output-Calculation-sheet'!Q10*'Output-Calculation-sheet'!Q46</f>
        <v>3553.3648486065349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7986.6806746496914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1851.0049007807838</v>
      </c>
      <c r="V55" s="2">
        <f>V11/'Output-Calculation-sheet'!V10*'Output-Calculation-sheet'!V46</f>
        <v>749.3286440619122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2180.2726682760094</v>
      </c>
      <c r="Y55" s="2">
        <f>Y11/'Output-Calculation-sheet'!Y10*'Output-Calculation-sheet'!Y46</f>
        <v>567.6054812468376</v>
      </c>
      <c r="AA55" s="2">
        <f t="shared" si="3"/>
        <v>317.81216755318889</v>
      </c>
    </row>
    <row r="56" spans="1:27" x14ac:dyDescent="0.25">
      <c r="A56" s="2">
        <v>2035</v>
      </c>
      <c r="B56" s="2">
        <f>B12/'Output-Calculation-sheet'!B11*'Output-Calculation-sheet'!B47</f>
        <v>129428.06246890318</v>
      </c>
      <c r="C56" s="2">
        <f>C12/'Output-Calculation-sheet'!C11*'Output-Calculation-sheet'!C47</f>
        <v>85045.94889735285</v>
      </c>
      <c r="D56" s="2">
        <f>D12/'Output-Calculation-sheet'!D11*'Output-Calculation-sheet'!D47</f>
        <v>10342.591878992485</v>
      </c>
      <c r="E56" s="2">
        <f>E12/'Output-Calculation-sheet'!E11*'Output-Calculation-sheet'!E47</f>
        <v>29048.820136374419</v>
      </c>
      <c r="F56" s="2">
        <f>F12/'Output-Calculation-sheet'!F11*'Output-Calculation-sheet'!F47</f>
        <v>3583.4490958931806</v>
      </c>
      <c r="G56" s="2">
        <f>G12/'Output-Calculation-sheet'!G11*'Output-Calculation-sheet'!G47</f>
        <v>8094.7852857619528</v>
      </c>
      <c r="H56" s="2">
        <f>H12/'Output-Calculation-sheet'!H11*'Output-Calculation-sheet'!H47</f>
        <v>30917.476371420995</v>
      </c>
      <c r="I56" s="2">
        <f>I12/'Output-Calculation-sheet'!I11*'Output-Calculation-sheet'!I47</f>
        <v>4095.436539890075</v>
      </c>
      <c r="J56" s="2">
        <f>J12/'Output-Calculation-sheet'!J11*'Output-Calculation-sheet'!J47</f>
        <v>3715.3761083791187</v>
      </c>
      <c r="K56" s="2">
        <f>K12/'Output-Calculation-sheet'!K11*'Output-Calculation-sheet'!K47</f>
        <v>5366.8926187689631</v>
      </c>
      <c r="L56" s="2">
        <f>L12/'Output-Calculation-sheet'!L11*'Output-Calculation-sheet'!L47</f>
        <v>2963.5387764559232</v>
      </c>
      <c r="M56" s="2">
        <f>M12/'Output-Calculation-sheet'!M11*'Output-Calculation-sheet'!M47</f>
        <v>21555.282866752666</v>
      </c>
      <c r="N56" s="2">
        <f>N12/'Output-Calculation-sheet'!N11*'Output-Calculation-sheet'!N47</f>
        <v>16462.176020481602</v>
      </c>
      <c r="O56" s="2">
        <f>O12/'Output-Calculation-sheet'!O11*'Output-Calculation-sheet'!O47</f>
        <v>1546.5341598441282</v>
      </c>
      <c r="P56" s="2">
        <f>P12/'Output-Calculation-sheet'!P11*'Output-Calculation-sheet'!P47</f>
        <v>8548.1682552522634</v>
      </c>
      <c r="Q56" s="2">
        <f>Q12/'Output-Calculation-sheet'!Q11*'Output-Calculation-sheet'!Q47</f>
        <v>4331.8428669678933</v>
      </c>
      <c r="R56" s="2">
        <f>R12/'Output-Calculation-sheet'!R11*'Output-Calculation-sheet'!R47</f>
        <v>6311.7501154395977</v>
      </c>
      <c r="S56" s="2">
        <f>S12/'Output-Calculation-sheet'!S11*'Output-Calculation-sheet'!S47</f>
        <v>8359.9958482408492</v>
      </c>
      <c r="T56" s="2">
        <f>T12/'Output-Calculation-sheet'!T11*'Output-Calculation-sheet'!T47</f>
        <v>2210.822504099277</v>
      </c>
      <c r="U56" s="2">
        <f>U12/'Output-Calculation-sheet'!U11*'Output-Calculation-sheet'!U47</f>
        <v>2115.6512861691635</v>
      </c>
      <c r="V56" s="2">
        <f>V12/'Output-Calculation-sheet'!V11*'Output-Calculation-sheet'!V47</f>
        <v>1476.558529584494</v>
      </c>
      <c r="W56" s="2">
        <f>W12/'Output-Calculation-sheet'!W11*'Output-Calculation-sheet'!W47</f>
        <v>840.36269905090558</v>
      </c>
      <c r="X56" s="2">
        <f>X12/'Output-Calculation-sheet'!X11*'Output-Calculation-sheet'!X47</f>
        <v>2225.93227734216</v>
      </c>
      <c r="Y56" s="2">
        <f>Y12/'Output-Calculation-sheet'!Y11*'Output-Calculation-sheet'!Y47</f>
        <v>1139.4864994157217</v>
      </c>
      <c r="AA56" s="2">
        <f t="shared" si="3"/>
        <v>389.72694210683386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8.2064322225762325</v>
      </c>
      <c r="C63" s="2">
        <f>C8*'Output-Calculation-sheet'!C52/10^9</f>
        <v>4.1596498958809178</v>
      </c>
      <c r="D63" s="2">
        <f>D8*'Output-Calculation-sheet'!D52/10^9</f>
        <v>1.4531510201689619</v>
      </c>
      <c r="E63" s="2">
        <f>E8*'Output-Calculation-sheet'!E52/10^9</f>
        <v>1.8710607852341359</v>
      </c>
      <c r="F63" s="2">
        <f>F8*'Output-Calculation-sheet'!F52/10^9</f>
        <v>0.77827207704600132</v>
      </c>
      <c r="G63" s="2">
        <f>G8*'Output-Calculation-sheet'!G52/10^9</f>
        <v>0.55842873025301731</v>
      </c>
      <c r="H63" s="2">
        <f>H8*'Output-Calculation-sheet'!H52/10^9</f>
        <v>1.0787202593417997</v>
      </c>
      <c r="I63" s="2">
        <f>I8*'Output-Calculation-sheet'!I52/10^9</f>
        <v>0.50059562215973996</v>
      </c>
      <c r="J63" s="2">
        <f>J8*'Output-Calculation-sheet'!J52/10^9</f>
        <v>0.53815985816107303</v>
      </c>
      <c r="K63" s="2">
        <f>K8*'Output-Calculation-sheet'!K52/10^9</f>
        <v>0.54955492581250664</v>
      </c>
      <c r="L63" s="2">
        <f>L8*'Output-Calculation-sheet'!L52/10^9</f>
        <v>0.57154306340059091</v>
      </c>
      <c r="M63" s="2">
        <f>M8*'Output-Calculation-sheet'!M52/10^9</f>
        <v>0.81568637835594993</v>
      </c>
      <c r="N63" s="2">
        <f>N8*'Output-Calculation-sheet'!N52/10^9</f>
        <v>0.6891607906694317</v>
      </c>
      <c r="O63" s="2">
        <f>O8*'Output-Calculation-sheet'!O52/10^9</f>
        <v>0.7139275021429673</v>
      </c>
      <c r="P63" s="2">
        <f>P8*'Output-Calculation-sheet'!P52/10^9</f>
        <v>0.59168405545774416</v>
      </c>
      <c r="Q63" s="2">
        <f>Q8*'Output-Calculation-sheet'!Q52/10^9</f>
        <v>0.55972842692332148</v>
      </c>
      <c r="R63" s="2">
        <f>R8*'Output-Calculation-sheet'!R52/10^9</f>
        <v>0.47153847013777284</v>
      </c>
      <c r="S63" s="2">
        <f>S8*'Output-Calculation-sheet'!S52/10^9</f>
        <v>0.43355027714052713</v>
      </c>
      <c r="T63" s="2">
        <f>T8*'Output-Calculation-sheet'!T52/10^9</f>
        <v>0.15440815933117435</v>
      </c>
      <c r="U63" s="2">
        <f>U8*'Output-Calculation-sheet'!U52/10^9</f>
        <v>0.15146362959739068</v>
      </c>
      <c r="V63" s="2">
        <f>V8*'Output-Calculation-sheet'!V52/10^9</f>
        <v>0.1357517402471872</v>
      </c>
      <c r="W63" s="2">
        <f>W8*'Output-Calculation-sheet'!W52/10^9</f>
        <v>7.086466242368504E-2</v>
      </c>
      <c r="X63" s="2">
        <f>X8*'Output-Calculation-sheet'!X52/10^9</f>
        <v>0.1145188189202191</v>
      </c>
      <c r="Y63" s="2">
        <f>Y8*'Output-Calculation-sheet'!Y52/10^9</f>
        <v>5.90665127084221E-2</v>
      </c>
      <c r="AA63" s="2">
        <f t="shared" si="4"/>
        <v>25.226917884090774</v>
      </c>
    </row>
    <row r="64" spans="1:27" x14ac:dyDescent="0.25">
      <c r="A64" s="2">
        <v>2032</v>
      </c>
      <c r="B64" s="2">
        <f>B9*'Output-Calculation-sheet'!B53/10^9</f>
        <v>9.1534940062982013</v>
      </c>
      <c r="C64" s="2">
        <f>C9*'Output-Calculation-sheet'!C53/10^9</f>
        <v>4.6355426311959365</v>
      </c>
      <c r="D64" s="2">
        <f>D9*'Output-Calculation-sheet'!D53/10^9</f>
        <v>1.6237650879377818</v>
      </c>
      <c r="E64" s="2">
        <f>E9*'Output-Calculation-sheet'!E53/10^9</f>
        <v>2.0910133172650069</v>
      </c>
      <c r="F64" s="2">
        <f>F9*'Output-Calculation-sheet'!F53/10^9</f>
        <v>0.86900688274668136</v>
      </c>
      <c r="G64" s="2">
        <f>G9*'Output-Calculation-sheet'!G53/10^9</f>
        <v>0.6238600493454447</v>
      </c>
      <c r="H64" s="2">
        <f>H9*'Output-Calculation-sheet'!H53/10^9</f>
        <v>1.2006537033041265</v>
      </c>
      <c r="I64" s="2">
        <f>I9*'Output-Calculation-sheet'!I53/10^9</f>
        <v>0.55931561498724691</v>
      </c>
      <c r="J64" s="2">
        <f>J9*'Output-Calculation-sheet'!J53/10^9</f>
        <v>0.60109974621143936</v>
      </c>
      <c r="K64" s="2">
        <f>K9*'Output-Calculation-sheet'!K53/10^9</f>
        <v>0.61419403898414615</v>
      </c>
      <c r="L64" s="2">
        <f>L9*'Output-Calculation-sheet'!L53/10^9</f>
        <v>0.63857151495573872</v>
      </c>
      <c r="M64" s="2">
        <f>M9*'Output-Calculation-sheet'!M53/10^9</f>
        <v>0.90810817622791251</v>
      </c>
      <c r="N64" s="2">
        <f>N9*'Output-Calculation-sheet'!N53/10^9</f>
        <v>0.76809192607346766</v>
      </c>
      <c r="O64" s="2">
        <f>O9*'Output-Calculation-sheet'!O53/10^9</f>
        <v>0.79585572705518903</v>
      </c>
      <c r="P64" s="2">
        <f>P9*'Output-Calculation-sheet'!P53/10^9</f>
        <v>0.66166513056565246</v>
      </c>
      <c r="Q64" s="2">
        <f>Q9*'Output-Calculation-sheet'!Q53/10^9</f>
        <v>0.62583510802106568</v>
      </c>
      <c r="R64" s="2">
        <f>R9*'Output-Calculation-sheet'!R53/10^9</f>
        <v>0.52638020764035953</v>
      </c>
      <c r="S64" s="2">
        <f>S9*'Output-Calculation-sheet'!S53/10^9</f>
        <v>0.48364000743311392</v>
      </c>
      <c r="T64" s="2">
        <f>T9*'Output-Calculation-sheet'!T53/10^9</f>
        <v>0.17198849727670615</v>
      </c>
      <c r="U64" s="2">
        <f>U9*'Output-Calculation-sheet'!U53/10^9</f>
        <v>0.16931460487038258</v>
      </c>
      <c r="V64" s="2">
        <f>V9*'Output-Calculation-sheet'!V53/10^9</f>
        <v>0.15070770267241204</v>
      </c>
      <c r="W64" s="2">
        <f>W9*'Output-Calculation-sheet'!W53/10^9</f>
        <v>7.9136845911536038E-2</v>
      </c>
      <c r="X64" s="2">
        <f>X9*'Output-Calculation-sheet'!X53/10^9</f>
        <v>0.12758496310183748</v>
      </c>
      <c r="Y64" s="2">
        <f>Y9*'Output-Calculation-sheet'!Y53/10^9</f>
        <v>6.6030388790910347E-2</v>
      </c>
      <c r="AA64" s="2">
        <f t="shared" si="4"/>
        <v>28.144855878872299</v>
      </c>
    </row>
    <row r="65" spans="1:27" x14ac:dyDescent="0.25">
      <c r="A65" s="2">
        <v>2033</v>
      </c>
      <c r="B65" s="2">
        <f>B10*'Output-Calculation-sheet'!B54/10^9</f>
        <v>9.8119481338382606</v>
      </c>
      <c r="C65" s="2">
        <f>C10*'Output-Calculation-sheet'!C54/10^9</f>
        <v>6.4486501944880308</v>
      </c>
      <c r="D65" s="2">
        <f>D10*'Output-Calculation-sheet'!D54/10^9</f>
        <v>1.7489426286240497</v>
      </c>
      <c r="E65" s="2">
        <f>E10*'Output-Calculation-sheet'!E54/10^9</f>
        <v>2.2273131441565823</v>
      </c>
      <c r="F65" s="2">
        <f>F10*'Output-Calculation-sheet'!F54/10^9</f>
        <v>0.95709567647763161</v>
      </c>
      <c r="G65" s="2">
        <f>G10*'Output-Calculation-sheet'!G54/10^9</f>
        <v>0.68140487920817816</v>
      </c>
      <c r="H65" s="2">
        <f>H10*'Output-Calculation-sheet'!H54/10^9</f>
        <v>1.6011133886670432</v>
      </c>
      <c r="I65" s="2">
        <f>I10*'Output-Calculation-sheet'!I54/10^9</f>
        <v>0.59744969272802484</v>
      </c>
      <c r="J65" s="2">
        <f>J10*'Output-Calculation-sheet'!J54/10^9</f>
        <v>0.70687784268576537</v>
      </c>
      <c r="K65" s="2">
        <f>K10*'Output-Calculation-sheet'!K54/10^9</f>
        <v>0.66145839797550066</v>
      </c>
      <c r="L65" s="2">
        <f>L10*'Output-Calculation-sheet'!L54/10^9</f>
        <v>0.68218288194446008</v>
      </c>
      <c r="M65" s="2">
        <f>M10*'Output-Calculation-sheet'!M54/10^9</f>
        <v>1.1384916161410483</v>
      </c>
      <c r="N65" s="2">
        <f>N10*'Output-Calculation-sheet'!N54/10^9</f>
        <v>0.97011210992987351</v>
      </c>
      <c r="O65" s="2">
        <f>O10*'Output-Calculation-sheet'!O54/10^9</f>
        <v>1.1287847848593402</v>
      </c>
      <c r="P65" s="2">
        <f>P10*'Output-Calculation-sheet'!P54/10^9</f>
        <v>0.71562510604649243</v>
      </c>
      <c r="Q65" s="2">
        <f>Q10*'Output-Calculation-sheet'!Q54/10^9</f>
        <v>0.70617538149113424</v>
      </c>
      <c r="R65" s="2">
        <f>R10*'Output-Calculation-sheet'!R54/10^9</f>
        <v>0.55982618833698772</v>
      </c>
      <c r="S65" s="2">
        <f>S10*'Output-Calculation-sheet'!S54/10^9</f>
        <v>0.56187251351507039</v>
      </c>
      <c r="T65" s="2">
        <f>T10*'Output-Calculation-sheet'!T54/10^9</f>
        <v>0.18957838633730817</v>
      </c>
      <c r="U65" s="2">
        <f>U10*'Output-Calculation-sheet'!U54/10^9</f>
        <v>0.18207752744415573</v>
      </c>
      <c r="V65" s="2">
        <f>V10*'Output-Calculation-sheet'!V54/10^9</f>
        <v>0.21452947451496077</v>
      </c>
      <c r="W65" s="2">
        <f>W10*'Output-Calculation-sheet'!W54/10^9</f>
        <v>9.1685677458353848E-2</v>
      </c>
      <c r="X65" s="2">
        <f>X10*'Output-Calculation-sheet'!X54/10^9</f>
        <v>0.14738143406016715</v>
      </c>
      <c r="Y65" s="2">
        <f>Y10*'Output-Calculation-sheet'!Y54/10^9</f>
        <v>7.1124652940957364E-2</v>
      </c>
      <c r="AA65" s="2">
        <f t="shared" si="4"/>
        <v>32.801701713869377</v>
      </c>
    </row>
    <row r="66" spans="1:27" x14ac:dyDescent="0.25">
      <c r="A66" s="2">
        <v>2034</v>
      </c>
      <c r="B66" s="2">
        <f>B11*'Output-Calculation-sheet'!B55/10^9</f>
        <v>10.446032426087612</v>
      </c>
      <c r="C66" s="2">
        <f>C11*'Output-Calculation-sheet'!C55/10^9</f>
        <v>6.94242769488097</v>
      </c>
      <c r="D66" s="2">
        <f>D11*'Output-Calculation-sheet'!D55/10^9</f>
        <v>1.8898606693176101</v>
      </c>
      <c r="E66" s="2">
        <f>E11*'Output-Calculation-sheet'!E55/10^9</f>
        <v>2.4476714419524312</v>
      </c>
      <c r="F66" s="2">
        <f>F11*'Output-Calculation-sheet'!F55/10^9</f>
        <v>0.96327777047764507</v>
      </c>
      <c r="G66" s="2">
        <f>G11*'Output-Calculation-sheet'!G55/10^9</f>
        <v>0.70274998840125014</v>
      </c>
      <c r="H66" s="2">
        <f>H11*'Output-Calculation-sheet'!H55/10^9</f>
        <v>1.7537716782857773</v>
      </c>
      <c r="I66" s="2">
        <f>I11*'Output-Calculation-sheet'!I55/10^9</f>
        <v>0.65328712308328429</v>
      </c>
      <c r="J66" s="2">
        <f>J11*'Output-Calculation-sheet'!J55/10^9</f>
        <v>0.65776748865733392</v>
      </c>
      <c r="K66" s="2">
        <f>K11*'Output-Calculation-sheet'!K55/10^9</f>
        <v>0.74892740707189476</v>
      </c>
      <c r="L66" s="2">
        <f>L11*'Output-Calculation-sheet'!L55/10^9</f>
        <v>0.726075709853227</v>
      </c>
      <c r="M66" s="2">
        <f>M11*'Output-Calculation-sheet'!M55/10^9</f>
        <v>1.2325716356589509</v>
      </c>
      <c r="N66" s="2">
        <f>N11*'Output-Calculation-sheet'!N55/10^9</f>
        <v>1.0714981958483492</v>
      </c>
      <c r="O66" s="2">
        <f>O11*'Output-Calculation-sheet'!O55/10^9</f>
        <v>1.2216531953149135</v>
      </c>
      <c r="P66" s="2">
        <f>P11*'Output-Calculation-sheet'!P55/10^9</f>
        <v>0.78337269548369726</v>
      </c>
      <c r="Q66" s="2">
        <f>Q11*'Output-Calculation-sheet'!Q55/10^9</f>
        <v>0.80578043872371574</v>
      </c>
      <c r="R66" s="2">
        <f>R11*'Output-Calculation-sheet'!R55/10^9</f>
        <v>0.59618196779991184</v>
      </c>
      <c r="S66" s="2">
        <f>S11*'Output-Calculation-sheet'!S55/10^9</f>
        <v>0.61887359850042667</v>
      </c>
      <c r="T66" s="2">
        <f>T11*'Output-Calculation-sheet'!T55/10^9</f>
        <v>0.18679573594810434</v>
      </c>
      <c r="U66" s="2">
        <f>U11*'Output-Calculation-sheet'!U55/10^9</f>
        <v>0.20330249340695103</v>
      </c>
      <c r="V66" s="2">
        <f>V11*'Output-Calculation-sheet'!V55/10^9</f>
        <v>0.17653923178377734</v>
      </c>
      <c r="W66" s="2">
        <f>W11*'Output-Calculation-sheet'!W55/10^9</f>
        <v>8.6487251221967626E-2</v>
      </c>
      <c r="X66" s="2">
        <f>X11*'Output-Calculation-sheet'!X55/10^9</f>
        <v>0.16161720655478909</v>
      </c>
      <c r="Y66" s="2">
        <f>Y11*'Output-Calculation-sheet'!Y55/10^9</f>
        <v>8.2984006226178159E-2</v>
      </c>
      <c r="AA66" s="2">
        <f t="shared" si="4"/>
        <v>35.159507050540768</v>
      </c>
    </row>
    <row r="67" spans="1:27" x14ac:dyDescent="0.25">
      <c r="A67" s="2">
        <v>2035</v>
      </c>
      <c r="B67" s="2">
        <f>B12*'Output-Calculation-sheet'!B56/10^9</f>
        <v>11.460596931081293</v>
      </c>
      <c r="C67" s="2">
        <f>C12*'Output-Calculation-sheet'!C56/10^9</f>
        <v>7.2422423285314466</v>
      </c>
      <c r="D67" s="2">
        <f>D12*'Output-Calculation-sheet'!D56/10^9</f>
        <v>2.2732051174507175</v>
      </c>
      <c r="E67" s="2">
        <f>E12*'Output-Calculation-sheet'!E56/10^9</f>
        <v>3.1087347155192755</v>
      </c>
      <c r="F67" s="2">
        <f>F12*'Output-Calculation-sheet'!F56/10^9</f>
        <v>1.2184173854095577</v>
      </c>
      <c r="G67" s="2">
        <f>G12*'Output-Calculation-sheet'!G56/10^9</f>
        <v>0.8989833088910153</v>
      </c>
      <c r="H67" s="2">
        <f>H12*'Output-Calculation-sheet'!H56/10^9</f>
        <v>1.9116032158677951</v>
      </c>
      <c r="I67" s="2">
        <f>I12*'Output-Calculation-sheet'!I56/10^9</f>
        <v>0.82369018045466169</v>
      </c>
      <c r="J67" s="2">
        <f>J12*'Output-Calculation-sheet'!J56/10^9</f>
        <v>0.75353638251757726</v>
      </c>
      <c r="K67" s="2">
        <f>K12*'Output-Calculation-sheet'!K56/10^9</f>
        <v>0.90283093357756605</v>
      </c>
      <c r="L67" s="2">
        <f>L12*'Output-Calculation-sheet'!L56/10^9</f>
        <v>0.8417092028271167</v>
      </c>
      <c r="M67" s="2">
        <f>M12*'Output-Calculation-sheet'!M56/10^9</f>
        <v>1.3525528565182803</v>
      </c>
      <c r="N67" s="2">
        <f>N12*'Output-Calculation-sheet'!N56/10^9</f>
        <v>1.1552055278754307</v>
      </c>
      <c r="O67" s="2">
        <f>O12*'Output-Calculation-sheet'!O56/10^9</f>
        <v>1.2777053751499723</v>
      </c>
      <c r="P67" s="2">
        <f>P12*'Output-Calculation-sheet'!P56/10^9</f>
        <v>0.9374756984658188</v>
      </c>
      <c r="Q67" s="2">
        <f>Q12*'Output-Calculation-sheet'!Q56/10^9</f>
        <v>0.88558664884328941</v>
      </c>
      <c r="R67" s="2">
        <f>R12*'Output-Calculation-sheet'!R56/10^9</f>
        <v>0.69539825570244451</v>
      </c>
      <c r="S67" s="2">
        <f>S12*'Output-Calculation-sheet'!S56/10^9</f>
        <v>0.67129576516597533</v>
      </c>
      <c r="T67" s="2">
        <f>T12*'Output-Calculation-sheet'!T56/10^9</f>
        <v>0.21624079388481321</v>
      </c>
      <c r="U67" s="2">
        <f>U12*'Output-Calculation-sheet'!U56/10^9</f>
        <v>0.23378721457646048</v>
      </c>
      <c r="V67" s="2">
        <f>V12*'Output-Calculation-sheet'!V56/10^9</f>
        <v>0.16689546399320943</v>
      </c>
      <c r="W67" s="2">
        <f>W12*'Output-Calculation-sheet'!W56/10^9</f>
        <v>0.11317408248898057</v>
      </c>
      <c r="X67" s="2">
        <f>X12*'Output-Calculation-sheet'!X56/10^9</f>
        <v>0.17568714282827916</v>
      </c>
      <c r="Y67" s="2">
        <f>Y12*'Output-Calculation-sheet'!Y56/10^9</f>
        <v>0.1056029130692239</v>
      </c>
      <c r="AA67" s="2">
        <f t="shared" si="4"/>
        <v>39.422157440690192</v>
      </c>
    </row>
    <row r="68" spans="1:27" x14ac:dyDescent="0.25">
      <c r="B68" s="2">
        <f>SUM(B60:B67)</f>
        <v>65.532307207631945</v>
      </c>
      <c r="C68" s="2">
        <f t="shared" ref="C68:Y68" si="5">SUM(C60:C67)</f>
        <v>37.75574975065787</v>
      </c>
      <c r="D68" s="2">
        <f t="shared" si="5"/>
        <v>11.898922577752828</v>
      </c>
      <c r="E68" s="2">
        <f t="shared" si="5"/>
        <v>15.491300110780232</v>
      </c>
      <c r="F68" s="2">
        <f t="shared" si="5"/>
        <v>6.3475741077655048</v>
      </c>
      <c r="G68" s="2">
        <f t="shared" si="5"/>
        <v>4.5833947037644052</v>
      </c>
      <c r="H68" s="2">
        <f t="shared" si="5"/>
        <v>9.7106822102410018</v>
      </c>
      <c r="I68" s="2">
        <f t="shared" si="5"/>
        <v>4.1370295366886474</v>
      </c>
      <c r="J68" s="2">
        <f t="shared" si="5"/>
        <v>4.3357302368848138</v>
      </c>
      <c r="K68" s="2">
        <f t="shared" si="5"/>
        <v>4.5768805520679212</v>
      </c>
      <c r="L68" s="2">
        <f t="shared" si="5"/>
        <v>4.6049868669817462</v>
      </c>
      <c r="M68" s="2">
        <f t="shared" si="5"/>
        <v>7.0836296689889933</v>
      </c>
      <c r="N68" s="2">
        <f t="shared" si="5"/>
        <v>6.0348645593832702</v>
      </c>
      <c r="O68" s="2">
        <f t="shared" si="5"/>
        <v>6.5629387339971652</v>
      </c>
      <c r="P68" s="2">
        <f t="shared" si="5"/>
        <v>4.8721704815056457</v>
      </c>
      <c r="Q68" s="2">
        <f t="shared" si="5"/>
        <v>4.7020805067914804</v>
      </c>
      <c r="R68" s="2">
        <f t="shared" si="5"/>
        <v>3.7942842804390495</v>
      </c>
      <c r="S68" s="2">
        <f t="shared" si="5"/>
        <v>3.6372498347140727</v>
      </c>
      <c r="T68" s="2">
        <f t="shared" si="5"/>
        <v>1.2309018185707268</v>
      </c>
      <c r="U68" s="2">
        <f t="shared" si="5"/>
        <v>1.2426333867493786</v>
      </c>
      <c r="V68" s="2">
        <f t="shared" si="5"/>
        <v>1.1225647242707086</v>
      </c>
      <c r="W68" s="2">
        <f t="shared" si="5"/>
        <v>0.58348629983046674</v>
      </c>
      <c r="X68" s="2">
        <f t="shared" si="5"/>
        <v>0.9562236611447793</v>
      </c>
      <c r="Y68" s="2">
        <f t="shared" si="5"/>
        <v>0.50295339765324498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62.268955431097446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55.42874748579343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219.92870368932213</v>
      </c>
      <c r="S74" s="2">
        <f>S8/'Output-Calculation-sheet'!S7*'Output-Calculation-sheet'!S61</f>
        <v>0</v>
      </c>
      <c r="T74" s="2">
        <f>T8/'Output-Calculation-sheet'!T7*'Output-Calculation-sheet'!T61</f>
        <v>162.01597822404577</v>
      </c>
      <c r="U74" s="2">
        <f>U8/'Output-Calculation-sheet'!U7*'Output-Calculation-sheet'!U61</f>
        <v>20.52364419187327</v>
      </c>
      <c r="V74" s="2">
        <f>V8/'Output-Calculation-sheet'!V7*'Output-Calculation-sheet'!V61</f>
        <v>185.97109498403367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0.70613712400616568</v>
      </c>
    </row>
    <row r="75" spans="1:27" x14ac:dyDescent="0.25">
      <c r="A75" s="2">
        <v>2032</v>
      </c>
      <c r="B75" s="2">
        <f>B9/'Output-Calculation-sheet'!B8*'Output-Calculation-sheet'!B62</f>
        <v>689.49603682075258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139.83575631585907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112.03758753356924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296.44853297478738</v>
      </c>
      <c r="S75" s="2">
        <f>S9/'Output-Calculation-sheet'!S8*'Output-Calculation-sheet'!S62</f>
        <v>0</v>
      </c>
      <c r="T75" s="2">
        <f>T9/'Output-Calculation-sheet'!T8*'Output-Calculation-sheet'!T62</f>
        <v>195.81128031752127</v>
      </c>
      <c r="U75" s="2">
        <f>U9/'Output-Calculation-sheet'!U8*'Output-Calculation-sheet'!U62</f>
        <v>40.026371939627495</v>
      </c>
      <c r="V75" s="2">
        <f>V9/'Output-Calculation-sheet'!V8*'Output-Calculation-sheet'!V62</f>
        <v>209.75634422901237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1.6834119101311293</v>
      </c>
    </row>
    <row r="76" spans="1:27" x14ac:dyDescent="0.25">
      <c r="A76" s="2">
        <v>2033</v>
      </c>
      <c r="B76" s="2">
        <f>B10/'Output-Calculation-sheet'!B9*'Output-Calculation-sheet'!B63</f>
        <v>6974.0587204170743</v>
      </c>
      <c r="C76" s="2">
        <f>C10/'Output-Calculation-sheet'!C9*'Output-Calculation-sheet'!C63</f>
        <v>14244.215884629768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4541.5663509124242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3092.3460524826619</v>
      </c>
      <c r="N76" s="2">
        <f>N10/'Output-Calculation-sheet'!N9*'Output-Calculation-sheet'!N63</f>
        <v>1766.4849871212971</v>
      </c>
      <c r="O76" s="2">
        <f>O10/'Output-Calculation-sheet'!O9*'Output-Calculation-sheet'!O63</f>
        <v>0</v>
      </c>
      <c r="P76" s="2">
        <f>P10/'Output-Calculation-sheet'!P9*'Output-Calculation-sheet'!P63</f>
        <v>613.41371914659908</v>
      </c>
      <c r="Q76" s="2">
        <f>Q10/'Output-Calculation-sheet'!Q9*'Output-Calculation-sheet'!Q63</f>
        <v>276.67423865058964</v>
      </c>
      <c r="R76" s="2">
        <f>R10/'Output-Calculation-sheet'!R9*'Output-Calculation-sheet'!R63</f>
        <v>467.51932617090495</v>
      </c>
      <c r="S76" s="2">
        <f>S10/'Output-Calculation-sheet'!S9*'Output-Calculation-sheet'!S63</f>
        <v>785.51464418170428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165.20519664830564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364.14572096711214</v>
      </c>
      <c r="Y76" s="2">
        <f>Y10/'Output-Calculation-sheet'!Y9*'Output-Calculation-sheet'!Y63</f>
        <v>6.9083112091330845</v>
      </c>
      <c r="AA76" s="2">
        <f t="shared" si="6"/>
        <v>33.461562573304747</v>
      </c>
    </row>
    <row r="77" spans="1:27" x14ac:dyDescent="0.25">
      <c r="A77" s="2">
        <v>2034</v>
      </c>
      <c r="B77" s="2">
        <f>B11/'Output-Calculation-sheet'!B10*'Output-Calculation-sheet'!B64</f>
        <v>17406.166233597723</v>
      </c>
      <c r="C77" s="2">
        <f>C11/'Output-Calculation-sheet'!C10*'Output-Calculation-sheet'!C64</f>
        <v>15290.622821268629</v>
      </c>
      <c r="D77" s="2">
        <f>D11/'Output-Calculation-sheet'!D10*'Output-Calculation-sheet'!D64</f>
        <v>2145.3932235077314</v>
      </c>
      <c r="E77" s="2">
        <f>E11/'Output-Calculation-sheet'!E10*'Output-Calculation-sheet'!E64</f>
        <v>2650.9606911706724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1132.7734023264893</v>
      </c>
      <c r="H77" s="2">
        <f>H11/'Output-Calculation-sheet'!H10*'Output-Calculation-sheet'!H64</f>
        <v>5612.3017405779383</v>
      </c>
      <c r="I77" s="2">
        <f>I11/'Output-Calculation-sheet'!I10*'Output-Calculation-sheet'!I64</f>
        <v>668.26956545085432</v>
      </c>
      <c r="J77" s="2">
        <f>J11/'Output-Calculation-sheet'!J10*'Output-Calculation-sheet'!J64</f>
        <v>476.37350515662581</v>
      </c>
      <c r="K77" s="2">
        <f>K11/'Output-Calculation-sheet'!K10*'Output-Calculation-sheet'!K64</f>
        <v>1010.0177790800735</v>
      </c>
      <c r="L77" s="2">
        <f>L11/'Output-Calculation-sheet'!L10*'Output-Calculation-sheet'!L64</f>
        <v>438.54591839889093</v>
      </c>
      <c r="M77" s="2">
        <f>M11/'Output-Calculation-sheet'!M10*'Output-Calculation-sheet'!M64</f>
        <v>3991.7544335549919</v>
      </c>
      <c r="N77" s="2">
        <f>N11/'Output-Calculation-sheet'!N10*'Output-Calculation-sheet'!N64</f>
        <v>2840.035244686052</v>
      </c>
      <c r="O77" s="2">
        <f>O11/'Output-Calculation-sheet'!O10*'Output-Calculation-sheet'!O64</f>
        <v>99.019413588832705</v>
      </c>
      <c r="P77" s="2">
        <f>P11/'Output-Calculation-sheet'!P10*'Output-Calculation-sheet'!P64</f>
        <v>1253.4862738066324</v>
      </c>
      <c r="Q77" s="2">
        <f>Q11/'Output-Calculation-sheet'!Q10*'Output-Calculation-sheet'!Q64</f>
        <v>715.26575421950599</v>
      </c>
      <c r="R77" s="2">
        <f>R11/'Output-Calculation-sheet'!R10*'Output-Calculation-sheet'!R64</f>
        <v>1072.6567635253587</v>
      </c>
      <c r="S77" s="2">
        <f>S11/'Output-Calculation-sheet'!S10*'Output-Calculation-sheet'!S64</f>
        <v>1434.2022514467471</v>
      </c>
      <c r="T77" s="2">
        <f>T11/'Output-Calculation-sheet'!T10*'Output-Calculation-sheet'!T64</f>
        <v>295.1042044363524</v>
      </c>
      <c r="U77" s="2">
        <f>U11/'Output-Calculation-sheet'!U10*'Output-Calculation-sheet'!U64</f>
        <v>392.22793847544813</v>
      </c>
      <c r="V77" s="2">
        <f>V11/'Output-Calculation-sheet'!V10*'Output-Calculation-sheet'!V64</f>
        <v>156.35396334152171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405.60462384741487</v>
      </c>
      <c r="Y77" s="2">
        <f>Y11/'Output-Calculation-sheet'!Y10*'Output-Calculation-sheet'!Y64</f>
        <v>98.207635281488166</v>
      </c>
      <c r="AA77" s="2">
        <f t="shared" si="6"/>
        <v>59.783439506904209</v>
      </c>
    </row>
    <row r="78" spans="1:27" x14ac:dyDescent="0.25">
      <c r="A78" s="2">
        <v>2035</v>
      </c>
      <c r="B78" s="2">
        <f>B12/'Output-Calculation-sheet'!B11*'Output-Calculation-sheet'!B65</f>
        <v>22179.441322694853</v>
      </c>
      <c r="C78" s="2">
        <f>C12/'Output-Calculation-sheet'!C11*'Output-Calculation-sheet'!C65</f>
        <v>15662.651034760378</v>
      </c>
      <c r="D78" s="2">
        <f>D12/'Output-Calculation-sheet'!D11*'Output-Calculation-sheet'!D65</f>
        <v>2354.7025942683458</v>
      </c>
      <c r="E78" s="2">
        <f>E12/'Output-Calculation-sheet'!E11*'Output-Calculation-sheet'!E65</f>
        <v>4476.2270334259529</v>
      </c>
      <c r="F78" s="2">
        <f>F12/'Output-Calculation-sheet'!F11*'Output-Calculation-sheet'!F65</f>
        <v>948.14538373304811</v>
      </c>
      <c r="G78" s="2">
        <f>G12/'Output-Calculation-sheet'!G11*'Output-Calculation-sheet'!G65</f>
        <v>1779.082028586369</v>
      </c>
      <c r="H78" s="2">
        <f>H12/'Output-Calculation-sheet'!H11*'Output-Calculation-sheet'!H65</f>
        <v>5727.9423925842921</v>
      </c>
      <c r="I78" s="2">
        <f>I12/'Output-Calculation-sheet'!I11*'Output-Calculation-sheet'!I65</f>
        <v>1046.1565116896982</v>
      </c>
      <c r="J78" s="2">
        <f>J12/'Output-Calculation-sheet'!J11*'Output-Calculation-sheet'!J65</f>
        <v>938.22628999472693</v>
      </c>
      <c r="K78" s="2">
        <f>K12/'Output-Calculation-sheet'!K11*'Output-Calculation-sheet'!K65</f>
        <v>1183.9961438406419</v>
      </c>
      <c r="L78" s="2">
        <f>L12/'Output-Calculation-sheet'!L11*'Output-Calculation-sheet'!L65</f>
        <v>703.9886363471046</v>
      </c>
      <c r="M78" s="2">
        <f>M12/'Output-Calculation-sheet'!M11*'Output-Calculation-sheet'!M65</f>
        <v>4077.3208659153547</v>
      </c>
      <c r="N78" s="2">
        <f>N12/'Output-Calculation-sheet'!N11*'Output-Calculation-sheet'!N65</f>
        <v>2867.0150110301165</v>
      </c>
      <c r="O78" s="2">
        <f>O12/'Output-Calculation-sheet'!O11*'Output-Calculation-sheet'!O65</f>
        <v>401.91845257415821</v>
      </c>
      <c r="P78" s="2">
        <f>P12/'Output-Calculation-sheet'!P11*'Output-Calculation-sheet'!P65</f>
        <v>1629.8677586148747</v>
      </c>
      <c r="Q78" s="2">
        <f>Q12/'Output-Calculation-sheet'!Q11*'Output-Calculation-sheet'!Q65</f>
        <v>819.8073126335438</v>
      </c>
      <c r="R78" s="2">
        <f>R12/'Output-Calculation-sheet'!R11*'Output-Calculation-sheet'!R65</f>
        <v>1351.2905019009202</v>
      </c>
      <c r="S78" s="2">
        <f>S12/'Output-Calculation-sheet'!S11*'Output-Calculation-sheet'!S65</f>
        <v>1524.4642429172829</v>
      </c>
      <c r="T78" s="2">
        <f>T12/'Output-Calculation-sheet'!T11*'Output-Calculation-sheet'!T65</f>
        <v>485.89261661378691</v>
      </c>
      <c r="U78" s="2">
        <f>U12/'Output-Calculation-sheet'!U11*'Output-Calculation-sheet'!U65</f>
        <v>416.32002207178454</v>
      </c>
      <c r="V78" s="2">
        <f>V12/'Output-Calculation-sheet'!V11*'Output-Calculation-sheet'!V65</f>
        <v>262.22607789713658</v>
      </c>
      <c r="W78" s="2">
        <f>W12/'Output-Calculation-sheet'!W11*'Output-Calculation-sheet'!W65</f>
        <v>184.69419221349472</v>
      </c>
      <c r="X78" s="2">
        <f>X12/'Output-Calculation-sheet'!X11*'Output-Calculation-sheet'!X65</f>
        <v>420.23874911351129</v>
      </c>
      <c r="Y78" s="2">
        <f>Y12/'Output-Calculation-sheet'!Y11*'Output-Calculation-sheet'!Y65</f>
        <v>180.27985491408785</v>
      </c>
      <c r="AA78" s="2">
        <f t="shared" si="6"/>
        <v>71.621895030335452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514.10170298587968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499.38065191628715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1.013482354902167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1060.2014454116349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40.795377988093058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28.071212112115894</v>
      </c>
      <c r="N88" s="2">
        <f>N11/'Output-Calculation-sheet'!N10*'Output-Calculation-sheet'!N73</f>
        <v>0</v>
      </c>
      <c r="O88" s="2">
        <f>O11/'Output-Calculation-sheet'!O10*'Output-Calculation-sheet'!O73</f>
        <v>592.15977965240563</v>
      </c>
      <c r="P88" s="2">
        <f>P11/'Output-Calculation-sheet'!P10*'Output-Calculation-sheet'!P73</f>
        <v>0</v>
      </c>
      <c r="Q88" s="2">
        <f>Q11/'Output-Calculation-sheet'!Q10*'Output-Calculation-sheet'!Q73</f>
        <v>24.172549990520647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3.0794811698813693</v>
      </c>
      <c r="Y88" s="2">
        <f>Y11/'Output-Calculation-sheet'!Y10*'Output-Calculation-sheet'!Y73</f>
        <v>0</v>
      </c>
      <c r="AA88" s="2">
        <f t="shared" si="7"/>
        <v>1.7484798463246516</v>
      </c>
    </row>
    <row r="89" spans="1:27" x14ac:dyDescent="0.25">
      <c r="A89" s="2">
        <v>2035</v>
      </c>
      <c r="B89" s="2">
        <f>B12/'Output-Calculation-sheet'!B11*'Output-Calculation-sheet'!B74</f>
        <v>559.08450310541332</v>
      </c>
      <c r="C89" s="2">
        <f>C12/'Output-Calculation-sheet'!C11*'Output-Calculation-sheet'!C74</f>
        <v>1724.8008356717428</v>
      </c>
      <c r="D89" s="2">
        <f>D12/'Output-Calculation-sheet'!D11*'Output-Calculation-sheet'!D74</f>
        <v>235.0589063407383</v>
      </c>
      <c r="E89" s="2">
        <f>E12/'Output-Calculation-sheet'!E11*'Output-Calculation-sheet'!E74</f>
        <v>186.80913270980335</v>
      </c>
      <c r="F89" s="2">
        <f>F12/'Output-Calculation-sheet'!F11*'Output-Calculation-sheet'!F74</f>
        <v>58.745067145789847</v>
      </c>
      <c r="G89" s="2">
        <f>G12/'Output-Calculation-sheet'!G11*'Output-Calculation-sheet'!G74</f>
        <v>84.320680060020337</v>
      </c>
      <c r="H89" s="2">
        <f>H12/'Output-Calculation-sheet'!H11*'Output-Calculation-sheet'!H74</f>
        <v>204.21054406486786</v>
      </c>
      <c r="I89" s="2">
        <f>I12/'Output-Calculation-sheet'!I11*'Output-Calculation-sheet'!I74</f>
        <v>75.841417405371757</v>
      </c>
      <c r="J89" s="2">
        <f>J12/'Output-Calculation-sheet'!J11*'Output-Calculation-sheet'!J74</f>
        <v>37.529051599789078</v>
      </c>
      <c r="K89" s="2">
        <f>K12/'Output-Calculation-sheet'!K11*'Output-Calculation-sheet'!K74</f>
        <v>74.540175260680044</v>
      </c>
      <c r="L89" s="2">
        <f>L12/'Output-Calculation-sheet'!L11*'Output-Calculation-sheet'!L74</f>
        <v>59.270775529118467</v>
      </c>
      <c r="M89" s="2">
        <f>M12/'Output-Calculation-sheet'!M11*'Output-Calculation-sheet'!M74</f>
        <v>112.41346997002694</v>
      </c>
      <c r="N89" s="2">
        <f>N12/'Output-Calculation-sheet'!N11*'Output-Calculation-sheet'!N74</f>
        <v>82.863302116518128</v>
      </c>
      <c r="O89" s="2">
        <f>O12/'Output-Calculation-sheet'!O11*'Output-Calculation-sheet'!O74</f>
        <v>670.16480259912225</v>
      </c>
      <c r="P89" s="2">
        <f>P12/'Output-Calculation-sheet'!P11*'Output-Calculation-sheet'!P74</f>
        <v>51.033840329864255</v>
      </c>
      <c r="Q89" s="2">
        <f>Q12/'Output-Calculation-sheet'!Q11*'Output-Calculation-sheet'!Q74</f>
        <v>72.60071844080268</v>
      </c>
      <c r="R89" s="2">
        <f>R12/'Output-Calculation-sheet'!R11*'Output-Calculation-sheet'!R74</f>
        <v>47.998099737183253</v>
      </c>
      <c r="S89" s="2">
        <f>S12/'Output-Calculation-sheet'!S11*'Output-Calculation-sheet'!S74</f>
        <v>47.499976410459368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15.442710118023092</v>
      </c>
      <c r="V89" s="2">
        <f>V12/'Output-Calculation-sheet'!V11*'Output-Calculation-sheet'!V74</f>
        <v>5.9538650386471534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18.498052166278338</v>
      </c>
      <c r="Y89" s="2">
        <f>Y12/'Output-Calculation-sheet'!Y11*'Output-Calculation-sheet'!Y74</f>
        <v>5.9503211457740033</v>
      </c>
      <c r="AA89" s="2">
        <f t="shared" si="7"/>
        <v>4.4446646515840627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18019543451.981152</v>
      </c>
      <c r="C96" s="2">
        <f>C8/'Output-Calculation-sheet'!C7*'Output-Calculation-sheet'!C79</f>
        <v>2218014990.4344006</v>
      </c>
      <c r="D96" s="2">
        <f>D8/'Output-Calculation-sheet'!D7*'Output-Calculation-sheet'!D79</f>
        <v>7854670201.8095989</v>
      </c>
      <c r="E96" s="2">
        <f>E8/'Output-Calculation-sheet'!E7*'Output-Calculation-sheet'!E79</f>
        <v>13429711081.656912</v>
      </c>
      <c r="F96" s="2">
        <f>F8/'Output-Calculation-sheet'!F7*'Output-Calculation-sheet'!F79</f>
        <v>6043818199.2567778</v>
      </c>
      <c r="G96" s="2">
        <f>G8/'Output-Calculation-sheet'!G7*'Output-Calculation-sheet'!G79</f>
        <v>4590554407.7680054</v>
      </c>
      <c r="H96" s="2">
        <f>H8/'Output-Calculation-sheet'!H7*'Output-Calculation-sheet'!H79</f>
        <v>1335548861.8985605</v>
      </c>
      <c r="I96" s="2">
        <f>I8/'Output-Calculation-sheet'!I7*'Output-Calculation-sheet'!I79</f>
        <v>3079219415.2980561</v>
      </c>
      <c r="J96" s="2">
        <f>J8/'Output-Calculation-sheet'!J7*'Output-Calculation-sheet'!J79</f>
        <v>2281754948.6778831</v>
      </c>
      <c r="K96" s="2">
        <f>K8/'Output-Calculation-sheet'!K7*'Output-Calculation-sheet'!K79</f>
        <v>2638282347.5548501</v>
      </c>
      <c r="L96" s="2">
        <f>L8/'Output-Calculation-sheet'!L7*'Output-Calculation-sheet'!L79</f>
        <v>2098705130.890259</v>
      </c>
      <c r="M96" s="2">
        <f>M8/'Output-Calculation-sheet'!M7*'Output-Calculation-sheet'!M79</f>
        <v>1038270056.6340499</v>
      </c>
      <c r="N96" s="2">
        <f>N8/'Output-Calculation-sheet'!N7*'Output-Calculation-sheet'!N79</f>
        <v>1054466257.7580774</v>
      </c>
      <c r="O96" s="2">
        <f>O8/'Output-Calculation-sheet'!O7*'Output-Calculation-sheet'!O79</f>
        <v>257395312.20081523</v>
      </c>
      <c r="P96" s="2">
        <f>P8/'Output-Calculation-sheet'!P7*'Output-Calculation-sheet'!P79</f>
        <v>2804517740.7369623</v>
      </c>
      <c r="Q96" s="2">
        <f>Q8/'Output-Calculation-sheet'!Q7*'Output-Calculation-sheet'!Q79</f>
        <v>1243611997.3427267</v>
      </c>
      <c r="R96" s="2">
        <f>R8/'Output-Calculation-sheet'!R7*'Output-Calculation-sheet'!R79</f>
        <v>1892135425.8062682</v>
      </c>
      <c r="S96" s="2">
        <f>S8/'Output-Calculation-sheet'!S7*'Output-Calculation-sheet'!S79</f>
        <v>739582522.95984459</v>
      </c>
      <c r="T96" s="2">
        <f>T8/'Output-Calculation-sheet'!T7*'Output-Calculation-sheet'!T79</f>
        <v>1001630822.4126776</v>
      </c>
      <c r="U96" s="2">
        <f>U8/'Output-Calculation-sheet'!U7*'Output-Calculation-sheet'!U79</f>
        <v>497482117.05807525</v>
      </c>
      <c r="V96" s="2">
        <f>V8/'Output-Calculation-sheet'!V7*'Output-Calculation-sheet'!V79</f>
        <v>366579200.99649209</v>
      </c>
      <c r="W96" s="2">
        <f>W8/'Output-Calculation-sheet'!W7*'Output-Calculation-sheet'!W79</f>
        <v>976583062.46801424</v>
      </c>
      <c r="X96" s="2">
        <f>X8/'Output-Calculation-sheet'!X7*'Output-Calculation-sheet'!X79</f>
        <v>115722967.05502541</v>
      </c>
      <c r="Y96" s="2">
        <f>Y8/'Output-Calculation-sheet'!Y7*'Output-Calculation-sheet'!Y79</f>
        <v>438278482.41811204</v>
      </c>
      <c r="AA96" s="2">
        <f t="shared" si="8"/>
        <v>76.016079003073571</v>
      </c>
    </row>
    <row r="97" spans="1:27" x14ac:dyDescent="0.25">
      <c r="A97" s="2">
        <v>2032</v>
      </c>
      <c r="B97" s="2">
        <f>B9/'Output-Calculation-sheet'!B8*'Output-Calculation-sheet'!B80</f>
        <v>20507518120.78973</v>
      </c>
      <c r="C97" s="2">
        <f>C9/'Output-Calculation-sheet'!C8*'Output-Calculation-sheet'!C80</f>
        <v>2576426146.4048738</v>
      </c>
      <c r="D97" s="2">
        <f>D9/'Output-Calculation-sheet'!D8*'Output-Calculation-sheet'!D80</f>
        <v>8485448033.4900808</v>
      </c>
      <c r="E97" s="2">
        <f>E9/'Output-Calculation-sheet'!E8*'Output-Calculation-sheet'!E80</f>
        <v>14939526580.966509</v>
      </c>
      <c r="F97" s="2">
        <f>F9/'Output-Calculation-sheet'!F8*'Output-Calculation-sheet'!F80</f>
        <v>6707759441.4431343</v>
      </c>
      <c r="G97" s="2">
        <f>G9/'Output-Calculation-sheet'!G8*'Output-Calculation-sheet'!G80</f>
        <v>4964955758.3257751</v>
      </c>
      <c r="H97" s="2">
        <f>H9/'Output-Calculation-sheet'!H8*'Output-Calculation-sheet'!H80</f>
        <v>1504413684.7066958</v>
      </c>
      <c r="I97" s="2">
        <f>I9/'Output-Calculation-sheet'!I8*'Output-Calculation-sheet'!I80</f>
        <v>3448516077.6688056</v>
      </c>
      <c r="J97" s="2">
        <f>J9/'Output-Calculation-sheet'!J8*'Output-Calculation-sheet'!J80</f>
        <v>2488305885.5063629</v>
      </c>
      <c r="K97" s="2">
        <f>K9/'Output-Calculation-sheet'!K8*'Output-Calculation-sheet'!K80</f>
        <v>2896461310.3676858</v>
      </c>
      <c r="L97" s="2">
        <f>L9/'Output-Calculation-sheet'!L8*'Output-Calculation-sheet'!L80</f>
        <v>2374933276.4012566</v>
      </c>
      <c r="M97" s="2">
        <f>M9/'Output-Calculation-sheet'!M8*'Output-Calculation-sheet'!M80</f>
        <v>1169353842.1307533</v>
      </c>
      <c r="N97" s="2">
        <f>N9/'Output-Calculation-sheet'!N8*'Output-Calculation-sheet'!N80</f>
        <v>1158978164.4998045</v>
      </c>
      <c r="O97" s="2">
        <f>O9/'Output-Calculation-sheet'!O8*'Output-Calculation-sheet'!O80</f>
        <v>302471491.96570945</v>
      </c>
      <c r="P97" s="2">
        <f>P9/'Output-Calculation-sheet'!P8*'Output-Calculation-sheet'!P80</f>
        <v>3075976619.5673013</v>
      </c>
      <c r="Q97" s="2">
        <f>Q9/'Output-Calculation-sheet'!Q8*'Output-Calculation-sheet'!Q80</f>
        <v>1367753729.1002505</v>
      </c>
      <c r="R97" s="2">
        <f>R9/'Output-Calculation-sheet'!R8*'Output-Calculation-sheet'!R80</f>
        <v>2128426148.1852472</v>
      </c>
      <c r="S97" s="2">
        <f>S9/'Output-Calculation-sheet'!S8*'Output-Calculation-sheet'!S80</f>
        <v>820867116.97584832</v>
      </c>
      <c r="T97" s="2">
        <f>T9/'Output-Calculation-sheet'!T8*'Output-Calculation-sheet'!T80</f>
        <v>1097582683.5958664</v>
      </c>
      <c r="U97" s="2">
        <f>U9/'Output-Calculation-sheet'!U8*'Output-Calculation-sheet'!U80</f>
        <v>557046354.09072435</v>
      </c>
      <c r="V97" s="2">
        <f>V9/'Output-Calculation-sheet'!V8*'Output-Calculation-sheet'!V80</f>
        <v>410336845.74877346</v>
      </c>
      <c r="W97" s="2">
        <f>W9/'Output-Calculation-sheet'!W8*'Output-Calculation-sheet'!W80</f>
        <v>1073094366.9057906</v>
      </c>
      <c r="X97" s="2">
        <f>X9/'Output-Calculation-sheet'!X8*'Output-Calculation-sheet'!X80</f>
        <v>131411881.38504893</v>
      </c>
      <c r="Y97" s="2">
        <f>Y9/'Output-Calculation-sheet'!Y8*'Output-Calculation-sheet'!Y80</f>
        <v>481867951.46291006</v>
      </c>
      <c r="AA97" s="2">
        <f t="shared" si="8"/>
        <v>84.669431511684948</v>
      </c>
    </row>
    <row r="98" spans="1:27" x14ac:dyDescent="0.25">
      <c r="A98" s="2">
        <v>2033</v>
      </c>
      <c r="B98" s="2">
        <f>B10/'Output-Calculation-sheet'!B9*'Output-Calculation-sheet'!B81</f>
        <v>25410105076.459743</v>
      </c>
      <c r="C98" s="2">
        <f>C10/'Output-Calculation-sheet'!C9*'Output-Calculation-sheet'!C81</f>
        <v>8711844074.3900013</v>
      </c>
      <c r="D98" s="2">
        <f>D10/'Output-Calculation-sheet'!D9*'Output-Calculation-sheet'!D81</f>
        <v>8291022144.73141</v>
      </c>
      <c r="E98" s="2">
        <f>E10/'Output-Calculation-sheet'!E9*'Output-Calculation-sheet'!E81</f>
        <v>15595934323.082481</v>
      </c>
      <c r="F98" s="2">
        <f>F10/'Output-Calculation-sheet'!F9*'Output-Calculation-sheet'!F81</f>
        <v>6432140285.4577513</v>
      </c>
      <c r="G98" s="2">
        <f>G10/'Output-Calculation-sheet'!G9*'Output-Calculation-sheet'!G81</f>
        <v>4722674196.1017704</v>
      </c>
      <c r="H98" s="2">
        <f>H10/'Output-Calculation-sheet'!H9*'Output-Calculation-sheet'!H81</f>
        <v>4278781407.0779409</v>
      </c>
      <c r="I98" s="2">
        <f>I10/'Output-Calculation-sheet'!I9*'Output-Calculation-sheet'!I81</f>
        <v>3556930556.9569182</v>
      </c>
      <c r="J98" s="2">
        <f>J10/'Output-Calculation-sheet'!J9*'Output-Calculation-sheet'!J81</f>
        <v>2274391049.3428693</v>
      </c>
      <c r="K98" s="2">
        <f>K10/'Output-Calculation-sheet'!K9*'Output-Calculation-sheet'!K81</f>
        <v>3303643194.3498034</v>
      </c>
      <c r="L98" s="2">
        <f>L10/'Output-Calculation-sheet'!L9*'Output-Calculation-sheet'!L81</f>
        <v>2477781847.5343189</v>
      </c>
      <c r="M98" s="2">
        <f>M10/'Output-Calculation-sheet'!M9*'Output-Calculation-sheet'!M81</f>
        <v>3213185186.7575898</v>
      </c>
      <c r="N98" s="2">
        <f>N10/'Output-Calculation-sheet'!N9*'Output-Calculation-sheet'!N81</f>
        <v>2305209662.1296096</v>
      </c>
      <c r="O98" s="2">
        <f>O10/'Output-Calculation-sheet'!O9*'Output-Calculation-sheet'!O81</f>
        <v>1220738750.2029495</v>
      </c>
      <c r="P98" s="2">
        <f>P10/'Output-Calculation-sheet'!P9*'Output-Calculation-sheet'!P81</f>
        <v>3901126853.9357796</v>
      </c>
      <c r="Q98" s="2">
        <f>Q10/'Output-Calculation-sheet'!Q9*'Output-Calculation-sheet'!Q81</f>
        <v>1834210950.8572404</v>
      </c>
      <c r="R98" s="2">
        <f>R10/'Output-Calculation-sheet'!R9*'Output-Calculation-sheet'!R81</f>
        <v>2346233300.6542506</v>
      </c>
      <c r="S98" s="2">
        <f>S10/'Output-Calculation-sheet'!S9*'Output-Calculation-sheet'!S81</f>
        <v>1356540568.3307698</v>
      </c>
      <c r="T98" s="2">
        <f>T10/'Output-Calculation-sheet'!T9*'Output-Calculation-sheet'!T81</f>
        <v>1006608909.2341151</v>
      </c>
      <c r="U98" s="2">
        <f>U10/'Output-Calculation-sheet'!U9*'Output-Calculation-sheet'!U81</f>
        <v>654965041.38780653</v>
      </c>
      <c r="V98" s="2">
        <f>V10/'Output-Calculation-sheet'!V9*'Output-Calculation-sheet'!V81</f>
        <v>346880515.37725931</v>
      </c>
      <c r="W98" s="2">
        <f>W10/'Output-Calculation-sheet'!W9*'Output-Calculation-sheet'!W81</f>
        <v>983525934.97950447</v>
      </c>
      <c r="X98" s="2">
        <f>X10/'Output-Calculation-sheet'!X9*'Output-Calculation-sheet'!X81</f>
        <v>361416024.26686901</v>
      </c>
      <c r="Y98" s="2">
        <f>Y10/'Output-Calculation-sheet'!Y9*'Output-Calculation-sheet'!Y81</f>
        <v>540803467.60577905</v>
      </c>
      <c r="AA98" s="2">
        <f t="shared" si="8"/>
        <v>105.12669332120453</v>
      </c>
    </row>
    <row r="99" spans="1:27" x14ac:dyDescent="0.25">
      <c r="A99" s="2">
        <v>2034</v>
      </c>
      <c r="B99" s="2">
        <f>B11/'Output-Calculation-sheet'!B10*'Output-Calculation-sheet'!B82</f>
        <v>30557318093.931164</v>
      </c>
      <c r="C99" s="2">
        <f>C11/'Output-Calculation-sheet'!C10*'Output-Calculation-sheet'!C82</f>
        <v>10543528441.380217</v>
      </c>
      <c r="D99" s="2">
        <f>D11/'Output-Calculation-sheet'!D10*'Output-Calculation-sheet'!D82</f>
        <v>9591645154.7544098</v>
      </c>
      <c r="E99" s="2">
        <f>E11/'Output-Calculation-sheet'!E10*'Output-Calculation-sheet'!E82</f>
        <v>18554196470.674091</v>
      </c>
      <c r="F99" s="2">
        <f>F11/'Output-Calculation-sheet'!F10*'Output-Calculation-sheet'!F82</f>
        <v>7641522790.4933271</v>
      </c>
      <c r="G99" s="2">
        <f>G11/'Output-Calculation-sheet'!G10*'Output-Calculation-sheet'!G82</f>
        <v>5432578931.0250797</v>
      </c>
      <c r="H99" s="2">
        <f>H11/'Output-Calculation-sheet'!H10*'Output-Calculation-sheet'!H82</f>
        <v>5077731346.0353632</v>
      </c>
      <c r="I99" s="2">
        <f>I11/'Output-Calculation-sheet'!I10*'Output-Calculation-sheet'!I82</f>
        <v>4264940834.6816101</v>
      </c>
      <c r="J99" s="2">
        <f>J11/'Output-Calculation-sheet'!J10*'Output-Calculation-sheet'!J82</f>
        <v>2654071050.257443</v>
      </c>
      <c r="K99" s="2">
        <f>K11/'Output-Calculation-sheet'!K10*'Output-Calculation-sheet'!K82</f>
        <v>3883254231.8487706</v>
      </c>
      <c r="L99" s="2">
        <f>L11/'Output-Calculation-sheet'!L10*'Output-Calculation-sheet'!L82</f>
        <v>2998156246.9870582</v>
      </c>
      <c r="M99" s="2">
        <f>M11/'Output-Calculation-sheet'!M10*'Output-Calculation-sheet'!M82</f>
        <v>3824960905.4272223</v>
      </c>
      <c r="N99" s="2">
        <f>N11/'Output-Calculation-sheet'!N10*'Output-Calculation-sheet'!N82</f>
        <v>2694688531.8201551</v>
      </c>
      <c r="O99" s="2">
        <f>O11/'Output-Calculation-sheet'!O10*'Output-Calculation-sheet'!O82</f>
        <v>1460925888.5859842</v>
      </c>
      <c r="P99" s="2">
        <f>P11/'Output-Calculation-sheet'!P10*'Output-Calculation-sheet'!P82</f>
        <v>4554036954.3064604</v>
      </c>
      <c r="Q99" s="2">
        <f>Q11/'Output-Calculation-sheet'!Q10*'Output-Calculation-sheet'!Q82</f>
        <v>2155256464.9208083</v>
      </c>
      <c r="R99" s="2">
        <f>R11/'Output-Calculation-sheet'!R10*'Output-Calculation-sheet'!R82</f>
        <v>2789969526.6284704</v>
      </c>
      <c r="S99" s="2">
        <f>S11/'Output-Calculation-sheet'!S10*'Output-Calculation-sheet'!S82</f>
        <v>1607100445.1250446</v>
      </c>
      <c r="T99" s="2">
        <f>T11/'Output-Calculation-sheet'!T10*'Output-Calculation-sheet'!T82</f>
        <v>1174602533.2546966</v>
      </c>
      <c r="U99" s="2">
        <f>U11/'Output-Calculation-sheet'!U10*'Output-Calculation-sheet'!U82</f>
        <v>777845475.69898283</v>
      </c>
      <c r="V99" s="2">
        <f>V11/'Output-Calculation-sheet'!V10*'Output-Calculation-sheet'!V82</f>
        <v>415904278.13270384</v>
      </c>
      <c r="W99" s="2">
        <f>W11/'Output-Calculation-sheet'!W10*'Output-Calculation-sheet'!W82</f>
        <v>1153317124.8247907</v>
      </c>
      <c r="X99" s="2">
        <f>X11/'Output-Calculation-sheet'!X10*'Output-Calculation-sheet'!X82</f>
        <v>434370981.29962778</v>
      </c>
      <c r="Y99" s="2">
        <f>Y11/'Output-Calculation-sheet'!Y10*'Output-Calculation-sheet'!Y82</f>
        <v>634690208.4416765</v>
      </c>
      <c r="AA99" s="2">
        <f t="shared" si="8"/>
        <v>124.87661291053517</v>
      </c>
    </row>
    <row r="100" spans="1:27" x14ac:dyDescent="0.25">
      <c r="A100" s="2">
        <v>2035</v>
      </c>
      <c r="B100" s="2">
        <f>B12/'Output-Calculation-sheet'!B11*'Output-Calculation-sheet'!B83</f>
        <v>34953851317.249817</v>
      </c>
      <c r="C100" s="2">
        <f>C12/'Output-Calculation-sheet'!C11*'Output-Calculation-sheet'!C83</f>
        <v>12135409443.953939</v>
      </c>
      <c r="D100" s="2">
        <f>D12/'Output-Calculation-sheet'!D11*'Output-Calculation-sheet'!D83</f>
        <v>10562317892.872618</v>
      </c>
      <c r="E100" s="2">
        <f>E12/'Output-Calculation-sheet'!E11*'Output-Calculation-sheet'!E83</f>
        <v>21005724906.183929</v>
      </c>
      <c r="F100" s="2">
        <f>F12/'Output-Calculation-sheet'!F11*'Output-Calculation-sheet'!F83</f>
        <v>8640917667.5950909</v>
      </c>
      <c r="G100" s="2">
        <f>G12/'Output-Calculation-sheet'!G11*'Output-Calculation-sheet'!G83</f>
        <v>5937992986.8807249</v>
      </c>
      <c r="H100" s="2">
        <f>H12/'Output-Calculation-sheet'!H11*'Output-Calculation-sheet'!H83</f>
        <v>5735657466.9390621</v>
      </c>
      <c r="I100" s="2">
        <f>I12/'Output-Calculation-sheet'!I11*'Output-Calculation-sheet'!I83</f>
        <v>4866592072.0678949</v>
      </c>
      <c r="J100" s="2">
        <f>J12/'Output-Calculation-sheet'!J11*'Output-Calculation-sheet'!J83</f>
        <v>2949364256.237052</v>
      </c>
      <c r="K100" s="2">
        <f>K12/'Output-Calculation-sheet'!K11*'Output-Calculation-sheet'!K83</f>
        <v>4345669855.6450682</v>
      </c>
      <c r="L100" s="2">
        <f>L12/'Output-Calculation-sheet'!L11*'Output-Calculation-sheet'!L83</f>
        <v>3450214077.8642917</v>
      </c>
      <c r="M100" s="2">
        <f>M12/'Output-Calculation-sheet'!M11*'Output-Calculation-sheet'!M83</f>
        <v>4334233420.5216036</v>
      </c>
      <c r="N100" s="2">
        <f>N12/'Output-Calculation-sheet'!N11*'Output-Calculation-sheet'!N83</f>
        <v>2998947198.5499659</v>
      </c>
      <c r="O100" s="2">
        <f>O12/'Output-Calculation-sheet'!O11*'Output-Calculation-sheet'!O83</f>
        <v>1664606114.5672815</v>
      </c>
      <c r="P100" s="2">
        <f>P12/'Output-Calculation-sheet'!P11*'Output-Calculation-sheet'!P83</f>
        <v>5055527049.2170954</v>
      </c>
      <c r="Q100" s="2">
        <f>Q12/'Output-Calculation-sheet'!Q11*'Output-Calculation-sheet'!Q83</f>
        <v>2411509577.7704134</v>
      </c>
      <c r="R100" s="2">
        <f>R12/'Output-Calculation-sheet'!R11*'Output-Calculation-sheet'!R83</f>
        <v>3157737383.9896016</v>
      </c>
      <c r="S100" s="2">
        <f>S12/'Output-Calculation-sheet'!S11*'Output-Calculation-sheet'!S83</f>
        <v>1812379016.5990944</v>
      </c>
      <c r="T100" s="2">
        <f>T12/'Output-Calculation-sheet'!T11*'Output-Calculation-sheet'!T83</f>
        <v>1304284946.9193914</v>
      </c>
      <c r="U100" s="2">
        <f>U12/'Output-Calculation-sheet'!U11*'Output-Calculation-sheet'!U83</f>
        <v>878940377.61942589</v>
      </c>
      <c r="V100" s="2">
        <f>V12/'Output-Calculation-sheet'!V11*'Output-Calculation-sheet'!V83</f>
        <v>474239401.44973695</v>
      </c>
      <c r="W100" s="2">
        <f>W12/'Output-Calculation-sheet'!W11*'Output-Calculation-sheet'!W83</f>
        <v>1284831046.1388676</v>
      </c>
      <c r="X100" s="2">
        <f>X12/'Output-Calculation-sheet'!X11*'Output-Calculation-sheet'!X83</f>
        <v>496727886.52020276</v>
      </c>
      <c r="Y100" s="2">
        <f>Y12/'Output-Calculation-sheet'!Y11*'Output-Calculation-sheet'!Y83</f>
        <v>708018597.58970082</v>
      </c>
      <c r="AA100" s="2">
        <f t="shared" si="8"/>
        <v>141.16569396094187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6064.1221210321182</v>
      </c>
      <c r="C19" s="2">
        <f>C8/'Output-Calculation-sheet'!C7*'Output-Calculation-sheet'!C25</f>
        <v>8085.6624158530321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2946.1449849160535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2156.4402534759652</v>
      </c>
      <c r="N19" s="2">
        <f>N8/'Output-Calculation-sheet'!N7*'Output-Calculation-sheet'!N25</f>
        <v>1123.4341656002337</v>
      </c>
      <c r="O19" s="2">
        <f>O8/'Output-Calculation-sheet'!O7*'Output-Calculation-sheet'!O25</f>
        <v>1225.1343758671039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489.75048074588983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249.2703427402931</v>
      </c>
      <c r="Y19" s="2">
        <f>Y8/'Output-Calculation-sheet'!Y7*'Output-Calculation-sheet'!Y25</f>
        <v>0</v>
      </c>
      <c r="AA19" s="2">
        <f t="shared" si="0"/>
        <v>22.339959140230686</v>
      </c>
    </row>
    <row r="20" spans="1:27" x14ac:dyDescent="0.25">
      <c r="A20" s="2">
        <v>2032</v>
      </c>
      <c r="B20" s="2">
        <f>B9/'Output-Calculation-sheet'!B8*'Output-Calculation-sheet'!B26</f>
        <v>8220.2950355906341</v>
      </c>
      <c r="C20" s="2">
        <f>C9/'Output-Calculation-sheet'!C8*'Output-Calculation-sheet'!C26</f>
        <v>9474.5342746061451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3410.8725718071637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2490.7161750965752</v>
      </c>
      <c r="N20" s="2">
        <f>N9/'Output-Calculation-sheet'!N8*'Output-Calculation-sheet'!N26</f>
        <v>1416.7491932912617</v>
      </c>
      <c r="O20" s="2">
        <f>O9/'Output-Calculation-sheet'!O8*'Output-Calculation-sheet'!O26</f>
        <v>1465.6311876261884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640.43181857227592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287.71005249732633</v>
      </c>
      <c r="Y20" s="2">
        <f>Y9/'Output-Calculation-sheet'!Y8*'Output-Calculation-sheet'!Y26</f>
        <v>0</v>
      </c>
      <c r="AA20" s="2">
        <f t="shared" si="0"/>
        <v>27.40694030908757</v>
      </c>
    </row>
    <row r="21" spans="1:27" x14ac:dyDescent="0.25">
      <c r="A21" s="2">
        <v>2033</v>
      </c>
      <c r="B21" s="2">
        <f>B10/'Output-Calculation-sheet'!B9*'Output-Calculation-sheet'!B27</f>
        <v>18332.151617235748</v>
      </c>
      <c r="C21" s="2">
        <f>C10/'Output-Calculation-sheet'!C9*'Output-Calculation-sheet'!C27</f>
        <v>31482.405836959915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10610.983417107374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7369.9885314227295</v>
      </c>
      <c r="N21" s="2">
        <f>N10/'Output-Calculation-sheet'!N9*'Output-Calculation-sheet'!N27</f>
        <v>4032.7100831517714</v>
      </c>
      <c r="O21" s="2">
        <f>O10/'Output-Calculation-sheet'!O9*'Output-Calculation-sheet'!O27</f>
        <v>3141.1279592681763</v>
      </c>
      <c r="P21" s="2">
        <f>P10/'Output-Calculation-sheet'!P9*'Output-Calculation-sheet'!P27</f>
        <v>0</v>
      </c>
      <c r="Q21" s="2">
        <f>Q10/'Output-Calculation-sheet'!Q9*'Output-Calculation-sheet'!Q27</f>
        <v>275.05753151377866</v>
      </c>
      <c r="R21" s="2">
        <f>R10/'Output-Calculation-sheet'!R9*'Output-Calculation-sheet'!R27</f>
        <v>0</v>
      </c>
      <c r="S21" s="2">
        <f>S10/'Output-Calculation-sheet'!S9*'Output-Calculation-sheet'!S27</f>
        <v>1751.5587698174661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866.64751205719665</v>
      </c>
      <c r="Y21" s="2">
        <f>Y10/'Output-Calculation-sheet'!Y9*'Output-Calculation-sheet'!Y27</f>
        <v>0</v>
      </c>
      <c r="AA21" s="2">
        <f t="shared" si="0"/>
        <v>77.862631258534165</v>
      </c>
    </row>
    <row r="22" spans="1:27" x14ac:dyDescent="0.25">
      <c r="A22" s="2">
        <v>2034</v>
      </c>
      <c r="B22" s="2">
        <f>B11/'Output-Calculation-sheet'!B10*'Output-Calculation-sheet'!B28</f>
        <v>36517.745278930452</v>
      </c>
      <c r="C22" s="2">
        <f>C11/'Output-Calculation-sheet'!C10*'Output-Calculation-sheet'!C28</f>
        <v>35034.191363071652</v>
      </c>
      <c r="D22" s="2">
        <f>D11/'Output-Calculation-sheet'!D10*'Output-Calculation-sheet'!D28</f>
        <v>0</v>
      </c>
      <c r="E22" s="2">
        <f>E11/'Output-Calculation-sheet'!E10*'Output-Calculation-sheet'!E28</f>
        <v>1871.1132724830863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13368.981120599246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1115.7374419049311</v>
      </c>
      <c r="M22" s="2">
        <f>M11/'Output-Calculation-sheet'!M10*'Output-Calculation-sheet'!M28</f>
        <v>9747.162413863296</v>
      </c>
      <c r="N22" s="2">
        <f>N11/'Output-Calculation-sheet'!N10*'Output-Calculation-sheet'!N28</f>
        <v>5816.9913413546119</v>
      </c>
      <c r="O22" s="2">
        <f>O11/'Output-Calculation-sheet'!O10*'Output-Calculation-sheet'!O28</f>
        <v>3595.2814657069225</v>
      </c>
      <c r="P22" s="2">
        <f>P11/'Output-Calculation-sheet'!P10*'Output-Calculation-sheet'!P28</f>
        <v>0</v>
      </c>
      <c r="Q22" s="2">
        <f>Q11/'Output-Calculation-sheet'!Q10*'Output-Calculation-sheet'!Q28</f>
        <v>1321.4383735502124</v>
      </c>
      <c r="R22" s="2">
        <f>R11/'Output-Calculation-sheet'!R10*'Output-Calculation-sheet'!R28</f>
        <v>0</v>
      </c>
      <c r="S22" s="2">
        <f>S11/'Output-Calculation-sheet'!S10*'Output-Calculation-sheet'!S28</f>
        <v>2967.4859090742261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978.78091699563015</v>
      </c>
      <c r="Y22" s="2">
        <f>Y11/'Output-Calculation-sheet'!Y10*'Output-Calculation-sheet'!Y28</f>
        <v>101.52585874000769</v>
      </c>
      <c r="AA22" s="2">
        <f t="shared" si="0"/>
        <v>112.43643475627428</v>
      </c>
    </row>
    <row r="23" spans="1:27" x14ac:dyDescent="0.25">
      <c r="A23" s="2">
        <v>2035</v>
      </c>
      <c r="B23" s="2">
        <f>B12/'Output-Calculation-sheet'!B11*'Output-Calculation-sheet'!B29</f>
        <v>45152.996485901924</v>
      </c>
      <c r="C23" s="2">
        <f>C12/'Output-Calculation-sheet'!C11*'Output-Calculation-sheet'!C29</f>
        <v>36880.405357120209</v>
      </c>
      <c r="D23" s="2">
        <f>D12/'Output-Calculation-sheet'!D11*'Output-Calculation-sheet'!D29</f>
        <v>0</v>
      </c>
      <c r="E23" s="2">
        <f>E12/'Output-Calculation-sheet'!E11*'Output-Calculation-sheet'!E29</f>
        <v>6961.4903269786273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14197.004754484817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1578.1136818270127</v>
      </c>
      <c r="M23" s="2">
        <f>M12/'Output-Calculation-sheet'!M11*'Output-Calculation-sheet'!M29</f>
        <v>10401.552648016801</v>
      </c>
      <c r="N23" s="2">
        <f>N12/'Output-Calculation-sheet'!N11*'Output-Calculation-sheet'!N29</f>
        <v>6067.8058556893657</v>
      </c>
      <c r="O23" s="2">
        <f>O12/'Output-Calculation-sheet'!O11*'Output-Calculation-sheet'!O29</f>
        <v>4090.447079051014</v>
      </c>
      <c r="P23" s="2">
        <f>P12/'Output-Calculation-sheet'!P11*'Output-Calculation-sheet'!P29</f>
        <v>741.07138695998185</v>
      </c>
      <c r="Q23" s="2">
        <f>Q12/'Output-Calculation-sheet'!Q11*'Output-Calculation-sheet'!Q29</f>
        <v>1663.696984374769</v>
      </c>
      <c r="R23" s="2">
        <f>R12/'Output-Calculation-sheet'!R11*'Output-Calculation-sheet'!R29</f>
        <v>0</v>
      </c>
      <c r="S23" s="2">
        <f>S12/'Output-Calculation-sheet'!S11*'Output-Calculation-sheet'!S29</f>
        <v>3248.0975078291563</v>
      </c>
      <c r="T23" s="2">
        <f>T12/'Output-Calculation-sheet'!T11*'Output-Calculation-sheet'!T29</f>
        <v>0</v>
      </c>
      <c r="U23" s="2">
        <f>U12/'Output-Calculation-sheet'!U11*'Output-Calculation-sheet'!U29</f>
        <v>141.64124470048668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1030.4356298346647</v>
      </c>
      <c r="Y23" s="2">
        <f>Y12/'Output-Calculation-sheet'!Y11*'Output-Calculation-sheet'!Y29</f>
        <v>305.0664872664085</v>
      </c>
      <c r="AA23" s="2">
        <f t="shared" si="0"/>
        <v>132.45982543003524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29822.536327946807</v>
      </c>
      <c r="C30" s="2">
        <f>C8/'Output-Calculation-sheet'!C7*'Output-Calculation-sheet'!C16</f>
        <v>0</v>
      </c>
      <c r="D30" s="2">
        <f>D8/'Output-Calculation-sheet'!D7*'Output-Calculation-sheet'!D16</f>
        <v>6718.7299268987763</v>
      </c>
      <c r="E30" s="2">
        <f>E8/'Output-Calculation-sheet'!E7*'Output-Calculation-sheet'!E16</f>
        <v>8419.6418876397001</v>
      </c>
      <c r="F30" s="2">
        <f>F8/'Output-Calculation-sheet'!F7*'Output-Calculation-sheet'!F16</f>
        <v>4112.1523184188245</v>
      </c>
      <c r="G30" s="2">
        <f>G8/'Output-Calculation-sheet'!G7*'Output-Calculation-sheet'!G16</f>
        <v>2505.8922256175788</v>
      </c>
      <c r="H30" s="2">
        <f>H8/'Output-Calculation-sheet'!H7*'Output-Calculation-sheet'!H16</f>
        <v>0</v>
      </c>
      <c r="I30" s="2">
        <f>I8/'Output-Calculation-sheet'!I7*'Output-Calculation-sheet'!I16</f>
        <v>2358.9882498520847</v>
      </c>
      <c r="J30" s="2">
        <f>J8/'Output-Calculation-sheet'!J7*'Output-Calculation-sheet'!J16</f>
        <v>2528.7334153524648</v>
      </c>
      <c r="K30" s="2">
        <f>K8/'Output-Calculation-sheet'!K7*'Output-Calculation-sheet'!K16</f>
        <v>2447.5297005679777</v>
      </c>
      <c r="L30" s="2">
        <f>L8/'Output-Calculation-sheet'!L7*'Output-Calculation-sheet'!L16</f>
        <v>2705.3548640009953</v>
      </c>
      <c r="M30" s="2">
        <f>M8/'Output-Calculation-sheet'!M7*'Output-Calculation-sheet'!M16</f>
        <v>0</v>
      </c>
      <c r="N30" s="2">
        <f>N8/'Output-Calculation-sheet'!N7*'Output-Calculation-sheet'!N16</f>
        <v>1213.1534865849239</v>
      </c>
      <c r="O30" s="2">
        <f>O8/'Output-Calculation-sheet'!O7*'Output-Calculation-sheet'!O16</f>
        <v>0</v>
      </c>
      <c r="P30" s="2">
        <f>P8/'Output-Calculation-sheet'!P7*'Output-Calculation-sheet'!P16</f>
        <v>2315.9179751433749</v>
      </c>
      <c r="Q30" s="2">
        <f>Q8/'Output-Calculation-sheet'!Q7*'Output-Calculation-sheet'!Q16</f>
        <v>2272.0302680145396</v>
      </c>
      <c r="R30" s="2">
        <f>R8/'Output-Calculation-sheet'!R7*'Output-Calculation-sheet'!R16</f>
        <v>2016.2527223672091</v>
      </c>
      <c r="S30" s="2">
        <f>S8/'Output-Calculation-sheet'!S7*'Output-Calculation-sheet'!S16</f>
        <v>1067.8715986531831</v>
      </c>
      <c r="T30" s="2">
        <f>T8/'Output-Calculation-sheet'!T7*'Output-Calculation-sheet'!T16</f>
        <v>761.56867291728531</v>
      </c>
      <c r="U30" s="2">
        <f>U8/'Output-Calculation-sheet'!U7*'Output-Calculation-sheet'!U16</f>
        <v>587.62840657109984</v>
      </c>
      <c r="V30" s="2">
        <f>V8/'Output-Calculation-sheet'!V7*'Output-Calculation-sheet'!V16</f>
        <v>760.86127881280777</v>
      </c>
      <c r="W30" s="2">
        <f>W8/'Output-Calculation-sheet'!W7*'Output-Calculation-sheet'!W16</f>
        <v>366.33915449440576</v>
      </c>
      <c r="X30" s="2">
        <f>X8/'Output-Calculation-sheet'!X7*'Output-Calculation-sheet'!X16</f>
        <v>0</v>
      </c>
      <c r="Y30" s="2">
        <f>Y8/'Output-Calculation-sheet'!Y7*'Output-Calculation-sheet'!Y16</f>
        <v>249.85129002840659</v>
      </c>
      <c r="AA30" s="2">
        <f t="shared" si="1"/>
        <v>73.231033769882444</v>
      </c>
    </row>
    <row r="31" spans="1:27" x14ac:dyDescent="0.25">
      <c r="A31" s="2">
        <v>2032</v>
      </c>
      <c r="B31" s="2">
        <f>B9/'Output-Calculation-sheet'!B8*'Output-Calculation-sheet'!B17</f>
        <v>33307.446023729914</v>
      </c>
      <c r="C31" s="2">
        <f>C9/'Output-Calculation-sheet'!C8*'Output-Calculation-sheet'!C17</f>
        <v>0</v>
      </c>
      <c r="D31" s="2">
        <f>D9/'Output-Calculation-sheet'!D8*'Output-Calculation-sheet'!D17</f>
        <v>7623.3870586969733</v>
      </c>
      <c r="E31" s="2">
        <f>E9/'Output-Calculation-sheet'!E8*'Output-Calculation-sheet'!E17</f>
        <v>9575.9812555556291</v>
      </c>
      <c r="F31" s="2">
        <f>F9/'Output-Calculation-sheet'!F8*'Output-Calculation-sheet'!F17</f>
        <v>4672.3044341948826</v>
      </c>
      <c r="G31" s="2">
        <f>G9/'Output-Calculation-sheet'!G8*'Output-Calculation-sheet'!G17</f>
        <v>2844.1566504298498</v>
      </c>
      <c r="H31" s="2">
        <f>H9/'Output-Calculation-sheet'!H8*'Output-Calculation-sheet'!H17</f>
        <v>0</v>
      </c>
      <c r="I31" s="2">
        <f>I9/'Output-Calculation-sheet'!I8*'Output-Calculation-sheet'!I17</f>
        <v>2676.0827463882824</v>
      </c>
      <c r="J31" s="2">
        <f>J9/'Output-Calculation-sheet'!J8*'Output-Calculation-sheet'!J17</f>
        <v>2870.9773881496403</v>
      </c>
      <c r="K31" s="2">
        <f>K9/'Output-Calculation-sheet'!K8*'Output-Calculation-sheet'!K17</f>
        <v>2776.6383178600677</v>
      </c>
      <c r="L31" s="2">
        <f>L9/'Output-Calculation-sheet'!L8*'Output-Calculation-sheet'!L17</f>
        <v>3068.086078251255</v>
      </c>
      <c r="M31" s="2">
        <f>M9/'Output-Calculation-sheet'!M8*'Output-Calculation-sheet'!M17</f>
        <v>0</v>
      </c>
      <c r="N31" s="2">
        <f>N9/'Output-Calculation-sheet'!N8*'Output-Calculation-sheet'!N17</f>
        <v>1293.621597577089</v>
      </c>
      <c r="O31" s="2">
        <f>O9/'Output-Calculation-sheet'!O8*'Output-Calculation-sheet'!O17</f>
        <v>0</v>
      </c>
      <c r="P31" s="2">
        <f>P9/'Output-Calculation-sheet'!P8*'Output-Calculation-sheet'!P17</f>
        <v>2642.8053187460732</v>
      </c>
      <c r="Q31" s="2">
        <f>Q9/'Output-Calculation-sheet'!Q8*'Output-Calculation-sheet'!Q17</f>
        <v>2584.5492096643852</v>
      </c>
      <c r="R31" s="2">
        <f>R9/'Output-Calculation-sheet'!R8*'Output-Calculation-sheet'!R17</f>
        <v>2313.0957754451615</v>
      </c>
      <c r="S31" s="2">
        <f>S9/'Output-Calculation-sheet'!S8*'Output-Calculation-sheet'!S17</f>
        <v>1157.8893934140046</v>
      </c>
      <c r="T31" s="2">
        <f>T9/'Output-Calculation-sheet'!T8*'Output-Calculation-sheet'!T17</f>
        <v>866.53864146056378</v>
      </c>
      <c r="U31" s="2">
        <f>U9/'Output-Calculation-sheet'!U8*'Output-Calculation-sheet'!U17</f>
        <v>670.95281887724843</v>
      </c>
      <c r="V31" s="2">
        <f>V9/'Output-Calculation-sheet'!V8*'Output-Calculation-sheet'!V17</f>
        <v>853.22409828949128</v>
      </c>
      <c r="W31" s="2">
        <f>W9/'Output-Calculation-sheet'!W8*'Output-Calculation-sheet'!W17</f>
        <v>415.85637940334374</v>
      </c>
      <c r="X31" s="2">
        <f>X9/'Output-Calculation-sheet'!X8*'Output-Calculation-sheet'!X17</f>
        <v>0</v>
      </c>
      <c r="Y31" s="2">
        <f>Y9/'Output-Calculation-sheet'!Y8*'Output-Calculation-sheet'!Y17</f>
        <v>283.49439509703433</v>
      </c>
      <c r="AA31" s="2">
        <f t="shared" si="1"/>
        <v>82.4970875812309</v>
      </c>
    </row>
    <row r="32" spans="1:27" x14ac:dyDescent="0.25">
      <c r="A32" s="2">
        <v>2033</v>
      </c>
      <c r="B32" s="2">
        <f>B10/'Output-Calculation-sheet'!B9*'Output-Calculation-sheet'!B18</f>
        <v>37216.532916715143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2267.8463532654609</v>
      </c>
      <c r="O32" s="2">
        <f>O10/'Output-Calculation-sheet'!O9*'Output-Calculation-sheet'!O18</f>
        <v>0</v>
      </c>
      <c r="P32" s="2">
        <f>P10/'Output-Calculation-sheet'!P9*'Output-Calculation-sheet'!P18</f>
        <v>3651.1932940372103</v>
      </c>
      <c r="Q32" s="2">
        <f>Q10/'Output-Calculation-sheet'!Q9*'Output-Calculation-sheet'!Q18</f>
        <v>3974.4262675853038</v>
      </c>
      <c r="R32" s="2">
        <f>R10/'Output-Calculation-sheet'!R9*'Output-Calculation-sheet'!R18</f>
        <v>2621.7464163293753</v>
      </c>
      <c r="S32" s="2">
        <f>S10/'Output-Calculation-sheet'!S9*'Output-Calculation-sheet'!S18</f>
        <v>1720.4052410570123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846.37937125656208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89.443753728453544</v>
      </c>
    </row>
    <row r="33" spans="1:27" x14ac:dyDescent="0.25">
      <c r="A33" s="2">
        <v>2034</v>
      </c>
      <c r="B33" s="2">
        <f>B11/'Output-Calculation-sheet'!B10*'Output-Calculation-sheet'!B19</f>
        <v>36833.942437186917</v>
      </c>
      <c r="C33" s="2">
        <f>C11/'Output-Calculation-sheet'!C10*'Output-Calculation-sheet'!C19</f>
        <v>0</v>
      </c>
      <c r="D33" s="2">
        <f>D11/'Output-Calculation-sheet'!D10*'Output-Calculation-sheet'!D19</f>
        <v>10987.160465611909</v>
      </c>
      <c r="E33" s="2">
        <f>E11/'Output-Calculation-sheet'!E10*'Output-Calculation-sheet'!E19</f>
        <v>13608.332924749982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3739.9255081404058</v>
      </c>
      <c r="H33" s="2">
        <f>H11/'Output-Calculation-sheet'!H10*'Output-Calculation-sheet'!H19</f>
        <v>0</v>
      </c>
      <c r="I33" s="2">
        <f>I11/'Output-Calculation-sheet'!I10*'Output-Calculation-sheet'!I19</f>
        <v>4080.7831883691274</v>
      </c>
      <c r="J33" s="2">
        <f>J11/'Output-Calculation-sheet'!J10*'Output-Calculation-sheet'!J19</f>
        <v>3450.5651536881787</v>
      </c>
      <c r="K33" s="2">
        <f>K11/'Output-Calculation-sheet'!K10*'Output-Calculation-sheet'!K19</f>
        <v>4788.1570868218023</v>
      </c>
      <c r="L33" s="2">
        <f>L11/'Output-Calculation-sheet'!L10*'Output-Calculation-sheet'!L19</f>
        <v>3893.9123660599071</v>
      </c>
      <c r="M33" s="2">
        <f>M11/'Output-Calculation-sheet'!M10*'Output-Calculation-sheet'!M19</f>
        <v>0</v>
      </c>
      <c r="N33" s="2">
        <f>N11/'Output-Calculation-sheet'!N10*'Output-Calculation-sheet'!N19</f>
        <v>2201.8419826653467</v>
      </c>
      <c r="O33" s="2">
        <f>O11/'Output-Calculation-sheet'!O10*'Output-Calculation-sheet'!O19</f>
        <v>0</v>
      </c>
      <c r="P33" s="2">
        <f>P11/'Output-Calculation-sheet'!P10*'Output-Calculation-sheet'!P19</f>
        <v>4844.7703340623229</v>
      </c>
      <c r="Q33" s="2">
        <f>Q11/'Output-Calculation-sheet'!Q10*'Output-Calculation-sheet'!Q19</f>
        <v>3989.6175076963518</v>
      </c>
      <c r="R33" s="2">
        <f>R11/'Output-Calculation-sheet'!R10*'Output-Calculation-sheet'!R19</f>
        <v>3459.0879299225276</v>
      </c>
      <c r="S33" s="2">
        <f>S11/'Output-Calculation-sheet'!S10*'Output-Calculation-sheet'!S19</f>
        <v>1612.5049967500045</v>
      </c>
      <c r="T33" s="2">
        <f>T11/'Output-Calculation-sheet'!T10*'Output-Calculation-sheet'!T19</f>
        <v>1014.9966732041285</v>
      </c>
      <c r="U33" s="2">
        <f>U11/'Output-Calculation-sheet'!U10*'Output-Calculation-sheet'!U19</f>
        <v>1168.1737354845559</v>
      </c>
      <c r="V33" s="2">
        <f>V11/'Output-Calculation-sheet'!V10*'Output-Calculation-sheet'!V19</f>
        <v>795.95548869232243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143.52473748265888</v>
      </c>
      <c r="Y33" s="2">
        <f>Y11/'Output-Calculation-sheet'!Y10*'Output-Calculation-sheet'!Y19</f>
        <v>446.71377845603388</v>
      </c>
      <c r="AA33" s="2">
        <f t="shared" si="1"/>
        <v>107.80081141662795</v>
      </c>
    </row>
    <row r="34" spans="1:27" x14ac:dyDescent="0.25">
      <c r="A34" s="2">
        <v>2035</v>
      </c>
      <c r="B34" s="2">
        <f>B12/'Output-Calculation-sheet'!B11*'Output-Calculation-sheet'!B20</f>
        <v>35936.890610533876</v>
      </c>
      <c r="C34" s="2">
        <f>C12/'Output-Calculation-sheet'!C11*'Output-Calculation-sheet'!C20</f>
        <v>0</v>
      </c>
      <c r="D34" s="2">
        <f>D12/'Output-Calculation-sheet'!D11*'Output-Calculation-sheet'!D20</f>
        <v>11278.092223934653</v>
      </c>
      <c r="E34" s="2">
        <f>E12/'Output-Calculation-sheet'!E11*'Output-Calculation-sheet'!E20</f>
        <v>12322.973006009175</v>
      </c>
      <c r="F34" s="2">
        <f>F12/'Output-Calculation-sheet'!F11*'Output-Calculation-sheet'!F20</f>
        <v>7764.0508369300615</v>
      </c>
      <c r="G34" s="2">
        <f>G12/'Output-Calculation-sheet'!G11*'Output-Calculation-sheet'!G20</f>
        <v>4148.8782567123581</v>
      </c>
      <c r="H34" s="2">
        <f>H12/'Output-Calculation-sheet'!H11*'Output-Calculation-sheet'!H20</f>
        <v>0</v>
      </c>
      <c r="I34" s="2">
        <f>I12/'Output-Calculation-sheet'!I11*'Output-Calculation-sheet'!I20</f>
        <v>4509.2657164949978</v>
      </c>
      <c r="J34" s="2">
        <f>J12/'Output-Calculation-sheet'!J11*'Output-Calculation-sheet'!J20</f>
        <v>3871.2085114693537</v>
      </c>
      <c r="K34" s="2">
        <f>K12/'Output-Calculation-sheet'!K11*'Output-Calculation-sheet'!K20</f>
        <v>5089.6966370805758</v>
      </c>
      <c r="L34" s="2">
        <f>L12/'Output-Calculation-sheet'!L11*'Output-Calculation-sheet'!L20</f>
        <v>4022.4687757997585</v>
      </c>
      <c r="M34" s="2">
        <f>M12/'Output-Calculation-sheet'!M11*'Output-Calculation-sheet'!M20</f>
        <v>0</v>
      </c>
      <c r="N34" s="2">
        <f>N12/'Output-Calculation-sheet'!N11*'Output-Calculation-sheet'!N20</f>
        <v>2238.5045352407869</v>
      </c>
      <c r="O34" s="2">
        <f>O12/'Output-Calculation-sheet'!O11*'Output-Calculation-sheet'!O20</f>
        <v>0</v>
      </c>
      <c r="P34" s="2">
        <f>P12/'Output-Calculation-sheet'!P11*'Output-Calculation-sheet'!P20</f>
        <v>5002.6487381683755</v>
      </c>
      <c r="Q34" s="2">
        <f>Q12/'Output-Calculation-sheet'!Q11*'Output-Calculation-sheet'!Q20</f>
        <v>3958.447927314357</v>
      </c>
      <c r="R34" s="2">
        <f>R12/'Output-Calculation-sheet'!R11*'Output-Calculation-sheet'!R20</f>
        <v>3973.0945316987609</v>
      </c>
      <c r="S34" s="2">
        <f>S12/'Output-Calculation-sheet'!S11*'Output-Calculation-sheet'!S20</f>
        <v>1517.6257060420687</v>
      </c>
      <c r="T34" s="2">
        <f>T12/'Output-Calculation-sheet'!T11*'Output-Calculation-sheet'!T20</f>
        <v>1248.2235700103088</v>
      </c>
      <c r="U34" s="2">
        <f>U12/'Output-Calculation-sheet'!U11*'Output-Calculation-sheet'!U20</f>
        <v>1138.8105821040624</v>
      </c>
      <c r="V34" s="2">
        <f>V12/'Output-Calculation-sheet'!V11*'Output-Calculation-sheet'!V20</f>
        <v>1046.114247239519</v>
      </c>
      <c r="W34" s="2">
        <f>W12/'Output-Calculation-sheet'!W11*'Output-Calculation-sheet'!W20</f>
        <v>673.03296504386094</v>
      </c>
      <c r="X34" s="2">
        <f>X12/'Output-Calculation-sheet'!X11*'Output-Calculation-sheet'!X20</f>
        <v>136.02249443160005</v>
      </c>
      <c r="Y34" s="2">
        <f>Y12/'Output-Calculation-sheet'!Y11*'Output-Calculation-sheet'!Y20</f>
        <v>377.26040264573743</v>
      </c>
      <c r="AA34" s="2">
        <f t="shared" si="1"/>
        <v>110.25331027490425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1.4909910039438958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0.86897832303575062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2.3599693269796465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3.1191360969894717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0.48008361665112048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0.33034450712771263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1.2119284635577314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0.28446470643111244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3.6239606797543934E-2</v>
      </c>
      <c r="Y44" s="2">
        <f>Y11/'Output-Calculation-sheet'!Y10*'Output-Calculation-sheet'!Y37*0.0114</f>
        <v>0</v>
      </c>
      <c r="AA44" s="2">
        <f t="shared" si="2"/>
        <v>5.4621969975546927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3.1884351263900443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1.2388543377792951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3.7044755883328326E-2</v>
      </c>
      <c r="Y45" s="2">
        <f>Y12/'Output-Calculation-sheet'!Y11*'Output-Calculation-sheet'!Y38*0.0114</f>
        <v>3.574887652351446E-2</v>
      </c>
      <c r="AA45" s="2">
        <f t="shared" si="2"/>
        <v>15.885787957517879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170.41553157634883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151.69548616974797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659.64158962785405</v>
      </c>
      <c r="S52" s="2">
        <f>S8/'Output-Calculation-sheet'!S7*'Output-Calculation-sheet'!S43</f>
        <v>0</v>
      </c>
      <c r="T52" s="2">
        <f>T8/'Output-Calculation-sheet'!T7*'Output-Calculation-sheet'!T43</f>
        <v>531.15504845269231</v>
      </c>
      <c r="U52" s="2">
        <f>U8/'Output-Calculation-sheet'!U7*'Output-Calculation-sheet'!U43</f>
        <v>56.178623955172064</v>
      </c>
      <c r="V52" s="2">
        <f>V8/'Output-Calculation-sheet'!V7*'Output-Calculation-sheet'!V43</f>
        <v>957.82711372707615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2.5269133935088912</v>
      </c>
    </row>
    <row r="53" spans="1:27" x14ac:dyDescent="0.25">
      <c r="A53" s="2">
        <v>2032</v>
      </c>
      <c r="B53" s="2">
        <f>B9/'Output-Calculation-sheet'!B8*'Output-Calculation-sheet'!B44</f>
        <v>2041.9922460712644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384.96455792826976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308.40878592218712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964.19165295754954</v>
      </c>
      <c r="S53" s="2">
        <f>S9/'Output-Calculation-sheet'!S8*'Output-Calculation-sheet'!S44</f>
        <v>0</v>
      </c>
      <c r="T53" s="2">
        <f>T9/'Output-Calculation-sheet'!T8*'Output-Calculation-sheet'!T44</f>
        <v>664.79083687857258</v>
      </c>
      <c r="U53" s="2">
        <f>U9/'Output-Calculation-sheet'!U8*'Output-Calculation-sheet'!U44</f>
        <v>112.80546731013152</v>
      </c>
      <c r="V53" s="2">
        <f>V9/'Output-Calculation-sheet'!V8*'Output-Calculation-sheet'!V44</f>
        <v>1114.4728417556835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5.5916263888236593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80827.407055905933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0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1049.6558010933445</v>
      </c>
      <c r="R54" s="2">
        <f>R10/'Output-Calculation-sheet'!R9*'Output-Calculation-sheet'!R45</f>
        <v>1750.6540710548882</v>
      </c>
      <c r="S54" s="2">
        <f>S10/'Output-Calculation-sheet'!S9*'Output-Calculation-sheet'!S45</f>
        <v>4182.9387313635561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631.75136076453407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181.81264527400609</v>
      </c>
    </row>
    <row r="55" spans="1:27" x14ac:dyDescent="0.25">
      <c r="A55" s="2">
        <v>2034</v>
      </c>
      <c r="B55" s="2">
        <f>B11/'Output-Calculation-sheet'!B10*'Output-Calculation-sheet'!B46</f>
        <v>104918.65597571044</v>
      </c>
      <c r="C55" s="2">
        <f>C11/'Output-Calculation-sheet'!C10*'Output-Calculation-sheet'!C46</f>
        <v>86323.459526331426</v>
      </c>
      <c r="D55" s="2">
        <f>D11/'Output-Calculation-sheet'!D10*'Output-Calculation-sheet'!D46</f>
        <v>9694.8384943191631</v>
      </c>
      <c r="E55" s="2">
        <f>E11/'Output-Calculation-sheet'!E10*'Output-Calculation-sheet'!E46</f>
        <v>11942.456546628717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31121.209886419125</v>
      </c>
      <c r="I55" s="2">
        <f>I11/'Output-Calculation-sheet'!I10*'Output-Calculation-sheet'!I46</f>
        <v>2346.0192522746424</v>
      </c>
      <c r="J55" s="2">
        <f>J11/'Output-Calculation-sheet'!J10*'Output-Calculation-sheet'!J46</f>
        <v>1702.6451358335748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1680.6496125974643</v>
      </c>
      <c r="M55" s="2">
        <f>M11/'Output-Calculation-sheet'!M10*'Output-Calculation-sheet'!M46</f>
        <v>21993.989553502972</v>
      </c>
      <c r="N55" s="2">
        <f>N11/'Output-Calculation-sheet'!N10*'Output-Calculation-sheet'!N46</f>
        <v>16774.908199219892</v>
      </c>
      <c r="O55" s="2">
        <f>O11/'Output-Calculation-sheet'!O10*'Output-Calculation-sheet'!O46</f>
        <v>372.08330021509295</v>
      </c>
      <c r="P55" s="2">
        <f>P11/'Output-Calculation-sheet'!P10*'Output-Calculation-sheet'!P46</f>
        <v>6235.6319977667199</v>
      </c>
      <c r="Q55" s="2">
        <f>Q11/'Output-Calculation-sheet'!Q10*'Output-Calculation-sheet'!Q46</f>
        <v>3668.0975302959237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8244.5583006859615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1910.7709999951844</v>
      </c>
      <c r="V55" s="2">
        <f>V11/'Output-Calculation-sheet'!V10*'Output-Calculation-sheet'!V46</f>
        <v>773.52331262616372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2250.6703169000971</v>
      </c>
      <c r="Y55" s="2">
        <f>Y11/'Output-Calculation-sheet'!Y10*'Output-Calculation-sheet'!Y46</f>
        <v>585.93258858865295</v>
      </c>
      <c r="AA55" s="2">
        <f t="shared" si="3"/>
        <v>328.07383327299084</v>
      </c>
    </row>
    <row r="56" spans="1:27" x14ac:dyDescent="0.25">
      <c r="A56" s="2">
        <v>2035</v>
      </c>
      <c r="B56" s="2">
        <f>B12/'Output-Calculation-sheet'!B11*'Output-Calculation-sheet'!B47</f>
        <v>136419.22760623429</v>
      </c>
      <c r="C56" s="2">
        <f>C12/'Output-Calculation-sheet'!C11*'Output-Calculation-sheet'!C47</f>
        <v>89639.777018246416</v>
      </c>
      <c r="D56" s="2">
        <f>D12/'Output-Calculation-sheet'!D11*'Output-Calculation-sheet'!D47</f>
        <v>10901.255637027409</v>
      </c>
      <c r="E56" s="2">
        <f>E12/'Output-Calculation-sheet'!E11*'Output-Calculation-sheet'!E47</f>
        <v>30617.916472548164</v>
      </c>
      <c r="F56" s="2">
        <f>F12/'Output-Calculation-sheet'!F11*'Output-Calculation-sheet'!F47</f>
        <v>3777.0120984810337</v>
      </c>
      <c r="G56" s="2">
        <f>G12/'Output-Calculation-sheet'!G11*'Output-Calculation-sheet'!G47</f>
        <v>8532.0318890447361</v>
      </c>
      <c r="H56" s="2">
        <f>H12/'Output-Calculation-sheet'!H11*'Output-Calculation-sheet'!H47</f>
        <v>32587.509738366203</v>
      </c>
      <c r="I56" s="2">
        <f>I12/'Output-Calculation-sheet'!I11*'Output-Calculation-sheet'!I47</f>
        <v>4316.6549728455293</v>
      </c>
      <c r="J56" s="2">
        <f>J12/'Output-Calculation-sheet'!J11*'Output-Calculation-sheet'!J47</f>
        <v>3916.0652589813217</v>
      </c>
      <c r="K56" s="2">
        <f>K12/'Output-Calculation-sheet'!K11*'Output-Calculation-sheet'!K47</f>
        <v>5656.7898161495705</v>
      </c>
      <c r="L56" s="2">
        <f>L12/'Output-Calculation-sheet'!L11*'Output-Calculation-sheet'!L47</f>
        <v>3123.6168042179893</v>
      </c>
      <c r="M56" s="2">
        <f>M12/'Output-Calculation-sheet'!M11*'Output-Calculation-sheet'!M47</f>
        <v>22719.609514534775</v>
      </c>
      <c r="N56" s="2">
        <f>N12/'Output-Calculation-sheet'!N11*'Output-Calculation-sheet'!N47</f>
        <v>17351.394238568202</v>
      </c>
      <c r="O56" s="2">
        <f>O12/'Output-Calculation-sheet'!O11*'Output-Calculation-sheet'!O47</f>
        <v>1630.0714970780198</v>
      </c>
      <c r="P56" s="2">
        <f>P12/'Output-Calculation-sheet'!P11*'Output-Calculation-sheet'!P47</f>
        <v>9009.9047191548925</v>
      </c>
      <c r="Q56" s="2">
        <f>Q12/'Output-Calculation-sheet'!Q11*'Output-Calculation-sheet'!Q47</f>
        <v>4565.8309855740772</v>
      </c>
      <c r="R56" s="2">
        <f>R12/'Output-Calculation-sheet'!R11*'Output-Calculation-sheet'!R47</f>
        <v>6652.6845814346279</v>
      </c>
      <c r="S56" s="2">
        <f>S12/'Output-Calculation-sheet'!S11*'Output-Calculation-sheet'!S47</f>
        <v>8811.5680220613194</v>
      </c>
      <c r="T56" s="2">
        <f>T12/'Output-Calculation-sheet'!T11*'Output-Calculation-sheet'!T47</f>
        <v>2330.2419323179406</v>
      </c>
      <c r="U56" s="2">
        <f>U12/'Output-Calculation-sheet'!U11*'Output-Calculation-sheet'!U47</f>
        <v>2229.9299613843573</v>
      </c>
      <c r="V56" s="2">
        <f>V12/'Output-Calculation-sheet'!V11*'Output-Calculation-sheet'!V47</f>
        <v>1556.3160745739369</v>
      </c>
      <c r="W56" s="2">
        <f>W12/'Output-Calculation-sheet'!W11*'Output-Calculation-sheet'!W47</f>
        <v>885.75559370023848</v>
      </c>
      <c r="X56" s="2">
        <f>X12/'Output-Calculation-sheet'!X11*'Output-Calculation-sheet'!X47</f>
        <v>2346.1678726107939</v>
      </c>
      <c r="Y56" s="2">
        <f>Y12/'Output-Calculation-sheet'!Y11*'Output-Calculation-sheet'!Y47</f>
        <v>1201.0368165356172</v>
      </c>
      <c r="AA56" s="2">
        <f t="shared" si="3"/>
        <v>410.77836912167129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8.2290072533523357</v>
      </c>
      <c r="C63" s="2">
        <f>C8*'Output-Calculation-sheet'!C52/10^9</f>
        <v>4.1710926546670075</v>
      </c>
      <c r="D63" s="2">
        <f>D8*'Output-Calculation-sheet'!D52/10^9</f>
        <v>1.4571484855854668</v>
      </c>
      <c r="E63" s="2">
        <f>E8*'Output-Calculation-sheet'!E52/10^9</f>
        <v>1.8762078764017713</v>
      </c>
      <c r="F63" s="2">
        <f>F8*'Output-Calculation-sheet'!F52/10^9</f>
        <v>0.78041302156549186</v>
      </c>
      <c r="G63" s="2">
        <f>G8*'Output-Calculation-sheet'!G52/10^9</f>
        <v>0.55996490887849126</v>
      </c>
      <c r="H63" s="2">
        <f>H8*'Output-Calculation-sheet'!H52/10^9</f>
        <v>1.0816877051688005</v>
      </c>
      <c r="I63" s="2">
        <f>I8*'Output-Calculation-sheet'!I52/10^9</f>
        <v>0.50197270799559812</v>
      </c>
      <c r="J63" s="2">
        <f>J8*'Output-Calculation-sheet'!J52/10^9</f>
        <v>0.53964027925405766</v>
      </c>
      <c r="K63" s="2">
        <f>K8*'Output-Calculation-sheet'!K52/10^9</f>
        <v>0.55106669353651794</v>
      </c>
      <c r="L63" s="2">
        <f>L8*'Output-Calculation-sheet'!L52/10^9</f>
        <v>0.57311531817540551</v>
      </c>
      <c r="M63" s="2">
        <f>M8*'Output-Calculation-sheet'!M52/10^9</f>
        <v>0.81793024567802153</v>
      </c>
      <c r="N63" s="2">
        <f>N8*'Output-Calculation-sheet'!N52/10^9</f>
        <v>0.69105659942494013</v>
      </c>
      <c r="O63" s="2">
        <f>O8*'Output-Calculation-sheet'!O52/10^9</f>
        <v>0.71589144151340989</v>
      </c>
      <c r="P63" s="2">
        <f>P8*'Output-Calculation-sheet'!P52/10^9</f>
        <v>0.59331171598054</v>
      </c>
      <c r="Q63" s="2">
        <f>Q8*'Output-Calculation-sheet'!Q52/10^9</f>
        <v>0.56126818087745667</v>
      </c>
      <c r="R63" s="2">
        <f>R8*'Output-Calculation-sheet'!R52/10^9</f>
        <v>0.47283562280859998</v>
      </c>
      <c r="S63" s="2">
        <f>S8*'Output-Calculation-sheet'!S52/10^9</f>
        <v>0.43474292829318156</v>
      </c>
      <c r="T63" s="2">
        <f>T8*'Output-Calculation-sheet'!T52/10^9</f>
        <v>0.15483291991585249</v>
      </c>
      <c r="U63" s="2">
        <f>U8*'Output-Calculation-sheet'!U52/10^9</f>
        <v>0.15188029009087708</v>
      </c>
      <c r="V63" s="2">
        <f>V8*'Output-Calculation-sheet'!V52/10^9</f>
        <v>0.13612517898778376</v>
      </c>
      <c r="W63" s="2">
        <f>W8*'Output-Calculation-sheet'!W52/10^9</f>
        <v>7.1059603646833377E-2</v>
      </c>
      <c r="X63" s="2">
        <f>X8*'Output-Calculation-sheet'!X52/10^9</f>
        <v>0.11483384813041048</v>
      </c>
      <c r="Y63" s="2">
        <f>Y8*'Output-Calculation-sheet'!Y52/10^9</f>
        <v>5.9228998464237084E-2</v>
      </c>
      <c r="AA63" s="2">
        <f t="shared" si="4"/>
        <v>25.296314478393082</v>
      </c>
    </row>
    <row r="64" spans="1:27" x14ac:dyDescent="0.25">
      <c r="A64" s="2">
        <v>2032</v>
      </c>
      <c r="B64" s="2">
        <f>B9*'Output-Calculation-sheet'!B53/10^9</f>
        <v>9.2305234969120669</v>
      </c>
      <c r="C64" s="2">
        <f>C9*'Output-Calculation-sheet'!C53/10^9</f>
        <v>4.6745521599457449</v>
      </c>
      <c r="D64" s="2">
        <f>D9*'Output-Calculation-sheet'!D53/10^9</f>
        <v>1.6374295746916234</v>
      </c>
      <c r="E64" s="2">
        <f>E9*'Output-Calculation-sheet'!E53/10^9</f>
        <v>2.1086098427649866</v>
      </c>
      <c r="F64" s="2">
        <f>F9*'Output-Calculation-sheet'!F53/10^9</f>
        <v>0.87631984514900163</v>
      </c>
      <c r="G64" s="2">
        <f>G9*'Output-Calculation-sheet'!G53/10^9</f>
        <v>0.62911002512325775</v>
      </c>
      <c r="H64" s="2">
        <f>H9*'Output-Calculation-sheet'!H53/10^9</f>
        <v>1.2107575765470144</v>
      </c>
      <c r="I64" s="2">
        <f>I9*'Output-Calculation-sheet'!I53/10^9</f>
        <v>0.56402242933433722</v>
      </c>
      <c r="J64" s="2">
        <f>J9*'Output-Calculation-sheet'!J53/10^9</f>
        <v>0.60615818698027968</v>
      </c>
      <c r="K64" s="2">
        <f>K9*'Output-Calculation-sheet'!K53/10^9</f>
        <v>0.6193626722872837</v>
      </c>
      <c r="L64" s="2">
        <f>L9*'Output-Calculation-sheet'!L53/10^9</f>
        <v>0.64394529227877206</v>
      </c>
      <c r="M64" s="2">
        <f>M9*'Output-Calculation-sheet'!M53/10^9</f>
        <v>0.91575018814041231</v>
      </c>
      <c r="N64" s="2">
        <f>N9*'Output-Calculation-sheet'!N53/10^9</f>
        <v>0.77455565782107716</v>
      </c>
      <c r="O64" s="2">
        <f>O9*'Output-Calculation-sheet'!O53/10^9</f>
        <v>0.80255309979777345</v>
      </c>
      <c r="P64" s="2">
        <f>P9*'Output-Calculation-sheet'!P53/10^9</f>
        <v>0.66723324782550564</v>
      </c>
      <c r="Q64" s="2">
        <f>Q9*'Output-Calculation-sheet'!Q53/10^9</f>
        <v>0.63110170453011105</v>
      </c>
      <c r="R64" s="2">
        <f>R9*'Output-Calculation-sheet'!R53/10^9</f>
        <v>0.5308098603211675</v>
      </c>
      <c r="S64" s="2">
        <f>S9*'Output-Calculation-sheet'!S53/10^9</f>
        <v>0.48770998807519728</v>
      </c>
      <c r="T64" s="2">
        <f>T9*'Output-Calculation-sheet'!T53/10^9</f>
        <v>0.17343583381590677</v>
      </c>
      <c r="U64" s="2">
        <f>U9*'Output-Calculation-sheet'!U53/10^9</f>
        <v>0.17073943977579467</v>
      </c>
      <c r="V64" s="2">
        <f>V9*'Output-Calculation-sheet'!V53/10^9</f>
        <v>0.15197595472572134</v>
      </c>
      <c r="W64" s="2">
        <f>W9*'Output-Calculation-sheet'!W53/10^9</f>
        <v>7.9802807010670385E-2</v>
      </c>
      <c r="X64" s="2">
        <f>X9*'Output-Calculation-sheet'!X53/10^9</f>
        <v>0.12865863013116657</v>
      </c>
      <c r="Y64" s="2">
        <f>Y9*'Output-Calculation-sheet'!Y53/10^9</f>
        <v>6.6586054988987245E-2</v>
      </c>
      <c r="AA64" s="2">
        <f t="shared" si="4"/>
        <v>28.381703568973858</v>
      </c>
    </row>
    <row r="65" spans="1:27" x14ac:dyDescent="0.25">
      <c r="A65" s="2">
        <v>2033</v>
      </c>
      <c r="B65" s="2">
        <f>B10*'Output-Calculation-sheet'!B54/10^9</f>
        <v>9.9847308959128824</v>
      </c>
      <c r="C65" s="2">
        <f>C10*'Output-Calculation-sheet'!C54/10^9</f>
        <v>6.562207214669793</v>
      </c>
      <c r="D65" s="2">
        <f>D10*'Output-Calculation-sheet'!D54/10^9</f>
        <v>1.7797405021922519</v>
      </c>
      <c r="E65" s="2">
        <f>E10*'Output-Calculation-sheet'!E54/10^9</f>
        <v>2.2665348473090159</v>
      </c>
      <c r="F65" s="2">
        <f>F10*'Output-Calculation-sheet'!F54/10^9</f>
        <v>0.97394958074779125</v>
      </c>
      <c r="G65" s="2">
        <f>G10*'Output-Calculation-sheet'!G54/10^9</f>
        <v>0.69340402713627203</v>
      </c>
      <c r="H65" s="2">
        <f>H10*'Output-Calculation-sheet'!H54/10^9</f>
        <v>1.6293080743619757</v>
      </c>
      <c r="I65" s="2">
        <f>I10*'Output-Calculation-sheet'!I54/10^9</f>
        <v>0.60797043811947027</v>
      </c>
      <c r="J65" s="2">
        <f>J10*'Output-Calculation-sheet'!J54/10^9</f>
        <v>0.71932555484675686</v>
      </c>
      <c r="K65" s="2">
        <f>K10*'Output-Calculation-sheet'!K54/10^9</f>
        <v>0.67310629984378678</v>
      </c>
      <c r="L65" s="2">
        <f>L10*'Output-Calculation-sheet'!L54/10^9</f>
        <v>0.69419573005317492</v>
      </c>
      <c r="M65" s="2">
        <f>M10*'Output-Calculation-sheet'!M54/10^9</f>
        <v>1.1585397985562462</v>
      </c>
      <c r="N65" s="2">
        <f>N10*'Output-Calculation-sheet'!N54/10^9</f>
        <v>0.98719522610510646</v>
      </c>
      <c r="O65" s="2">
        <f>O10*'Output-Calculation-sheet'!O54/10^9</f>
        <v>1.1486620355597583</v>
      </c>
      <c r="P65" s="2">
        <f>P10*'Output-Calculation-sheet'!P54/10^9</f>
        <v>0.72822685248318997</v>
      </c>
      <c r="Q65" s="2">
        <f>Q10*'Output-Calculation-sheet'!Q54/10^9</f>
        <v>0.718610723714596</v>
      </c>
      <c r="R65" s="2">
        <f>R10*'Output-Calculation-sheet'!R54/10^9</f>
        <v>0.56968440545994481</v>
      </c>
      <c r="S65" s="2">
        <f>S10*'Output-Calculation-sheet'!S54/10^9</f>
        <v>0.57176676524721515</v>
      </c>
      <c r="T65" s="2">
        <f>T10*'Output-Calculation-sheet'!T54/10^9</f>
        <v>0.19291675266112157</v>
      </c>
      <c r="U65" s="2">
        <f>U10*'Output-Calculation-sheet'!U54/10^9</f>
        <v>0.18528380795791258</v>
      </c>
      <c r="V65" s="2">
        <f>V10*'Output-Calculation-sheet'!V54/10^9</f>
        <v>0.21830721514786117</v>
      </c>
      <c r="W65" s="2">
        <f>W10*'Output-Calculation-sheet'!W54/10^9</f>
        <v>9.3300209493975203E-2</v>
      </c>
      <c r="X65" s="2">
        <f>X10*'Output-Calculation-sheet'!X54/10^9</f>
        <v>0.14997673632920525</v>
      </c>
      <c r="Y65" s="2">
        <f>Y10*'Output-Calculation-sheet'!Y54/10^9</f>
        <v>7.237711716305778E-2</v>
      </c>
      <c r="AA65" s="2">
        <f t="shared" si="4"/>
        <v>33.379320811072375</v>
      </c>
    </row>
    <row r="66" spans="1:27" x14ac:dyDescent="0.25">
      <c r="A66" s="2">
        <v>2034</v>
      </c>
      <c r="B66" s="2">
        <f>B11*'Output-Calculation-sheet'!B55/10^9</f>
        <v>10.783318734790008</v>
      </c>
      <c r="C66" s="2">
        <f>C11*'Output-Calculation-sheet'!C55/10^9</f>
        <v>7.1665879994949853</v>
      </c>
      <c r="D66" s="2">
        <f>D11*'Output-Calculation-sheet'!D55/10^9</f>
        <v>1.9508813614919986</v>
      </c>
      <c r="E66" s="2">
        <f>E11*'Output-Calculation-sheet'!E55/10^9</f>
        <v>2.526702985403384</v>
      </c>
      <c r="F66" s="2">
        <f>F11*'Output-Calculation-sheet'!F55/10^9</f>
        <v>0.99438052702740287</v>
      </c>
      <c r="G66" s="2">
        <f>G11*'Output-Calculation-sheet'!G55/10^9</f>
        <v>0.72544070386720683</v>
      </c>
      <c r="H66" s="2">
        <f>H11*'Output-Calculation-sheet'!H55/10^9</f>
        <v>1.8103982664053551</v>
      </c>
      <c r="I66" s="2">
        <f>I11*'Output-Calculation-sheet'!I55/10^9</f>
        <v>0.67438075876043224</v>
      </c>
      <c r="J66" s="2">
        <f>J11*'Output-Calculation-sheet'!J55/10^9</f>
        <v>0.67900578844277404</v>
      </c>
      <c r="K66" s="2">
        <f>K11*'Output-Calculation-sheet'!K55/10^9</f>
        <v>0.77310912031131507</v>
      </c>
      <c r="L66" s="2">
        <f>L11*'Output-Calculation-sheet'!L55/10^9</f>
        <v>0.74951957696235749</v>
      </c>
      <c r="M66" s="2">
        <f>M11*'Output-Calculation-sheet'!M55/10^9</f>
        <v>1.2723694766233777</v>
      </c>
      <c r="N66" s="2">
        <f>N11*'Output-Calculation-sheet'!N55/10^9</f>
        <v>1.1060952233624906</v>
      </c>
      <c r="O66" s="2">
        <f>O11*'Output-Calculation-sheet'!O55/10^9</f>
        <v>1.2610984966460888</v>
      </c>
      <c r="P66" s="2">
        <f>P11*'Output-Calculation-sheet'!P55/10^9</f>
        <v>0.80866659406839658</v>
      </c>
      <c r="Q66" s="2">
        <f>Q11*'Output-Calculation-sheet'!Q55/10^9</f>
        <v>0.83179784884805974</v>
      </c>
      <c r="R66" s="2">
        <f>R11*'Output-Calculation-sheet'!R55/10^9</f>
        <v>0.61543176590813731</v>
      </c>
      <c r="S66" s="2">
        <f>S11*'Output-Calculation-sheet'!S55/10^9</f>
        <v>0.63885607443744208</v>
      </c>
      <c r="T66" s="2">
        <f>T11*'Output-Calculation-sheet'!T55/10^9</f>
        <v>0.19282708274939708</v>
      </c>
      <c r="U66" s="2">
        <f>U11*'Output-Calculation-sheet'!U55/10^9</f>
        <v>0.20986681799970036</v>
      </c>
      <c r="V66" s="2">
        <f>V11*'Output-Calculation-sheet'!V55/10^9</f>
        <v>0.18223941185222159</v>
      </c>
      <c r="W66" s="2">
        <f>W11*'Output-Calculation-sheet'!W55/10^9</f>
        <v>8.9279791444380058E-2</v>
      </c>
      <c r="X66" s="2">
        <f>X11*'Output-Calculation-sheet'!X55/10^9</f>
        <v>0.16683557739628896</v>
      </c>
      <c r="Y66" s="2">
        <f>Y11*'Output-Calculation-sheet'!Y55/10^9</f>
        <v>8.5663432059805131E-2</v>
      </c>
      <c r="AA66" s="2">
        <f t="shared" si="4"/>
        <v>36.294753416353011</v>
      </c>
    </row>
    <row r="67" spans="1:27" x14ac:dyDescent="0.25">
      <c r="A67" s="2">
        <v>2035</v>
      </c>
      <c r="B67" s="2">
        <f>B12*'Output-Calculation-sheet'!B56/10^9</f>
        <v>12.079650667876821</v>
      </c>
      <c r="C67" s="2">
        <f>C12*'Output-Calculation-sheet'!C56/10^9</f>
        <v>7.6334381103233415</v>
      </c>
      <c r="D67" s="2">
        <f>D12*'Output-Calculation-sheet'!D56/10^9</f>
        <v>2.3959941947494876</v>
      </c>
      <c r="E67" s="2">
        <f>E12*'Output-Calculation-sheet'!E56/10^9</f>
        <v>3.2766556234720707</v>
      </c>
      <c r="F67" s="2">
        <f>F12*'Output-Calculation-sheet'!F56/10^9</f>
        <v>1.2842312204087489</v>
      </c>
      <c r="G67" s="2">
        <f>G12*'Output-Calculation-sheet'!G56/10^9</f>
        <v>0.94754264485164963</v>
      </c>
      <c r="H67" s="2">
        <f>H12*'Output-Calculation-sheet'!H56/10^9</f>
        <v>2.0148600637588467</v>
      </c>
      <c r="I67" s="2">
        <f>I12*'Output-Calculation-sheet'!I56/10^9</f>
        <v>0.86818249505560208</v>
      </c>
      <c r="J67" s="2">
        <f>J12*'Output-Calculation-sheet'!J56/10^9</f>
        <v>0.79423928099782937</v>
      </c>
      <c r="K67" s="2">
        <f>K12*'Output-Calculation-sheet'!K56/10^9</f>
        <v>0.95159810220645669</v>
      </c>
      <c r="L67" s="2">
        <f>L12*'Output-Calculation-sheet'!L56/10^9</f>
        <v>0.88717483000506758</v>
      </c>
      <c r="M67" s="2">
        <f>M12*'Output-Calculation-sheet'!M56/10^9</f>
        <v>1.4256121312730121</v>
      </c>
      <c r="N67" s="2">
        <f>N12*'Output-Calculation-sheet'!N56/10^9</f>
        <v>1.2176049214758358</v>
      </c>
      <c r="O67" s="2">
        <f>O12*'Output-Calculation-sheet'!O56/10^9</f>
        <v>1.3467217005444376</v>
      </c>
      <c r="P67" s="2">
        <f>P12*'Output-Calculation-sheet'!P56/10^9</f>
        <v>0.98811423307097102</v>
      </c>
      <c r="Q67" s="2">
        <f>Q12*'Output-Calculation-sheet'!Q56/10^9</f>
        <v>0.93342235299722154</v>
      </c>
      <c r="R67" s="2">
        <f>R12*'Output-Calculation-sheet'!R56/10^9</f>
        <v>0.73296077459587117</v>
      </c>
      <c r="S67" s="2">
        <f>S12*'Output-Calculation-sheet'!S56/10^9</f>
        <v>0.70755636785709564</v>
      </c>
      <c r="T67" s="2">
        <f>T12*'Output-Calculation-sheet'!T56/10^9</f>
        <v>0.22792122137973556</v>
      </c>
      <c r="U67" s="2">
        <f>U12*'Output-Calculation-sheet'!U56/10^9</f>
        <v>0.24641542667299401</v>
      </c>
      <c r="V67" s="2">
        <f>V12*'Output-Calculation-sheet'!V56/10^9</f>
        <v>0.17591046218750259</v>
      </c>
      <c r="W67" s="2">
        <f>W12*'Output-Calculation-sheet'!W56/10^9</f>
        <v>0.11928727529163496</v>
      </c>
      <c r="X67" s="2">
        <f>X12*'Output-Calculation-sheet'!X56/10^9</f>
        <v>0.18517703091428428</v>
      </c>
      <c r="Y67" s="2">
        <f>Y12*'Output-Calculation-sheet'!Y56/10^9</f>
        <v>0.11130714281791189</v>
      </c>
      <c r="AA67" s="2">
        <f t="shared" si="4"/>
        <v>41.551578274784433</v>
      </c>
    </row>
    <row r="68" spans="1:27" x14ac:dyDescent="0.25">
      <c r="B68" s="2">
        <f>SUM(B60:B67)</f>
        <v>66.761034536594451</v>
      </c>
      <c r="C68" s="2">
        <f t="shared" ref="C68:Y68" si="5">SUM(C60:C67)</f>
        <v>38.535115144781443</v>
      </c>
      <c r="D68" s="2">
        <f t="shared" si="5"/>
        <v>12.131192172964536</v>
      </c>
      <c r="E68" s="2">
        <f t="shared" si="5"/>
        <v>15.800217882004027</v>
      </c>
      <c r="F68" s="2">
        <f t="shared" si="5"/>
        <v>6.4707985105064241</v>
      </c>
      <c r="G68" s="2">
        <f t="shared" si="5"/>
        <v>4.6734300575223777</v>
      </c>
      <c r="H68" s="2">
        <f t="shared" si="5"/>
        <v>9.9118316510164526</v>
      </c>
      <c r="I68" s="2">
        <f t="shared" si="5"/>
        <v>4.21922013254113</v>
      </c>
      <c r="J68" s="2">
        <f t="shared" si="5"/>
        <v>4.4166580091733225</v>
      </c>
      <c r="K68" s="2">
        <f t="shared" si="5"/>
        <v>4.6681577368316676</v>
      </c>
      <c r="L68" s="2">
        <f t="shared" si="5"/>
        <v>4.6928552414753897</v>
      </c>
      <c r="M68" s="2">
        <f t="shared" si="5"/>
        <v>7.2264208463579207</v>
      </c>
      <c r="N68" s="2">
        <f t="shared" si="5"/>
        <v>6.1573036371761667</v>
      </c>
      <c r="O68" s="2">
        <f t="shared" si="5"/>
        <v>6.6999389235362514</v>
      </c>
      <c r="P68" s="2">
        <f t="shared" si="5"/>
        <v>4.9679004389148442</v>
      </c>
      <c r="Q68" s="2">
        <f t="shared" si="5"/>
        <v>4.795175313756399</v>
      </c>
      <c r="R68" s="2">
        <f t="shared" si="5"/>
        <v>3.8666816199152936</v>
      </c>
      <c r="S68" s="2">
        <f t="shared" si="5"/>
        <v>3.708649796869091</v>
      </c>
      <c r="T68" s="2">
        <f t="shared" si="5"/>
        <v>1.2538240563146339</v>
      </c>
      <c r="U68" s="2">
        <f t="shared" si="5"/>
        <v>1.266873699351317</v>
      </c>
      <c r="V68" s="2">
        <f t="shared" si="5"/>
        <v>1.1426993339602523</v>
      </c>
      <c r="W68" s="2">
        <f t="shared" si="5"/>
        <v>0.59486746721343764</v>
      </c>
      <c r="X68" s="2">
        <f t="shared" si="5"/>
        <v>0.97491591858084292</v>
      </c>
      <c r="Y68" s="2">
        <f t="shared" si="5"/>
        <v>0.51330766941155226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62.440250769574213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55.58122613259566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220.53370439117109</v>
      </c>
      <c r="S74" s="2">
        <f>S8/'Output-Calculation-sheet'!S7*'Output-Calculation-sheet'!S61</f>
        <v>0</v>
      </c>
      <c r="T74" s="2">
        <f>T8/'Output-Calculation-sheet'!T7*'Output-Calculation-sheet'!T61</f>
        <v>162.46166711727349</v>
      </c>
      <c r="U74" s="2">
        <f>U8/'Output-Calculation-sheet'!U7*'Output-Calculation-sheet'!U61</f>
        <v>20.580102575578035</v>
      </c>
      <c r="V74" s="2">
        <f>V8/'Output-Calculation-sheet'!V7*'Output-Calculation-sheet'!V61</f>
        <v>186.48268188061226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0.70807963286680475</v>
      </c>
    </row>
    <row r="75" spans="1:27" x14ac:dyDescent="0.25">
      <c r="A75" s="2">
        <v>2032</v>
      </c>
      <c r="B75" s="2">
        <f>B9/'Output-Calculation-sheet'!B8*'Output-Calculation-sheet'!B62</f>
        <v>695.29835978726555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141.01251756912521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112.98041857616123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298.94323931015663</v>
      </c>
      <c r="S75" s="2">
        <f>S9/'Output-Calculation-sheet'!S8*'Output-Calculation-sheet'!S62</f>
        <v>0</v>
      </c>
      <c r="T75" s="2">
        <f>T9/'Output-Calculation-sheet'!T8*'Output-Calculation-sheet'!T62</f>
        <v>197.45909296359164</v>
      </c>
      <c r="U75" s="2">
        <f>U9/'Output-Calculation-sheet'!U8*'Output-Calculation-sheet'!U62</f>
        <v>40.363206271906435</v>
      </c>
      <c r="V75" s="2">
        <f>V9/'Output-Calculation-sheet'!V8*'Output-Calculation-sheet'!V62</f>
        <v>211.52150891234211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1.6975783433905489</v>
      </c>
    </row>
    <row r="76" spans="1:27" x14ac:dyDescent="0.25">
      <c r="A76" s="2">
        <v>2033</v>
      </c>
      <c r="B76" s="2">
        <f>B10/'Output-Calculation-sheet'!B9*'Output-Calculation-sheet'!B63</f>
        <v>7096.8678824863891</v>
      </c>
      <c r="C76" s="2">
        <f>C10/'Output-Calculation-sheet'!C9*'Output-Calculation-sheet'!C63</f>
        <v>14495.048332025797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4621.5407217052752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3146.8004875194579</v>
      </c>
      <c r="N76" s="2">
        <f>N10/'Output-Calculation-sheet'!N9*'Output-Calculation-sheet'!N63</f>
        <v>1797.5917715309665</v>
      </c>
      <c r="O76" s="2">
        <f>O10/'Output-Calculation-sheet'!O9*'Output-Calculation-sheet'!O63</f>
        <v>0</v>
      </c>
      <c r="P76" s="2">
        <f>P10/'Output-Calculation-sheet'!P9*'Output-Calculation-sheet'!P63</f>
        <v>624.21558185958054</v>
      </c>
      <c r="Q76" s="2">
        <f>Q10/'Output-Calculation-sheet'!Q9*'Output-Calculation-sheet'!Q63</f>
        <v>281.54631282962839</v>
      </c>
      <c r="R76" s="2">
        <f>R10/'Output-Calculation-sheet'!R9*'Output-Calculation-sheet'!R63</f>
        <v>475.75207255288922</v>
      </c>
      <c r="S76" s="2">
        <f>S10/'Output-Calculation-sheet'!S9*'Output-Calculation-sheet'!S63</f>
        <v>799.34710517930273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168.11436512296703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370.55811762964316</v>
      </c>
      <c r="Y76" s="2">
        <f>Y10/'Output-Calculation-sheet'!Y9*'Output-Calculation-sheet'!Y63</f>
        <v>7.0299625953515461</v>
      </c>
      <c r="AA76" s="2">
        <f t="shared" si="6"/>
        <v>34.050801440641344</v>
      </c>
    </row>
    <row r="77" spans="1:27" x14ac:dyDescent="0.25">
      <c r="A77" s="2">
        <v>2034</v>
      </c>
      <c r="B77" s="2">
        <f>B11/'Output-Calculation-sheet'!B10*'Output-Calculation-sheet'!B64</f>
        <v>17968.184550038015</v>
      </c>
      <c r="C77" s="2">
        <f>C11/'Output-Calculation-sheet'!C10*'Output-Calculation-sheet'!C64</f>
        <v>15784.33349712931</v>
      </c>
      <c r="D77" s="2">
        <f>D11/'Output-Calculation-sheet'!D10*'Output-Calculation-sheet'!D64</f>
        <v>2214.6646685460337</v>
      </c>
      <c r="E77" s="2">
        <f>E11/'Output-Calculation-sheet'!E10*'Output-Calculation-sheet'!E64</f>
        <v>2736.5561315799064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1169.3489119441688</v>
      </c>
      <c r="H77" s="2">
        <f>H11/'Output-Calculation-sheet'!H10*'Output-Calculation-sheet'!H64</f>
        <v>5793.5143254322757</v>
      </c>
      <c r="I77" s="2">
        <f>I11/'Output-Calculation-sheet'!I10*'Output-Calculation-sheet'!I64</f>
        <v>689.84696113135874</v>
      </c>
      <c r="J77" s="2">
        <f>J11/'Output-Calculation-sheet'!J10*'Output-Calculation-sheet'!J64</f>
        <v>491.75487241302426</v>
      </c>
      <c r="K77" s="2">
        <f>K11/'Output-Calculation-sheet'!K10*'Output-Calculation-sheet'!K64</f>
        <v>1042.6296985662646</v>
      </c>
      <c r="L77" s="2">
        <f>L11/'Output-Calculation-sheet'!L10*'Output-Calculation-sheet'!L64</f>
        <v>452.70589110238967</v>
      </c>
      <c r="M77" s="2">
        <f>M11/'Output-Calculation-sheet'!M10*'Output-Calculation-sheet'!M64</f>
        <v>4120.6420401813912</v>
      </c>
      <c r="N77" s="2">
        <f>N11/'Output-Calculation-sheet'!N10*'Output-Calculation-sheet'!N64</f>
        <v>2931.7356114083132</v>
      </c>
      <c r="O77" s="2">
        <f>O11/'Output-Calculation-sheet'!O10*'Output-Calculation-sheet'!O64</f>
        <v>102.21659804480339</v>
      </c>
      <c r="P77" s="2">
        <f>P11/'Output-Calculation-sheet'!P10*'Output-Calculation-sheet'!P64</f>
        <v>1293.9594162454316</v>
      </c>
      <c r="Q77" s="2">
        <f>Q11/'Output-Calculation-sheet'!Q10*'Output-Calculation-sheet'!Q64</f>
        <v>738.36058449970324</v>
      </c>
      <c r="R77" s="2">
        <f>R11/'Output-Calculation-sheet'!R10*'Output-Calculation-sheet'!R64</f>
        <v>1107.2911994065453</v>
      </c>
      <c r="S77" s="2">
        <f>S11/'Output-Calculation-sheet'!S10*'Output-Calculation-sheet'!S64</f>
        <v>1480.5104346489236</v>
      </c>
      <c r="T77" s="2">
        <f>T11/'Output-Calculation-sheet'!T10*'Output-Calculation-sheet'!T64</f>
        <v>304.63266497877993</v>
      </c>
      <c r="U77" s="2">
        <f>U11/'Output-Calculation-sheet'!U10*'Output-Calculation-sheet'!U64</f>
        <v>404.8923748989796</v>
      </c>
      <c r="V77" s="2">
        <f>V11/'Output-Calculation-sheet'!V10*'Output-Calculation-sheet'!V64</f>
        <v>161.40239216074977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418.70097285246544</v>
      </c>
      <c r="Y77" s="2">
        <f>Y11/'Output-Calculation-sheet'!Y10*'Output-Calculation-sheet'!Y64</f>
        <v>101.37860866538855</v>
      </c>
      <c r="AA77" s="2">
        <f t="shared" si="6"/>
        <v>61.713754751040263</v>
      </c>
    </row>
    <row r="78" spans="1:27" x14ac:dyDescent="0.25">
      <c r="A78" s="2">
        <v>2035</v>
      </c>
      <c r="B78" s="2">
        <f>B12/'Output-Calculation-sheet'!B11*'Output-Calculation-sheet'!B65</f>
        <v>23377.48241195214</v>
      </c>
      <c r="C78" s="2">
        <f>C12/'Output-Calculation-sheet'!C11*'Output-Calculation-sheet'!C65</f>
        <v>16508.682241468032</v>
      </c>
      <c r="D78" s="2">
        <f>D12/'Output-Calculation-sheet'!D11*'Output-Calculation-sheet'!D65</f>
        <v>2481.8938259982287</v>
      </c>
      <c r="E78" s="2">
        <f>E12/'Output-Calculation-sheet'!E11*'Output-Calculation-sheet'!E65</f>
        <v>4718.0141836460634</v>
      </c>
      <c r="F78" s="2">
        <f>F12/'Output-Calculation-sheet'!F11*'Output-Calculation-sheet'!F65</f>
        <v>999.3602503194079</v>
      </c>
      <c r="G78" s="2">
        <f>G12/'Output-Calculation-sheet'!G11*'Output-Calculation-sheet'!G65</f>
        <v>1875.1806336141135</v>
      </c>
      <c r="H78" s="2">
        <f>H12/'Output-Calculation-sheet'!H11*'Output-Calculation-sheet'!H65</f>
        <v>6037.3419957290707</v>
      </c>
      <c r="I78" s="2">
        <f>I12/'Output-Calculation-sheet'!I11*'Output-Calculation-sheet'!I65</f>
        <v>1102.6655313968747</v>
      </c>
      <c r="J78" s="2">
        <f>J12/'Output-Calculation-sheet'!J11*'Output-Calculation-sheet'!J65</f>
        <v>988.90536842962661</v>
      </c>
      <c r="K78" s="2">
        <f>K12/'Output-Calculation-sheet'!K11*'Output-Calculation-sheet'!K65</f>
        <v>1247.9506866627748</v>
      </c>
      <c r="L78" s="2">
        <f>L12/'Output-Calculation-sheet'!L11*'Output-Calculation-sheet'!L65</f>
        <v>742.01517184198337</v>
      </c>
      <c r="M78" s="2">
        <f>M12/'Output-Calculation-sheet'!M11*'Output-Calculation-sheet'!M65</f>
        <v>4297.5607655765962</v>
      </c>
      <c r="N78" s="2">
        <f>N12/'Output-Calculation-sheet'!N11*'Output-Calculation-sheet'!N65</f>
        <v>3021.8792268035277</v>
      </c>
      <c r="O78" s="2">
        <f>O12/'Output-Calculation-sheet'!O11*'Output-Calculation-sheet'!O65</f>
        <v>423.6284142322927</v>
      </c>
      <c r="P78" s="2">
        <f>P12/'Output-Calculation-sheet'!P11*'Output-Calculation-sheet'!P65</f>
        <v>1717.9064299441779</v>
      </c>
      <c r="Q78" s="2">
        <f>Q12/'Output-Calculation-sheet'!Q11*'Output-Calculation-sheet'!Q65</f>
        <v>864.08989087881253</v>
      </c>
      <c r="R78" s="2">
        <f>R12/'Output-Calculation-sheet'!R11*'Output-Calculation-sheet'!R65</f>
        <v>1424.2815895142894</v>
      </c>
      <c r="S78" s="2">
        <f>S12/'Output-Calculation-sheet'!S11*'Output-Calculation-sheet'!S65</f>
        <v>1606.8094551138408</v>
      </c>
      <c r="T78" s="2">
        <f>T12/'Output-Calculation-sheet'!T11*'Output-Calculation-sheet'!T65</f>
        <v>512.13851303654337</v>
      </c>
      <c r="U78" s="2">
        <f>U12/'Output-Calculation-sheet'!U11*'Output-Calculation-sheet'!U65</f>
        <v>438.8078965617583</v>
      </c>
      <c r="V78" s="2">
        <f>V12/'Output-Calculation-sheet'!V11*'Output-Calculation-sheet'!V65</f>
        <v>276.39043900185447</v>
      </c>
      <c r="W78" s="2">
        <f>W12/'Output-Calculation-sheet'!W11*'Output-Calculation-sheet'!W65</f>
        <v>194.67060361176283</v>
      </c>
      <c r="X78" s="2">
        <f>X12/'Output-Calculation-sheet'!X11*'Output-Calculation-sheet'!X65</f>
        <v>442.93829692497519</v>
      </c>
      <c r="Y78" s="2">
        <f>Y12/'Output-Calculation-sheet'!Y11*'Output-Calculation-sheet'!Y65</f>
        <v>190.01782218792619</v>
      </c>
      <c r="AA78" s="2">
        <f t="shared" si="6"/>
        <v>75.490611644446673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523.15473822592833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508.17445791564359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1.0313291961415718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1094.4337182419199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42.112597951852671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28.977588344536194</v>
      </c>
      <c r="N88" s="2">
        <f>N11/'Output-Calculation-sheet'!N10*'Output-Calculation-sheet'!N73</f>
        <v>0</v>
      </c>
      <c r="O88" s="2">
        <f>O11/'Output-Calculation-sheet'!O10*'Output-Calculation-sheet'!O73</f>
        <v>611.27970749622409</v>
      </c>
      <c r="P88" s="2">
        <f>P11/'Output-Calculation-sheet'!P10*'Output-Calculation-sheet'!P73</f>
        <v>0</v>
      </c>
      <c r="Q88" s="2">
        <f>Q11/'Output-Calculation-sheet'!Q10*'Output-Calculation-sheet'!Q73</f>
        <v>24.953044423781794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3.1789128769775381</v>
      </c>
      <c r="Y88" s="2">
        <f>Y11/'Output-Calculation-sheet'!Y10*'Output-Calculation-sheet'!Y73</f>
        <v>0</v>
      </c>
      <c r="AA88" s="2">
        <f t="shared" si="7"/>
        <v>1.8049355693352922</v>
      </c>
    </row>
    <row r="89" spans="1:27" x14ac:dyDescent="0.25">
      <c r="A89" s="2">
        <v>2035</v>
      </c>
      <c r="B89" s="2">
        <f>B12/'Output-Calculation-sheet'!B11*'Output-Calculation-sheet'!B74</f>
        <v>589.28392054528854</v>
      </c>
      <c r="C89" s="2">
        <f>C12/'Output-Calculation-sheet'!C11*'Output-Calculation-sheet'!C74</f>
        <v>1817.9673966259024</v>
      </c>
      <c r="D89" s="2">
        <f>D12/'Output-Calculation-sheet'!D11*'Output-Calculation-sheet'!D74</f>
        <v>247.75580993244111</v>
      </c>
      <c r="E89" s="2">
        <f>E12/'Output-Calculation-sheet'!E11*'Output-Calculation-sheet'!E74</f>
        <v>196.89978438937726</v>
      </c>
      <c r="F89" s="2">
        <f>F12/'Output-Calculation-sheet'!F11*'Output-Calculation-sheet'!F74</f>
        <v>61.918231122639895</v>
      </c>
      <c r="G89" s="2">
        <f>G12/'Output-Calculation-sheet'!G11*'Output-Calculation-sheet'!G74</f>
        <v>88.875332177549339</v>
      </c>
      <c r="H89" s="2">
        <f>H12/'Output-Calculation-sheet'!H11*'Output-Calculation-sheet'!H74</f>
        <v>215.2411475453514</v>
      </c>
      <c r="I89" s="2">
        <f>I12/'Output-Calculation-sheet'!I11*'Output-Calculation-sheet'!I74</f>
        <v>79.938055052694992</v>
      </c>
      <c r="J89" s="2">
        <f>J12/'Output-Calculation-sheet'!J11*'Output-Calculation-sheet'!J74</f>
        <v>39.556214737185066</v>
      </c>
      <c r="K89" s="2">
        <f>K12/'Output-Calculation-sheet'!K11*'Output-Calculation-sheet'!K74</f>
        <v>78.566525224299596</v>
      </c>
      <c r="L89" s="2">
        <f>L12/'Output-Calculation-sheet'!L11*'Output-Calculation-sheet'!L74</f>
        <v>62.472336084359789</v>
      </c>
      <c r="M89" s="2">
        <f>M12/'Output-Calculation-sheet'!M11*'Output-Calculation-sheet'!M74</f>
        <v>118.48557765076806</v>
      </c>
      <c r="N89" s="2">
        <f>N12/'Output-Calculation-sheet'!N11*'Output-Calculation-sheet'!N74</f>
        <v>87.33923274447082</v>
      </c>
      <c r="O89" s="2">
        <f>O12/'Output-Calculation-sheet'!O11*'Output-Calculation-sheet'!O74</f>
        <v>706.36431540047522</v>
      </c>
      <c r="P89" s="2">
        <f>P12/'Output-Calculation-sheet'!P11*'Output-Calculation-sheet'!P74</f>
        <v>53.790475935253092</v>
      </c>
      <c r="Q89" s="2">
        <f>Q12/'Output-Calculation-sheet'!Q11*'Output-Calculation-sheet'!Q74</f>
        <v>76.522307020794599</v>
      </c>
      <c r="R89" s="2">
        <f>R12/'Output-Calculation-sheet'!R11*'Output-Calculation-sheet'!R74</f>
        <v>50.59075727326713</v>
      </c>
      <c r="S89" s="2">
        <f>S12/'Output-Calculation-sheet'!S11*'Output-Calculation-sheet'!S74</f>
        <v>50.06572739807568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16.276861032002607</v>
      </c>
      <c r="V89" s="2">
        <f>V12/'Output-Calculation-sheet'!V11*'Output-Calculation-sheet'!V74</f>
        <v>6.2754680426368425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19.497239938593857</v>
      </c>
      <c r="Y89" s="2">
        <f>Y12/'Output-Calculation-sheet'!Y11*'Output-Calculation-sheet'!Y74</f>
        <v>6.2717327234235887</v>
      </c>
      <c r="AA89" s="2">
        <f t="shared" si="7"/>
        <v>4.6847469333283946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18069113318.272217</v>
      </c>
      <c r="C96" s="2">
        <f>C8/'Output-Calculation-sheet'!C7*'Output-Calculation-sheet'!C79</f>
        <v>2224116516.0807309</v>
      </c>
      <c r="D96" s="2">
        <f>D8/'Output-Calculation-sheet'!D7*'Output-Calculation-sheet'!D79</f>
        <v>7876277572.3127251</v>
      </c>
      <c r="E96" s="2">
        <f>E8/'Output-Calculation-sheet'!E7*'Output-Calculation-sheet'!E79</f>
        <v>13466654802.479773</v>
      </c>
      <c r="F96" s="2">
        <f>F8/'Output-Calculation-sheet'!F7*'Output-Calculation-sheet'!F79</f>
        <v>6060444106.6124802</v>
      </c>
      <c r="G96" s="2">
        <f>G8/'Output-Calculation-sheet'!G7*'Output-Calculation-sheet'!G79</f>
        <v>4603182539.485178</v>
      </c>
      <c r="H96" s="2">
        <f>H8/'Output-Calculation-sheet'!H7*'Output-Calculation-sheet'!H79</f>
        <v>1339222816.1630471</v>
      </c>
      <c r="I96" s="2">
        <f>I8/'Output-Calculation-sheet'!I7*'Output-Calculation-sheet'!I79</f>
        <v>3087690023.6186242</v>
      </c>
      <c r="J96" s="2">
        <f>J8/'Output-Calculation-sheet'!J7*'Output-Calculation-sheet'!J79</f>
        <v>2288031816.2365065</v>
      </c>
      <c r="K96" s="2">
        <f>K8/'Output-Calculation-sheet'!K7*'Output-Calculation-sheet'!K79</f>
        <v>2645539984.4397626</v>
      </c>
      <c r="L96" s="2">
        <f>L8/'Output-Calculation-sheet'!L7*'Output-Calculation-sheet'!L79</f>
        <v>2104478447.6782141</v>
      </c>
      <c r="M96" s="2">
        <f>M8/'Output-Calculation-sheet'!M7*'Output-Calculation-sheet'!M79</f>
        <v>1041126228.2134532</v>
      </c>
      <c r="N96" s="2">
        <f>N8/'Output-Calculation-sheet'!N7*'Output-Calculation-sheet'!N79</f>
        <v>1057366983.3810544</v>
      </c>
      <c r="O96" s="2">
        <f>O8/'Output-Calculation-sheet'!O7*'Output-Calculation-sheet'!O79</f>
        <v>258103379.59684795</v>
      </c>
      <c r="P96" s="2">
        <f>P8/'Output-Calculation-sheet'!P7*'Output-Calculation-sheet'!P79</f>
        <v>2812232673.6812801</v>
      </c>
      <c r="Q96" s="2">
        <f>Q8/'Output-Calculation-sheet'!Q7*'Output-Calculation-sheet'!Q79</f>
        <v>1247033042.9752381</v>
      </c>
      <c r="R96" s="2">
        <f>R8/'Output-Calculation-sheet'!R7*'Output-Calculation-sheet'!R79</f>
        <v>1897340491.0906212</v>
      </c>
      <c r="S96" s="2">
        <f>S8/'Output-Calculation-sheet'!S7*'Output-Calculation-sheet'!S79</f>
        <v>741617036.59067118</v>
      </c>
      <c r="T96" s="2">
        <f>T8/'Output-Calculation-sheet'!T7*'Output-Calculation-sheet'!T79</f>
        <v>1004386203.3174336</v>
      </c>
      <c r="U96" s="2">
        <f>U8/'Output-Calculation-sheet'!U7*'Output-Calculation-sheet'!U79</f>
        <v>498850637.96930033</v>
      </c>
      <c r="V96" s="2">
        <f>V8/'Output-Calculation-sheet'!V7*'Output-Calculation-sheet'!V79</f>
        <v>367587621.77179676</v>
      </c>
      <c r="W96" s="2">
        <f>W8/'Output-Calculation-sheet'!W7*'Output-Calculation-sheet'!W79</f>
        <v>979269539.62309086</v>
      </c>
      <c r="X96" s="2">
        <f>X8/'Output-Calculation-sheet'!X7*'Output-Calculation-sheet'!X79</f>
        <v>116041308.74991961</v>
      </c>
      <c r="Y96" s="2">
        <f>Y8/'Output-Calculation-sheet'!Y7*'Output-Calculation-sheet'!Y79</f>
        <v>439484140.36552972</v>
      </c>
      <c r="AA96" s="2">
        <f t="shared" si="8"/>
        <v>76.225191230705477</v>
      </c>
    </row>
    <row r="97" spans="1:27" x14ac:dyDescent="0.25">
      <c r="A97" s="2">
        <v>2032</v>
      </c>
      <c r="B97" s="2">
        <f>B9/'Output-Calculation-sheet'!B8*'Output-Calculation-sheet'!B80</f>
        <v>20680095245.274891</v>
      </c>
      <c r="C97" s="2">
        <f>C9/'Output-Calculation-sheet'!C8*'Output-Calculation-sheet'!C80</f>
        <v>2598107571.3913612</v>
      </c>
      <c r="D97" s="2">
        <f>D9/'Output-Calculation-sheet'!D8*'Output-Calculation-sheet'!D80</f>
        <v>8556855710.0778904</v>
      </c>
      <c r="E97" s="2">
        <f>E9/'Output-Calculation-sheet'!E8*'Output-Calculation-sheet'!E80</f>
        <v>15065247329.978018</v>
      </c>
      <c r="F97" s="2">
        <f>F9/'Output-Calculation-sheet'!F8*'Output-Calculation-sheet'!F80</f>
        <v>6764207317.2574644</v>
      </c>
      <c r="G97" s="2">
        <f>G9/'Output-Calculation-sheet'!G8*'Output-Calculation-sheet'!G80</f>
        <v>5006737400.6932774</v>
      </c>
      <c r="H97" s="2">
        <f>H9/'Output-Calculation-sheet'!H8*'Output-Calculation-sheet'!H80</f>
        <v>1517073792.3907948</v>
      </c>
      <c r="I97" s="2">
        <f>I9/'Output-Calculation-sheet'!I8*'Output-Calculation-sheet'!I80</f>
        <v>3477536409.8669577</v>
      </c>
      <c r="J97" s="2">
        <f>J9/'Output-Calculation-sheet'!J8*'Output-Calculation-sheet'!J80</f>
        <v>2509245751.1707931</v>
      </c>
      <c r="K97" s="2">
        <f>K9/'Output-Calculation-sheet'!K8*'Output-Calculation-sheet'!K80</f>
        <v>2920835930.5036564</v>
      </c>
      <c r="L97" s="2">
        <f>L9/'Output-Calculation-sheet'!L8*'Output-Calculation-sheet'!L80</f>
        <v>2394919076.4025722</v>
      </c>
      <c r="M97" s="2">
        <f>M9/'Output-Calculation-sheet'!M8*'Output-Calculation-sheet'!M80</f>
        <v>1179194317.3356013</v>
      </c>
      <c r="N97" s="2">
        <f>N9/'Output-Calculation-sheet'!N8*'Output-Calculation-sheet'!N80</f>
        <v>1168731325.1598308</v>
      </c>
      <c r="O97" s="2">
        <f>O9/'Output-Calculation-sheet'!O8*'Output-Calculation-sheet'!O80</f>
        <v>305016883.36874133</v>
      </c>
      <c r="P97" s="2">
        <f>P9/'Output-Calculation-sheet'!P8*'Output-Calculation-sheet'!P80</f>
        <v>3101861916.6989112</v>
      </c>
      <c r="Q97" s="2">
        <f>Q9/'Output-Calculation-sheet'!Q8*'Output-Calculation-sheet'!Q80</f>
        <v>1379263800.8788869</v>
      </c>
      <c r="R97" s="2">
        <f>R9/'Output-Calculation-sheet'!R8*'Output-Calculation-sheet'!R80</f>
        <v>2146337514.2593536</v>
      </c>
      <c r="S97" s="2">
        <f>S9/'Output-Calculation-sheet'!S8*'Output-Calculation-sheet'!S80</f>
        <v>827774968.32079005</v>
      </c>
      <c r="T97" s="2">
        <f>T9/'Output-Calculation-sheet'!T8*'Output-Calculation-sheet'!T80</f>
        <v>1106819182.2449961</v>
      </c>
      <c r="U97" s="2">
        <f>U9/'Output-Calculation-sheet'!U8*'Output-Calculation-sheet'!U80</f>
        <v>561734071.9036597</v>
      </c>
      <c r="V97" s="2">
        <f>V9/'Output-Calculation-sheet'!V8*'Output-Calculation-sheet'!V80</f>
        <v>413789957.55355322</v>
      </c>
      <c r="W97" s="2">
        <f>W9/'Output-Calculation-sheet'!W8*'Output-Calculation-sheet'!W80</f>
        <v>1082124788.7760067</v>
      </c>
      <c r="X97" s="2">
        <f>X9/'Output-Calculation-sheet'!X8*'Output-Calculation-sheet'!X80</f>
        <v>132517753.11848052</v>
      </c>
      <c r="Y97" s="2">
        <f>Y9/'Output-Calculation-sheet'!Y8*'Output-Calculation-sheet'!Y80</f>
        <v>485923019.7044794</v>
      </c>
      <c r="AA97" s="2">
        <f t="shared" si="8"/>
        <v>85.381951034330982</v>
      </c>
    </row>
    <row r="98" spans="1:27" x14ac:dyDescent="0.25">
      <c r="A98" s="2">
        <v>2033</v>
      </c>
      <c r="B98" s="2">
        <f>B10/'Output-Calculation-sheet'!B9*'Output-Calculation-sheet'!B81</f>
        <v>25857562409.074036</v>
      </c>
      <c r="C98" s="2">
        <f>C10/'Output-Calculation-sheet'!C9*'Output-Calculation-sheet'!C81</f>
        <v>8865254636.839407</v>
      </c>
      <c r="D98" s="2">
        <f>D10/'Output-Calculation-sheet'!D9*'Output-Calculation-sheet'!D81</f>
        <v>8437022275.0875969</v>
      </c>
      <c r="E98" s="2">
        <f>E10/'Output-Calculation-sheet'!E9*'Output-Calculation-sheet'!E81</f>
        <v>15870569754.570684</v>
      </c>
      <c r="F98" s="2">
        <f>F10/'Output-Calculation-sheet'!F9*'Output-Calculation-sheet'!F81</f>
        <v>6545406575.6392183</v>
      </c>
      <c r="G98" s="2">
        <f>G10/'Output-Calculation-sheet'!G9*'Output-Calculation-sheet'!G81</f>
        <v>4805837771.8617039</v>
      </c>
      <c r="H98" s="2">
        <f>H10/'Output-Calculation-sheet'!H9*'Output-Calculation-sheet'!H81</f>
        <v>4354128286.1833096</v>
      </c>
      <c r="I98" s="2">
        <f>I10/'Output-Calculation-sheet'!I9*'Output-Calculation-sheet'!I81</f>
        <v>3619566057.8539472</v>
      </c>
      <c r="J98" s="2">
        <f>J10/'Output-Calculation-sheet'!J9*'Output-Calculation-sheet'!J81</f>
        <v>2314441767.3229218</v>
      </c>
      <c r="K98" s="2">
        <f>K10/'Output-Calculation-sheet'!K9*'Output-Calculation-sheet'!K81</f>
        <v>3361818450.5010495</v>
      </c>
      <c r="L98" s="2">
        <f>L10/'Output-Calculation-sheet'!L9*'Output-Calculation-sheet'!L81</f>
        <v>2521414160.4650092</v>
      </c>
      <c r="M98" s="2">
        <f>M10/'Output-Calculation-sheet'!M9*'Output-Calculation-sheet'!M81</f>
        <v>3269767529.4333105</v>
      </c>
      <c r="N98" s="2">
        <f>N10/'Output-Calculation-sheet'!N9*'Output-Calculation-sheet'!N81</f>
        <v>2345803078.1516776</v>
      </c>
      <c r="O98" s="2">
        <f>O10/'Output-Calculation-sheet'!O9*'Output-Calculation-sheet'!O81</f>
        <v>1242235257.3343093</v>
      </c>
      <c r="P98" s="2">
        <f>P10/'Output-Calculation-sheet'!P9*'Output-Calculation-sheet'!P81</f>
        <v>3969823453.6152997</v>
      </c>
      <c r="Q98" s="2">
        <f>Q10/'Output-Calculation-sheet'!Q9*'Output-Calculation-sheet'!Q81</f>
        <v>1866510350.5272889</v>
      </c>
      <c r="R98" s="2">
        <f>R10/'Output-Calculation-sheet'!R9*'Output-Calculation-sheet'!R81</f>
        <v>2387549119.3508906</v>
      </c>
      <c r="S98" s="2">
        <f>S10/'Output-Calculation-sheet'!S9*'Output-Calculation-sheet'!S81</f>
        <v>1380428467.3560553</v>
      </c>
      <c r="T98" s="2">
        <f>T10/'Output-Calculation-sheet'!T9*'Output-Calculation-sheet'!T81</f>
        <v>1024334713.0494229</v>
      </c>
      <c r="U98" s="2">
        <f>U10/'Output-Calculation-sheet'!U9*'Output-Calculation-sheet'!U81</f>
        <v>666498598.98204482</v>
      </c>
      <c r="V98" s="2">
        <f>V10/'Output-Calculation-sheet'!V9*'Output-Calculation-sheet'!V81</f>
        <v>352988881.70158327</v>
      </c>
      <c r="W98" s="2">
        <f>W10/'Output-Calculation-sheet'!W9*'Output-Calculation-sheet'!W81</f>
        <v>1000845260.8972317</v>
      </c>
      <c r="X98" s="2">
        <f>X10/'Output-Calculation-sheet'!X9*'Output-Calculation-sheet'!X81</f>
        <v>367780352.54083329</v>
      </c>
      <c r="Y98" s="2">
        <f>Y10/'Output-Calculation-sheet'!Y9*'Output-Calculation-sheet'!Y81</f>
        <v>550326705.5599432</v>
      </c>
      <c r="AA98" s="2">
        <f t="shared" si="8"/>
        <v>106.97791391389873</v>
      </c>
    </row>
    <row r="99" spans="1:27" x14ac:dyDescent="0.25">
      <c r="A99" s="2">
        <v>2034</v>
      </c>
      <c r="B99" s="2">
        <f>B11/'Output-Calculation-sheet'!B10*'Output-Calculation-sheet'!B82</f>
        <v>31543966861.936867</v>
      </c>
      <c r="C99" s="2">
        <f>C11/'Output-Calculation-sheet'!C10*'Output-Calculation-sheet'!C82</f>
        <v>10883962746.352383</v>
      </c>
      <c r="D99" s="2">
        <f>D11/'Output-Calculation-sheet'!D10*'Output-Calculation-sheet'!D82</f>
        <v>9901344613.5222206</v>
      </c>
      <c r="E99" s="2">
        <f>E11/'Output-Calculation-sheet'!E10*'Output-Calculation-sheet'!E82</f>
        <v>19153282916.443104</v>
      </c>
      <c r="F99" s="2">
        <f>F11/'Output-Calculation-sheet'!F10*'Output-Calculation-sheet'!F82</f>
        <v>7888255799.7106886</v>
      </c>
      <c r="G99" s="2">
        <f>G11/'Output-Calculation-sheet'!G10*'Output-Calculation-sheet'!G82</f>
        <v>5607988542.9849138</v>
      </c>
      <c r="H99" s="2">
        <f>H11/'Output-Calculation-sheet'!H10*'Output-Calculation-sheet'!H82</f>
        <v>5241683475.6505842</v>
      </c>
      <c r="I99" s="2">
        <f>I11/'Output-Calculation-sheet'!I10*'Output-Calculation-sheet'!I82</f>
        <v>4402649209.7170334</v>
      </c>
      <c r="J99" s="2">
        <f>J11/'Output-Calculation-sheet'!J10*'Output-Calculation-sheet'!J82</f>
        <v>2739766919.3741832</v>
      </c>
      <c r="K99" s="2">
        <f>K11/'Output-Calculation-sheet'!K10*'Output-Calculation-sheet'!K82</f>
        <v>4008638533.9635386</v>
      </c>
      <c r="L99" s="2">
        <f>L11/'Output-Calculation-sheet'!L10*'Output-Calculation-sheet'!L82</f>
        <v>3094962097.4967556</v>
      </c>
      <c r="M99" s="2">
        <f>M11/'Output-Calculation-sheet'!M10*'Output-Calculation-sheet'!M82</f>
        <v>3948463005.755826</v>
      </c>
      <c r="N99" s="2">
        <f>N11/'Output-Calculation-sheet'!N10*'Output-Calculation-sheet'!N82</f>
        <v>2781695876.8988934</v>
      </c>
      <c r="O99" s="2">
        <f>O11/'Output-Calculation-sheet'!O10*'Output-Calculation-sheet'!O82</f>
        <v>1508096936.8988681</v>
      </c>
      <c r="P99" s="2">
        <f>P11/'Output-Calculation-sheet'!P10*'Output-Calculation-sheet'!P82</f>
        <v>4701079798.0732784</v>
      </c>
      <c r="Q99" s="2">
        <f>Q11/'Output-Calculation-sheet'!Q10*'Output-Calculation-sheet'!Q82</f>
        <v>2224846378.8430243</v>
      </c>
      <c r="R99" s="2">
        <f>R11/'Output-Calculation-sheet'!R10*'Output-Calculation-sheet'!R82</f>
        <v>2880053348.3748608</v>
      </c>
      <c r="S99" s="2">
        <f>S11/'Output-Calculation-sheet'!S10*'Output-Calculation-sheet'!S82</f>
        <v>1658991244.8794565</v>
      </c>
      <c r="T99" s="2">
        <f>T11/'Output-Calculation-sheet'!T10*'Output-Calculation-sheet'!T82</f>
        <v>1212528641.1274388</v>
      </c>
      <c r="U99" s="2">
        <f>U11/'Output-Calculation-sheet'!U10*'Output-Calculation-sheet'!U82</f>
        <v>802960908.86422634</v>
      </c>
      <c r="V99" s="2">
        <f>V11/'Output-Calculation-sheet'!V10*'Output-Calculation-sheet'!V82</f>
        <v>429333187.12159282</v>
      </c>
      <c r="W99" s="2">
        <f>W11/'Output-Calculation-sheet'!W10*'Output-Calculation-sheet'!W82</f>
        <v>1190555959.6214299</v>
      </c>
      <c r="X99" s="2">
        <f>X11/'Output-Calculation-sheet'!X10*'Output-Calculation-sheet'!X82</f>
        <v>448396151.71017575</v>
      </c>
      <c r="Y99" s="2">
        <f>Y11/'Output-Calculation-sheet'!Y10*'Output-Calculation-sheet'!Y82</f>
        <v>655183378.36906719</v>
      </c>
      <c r="AA99" s="2">
        <f t="shared" si="8"/>
        <v>128.90868653369037</v>
      </c>
    </row>
    <row r="100" spans="1:27" x14ac:dyDescent="0.25">
      <c r="A100" s="2">
        <v>2035</v>
      </c>
      <c r="B100" s="2">
        <f>B12/'Output-Calculation-sheet'!B11*'Output-Calculation-sheet'!B83</f>
        <v>36841912855.707329</v>
      </c>
      <c r="C100" s="2">
        <f>C12/'Output-Calculation-sheet'!C11*'Output-Calculation-sheet'!C83</f>
        <v>12790913743.511799</v>
      </c>
      <c r="D100" s="2">
        <f>D12/'Output-Calculation-sheet'!D11*'Output-Calculation-sheet'!D83</f>
        <v>11132850335.477957</v>
      </c>
      <c r="E100" s="2">
        <f>E12/'Output-Calculation-sheet'!E11*'Output-Calculation-sheet'!E83</f>
        <v>22140366720.695869</v>
      </c>
      <c r="F100" s="2">
        <f>F12/'Output-Calculation-sheet'!F11*'Output-Calculation-sheet'!F83</f>
        <v>9107664068.6451225</v>
      </c>
      <c r="G100" s="2">
        <f>G12/'Output-Calculation-sheet'!G11*'Output-Calculation-sheet'!G83</f>
        <v>6258738648.7079</v>
      </c>
      <c r="H100" s="2">
        <f>H12/'Output-Calculation-sheet'!H11*'Output-Calculation-sheet'!H83</f>
        <v>6045473806.2833338</v>
      </c>
      <c r="I100" s="2">
        <f>I12/'Output-Calculation-sheet'!I11*'Output-Calculation-sheet'!I83</f>
        <v>5129465116.6213322</v>
      </c>
      <c r="J100" s="2">
        <f>J12/'Output-Calculation-sheet'!J11*'Output-Calculation-sheet'!J83</f>
        <v>3108676635.4241319</v>
      </c>
      <c r="K100" s="2">
        <f>K12/'Output-Calculation-sheet'!K11*'Output-Calculation-sheet'!K83</f>
        <v>4580404850.6190996</v>
      </c>
      <c r="L100" s="2">
        <f>L12/'Output-Calculation-sheet'!L11*'Output-Calculation-sheet'!L83</f>
        <v>3636580279.4234719</v>
      </c>
      <c r="M100" s="2">
        <f>M12/'Output-Calculation-sheet'!M11*'Output-Calculation-sheet'!M83</f>
        <v>4568350666.8791027</v>
      </c>
      <c r="N100" s="2">
        <f>N12/'Output-Calculation-sheet'!N11*'Output-Calculation-sheet'!N83</f>
        <v>3160937841.8715158</v>
      </c>
      <c r="O100" s="2">
        <f>O12/'Output-Calculation-sheet'!O11*'Output-Calculation-sheet'!O83</f>
        <v>1754521207.272521</v>
      </c>
      <c r="P100" s="2">
        <f>P12/'Output-Calculation-sheet'!P11*'Output-Calculation-sheet'!P83</f>
        <v>5328605574.7170258</v>
      </c>
      <c r="Q100" s="2">
        <f>Q12/'Output-Calculation-sheet'!Q11*'Output-Calculation-sheet'!Q83</f>
        <v>2541769286.266778</v>
      </c>
      <c r="R100" s="2">
        <f>R12/'Output-Calculation-sheet'!R11*'Output-Calculation-sheet'!R83</f>
        <v>3328305212.0995164</v>
      </c>
      <c r="S100" s="2">
        <f>S12/'Output-Calculation-sheet'!S11*'Output-Calculation-sheet'!S83</f>
        <v>1910276186.3069568</v>
      </c>
      <c r="T100" s="2">
        <f>T12/'Output-Calculation-sheet'!T11*'Output-Calculation-sheet'!T83</f>
        <v>1374736990.132504</v>
      </c>
      <c r="U100" s="2">
        <f>U12/'Output-Calculation-sheet'!U11*'Output-Calculation-sheet'!U83</f>
        <v>926417077.86966681</v>
      </c>
      <c r="V100" s="2">
        <f>V12/'Output-Calculation-sheet'!V11*'Output-Calculation-sheet'!V83</f>
        <v>499855839.70060515</v>
      </c>
      <c r="W100" s="2">
        <f>W12/'Output-Calculation-sheet'!W11*'Output-Calculation-sheet'!W83</f>
        <v>1354232270.6166344</v>
      </c>
      <c r="X100" s="2">
        <f>X12/'Output-Calculation-sheet'!X11*'Output-Calculation-sheet'!X83</f>
        <v>523559059.11706185</v>
      </c>
      <c r="Y100" s="2">
        <f>Y12/'Output-Calculation-sheet'!Y11*'Output-Calculation-sheet'!Y83</f>
        <v>746262814.81454301</v>
      </c>
      <c r="AA100" s="2">
        <f t="shared" si="8"/>
        <v>148.7908770887818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5867.227319876034</v>
      </c>
      <c r="C19" s="2">
        <f>C8/'Output-Calculation-sheet'!C7*'Output-Calculation-sheet'!C25</f>
        <v>7823.1306162273249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2850.4871766786241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2086.4232144983821</v>
      </c>
      <c r="N19" s="2">
        <f>N8/'Output-Calculation-sheet'!N7*'Output-Calculation-sheet'!N25</f>
        <v>1086.9576002816314</v>
      </c>
      <c r="O19" s="2">
        <f>O8/'Output-Calculation-sheet'!O7*'Output-Calculation-sheet'!O25</f>
        <v>1185.355726210757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473.84886768501258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241.17683248631329</v>
      </c>
      <c r="Y19" s="2">
        <f>Y8/'Output-Calculation-sheet'!Y7*'Output-Calculation-sheet'!Y25</f>
        <v>0</v>
      </c>
      <c r="AA19" s="2">
        <f t="shared" si="0"/>
        <v>21.614607353944084</v>
      </c>
    </row>
    <row r="20" spans="1:27" x14ac:dyDescent="0.25">
      <c r="A20" s="2">
        <v>2032</v>
      </c>
      <c r="B20" s="2">
        <f>B9/'Output-Calculation-sheet'!B8*'Output-Calculation-sheet'!B26</f>
        <v>7270.3104789034533</v>
      </c>
      <c r="C20" s="2">
        <f>C9/'Output-Calculation-sheet'!C8*'Output-Calculation-sheet'!C26</f>
        <v>8379.6026202421708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3016.6925266852331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2202.8746935939948</v>
      </c>
      <c r="N20" s="2">
        <f>N9/'Output-Calculation-sheet'!N8*'Output-Calculation-sheet'!N26</f>
        <v>1253.0215109515709</v>
      </c>
      <c r="O20" s="2">
        <f>O9/'Output-Calculation-sheet'!O8*'Output-Calculation-sheet'!O26</f>
        <v>1296.2544209753876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566.41983547183793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254.46062464920777</v>
      </c>
      <c r="Y20" s="2">
        <f>Y9/'Output-Calculation-sheet'!Y8*'Output-Calculation-sheet'!Y26</f>
        <v>0</v>
      </c>
      <c r="AA20" s="2">
        <f t="shared" si="0"/>
        <v>24.239636711472855</v>
      </c>
    </row>
    <row r="21" spans="1:27" x14ac:dyDescent="0.25">
      <c r="A21" s="2">
        <v>2033</v>
      </c>
      <c r="B21" s="2">
        <f>B10/'Output-Calculation-sheet'!B9*'Output-Calculation-sheet'!B27</f>
        <v>13970.575669318034</v>
      </c>
      <c r="C21" s="2">
        <f>C10/'Output-Calculation-sheet'!C9*'Output-Calculation-sheet'!C27</f>
        <v>23992.128266269952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8086.4237788215687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5616.5247053402236</v>
      </c>
      <c r="N21" s="2">
        <f>N10/'Output-Calculation-sheet'!N9*'Output-Calculation-sheet'!N27</f>
        <v>3073.2498042468669</v>
      </c>
      <c r="O21" s="2">
        <f>O10/'Output-Calculation-sheet'!O9*'Output-Calculation-sheet'!O27</f>
        <v>2393.7924340920131</v>
      </c>
      <c r="P21" s="2">
        <f>P10/'Output-Calculation-sheet'!P9*'Output-Calculation-sheet'!P27</f>
        <v>0</v>
      </c>
      <c r="Q21" s="2">
        <f>Q10/'Output-Calculation-sheet'!Q9*'Output-Calculation-sheet'!Q27</f>
        <v>209.61598712811141</v>
      </c>
      <c r="R21" s="2">
        <f>R10/'Output-Calculation-sheet'!R9*'Output-Calculation-sheet'!R27</f>
        <v>0</v>
      </c>
      <c r="S21" s="2">
        <f>S10/'Output-Calculation-sheet'!S9*'Output-Calculation-sheet'!S27</f>
        <v>1334.8288211835293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660.45518816448362</v>
      </c>
      <c r="Y21" s="2">
        <f>Y10/'Output-Calculation-sheet'!Y9*'Output-Calculation-sheet'!Y27</f>
        <v>0</v>
      </c>
      <c r="AA21" s="2">
        <f t="shared" si="0"/>
        <v>59.337594654564782</v>
      </c>
    </row>
    <row r="22" spans="1:27" x14ac:dyDescent="0.25">
      <c r="A22" s="2">
        <v>2034</v>
      </c>
      <c r="B22" s="2">
        <f>B11/'Output-Calculation-sheet'!B10*'Output-Calculation-sheet'!B28</f>
        <v>22410.425738174119</v>
      </c>
      <c r="C22" s="2">
        <f>C11/'Output-Calculation-sheet'!C10*'Output-Calculation-sheet'!C28</f>
        <v>21499.989603468028</v>
      </c>
      <c r="D22" s="2">
        <f>D11/'Output-Calculation-sheet'!D10*'Output-Calculation-sheet'!D28</f>
        <v>0</v>
      </c>
      <c r="E22" s="2">
        <f>E11/'Output-Calculation-sheet'!E10*'Output-Calculation-sheet'!E28</f>
        <v>1148.2758511075936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8204.3553431296677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684.71234721978851</v>
      </c>
      <c r="M22" s="2">
        <f>M11/'Output-Calculation-sheet'!M10*'Output-Calculation-sheet'!M28</f>
        <v>5981.6962346751743</v>
      </c>
      <c r="N22" s="2">
        <f>N11/'Output-Calculation-sheet'!N10*'Output-Calculation-sheet'!N28</f>
        <v>3569.8056240685705</v>
      </c>
      <c r="O22" s="2">
        <f>O11/'Output-Calculation-sheet'!O10*'Output-Calculation-sheet'!O28</f>
        <v>2206.3735775479568</v>
      </c>
      <c r="P22" s="2">
        <f>P11/'Output-Calculation-sheet'!P10*'Output-Calculation-sheet'!P28</f>
        <v>0</v>
      </c>
      <c r="Q22" s="2">
        <f>Q11/'Output-Calculation-sheet'!Q10*'Output-Calculation-sheet'!Q28</f>
        <v>810.94811061916641</v>
      </c>
      <c r="R22" s="2">
        <f>R11/'Output-Calculation-sheet'!R10*'Output-Calculation-sheet'!R28</f>
        <v>0</v>
      </c>
      <c r="S22" s="2">
        <f>S11/'Output-Calculation-sheet'!S10*'Output-Calculation-sheet'!S28</f>
        <v>1821.1042901587882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600.66405761716771</v>
      </c>
      <c r="Y22" s="2">
        <f>Y11/'Output-Calculation-sheet'!Y10*'Output-Calculation-sheet'!Y28</f>
        <v>62.304988996953114</v>
      </c>
      <c r="AA22" s="2">
        <f t="shared" si="0"/>
        <v>69.00065576678297</v>
      </c>
    </row>
    <row r="23" spans="1:27" x14ac:dyDescent="0.25">
      <c r="A23" s="2">
        <v>2035</v>
      </c>
      <c r="B23" s="2">
        <f>B12/'Output-Calculation-sheet'!B11*'Output-Calculation-sheet'!B29</f>
        <v>20498.618481654536</v>
      </c>
      <c r="C23" s="2">
        <f>C12/'Output-Calculation-sheet'!C11*'Output-Calculation-sheet'!C29</f>
        <v>16743.016359953424</v>
      </c>
      <c r="D23" s="2">
        <f>D12/'Output-Calculation-sheet'!D11*'Output-Calculation-sheet'!D29</f>
        <v>0</v>
      </c>
      <c r="E23" s="2">
        <f>E12/'Output-Calculation-sheet'!E11*'Output-Calculation-sheet'!E29</f>
        <v>3160.3868044730716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6445.1754411312295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716.43418603572491</v>
      </c>
      <c r="M23" s="2">
        <f>M12/'Output-Calculation-sheet'!M11*'Output-Calculation-sheet'!M29</f>
        <v>4722.1109548092245</v>
      </c>
      <c r="N23" s="2">
        <f>N12/'Output-Calculation-sheet'!N11*'Output-Calculation-sheet'!N29</f>
        <v>2754.6707181518109</v>
      </c>
      <c r="O23" s="2">
        <f>O12/'Output-Calculation-sheet'!O11*'Output-Calculation-sheet'!O29</f>
        <v>1856.9867033973012</v>
      </c>
      <c r="P23" s="2">
        <f>P12/'Output-Calculation-sheet'!P11*'Output-Calculation-sheet'!P29</f>
        <v>336.43259165992004</v>
      </c>
      <c r="Q23" s="2">
        <f>Q12/'Output-Calculation-sheet'!Q11*'Output-Calculation-sheet'!Q29</f>
        <v>755.28740960582002</v>
      </c>
      <c r="R23" s="2">
        <f>R12/'Output-Calculation-sheet'!R11*'Output-Calculation-sheet'!R29</f>
        <v>0</v>
      </c>
      <c r="S23" s="2">
        <f>S12/'Output-Calculation-sheet'!S11*'Output-Calculation-sheet'!S29</f>
        <v>1474.5757045159003</v>
      </c>
      <c r="T23" s="2">
        <f>T12/'Output-Calculation-sheet'!T11*'Output-Calculation-sheet'!T29</f>
        <v>0</v>
      </c>
      <c r="U23" s="2">
        <f>U12/'Output-Calculation-sheet'!U11*'Output-Calculation-sheet'!U29</f>
        <v>64.302484050831282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467.79856243824827</v>
      </c>
      <c r="Y23" s="2">
        <f>Y12/'Output-Calculation-sheet'!Y11*'Output-Calculation-sheet'!Y29</f>
        <v>138.4944969480627</v>
      </c>
      <c r="AA23" s="2">
        <f t="shared" si="0"/>
        <v>60.1342908988251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28854.234198955084</v>
      </c>
      <c r="C30" s="2">
        <f>C8/'Output-Calculation-sheet'!C7*'Output-Calculation-sheet'!C16</f>
        <v>0</v>
      </c>
      <c r="D30" s="2">
        <f>D8/'Output-Calculation-sheet'!D7*'Output-Calculation-sheet'!D16</f>
        <v>6500.5807922713529</v>
      </c>
      <c r="E30" s="2">
        <f>E8/'Output-Calculation-sheet'!E7*'Output-Calculation-sheet'!E16</f>
        <v>8146.2661735321963</v>
      </c>
      <c r="F30" s="2">
        <f>F8/'Output-Calculation-sheet'!F7*'Output-Calculation-sheet'!F16</f>
        <v>3978.6356449582963</v>
      </c>
      <c r="G30" s="2">
        <f>G8/'Output-Calculation-sheet'!G7*'Output-Calculation-sheet'!G16</f>
        <v>2424.5288985549023</v>
      </c>
      <c r="H30" s="2">
        <f>H8/'Output-Calculation-sheet'!H7*'Output-Calculation-sheet'!H16</f>
        <v>0</v>
      </c>
      <c r="I30" s="2">
        <f>I8/'Output-Calculation-sheet'!I7*'Output-Calculation-sheet'!I16</f>
        <v>2282.3947193931176</v>
      </c>
      <c r="J30" s="2">
        <f>J8/'Output-Calculation-sheet'!J7*'Output-Calculation-sheet'!J16</f>
        <v>2446.6284621448553</v>
      </c>
      <c r="K30" s="2">
        <f>K8/'Output-Calculation-sheet'!K7*'Output-Calculation-sheet'!K16</f>
        <v>2368.0613349746204</v>
      </c>
      <c r="L30" s="2">
        <f>L8/'Output-Calculation-sheet'!L7*'Output-Calculation-sheet'!L16</f>
        <v>2617.5152233452327</v>
      </c>
      <c r="M30" s="2">
        <f>M8/'Output-Calculation-sheet'!M7*'Output-Calculation-sheet'!M16</f>
        <v>0</v>
      </c>
      <c r="N30" s="2">
        <f>N8/'Output-Calculation-sheet'!N7*'Output-Calculation-sheet'!N16</f>
        <v>1173.7638420913704</v>
      </c>
      <c r="O30" s="2">
        <f>O8/'Output-Calculation-sheet'!O7*'Output-Calculation-sheet'!O16</f>
        <v>0</v>
      </c>
      <c r="P30" s="2">
        <f>P8/'Output-Calculation-sheet'!P7*'Output-Calculation-sheet'!P16</f>
        <v>2240.7228850530641</v>
      </c>
      <c r="Q30" s="2">
        <f>Q8/'Output-Calculation-sheet'!Q7*'Output-Calculation-sheet'!Q16</f>
        <v>2198.2601593470727</v>
      </c>
      <c r="R30" s="2">
        <f>R8/'Output-Calculation-sheet'!R7*'Output-Calculation-sheet'!R16</f>
        <v>1950.7874050587018</v>
      </c>
      <c r="S30" s="2">
        <f>S8/'Output-Calculation-sheet'!S7*'Output-Calculation-sheet'!S16</f>
        <v>1033.1990835091012</v>
      </c>
      <c r="T30" s="2">
        <f>T8/'Output-Calculation-sheet'!T7*'Output-Calculation-sheet'!T16</f>
        <v>736.84144786673983</v>
      </c>
      <c r="U30" s="2">
        <f>U8/'Output-Calculation-sheet'!U7*'Output-Calculation-sheet'!U16</f>
        <v>568.54881418225273</v>
      </c>
      <c r="V30" s="2">
        <f>V8/'Output-Calculation-sheet'!V7*'Output-Calculation-sheet'!V16</f>
        <v>736.15702200379167</v>
      </c>
      <c r="W30" s="2">
        <f>W8/'Output-Calculation-sheet'!W7*'Output-Calculation-sheet'!W16</f>
        <v>354.44455977150335</v>
      </c>
      <c r="X30" s="2">
        <f>X8/'Output-Calculation-sheet'!X7*'Output-Calculation-sheet'!X16</f>
        <v>0</v>
      </c>
      <c r="Y30" s="2">
        <f>Y8/'Output-Calculation-sheet'!Y7*'Output-Calculation-sheet'!Y16</f>
        <v>241.73891710997307</v>
      </c>
      <c r="AA30" s="2">
        <f t="shared" si="1"/>
        <v>70.853309584123252</v>
      </c>
    </row>
    <row r="31" spans="1:27" x14ac:dyDescent="0.25">
      <c r="A31" s="2">
        <v>2032</v>
      </c>
      <c r="B31" s="2">
        <f>B9/'Output-Calculation-sheet'!B8*'Output-Calculation-sheet'!B17</f>
        <v>29458.246060925689</v>
      </c>
      <c r="C31" s="2">
        <f>C9/'Output-Calculation-sheet'!C8*'Output-Calculation-sheet'!C17</f>
        <v>0</v>
      </c>
      <c r="D31" s="2">
        <f>D9/'Output-Calculation-sheet'!D8*'Output-Calculation-sheet'!D17</f>
        <v>6742.3846197266439</v>
      </c>
      <c r="E31" s="2">
        <f>E9/'Output-Calculation-sheet'!E8*'Output-Calculation-sheet'!E17</f>
        <v>8469.3258048063326</v>
      </c>
      <c r="F31" s="2">
        <f>F9/'Output-Calculation-sheet'!F8*'Output-Calculation-sheet'!F17</f>
        <v>4132.3460704854642</v>
      </c>
      <c r="G31" s="2">
        <f>G9/'Output-Calculation-sheet'!G8*'Output-Calculation-sheet'!G17</f>
        <v>2515.4695555008575</v>
      </c>
      <c r="H31" s="2">
        <f>H9/'Output-Calculation-sheet'!H8*'Output-Calculation-sheet'!H17</f>
        <v>0</v>
      </c>
      <c r="I31" s="2">
        <f>I9/'Output-Calculation-sheet'!I8*'Output-Calculation-sheet'!I17</f>
        <v>2366.8192381469112</v>
      </c>
      <c r="J31" s="2">
        <f>J9/'Output-Calculation-sheet'!J8*'Output-Calculation-sheet'!J17</f>
        <v>2539.1907345646096</v>
      </c>
      <c r="K31" s="2">
        <f>K9/'Output-Calculation-sheet'!K8*'Output-Calculation-sheet'!K17</f>
        <v>2455.7540296377524</v>
      </c>
      <c r="L31" s="2">
        <f>L9/'Output-Calculation-sheet'!L8*'Output-Calculation-sheet'!L17</f>
        <v>2713.5204111667513</v>
      </c>
      <c r="M31" s="2">
        <f>M9/'Output-Calculation-sheet'!M8*'Output-Calculation-sheet'!M17</f>
        <v>0</v>
      </c>
      <c r="N31" s="2">
        <f>N9/'Output-Calculation-sheet'!N8*'Output-Calculation-sheet'!N17</f>
        <v>1144.1232481170643</v>
      </c>
      <c r="O31" s="2">
        <f>O9/'Output-Calculation-sheet'!O8*'Output-Calculation-sheet'!O17</f>
        <v>0</v>
      </c>
      <c r="P31" s="2">
        <f>P9/'Output-Calculation-sheet'!P8*'Output-Calculation-sheet'!P17</f>
        <v>2337.3875413707478</v>
      </c>
      <c r="Q31" s="2">
        <f>Q9/'Output-Calculation-sheet'!Q8*'Output-Calculation-sheet'!Q17</f>
        <v>2285.8638431965369</v>
      </c>
      <c r="R31" s="2">
        <f>R9/'Output-Calculation-sheet'!R8*'Output-Calculation-sheet'!R17</f>
        <v>2045.7811285502064</v>
      </c>
      <c r="S31" s="2">
        <f>S9/'Output-Calculation-sheet'!S8*'Output-Calculation-sheet'!S17</f>
        <v>1024.0770378558739</v>
      </c>
      <c r="T31" s="2">
        <f>T9/'Output-Calculation-sheet'!T8*'Output-Calculation-sheet'!T17</f>
        <v>766.39645391180784</v>
      </c>
      <c r="U31" s="2">
        <f>U9/'Output-Calculation-sheet'!U8*'Output-Calculation-sheet'!U17</f>
        <v>593.41365350186368</v>
      </c>
      <c r="V31" s="2">
        <f>V9/'Output-Calculation-sheet'!V8*'Output-Calculation-sheet'!V17</f>
        <v>754.62061590120697</v>
      </c>
      <c r="W31" s="2">
        <f>W9/'Output-Calculation-sheet'!W8*'Output-Calculation-sheet'!W17</f>
        <v>367.79762524396381</v>
      </c>
      <c r="X31" s="2">
        <f>X9/'Output-Calculation-sheet'!X8*'Output-Calculation-sheet'!X17</f>
        <v>0</v>
      </c>
      <c r="Y31" s="2">
        <f>Y9/'Output-Calculation-sheet'!Y8*'Output-Calculation-sheet'!Y17</f>
        <v>250.73215285590709</v>
      </c>
      <c r="AA31" s="2">
        <f t="shared" si="1"/>
        <v>72.963249825466207</v>
      </c>
    </row>
    <row r="32" spans="1:27" x14ac:dyDescent="0.25">
      <c r="A32" s="2">
        <v>2033</v>
      </c>
      <c r="B32" s="2">
        <f>B10/'Output-Calculation-sheet'!B9*'Output-Calculation-sheet'!B18</f>
        <v>28361.994823007797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1728.2815321521703</v>
      </c>
      <c r="O32" s="2">
        <f>O10/'Output-Calculation-sheet'!O9*'Output-Calculation-sheet'!O18</f>
        <v>0</v>
      </c>
      <c r="P32" s="2">
        <f>P10/'Output-Calculation-sheet'!P9*'Output-Calculation-sheet'!P18</f>
        <v>2782.5032905409153</v>
      </c>
      <c r="Q32" s="2">
        <f>Q10/'Output-Calculation-sheet'!Q9*'Output-Calculation-sheet'!Q18</f>
        <v>3028.8328436702186</v>
      </c>
      <c r="R32" s="2">
        <f>R10/'Output-Calculation-sheet'!R9*'Output-Calculation-sheet'!R18</f>
        <v>1997.9818768603354</v>
      </c>
      <c r="S32" s="2">
        <f>S10/'Output-Calculation-sheet'!S9*'Output-Calculation-sheet'!S18</f>
        <v>1311.0873237313156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645.00923284817293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68.163342508926306</v>
      </c>
    </row>
    <row r="33" spans="1:27" x14ac:dyDescent="0.25">
      <c r="A33" s="2">
        <v>2034</v>
      </c>
      <c r="B33" s="2">
        <f>B11/'Output-Calculation-sheet'!B10*'Output-Calculation-sheet'!B19</f>
        <v>22604.471478939413</v>
      </c>
      <c r="C33" s="2">
        <f>C11/'Output-Calculation-sheet'!C10*'Output-Calculation-sheet'!C19</f>
        <v>0</v>
      </c>
      <c r="D33" s="2">
        <f>D11/'Output-Calculation-sheet'!D10*'Output-Calculation-sheet'!D19</f>
        <v>6742.6655673088126</v>
      </c>
      <c r="E33" s="2">
        <f>E11/'Output-Calculation-sheet'!E10*'Output-Calculation-sheet'!E19</f>
        <v>8351.2421728407262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2295.1395883371038</v>
      </c>
      <c r="H33" s="2">
        <f>H11/'Output-Calculation-sheet'!H10*'Output-Calculation-sheet'!H19</f>
        <v>0</v>
      </c>
      <c r="I33" s="2">
        <f>I11/'Output-Calculation-sheet'!I10*'Output-Calculation-sheet'!I19</f>
        <v>2504.3191439669913</v>
      </c>
      <c r="J33" s="2">
        <f>J11/'Output-Calculation-sheet'!J10*'Output-Calculation-sheet'!J19</f>
        <v>2117.5632159326219</v>
      </c>
      <c r="K33" s="2">
        <f>K11/'Output-Calculation-sheet'!K10*'Output-Calculation-sheet'!K19</f>
        <v>2938.4245384624942</v>
      </c>
      <c r="L33" s="2">
        <f>L11/'Output-Calculation-sheet'!L10*'Output-Calculation-sheet'!L19</f>
        <v>2389.6391533486062</v>
      </c>
      <c r="M33" s="2">
        <f>M11/'Output-Calculation-sheet'!M10*'Output-Calculation-sheet'!M19</f>
        <v>0</v>
      </c>
      <c r="N33" s="2">
        <f>N11/'Output-Calculation-sheet'!N10*'Output-Calculation-sheet'!N19</f>
        <v>1351.239400538396</v>
      </c>
      <c r="O33" s="2">
        <f>O11/'Output-Calculation-sheet'!O10*'Output-Calculation-sheet'!O19</f>
        <v>0</v>
      </c>
      <c r="P33" s="2">
        <f>P11/'Output-Calculation-sheet'!P10*'Output-Calculation-sheet'!P19</f>
        <v>2973.1672906064114</v>
      </c>
      <c r="Q33" s="2">
        <f>Q11/'Output-Calculation-sheet'!Q10*'Output-Calculation-sheet'!Q19</f>
        <v>2448.3720502737206</v>
      </c>
      <c r="R33" s="2">
        <f>R11/'Output-Calculation-sheet'!R10*'Output-Calculation-sheet'!R19</f>
        <v>2122.7935236206804</v>
      </c>
      <c r="S33" s="2">
        <f>S11/'Output-Calculation-sheet'!S10*'Output-Calculation-sheet'!S19</f>
        <v>989.57159611249358</v>
      </c>
      <c r="T33" s="2">
        <f>T11/'Output-Calculation-sheet'!T10*'Output-Calculation-sheet'!T19</f>
        <v>622.88915691788065</v>
      </c>
      <c r="U33" s="2">
        <f>U11/'Output-Calculation-sheet'!U10*'Output-Calculation-sheet'!U19</f>
        <v>716.89176175580269</v>
      </c>
      <c r="V33" s="2">
        <f>V11/'Output-Calculation-sheet'!V10*'Output-Calculation-sheet'!V19</f>
        <v>488.46666830011418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88.079109111970538</v>
      </c>
      <c r="Y33" s="2">
        <f>Y11/'Output-Calculation-sheet'!Y10*'Output-Calculation-sheet'!Y19</f>
        <v>274.14195158659368</v>
      </c>
      <c r="AA33" s="2">
        <f t="shared" si="1"/>
        <v>66.155839039742901</v>
      </c>
    </row>
    <row r="34" spans="1:27" x14ac:dyDescent="0.25">
      <c r="A34" s="2">
        <v>2035</v>
      </c>
      <c r="B34" s="2">
        <f>B12/'Output-Calculation-sheet'!B11*'Output-Calculation-sheet'!B20</f>
        <v>16314.678257782798</v>
      </c>
      <c r="C34" s="2">
        <f>C12/'Output-Calculation-sheet'!C11*'Output-Calculation-sheet'!C20</f>
        <v>0</v>
      </c>
      <c r="D34" s="2">
        <f>D12/'Output-Calculation-sheet'!D11*'Output-Calculation-sheet'!D20</f>
        <v>5120.043578315649</v>
      </c>
      <c r="E34" s="2">
        <f>E12/'Output-Calculation-sheet'!E11*'Output-Calculation-sheet'!E20</f>
        <v>5594.3999705264305</v>
      </c>
      <c r="F34" s="2">
        <f>F12/'Output-Calculation-sheet'!F11*'Output-Calculation-sheet'!F20</f>
        <v>3524.7343114446885</v>
      </c>
      <c r="G34" s="2">
        <f>G12/'Output-Calculation-sheet'!G11*'Output-Calculation-sheet'!G20</f>
        <v>1883.5133685475901</v>
      </c>
      <c r="H34" s="2">
        <f>H12/'Output-Calculation-sheet'!H11*'Output-Calculation-sheet'!H20</f>
        <v>0</v>
      </c>
      <c r="I34" s="2">
        <f>I12/'Output-Calculation-sheet'!I11*'Output-Calculation-sheet'!I20</f>
        <v>2047.1225555029566</v>
      </c>
      <c r="J34" s="2">
        <f>J12/'Output-Calculation-sheet'!J11*'Output-Calculation-sheet'!J20</f>
        <v>1757.4564816383959</v>
      </c>
      <c r="K34" s="2">
        <f>K12/'Output-Calculation-sheet'!K11*'Output-Calculation-sheet'!K20</f>
        <v>2310.6273707316468</v>
      </c>
      <c r="L34" s="2">
        <f>L12/'Output-Calculation-sheet'!L11*'Output-Calculation-sheet'!L20</f>
        <v>1826.1258212449334</v>
      </c>
      <c r="M34" s="2">
        <f>M12/'Output-Calculation-sheet'!M11*'Output-Calculation-sheet'!M20</f>
        <v>0</v>
      </c>
      <c r="N34" s="2">
        <f>N12/'Output-Calculation-sheet'!N11*'Output-Calculation-sheet'!N20</f>
        <v>1016.2393198352033</v>
      </c>
      <c r="O34" s="2">
        <f>O12/'Output-Calculation-sheet'!O11*'Output-Calculation-sheet'!O20</f>
        <v>0</v>
      </c>
      <c r="P34" s="2">
        <f>P12/'Output-Calculation-sheet'!P11*'Output-Calculation-sheet'!P20</f>
        <v>2271.1092477209636</v>
      </c>
      <c r="Q34" s="2">
        <f>Q12/'Output-Calculation-sheet'!Q11*'Output-Calculation-sheet'!Q20</f>
        <v>1797.061549765546</v>
      </c>
      <c r="R34" s="2">
        <f>R12/'Output-Calculation-sheet'!R11*'Output-Calculation-sheet'!R20</f>
        <v>1803.7108350554247</v>
      </c>
      <c r="S34" s="2">
        <f>S12/'Output-Calculation-sheet'!S11*'Output-Calculation-sheet'!S20</f>
        <v>688.973772888388</v>
      </c>
      <c r="T34" s="2">
        <f>T12/'Output-Calculation-sheet'!T11*'Output-Calculation-sheet'!T20</f>
        <v>566.67022640322625</v>
      </c>
      <c r="U34" s="2">
        <f>U12/'Output-Calculation-sheet'!U11*'Output-Calculation-sheet'!U20</f>
        <v>516.99877000878087</v>
      </c>
      <c r="V34" s="2">
        <f>V12/'Output-Calculation-sheet'!V11*'Output-Calculation-sheet'!V20</f>
        <v>474.9163623964921</v>
      </c>
      <c r="W34" s="2">
        <f>W12/'Output-Calculation-sheet'!W11*'Output-Calculation-sheet'!W20</f>
        <v>305.54441675467604</v>
      </c>
      <c r="X34" s="2">
        <f>X12/'Output-Calculation-sheet'!X11*'Output-Calculation-sheet'!X20</f>
        <v>61.751676195995721</v>
      </c>
      <c r="Y34" s="2">
        <f>Y12/'Output-Calculation-sheet'!Y11*'Output-Calculation-sheet'!Y20</f>
        <v>171.26918840225613</v>
      </c>
      <c r="AA34" s="2">
        <f t="shared" si="1"/>
        <v>50.052947081162017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1.1362552022145862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0.66223145381112769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1.7984866560257138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1.9141698737126445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0.2946205511018094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0.2027277694296947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0.74374342186483056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0.17457198219420469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2.2239736071152497E-2</v>
      </c>
      <c r="Y44" s="2">
        <f>Y11/'Output-Calculation-sheet'!Y10*'Output-Calculation-sheet'!Y37*0.0114</f>
        <v>0</v>
      </c>
      <c r="AA44" s="2">
        <f t="shared" si="2"/>
        <v>3.3520733343743361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1.4474900958075354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0.56241676966908605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1.681762843437137E-2</v>
      </c>
      <c r="Y45" s="2">
        <f>Y12/'Output-Calculation-sheet'!Y11*'Output-Calculation-sheet'!Y38*0.0114</f>
        <v>1.6229323367987363E-2</v>
      </c>
      <c r="AA45" s="2">
        <f t="shared" si="2"/>
        <v>7.2118515262501877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164.88234284202917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146.77011494708128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638.22381521107593</v>
      </c>
      <c r="S52" s="2">
        <f>S8/'Output-Calculation-sheet'!S7*'Output-Calculation-sheet'!S43</f>
        <v>0</v>
      </c>
      <c r="T52" s="2">
        <f>T8/'Output-Calculation-sheet'!T7*'Output-Calculation-sheet'!T43</f>
        <v>513.90907853968156</v>
      </c>
      <c r="U52" s="2">
        <f>U8/'Output-Calculation-sheet'!U7*'Output-Calculation-sheet'!U43</f>
        <v>54.354571145530855</v>
      </c>
      <c r="V52" s="2">
        <f>V8/'Output-Calculation-sheet'!V7*'Output-Calculation-sheet'!V43</f>
        <v>926.72761155097191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2.4448675342363702</v>
      </c>
    </row>
    <row r="53" spans="1:27" x14ac:dyDescent="0.25">
      <c r="A53" s="2">
        <v>2032</v>
      </c>
      <c r="B53" s="2">
        <f>B9/'Output-Calculation-sheet'!B8*'Output-Calculation-sheet'!B44</f>
        <v>1806.0078817335082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340.47584027028023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272.7672934326576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852.76412194673048</v>
      </c>
      <c r="S53" s="2">
        <f>S9/'Output-Calculation-sheet'!S8*'Output-Calculation-sheet'!S44</f>
        <v>0</v>
      </c>
      <c r="T53" s="2">
        <f>T9/'Output-Calculation-sheet'!T8*'Output-Calculation-sheet'!T44</f>
        <v>587.96378557111143</v>
      </c>
      <c r="U53" s="2">
        <f>U9/'Output-Calculation-sheet'!U8*'Output-Calculation-sheet'!U44</f>
        <v>99.769018935647381</v>
      </c>
      <c r="V53" s="2">
        <f>V9/'Output-Calculation-sheet'!V8*'Output-Calculation-sheet'!V44</f>
        <v>985.67795252953215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4.9454258944194667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61596.992541106512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0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799.92224055827421</v>
      </c>
      <c r="R54" s="2">
        <f>R10/'Output-Calculation-sheet'!R9*'Output-Calculation-sheet'!R45</f>
        <v>1334.1393678785143</v>
      </c>
      <c r="S54" s="2">
        <f>S10/'Output-Calculation-sheet'!S9*'Output-Calculation-sheet'!S45</f>
        <v>3187.7361308583509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481.44540662960088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138.55587557170679</v>
      </c>
    </row>
    <row r="55" spans="1:27" x14ac:dyDescent="0.25">
      <c r="A55" s="2">
        <v>2034</v>
      </c>
      <c r="B55" s="2">
        <f>B11/'Output-Calculation-sheet'!B10*'Output-Calculation-sheet'!B46</f>
        <v>64387.100855575132</v>
      </c>
      <c r="C55" s="2">
        <f>C11/'Output-Calculation-sheet'!C10*'Output-Calculation-sheet'!C46</f>
        <v>52975.490803187655</v>
      </c>
      <c r="D55" s="2">
        <f>D11/'Output-Calculation-sheet'!D10*'Output-Calculation-sheet'!D46</f>
        <v>5949.5857825013791</v>
      </c>
      <c r="E55" s="2">
        <f>E11/'Output-Calculation-sheet'!E10*'Output-Calculation-sheet'!E46</f>
        <v>7328.9173119899933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19098.648005634837</v>
      </c>
      <c r="I55" s="2">
        <f>I11/'Output-Calculation-sheet'!I10*'Output-Calculation-sheet'!I46</f>
        <v>1439.7189594222261</v>
      </c>
      <c r="J55" s="2">
        <f>J11/'Output-Calculation-sheet'!J10*'Output-Calculation-sheet'!J46</f>
        <v>1044.8893293824758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1031.3909866920924</v>
      </c>
      <c r="M55" s="2">
        <f>M11/'Output-Calculation-sheet'!M10*'Output-Calculation-sheet'!M46</f>
        <v>13497.401490977041</v>
      </c>
      <c r="N55" s="2">
        <f>N11/'Output-Calculation-sheet'!N10*'Output-Calculation-sheet'!N46</f>
        <v>10294.524801349293</v>
      </c>
      <c r="O55" s="2">
        <f>O11/'Output-Calculation-sheet'!O10*'Output-Calculation-sheet'!O46</f>
        <v>228.34227864271114</v>
      </c>
      <c r="P55" s="2">
        <f>P11/'Output-Calculation-sheet'!P10*'Output-Calculation-sheet'!P46</f>
        <v>3826.7194962105364</v>
      </c>
      <c r="Q55" s="2">
        <f>Q11/'Output-Calculation-sheet'!Q10*'Output-Calculation-sheet'!Q46</f>
        <v>2251.0597703989552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5059.5692622943134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1172.6132396995281</v>
      </c>
      <c r="V55" s="2">
        <f>V11/'Output-Calculation-sheet'!V10*'Output-Calculation-sheet'!V46</f>
        <v>474.70035792042194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1381.2046612610498</v>
      </c>
      <c r="Y55" s="2">
        <f>Y11/'Output-Calculation-sheet'!Y10*'Output-Calculation-sheet'!Y46</f>
        <v>359.57857375488879</v>
      </c>
      <c r="AA55" s="2">
        <f t="shared" si="3"/>
        <v>201.33428887912484</v>
      </c>
    </row>
    <row r="56" spans="1:27" x14ac:dyDescent="0.25">
      <c r="A56" s="2">
        <v>2035</v>
      </c>
      <c r="B56" s="2">
        <f>B12/'Output-Calculation-sheet'!B11*'Output-Calculation-sheet'!B47</f>
        <v>61931.785659791385</v>
      </c>
      <c r="C56" s="2">
        <f>C12/'Output-Calculation-sheet'!C11*'Output-Calculation-sheet'!C47</f>
        <v>40694.787342659212</v>
      </c>
      <c r="D56" s="2">
        <f>D12/'Output-Calculation-sheet'!D11*'Output-Calculation-sheet'!D47</f>
        <v>4948.966794356199</v>
      </c>
      <c r="E56" s="2">
        <f>E12/'Output-Calculation-sheet'!E11*'Output-Calculation-sheet'!E47</f>
        <v>13899.963176749379</v>
      </c>
      <c r="F56" s="2">
        <f>F12/'Output-Calculation-sheet'!F11*'Output-Calculation-sheet'!F47</f>
        <v>1714.6930665283751</v>
      </c>
      <c r="G56" s="2">
        <f>G12/'Output-Calculation-sheet'!G11*'Output-Calculation-sheet'!G47</f>
        <v>3873.3833893271203</v>
      </c>
      <c r="H56" s="2">
        <f>H12/'Output-Calculation-sheet'!H11*'Output-Calculation-sheet'!H47</f>
        <v>14794.121794387209</v>
      </c>
      <c r="I56" s="2">
        <f>I12/'Output-Calculation-sheet'!I11*'Output-Calculation-sheet'!I47</f>
        <v>1959.6808693067596</v>
      </c>
      <c r="J56" s="2">
        <f>J12/'Output-Calculation-sheet'!J11*'Output-Calculation-sheet'!J47</f>
        <v>1777.8206086097439</v>
      </c>
      <c r="K56" s="2">
        <f>K12/'Output-Calculation-sheet'!K11*'Output-Calculation-sheet'!K47</f>
        <v>2568.0771000073873</v>
      </c>
      <c r="L56" s="2">
        <f>L12/'Output-Calculation-sheet'!L11*'Output-Calculation-sheet'!L47</f>
        <v>1418.0637861441055</v>
      </c>
      <c r="M56" s="2">
        <f>M12/'Output-Calculation-sheet'!M11*'Output-Calculation-sheet'!M47</f>
        <v>10314.279089673006</v>
      </c>
      <c r="N56" s="2">
        <f>N12/'Output-Calculation-sheet'!N11*'Output-Calculation-sheet'!N47</f>
        <v>7877.2094501467182</v>
      </c>
      <c r="O56" s="2">
        <f>O12/'Output-Calculation-sheet'!O11*'Output-Calculation-sheet'!O47</f>
        <v>740.02206535406049</v>
      </c>
      <c r="P56" s="2">
        <f>P12/'Output-Calculation-sheet'!P11*'Output-Calculation-sheet'!P47</f>
        <v>4090.3287437785157</v>
      </c>
      <c r="Q56" s="2">
        <f>Q12/'Output-Calculation-sheet'!Q11*'Output-Calculation-sheet'!Q47</f>
        <v>2072.8021329486351</v>
      </c>
      <c r="R56" s="2">
        <f>R12/'Output-Calculation-sheet'!R11*'Output-Calculation-sheet'!R47</f>
        <v>3020.1947539892062</v>
      </c>
      <c r="S56" s="2">
        <f>S12/'Output-Calculation-sheet'!S11*'Output-Calculation-sheet'!S47</f>
        <v>4000.2875814848448</v>
      </c>
      <c r="T56" s="2">
        <f>T12/'Output-Calculation-sheet'!T11*'Output-Calculation-sheet'!T47</f>
        <v>1057.8863875723748</v>
      </c>
      <c r="U56" s="2">
        <f>U12/'Output-Calculation-sheet'!U11*'Output-Calculation-sheet'!U47</f>
        <v>1012.3466231859212</v>
      </c>
      <c r="V56" s="2">
        <f>V12/'Output-Calculation-sheet'!V11*'Output-Calculation-sheet'!V47</f>
        <v>706.53847878109661</v>
      </c>
      <c r="W56" s="2">
        <f>W12/'Output-Calculation-sheet'!W11*'Output-Calculation-sheet'!W47</f>
        <v>402.116523737725</v>
      </c>
      <c r="X56" s="2">
        <f>X12/'Output-Calculation-sheet'!X11*'Output-Calculation-sheet'!X47</f>
        <v>1065.1164675101868</v>
      </c>
      <c r="Y56" s="2">
        <f>Y12/'Output-Calculation-sheet'!Y11*'Output-Calculation-sheet'!Y47</f>
        <v>545.24832017010181</v>
      </c>
      <c r="AA56" s="2">
        <f t="shared" si="3"/>
        <v>186.48572020619923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7.9618212180907273</v>
      </c>
      <c r="C63" s="2">
        <f>C8*'Output-Calculation-sheet'!C52/10^9</f>
        <v>4.0356622588977862</v>
      </c>
      <c r="D63" s="2">
        <f>D8*'Output-Calculation-sheet'!D52/10^9</f>
        <v>1.4098366149473129</v>
      </c>
      <c r="E63" s="2">
        <f>E8*'Output-Calculation-sheet'!E52/10^9</f>
        <v>1.8152896479461851</v>
      </c>
      <c r="F63" s="2">
        <f>F8*'Output-Calculation-sheet'!F52/10^9</f>
        <v>0.75507394302552944</v>
      </c>
      <c r="G63" s="2">
        <f>G8*'Output-Calculation-sheet'!G52/10^9</f>
        <v>0.5417835172133032</v>
      </c>
      <c r="H63" s="2">
        <f>H8*'Output-Calculation-sheet'!H52/10^9</f>
        <v>1.0465665975506804</v>
      </c>
      <c r="I63" s="2">
        <f>I8*'Output-Calculation-sheet'!I52/10^9</f>
        <v>0.48567425381642121</v>
      </c>
      <c r="J63" s="2">
        <f>J8*'Output-Calculation-sheet'!J52/10^9</f>
        <v>0.52211880403326216</v>
      </c>
      <c r="K63" s="2">
        <f>K8*'Output-Calculation-sheet'!K52/10^9</f>
        <v>0.53317421629380257</v>
      </c>
      <c r="L63" s="2">
        <f>L8*'Output-Calculation-sheet'!L52/10^9</f>
        <v>0.55450694842963799</v>
      </c>
      <c r="M63" s="2">
        <f>M8*'Output-Calculation-sheet'!M52/10^9</f>
        <v>0.79137302768866613</v>
      </c>
      <c r="N63" s="2">
        <f>N8*'Output-Calculation-sheet'!N52/10^9</f>
        <v>0.66861881716797344</v>
      </c>
      <c r="O63" s="2">
        <f>O8*'Output-Calculation-sheet'!O52/10^9</f>
        <v>0.6926473016011786</v>
      </c>
      <c r="P63" s="2">
        <f>P8*'Output-Calculation-sheet'!P52/10^9</f>
        <v>0.57404759332436894</v>
      </c>
      <c r="Q63" s="2">
        <f>Q8*'Output-Calculation-sheet'!Q52/10^9</f>
        <v>0.54304447352733243</v>
      </c>
      <c r="R63" s="2">
        <f>R8*'Output-Calculation-sheet'!R52/10^9</f>
        <v>0.45748321497869848</v>
      </c>
      <c r="S63" s="2">
        <f>S8*'Output-Calculation-sheet'!S52/10^9</f>
        <v>0.42062734474920582</v>
      </c>
      <c r="T63" s="2">
        <f>T8*'Output-Calculation-sheet'!T52/10^9</f>
        <v>0.14980567996738342</v>
      </c>
      <c r="U63" s="2">
        <f>U8*'Output-Calculation-sheet'!U52/10^9</f>
        <v>0.14694891850565547</v>
      </c>
      <c r="V63" s="2">
        <f>V8*'Output-Calculation-sheet'!V52/10^9</f>
        <v>0.13170535703924846</v>
      </c>
      <c r="W63" s="2">
        <f>W8*'Output-Calculation-sheet'!W52/10^9</f>
        <v>6.8752383203210102E-2</v>
      </c>
      <c r="X63" s="2">
        <f>X8*'Output-Calculation-sheet'!X52/10^9</f>
        <v>0.11110533026049378</v>
      </c>
      <c r="Y63" s="2">
        <f>Y8*'Output-Calculation-sheet'!Y52/10^9</f>
        <v>5.7305903638220426E-2</v>
      </c>
      <c r="AA63" s="2">
        <f t="shared" si="4"/>
        <v>24.474973365896275</v>
      </c>
    </row>
    <row r="64" spans="1:27" x14ac:dyDescent="0.25">
      <c r="A64" s="2">
        <v>2032</v>
      </c>
      <c r="B64" s="2">
        <f>B9*'Output-Calculation-sheet'!B53/10^9</f>
        <v>8.1637911309520952</v>
      </c>
      <c r="C64" s="2">
        <f>C9*'Output-Calculation-sheet'!C53/10^9</f>
        <v>4.134334036125316</v>
      </c>
      <c r="D64" s="2">
        <f>D9*'Output-Calculation-sheet'!D53/10^9</f>
        <v>1.4481987986811447</v>
      </c>
      <c r="E64" s="2">
        <f>E9*'Output-Calculation-sheet'!E53/10^9</f>
        <v>1.8649267659371496</v>
      </c>
      <c r="F64" s="2">
        <f>F9*'Output-Calculation-sheet'!F53/10^9</f>
        <v>0.77504728546523127</v>
      </c>
      <c r="G64" s="2">
        <f>G9*'Output-Calculation-sheet'!G53/10^9</f>
        <v>0.55640645356814766</v>
      </c>
      <c r="H64" s="2">
        <f>H9*'Output-Calculation-sheet'!H53/10^9</f>
        <v>1.0708354697817775</v>
      </c>
      <c r="I64" s="2">
        <f>I9*'Output-Calculation-sheet'!I53/10^9</f>
        <v>0.49884075456804844</v>
      </c>
      <c r="J64" s="2">
        <f>J9*'Output-Calculation-sheet'!J53/10^9</f>
        <v>0.53610706180197365</v>
      </c>
      <c r="K64" s="2">
        <f>K9*'Output-Calculation-sheet'!K53/10^9</f>
        <v>0.54778556086805263</v>
      </c>
      <c r="L64" s="2">
        <f>L9*'Output-Calculation-sheet'!L53/10^9</f>
        <v>0.56952727195618502</v>
      </c>
      <c r="M64" s="2">
        <f>M9*'Output-Calculation-sheet'!M53/10^9</f>
        <v>0.80992083131681425</v>
      </c>
      <c r="N64" s="2">
        <f>N9*'Output-Calculation-sheet'!N53/10^9</f>
        <v>0.68504355271549255</v>
      </c>
      <c r="O64" s="2">
        <f>O9*'Output-Calculation-sheet'!O53/10^9</f>
        <v>0.70980544932679113</v>
      </c>
      <c r="P64" s="2">
        <f>P9*'Output-Calculation-sheet'!P53/10^9</f>
        <v>0.59012393746643799</v>
      </c>
      <c r="Q64" s="2">
        <f>Q9*'Output-Calculation-sheet'!Q53/10^9</f>
        <v>0.55816796305163574</v>
      </c>
      <c r="R64" s="2">
        <f>R9*'Output-Calculation-sheet'!R53/10^9</f>
        <v>0.4694664209848497</v>
      </c>
      <c r="S64" s="2">
        <f>S9*'Output-Calculation-sheet'!S53/10^9</f>
        <v>0.4313474177772279</v>
      </c>
      <c r="T64" s="2">
        <f>T9*'Output-Calculation-sheet'!T53/10^9</f>
        <v>0.15339259169528655</v>
      </c>
      <c r="U64" s="2">
        <f>U9*'Output-Calculation-sheet'!U53/10^9</f>
        <v>0.15100780845329778</v>
      </c>
      <c r="V64" s="2">
        <f>V9*'Output-Calculation-sheet'!V53/10^9</f>
        <v>0.13441273961578434</v>
      </c>
      <c r="W64" s="2">
        <f>W9*'Output-Calculation-sheet'!W53/10^9</f>
        <v>7.0580335808336309E-2</v>
      </c>
      <c r="X64" s="2">
        <f>X9*'Output-Calculation-sheet'!X53/10^9</f>
        <v>0.11379009911373282</v>
      </c>
      <c r="Y64" s="2">
        <f>Y9*'Output-Calculation-sheet'!Y53/10^9</f>
        <v>5.8890987639653808E-2</v>
      </c>
      <c r="AA64" s="2">
        <f t="shared" si="4"/>
        <v>25.10175072467046</v>
      </c>
    </row>
    <row r="65" spans="1:27" x14ac:dyDescent="0.25">
      <c r="A65" s="2">
        <v>2033</v>
      </c>
      <c r="B65" s="2">
        <f>B10*'Output-Calculation-sheet'!B54/10^9</f>
        <v>7.6091689307205401</v>
      </c>
      <c r="C65" s="2">
        <f>C10*'Output-Calculation-sheet'!C54/10^9</f>
        <v>5.0009302980068258</v>
      </c>
      <c r="D65" s="2">
        <f>D10*'Output-Calculation-sheet'!D54/10^9</f>
        <v>1.3563055704956093</v>
      </c>
      <c r="E65" s="2">
        <f>E10*'Output-Calculation-sheet'!E54/10^9</f>
        <v>1.7272820590086002</v>
      </c>
      <c r="F65" s="2">
        <f>F10*'Output-Calculation-sheet'!F54/10^9</f>
        <v>0.74222800465738781</v>
      </c>
      <c r="G65" s="2">
        <f>G10*'Output-Calculation-sheet'!G54/10^9</f>
        <v>0.52842970278563828</v>
      </c>
      <c r="H65" s="2">
        <f>H10*'Output-Calculation-sheet'!H54/10^9</f>
        <v>1.2416639474061424</v>
      </c>
      <c r="I65" s="2">
        <f>I10*'Output-Calculation-sheet'!I54/10^9</f>
        <v>0.46332242869248308</v>
      </c>
      <c r="J65" s="2">
        <f>J10*'Output-Calculation-sheet'!J54/10^9</f>
        <v>0.54818399414787922</v>
      </c>
      <c r="K65" s="2">
        <f>K10*'Output-Calculation-sheet'!K54/10^9</f>
        <v>0.5129612001801811</v>
      </c>
      <c r="L65" s="2">
        <f>L10*'Output-Calculation-sheet'!L54/10^9</f>
        <v>0.52903304415762498</v>
      </c>
      <c r="M65" s="2">
        <f>M10*'Output-Calculation-sheet'!M54/10^9</f>
        <v>0.88290061415535426</v>
      </c>
      <c r="N65" s="2">
        <f>N10*'Output-Calculation-sheet'!N54/10^9</f>
        <v>0.75232225298224575</v>
      </c>
      <c r="O65" s="2">
        <f>O10*'Output-Calculation-sheet'!O54/10^9</f>
        <v>0.87537296337723824</v>
      </c>
      <c r="P65" s="2">
        <f>P10*'Output-Calculation-sheet'!P54/10^9</f>
        <v>0.55496749969493087</v>
      </c>
      <c r="Q65" s="2">
        <f>Q10*'Output-Calculation-sheet'!Q54/10^9</f>
        <v>0.54763923526571701</v>
      </c>
      <c r="R65" s="2">
        <f>R10*'Output-Calculation-sheet'!R54/10^9</f>
        <v>0.43414538894745963</v>
      </c>
      <c r="S65" s="2">
        <f>S10*'Output-Calculation-sheet'!S54/10^9</f>
        <v>0.43573231478062008</v>
      </c>
      <c r="T65" s="2">
        <f>T10*'Output-Calculation-sheet'!T54/10^9</f>
        <v>0.14701809952288111</v>
      </c>
      <c r="U65" s="2">
        <f>U10*'Output-Calculation-sheet'!U54/10^9</f>
        <v>0.14120118104094778</v>
      </c>
      <c r="V65" s="2">
        <f>V10*'Output-Calculation-sheet'!V54/10^9</f>
        <v>0.16636767642232539</v>
      </c>
      <c r="W65" s="2">
        <f>W10*'Output-Calculation-sheet'!W54/10^9</f>
        <v>7.1102272330832397E-2</v>
      </c>
      <c r="X65" s="2">
        <f>X10*'Output-Calculation-sheet'!X54/10^9</f>
        <v>0.11429434947257214</v>
      </c>
      <c r="Y65" s="2">
        <f>Y10*'Output-Calculation-sheet'!Y54/10^9</f>
        <v>5.5157191210600746E-2</v>
      </c>
      <c r="AA65" s="2">
        <f t="shared" si="4"/>
        <v>25.437730219462637</v>
      </c>
    </row>
    <row r="66" spans="1:27" x14ac:dyDescent="0.25">
      <c r="A66" s="2">
        <v>2034</v>
      </c>
      <c r="B66" s="2">
        <f>B11*'Output-Calculation-sheet'!B55/10^9</f>
        <v>6.617570769258375</v>
      </c>
      <c r="C66" s="2">
        <f>C11*'Output-Calculation-sheet'!C55/10^9</f>
        <v>4.3980340771870372</v>
      </c>
      <c r="D66" s="2">
        <f>D11*'Output-Calculation-sheet'!D55/10^9</f>
        <v>1.197228403390215</v>
      </c>
      <c r="E66" s="2">
        <f>E11*'Output-Calculation-sheet'!E55/10^9</f>
        <v>1.5506020205873956</v>
      </c>
      <c r="F66" s="2">
        <f>F11*'Output-Calculation-sheet'!F55/10^9</f>
        <v>0.61023731849324991</v>
      </c>
      <c r="G66" s="2">
        <f>G11*'Output-Calculation-sheet'!G55/10^9</f>
        <v>0.44519273841489898</v>
      </c>
      <c r="H66" s="2">
        <f>H11*'Output-Calculation-sheet'!H55/10^9</f>
        <v>1.1110159073595647</v>
      </c>
      <c r="I66" s="2">
        <f>I11*'Output-Calculation-sheet'!I55/10^9</f>
        <v>0.41385796954375459</v>
      </c>
      <c r="J66" s="2">
        <f>J11*'Output-Calculation-sheet'!J55/10^9</f>
        <v>0.41669628509257273</v>
      </c>
      <c r="K66" s="2">
        <f>K11*'Output-Calculation-sheet'!K55/10^9</f>
        <v>0.47444617393281985</v>
      </c>
      <c r="L66" s="2">
        <f>L11*'Output-Calculation-sheet'!L55/10^9</f>
        <v>0.45996960355912081</v>
      </c>
      <c r="M66" s="2">
        <f>M11*'Output-Calculation-sheet'!M55/10^9</f>
        <v>0.78083521996193794</v>
      </c>
      <c r="N66" s="2">
        <f>N11*'Output-Calculation-sheet'!N55/10^9</f>
        <v>0.67879505356033365</v>
      </c>
      <c r="O66" s="2">
        <f>O11*'Output-Calculation-sheet'!O55/10^9</f>
        <v>0.7739183783593645</v>
      </c>
      <c r="P66" s="2">
        <f>P11*'Output-Calculation-sheet'!P55/10^9</f>
        <v>0.49626729456837881</v>
      </c>
      <c r="Q66" s="2">
        <f>Q11*'Output-Calculation-sheet'!Q55/10^9</f>
        <v>0.51046261970444395</v>
      </c>
      <c r="R66" s="2">
        <f>R11*'Output-Calculation-sheet'!R55/10^9</f>
        <v>0.37768180322883338</v>
      </c>
      <c r="S66" s="2">
        <f>S11*'Output-Calculation-sheet'!S55/10^9</f>
        <v>0.39205697132189044</v>
      </c>
      <c r="T66" s="2">
        <f>T11*'Output-Calculation-sheet'!T55/10^9</f>
        <v>0.11833526372608194</v>
      </c>
      <c r="U66" s="2">
        <f>U11*'Output-Calculation-sheet'!U55/10^9</f>
        <v>0.12879230915723552</v>
      </c>
      <c r="V66" s="2">
        <f>V11*'Output-Calculation-sheet'!V55/10^9</f>
        <v>0.11183775927806559</v>
      </c>
      <c r="W66" s="2">
        <f>W11*'Output-Calculation-sheet'!W55/10^9</f>
        <v>5.4789750046215134E-2</v>
      </c>
      <c r="X66" s="2">
        <f>X11*'Output-Calculation-sheet'!X55/10^9</f>
        <v>0.10238464311437465</v>
      </c>
      <c r="Y66" s="2">
        <f>Y11*'Output-Calculation-sheet'!Y55/10^9</f>
        <v>5.2570441246848343E-2</v>
      </c>
      <c r="AA66" s="2">
        <f t="shared" si="4"/>
        <v>22.273578774093</v>
      </c>
    </row>
    <row r="67" spans="1:27" x14ac:dyDescent="0.25">
      <c r="A67" s="2">
        <v>2035</v>
      </c>
      <c r="B67" s="2">
        <f>B12*'Output-Calculation-sheet'!B56/10^9</f>
        <v>5.4839361660035868</v>
      </c>
      <c r="C67" s="2">
        <f>C12*'Output-Calculation-sheet'!C56/10^9</f>
        <v>3.4654385689706357</v>
      </c>
      <c r="D67" s="2">
        <f>D12*'Output-Calculation-sheet'!D56/10^9</f>
        <v>1.0877366886993607</v>
      </c>
      <c r="E67" s="2">
        <f>E12*'Output-Calculation-sheet'!E56/10^9</f>
        <v>1.4875405565230497</v>
      </c>
      <c r="F67" s="2">
        <f>F12*'Output-Calculation-sheet'!F56/10^9</f>
        <v>0.5830170282853312</v>
      </c>
      <c r="G67" s="2">
        <f>G12*'Output-Calculation-sheet'!G56/10^9</f>
        <v>0.43016669287887394</v>
      </c>
      <c r="H67" s="2">
        <f>H12*'Output-Calculation-sheet'!H56/10^9</f>
        <v>0.9147088998580718</v>
      </c>
      <c r="I67" s="2">
        <f>I12*'Output-Calculation-sheet'!I56/10^9</f>
        <v>0.39413866462112462</v>
      </c>
      <c r="J67" s="2">
        <f>J12*'Output-Calculation-sheet'!J56/10^9</f>
        <v>0.36056982418434746</v>
      </c>
      <c r="K67" s="2">
        <f>K12*'Output-Calculation-sheet'!K56/10^9</f>
        <v>0.43200779489988306</v>
      </c>
      <c r="L67" s="2">
        <f>L12*'Output-Calculation-sheet'!L56/10^9</f>
        <v>0.40276083055703199</v>
      </c>
      <c r="M67" s="2">
        <f>M12*'Output-Calculation-sheet'!M56/10^9</f>
        <v>0.64720132562870281</v>
      </c>
      <c r="N67" s="2">
        <f>N12*'Output-Calculation-sheet'!N56/10^9</f>
        <v>0.55276993088401305</v>
      </c>
      <c r="O67" s="2">
        <f>O12*'Output-Calculation-sheet'!O56/10^9</f>
        <v>0.61138654106920265</v>
      </c>
      <c r="P67" s="2">
        <f>P12*'Output-Calculation-sheet'!P56/10^9</f>
        <v>0.44858543743245705</v>
      </c>
      <c r="Q67" s="2">
        <f>Q12*'Output-Calculation-sheet'!Q56/10^9</f>
        <v>0.42375634366397941</v>
      </c>
      <c r="R67" s="2">
        <f>R12*'Output-Calculation-sheet'!R56/10^9</f>
        <v>0.33275052487712298</v>
      </c>
      <c r="S67" s="2">
        <f>S12*'Output-Calculation-sheet'!S56/10^9</f>
        <v>0.32121739790838383</v>
      </c>
      <c r="T67" s="2">
        <f>T12*'Output-Calculation-sheet'!T56/10^9</f>
        <v>0.10347198468643558</v>
      </c>
      <c r="U67" s="2">
        <f>U12*'Output-Calculation-sheet'!U56/10^9</f>
        <v>0.11186800904655236</v>
      </c>
      <c r="V67" s="2">
        <f>V12*'Output-Calculation-sheet'!V56/10^9</f>
        <v>7.9860069805976347E-2</v>
      </c>
      <c r="W67" s="2">
        <f>W12*'Output-Calculation-sheet'!W56/10^9</f>
        <v>5.4154198751411566E-2</v>
      </c>
      <c r="X67" s="2">
        <f>X12*'Output-Calculation-sheet'!X56/10^9</f>
        <v>8.406691922345938E-2</v>
      </c>
      <c r="Y67" s="2">
        <f>Y12*'Output-Calculation-sheet'!Y56/10^9</f>
        <v>5.0531367405921887E-2</v>
      </c>
      <c r="AA67" s="2">
        <f t="shared" si="4"/>
        <v>18.863641765864916</v>
      </c>
    </row>
    <row r="68" spans="1:27" x14ac:dyDescent="0.25">
      <c r="B68" s="2">
        <f>SUM(B60:B67)</f>
        <v>52.290091702775669</v>
      </c>
      <c r="C68" s="2">
        <f t="shared" ref="C68:Y68" si="5">SUM(C60:C67)</f>
        <v>29.361636244868173</v>
      </c>
      <c r="D68" s="2">
        <f t="shared" si="5"/>
        <v>9.4093041304673495</v>
      </c>
      <c r="E68" s="2">
        <f t="shared" si="5"/>
        <v>12.19114775665518</v>
      </c>
      <c r="F68" s="2">
        <f t="shared" si="5"/>
        <v>5.0271078955347175</v>
      </c>
      <c r="G68" s="2">
        <f t="shared" si="5"/>
        <v>3.6199468525263621</v>
      </c>
      <c r="H68" s="2">
        <f t="shared" si="5"/>
        <v>7.549610786730697</v>
      </c>
      <c r="I68" s="2">
        <f t="shared" si="5"/>
        <v>3.258525374517522</v>
      </c>
      <c r="J68" s="2">
        <f t="shared" si="5"/>
        <v>3.4619648879116598</v>
      </c>
      <c r="K68" s="2">
        <f t="shared" si="5"/>
        <v>3.6002897948210464</v>
      </c>
      <c r="L68" s="2">
        <f t="shared" si="5"/>
        <v>3.6607021926602128</v>
      </c>
      <c r="M68" s="2">
        <f t="shared" si="5"/>
        <v>5.5484500248383268</v>
      </c>
      <c r="N68" s="2">
        <f t="shared" si="5"/>
        <v>4.7183456162967756</v>
      </c>
      <c r="O68" s="2">
        <f t="shared" si="5"/>
        <v>5.088142783208558</v>
      </c>
      <c r="P68" s="2">
        <f t="shared" si="5"/>
        <v>3.8463395579728141</v>
      </c>
      <c r="Q68" s="2">
        <f t="shared" si="5"/>
        <v>3.7020451380020627</v>
      </c>
      <c r="R68" s="2">
        <f t="shared" si="5"/>
        <v>3.0164865438385373</v>
      </c>
      <c r="S68" s="2">
        <f t="shared" si="5"/>
        <v>2.8689991194962876</v>
      </c>
      <c r="T68" s="2">
        <f t="shared" si="5"/>
        <v>0.98391386539068926</v>
      </c>
      <c r="U68" s="2">
        <f t="shared" si="5"/>
        <v>0.9825061430577271</v>
      </c>
      <c r="V68" s="2">
        <f t="shared" si="5"/>
        <v>0.90232471322056207</v>
      </c>
      <c r="W68" s="2">
        <f t="shared" si="5"/>
        <v>0.4615167204659491</v>
      </c>
      <c r="X68" s="2">
        <f t="shared" si="5"/>
        <v>0.75507543686412015</v>
      </c>
      <c r="Y68" s="2">
        <f t="shared" si="5"/>
        <v>0.39260081505879829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60.412890417319495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53.776570116610579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213.37323845600886</v>
      </c>
      <c r="S74" s="2">
        <f>S8/'Output-Calculation-sheet'!S7*'Output-Calculation-sheet'!S61</f>
        <v>0</v>
      </c>
      <c r="T74" s="2">
        <f>T8/'Output-Calculation-sheet'!T7*'Output-Calculation-sheet'!T61</f>
        <v>157.18673086036691</v>
      </c>
      <c r="U74" s="2">
        <f>U8/'Output-Calculation-sheet'!U7*'Output-Calculation-sheet'!U61</f>
        <v>19.911891229646137</v>
      </c>
      <c r="V74" s="2">
        <f>V8/'Output-Calculation-sheet'!V7*'Output-Calculation-sheet'!V61</f>
        <v>180.42781196950179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0.68508913304945385</v>
      </c>
    </row>
    <row r="75" spans="1:27" x14ac:dyDescent="0.25">
      <c r="A75" s="2">
        <v>2032</v>
      </c>
      <c r="B75" s="2">
        <f>B9/'Output-Calculation-sheet'!B8*'Output-Calculation-sheet'!B62</f>
        <v>614.94568373025959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124.71630029100365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99.923751827496901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264.39563980902949</v>
      </c>
      <c r="S75" s="2">
        <f>S9/'Output-Calculation-sheet'!S8*'Output-Calculation-sheet'!S62</f>
        <v>0</v>
      </c>
      <c r="T75" s="2">
        <f>T9/'Output-Calculation-sheet'!T8*'Output-Calculation-sheet'!T62</f>
        <v>174.63958489475598</v>
      </c>
      <c r="U75" s="2">
        <f>U9/'Output-Calculation-sheet'!U8*'Output-Calculation-sheet'!U62</f>
        <v>35.698602087911325</v>
      </c>
      <c r="V75" s="2">
        <f>V9/'Output-Calculation-sheet'!V8*'Output-Calculation-sheet'!V62</f>
        <v>187.07686720497094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1.5013964298454276</v>
      </c>
    </row>
    <row r="76" spans="1:27" x14ac:dyDescent="0.25">
      <c r="A76" s="2">
        <v>2033</v>
      </c>
      <c r="B76" s="2">
        <f>B10/'Output-Calculation-sheet'!B9*'Output-Calculation-sheet'!B63</f>
        <v>5408.384778697302</v>
      </c>
      <c r="C76" s="2">
        <f>C10/'Output-Calculation-sheet'!C9*'Output-Calculation-sheet'!C63</f>
        <v>11046.393995705101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3521.9861644998709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2398.1153573814081</v>
      </c>
      <c r="N76" s="2">
        <f>N10/'Output-Calculation-sheet'!N9*'Output-Calculation-sheet'!N63</f>
        <v>1369.90967514721</v>
      </c>
      <c r="O76" s="2">
        <f>O10/'Output-Calculation-sheet'!O9*'Output-Calculation-sheet'!O63</f>
        <v>0</v>
      </c>
      <c r="P76" s="2">
        <f>P10/'Output-Calculation-sheet'!P9*'Output-Calculation-sheet'!P63</f>
        <v>475.70253630989868</v>
      </c>
      <c r="Q76" s="2">
        <f>Q10/'Output-Calculation-sheet'!Q9*'Output-Calculation-sheet'!Q63</f>
        <v>214.56096097883528</v>
      </c>
      <c r="R76" s="2">
        <f>R10/'Output-Calculation-sheet'!R9*'Output-Calculation-sheet'!R63</f>
        <v>362.5613876761746</v>
      </c>
      <c r="S76" s="2">
        <f>S10/'Output-Calculation-sheet'!S9*'Output-Calculation-sheet'!S63</f>
        <v>609.1668589767894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128.11668308708428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282.39512362300621</v>
      </c>
      <c r="Y76" s="2">
        <f>Y10/'Output-Calculation-sheet'!Y9*'Output-Calculation-sheet'!Y63</f>
        <v>5.357397562569548</v>
      </c>
      <c r="AA76" s="2">
        <f t="shared" si="6"/>
        <v>25.949452527991596</v>
      </c>
    </row>
    <row r="77" spans="1:27" x14ac:dyDescent="0.25">
      <c r="A77" s="2">
        <v>2034</v>
      </c>
      <c r="B77" s="2">
        <f>B11/'Output-Calculation-sheet'!B10*'Output-Calculation-sheet'!B64</f>
        <v>11026.82168443638</v>
      </c>
      <c r="C77" s="2">
        <f>C11/'Output-Calculation-sheet'!C10*'Output-Calculation-sheet'!C64</f>
        <v>9686.6230639952282</v>
      </c>
      <c r="D77" s="2">
        <f>D11/'Output-Calculation-sheet'!D10*'Output-Calculation-sheet'!D64</f>
        <v>1359.1085021901586</v>
      </c>
      <c r="E77" s="2">
        <f>E11/'Output-Calculation-sheet'!E10*'Output-Calculation-sheet'!E64</f>
        <v>1679.3859395393845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717.61295099068661</v>
      </c>
      <c r="H77" s="2">
        <f>H11/'Output-Calculation-sheet'!H10*'Output-Calculation-sheet'!H64</f>
        <v>3555.3981101910636</v>
      </c>
      <c r="I77" s="2">
        <f>I11/'Output-Calculation-sheet'!I10*'Output-Calculation-sheet'!I64</f>
        <v>423.34936001810564</v>
      </c>
      <c r="J77" s="2">
        <f>J11/'Output-Calculation-sheet'!J10*'Output-Calculation-sheet'!J64</f>
        <v>301.78303631346597</v>
      </c>
      <c r="K77" s="2">
        <f>K11/'Output-Calculation-sheet'!K10*'Output-Calculation-sheet'!K64</f>
        <v>639.84715522991041</v>
      </c>
      <c r="L77" s="2">
        <f>L11/'Output-Calculation-sheet'!L10*'Output-Calculation-sheet'!L64</f>
        <v>277.81922668806089</v>
      </c>
      <c r="M77" s="2">
        <f>M11/'Output-Calculation-sheet'!M10*'Output-Calculation-sheet'!M64</f>
        <v>2528.7799597080716</v>
      </c>
      <c r="N77" s="2">
        <f>N11/'Output-Calculation-sheet'!N10*'Output-Calculation-sheet'!N64</f>
        <v>1799.1648362072917</v>
      </c>
      <c r="O77" s="2">
        <f>O11/'Output-Calculation-sheet'!O10*'Output-Calculation-sheet'!O64</f>
        <v>62.728885975704785</v>
      </c>
      <c r="P77" s="2">
        <f>P11/'Output-Calculation-sheet'!P10*'Output-Calculation-sheet'!P64</f>
        <v>794.08466170309771</v>
      </c>
      <c r="Q77" s="2">
        <f>Q11/'Output-Calculation-sheet'!Q10*'Output-Calculation-sheet'!Q64</f>
        <v>453.1214871163611</v>
      </c>
      <c r="R77" s="2">
        <f>R11/'Output-Calculation-sheet'!R10*'Output-Calculation-sheet'!R64</f>
        <v>679.5290072071208</v>
      </c>
      <c r="S77" s="2">
        <f>S11/'Output-Calculation-sheet'!S10*'Output-Calculation-sheet'!S64</f>
        <v>908.56839317061338</v>
      </c>
      <c r="T77" s="2">
        <f>T11/'Output-Calculation-sheet'!T10*'Output-Calculation-sheet'!T64</f>
        <v>186.94877418590104</v>
      </c>
      <c r="U77" s="2">
        <f>U11/'Output-Calculation-sheet'!U10*'Output-Calculation-sheet'!U64</f>
        <v>248.47674549233</v>
      </c>
      <c r="V77" s="2">
        <f>V11/'Output-Calculation-sheet'!V10*'Output-Calculation-sheet'!V64</f>
        <v>99.050373889569954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256.95088749154712</v>
      </c>
      <c r="Y77" s="2">
        <f>Y11/'Output-Calculation-sheet'!Y10*'Output-Calculation-sheet'!Y64</f>
        <v>62.214623700930936</v>
      </c>
      <c r="AA77" s="2">
        <f t="shared" si="6"/>
        <v>37.87286173634719</v>
      </c>
    </row>
    <row r="78" spans="1:27" x14ac:dyDescent="0.25">
      <c r="A78" s="2">
        <v>2035</v>
      </c>
      <c r="B78" s="2">
        <f>B12/'Output-Calculation-sheet'!B11*'Output-Calculation-sheet'!B65</f>
        <v>10612.941118399931</v>
      </c>
      <c r="C78" s="2">
        <f>C12/'Output-Calculation-sheet'!C11*'Output-Calculation-sheet'!C65</f>
        <v>7494.6339166743574</v>
      </c>
      <c r="D78" s="2">
        <f>D12/'Output-Calculation-sheet'!D11*'Output-Calculation-sheet'!D65</f>
        <v>1126.7335196014369</v>
      </c>
      <c r="E78" s="2">
        <f>E12/'Output-Calculation-sheet'!E11*'Output-Calculation-sheet'!E65</f>
        <v>2141.8904672648246</v>
      </c>
      <c r="F78" s="2">
        <f>F12/'Output-Calculation-sheet'!F11*'Output-Calculation-sheet'!F65</f>
        <v>453.69091956996681</v>
      </c>
      <c r="G78" s="2">
        <f>G12/'Output-Calculation-sheet'!G11*'Output-Calculation-sheet'!G65</f>
        <v>851.29704303555116</v>
      </c>
      <c r="H78" s="2">
        <f>H12/'Output-Calculation-sheet'!H11*'Output-Calculation-sheet'!H65</f>
        <v>2740.8406937590867</v>
      </c>
      <c r="I78" s="2">
        <f>I12/'Output-Calculation-sheet'!I11*'Output-Calculation-sheet'!I65</f>
        <v>500.58959094847114</v>
      </c>
      <c r="J78" s="2">
        <f>J12/'Output-Calculation-sheet'!J11*'Output-Calculation-sheet'!J65</f>
        <v>448.9445981337737</v>
      </c>
      <c r="K78" s="2">
        <f>K12/'Output-Calculation-sheet'!K11*'Output-Calculation-sheet'!K65</f>
        <v>566.54634245162981</v>
      </c>
      <c r="L78" s="2">
        <f>L12/'Output-Calculation-sheet'!L11*'Output-Calculation-sheet'!L65</f>
        <v>336.86105239853225</v>
      </c>
      <c r="M78" s="2">
        <f>M12/'Output-Calculation-sheet'!M11*'Output-Calculation-sheet'!M65</f>
        <v>1951.0124552373254</v>
      </c>
      <c r="N78" s="2">
        <f>N12/'Output-Calculation-sheet'!N11*'Output-Calculation-sheet'!N65</f>
        <v>1371.8768229971965</v>
      </c>
      <c r="O78" s="2">
        <f>O12/'Output-Calculation-sheet'!O11*'Output-Calculation-sheet'!O65</f>
        <v>192.31940108443109</v>
      </c>
      <c r="P78" s="2">
        <f>P12/'Output-Calculation-sheet'!P11*'Output-Calculation-sheet'!P65</f>
        <v>779.89748710480274</v>
      </c>
      <c r="Q78" s="2">
        <f>Q12/'Output-Calculation-sheet'!Q11*'Output-Calculation-sheet'!Q65</f>
        <v>392.28069863557516</v>
      </c>
      <c r="R78" s="2">
        <f>R12/'Output-Calculation-sheet'!R11*'Output-Calculation-sheet'!R65</f>
        <v>646.59728447952943</v>
      </c>
      <c r="S78" s="2">
        <f>S12/'Output-Calculation-sheet'!S11*'Output-Calculation-sheet'!S65</f>
        <v>729.46153204644668</v>
      </c>
      <c r="T78" s="2">
        <f>T12/'Output-Calculation-sheet'!T11*'Output-Calculation-sheet'!T65</f>
        <v>232.50133558192053</v>
      </c>
      <c r="U78" s="2">
        <f>U12/'Output-Calculation-sheet'!U11*'Output-Calculation-sheet'!U65</f>
        <v>199.21060302532297</v>
      </c>
      <c r="V78" s="2">
        <f>V12/'Output-Calculation-sheet'!V11*'Output-Calculation-sheet'!V65</f>
        <v>125.47610572966065</v>
      </c>
      <c r="W78" s="2">
        <f>W12/'Output-Calculation-sheet'!W11*'Output-Calculation-sheet'!W65</f>
        <v>88.376824210921839</v>
      </c>
      <c r="X78" s="2">
        <f>X12/'Output-Calculation-sheet'!X11*'Output-Calculation-sheet'!X65</f>
        <v>201.08572777476252</v>
      </c>
      <c r="Y78" s="2">
        <f>Y12/'Output-Calculation-sheet'!Y11*'Output-Calculation-sheet'!Y65</f>
        <v>86.264548200280203</v>
      </c>
      <c r="AA78" s="2">
        <f t="shared" si="6"/>
        <v>34.271330088345735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398.68603586476706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387.26985602989919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0.7859558918946663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671.63855217987521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25.843907991386789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17.783137669271465</v>
      </c>
      <c r="N88" s="2">
        <f>N11/'Output-Calculation-sheet'!N10*'Output-Calculation-sheet'!N73</f>
        <v>0</v>
      </c>
      <c r="O88" s="2">
        <f>O11/'Output-Calculation-sheet'!O10*'Output-Calculation-sheet'!O73</f>
        <v>375.13374348445399</v>
      </c>
      <c r="P88" s="2">
        <f>P11/'Output-Calculation-sheet'!P10*'Output-Calculation-sheet'!P73</f>
        <v>0</v>
      </c>
      <c r="Q88" s="2">
        <f>Q11/'Output-Calculation-sheet'!Q10*'Output-Calculation-sheet'!Q73</f>
        <v>15.313331771421463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1.9508540413291664</v>
      </c>
      <c r="Y88" s="2">
        <f>Y11/'Output-Calculation-sheet'!Y10*'Output-Calculation-sheet'!Y73</f>
        <v>0</v>
      </c>
      <c r="AA88" s="2">
        <f t="shared" si="7"/>
        <v>1.1076635271377382</v>
      </c>
    </row>
    <row r="89" spans="1:27" x14ac:dyDescent="0.25">
      <c r="A89" s="2">
        <v>2035</v>
      </c>
      <c r="B89" s="2">
        <f>B12/'Output-Calculation-sheet'!B11*'Output-Calculation-sheet'!B74</f>
        <v>267.52391213732778</v>
      </c>
      <c r="C89" s="2">
        <f>C12/'Output-Calculation-sheet'!C11*'Output-Calculation-sheet'!C74</f>
        <v>825.32330024113855</v>
      </c>
      <c r="D89" s="2">
        <f>D12/'Output-Calculation-sheet'!D11*'Output-Calculation-sheet'!D74</f>
        <v>112.47651805354998</v>
      </c>
      <c r="E89" s="2">
        <f>E12/'Output-Calculation-sheet'!E11*'Output-Calculation-sheet'!E74</f>
        <v>89.388830718645522</v>
      </c>
      <c r="F89" s="2">
        <f>F12/'Output-Calculation-sheet'!F11*'Output-Calculation-sheet'!F74</f>
        <v>28.109722402104509</v>
      </c>
      <c r="G89" s="2">
        <f>G12/'Output-Calculation-sheet'!G11*'Output-Calculation-sheet'!G74</f>
        <v>40.34774363882417</v>
      </c>
      <c r="H89" s="2">
        <f>H12/'Output-Calculation-sheet'!H11*'Output-Calculation-sheet'!H74</f>
        <v>97.715467598330306</v>
      </c>
      <c r="I89" s="2">
        <f>I12/'Output-Calculation-sheet'!I11*'Output-Calculation-sheet'!I74</f>
        <v>36.290386468643696</v>
      </c>
      <c r="J89" s="2">
        <f>J12/'Output-Calculation-sheet'!J11*'Output-Calculation-sheet'!J74</f>
        <v>17.957783925350949</v>
      </c>
      <c r="K89" s="2">
        <f>K12/'Output-Calculation-sheet'!K11*'Output-Calculation-sheet'!K74</f>
        <v>35.667737500102604</v>
      </c>
      <c r="L89" s="2">
        <f>L12/'Output-Calculation-sheet'!L11*'Output-Calculation-sheet'!L74</f>
        <v>28.361275722882109</v>
      </c>
      <c r="M89" s="2">
        <f>M12/'Output-Calculation-sheet'!M11*'Output-Calculation-sheet'!M74</f>
        <v>53.79024297091528</v>
      </c>
      <c r="N89" s="2">
        <f>N12/'Output-Calculation-sheet'!N11*'Output-Calculation-sheet'!N74</f>
        <v>39.650383138322411</v>
      </c>
      <c r="O89" s="2">
        <f>O12/'Output-Calculation-sheet'!O11*'Output-Calculation-sheet'!O74</f>
        <v>320.67622832009289</v>
      </c>
      <c r="P89" s="2">
        <f>P12/'Output-Calculation-sheet'!P11*'Output-Calculation-sheet'!P74</f>
        <v>24.419873097185167</v>
      </c>
      <c r="Q89" s="2">
        <f>Q12/'Output-Calculation-sheet'!Q11*'Output-Calculation-sheet'!Q74</f>
        <v>34.739700552211758</v>
      </c>
      <c r="R89" s="2">
        <f>R12/'Output-Calculation-sheet'!R11*'Output-Calculation-sheet'!R74</f>
        <v>22.967260486609934</v>
      </c>
      <c r="S89" s="2">
        <f>S12/'Output-Calculation-sheet'!S11*'Output-Calculation-sheet'!S74</f>
        <v>22.728906712982074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7.3893914101162128</v>
      </c>
      <c r="V89" s="2">
        <f>V12/'Output-Calculation-sheet'!V11*'Output-Calculation-sheet'!V74</f>
        <v>2.8489454789560349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8.8513833865112481</v>
      </c>
      <c r="Y89" s="2">
        <f>Y12/'Output-Calculation-sheet'!Y11*'Output-Calculation-sheet'!Y74</f>
        <v>2.8472497136819936</v>
      </c>
      <c r="AA89" s="2">
        <f t="shared" si="7"/>
        <v>2.1267877559218795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17482430793.933071</v>
      </c>
      <c r="C96" s="2">
        <f>C8/'Output-Calculation-sheet'!C7*'Output-Calculation-sheet'!C79</f>
        <v>2151902109.7014694</v>
      </c>
      <c r="D96" s="2">
        <f>D8/'Output-Calculation-sheet'!D7*'Output-Calculation-sheet'!D79</f>
        <v>7620544248.4286242</v>
      </c>
      <c r="E96" s="2">
        <f>E8/'Output-Calculation-sheet'!E7*'Output-Calculation-sheet'!E79</f>
        <v>13029408608.117083</v>
      </c>
      <c r="F96" s="2">
        <f>F8/'Output-Calculation-sheet'!F7*'Output-Calculation-sheet'!F79</f>
        <v>5863668726.190896</v>
      </c>
      <c r="G96" s="2">
        <f>G8/'Output-Calculation-sheet'!G7*'Output-Calculation-sheet'!G79</f>
        <v>4453722701.3243275</v>
      </c>
      <c r="H96" s="2">
        <f>H8/'Output-Calculation-sheet'!H7*'Output-Calculation-sheet'!H79</f>
        <v>1295739851.1387153</v>
      </c>
      <c r="I96" s="2">
        <f>I8/'Output-Calculation-sheet'!I7*'Output-Calculation-sheet'!I79</f>
        <v>2987436417.0622077</v>
      </c>
      <c r="J96" s="2">
        <f>J8/'Output-Calculation-sheet'!J7*'Output-Calculation-sheet'!J79</f>
        <v>2213742156.4134936</v>
      </c>
      <c r="K96" s="2">
        <f>K8/'Output-Calculation-sheet'!K7*'Output-Calculation-sheet'!K79</f>
        <v>2559642461.4693503</v>
      </c>
      <c r="L96" s="2">
        <f>L8/'Output-Calculation-sheet'!L7*'Output-Calculation-sheet'!L79</f>
        <v>2036148546.4620521</v>
      </c>
      <c r="M96" s="2">
        <f>M8/'Output-Calculation-sheet'!M7*'Output-Calculation-sheet'!M79</f>
        <v>1007322103.2979109</v>
      </c>
      <c r="N96" s="2">
        <f>N8/'Output-Calculation-sheet'!N7*'Output-Calculation-sheet'!N79</f>
        <v>1023035540.5461949</v>
      </c>
      <c r="O96" s="2">
        <f>O8/'Output-Calculation-sheet'!O7*'Output-Calculation-sheet'!O79</f>
        <v>249723071.18795565</v>
      </c>
      <c r="P96" s="2">
        <f>P8/'Output-Calculation-sheet'!P7*'Output-Calculation-sheet'!P79</f>
        <v>2720922838.2199063</v>
      </c>
      <c r="Q96" s="2">
        <f>Q8/'Output-Calculation-sheet'!Q7*'Output-Calculation-sheet'!Q79</f>
        <v>1206543369.757726</v>
      </c>
      <c r="R96" s="2">
        <f>R8/'Output-Calculation-sheet'!R7*'Output-Calculation-sheet'!R79</f>
        <v>1835736111.8808088</v>
      </c>
      <c r="S96" s="2">
        <f>S8/'Output-Calculation-sheet'!S7*'Output-Calculation-sheet'!S79</f>
        <v>717537617.3377105</v>
      </c>
      <c r="T96" s="2">
        <f>T8/'Output-Calculation-sheet'!T7*'Output-Calculation-sheet'!T79</f>
        <v>971774983.12115526</v>
      </c>
      <c r="U96" s="2">
        <f>U8/'Output-Calculation-sheet'!U7*'Output-Calculation-sheet'!U79</f>
        <v>482653553.67429703</v>
      </c>
      <c r="V96" s="2">
        <f>V8/'Output-Calculation-sheet'!V7*'Output-Calculation-sheet'!V79</f>
        <v>355652490.80779862</v>
      </c>
      <c r="W96" s="2">
        <f>W8/'Output-Calculation-sheet'!W7*'Output-Calculation-sheet'!W79</f>
        <v>947473827.49295938</v>
      </c>
      <c r="X96" s="2">
        <f>X8/'Output-Calculation-sheet'!X7*'Output-Calculation-sheet'!X79</f>
        <v>112273586.07610272</v>
      </c>
      <c r="Y96" s="2">
        <f>Y8/'Output-Calculation-sheet'!Y7*'Output-Calculation-sheet'!Y79</f>
        <v>425214615.32934916</v>
      </c>
      <c r="AA96" s="2">
        <f t="shared" si="8"/>
        <v>73.750250328971177</v>
      </c>
    </row>
    <row r="97" spans="1:27" x14ac:dyDescent="0.25">
      <c r="A97" s="2">
        <v>2032</v>
      </c>
      <c r="B97" s="2">
        <f>B9/'Output-Calculation-sheet'!B8*'Output-Calculation-sheet'!B80</f>
        <v>18290184539.056599</v>
      </c>
      <c r="C97" s="2">
        <f>C9/'Output-Calculation-sheet'!C8*'Output-Calculation-sheet'!C80</f>
        <v>2297855322.6888924</v>
      </c>
      <c r="D97" s="2">
        <f>D9/'Output-Calculation-sheet'!D8*'Output-Calculation-sheet'!D80</f>
        <v>7567976266.8000431</v>
      </c>
      <c r="E97" s="2">
        <f>E9/'Output-Calculation-sheet'!E8*'Output-Calculation-sheet'!E80</f>
        <v>13324220731.274729</v>
      </c>
      <c r="F97" s="2">
        <f>F9/'Output-Calculation-sheet'!F8*'Output-Calculation-sheet'!F80</f>
        <v>5982496629.0396519</v>
      </c>
      <c r="G97" s="2">
        <f>G9/'Output-Calculation-sheet'!G8*'Output-Calculation-sheet'!G80</f>
        <v>4428130040.5615864</v>
      </c>
      <c r="H97" s="2">
        <f>H9/'Output-Calculation-sheet'!H8*'Output-Calculation-sheet'!H80</f>
        <v>1341752022.5654664</v>
      </c>
      <c r="I97" s="2">
        <f>I9/'Output-Calculation-sheet'!I8*'Output-Calculation-sheet'!I80</f>
        <v>3075652308.3368201</v>
      </c>
      <c r="J97" s="2">
        <f>J9/'Output-Calculation-sheet'!J8*'Output-Calculation-sheet'!J80</f>
        <v>2219262885.3217568</v>
      </c>
      <c r="K97" s="2">
        <f>K9/'Output-Calculation-sheet'!K8*'Output-Calculation-sheet'!K80</f>
        <v>2583287337.1037927</v>
      </c>
      <c r="L97" s="2">
        <f>L9/'Output-Calculation-sheet'!L8*'Output-Calculation-sheet'!L80</f>
        <v>2118148458.4080203</v>
      </c>
      <c r="M97" s="2">
        <f>M9/'Output-Calculation-sheet'!M8*'Output-Calculation-sheet'!M80</f>
        <v>1042919842.2769799</v>
      </c>
      <c r="N97" s="2">
        <f>N9/'Output-Calculation-sheet'!N8*'Output-Calculation-sheet'!N80</f>
        <v>1033666013.6337452</v>
      </c>
      <c r="O97" s="2">
        <f>O9/'Output-Calculation-sheet'!O8*'Output-Calculation-sheet'!O80</f>
        <v>269767378.63994426</v>
      </c>
      <c r="P97" s="2">
        <f>P9/'Output-Calculation-sheet'!P8*'Output-Calculation-sheet'!P80</f>
        <v>2743392919.5300841</v>
      </c>
      <c r="Q97" s="2">
        <f>Q9/'Output-Calculation-sheet'!Q8*'Output-Calculation-sheet'!Q80</f>
        <v>1219868146.0076673</v>
      </c>
      <c r="R97" s="2">
        <f>R9/'Output-Calculation-sheet'!R8*'Output-Calculation-sheet'!R80</f>
        <v>1898294410.7993531</v>
      </c>
      <c r="S97" s="2">
        <f>S9/'Output-Calculation-sheet'!S8*'Output-Calculation-sheet'!S80</f>
        <v>732112533.71080542</v>
      </c>
      <c r="T97" s="2">
        <f>T9/'Output-Calculation-sheet'!T8*'Output-Calculation-sheet'!T80</f>
        <v>978908793.91641808</v>
      </c>
      <c r="U97" s="2">
        <f>U9/'Output-Calculation-sheet'!U8*'Output-Calculation-sheet'!U80</f>
        <v>496816852.87891203</v>
      </c>
      <c r="V97" s="2">
        <f>V9/'Output-Calculation-sheet'!V8*'Output-Calculation-sheet'!V80</f>
        <v>365970010.98397422</v>
      </c>
      <c r="W97" s="2">
        <f>W9/'Output-Calculation-sheet'!W8*'Output-Calculation-sheet'!W80</f>
        <v>957068226.53648341</v>
      </c>
      <c r="X97" s="2">
        <f>X9/'Output-Calculation-sheet'!X8*'Output-Calculation-sheet'!X80</f>
        <v>117203239.66070466</v>
      </c>
      <c r="Y97" s="2">
        <f>Y9/'Output-Calculation-sheet'!Y8*'Output-Calculation-sheet'!Y80</f>
        <v>429766961.74555874</v>
      </c>
      <c r="AA97" s="2">
        <f t="shared" si="8"/>
        <v>75.514721871477946</v>
      </c>
    </row>
    <row r="98" spans="1:27" x14ac:dyDescent="0.25">
      <c r="A98" s="2">
        <v>2033</v>
      </c>
      <c r="B98" s="2">
        <f>B10/'Output-Calculation-sheet'!B9*'Output-Calculation-sheet'!B81</f>
        <v>19705544651.967773</v>
      </c>
      <c r="C98" s="2">
        <f>C10/'Output-Calculation-sheet'!C9*'Output-Calculation-sheet'!C81</f>
        <v>6756037879.1157351</v>
      </c>
      <c r="D98" s="2">
        <f>D10/'Output-Calculation-sheet'!D9*'Output-Calculation-sheet'!D81</f>
        <v>6429690337.4403992</v>
      </c>
      <c r="E98" s="2">
        <f>E10/'Output-Calculation-sheet'!E9*'Output-Calculation-sheet'!E81</f>
        <v>12094652079.080534</v>
      </c>
      <c r="F98" s="2">
        <f>F10/'Output-Calculation-sheet'!F9*'Output-Calculation-sheet'!F81</f>
        <v>4988126858.2486219</v>
      </c>
      <c r="G98" s="2">
        <f>G10/'Output-Calculation-sheet'!G9*'Output-Calculation-sheet'!G81</f>
        <v>3662435356.6406198</v>
      </c>
      <c r="H98" s="2">
        <f>H10/'Output-Calculation-sheet'!H9*'Output-Calculation-sheet'!H81</f>
        <v>3318196356.1140523</v>
      </c>
      <c r="I98" s="2">
        <f>I10/'Output-Calculation-sheet'!I9*'Output-Calculation-sheet'!I81</f>
        <v>2758400789.8887687</v>
      </c>
      <c r="J98" s="2">
        <f>J10/'Output-Calculation-sheet'!J9*'Output-Calculation-sheet'!J81</f>
        <v>1763790989.6083765</v>
      </c>
      <c r="K98" s="2">
        <f>K10/'Output-Calculation-sheet'!K9*'Output-Calculation-sheet'!K81</f>
        <v>2561976358.7966857</v>
      </c>
      <c r="L98" s="2">
        <f>L10/'Output-Calculation-sheet'!L9*'Output-Calculation-sheet'!L81</f>
        <v>1921520618.9625647</v>
      </c>
      <c r="M98" s="2">
        <f>M10/'Output-Calculation-sheet'!M9*'Output-Calculation-sheet'!M81</f>
        <v>2491826144.8415394</v>
      </c>
      <c r="N98" s="2">
        <f>N10/'Output-Calculation-sheet'!N9*'Output-Calculation-sheet'!N81</f>
        <v>1787690833.727613</v>
      </c>
      <c r="O98" s="2">
        <f>O10/'Output-Calculation-sheet'!O9*'Output-Calculation-sheet'!O81</f>
        <v>946683293.04929674</v>
      </c>
      <c r="P98" s="2">
        <f>P10/'Output-Calculation-sheet'!P9*'Output-Calculation-sheet'!P81</f>
        <v>3025325128.7984257</v>
      </c>
      <c r="Q98" s="2">
        <f>Q10/'Output-Calculation-sheet'!Q9*'Output-Calculation-sheet'!Q81</f>
        <v>1422431181.7872026</v>
      </c>
      <c r="R98" s="2">
        <f>R10/'Output-Calculation-sheet'!R9*'Output-Calculation-sheet'!R81</f>
        <v>1819504678.5858307</v>
      </c>
      <c r="S98" s="2">
        <f>S10/'Output-Calculation-sheet'!S9*'Output-Calculation-sheet'!S81</f>
        <v>1051997646.6453902</v>
      </c>
      <c r="T98" s="2">
        <f>T10/'Output-Calculation-sheet'!T9*'Output-Calculation-sheet'!T81</f>
        <v>780625532.57040906</v>
      </c>
      <c r="U98" s="2">
        <f>U10/'Output-Calculation-sheet'!U9*'Output-Calculation-sheet'!U81</f>
        <v>507925600.0598771</v>
      </c>
      <c r="V98" s="2">
        <f>V10/'Output-Calculation-sheet'!V9*'Output-Calculation-sheet'!V81</f>
        <v>269005951.14014888</v>
      </c>
      <c r="W98" s="2">
        <f>W10/'Output-Calculation-sheet'!W9*'Output-Calculation-sheet'!W81</f>
        <v>762724678.6185751</v>
      </c>
      <c r="X98" s="2">
        <f>X10/'Output-Calculation-sheet'!X9*'Output-Calculation-sheet'!X81</f>
        <v>280278242.95481879</v>
      </c>
      <c r="Y98" s="2">
        <f>Y10/'Output-Calculation-sheet'!Y9*'Output-Calculation-sheet'!Y81</f>
        <v>419393262.90772855</v>
      </c>
      <c r="AA98" s="2">
        <f t="shared" si="8"/>
        <v>81.525784451550976</v>
      </c>
    </row>
    <row r="99" spans="1:27" x14ac:dyDescent="0.25">
      <c r="A99" s="2">
        <v>2034</v>
      </c>
      <c r="B99" s="2">
        <f>B11/'Output-Calculation-sheet'!B10*'Output-Calculation-sheet'!B82</f>
        <v>19358088004.812492</v>
      </c>
      <c r="C99" s="2">
        <f>C11/'Output-Calculation-sheet'!C10*'Output-Calculation-sheet'!C82</f>
        <v>6679334581.067749</v>
      </c>
      <c r="D99" s="2">
        <f>D11/'Output-Calculation-sheet'!D10*'Output-Calculation-sheet'!D82</f>
        <v>6076315678.1597719</v>
      </c>
      <c r="E99" s="2">
        <f>E11/'Output-Calculation-sheet'!E10*'Output-Calculation-sheet'!E82</f>
        <v>11754099853.717991</v>
      </c>
      <c r="F99" s="2">
        <f>F11/'Output-Calculation-sheet'!F10*'Output-Calculation-sheet'!F82</f>
        <v>4840911437.7916832</v>
      </c>
      <c r="G99" s="2">
        <f>G11/'Output-Calculation-sheet'!G10*'Output-Calculation-sheet'!G82</f>
        <v>3441543551.5841236</v>
      </c>
      <c r="H99" s="2">
        <f>H11/'Output-Calculation-sheet'!H10*'Output-Calculation-sheet'!H82</f>
        <v>3216747293.0443282</v>
      </c>
      <c r="I99" s="2">
        <f>I11/'Output-Calculation-sheet'!I10*'Output-Calculation-sheet'!I82</f>
        <v>2701843786.1365228</v>
      </c>
      <c r="J99" s="2">
        <f>J11/'Output-Calculation-sheet'!J10*'Output-Calculation-sheet'!J82</f>
        <v>1681356354.7683384</v>
      </c>
      <c r="K99" s="2">
        <f>K11/'Output-Calculation-sheet'!K10*'Output-Calculation-sheet'!K82</f>
        <v>2460044986.0853019</v>
      </c>
      <c r="L99" s="2">
        <f>L11/'Output-Calculation-sheet'!L10*'Output-Calculation-sheet'!L82</f>
        <v>1899334630.8385797</v>
      </c>
      <c r="M99" s="2">
        <f>M11/'Output-Calculation-sheet'!M10*'Output-Calculation-sheet'!M82</f>
        <v>2423116112.3047943</v>
      </c>
      <c r="N99" s="2">
        <f>N11/'Output-Calculation-sheet'!N10*'Output-Calculation-sheet'!N82</f>
        <v>1707087565.2171047</v>
      </c>
      <c r="O99" s="2">
        <f>O11/'Output-Calculation-sheet'!O10*'Output-Calculation-sheet'!O82</f>
        <v>925497840.90420735</v>
      </c>
      <c r="P99" s="2">
        <f>P11/'Output-Calculation-sheet'!P10*'Output-Calculation-sheet'!P82</f>
        <v>2884986433.2871938</v>
      </c>
      <c r="Q99" s="2">
        <f>Q11/'Output-Calculation-sheet'!Q10*'Output-Calculation-sheet'!Q82</f>
        <v>1365356874.3378758</v>
      </c>
      <c r="R99" s="2">
        <f>R11/'Output-Calculation-sheet'!R10*'Output-Calculation-sheet'!R82</f>
        <v>1767448159.5930803</v>
      </c>
      <c r="S99" s="2">
        <f>S11/'Output-Calculation-sheet'!S10*'Output-Calculation-sheet'!S82</f>
        <v>1018099551.5926062</v>
      </c>
      <c r="T99" s="2">
        <f>T11/'Output-Calculation-sheet'!T10*'Output-Calculation-sheet'!T82</f>
        <v>744111742.38278449</v>
      </c>
      <c r="U99" s="2">
        <f>U11/'Output-Calculation-sheet'!U10*'Output-Calculation-sheet'!U82</f>
        <v>492765795.95238304</v>
      </c>
      <c r="V99" s="2">
        <f>V11/'Output-Calculation-sheet'!V10*'Output-Calculation-sheet'!V82</f>
        <v>263475727.57930878</v>
      </c>
      <c r="W99" s="2">
        <f>W11/'Output-Calculation-sheet'!W10*'Output-Calculation-sheet'!W82</f>
        <v>730627417.34032166</v>
      </c>
      <c r="X99" s="2">
        <f>X11/'Output-Calculation-sheet'!X10*'Output-Calculation-sheet'!X82</f>
        <v>275174400.34781533</v>
      </c>
      <c r="Y99" s="2">
        <f>Y11/'Output-Calculation-sheet'!Y10*'Output-Calculation-sheet'!Y82</f>
        <v>402076807.69101572</v>
      </c>
      <c r="AA99" s="2">
        <f t="shared" si="8"/>
        <v>79.10944458653735</v>
      </c>
    </row>
    <row r="100" spans="1:27" x14ac:dyDescent="0.25">
      <c r="A100" s="2">
        <v>2035</v>
      </c>
      <c r="B100" s="2">
        <f>B12/'Output-Calculation-sheet'!B11*'Output-Calculation-sheet'!B83</f>
        <v>16725541482.043306</v>
      </c>
      <c r="C100" s="2">
        <f>C12/'Output-Calculation-sheet'!C11*'Output-Calculation-sheet'!C83</f>
        <v>5806836340.127841</v>
      </c>
      <c r="D100" s="2">
        <f>D12/'Output-Calculation-sheet'!D11*'Output-Calculation-sheet'!D83</f>
        <v>5054106469.1371164</v>
      </c>
      <c r="E100" s="2">
        <f>E12/'Output-Calculation-sheet'!E11*'Output-Calculation-sheet'!E83</f>
        <v>10051313661.833488</v>
      </c>
      <c r="F100" s="2">
        <f>F12/'Output-Calculation-sheet'!F11*'Output-Calculation-sheet'!F83</f>
        <v>4134709665.6258759</v>
      </c>
      <c r="G100" s="2">
        <f>G12/'Output-Calculation-sheet'!G11*'Output-Calculation-sheet'!G83</f>
        <v>2841350646.0486383</v>
      </c>
      <c r="H100" s="2">
        <f>H12/'Output-Calculation-sheet'!H11*'Output-Calculation-sheet'!H83</f>
        <v>2744532384.1249514</v>
      </c>
      <c r="I100" s="2">
        <f>I12/'Output-Calculation-sheet'!I11*'Output-Calculation-sheet'!I83</f>
        <v>2328681518.9199286</v>
      </c>
      <c r="J100" s="2">
        <f>J12/'Output-Calculation-sheet'!J11*'Output-Calculation-sheet'!J83</f>
        <v>1411281228.0861385</v>
      </c>
      <c r="K100" s="2">
        <f>K12/'Output-Calculation-sheet'!K11*'Output-Calculation-sheet'!K83</f>
        <v>2079418395.9347317</v>
      </c>
      <c r="L100" s="2">
        <f>L12/'Output-Calculation-sheet'!L11*'Output-Calculation-sheet'!L83</f>
        <v>1650939639.1684766</v>
      </c>
      <c r="M100" s="2">
        <f>M12/'Output-Calculation-sheet'!M11*'Output-Calculation-sheet'!M83</f>
        <v>2073946021.2791295</v>
      </c>
      <c r="N100" s="2">
        <f>N12/'Output-Calculation-sheet'!N11*'Output-Calculation-sheet'!N83</f>
        <v>1435006841.3505955</v>
      </c>
      <c r="O100" s="2">
        <f>O12/'Output-Calculation-sheet'!O11*'Output-Calculation-sheet'!O83</f>
        <v>796519913.29259253</v>
      </c>
      <c r="P100" s="2">
        <f>P12/'Output-Calculation-sheet'!P11*'Output-Calculation-sheet'!P83</f>
        <v>2419087573.7216315</v>
      </c>
      <c r="Q100" s="2">
        <f>Q12/'Output-Calculation-sheet'!Q11*'Output-Calculation-sheet'!Q83</f>
        <v>1153915862.1252971</v>
      </c>
      <c r="R100" s="2">
        <f>R12/'Output-Calculation-sheet'!R11*'Output-Calculation-sheet'!R83</f>
        <v>1510988506.7014837</v>
      </c>
      <c r="S100" s="2">
        <f>S12/'Output-Calculation-sheet'!S11*'Output-Calculation-sheet'!S83</f>
        <v>867229769.56629241</v>
      </c>
      <c r="T100" s="2">
        <f>T12/'Output-Calculation-sheet'!T11*'Output-Calculation-sheet'!T83</f>
        <v>624104960.16898799</v>
      </c>
      <c r="U100" s="2">
        <f>U12/'Output-Calculation-sheet'!U11*'Output-Calculation-sheet'!U83</f>
        <v>420576079.37645638</v>
      </c>
      <c r="V100" s="2">
        <f>V12/'Output-Calculation-sheet'!V11*'Output-Calculation-sheet'!V83</f>
        <v>226925230.91017851</v>
      </c>
      <c r="W100" s="2">
        <f>W12/'Output-Calculation-sheet'!W11*'Output-Calculation-sheet'!W83</f>
        <v>614796199.83986151</v>
      </c>
      <c r="X100" s="2">
        <f>X12/'Output-Calculation-sheet'!X11*'Output-Calculation-sheet'!X83</f>
        <v>237686050.55493009</v>
      </c>
      <c r="Y100" s="2">
        <f>Y12/'Output-Calculation-sheet'!Y11*'Output-Calculation-sheet'!Y83</f>
        <v>338789403.10650718</v>
      </c>
      <c r="AA100" s="2">
        <f t="shared" si="8"/>
        <v>67.548283843044445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00"/>
  <sheetViews>
    <sheetView topLeftCell="B1" workbookViewId="0">
      <selection activeCell="AA1" sqref="AA1:AA1048576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5933.9446297389477</v>
      </c>
      <c r="C19" s="2">
        <f>C8/'Output-Calculation-sheet'!C7*'Output-Calculation-sheet'!C25</f>
        <v>7912.0888585051989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2882.9005852374644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2110.1483126610706</v>
      </c>
      <c r="N19" s="2">
        <f>N8/'Output-Calculation-sheet'!N7*'Output-Calculation-sheet'!N25</f>
        <v>1099.3175930128098</v>
      </c>
      <c r="O19" s="2">
        <f>O8/'Output-Calculation-sheet'!O7*'Output-Calculation-sheet'!O25</f>
        <v>1198.8346219432401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479.23708941394335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243.9192981498195</v>
      </c>
      <c r="Y19" s="2">
        <f>Y8/'Output-Calculation-sheet'!Y7*'Output-Calculation-sheet'!Y25</f>
        <v>0</v>
      </c>
      <c r="AA19" s="2">
        <f t="shared" si="0"/>
        <v>21.860390988662491</v>
      </c>
    </row>
    <row r="20" spans="1:27" x14ac:dyDescent="0.25">
      <c r="A20" s="2">
        <v>2032</v>
      </c>
      <c r="B20" s="2">
        <f>B9/'Output-Calculation-sheet'!B8*'Output-Calculation-sheet'!B26</f>
        <v>7616.9919488442665</v>
      </c>
      <c r="C20" s="2">
        <f>C9/'Output-Calculation-sheet'!C8*'Output-Calculation-sheet'!C26</f>
        <v>8779.1801846852795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3160.5421466630091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2307.9177779418546</v>
      </c>
      <c r="N20" s="2">
        <f>N9/'Output-Calculation-sheet'!N8*'Output-Calculation-sheet'!N26</f>
        <v>1312.7712754966565</v>
      </c>
      <c r="O20" s="2">
        <f>O9/'Output-Calculation-sheet'!O8*'Output-Calculation-sheet'!O26</f>
        <v>1358.0657272992416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593.42930937736332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266.59446455211526</v>
      </c>
      <c r="Y20" s="2">
        <f>Y9/'Output-Calculation-sheet'!Y8*'Output-Calculation-sheet'!Y26</f>
        <v>0</v>
      </c>
      <c r="AA20" s="2">
        <f t="shared" si="0"/>
        <v>25.395492834859787</v>
      </c>
    </row>
    <row r="21" spans="1:27" x14ac:dyDescent="0.25">
      <c r="A21" s="2">
        <v>2033</v>
      </c>
      <c r="B21" s="2">
        <f>B10/'Output-Calculation-sheet'!B9*'Output-Calculation-sheet'!B27</f>
        <v>15603.904330013924</v>
      </c>
      <c r="C21" s="2">
        <f>C10/'Output-Calculation-sheet'!C9*'Output-Calculation-sheet'!C27</f>
        <v>26797.097199257638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9031.824171268443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6273.1641303630395</v>
      </c>
      <c r="N21" s="2">
        <f>N10/'Output-Calculation-sheet'!N9*'Output-Calculation-sheet'!N27</f>
        <v>3432.5497433165556</v>
      </c>
      <c r="O21" s="2">
        <f>O10/'Output-Calculation-sheet'!O9*'Output-Calculation-sheet'!O27</f>
        <v>2673.6556181801398</v>
      </c>
      <c r="P21" s="2">
        <f>P10/'Output-Calculation-sheet'!P9*'Output-Calculation-sheet'!P27</f>
        <v>0</v>
      </c>
      <c r="Q21" s="2">
        <f>Q10/'Output-Calculation-sheet'!Q9*'Output-Calculation-sheet'!Q27</f>
        <v>234.12262218884953</v>
      </c>
      <c r="R21" s="2">
        <f>R10/'Output-Calculation-sheet'!R9*'Output-Calculation-sheet'!R27</f>
        <v>0</v>
      </c>
      <c r="S21" s="2">
        <f>S10/'Output-Calculation-sheet'!S9*'Output-Calculation-sheet'!S27</f>
        <v>1490.8863969318299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737.67035906853323</v>
      </c>
      <c r="Y21" s="2">
        <f>Y10/'Output-Calculation-sheet'!Y9*'Output-Calculation-sheet'!Y27</f>
        <v>0</v>
      </c>
      <c r="AA21" s="2">
        <f t="shared" si="0"/>
        <v>66.274874570588963</v>
      </c>
    </row>
    <row r="22" spans="1:27" x14ac:dyDescent="0.25">
      <c r="A22" s="2">
        <v>2034</v>
      </c>
      <c r="B22" s="2">
        <f>B11/'Output-Calculation-sheet'!B10*'Output-Calculation-sheet'!B28</f>
        <v>27609.516497367429</v>
      </c>
      <c r="C22" s="2">
        <f>C11/'Output-Calculation-sheet'!C10*'Output-Calculation-sheet'!C28</f>
        <v>26487.864379971503</v>
      </c>
      <c r="D22" s="2">
        <f>D11/'Output-Calculation-sheet'!D10*'Output-Calculation-sheet'!D28</f>
        <v>0</v>
      </c>
      <c r="E22" s="2">
        <f>E11/'Output-Calculation-sheet'!E10*'Output-Calculation-sheet'!E28</f>
        <v>1414.6692894227342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10107.71891809935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843.5617005844606</v>
      </c>
      <c r="M22" s="2">
        <f>M11/'Output-Calculation-sheet'!M10*'Output-Calculation-sheet'!M28</f>
        <v>7369.415592680326</v>
      </c>
      <c r="N22" s="2">
        <f>N11/'Output-Calculation-sheet'!N10*'Output-Calculation-sheet'!N28</f>
        <v>4397.9801375315765</v>
      </c>
      <c r="O22" s="2">
        <f>O11/'Output-Calculation-sheet'!O10*'Output-Calculation-sheet'!O28</f>
        <v>2718.2396443678222</v>
      </c>
      <c r="P22" s="2">
        <f>P11/'Output-Calculation-sheet'!P10*'Output-Calculation-sheet'!P28</f>
        <v>0</v>
      </c>
      <c r="Q22" s="2">
        <f>Q11/'Output-Calculation-sheet'!Q10*'Output-Calculation-sheet'!Q28</f>
        <v>999.08344001290834</v>
      </c>
      <c r="R22" s="2">
        <f>R11/'Output-Calculation-sheet'!R10*'Output-Calculation-sheet'!R28</f>
        <v>0</v>
      </c>
      <c r="S22" s="2">
        <f>S11/'Output-Calculation-sheet'!S10*'Output-Calculation-sheet'!S28</f>
        <v>2243.5900830263381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740.01468789178091</v>
      </c>
      <c r="Y22" s="2">
        <f>Y11/'Output-Calculation-sheet'!Y10*'Output-Calculation-sheet'!Y28</f>
        <v>76.759390547831089</v>
      </c>
      <c r="AA22" s="2">
        <f t="shared" si="0"/>
        <v>85.008413761504045</v>
      </c>
    </row>
    <row r="23" spans="1:27" x14ac:dyDescent="0.25">
      <c r="A23" s="2">
        <v>2035</v>
      </c>
      <c r="B23" s="2">
        <f>B12/'Output-Calculation-sheet'!B11*'Output-Calculation-sheet'!B29</f>
        <v>29204.411057134013</v>
      </c>
      <c r="C23" s="2">
        <f>C12/'Output-Calculation-sheet'!C11*'Output-Calculation-sheet'!C29</f>
        <v>23853.799345063591</v>
      </c>
      <c r="D23" s="2">
        <f>D12/'Output-Calculation-sheet'!D11*'Output-Calculation-sheet'!D29</f>
        <v>0</v>
      </c>
      <c r="E23" s="2">
        <f>E12/'Output-Calculation-sheet'!E11*'Output-Calculation-sheet'!E29</f>
        <v>4502.6075986523783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9182.4506654727847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1020.7048091116889</v>
      </c>
      <c r="M23" s="2">
        <f>M12/'Output-Calculation-sheet'!M11*'Output-Calculation-sheet'!M29</f>
        <v>6727.5982283911026</v>
      </c>
      <c r="N23" s="2">
        <f>N12/'Output-Calculation-sheet'!N11*'Output-Calculation-sheet'!N29</f>
        <v>3924.583310429156</v>
      </c>
      <c r="O23" s="2">
        <f>O12/'Output-Calculation-sheet'!O11*'Output-Calculation-sheet'!O29</f>
        <v>2645.6516112138329</v>
      </c>
      <c r="P23" s="2">
        <f>P12/'Output-Calculation-sheet'!P11*'Output-Calculation-sheet'!P29</f>
        <v>479.31599432647096</v>
      </c>
      <c r="Q23" s="2">
        <f>Q12/'Output-Calculation-sheet'!Q11*'Output-Calculation-sheet'!Q29</f>
        <v>1076.0590522794068</v>
      </c>
      <c r="R23" s="2">
        <f>R12/'Output-Calculation-sheet'!R11*'Output-Calculation-sheet'!R29</f>
        <v>0</v>
      </c>
      <c r="S23" s="2">
        <f>S12/'Output-Calculation-sheet'!S11*'Output-Calculation-sheet'!S29</f>
        <v>2100.8301143848321</v>
      </c>
      <c r="T23" s="2">
        <f>T12/'Output-Calculation-sheet'!T11*'Output-Calculation-sheet'!T29</f>
        <v>0</v>
      </c>
      <c r="U23" s="2">
        <f>U12/'Output-Calculation-sheet'!U11*'Output-Calculation-sheet'!U29</f>
        <v>91.611840958742746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666.47328070473293</v>
      </c>
      <c r="Y23" s="2">
        <f>Y12/'Output-Calculation-sheet'!Y11*'Output-Calculation-sheet'!Y29</f>
        <v>197.3133078037439</v>
      </c>
      <c r="AA23" s="2">
        <f t="shared" si="0"/>
        <v>85.673410215926467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29182.340948353954</v>
      </c>
      <c r="C30" s="2">
        <f>C8/'Output-Calculation-sheet'!C7*'Output-Calculation-sheet'!C16</f>
        <v>0</v>
      </c>
      <c r="D30" s="2">
        <f>D8/'Output-Calculation-sheet'!D7*'Output-Calculation-sheet'!D16</f>
        <v>6574.500079757906</v>
      </c>
      <c r="E30" s="2">
        <f>E8/'Output-Calculation-sheet'!E7*'Output-Calculation-sheet'!E16</f>
        <v>8238.8988490523952</v>
      </c>
      <c r="F30" s="2">
        <f>F8/'Output-Calculation-sheet'!F7*'Output-Calculation-sheet'!F16</f>
        <v>4023.8774351062752</v>
      </c>
      <c r="G30" s="2">
        <f>G8/'Output-Calculation-sheet'!G7*'Output-Calculation-sheet'!G16</f>
        <v>2452.0986579962146</v>
      </c>
      <c r="H30" s="2">
        <f>H8/'Output-Calculation-sheet'!H7*'Output-Calculation-sheet'!H16</f>
        <v>0</v>
      </c>
      <c r="I30" s="2">
        <f>I8/'Output-Calculation-sheet'!I7*'Output-Calculation-sheet'!I16</f>
        <v>2308.3482452105645</v>
      </c>
      <c r="J30" s="2">
        <f>J8/'Output-Calculation-sheet'!J7*'Output-Calculation-sheet'!J16</f>
        <v>2474.4495197465221</v>
      </c>
      <c r="K30" s="2">
        <f>K8/'Output-Calculation-sheet'!K7*'Output-Calculation-sheet'!K16</f>
        <v>2394.9889914716978</v>
      </c>
      <c r="L30" s="2">
        <f>L8/'Output-Calculation-sheet'!L7*'Output-Calculation-sheet'!L16</f>
        <v>2647.2794654149452</v>
      </c>
      <c r="M30" s="2">
        <f>M8/'Output-Calculation-sheet'!M7*'Output-Calculation-sheet'!M16</f>
        <v>0</v>
      </c>
      <c r="N30" s="2">
        <f>N8/'Output-Calculation-sheet'!N7*'Output-Calculation-sheet'!N16</f>
        <v>1187.1109243994665</v>
      </c>
      <c r="O30" s="2">
        <f>O8/'Output-Calculation-sheet'!O7*'Output-Calculation-sheet'!O16</f>
        <v>0</v>
      </c>
      <c r="P30" s="2">
        <f>P8/'Output-Calculation-sheet'!P7*'Output-Calculation-sheet'!P16</f>
        <v>2266.2025528567256</v>
      </c>
      <c r="Q30" s="2">
        <f>Q8/'Output-Calculation-sheet'!Q7*'Output-Calculation-sheet'!Q16</f>
        <v>2223.2569757672618</v>
      </c>
      <c r="R30" s="2">
        <f>R8/'Output-Calculation-sheet'!R7*'Output-Calculation-sheet'!R16</f>
        <v>1972.9701637425296</v>
      </c>
      <c r="S30" s="2">
        <f>S8/'Output-Calculation-sheet'!S7*'Output-Calculation-sheet'!S16</f>
        <v>1044.9477783604218</v>
      </c>
      <c r="T30" s="2">
        <f>T8/'Output-Calculation-sheet'!T7*'Output-Calculation-sheet'!T16</f>
        <v>745.22020609733147</v>
      </c>
      <c r="U30" s="2">
        <f>U8/'Output-Calculation-sheet'!U7*'Output-Calculation-sheet'!U16</f>
        <v>575.0138862409899</v>
      </c>
      <c r="V30" s="2">
        <f>V8/'Output-Calculation-sheet'!V7*'Output-Calculation-sheet'!V16</f>
        <v>744.52799750331019</v>
      </c>
      <c r="W30" s="2">
        <f>W8/'Output-Calculation-sheet'!W7*'Output-Calculation-sheet'!W16</f>
        <v>358.47501338004008</v>
      </c>
      <c r="X30" s="2">
        <f>X8/'Output-Calculation-sheet'!X7*'Output-Calculation-sheet'!X16</f>
        <v>0</v>
      </c>
      <c r="Y30" s="2">
        <f>Y8/'Output-Calculation-sheet'!Y7*'Output-Calculation-sheet'!Y16</f>
        <v>244.48777434005086</v>
      </c>
      <c r="AA30" s="2">
        <f t="shared" si="1"/>
        <v>71.658995464798636</v>
      </c>
    </row>
    <row r="31" spans="1:27" x14ac:dyDescent="0.25">
      <c r="A31" s="2">
        <v>2032</v>
      </c>
      <c r="B31" s="2">
        <f>B9/'Output-Calculation-sheet'!B8*'Output-Calculation-sheet'!B17</f>
        <v>30862.949213000727</v>
      </c>
      <c r="C31" s="2">
        <f>C9/'Output-Calculation-sheet'!C8*'Output-Calculation-sheet'!C17</f>
        <v>0</v>
      </c>
      <c r="D31" s="2">
        <f>D9/'Output-Calculation-sheet'!D8*'Output-Calculation-sheet'!D17</f>
        <v>7063.892183627232</v>
      </c>
      <c r="E31" s="2">
        <f>E9/'Output-Calculation-sheet'!E8*'Output-Calculation-sheet'!E17</f>
        <v>8873.1817787620384</v>
      </c>
      <c r="F31" s="2">
        <f>F9/'Output-Calculation-sheet'!F8*'Output-Calculation-sheet'!F17</f>
        <v>4329.3951255673755</v>
      </c>
      <c r="G31" s="2">
        <f>G9/'Output-Calculation-sheet'!G8*'Output-Calculation-sheet'!G17</f>
        <v>2635.4185845860547</v>
      </c>
      <c r="H31" s="2">
        <f>H9/'Output-Calculation-sheet'!H8*'Output-Calculation-sheet'!H17</f>
        <v>0</v>
      </c>
      <c r="I31" s="2">
        <f>I9/'Output-Calculation-sheet'!I8*'Output-Calculation-sheet'!I17</f>
        <v>2479.6799440199188</v>
      </c>
      <c r="J31" s="2">
        <f>J9/'Output-Calculation-sheet'!J8*'Output-Calculation-sheet'!J17</f>
        <v>2660.2708973545377</v>
      </c>
      <c r="K31" s="2">
        <f>K9/'Output-Calculation-sheet'!K8*'Output-Calculation-sheet'!K17</f>
        <v>2572.8555508559079</v>
      </c>
      <c r="L31" s="2">
        <f>L9/'Output-Calculation-sheet'!L8*'Output-Calculation-sheet'!L17</f>
        <v>2842.9134058108498</v>
      </c>
      <c r="M31" s="2">
        <f>M9/'Output-Calculation-sheet'!M8*'Output-Calculation-sheet'!M17</f>
        <v>0</v>
      </c>
      <c r="N31" s="2">
        <f>N9/'Output-Calculation-sheet'!N8*'Output-Calculation-sheet'!N17</f>
        <v>1198.680248206902</v>
      </c>
      <c r="O31" s="2">
        <f>O9/'Output-Calculation-sheet'!O8*'Output-Calculation-sheet'!O17</f>
        <v>0</v>
      </c>
      <c r="P31" s="2">
        <f>P9/'Output-Calculation-sheet'!P8*'Output-Calculation-sheet'!P17</f>
        <v>2448.8448100823271</v>
      </c>
      <c r="Q31" s="2">
        <f>Q9/'Output-Calculation-sheet'!Q8*'Output-Calculation-sheet'!Q17</f>
        <v>2394.8642276427677</v>
      </c>
      <c r="R31" s="2">
        <f>R9/'Output-Calculation-sheet'!R8*'Output-Calculation-sheet'!R17</f>
        <v>2143.3332772350495</v>
      </c>
      <c r="S31" s="2">
        <f>S9/'Output-Calculation-sheet'!S8*'Output-Calculation-sheet'!S17</f>
        <v>1072.9096886548609</v>
      </c>
      <c r="T31" s="2">
        <f>T9/'Output-Calculation-sheet'!T8*'Output-Calculation-sheet'!T17</f>
        <v>802.94172250391978</v>
      </c>
      <c r="U31" s="2">
        <f>U9/'Output-Calculation-sheet'!U8*'Output-Calculation-sheet'!U17</f>
        <v>621.71031542241519</v>
      </c>
      <c r="V31" s="2">
        <f>V9/'Output-Calculation-sheet'!V8*'Output-Calculation-sheet'!V17</f>
        <v>790.60435897894831</v>
      </c>
      <c r="W31" s="2">
        <f>W9/'Output-Calculation-sheet'!W8*'Output-Calculation-sheet'!W17</f>
        <v>385.33588880647795</v>
      </c>
      <c r="X31" s="2">
        <f>X9/'Output-Calculation-sheet'!X8*'Output-Calculation-sheet'!X17</f>
        <v>0</v>
      </c>
      <c r="Y31" s="2">
        <f>Y9/'Output-Calculation-sheet'!Y8*'Output-Calculation-sheet'!Y17</f>
        <v>262.68820226614088</v>
      </c>
      <c r="AA31" s="2">
        <f t="shared" si="1"/>
        <v>76.44246942338448</v>
      </c>
    </row>
    <row r="32" spans="1:27" x14ac:dyDescent="0.25">
      <c r="A32" s="2">
        <v>2033</v>
      </c>
      <c r="B32" s="2">
        <f>B10/'Output-Calculation-sheet'!B9*'Output-Calculation-sheet'!B18</f>
        <v>31677.853819474505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1930.3384714674951</v>
      </c>
      <c r="O32" s="2">
        <f>O10/'Output-Calculation-sheet'!O9*'Output-Calculation-sheet'!O18</f>
        <v>0</v>
      </c>
      <c r="P32" s="2">
        <f>P10/'Output-Calculation-sheet'!P9*'Output-Calculation-sheet'!P18</f>
        <v>3107.8114582567373</v>
      </c>
      <c r="Q32" s="2">
        <f>Q10/'Output-Calculation-sheet'!Q9*'Output-Calculation-sheet'!Q18</f>
        <v>3382.9399047620741</v>
      </c>
      <c r="R32" s="2">
        <f>R10/'Output-Calculation-sheet'!R9*'Output-Calculation-sheet'!R18</f>
        <v>2231.5700367379482</v>
      </c>
      <c r="S32" s="2">
        <f>S10/'Output-Calculation-sheet'!S9*'Output-Calculation-sheet'!S18</f>
        <v>1464.3692323092432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720.41858543040735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76.132458711715856</v>
      </c>
    </row>
    <row r="33" spans="1:27" x14ac:dyDescent="0.25">
      <c r="A33" s="2">
        <v>2034</v>
      </c>
      <c r="B33" s="2">
        <f>B11/'Output-Calculation-sheet'!B10*'Output-Calculation-sheet'!B19</f>
        <v>27848.579741568865</v>
      </c>
      <c r="C33" s="2">
        <f>C11/'Output-Calculation-sheet'!C10*'Output-Calculation-sheet'!C19</f>
        <v>0</v>
      </c>
      <c r="D33" s="2">
        <f>D11/'Output-Calculation-sheet'!D10*'Output-Calculation-sheet'!D19</f>
        <v>8306.9254637021186</v>
      </c>
      <c r="E33" s="2">
        <f>E11/'Output-Calculation-sheet'!E10*'Output-Calculation-sheet'!E19</f>
        <v>10288.682653261481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2827.5988626138983</v>
      </c>
      <c r="H33" s="2">
        <f>H11/'Output-Calculation-sheet'!H10*'Output-Calculation-sheet'!H19</f>
        <v>0</v>
      </c>
      <c r="I33" s="2">
        <f>I11/'Output-Calculation-sheet'!I10*'Output-Calculation-sheet'!I19</f>
        <v>3085.306880281656</v>
      </c>
      <c r="J33" s="2">
        <f>J11/'Output-Calculation-sheet'!J10*'Output-Calculation-sheet'!J19</f>
        <v>2608.8257861572229</v>
      </c>
      <c r="K33" s="2">
        <f>K11/'Output-Calculation-sheet'!K10*'Output-Calculation-sheet'!K19</f>
        <v>3620.1222466182121</v>
      </c>
      <c r="L33" s="2">
        <f>L11/'Output-Calculation-sheet'!L10*'Output-Calculation-sheet'!L19</f>
        <v>2944.0217869109038</v>
      </c>
      <c r="M33" s="2">
        <f>M11/'Output-Calculation-sheet'!M10*'Output-Calculation-sheet'!M19</f>
        <v>0</v>
      </c>
      <c r="N33" s="2">
        <f>N11/'Output-Calculation-sheet'!N10*'Output-Calculation-sheet'!N19</f>
        <v>1664.7192229600764</v>
      </c>
      <c r="O33" s="2">
        <f>O11/'Output-Calculation-sheet'!O10*'Output-Calculation-sheet'!O19</f>
        <v>0</v>
      </c>
      <c r="P33" s="2">
        <f>P11/'Output-Calculation-sheet'!P10*'Output-Calculation-sheet'!P19</f>
        <v>3662.9251188031644</v>
      </c>
      <c r="Q33" s="2">
        <f>Q11/'Output-Calculation-sheet'!Q10*'Output-Calculation-sheet'!Q19</f>
        <v>3016.3803804306108</v>
      </c>
      <c r="R33" s="2">
        <f>R11/'Output-Calculation-sheet'!R10*'Output-Calculation-sheet'!R19</f>
        <v>2615.269495352527</v>
      </c>
      <c r="S33" s="2">
        <f>S11/'Output-Calculation-sheet'!S10*'Output-Calculation-sheet'!S19</f>
        <v>1219.1465538137575</v>
      </c>
      <c r="T33" s="2">
        <f>T11/'Output-Calculation-sheet'!T10*'Output-Calculation-sheet'!T19</f>
        <v>767.39588327681133</v>
      </c>
      <c r="U33" s="2">
        <f>U11/'Output-Calculation-sheet'!U10*'Output-Calculation-sheet'!U19</f>
        <v>883.20655547868523</v>
      </c>
      <c r="V33" s="2">
        <f>V11/'Output-Calculation-sheet'!V10*'Output-Calculation-sheet'!V19</f>
        <v>601.78814514323903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108.51295930349016</v>
      </c>
      <c r="Y33" s="2">
        <f>Y11/'Output-Calculation-sheet'!Y10*'Output-Calculation-sheet'!Y19</f>
        <v>337.74131841045676</v>
      </c>
      <c r="AA33" s="2">
        <f t="shared" si="1"/>
        <v>81.503615803854899</v>
      </c>
    </row>
    <row r="34" spans="1:27" x14ac:dyDescent="0.25">
      <c r="A34" s="2">
        <v>2035</v>
      </c>
      <c r="B34" s="2">
        <f>B12/'Output-Calculation-sheet'!B11*'Output-Calculation-sheet'!B20</f>
        <v>23243.545438517693</v>
      </c>
      <c r="C34" s="2">
        <f>C12/'Output-Calculation-sheet'!C11*'Output-Calculation-sheet'!C20</f>
        <v>0</v>
      </c>
      <c r="D34" s="2">
        <f>D12/'Output-Calculation-sheet'!D11*'Output-Calculation-sheet'!D20</f>
        <v>7294.5334060142204</v>
      </c>
      <c r="E34" s="2">
        <f>E12/'Output-Calculation-sheet'!E11*'Output-Calculation-sheet'!E20</f>
        <v>7970.3496361714333</v>
      </c>
      <c r="F34" s="2">
        <f>F12/'Output-Calculation-sheet'!F11*'Output-Calculation-sheet'!F20</f>
        <v>5021.6940127326234</v>
      </c>
      <c r="G34" s="2">
        <f>G12/'Output-Calculation-sheet'!G11*'Output-Calculation-sheet'!G20</f>
        <v>2683.4441889779055</v>
      </c>
      <c r="H34" s="2">
        <f>H12/'Output-Calculation-sheet'!H11*'Output-Calculation-sheet'!H20</f>
        <v>0</v>
      </c>
      <c r="I34" s="2">
        <f>I12/'Output-Calculation-sheet'!I11*'Output-Calculation-sheet'!I20</f>
        <v>2916.5384315408487</v>
      </c>
      <c r="J34" s="2">
        <f>J12/'Output-Calculation-sheet'!J11*'Output-Calculation-sheet'!J20</f>
        <v>2503.8507619782526</v>
      </c>
      <c r="K34" s="2">
        <f>K12/'Output-Calculation-sheet'!K11*'Output-Calculation-sheet'!K20</f>
        <v>3291.9541185228754</v>
      </c>
      <c r="L34" s="2">
        <f>L12/'Output-Calculation-sheet'!L11*'Output-Calculation-sheet'!L20</f>
        <v>2601.6840682903853</v>
      </c>
      <c r="M34" s="2">
        <f>M12/'Output-Calculation-sheet'!M11*'Output-Calculation-sheet'!M20</f>
        <v>0</v>
      </c>
      <c r="N34" s="2">
        <f>N12/'Output-Calculation-sheet'!N11*'Output-Calculation-sheet'!N20</f>
        <v>1447.8376118591023</v>
      </c>
      <c r="O34" s="2">
        <f>O12/'Output-Calculation-sheet'!O11*'Output-Calculation-sheet'!O20</f>
        <v>0</v>
      </c>
      <c r="P34" s="2">
        <f>P12/'Output-Calculation-sheet'!P11*'Output-Calculation-sheet'!P20</f>
        <v>3235.6525921715624</v>
      </c>
      <c r="Q34" s="2">
        <f>Q12/'Output-Calculation-sheet'!Q11*'Output-Calculation-sheet'!Q20</f>
        <v>2560.2761591612989</v>
      </c>
      <c r="R34" s="2">
        <f>R12/'Output-Calculation-sheet'!R11*'Output-Calculation-sheet'!R20</f>
        <v>2569.7494054200924</v>
      </c>
      <c r="S34" s="2">
        <f>S12/'Output-Calculation-sheet'!S11*'Output-Calculation-sheet'!S20</f>
        <v>981.58191924126743</v>
      </c>
      <c r="T34" s="2">
        <f>T12/'Output-Calculation-sheet'!T11*'Output-Calculation-sheet'!T20</f>
        <v>807.33588170978283</v>
      </c>
      <c r="U34" s="2">
        <f>U12/'Output-Calculation-sheet'!U11*'Output-Calculation-sheet'!U20</f>
        <v>736.56888677067764</v>
      </c>
      <c r="V34" s="2">
        <f>V12/'Output-Calculation-sheet'!V11*'Output-Calculation-sheet'!V20</f>
        <v>676.61402048136915</v>
      </c>
      <c r="W34" s="2">
        <f>W12/'Output-Calculation-sheet'!W11*'Output-Calculation-sheet'!W20</f>
        <v>435.30956737898111</v>
      </c>
      <c r="X34" s="2">
        <f>X12/'Output-Calculation-sheet'!X11*'Output-Calculation-sheet'!X20</f>
        <v>87.977701361137491</v>
      </c>
      <c r="Y34" s="2">
        <f>Y12/'Output-Calculation-sheet'!Y11*'Output-Calculation-sheet'!Y20</f>
        <v>244.00745757562379</v>
      </c>
      <c r="AA34" s="2">
        <f t="shared" si="1"/>
        <v>71.31050526587714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1.2690971288159174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0.73965429157575224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2.0087514203916697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2.3582463503586641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0.36297083603605074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0.24975945392279225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0.91628764735187829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0.21507168487918793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2.7399227802604439E-2</v>
      </c>
      <c r="Y44" s="2">
        <f>Y11/'Output-Calculation-sheet'!Y10*'Output-Calculation-sheet'!Y37*0.0114</f>
        <v>0</v>
      </c>
      <c r="AA44" s="2">
        <f t="shared" si="2"/>
        <v>4.1297352003511776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2.0622412089344619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0.80127597581960108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2.3960099274157706E-2</v>
      </c>
      <c r="Y45" s="2">
        <f>Y12/'Output-Calculation-sheet'!Y11*'Output-Calculation-sheet'!Y38*0.0114</f>
        <v>2.3121940204996562E-2</v>
      </c>
      <c r="AA45" s="2">
        <f t="shared" si="2"/>
        <v>10.274735180037839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166.75724997594048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148.43906464063889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645.48117438941927</v>
      </c>
      <c r="S52" s="2">
        <f>S8/'Output-Calculation-sheet'!S7*'Output-Calculation-sheet'!S43</f>
        <v>0</v>
      </c>
      <c r="T52" s="2">
        <f>T8/'Output-Calculation-sheet'!T7*'Output-Calculation-sheet'!T43</f>
        <v>519.75283221838185</v>
      </c>
      <c r="U52" s="2">
        <f>U8/'Output-Calculation-sheet'!U7*'Output-Calculation-sheet'!U43</f>
        <v>54.972646868163473</v>
      </c>
      <c r="V52" s="2">
        <f>V8/'Output-Calculation-sheet'!V7*'Output-Calculation-sheet'!V43</f>
        <v>937.2655999137055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2.4726685680062492</v>
      </c>
    </row>
    <row r="53" spans="1:27" x14ac:dyDescent="0.25">
      <c r="A53" s="2">
        <v>2032</v>
      </c>
      <c r="B53" s="2">
        <f>B9/'Output-Calculation-sheet'!B8*'Output-Calculation-sheet'!B44</f>
        <v>1892.1265514905801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356.71127686225884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285.77407856424293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893.42779376200497</v>
      </c>
      <c r="S53" s="2">
        <f>S9/'Output-Calculation-sheet'!S8*'Output-Calculation-sheet'!S44</f>
        <v>0</v>
      </c>
      <c r="T53" s="2">
        <f>T9/'Output-Calculation-sheet'!T8*'Output-Calculation-sheet'!T44</f>
        <v>616.00057300202479</v>
      </c>
      <c r="U53" s="2">
        <f>U9/'Output-Calculation-sheet'!U8*'Output-Calculation-sheet'!U44</f>
        <v>104.52645952082302</v>
      </c>
      <c r="V53" s="2">
        <f>V9/'Output-Calculation-sheet'!V8*'Output-Calculation-sheet'!V44</f>
        <v>1032.6795602961829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5.181246293498118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68798.423298968148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0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893.44279065996363</v>
      </c>
      <c r="R54" s="2">
        <f>R10/'Output-Calculation-sheet'!R9*'Output-Calculation-sheet'!R45</f>
        <v>1490.1163382265831</v>
      </c>
      <c r="S54" s="2">
        <f>S10/'Output-Calculation-sheet'!S9*'Output-Calculation-sheet'!S45</f>
        <v>3560.4209012290858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537.73217675429248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154.7547272178916</v>
      </c>
    </row>
    <row r="55" spans="1:27" x14ac:dyDescent="0.25">
      <c r="A55" s="2">
        <v>2034</v>
      </c>
      <c r="B55" s="2">
        <f>B11/'Output-Calculation-sheet'!B10*'Output-Calculation-sheet'!B46</f>
        <v>79324.540464285674</v>
      </c>
      <c r="C55" s="2">
        <f>C11/'Output-Calculation-sheet'!C10*'Output-Calculation-sheet'!C46</f>
        <v>65265.502064750755</v>
      </c>
      <c r="D55" s="2">
        <f>D11/'Output-Calculation-sheet'!D10*'Output-Calculation-sheet'!D46</f>
        <v>7329.8556990224288</v>
      </c>
      <c r="E55" s="2">
        <f>E11/'Output-Calculation-sheet'!E10*'Output-Calculation-sheet'!E46</f>
        <v>9029.1842643822856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23529.425248301883</v>
      </c>
      <c r="I55" s="2">
        <f>I11/'Output-Calculation-sheet'!I10*'Output-Calculation-sheet'!I46</f>
        <v>1773.7255340950621</v>
      </c>
      <c r="J55" s="2">
        <f>J11/'Output-Calculation-sheet'!J10*'Output-Calculation-sheet'!J46</f>
        <v>1287.2976852183224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1270.6678041285388</v>
      </c>
      <c r="M55" s="2">
        <f>M11/'Output-Calculation-sheet'!M10*'Output-Calculation-sheet'!M46</f>
        <v>16628.721537491168</v>
      </c>
      <c r="N55" s="2">
        <f>N11/'Output-Calculation-sheet'!N10*'Output-Calculation-sheet'!N46</f>
        <v>12682.795751231841</v>
      </c>
      <c r="O55" s="2">
        <f>O11/'Output-Calculation-sheet'!O10*'Output-Calculation-sheet'!O46</f>
        <v>281.31638295890997</v>
      </c>
      <c r="P55" s="2">
        <f>P11/'Output-Calculation-sheet'!P10*'Output-Calculation-sheet'!P46</f>
        <v>4714.4965604758954</v>
      </c>
      <c r="Q55" s="2">
        <f>Q11/'Output-Calculation-sheet'!Q10*'Output-Calculation-sheet'!Q46</f>
        <v>2773.2927787053181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6233.3604300490788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1444.6528131488033</v>
      </c>
      <c r="V55" s="2">
        <f>V11/'Output-Calculation-sheet'!V10*'Output-Calculation-sheet'!V46</f>
        <v>584.82812939090286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1701.6362530038546</v>
      </c>
      <c r="Y55" s="2">
        <f>Y11/'Output-Calculation-sheet'!Y10*'Output-Calculation-sheet'!Y46</f>
        <v>442.9987488936618</v>
      </c>
      <c r="AA55" s="2">
        <f t="shared" si="3"/>
        <v>248.04269384428173</v>
      </c>
    </row>
    <row r="56" spans="1:27" x14ac:dyDescent="0.25">
      <c r="A56" s="2">
        <v>2035</v>
      </c>
      <c r="B56" s="2">
        <f>B12/'Output-Calculation-sheet'!B11*'Output-Calculation-sheet'!B47</f>
        <v>88234.303571704804</v>
      </c>
      <c r="C56" s="2">
        <f>C12/'Output-Calculation-sheet'!C11*'Output-Calculation-sheet'!C47</f>
        <v>57977.921707324123</v>
      </c>
      <c r="D56" s="2">
        <f>D12/'Output-Calculation-sheet'!D11*'Output-Calculation-sheet'!D47</f>
        <v>7050.8000673233391</v>
      </c>
      <c r="E56" s="2">
        <f>E12/'Output-Calculation-sheet'!E11*'Output-Calculation-sheet'!E47</f>
        <v>19803.297410316496</v>
      </c>
      <c r="F56" s="2">
        <f>F12/'Output-Calculation-sheet'!F11*'Output-Calculation-sheet'!F47</f>
        <v>2442.9256633333071</v>
      </c>
      <c r="G56" s="2">
        <f>G12/'Output-Calculation-sheet'!G11*'Output-Calculation-sheet'!G47</f>
        <v>5518.4148524458869</v>
      </c>
      <c r="H56" s="2">
        <f>H12/'Output-Calculation-sheet'!H11*'Output-Calculation-sheet'!H47</f>
        <v>21077.206471219517</v>
      </c>
      <c r="I56" s="2">
        <f>I12/'Output-Calculation-sheet'!I11*'Output-Calculation-sheet'!I47</f>
        <v>2791.9601362041117</v>
      </c>
      <c r="J56" s="2">
        <f>J12/'Output-Calculation-sheet'!J11*'Output-Calculation-sheet'!J47</f>
        <v>2532.8635627883741</v>
      </c>
      <c r="K56" s="2">
        <f>K12/'Output-Calculation-sheet'!K11*'Output-Calculation-sheet'!K47</f>
        <v>3658.7431158909426</v>
      </c>
      <c r="L56" s="2">
        <f>L12/'Output-Calculation-sheet'!L11*'Output-Calculation-sheet'!L47</f>
        <v>2020.3175034869737</v>
      </c>
      <c r="M56" s="2">
        <f>M12/'Output-Calculation-sheet'!M11*'Output-Calculation-sheet'!M47</f>
        <v>14694.768165103163</v>
      </c>
      <c r="N56" s="2">
        <f>N12/'Output-Calculation-sheet'!N11*'Output-Calculation-sheet'!N47</f>
        <v>11222.671565457471</v>
      </c>
      <c r="O56" s="2">
        <f>O12/'Output-Calculation-sheet'!O11*'Output-Calculation-sheet'!O47</f>
        <v>1054.310494499475</v>
      </c>
      <c r="P56" s="2">
        <f>P12/'Output-Calculation-sheet'!P11*'Output-Calculation-sheet'!P47</f>
        <v>5827.497209093699</v>
      </c>
      <c r="Q56" s="2">
        <f>Q12/'Output-Calculation-sheet'!Q11*'Output-Calculation-sheet'!Q47</f>
        <v>2953.1241622411044</v>
      </c>
      <c r="R56" s="2">
        <f>R12/'Output-Calculation-sheet'!R11*'Output-Calculation-sheet'!R47</f>
        <v>4302.8757838992306</v>
      </c>
      <c r="S56" s="2">
        <f>S12/'Output-Calculation-sheet'!S11*'Output-Calculation-sheet'!S47</f>
        <v>5699.2154364444914</v>
      </c>
      <c r="T56" s="2">
        <f>T12/'Output-Calculation-sheet'!T11*'Output-Calculation-sheet'!T47</f>
        <v>1507.1722488059374</v>
      </c>
      <c r="U56" s="2">
        <f>U12/'Output-Calculation-sheet'!U11*'Output-Calculation-sheet'!U47</f>
        <v>1442.2916813775864</v>
      </c>
      <c r="V56" s="2">
        <f>V12/'Output-Calculation-sheet'!V11*'Output-Calculation-sheet'!V47</f>
        <v>1006.6063808383946</v>
      </c>
      <c r="W56" s="2">
        <f>W12/'Output-Calculation-sheet'!W11*'Output-Calculation-sheet'!W47</f>
        <v>572.89598626426209</v>
      </c>
      <c r="X56" s="2">
        <f>X12/'Output-Calculation-sheet'!X11*'Output-Calculation-sheet'!X47</f>
        <v>1517.4729540299879</v>
      </c>
      <c r="Y56" s="2">
        <f>Y12/'Output-Calculation-sheet'!Y11*'Output-Calculation-sheet'!Y47</f>
        <v>776.81606127313</v>
      </c>
      <c r="AA56" s="2">
        <f t="shared" si="3"/>
        <v>265.68647219136591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8.0523565364481726</v>
      </c>
      <c r="C63" s="2">
        <f>C8*'Output-Calculation-sheet'!C52/10^9</f>
        <v>4.0815525090533988</v>
      </c>
      <c r="D63" s="2">
        <f>D8*'Output-Calculation-sheet'!D52/10^9</f>
        <v>1.4258681237277684</v>
      </c>
      <c r="E63" s="2">
        <f>E8*'Output-Calculation-sheet'!E52/10^9</f>
        <v>1.8359316369692937</v>
      </c>
      <c r="F63" s="2">
        <f>F8*'Output-Calculation-sheet'!F52/10^9</f>
        <v>0.76366002627742413</v>
      </c>
      <c r="G63" s="2">
        <f>G8*'Output-Calculation-sheet'!G52/10^9</f>
        <v>0.54794423620813215</v>
      </c>
      <c r="H63" s="2">
        <f>H8*'Output-Calculation-sheet'!H52/10^9</f>
        <v>1.05846729683745</v>
      </c>
      <c r="I63" s="2">
        <f>I8*'Output-Calculation-sheet'!I52/10^9</f>
        <v>0.49119694416362164</v>
      </c>
      <c r="J63" s="2">
        <f>J8*'Output-Calculation-sheet'!J52/10^9</f>
        <v>0.52805591199496249</v>
      </c>
      <c r="K63" s="2">
        <f>K8*'Output-Calculation-sheet'!K52/10^9</f>
        <v>0.53923703736072881</v>
      </c>
      <c r="L63" s="2">
        <f>L8*'Output-Calculation-sheet'!L52/10^9</f>
        <v>0.56081234787686796</v>
      </c>
      <c r="M63" s="2">
        <f>M8*'Output-Calculation-sheet'!M52/10^9</f>
        <v>0.80037187443977054</v>
      </c>
      <c r="N63" s="2">
        <f>N8*'Output-Calculation-sheet'!N52/10^9</f>
        <v>0.6762218034463563</v>
      </c>
      <c r="O63" s="2">
        <f>O8*'Output-Calculation-sheet'!O52/10^9</f>
        <v>0.70052352014994523</v>
      </c>
      <c r="P63" s="2">
        <f>P8*'Output-Calculation-sheet'!P52/10^9</f>
        <v>0.58057519300167115</v>
      </c>
      <c r="Q63" s="2">
        <f>Q8*'Output-Calculation-sheet'!Q52/10^9</f>
        <v>0.54921953108593957</v>
      </c>
      <c r="R63" s="2">
        <f>R8*'Output-Calculation-sheet'!R52/10^9</f>
        <v>0.46268533989167376</v>
      </c>
      <c r="S63" s="2">
        <f>S8*'Output-Calculation-sheet'!S52/10^9</f>
        <v>0.42541037485294486</v>
      </c>
      <c r="T63" s="2">
        <f>T8*'Output-Calculation-sheet'!T52/10^9</f>
        <v>0.1515091476233493</v>
      </c>
      <c r="U63" s="2">
        <f>U8*'Output-Calculation-sheet'!U52/10^9</f>
        <v>0.14861990140702516</v>
      </c>
      <c r="V63" s="2">
        <f>V8*'Output-Calculation-sheet'!V52/10^9</f>
        <v>0.1332030026284054</v>
      </c>
      <c r="W63" s="2">
        <f>W8*'Output-Calculation-sheet'!W52/10^9</f>
        <v>6.9534179067577487E-2</v>
      </c>
      <c r="X63" s="2">
        <f>X8*'Output-Calculation-sheet'!X52/10^9</f>
        <v>0.1123687291953364</v>
      </c>
      <c r="Y63" s="2">
        <f>Y8*'Output-Calculation-sheet'!Y52/10^9</f>
        <v>5.7957539499857061E-2</v>
      </c>
      <c r="AA63" s="2">
        <f t="shared" si="4"/>
        <v>24.75328274320767</v>
      </c>
    </row>
    <row r="64" spans="1:27" x14ac:dyDescent="0.25">
      <c r="A64" s="2">
        <v>2032</v>
      </c>
      <c r="B64" s="2">
        <f>B9*'Output-Calculation-sheet'!B53/10^9</f>
        <v>8.5530778220474541</v>
      </c>
      <c r="C64" s="2">
        <f>C9*'Output-Calculation-sheet'!C53/10^9</f>
        <v>4.3314778864504584</v>
      </c>
      <c r="D64" s="2">
        <f>D9*'Output-Calculation-sheet'!D53/10^9</f>
        <v>1.5172555039965723</v>
      </c>
      <c r="E64" s="2">
        <f>E9*'Output-Calculation-sheet'!E53/10^9</f>
        <v>1.9538549560637111</v>
      </c>
      <c r="F64" s="2">
        <f>F9*'Output-Calculation-sheet'!F53/10^9</f>
        <v>0.81200506505090453</v>
      </c>
      <c r="G64" s="2">
        <f>G9*'Output-Calculation-sheet'!G53/10^9</f>
        <v>0.58293844388235683</v>
      </c>
      <c r="H64" s="2">
        <f>H9*'Output-Calculation-sheet'!H53/10^9</f>
        <v>1.1218977752783508</v>
      </c>
      <c r="I64" s="2">
        <f>I9*'Output-Calculation-sheet'!I53/10^9</f>
        <v>0.52262775053773347</v>
      </c>
      <c r="J64" s="2">
        <f>J9*'Output-Calculation-sheet'!J53/10^9</f>
        <v>0.56167108479252836</v>
      </c>
      <c r="K64" s="2">
        <f>K9*'Output-Calculation-sheet'!K53/10^9</f>
        <v>0.57390646780939314</v>
      </c>
      <c r="L64" s="2">
        <f>L9*'Output-Calculation-sheet'!L53/10^9</f>
        <v>0.59668492256630457</v>
      </c>
      <c r="M64" s="2">
        <f>M9*'Output-Calculation-sheet'!M53/10^9</f>
        <v>0.8485415401780606</v>
      </c>
      <c r="N64" s="2">
        <f>N9*'Output-Calculation-sheet'!N53/10^9</f>
        <v>0.71770954497511119</v>
      </c>
      <c r="O64" s="2">
        <f>O9*'Output-Calculation-sheet'!O53/10^9</f>
        <v>0.74365220143712574</v>
      </c>
      <c r="P64" s="2">
        <f>P9*'Output-Calculation-sheet'!P53/10^9</f>
        <v>0.61826373076436902</v>
      </c>
      <c r="Q64" s="2">
        <f>Q9*'Output-Calculation-sheet'!Q53/10^9</f>
        <v>0.58478395014958928</v>
      </c>
      <c r="R64" s="2">
        <f>R9*'Output-Calculation-sheet'!R53/10^9</f>
        <v>0.49185271513104256</v>
      </c>
      <c r="S64" s="2">
        <f>S9*'Output-Calculation-sheet'!S53/10^9</f>
        <v>0.45191602448035423</v>
      </c>
      <c r="T64" s="2">
        <f>T9*'Output-Calculation-sheet'!T53/10^9</f>
        <v>0.16070704811654427</v>
      </c>
      <c r="U64" s="2">
        <f>U9*'Output-Calculation-sheet'!U53/10^9</f>
        <v>0.15820854756327674</v>
      </c>
      <c r="V64" s="2">
        <f>V9*'Output-Calculation-sheet'!V53/10^9</f>
        <v>0.14082215036708423</v>
      </c>
      <c r="W64" s="2">
        <f>W9*'Output-Calculation-sheet'!W53/10^9</f>
        <v>7.3945927228118519E-2</v>
      </c>
      <c r="X64" s="2">
        <f>X9*'Output-Calculation-sheet'!X53/10^9</f>
        <v>0.11921612857147469</v>
      </c>
      <c r="Y64" s="2">
        <f>Y9*'Output-Calculation-sheet'!Y53/10^9</f>
        <v>6.1699177774095053E-2</v>
      </c>
      <c r="AA64" s="2">
        <f t="shared" si="4"/>
        <v>26.298716365212019</v>
      </c>
    </row>
    <row r="65" spans="1:27" x14ac:dyDescent="0.25">
      <c r="A65" s="2">
        <v>2033</v>
      </c>
      <c r="B65" s="2">
        <f>B10*'Output-Calculation-sheet'!B54/10^9</f>
        <v>8.4987724798367967</v>
      </c>
      <c r="C65" s="2">
        <f>C10*'Output-Calculation-sheet'!C54/10^9</f>
        <v>5.5855993180398213</v>
      </c>
      <c r="D65" s="2">
        <f>D10*'Output-Calculation-sheet'!D54/10^9</f>
        <v>1.5148740370633227</v>
      </c>
      <c r="E65" s="2">
        <f>E10*'Output-Calculation-sheet'!E54/10^9</f>
        <v>1.9292221478683942</v>
      </c>
      <c r="F65" s="2">
        <f>F10*'Output-Calculation-sheet'!F54/10^9</f>
        <v>0.82900340328612665</v>
      </c>
      <c r="G65" s="2">
        <f>G10*'Output-Calculation-sheet'!G54/10^9</f>
        <v>0.59020950335737288</v>
      </c>
      <c r="H65" s="2">
        <f>H10*'Output-Calculation-sheet'!H54/10^9</f>
        <v>1.3868294266429937</v>
      </c>
      <c r="I65" s="2">
        <f>I10*'Output-Calculation-sheet'!I54/10^9</f>
        <v>0.51749040428912518</v>
      </c>
      <c r="J65" s="2">
        <f>J10*'Output-Calculation-sheet'!J54/10^9</f>
        <v>0.61227330944666569</v>
      </c>
      <c r="K65" s="2">
        <f>K10*'Output-Calculation-sheet'!K54/10^9</f>
        <v>0.57293254638027291</v>
      </c>
      <c r="L65" s="2">
        <f>L10*'Output-Calculation-sheet'!L54/10^9</f>
        <v>0.59088338260685103</v>
      </c>
      <c r="M65" s="2">
        <f>M10*'Output-Calculation-sheet'!M54/10^9</f>
        <v>0.98612233613585853</v>
      </c>
      <c r="N65" s="2">
        <f>N10*'Output-Calculation-sheet'!N54/10^9</f>
        <v>0.8402777908899538</v>
      </c>
      <c r="O65" s="2">
        <f>O10*'Output-Calculation-sheet'!O54/10^9</f>
        <v>0.97771461226307332</v>
      </c>
      <c r="P65" s="2">
        <f>P10*'Output-Calculation-sheet'!P54/10^9</f>
        <v>0.6198498885428857</v>
      </c>
      <c r="Q65" s="2">
        <f>Q10*'Output-Calculation-sheet'!Q54/10^9</f>
        <v>0.61166486168607315</v>
      </c>
      <c r="R65" s="2">
        <f>R10*'Output-Calculation-sheet'!R54/10^9</f>
        <v>0.48490221697382141</v>
      </c>
      <c r="S65" s="2">
        <f>S10*'Output-Calculation-sheet'!S54/10^9</f>
        <v>0.48667467356155153</v>
      </c>
      <c r="T65" s="2">
        <f>T10*'Output-Calculation-sheet'!T54/10^9</f>
        <v>0.16420628713057783</v>
      </c>
      <c r="U65" s="2">
        <f>U10*'Output-Calculation-sheet'!U54/10^9</f>
        <v>0.15770930077611309</v>
      </c>
      <c r="V65" s="2">
        <f>V10*'Output-Calculation-sheet'!V54/10^9</f>
        <v>0.1858180627589987</v>
      </c>
      <c r="W65" s="2">
        <f>W10*'Output-Calculation-sheet'!W54/10^9</f>
        <v>7.9414984848012571E-2</v>
      </c>
      <c r="X65" s="2">
        <f>X10*'Output-Calculation-sheet'!X54/10^9</f>
        <v>0.12765673633248717</v>
      </c>
      <c r="Y65" s="2">
        <f>Y10*'Output-Calculation-sheet'!Y54/10^9</f>
        <v>6.1605731584324322E-2</v>
      </c>
      <c r="AA65" s="2">
        <f t="shared" si="4"/>
        <v>28.411707442301463</v>
      </c>
    </row>
    <row r="66" spans="1:27" x14ac:dyDescent="0.25">
      <c r="A66" s="2">
        <v>2034</v>
      </c>
      <c r="B66" s="2">
        <f>B11*'Output-Calculation-sheet'!B55/10^9</f>
        <v>8.1528093870661849</v>
      </c>
      <c r="C66" s="2">
        <f>C11*'Output-Calculation-sheet'!C55/10^9</f>
        <v>5.418352860795447</v>
      </c>
      <c r="D66" s="2">
        <f>D11*'Output-Calculation-sheet'!D55/10^9</f>
        <v>1.4749785542098379</v>
      </c>
      <c r="E66" s="2">
        <f>E11*'Output-Calculation-sheet'!E55/10^9</f>
        <v>1.9103328320681434</v>
      </c>
      <c r="F66" s="2">
        <f>F11*'Output-Calculation-sheet'!F55/10^9</f>
        <v>0.75180889060706246</v>
      </c>
      <c r="G66" s="2">
        <f>G11*'Output-Calculation-sheet'!G55/10^9</f>
        <v>0.54847491071250787</v>
      </c>
      <c r="H66" s="2">
        <f>H11*'Output-Calculation-sheet'!H55/10^9</f>
        <v>1.3687652515601314</v>
      </c>
      <c r="I66" s="2">
        <f>I11*'Output-Calculation-sheet'!I55/10^9</f>
        <v>0.50987065445264679</v>
      </c>
      <c r="J66" s="2">
        <f>J11*'Output-Calculation-sheet'!J55/10^9</f>
        <v>0.51336744299586234</v>
      </c>
      <c r="K66" s="2">
        <f>K11*'Output-Calculation-sheet'!K55/10^9</f>
        <v>0.58451497617011805</v>
      </c>
      <c r="L66" s="2">
        <f>L11*'Output-Calculation-sheet'!L55/10^9</f>
        <v>0.56667992416228818</v>
      </c>
      <c r="M66" s="2">
        <f>M11*'Output-Calculation-sheet'!M55/10^9</f>
        <v>0.96198453073302126</v>
      </c>
      <c r="N66" s="2">
        <f>N11*'Output-Calculation-sheet'!N55/10^9</f>
        <v>0.83627162859657322</v>
      </c>
      <c r="O66" s="2">
        <f>O11*'Output-Calculation-sheet'!O55/10^9</f>
        <v>0.95346302138879535</v>
      </c>
      <c r="P66" s="2">
        <f>P11*'Output-Calculation-sheet'!P55/10^9</f>
        <v>0.61139847214727183</v>
      </c>
      <c r="Q66" s="2">
        <f>Q11*'Output-Calculation-sheet'!Q55/10^9</f>
        <v>0.62888703162885629</v>
      </c>
      <c r="R66" s="2">
        <f>R11*'Output-Calculation-sheet'!R55/10^9</f>
        <v>0.4653018241969169</v>
      </c>
      <c r="S66" s="2">
        <f>S11*'Output-Calculation-sheet'!S55/10^9</f>
        <v>0.4830119491742223</v>
      </c>
      <c r="T66" s="2">
        <f>T11*'Output-Calculation-sheet'!T55/10^9</f>
        <v>0.14578836895990965</v>
      </c>
      <c r="U66" s="2">
        <f>U11*'Output-Calculation-sheet'!U55/10^9</f>
        <v>0.15867138919871565</v>
      </c>
      <c r="V66" s="2">
        <f>V11*'Output-Calculation-sheet'!V55/10^9</f>
        <v>0.13778348059477497</v>
      </c>
      <c r="W66" s="2">
        <f>W11*'Output-Calculation-sheet'!W55/10^9</f>
        <v>6.7500659088811352E-2</v>
      </c>
      <c r="X66" s="2">
        <f>X11*'Output-Calculation-sheet'!X55/10^9</f>
        <v>0.12613729547887276</v>
      </c>
      <c r="Y66" s="2">
        <f>Y11*'Output-Calculation-sheet'!Y55/10^9</f>
        <v>6.4766483325050847E-2</v>
      </c>
      <c r="AA66" s="2">
        <f t="shared" si="4"/>
        <v>27.440921819312024</v>
      </c>
    </row>
    <row r="67" spans="1:27" x14ac:dyDescent="0.25">
      <c r="A67" s="2">
        <v>2035</v>
      </c>
      <c r="B67" s="2">
        <f>B12*'Output-Calculation-sheet'!B56/10^9</f>
        <v>7.8129716959406226</v>
      </c>
      <c r="C67" s="2">
        <f>C12*'Output-Calculation-sheet'!C56/10^9</f>
        <v>4.9372152836563217</v>
      </c>
      <c r="D67" s="2">
        <f>D12*'Output-Calculation-sheet'!D56/10^9</f>
        <v>1.5497000154977225</v>
      </c>
      <c r="E67" s="2">
        <f>E12*'Output-Calculation-sheet'!E56/10^9</f>
        <v>2.1193011575749168</v>
      </c>
      <c r="F67" s="2">
        <f>F12*'Output-Calculation-sheet'!F56/10^9</f>
        <v>0.83062519372179866</v>
      </c>
      <c r="G67" s="2">
        <f>G12*'Output-Calculation-sheet'!G56/10^9</f>
        <v>0.61285910234222563</v>
      </c>
      <c r="H67" s="2">
        <f>H12*'Output-Calculation-sheet'!H56/10^9</f>
        <v>1.3031870773623855</v>
      </c>
      <c r="I67" s="2">
        <f>I12*'Output-Calculation-sheet'!I56/10^9</f>
        <v>0.56152991897511184</v>
      </c>
      <c r="J67" s="2">
        <f>J12*'Output-Calculation-sheet'!J56/10^9</f>
        <v>0.51370434401237175</v>
      </c>
      <c r="K67" s="2">
        <f>K12*'Output-Calculation-sheet'!K56/10^9</f>
        <v>0.61548212302373095</v>
      </c>
      <c r="L67" s="2">
        <f>L12*'Output-Calculation-sheet'!L56/10^9</f>
        <v>0.57381393111087664</v>
      </c>
      <c r="M67" s="2">
        <f>M12*'Output-Calculation-sheet'!M56/10^9</f>
        <v>0.92206865390945514</v>
      </c>
      <c r="N67" s="2">
        <f>N12*'Output-Calculation-sheet'!N56/10^9</f>
        <v>0.78753211081068297</v>
      </c>
      <c r="O67" s="2">
        <f>O12*'Output-Calculation-sheet'!O56/10^9</f>
        <v>0.87104327914410584</v>
      </c>
      <c r="P67" s="2">
        <f>P12*'Output-Calculation-sheet'!P56/10^9</f>
        <v>0.63910031404049672</v>
      </c>
      <c r="Q67" s="2">
        <f>Q12*'Output-Calculation-sheet'!Q56/10^9</f>
        <v>0.60372626865106238</v>
      </c>
      <c r="R67" s="2">
        <f>R12*'Output-Calculation-sheet'!R56/10^9</f>
        <v>0.47407014851686863</v>
      </c>
      <c r="S67" s="2">
        <f>S12*'Output-Calculation-sheet'!S56/10^9</f>
        <v>0.45763888603590619</v>
      </c>
      <c r="T67" s="2">
        <f>T12*'Output-Calculation-sheet'!T56/10^9</f>
        <v>0.14741668451386455</v>
      </c>
      <c r="U67" s="2">
        <f>U12*'Output-Calculation-sheet'!U56/10^9</f>
        <v>0.15937851242329201</v>
      </c>
      <c r="V67" s="2">
        <f>V12*'Output-Calculation-sheet'!V56/10^9</f>
        <v>0.11377675562635778</v>
      </c>
      <c r="W67" s="2">
        <f>W12*'Output-Calculation-sheet'!W56/10^9</f>
        <v>7.7153564383930298E-2</v>
      </c>
      <c r="X67" s="2">
        <f>X12*'Output-Calculation-sheet'!X56/10^9</f>
        <v>0.11977026000586477</v>
      </c>
      <c r="Y67" s="2">
        <f>Y12*'Output-Calculation-sheet'!Y56/10^9</f>
        <v>7.1992111386547084E-2</v>
      </c>
      <c r="AA67" s="2">
        <f t="shared" si="4"/>
        <v>26.875057392666516</v>
      </c>
    </row>
    <row r="68" spans="1:27" x14ac:dyDescent="0.25">
      <c r="B68" s="2">
        <f>SUM(B60:B67)</f>
        <v>57.523791409089569</v>
      </c>
      <c r="C68" s="2">
        <f t="shared" ref="C68:Y68" si="5">SUM(C60:C67)</f>
        <v>32.681434863676017</v>
      </c>
      <c r="D68" s="2">
        <f t="shared" si="5"/>
        <v>10.39267428874893</v>
      </c>
      <c r="E68" s="2">
        <f t="shared" si="5"/>
        <v>13.494149437197258</v>
      </c>
      <c r="F68" s="2">
        <f t="shared" si="5"/>
        <v>5.5486068945513045</v>
      </c>
      <c r="G68" s="2">
        <f t="shared" si="5"/>
        <v>4.0003939441680956</v>
      </c>
      <c r="H68" s="2">
        <f t="shared" si="5"/>
        <v>8.4039667924557708</v>
      </c>
      <c r="I68" s="2">
        <f t="shared" si="5"/>
        <v>3.6054069756939291</v>
      </c>
      <c r="J68" s="2">
        <f t="shared" si="5"/>
        <v>3.8073610118940158</v>
      </c>
      <c r="K68" s="2">
        <f t="shared" si="5"/>
        <v>3.9859879993905505</v>
      </c>
      <c r="L68" s="2">
        <f t="shared" si="5"/>
        <v>4.0337790023238007</v>
      </c>
      <c r="M68" s="2">
        <f t="shared" si="5"/>
        <v>6.1553079414830165</v>
      </c>
      <c r="N68" s="2">
        <f t="shared" si="5"/>
        <v>5.2388088877053951</v>
      </c>
      <c r="O68" s="2">
        <f t="shared" si="5"/>
        <v>5.671408783857828</v>
      </c>
      <c r="P68" s="2">
        <f t="shared" si="5"/>
        <v>4.2515353939829357</v>
      </c>
      <c r="Q68" s="2">
        <f t="shared" si="5"/>
        <v>4.0972561459904746</v>
      </c>
      <c r="R68" s="2">
        <f t="shared" si="5"/>
        <v>3.3237714355318961</v>
      </c>
      <c r="S68" s="2">
        <f t="shared" si="5"/>
        <v>3.1726695810639383</v>
      </c>
      <c r="T68" s="2">
        <f t="shared" si="5"/>
        <v>1.0815177821368662</v>
      </c>
      <c r="U68" s="2">
        <f t="shared" si="5"/>
        <v>1.0852755682224609</v>
      </c>
      <c r="V68" s="2">
        <f t="shared" si="5"/>
        <v>0.98954456303478289</v>
      </c>
      <c r="W68" s="2">
        <f t="shared" si="5"/>
        <v>0.50968709494239384</v>
      </c>
      <c r="X68" s="2">
        <f t="shared" si="5"/>
        <v>0.83458324526352312</v>
      </c>
      <c r="Y68" s="2">
        <f t="shared" si="5"/>
        <v>0.43616596748742748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61.099856391184595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54.38807328433009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215.79954439072145</v>
      </c>
      <c r="S74" s="2">
        <f>S8/'Output-Calculation-sheet'!S7*'Output-Calculation-sheet'!S61</f>
        <v>0</v>
      </c>
      <c r="T74" s="2">
        <f>T8/'Output-Calculation-sheet'!T7*'Output-Calculation-sheet'!T61</f>
        <v>158.97412978960614</v>
      </c>
      <c r="U74" s="2">
        <f>U8/'Output-Calculation-sheet'!U7*'Output-Calculation-sheet'!U61</f>
        <v>20.138312969370553</v>
      </c>
      <c r="V74" s="2">
        <f>V8/'Output-Calculation-sheet'!V7*'Output-Calculation-sheet'!V61</f>
        <v>182.47948946259601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0.69287940628780886</v>
      </c>
    </row>
    <row r="75" spans="1:27" x14ac:dyDescent="0.25">
      <c r="A75" s="2">
        <v>2032</v>
      </c>
      <c r="B75" s="2">
        <f>B9/'Output-Calculation-sheet'!B8*'Output-Calculation-sheet'!B62</f>
        <v>644.26909078254255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130.66334071464541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104.688570780701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277.00322642048343</v>
      </c>
      <c r="S75" s="2">
        <f>S9/'Output-Calculation-sheet'!S8*'Output-Calculation-sheet'!S62</f>
        <v>0</v>
      </c>
      <c r="T75" s="2">
        <f>T9/'Output-Calculation-sheet'!T8*'Output-Calculation-sheet'!T62</f>
        <v>182.96719458582095</v>
      </c>
      <c r="U75" s="2">
        <f>U9/'Output-Calculation-sheet'!U8*'Output-Calculation-sheet'!U62</f>
        <v>37.400873797294487</v>
      </c>
      <c r="V75" s="2">
        <f>V9/'Output-Calculation-sheet'!V8*'Output-Calculation-sheet'!V62</f>
        <v>195.99754308294578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1.5729898401644336</v>
      </c>
    </row>
    <row r="76" spans="1:27" x14ac:dyDescent="0.25">
      <c r="A76" s="2">
        <v>2033</v>
      </c>
      <c r="B76" s="2">
        <f>B10/'Output-Calculation-sheet'!B9*'Output-Calculation-sheet'!B63</f>
        <v>6040.6901379186884</v>
      </c>
      <c r="C76" s="2">
        <f>C10/'Output-Calculation-sheet'!C9*'Output-Calculation-sheet'!C63</f>
        <v>12337.850578281621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3933.748791983126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2678.4839432993299</v>
      </c>
      <c r="N76" s="2">
        <f>N10/'Output-Calculation-sheet'!N9*'Output-Calculation-sheet'!N63</f>
        <v>1530.0686254971608</v>
      </c>
      <c r="O76" s="2">
        <f>O10/'Output-Calculation-sheet'!O9*'Output-Calculation-sheet'!O63</f>
        <v>0</v>
      </c>
      <c r="P76" s="2">
        <f>P10/'Output-Calculation-sheet'!P9*'Output-Calculation-sheet'!P63</f>
        <v>531.31789568460738</v>
      </c>
      <c r="Q76" s="2">
        <f>Q10/'Output-Calculation-sheet'!Q9*'Output-Calculation-sheet'!Q63</f>
        <v>239.6457230765657</v>
      </c>
      <c r="R76" s="2">
        <f>R10/'Output-Calculation-sheet'!R9*'Output-Calculation-sheet'!R63</f>
        <v>404.94918326671063</v>
      </c>
      <c r="S76" s="2">
        <f>S10/'Output-Calculation-sheet'!S9*'Output-Calculation-sheet'!S63</f>
        <v>680.38580610278507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143.09506732496456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315.41051683025916</v>
      </c>
      <c r="Y76" s="2">
        <f>Y10/'Output-Calculation-sheet'!Y9*'Output-Calculation-sheet'!Y63</f>
        <v>5.9837419017584192</v>
      </c>
      <c r="AA76" s="2">
        <f t="shared" si="6"/>
        <v>28.983256255666127</v>
      </c>
    </row>
    <row r="77" spans="1:27" x14ac:dyDescent="0.25">
      <c r="A77" s="2">
        <v>2034</v>
      </c>
      <c r="B77" s="2">
        <f>B11/'Output-Calculation-sheet'!B10*'Output-Calculation-sheet'!B64</f>
        <v>13584.981328194066</v>
      </c>
      <c r="C77" s="2">
        <f>C11/'Output-Calculation-sheet'!C10*'Output-Calculation-sheet'!C64</f>
        <v>11933.864283247032</v>
      </c>
      <c r="D77" s="2">
        <f>D11/'Output-Calculation-sheet'!D10*'Output-Calculation-sheet'!D64</f>
        <v>1674.4139112454359</v>
      </c>
      <c r="E77" s="2">
        <f>E11/'Output-Calculation-sheet'!E10*'Output-Calculation-sheet'!E64</f>
        <v>2068.9938845819215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884.09505649650987</v>
      </c>
      <c r="H77" s="2">
        <f>H11/'Output-Calculation-sheet'!H10*'Output-Calculation-sheet'!H64</f>
        <v>4380.2301627325942</v>
      </c>
      <c r="I77" s="2">
        <f>I11/'Output-Calculation-sheet'!I10*'Output-Calculation-sheet'!I64</f>
        <v>521.56399330065301</v>
      </c>
      <c r="J77" s="2">
        <f>J11/'Output-Calculation-sheet'!J10*'Output-Calculation-sheet'!J64</f>
        <v>371.79497690351002</v>
      </c>
      <c r="K77" s="2">
        <f>K11/'Output-Calculation-sheet'!K10*'Output-Calculation-sheet'!K64</f>
        <v>788.28804033033725</v>
      </c>
      <c r="L77" s="2">
        <f>L11/'Output-Calculation-sheet'!L10*'Output-Calculation-sheet'!L64</f>
        <v>342.27170033025999</v>
      </c>
      <c r="M77" s="2">
        <f>M11/'Output-Calculation-sheet'!M10*'Output-Calculation-sheet'!M64</f>
        <v>3115.4424655504367</v>
      </c>
      <c r="N77" s="2">
        <f>N11/'Output-Calculation-sheet'!N10*'Output-Calculation-sheet'!N64</f>
        <v>2216.5608010798887</v>
      </c>
      <c r="O77" s="2">
        <f>O11/'Output-Calculation-sheet'!O10*'Output-Calculation-sheet'!O64</f>
        <v>77.281629204283419</v>
      </c>
      <c r="P77" s="2">
        <f>P11/'Output-Calculation-sheet'!P10*'Output-Calculation-sheet'!P64</f>
        <v>978.30776727512455</v>
      </c>
      <c r="Q77" s="2">
        <f>Q11/'Output-Calculation-sheet'!Q10*'Output-Calculation-sheet'!Q64</f>
        <v>558.24308382238337</v>
      </c>
      <c r="R77" s="2">
        <f>R11/'Output-Calculation-sheet'!R10*'Output-Calculation-sheet'!R64</f>
        <v>837.17585529695054</v>
      </c>
      <c r="S77" s="2">
        <f>S11/'Output-Calculation-sheet'!S10*'Output-Calculation-sheet'!S64</f>
        <v>1119.3510704930707</v>
      </c>
      <c r="T77" s="2">
        <f>T11/'Output-Calculation-sheet'!T10*'Output-Calculation-sheet'!T64</f>
        <v>230.31982191467236</v>
      </c>
      <c r="U77" s="2">
        <f>U11/'Output-Calculation-sheet'!U10*'Output-Calculation-sheet'!U64</f>
        <v>306.12193110623139</v>
      </c>
      <c r="V77" s="2">
        <f>V11/'Output-Calculation-sheet'!V10*'Output-Calculation-sheet'!V64</f>
        <v>122.02949483981132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316.56202564356454</v>
      </c>
      <c r="Y77" s="2">
        <f>Y11/'Output-Calculation-sheet'!Y10*'Output-Calculation-sheet'!Y64</f>
        <v>76.648061019313303</v>
      </c>
      <c r="AA77" s="2">
        <f t="shared" si="6"/>
        <v>46.659149323121589</v>
      </c>
    </row>
    <row r="78" spans="1:27" x14ac:dyDescent="0.25">
      <c r="A78" s="2">
        <v>2035</v>
      </c>
      <c r="B78" s="2">
        <f>B12/'Output-Calculation-sheet'!B11*'Output-Calculation-sheet'!B65</f>
        <v>15120.272384419444</v>
      </c>
      <c r="C78" s="2">
        <f>C12/'Output-Calculation-sheet'!C11*'Output-Calculation-sheet'!C65</f>
        <v>10677.615655961499</v>
      </c>
      <c r="D78" s="2">
        <f>D12/'Output-Calculation-sheet'!D11*'Output-Calculation-sheet'!D65</f>
        <v>1605.2588562366261</v>
      </c>
      <c r="E78" s="2">
        <f>E12/'Output-Calculation-sheet'!E11*'Output-Calculation-sheet'!E65</f>
        <v>3051.5544109151042</v>
      </c>
      <c r="F78" s="2">
        <f>F12/'Output-Calculation-sheet'!F11*'Output-Calculation-sheet'!F65</f>
        <v>646.3741017409767</v>
      </c>
      <c r="G78" s="2">
        <f>G12/'Output-Calculation-sheet'!G11*'Output-Calculation-sheet'!G65</f>
        <v>1212.8441142891227</v>
      </c>
      <c r="H78" s="2">
        <f>H12/'Output-Calculation-sheet'!H11*'Output-Calculation-sheet'!H65</f>
        <v>3904.8796549044287</v>
      </c>
      <c r="I78" s="2">
        <f>I12/'Output-Calculation-sheet'!I11*'Output-Calculation-sheet'!I65</f>
        <v>713.19070590369472</v>
      </c>
      <c r="J78" s="2">
        <f>J12/'Output-Calculation-sheet'!J11*'Output-Calculation-sheet'!J65</f>
        <v>639.61201080514491</v>
      </c>
      <c r="K78" s="2">
        <f>K12/'Output-Calculation-sheet'!K11*'Output-Calculation-sheet'!K65</f>
        <v>807.1593840668296</v>
      </c>
      <c r="L78" s="2">
        <f>L12/'Output-Calculation-sheet'!L11*'Output-Calculation-sheet'!L65</f>
        <v>479.92642295333059</v>
      </c>
      <c r="M78" s="2">
        <f>M12/'Output-Calculation-sheet'!M11*'Output-Calculation-sheet'!M65</f>
        <v>2779.6102342863915</v>
      </c>
      <c r="N78" s="2">
        <f>N12/'Output-Calculation-sheet'!N11*'Output-Calculation-sheet'!N65</f>
        <v>1954.5148710593198</v>
      </c>
      <c r="O78" s="2">
        <f>O12/'Output-Calculation-sheet'!O11*'Output-Calculation-sheet'!O65</f>
        <v>273.99772567883855</v>
      </c>
      <c r="P78" s="2">
        <f>P12/'Output-Calculation-sheet'!P11*'Output-Calculation-sheet'!P65</f>
        <v>1111.12106487657</v>
      </c>
      <c r="Q78" s="2">
        <f>Q12/'Output-Calculation-sheet'!Q11*'Output-Calculation-sheet'!Q65</f>
        <v>558.88287217921595</v>
      </c>
      <c r="R78" s="2">
        <f>R12/'Output-Calculation-sheet'!R11*'Output-Calculation-sheet'!R65</f>
        <v>921.20807562064658</v>
      </c>
      <c r="S78" s="2">
        <f>S12/'Output-Calculation-sheet'!S11*'Output-Calculation-sheet'!S65</f>
        <v>1039.2648875980085</v>
      </c>
      <c r="T78" s="2">
        <f>T12/'Output-Calculation-sheet'!T11*'Output-Calculation-sheet'!T65</f>
        <v>331.24498520443746</v>
      </c>
      <c r="U78" s="2">
        <f>U12/'Output-Calculation-sheet'!U11*'Output-Calculation-sheet'!U65</f>
        <v>283.81563093619235</v>
      </c>
      <c r="V78" s="2">
        <f>V12/'Output-Calculation-sheet'!V11*'Output-Calculation-sheet'!V65</f>
        <v>178.76598722284439</v>
      </c>
      <c r="W78" s="2">
        <f>W12/'Output-Calculation-sheet'!W11*'Output-Calculation-sheet'!W65</f>
        <v>125.91058780325722</v>
      </c>
      <c r="X78" s="2">
        <f>X12/'Output-Calculation-sheet'!X11*'Output-Calculation-sheet'!X65</f>
        <v>286.48712384753406</v>
      </c>
      <c r="Y78" s="2">
        <f>Y12/'Output-Calculation-sheet'!Y11*'Output-Calculation-sheet'!Y65</f>
        <v>122.90122515103215</v>
      </c>
      <c r="AA78" s="2">
        <f t="shared" si="6"/>
        <v>48.826412973660503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445.2972381810236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432.54636934254512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0.87784360752356871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827.45485977496992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31.839547020706203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21.90872402831511</v>
      </c>
      <c r="N88" s="2">
        <f>N11/'Output-Calculation-sheet'!N10*'Output-Calculation-sheet'!N73</f>
        <v>0</v>
      </c>
      <c r="O88" s="2">
        <f>O11/'Output-Calculation-sheet'!O10*'Output-Calculation-sheet'!O73</f>
        <v>462.16262914678072</v>
      </c>
      <c r="P88" s="2">
        <f>P11/'Output-Calculation-sheet'!P10*'Output-Calculation-sheet'!P73</f>
        <v>0</v>
      </c>
      <c r="Q88" s="2">
        <f>Q11/'Output-Calculation-sheet'!Q10*'Output-Calculation-sheet'!Q73</f>
        <v>18.865937270104205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2.4034410353161788</v>
      </c>
      <c r="Y88" s="2">
        <f>Y11/'Output-Calculation-sheet'!Y10*'Output-Calculation-sheet'!Y73</f>
        <v>0</v>
      </c>
      <c r="AA88" s="2">
        <f t="shared" si="7"/>
        <v>1.3646351382761925</v>
      </c>
    </row>
    <row r="89" spans="1:27" x14ac:dyDescent="0.25">
      <c r="A89" s="2">
        <v>2035</v>
      </c>
      <c r="B89" s="2">
        <f>B12/'Output-Calculation-sheet'!B11*'Output-Calculation-sheet'!B74</f>
        <v>381.14170009375727</v>
      </c>
      <c r="C89" s="2">
        <f>C12/'Output-Calculation-sheet'!C11*'Output-Calculation-sheet'!C74</f>
        <v>1175.8392857959652</v>
      </c>
      <c r="D89" s="2">
        <f>D12/'Output-Calculation-sheet'!D11*'Output-Calculation-sheet'!D74</f>
        <v>160.24545607553043</v>
      </c>
      <c r="E89" s="2">
        <f>E12/'Output-Calculation-sheet'!E11*'Output-Calculation-sheet'!E74</f>
        <v>127.35239492164949</v>
      </c>
      <c r="F89" s="2">
        <f>F12/'Output-Calculation-sheet'!F11*'Output-Calculation-sheet'!F74</f>
        <v>40.04796169398864</v>
      </c>
      <c r="G89" s="2">
        <f>G12/'Output-Calculation-sheet'!G11*'Output-Calculation-sheet'!G74</f>
        <v>57.483488046311322</v>
      </c>
      <c r="H89" s="2">
        <f>H12/'Output-Calculation-sheet'!H11*'Output-Calculation-sheet'!H74</f>
        <v>139.21536638850407</v>
      </c>
      <c r="I89" s="2">
        <f>I12/'Output-Calculation-sheet'!I11*'Output-Calculation-sheet'!I74</f>
        <v>51.702965485261323</v>
      </c>
      <c r="J89" s="2">
        <f>J12/'Output-Calculation-sheet'!J11*'Output-Calculation-sheet'!J74</f>
        <v>25.584480432205797</v>
      </c>
      <c r="K89" s="2">
        <f>K12/'Output-Calculation-sheet'!K11*'Output-Calculation-sheet'!K74</f>
        <v>50.815876609596422</v>
      </c>
      <c r="L89" s="2">
        <f>L12/'Output-Calculation-sheet'!L11*'Output-Calculation-sheet'!L74</f>
        <v>40.406350069739474</v>
      </c>
      <c r="M89" s="2">
        <f>M12/'Output-Calculation-sheet'!M11*'Output-Calculation-sheet'!M74</f>
        <v>76.6350360631195</v>
      </c>
      <c r="N89" s="2">
        <f>N12/'Output-Calculation-sheet'!N11*'Output-Calculation-sheet'!N74</f>
        <v>56.489957544249016</v>
      </c>
      <c r="O89" s="2">
        <f>O12/'Output-Calculation-sheet'!O11*'Output-Calculation-sheet'!O74</f>
        <v>456.86788094977248</v>
      </c>
      <c r="P89" s="2">
        <f>P12/'Output-Calculation-sheet'!P11*'Output-Calculation-sheet'!P74</f>
        <v>34.791028113992233</v>
      </c>
      <c r="Q89" s="2">
        <f>Q12/'Output-Calculation-sheet'!Q11*'Output-Calculation-sheet'!Q74</f>
        <v>49.493701043146999</v>
      </c>
      <c r="R89" s="2">
        <f>R12/'Output-Calculation-sheet'!R11*'Output-Calculation-sheet'!R74</f>
        <v>32.721488850944716</v>
      </c>
      <c r="S89" s="2">
        <f>S12/'Output-Calculation-sheet'!S11*'Output-Calculation-sheet'!S74</f>
        <v>32.381905888889158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10.52767650640574</v>
      </c>
      <c r="V89" s="2">
        <f>V12/'Output-Calculation-sheet'!V11*'Output-Calculation-sheet'!V74</f>
        <v>4.0588966969290103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12.61057856534616</v>
      </c>
      <c r="Y89" s="2">
        <f>Y12/'Output-Calculation-sheet'!Y11*'Output-Calculation-sheet'!Y74</f>
        <v>4.0564807377186947</v>
      </c>
      <c r="AA89" s="2">
        <f t="shared" si="7"/>
        <v>3.0300375564728723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17681226696.809464</v>
      </c>
      <c r="C96" s="2">
        <f>C8/'Output-Calculation-sheet'!C7*'Output-Calculation-sheet'!C79</f>
        <v>2176371780.3006043</v>
      </c>
      <c r="D96" s="2">
        <f>D8/'Output-Calculation-sheet'!D7*'Output-Calculation-sheet'!D79</f>
        <v>7707198844.2415581</v>
      </c>
      <c r="E96" s="2">
        <f>E8/'Output-Calculation-sheet'!E7*'Output-Calculation-sheet'!E79</f>
        <v>13177568385.137045</v>
      </c>
      <c r="F96" s="2">
        <f>F8/'Output-Calculation-sheet'!F7*'Output-Calculation-sheet'!F79</f>
        <v>5930345570.637249</v>
      </c>
      <c r="G96" s="2">
        <f>G8/'Output-Calculation-sheet'!G7*'Output-Calculation-sheet'!G79</f>
        <v>4504366792.8701162</v>
      </c>
      <c r="H96" s="2">
        <f>H8/'Output-Calculation-sheet'!H7*'Output-Calculation-sheet'!H79</f>
        <v>1310473944.8489237</v>
      </c>
      <c r="I96" s="2">
        <f>I8/'Output-Calculation-sheet'!I7*'Output-Calculation-sheet'!I79</f>
        <v>3021407100.3622551</v>
      </c>
      <c r="J96" s="2">
        <f>J8/'Output-Calculation-sheet'!J7*'Output-Calculation-sheet'!J79</f>
        <v>2238915021.4405055</v>
      </c>
      <c r="K96" s="2">
        <f>K8/'Output-Calculation-sheet'!K7*'Output-Calculation-sheet'!K79</f>
        <v>2588748621.8292208</v>
      </c>
      <c r="L96" s="2">
        <f>L8/'Output-Calculation-sheet'!L7*'Output-Calculation-sheet'!L79</f>
        <v>2059301962.2230253</v>
      </c>
      <c r="M96" s="2">
        <f>M8/'Output-Calculation-sheet'!M7*'Output-Calculation-sheet'!M79</f>
        <v>1018776546.2968757</v>
      </c>
      <c r="N96" s="2">
        <f>N8/'Output-Calculation-sheet'!N7*'Output-Calculation-sheet'!N79</f>
        <v>1034668663.9004195</v>
      </c>
      <c r="O96" s="2">
        <f>O8/'Output-Calculation-sheet'!O7*'Output-Calculation-sheet'!O79</f>
        <v>252562717.68740606</v>
      </c>
      <c r="P96" s="2">
        <f>P8/'Output-Calculation-sheet'!P7*'Output-Calculation-sheet'!P79</f>
        <v>2751862947.1015973</v>
      </c>
      <c r="Q96" s="2">
        <f>Q8/'Output-Calculation-sheet'!Q7*'Output-Calculation-sheet'!Q79</f>
        <v>1220263194.0417581</v>
      </c>
      <c r="R96" s="2">
        <f>R8/'Output-Calculation-sheet'!R7*'Output-Calculation-sheet'!R79</f>
        <v>1856610601.3671787</v>
      </c>
      <c r="S96" s="2">
        <f>S8/'Output-Calculation-sheet'!S7*'Output-Calculation-sheet'!S79</f>
        <v>725696868.19748962</v>
      </c>
      <c r="T96" s="2">
        <f>T8/'Output-Calculation-sheet'!T7*'Output-Calculation-sheet'!T79</f>
        <v>982825213.34596467</v>
      </c>
      <c r="U96" s="2">
        <f>U8/'Output-Calculation-sheet'!U7*'Output-Calculation-sheet'!U79</f>
        <v>488141895.09032476</v>
      </c>
      <c r="V96" s="2">
        <f>V8/'Output-Calculation-sheet'!V7*'Output-Calculation-sheet'!V79</f>
        <v>359696680.02002829</v>
      </c>
      <c r="W96" s="2">
        <f>W8/'Output-Calculation-sheet'!W7*'Output-Calculation-sheet'!W79</f>
        <v>958247724.85359287</v>
      </c>
      <c r="X96" s="2">
        <f>X8/'Output-Calculation-sheet'!X7*'Output-Calculation-sheet'!X79</f>
        <v>113550269.46048166</v>
      </c>
      <c r="Y96" s="2">
        <f>Y8/'Output-Calculation-sheet'!Y7*'Output-Calculation-sheet'!Y79</f>
        <v>430049808.12187368</v>
      </c>
      <c r="AA96" s="2">
        <f t="shared" si="8"/>
        <v>74.588877850184971</v>
      </c>
    </row>
    <row r="97" spans="1:27" x14ac:dyDescent="0.25">
      <c r="A97" s="2">
        <v>2032</v>
      </c>
      <c r="B97" s="2">
        <f>B9/'Output-Calculation-sheet'!B8*'Output-Calculation-sheet'!B80</f>
        <v>19162343723.989407</v>
      </c>
      <c r="C97" s="2">
        <f>C9/'Output-Calculation-sheet'!C8*'Output-Calculation-sheet'!C80</f>
        <v>2407427515.4161081</v>
      </c>
      <c r="D97" s="2">
        <f>D9/'Output-Calculation-sheet'!D8*'Output-Calculation-sheet'!D80</f>
        <v>7928851795.3300362</v>
      </c>
      <c r="E97" s="2">
        <f>E9/'Output-Calculation-sheet'!E8*'Output-Calculation-sheet'!E80</f>
        <v>13959580176.010698</v>
      </c>
      <c r="F97" s="2">
        <f>F9/'Output-Calculation-sheet'!F8*'Output-Calculation-sheet'!F80</f>
        <v>6267769277.4760151</v>
      </c>
      <c r="G97" s="2">
        <f>G9/'Output-Calculation-sheet'!G8*'Output-Calculation-sheet'!G80</f>
        <v>4639283420.6002483</v>
      </c>
      <c r="H97" s="2">
        <f>H9/'Output-Calculation-sheet'!H8*'Output-Calculation-sheet'!H80</f>
        <v>1405732861.4620762</v>
      </c>
      <c r="I97" s="2">
        <f>I9/'Output-Calculation-sheet'!I8*'Output-Calculation-sheet'!I80</f>
        <v>3222313398.8604097</v>
      </c>
      <c r="J97" s="2">
        <f>J9/'Output-Calculation-sheet'!J8*'Output-Calculation-sheet'!J80</f>
        <v>2325087433.186799</v>
      </c>
      <c r="K97" s="2">
        <f>K9/'Output-Calculation-sheet'!K8*'Output-Calculation-sheet'!K80</f>
        <v>2706470226.4598064</v>
      </c>
      <c r="L97" s="2">
        <f>L9/'Output-Calculation-sheet'!L8*'Output-Calculation-sheet'!L80</f>
        <v>2219151410.5164027</v>
      </c>
      <c r="M97" s="2">
        <f>M9/'Output-Calculation-sheet'!M8*'Output-Calculation-sheet'!M80</f>
        <v>1092651003.6902621</v>
      </c>
      <c r="N97" s="2">
        <f>N9/'Output-Calculation-sheet'!N8*'Output-Calculation-sheet'!N80</f>
        <v>1082955910.4097157</v>
      </c>
      <c r="O97" s="2">
        <f>O9/'Output-Calculation-sheet'!O8*'Output-Calculation-sheet'!O80</f>
        <v>282631114.19021493</v>
      </c>
      <c r="P97" s="2">
        <f>P9/'Output-Calculation-sheet'!P8*'Output-Calculation-sheet'!P80</f>
        <v>2874210371.2369542</v>
      </c>
      <c r="Q97" s="2">
        <f>Q9/'Output-Calculation-sheet'!Q8*'Output-Calculation-sheet'!Q80</f>
        <v>1278037007.326462</v>
      </c>
      <c r="R97" s="2">
        <f>R9/'Output-Calculation-sheet'!R8*'Output-Calculation-sheet'!R80</f>
        <v>1988813721.9932833</v>
      </c>
      <c r="S97" s="2">
        <f>S9/'Output-Calculation-sheet'!S8*'Output-Calculation-sheet'!S80</f>
        <v>767022989.06005704</v>
      </c>
      <c r="T97" s="2">
        <f>T9/'Output-Calculation-sheet'!T8*'Output-Calculation-sheet'!T80</f>
        <v>1025587617.4133918</v>
      </c>
      <c r="U97" s="2">
        <f>U9/'Output-Calculation-sheet'!U8*'Output-Calculation-sheet'!U80</f>
        <v>520507340.01109397</v>
      </c>
      <c r="V97" s="2">
        <f>V9/'Output-Calculation-sheet'!V8*'Output-Calculation-sheet'!V80</f>
        <v>383421125.58634758</v>
      </c>
      <c r="W97" s="2">
        <f>W9/'Output-Calculation-sheet'!W8*'Output-Calculation-sheet'!W80</f>
        <v>1002705592.4470735</v>
      </c>
      <c r="X97" s="2">
        <f>X9/'Output-Calculation-sheet'!X8*'Output-Calculation-sheet'!X80</f>
        <v>122792023.18312815</v>
      </c>
      <c r="Y97" s="2">
        <f>Y9/'Output-Calculation-sheet'!Y8*'Output-Calculation-sheet'!Y80</f>
        <v>450260205.11697787</v>
      </c>
      <c r="AA97" s="2">
        <f t="shared" si="8"/>
        <v>79.115607260972965</v>
      </c>
    </row>
    <row r="98" spans="1:27" x14ac:dyDescent="0.25">
      <c r="A98" s="2">
        <v>2033</v>
      </c>
      <c r="B98" s="2">
        <f>B10/'Output-Calculation-sheet'!B9*'Output-Calculation-sheet'!B81</f>
        <v>22009360301.122963</v>
      </c>
      <c r="C98" s="2">
        <f>C10/'Output-Calculation-sheet'!C9*'Output-Calculation-sheet'!C81</f>
        <v>7545900126.8784628</v>
      </c>
      <c r="D98" s="2">
        <f>D10/'Output-Calculation-sheet'!D9*'Output-Calculation-sheet'!D81</f>
        <v>7181398624.6375208</v>
      </c>
      <c r="E98" s="2">
        <f>E10/'Output-Calculation-sheet'!E9*'Output-Calculation-sheet'!E81</f>
        <v>13508662664.577881</v>
      </c>
      <c r="F98" s="2">
        <f>F10/'Output-Calculation-sheet'!F9*'Output-Calculation-sheet'!F81</f>
        <v>5571299001.874548</v>
      </c>
      <c r="G98" s="2">
        <f>G10/'Output-Calculation-sheet'!G9*'Output-Calculation-sheet'!G81</f>
        <v>4090618187.2940907</v>
      </c>
      <c r="H98" s="2">
        <f>H10/'Output-Calculation-sheet'!H9*'Output-Calculation-sheet'!H81</f>
        <v>3706133499.0451355</v>
      </c>
      <c r="I98" s="2">
        <f>I10/'Output-Calculation-sheet'!I9*'Output-Calculation-sheet'!I81</f>
        <v>3080891084.8095531</v>
      </c>
      <c r="J98" s="2">
        <f>J10/'Output-Calculation-sheet'!J9*'Output-Calculation-sheet'!J81</f>
        <v>1969999412.4388976</v>
      </c>
      <c r="K98" s="2">
        <f>K10/'Output-Calculation-sheet'!K9*'Output-Calculation-sheet'!K81</f>
        <v>2861502270.5340214</v>
      </c>
      <c r="L98" s="2">
        <f>L10/'Output-Calculation-sheet'!L9*'Output-Calculation-sheet'!L81</f>
        <v>2146169536.3269601</v>
      </c>
      <c r="M98" s="2">
        <f>M10/'Output-Calculation-sheet'!M9*'Output-Calculation-sheet'!M81</f>
        <v>2783150651.1594462</v>
      </c>
      <c r="N98" s="2">
        <f>N10/'Output-Calculation-sheet'!N9*'Output-Calculation-sheet'!N81</f>
        <v>1996693436.3621812</v>
      </c>
      <c r="O98" s="2">
        <f>O10/'Output-Calculation-sheet'!O9*'Output-Calculation-sheet'!O81</f>
        <v>1057361978.862883</v>
      </c>
      <c r="P98" s="2">
        <f>P10/'Output-Calculation-sheet'!P9*'Output-Calculation-sheet'!P81</f>
        <v>3379022095.7489047</v>
      </c>
      <c r="Q98" s="2">
        <f>Q10/'Output-Calculation-sheet'!Q9*'Output-Calculation-sheet'!Q81</f>
        <v>1588730529.2208915</v>
      </c>
      <c r="R98" s="2">
        <f>R10/'Output-Calculation-sheet'!R9*'Output-Calculation-sheet'!R81</f>
        <v>2032226703.0855963</v>
      </c>
      <c r="S98" s="2">
        <f>S10/'Output-Calculation-sheet'!S9*'Output-Calculation-sheet'!S81</f>
        <v>1174988849.5794363</v>
      </c>
      <c r="T98" s="2">
        <f>T10/'Output-Calculation-sheet'!T9*'Output-Calculation-sheet'!T81</f>
        <v>871890064.95602953</v>
      </c>
      <c r="U98" s="2">
        <f>U10/'Output-Calculation-sheet'!U9*'Output-Calculation-sheet'!U81</f>
        <v>567308223.91988957</v>
      </c>
      <c r="V98" s="2">
        <f>V10/'Output-Calculation-sheet'!V9*'Output-Calculation-sheet'!V81</f>
        <v>300455988.72592366</v>
      </c>
      <c r="W98" s="2">
        <f>W10/'Output-Calculation-sheet'!W9*'Output-Calculation-sheet'!W81</f>
        <v>851896385.44693029</v>
      </c>
      <c r="X98" s="2">
        <f>X10/'Output-Calculation-sheet'!X9*'Output-Calculation-sheet'!X81</f>
        <v>313046147.30059141</v>
      </c>
      <c r="Y98" s="2">
        <f>Y10/'Output-Calculation-sheet'!Y9*'Output-Calculation-sheet'!Y81</f>
        <v>468425389.61631942</v>
      </c>
      <c r="AA98" s="2">
        <f t="shared" si="8"/>
        <v>91.057131153525049</v>
      </c>
    </row>
    <row r="99" spans="1:27" x14ac:dyDescent="0.25">
      <c r="A99" s="2">
        <v>2034</v>
      </c>
      <c r="B99" s="2">
        <f>B11/'Output-Calculation-sheet'!B10*'Output-Calculation-sheet'!B82</f>
        <v>23849053845.324516</v>
      </c>
      <c r="C99" s="2">
        <f>C11/'Output-Calculation-sheet'!C10*'Output-Calculation-sheet'!C82</f>
        <v>8228902050.4102125</v>
      </c>
      <c r="D99" s="2">
        <f>D11/'Output-Calculation-sheet'!D10*'Output-Calculation-sheet'!D82</f>
        <v>7485986206.5714188</v>
      </c>
      <c r="E99" s="2">
        <f>E11/'Output-Calculation-sheet'!E10*'Output-Calculation-sheet'!E82</f>
        <v>14480983878.415668</v>
      </c>
      <c r="F99" s="2">
        <f>F11/'Output-Calculation-sheet'!F10*'Output-Calculation-sheet'!F82</f>
        <v>5963975239.2715445</v>
      </c>
      <c r="G99" s="2">
        <f>G11/'Output-Calculation-sheet'!G10*'Output-Calculation-sheet'!G82</f>
        <v>4239961996.8849387</v>
      </c>
      <c r="H99" s="2">
        <f>H11/'Output-Calculation-sheet'!H10*'Output-Calculation-sheet'!H82</f>
        <v>3963014290.437366</v>
      </c>
      <c r="I99" s="2">
        <f>I11/'Output-Calculation-sheet'!I10*'Output-Calculation-sheet'!I82</f>
        <v>3328656111.1410513</v>
      </c>
      <c r="J99" s="2">
        <f>J11/'Output-Calculation-sheet'!J10*'Output-Calculation-sheet'!J82</f>
        <v>2071421424.8886542</v>
      </c>
      <c r="K99" s="2">
        <f>K11/'Output-Calculation-sheet'!K10*'Output-Calculation-sheet'!K82</f>
        <v>3030761370.6727366</v>
      </c>
      <c r="L99" s="2">
        <f>L11/'Output-Calculation-sheet'!L10*'Output-Calculation-sheet'!L82</f>
        <v>2339969415.8791804</v>
      </c>
      <c r="M99" s="2">
        <f>M11/'Output-Calculation-sheet'!M10*'Output-Calculation-sheet'!M82</f>
        <v>2985265209.1189942</v>
      </c>
      <c r="N99" s="2">
        <f>N11/'Output-Calculation-sheet'!N10*'Output-Calculation-sheet'!N82</f>
        <v>2103122129.1805983</v>
      </c>
      <c r="O99" s="2">
        <f>O11/'Output-Calculation-sheet'!O10*'Output-Calculation-sheet'!O82</f>
        <v>1140208053.3970497</v>
      </c>
      <c r="P99" s="2">
        <f>P11/'Output-Calculation-sheet'!P10*'Output-Calculation-sheet'!P82</f>
        <v>3554286806.2895484</v>
      </c>
      <c r="Q99" s="2">
        <f>Q11/'Output-Calculation-sheet'!Q10*'Output-Calculation-sheet'!Q82</f>
        <v>1682111870.0396874</v>
      </c>
      <c r="R99" s="2">
        <f>R11/'Output-Calculation-sheet'!R10*'Output-Calculation-sheet'!R82</f>
        <v>2177486036.6620898</v>
      </c>
      <c r="S99" s="2">
        <f>S11/'Output-Calculation-sheet'!S10*'Output-Calculation-sheet'!S82</f>
        <v>1254292832.0088499</v>
      </c>
      <c r="T99" s="2">
        <f>T11/'Output-Calculation-sheet'!T10*'Output-Calculation-sheet'!T82</f>
        <v>916741416.12608969</v>
      </c>
      <c r="U99" s="2">
        <f>U11/'Output-Calculation-sheet'!U10*'Output-Calculation-sheet'!U82</f>
        <v>607084645.85350513</v>
      </c>
      <c r="V99" s="2">
        <f>V11/'Output-Calculation-sheet'!V10*'Output-Calculation-sheet'!V82</f>
        <v>324600591.36071968</v>
      </c>
      <c r="W99" s="2">
        <f>W11/'Output-Calculation-sheet'!W10*'Output-Calculation-sheet'!W82</f>
        <v>900128804.69847322</v>
      </c>
      <c r="X99" s="2">
        <f>X11/'Output-Calculation-sheet'!X10*'Output-Calculation-sheet'!X82</f>
        <v>339013289.38676357</v>
      </c>
      <c r="Y99" s="2">
        <f>Y11/'Output-Calculation-sheet'!Y10*'Output-Calculation-sheet'!Y82</f>
        <v>495356330.34601998</v>
      </c>
      <c r="AA99" s="2">
        <f t="shared" si="8"/>
        <v>97.462383844365661</v>
      </c>
    </row>
    <row r="100" spans="1:27" x14ac:dyDescent="0.25">
      <c r="A100" s="2">
        <v>2035</v>
      </c>
      <c r="B100" s="2">
        <f>B12/'Output-Calculation-sheet'!B11*'Output-Calculation-sheet'!B83</f>
        <v>23828902861.521687</v>
      </c>
      <c r="C100" s="2">
        <f>C12/'Output-Calculation-sheet'!C11*'Output-Calculation-sheet'!C83</f>
        <v>8273008035.6571007</v>
      </c>
      <c r="D100" s="2">
        <f>D12/'Output-Calculation-sheet'!D11*'Output-Calculation-sheet'!D83</f>
        <v>7200592712.2990627</v>
      </c>
      <c r="E100" s="2">
        <f>E12/'Output-Calculation-sheet'!E11*'Output-Calculation-sheet'!E83</f>
        <v>14320120944.105639</v>
      </c>
      <c r="F100" s="2">
        <f>F12/'Output-Calculation-sheet'!F11*'Output-Calculation-sheet'!F83</f>
        <v>5890726771.8998384</v>
      </c>
      <c r="G100" s="2">
        <f>G12/'Output-Calculation-sheet'!G11*'Output-Calculation-sheet'!G83</f>
        <v>4048076327.6277151</v>
      </c>
      <c r="H100" s="2">
        <f>H12/'Output-Calculation-sheet'!H11*'Output-Calculation-sheet'!H83</f>
        <v>3910139211.4465861</v>
      </c>
      <c r="I100" s="2">
        <f>I12/'Output-Calculation-sheet'!I11*'Output-Calculation-sheet'!I83</f>
        <v>3317675889.2582488</v>
      </c>
      <c r="J100" s="2">
        <f>J12/'Output-Calculation-sheet'!J11*'Output-Calculation-sheet'!J83</f>
        <v>2010654383.3249478</v>
      </c>
      <c r="K100" s="2">
        <f>K12/'Output-Calculation-sheet'!K11*'Output-Calculation-sheet'!K83</f>
        <v>2962550361.5764885</v>
      </c>
      <c r="L100" s="2">
        <f>L12/'Output-Calculation-sheet'!L11*'Output-Calculation-sheet'!L83</f>
        <v>2352096064.227108</v>
      </c>
      <c r="M100" s="2">
        <f>M12/'Output-Calculation-sheet'!M11*'Output-Calculation-sheet'!M83</f>
        <v>2954753861.5809464</v>
      </c>
      <c r="N100" s="2">
        <f>N12/'Output-Calculation-sheet'!N11*'Output-Calculation-sheet'!N83</f>
        <v>2044456298.4626882</v>
      </c>
      <c r="O100" s="2">
        <f>O12/'Output-Calculation-sheet'!O11*'Output-Calculation-sheet'!O83</f>
        <v>1134803059.2309477</v>
      </c>
      <c r="P100" s="2">
        <f>P12/'Output-Calculation-sheet'!P11*'Output-Calculation-sheet'!P83</f>
        <v>3446477524.785327</v>
      </c>
      <c r="Q100" s="2">
        <f>Q12/'Output-Calculation-sheet'!Q11*'Output-Calculation-sheet'!Q83</f>
        <v>1643985578.4922299</v>
      </c>
      <c r="R100" s="2">
        <f>R12/'Output-Calculation-sheet'!R11*'Output-Calculation-sheet'!R83</f>
        <v>2152707485.717032</v>
      </c>
      <c r="S100" s="2">
        <f>S12/'Output-Calculation-sheet'!S11*'Output-Calculation-sheet'!S83</f>
        <v>1235543492.5560584</v>
      </c>
      <c r="T100" s="2">
        <f>T12/'Output-Calculation-sheet'!T11*'Output-Calculation-sheet'!T83</f>
        <v>889163229.01874995</v>
      </c>
      <c r="U100" s="2">
        <f>U12/'Output-Calculation-sheet'!U11*'Output-Calculation-sheet'!U83</f>
        <v>599195341.57389033</v>
      </c>
      <c r="V100" s="2">
        <f>V12/'Output-Calculation-sheet'!V11*'Output-Calculation-sheet'!V83</f>
        <v>323300700.90660042</v>
      </c>
      <c r="W100" s="2">
        <f>W12/'Output-Calculation-sheet'!W11*'Output-Calculation-sheet'!W83</f>
        <v>875901024.86936057</v>
      </c>
      <c r="X100" s="2">
        <f>X12/'Output-Calculation-sheet'!X11*'Output-Calculation-sheet'!X83</f>
        <v>338631656.03893101</v>
      </c>
      <c r="Y100" s="2">
        <f>Y12/'Output-Calculation-sheet'!Y11*'Output-Calculation-sheet'!Y83</f>
        <v>482673746.96389335</v>
      </c>
      <c r="AA100" s="2">
        <f t="shared" si="8"/>
        <v>96.236136563141088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00"/>
  <sheetViews>
    <sheetView workbookViewId="0">
      <selection activeCell="B7" sqref="B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1664.2178058563943</v>
      </c>
      <c r="C16" s="2">
        <f>C5/'Output-Calculation-sheet'!C4*'Output-Calculation-sheet'!C22</f>
        <v>3422.4355215483642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1300.6999558033879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951.69353345835714</v>
      </c>
      <c r="N16" s="2">
        <f>N5/'Output-Calculation-sheet'!N4*'Output-Calculation-sheet'!N22</f>
        <v>350.5082230920392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109.20182442631051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108.95332690187875</v>
      </c>
      <c r="Y16" s="2">
        <f>Y5/'Output-Calculation-sheet'!Y4*'Output-Calculation-sheet'!Y22</f>
        <v>0</v>
      </c>
      <c r="AA16" s="2">
        <f t="shared" ref="AA16:AA23" si="0">SUM(B16:Y16)/1000</f>
        <v>7.9077101910867311</v>
      </c>
    </row>
    <row r="17" spans="1:27" x14ac:dyDescent="0.25">
      <c r="A17" s="2">
        <v>2029</v>
      </c>
      <c r="B17" s="2">
        <f>B6/'Output-Calculation-sheet'!B5*'Output-Calculation-sheet'!B23</f>
        <v>2916.3017222118428</v>
      </c>
      <c r="C17" s="2">
        <f>C6/'Output-Calculation-sheet'!C5*'Output-Calculation-sheet'!C23</f>
        <v>4924.3494201203584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1855.5835879980523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1356.0812049959195</v>
      </c>
      <c r="N17" s="2">
        <f>N6/'Output-Calculation-sheet'!N5*'Output-Calculation-sheet'!N23</f>
        <v>574.85137913219216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219.23214203651429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155.60225594572668</v>
      </c>
      <c r="Y17" s="2">
        <f>Y6/'Output-Calculation-sheet'!Y5*'Output-Calculation-sheet'!Y23</f>
        <v>0</v>
      </c>
      <c r="AA17" s="2">
        <f t="shared" si="0"/>
        <v>12.002001712440608</v>
      </c>
    </row>
    <row r="18" spans="1:27" x14ac:dyDescent="0.25">
      <c r="A18" s="2">
        <v>2030</v>
      </c>
      <c r="B18" s="2">
        <f>B7/'Output-Calculation-sheet'!B6*'Output-Calculation-sheet'!B24</f>
        <v>4292.6724661127464</v>
      </c>
      <c r="C18" s="2">
        <f>C7/'Output-Calculation-sheet'!C6*'Output-Calculation-sheet'!C24</f>
        <v>6474.2009133263145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2409.6126076873779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1756.6317677307579</v>
      </c>
      <c r="N18" s="2">
        <f>N7/'Output-Calculation-sheet'!N6*'Output-Calculation-sheet'!N24</f>
        <v>808.98660983722573</v>
      </c>
      <c r="O18" s="2">
        <f>O7/'Output-Calculation-sheet'!O6*'Output-Calculation-sheet'!O24</f>
        <v>960.16321510600926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343.24009323547295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202.47243378607013</v>
      </c>
      <c r="Y18" s="2">
        <f>Y7/'Output-Calculation-sheet'!Y6*'Output-Calculation-sheet'!Y24</f>
        <v>0</v>
      </c>
      <c r="AA18" s="2">
        <f t="shared" si="0"/>
        <v>17.247980106821974</v>
      </c>
    </row>
    <row r="19" spans="1:27" x14ac:dyDescent="0.25">
      <c r="A19" s="2">
        <v>2031</v>
      </c>
      <c r="B19" s="2">
        <f>B8/'Output-Calculation-sheet'!B7*'Output-Calculation-sheet'!B25</f>
        <v>5976.4326726794125</v>
      </c>
      <c r="C19" s="2">
        <f>C8/'Output-Calculation-sheet'!C7*'Output-Calculation-sheet'!C25</f>
        <v>7968.7407472815394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2903.5426389642189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2125.257329969686</v>
      </c>
      <c r="N19" s="2">
        <f>N8/'Output-Calculation-sheet'!N7*'Output-Calculation-sheet'!N25</f>
        <v>1107.1888921252164</v>
      </c>
      <c r="O19" s="2">
        <f>O8/'Output-Calculation-sheet'!O7*'Output-Calculation-sheet'!O25</f>
        <v>1207.4184797433891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482.66850768698157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245.66580140531974</v>
      </c>
      <c r="Y19" s="2">
        <f>Y8/'Output-Calculation-sheet'!Y7*'Output-Calculation-sheet'!Y25</f>
        <v>0</v>
      </c>
      <c r="AA19" s="2">
        <f t="shared" si="0"/>
        <v>22.016915069855763</v>
      </c>
    </row>
    <row r="20" spans="1:27" x14ac:dyDescent="0.25">
      <c r="A20" s="2">
        <v>2032</v>
      </c>
      <c r="B20" s="2">
        <f>B9/'Output-Calculation-sheet'!B8*'Output-Calculation-sheet'!B26</f>
        <v>7813.6492831659098</v>
      </c>
      <c r="C20" s="2">
        <f>C9/'Output-Calculation-sheet'!C8*'Output-Calculation-sheet'!C26</f>
        <v>9005.8431750421951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3242.1417857000788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2367.5041554898112</v>
      </c>
      <c r="N20" s="2">
        <f>N9/'Output-Calculation-sheet'!N8*'Output-Calculation-sheet'!N26</f>
        <v>1346.664720749985</v>
      </c>
      <c r="O20" s="2">
        <f>O9/'Output-Calculation-sheet'!O8*'Output-Calculation-sheet'!O26</f>
        <v>1393.1285956280938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608.75061034161001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273.47746470438398</v>
      </c>
      <c r="Y20" s="2">
        <f>Y9/'Output-Calculation-sheet'!Y8*'Output-Calculation-sheet'!Y26</f>
        <v>0</v>
      </c>
      <c r="AA20" s="2">
        <f t="shared" si="0"/>
        <v>26.051159790822069</v>
      </c>
    </row>
    <row r="21" spans="1:27" x14ac:dyDescent="0.25">
      <c r="A21" s="2">
        <v>2033</v>
      </c>
      <c r="B21" s="2">
        <f>B10/'Output-Calculation-sheet'!B9*'Output-Calculation-sheet'!B27</f>
        <v>16487.866124720214</v>
      </c>
      <c r="C21" s="2">
        <f>C10/'Output-Calculation-sheet'!C9*'Output-Calculation-sheet'!C27</f>
        <v>28315.153810743763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9543.4773662030821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6628.539125356866</v>
      </c>
      <c r="N21" s="2">
        <f>N10/'Output-Calculation-sheet'!N9*'Output-Calculation-sheet'!N27</f>
        <v>3627.0038214336837</v>
      </c>
      <c r="O21" s="2">
        <f>O10/'Output-Calculation-sheet'!O9*'Output-Calculation-sheet'!O27</f>
        <v>2825.1183142264795</v>
      </c>
      <c r="P21" s="2">
        <f>P10/'Output-Calculation-sheet'!P9*'Output-Calculation-sheet'!P27</f>
        <v>0</v>
      </c>
      <c r="Q21" s="2">
        <f>Q10/'Output-Calculation-sheet'!Q9*'Output-Calculation-sheet'!Q27</f>
        <v>247.38567795453523</v>
      </c>
      <c r="R21" s="2">
        <f>R10/'Output-Calculation-sheet'!R9*'Output-Calculation-sheet'!R27</f>
        <v>0</v>
      </c>
      <c r="S21" s="2">
        <f>S10/'Output-Calculation-sheet'!S9*'Output-Calculation-sheet'!S27</f>
        <v>1575.3451700223645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779.45941395587954</v>
      </c>
      <c r="Y21" s="2">
        <f>Y10/'Output-Calculation-sheet'!Y9*'Output-Calculation-sheet'!Y27</f>
        <v>0</v>
      </c>
      <c r="AA21" s="2">
        <f t="shared" si="0"/>
        <v>70.029348824616861</v>
      </c>
    </row>
    <row r="22" spans="1:27" x14ac:dyDescent="0.25">
      <c r="A22" s="2">
        <v>2034</v>
      </c>
      <c r="B22" s="2">
        <f>B11/'Output-Calculation-sheet'!B10*'Output-Calculation-sheet'!B28</f>
        <v>30450.193124955265</v>
      </c>
      <c r="C22" s="2">
        <f>C11/'Output-Calculation-sheet'!C10*'Output-Calculation-sheet'!C28</f>
        <v>29213.13692380891</v>
      </c>
      <c r="D22" s="2">
        <f>D11/'Output-Calculation-sheet'!D10*'Output-Calculation-sheet'!D28</f>
        <v>0</v>
      </c>
      <c r="E22" s="2">
        <f>E11/'Output-Calculation-sheet'!E10*'Output-Calculation-sheet'!E28</f>
        <v>1560.2212039813471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11147.677763145046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930.35373140495733</v>
      </c>
      <c r="M22" s="2">
        <f>M11/'Output-Calculation-sheet'!M10*'Output-Calculation-sheet'!M28</f>
        <v>8127.6370064853973</v>
      </c>
      <c r="N22" s="2">
        <f>N11/'Output-Calculation-sheet'!N10*'Output-Calculation-sheet'!N28</f>
        <v>4850.4777169974368</v>
      </c>
      <c r="O22" s="2">
        <f>O11/'Output-Calculation-sheet'!O10*'Output-Calculation-sheet'!O28</f>
        <v>2997.912771808305</v>
      </c>
      <c r="P22" s="2">
        <f>P11/'Output-Calculation-sheet'!P10*'Output-Calculation-sheet'!P28</f>
        <v>0</v>
      </c>
      <c r="Q22" s="2">
        <f>Q11/'Output-Calculation-sheet'!Q10*'Output-Calculation-sheet'!Q28</f>
        <v>1101.8767278752775</v>
      </c>
      <c r="R22" s="2">
        <f>R11/'Output-Calculation-sheet'!R10*'Output-Calculation-sheet'!R28</f>
        <v>0</v>
      </c>
      <c r="S22" s="2">
        <f>S11/'Output-Calculation-sheet'!S10*'Output-Calculation-sheet'!S28</f>
        <v>2474.4276607632924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816.15301607171557</v>
      </c>
      <c r="Y22" s="2">
        <f>Y11/'Output-Calculation-sheet'!Y10*'Output-Calculation-sheet'!Y28</f>
        <v>84.656979290390268</v>
      </c>
      <c r="AA22" s="2">
        <f t="shared" si="0"/>
        <v>93.754724626587347</v>
      </c>
    </row>
    <row r="23" spans="1:27" x14ac:dyDescent="0.25">
      <c r="A23" s="2">
        <v>2035</v>
      </c>
      <c r="B23" s="2">
        <f>B12/'Output-Calculation-sheet'!B11*'Output-Calculation-sheet'!B29</f>
        <v>34169.090685440533</v>
      </c>
      <c r="C23" s="2">
        <f>C12/'Output-Calculation-sheet'!C11*'Output-Calculation-sheet'!C29</f>
        <v>27908.887853250424</v>
      </c>
      <c r="D23" s="2">
        <f>D12/'Output-Calculation-sheet'!D11*'Output-Calculation-sheet'!D29</f>
        <v>0</v>
      </c>
      <c r="E23" s="2">
        <f>E12/'Output-Calculation-sheet'!E11*'Output-Calculation-sheet'!E29</f>
        <v>5268.0400593705681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10743.445190156628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1194.2221713484259</v>
      </c>
      <c r="M23" s="2">
        <f>M12/'Output-Calculation-sheet'!M11*'Output-Calculation-sheet'!M29</f>
        <v>7871.2737439350249</v>
      </c>
      <c r="N23" s="2">
        <f>N12/'Output-Calculation-sheet'!N11*'Output-Calculation-sheet'!N29</f>
        <v>4591.7530325906928</v>
      </c>
      <c r="O23" s="2">
        <f>O12/'Output-Calculation-sheet'!O11*'Output-Calculation-sheet'!O29</f>
        <v>3095.4060209875261</v>
      </c>
      <c r="P23" s="2">
        <f>P12/'Output-Calculation-sheet'!P11*'Output-Calculation-sheet'!P29</f>
        <v>560.79856036413867</v>
      </c>
      <c r="Q23" s="2">
        <f>Q12/'Output-Calculation-sheet'!Q11*'Output-Calculation-sheet'!Q29</f>
        <v>1258.986502699654</v>
      </c>
      <c r="R23" s="2">
        <f>R12/'Output-Calculation-sheet'!R11*'Output-Calculation-sheet'!R29</f>
        <v>0</v>
      </c>
      <c r="S23" s="2">
        <f>S12/'Output-Calculation-sheet'!S11*'Output-Calculation-sheet'!S29</f>
        <v>2457.9661802693527</v>
      </c>
      <c r="T23" s="2">
        <f>T12/'Output-Calculation-sheet'!T11*'Output-Calculation-sheet'!T29</f>
        <v>0</v>
      </c>
      <c r="U23" s="2">
        <f>U12/'Output-Calculation-sheet'!U11*'Output-Calculation-sheet'!U29</f>
        <v>107.18563354883244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779.77213521860017</v>
      </c>
      <c r="Y23" s="2">
        <f>Y12/'Output-Calculation-sheet'!Y11*'Output-Calculation-sheet'!Y29</f>
        <v>230.85609549189783</v>
      </c>
      <c r="AA23" s="2">
        <f t="shared" si="0"/>
        <v>100.23768386467233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14261.680737785053</v>
      </c>
      <c r="C27" s="2">
        <f>C5/'Output-Calculation-sheet'!C4*'Output-Calculation-sheet'!C13</f>
        <v>0</v>
      </c>
      <c r="D27" s="2">
        <f>D5/'Output-Calculation-sheet'!D4*'Output-Calculation-sheet'!D13</f>
        <v>3110.8254055143807</v>
      </c>
      <c r="E27" s="2">
        <f>E5/'Output-Calculation-sheet'!E4*'Output-Calculation-sheet'!E13</f>
        <v>3864.6376917599196</v>
      </c>
      <c r="F27" s="2">
        <f>F5/'Output-Calculation-sheet'!F4*'Output-Calculation-sheet'!F13</f>
        <v>1903.4310156892761</v>
      </c>
      <c r="G27" s="2">
        <f>G5/'Output-Calculation-sheet'!G4*'Output-Calculation-sheet'!G13</f>
        <v>1157.5265429337924</v>
      </c>
      <c r="H27" s="2">
        <f>H5/'Output-Calculation-sheet'!H4*'Output-Calculation-sheet'!H13</f>
        <v>0</v>
      </c>
      <c r="I27" s="2">
        <f>I5/'Output-Calculation-sheet'!I4*'Output-Calculation-sheet'!I13</f>
        <v>1086.1581215932222</v>
      </c>
      <c r="J27" s="2">
        <f>J5/'Output-Calculation-sheet'!J4*'Output-Calculation-sheet'!J13</f>
        <v>1175.9737986989992</v>
      </c>
      <c r="K27" s="2">
        <f>K5/'Output-Calculation-sheet'!K4*'Output-Calculation-sheet'!K13</f>
        <v>1118.7469854863941</v>
      </c>
      <c r="L27" s="2">
        <f>L5/'Output-Calculation-sheet'!L4*'Output-Calculation-sheet'!L13</f>
        <v>1250.4016579413092</v>
      </c>
      <c r="M27" s="2">
        <f>M5/'Output-Calculation-sheet'!M4*'Output-Calculation-sheet'!M13</f>
        <v>0</v>
      </c>
      <c r="N27" s="2">
        <f>N5/'Output-Calculation-sheet'!N4*'Output-Calculation-sheet'!N13</f>
        <v>624.33979744719238</v>
      </c>
      <c r="O27" s="2">
        <f>O5/'Output-Calculation-sheet'!O4*'Output-Calculation-sheet'!O13</f>
        <v>0</v>
      </c>
      <c r="P27" s="2">
        <f>P5/'Output-Calculation-sheet'!P4*'Output-Calculation-sheet'!P13</f>
        <v>1047.7660001092099</v>
      </c>
      <c r="Q27" s="2">
        <f>Q5/'Output-Calculation-sheet'!Q4*'Output-Calculation-sheet'!Q13</f>
        <v>1025.2290779256155</v>
      </c>
      <c r="R27" s="2">
        <f>R5/'Output-Calculation-sheet'!R4*'Output-Calculation-sheet'!R13</f>
        <v>896.77006170356617</v>
      </c>
      <c r="S27" s="2">
        <f>S5/'Output-Calculation-sheet'!S4*'Output-Calculation-sheet'!S13</f>
        <v>551.42373785685481</v>
      </c>
      <c r="T27" s="2">
        <f>T5/'Output-Calculation-sheet'!T4*'Output-Calculation-sheet'!T13</f>
        <v>349.97783838551828</v>
      </c>
      <c r="U27" s="2">
        <f>U5/'Output-Calculation-sheet'!U4*'Output-Calculation-sheet'!U13</f>
        <v>264.80870245618519</v>
      </c>
      <c r="V27" s="2">
        <f>V5/'Output-Calculation-sheet'!V4*'Output-Calculation-sheet'!V13</f>
        <v>364.25282153410535</v>
      </c>
      <c r="W27" s="2">
        <f>W5/'Output-Calculation-sheet'!W4*'Output-Calculation-sheet'!W13</f>
        <v>170.17280721746019</v>
      </c>
      <c r="X27" s="2">
        <f>X5/'Output-Calculation-sheet'!X4*'Output-Calculation-sheet'!X13</f>
        <v>0</v>
      </c>
      <c r="Y27" s="2">
        <f>Y5/'Output-Calculation-sheet'!Y4*'Output-Calculation-sheet'!Y13</f>
        <v>114.69878958380853</v>
      </c>
      <c r="AA27" s="2">
        <f t="shared" ref="AA27:AA34" si="1">SUM(B27:Y27)/1000</f>
        <v>34.338821591621866</v>
      </c>
    </row>
    <row r="28" spans="1:27" x14ac:dyDescent="0.25">
      <c r="A28" s="2">
        <v>2029</v>
      </c>
      <c r="B28" s="2">
        <f>B6/'Output-Calculation-sheet'!B5*'Output-Calculation-sheet'!B14</f>
        <v>19840.423132264703</v>
      </c>
      <c r="C28" s="2">
        <f>C6/'Output-Calculation-sheet'!C5*'Output-Calculation-sheet'!C14</f>
        <v>0</v>
      </c>
      <c r="D28" s="2">
        <f>D6/'Output-Calculation-sheet'!D5*'Output-Calculation-sheet'!D14</f>
        <v>4370.2297128142736</v>
      </c>
      <c r="E28" s="2">
        <f>E6/'Output-Calculation-sheet'!E5*'Output-Calculation-sheet'!E14</f>
        <v>5468.3661232021523</v>
      </c>
      <c r="F28" s="2">
        <f>F6/'Output-Calculation-sheet'!F5*'Output-Calculation-sheet'!F14</f>
        <v>2675.8631514636263</v>
      </c>
      <c r="G28" s="2">
        <f>G6/'Output-Calculation-sheet'!G5*'Output-Calculation-sheet'!G14</f>
        <v>1627.5285897679601</v>
      </c>
      <c r="H28" s="2">
        <f>H6/'Output-Calculation-sheet'!H5*'Output-Calculation-sheet'!H14</f>
        <v>0</v>
      </c>
      <c r="I28" s="2">
        <f>I6/'Output-Calculation-sheet'!I5*'Output-Calculation-sheet'!I14</f>
        <v>1528.7034373332658</v>
      </c>
      <c r="J28" s="2">
        <f>J6/'Output-Calculation-sheet'!J5*'Output-Calculation-sheet'!J14</f>
        <v>1655.263129623567</v>
      </c>
      <c r="K28" s="2">
        <f>K6/'Output-Calculation-sheet'!K5*'Output-Calculation-sheet'!K14</f>
        <v>1580.8107403465435</v>
      </c>
      <c r="L28" s="2">
        <f>L6/'Output-Calculation-sheet'!L5*'Output-Calculation-sheet'!L14</f>
        <v>1759.0582066648076</v>
      </c>
      <c r="M28" s="2">
        <f>M6/'Output-Calculation-sheet'!M5*'Output-Calculation-sheet'!M14</f>
        <v>0</v>
      </c>
      <c r="N28" s="2">
        <f>N6/'Output-Calculation-sheet'!N5*'Output-Calculation-sheet'!N14</f>
        <v>855.02200619098221</v>
      </c>
      <c r="O28" s="2">
        <f>O6/'Output-Calculation-sheet'!O5*'Output-Calculation-sheet'!O14</f>
        <v>0</v>
      </c>
      <c r="P28" s="2">
        <f>P6/'Output-Calculation-sheet'!P5*'Output-Calculation-sheet'!P14</f>
        <v>1487.3546802509461</v>
      </c>
      <c r="Q28" s="2">
        <f>Q6/'Output-Calculation-sheet'!Q5*'Output-Calculation-sheet'!Q14</f>
        <v>1464.5178216218967</v>
      </c>
      <c r="R28" s="2">
        <f>R6/'Output-Calculation-sheet'!R5*'Output-Calculation-sheet'!R14</f>
        <v>1263.7056438960719</v>
      </c>
      <c r="S28" s="2">
        <f>S6/'Output-Calculation-sheet'!S5*'Output-Calculation-sheet'!S14</f>
        <v>744.46209360146122</v>
      </c>
      <c r="T28" s="2">
        <f>T6/'Output-Calculation-sheet'!T5*'Output-Calculation-sheet'!T14</f>
        <v>492.83218747514269</v>
      </c>
      <c r="U28" s="2">
        <f>U6/'Output-Calculation-sheet'!U5*'Output-Calculation-sheet'!U14</f>
        <v>374.84191982281249</v>
      </c>
      <c r="V28" s="2">
        <f>V6/'Output-Calculation-sheet'!V5*'Output-Calculation-sheet'!V14</f>
        <v>504.91712085776254</v>
      </c>
      <c r="W28" s="2">
        <f>W6/'Output-Calculation-sheet'!W5*'Output-Calculation-sheet'!W14</f>
        <v>238.90371830362216</v>
      </c>
      <c r="X28" s="2">
        <f>X6/'Output-Calculation-sheet'!X5*'Output-Calculation-sheet'!X14</f>
        <v>0</v>
      </c>
      <c r="Y28" s="2">
        <f>Y6/'Output-Calculation-sheet'!Y5*'Output-Calculation-sheet'!Y14</f>
        <v>161.44868130797985</v>
      </c>
      <c r="AA28" s="2">
        <f t="shared" si="1"/>
        <v>48.094252096809562</v>
      </c>
    </row>
    <row r="29" spans="1:27" x14ac:dyDescent="0.25">
      <c r="A29" s="2">
        <v>2030</v>
      </c>
      <c r="B29" s="2">
        <f>B7/'Output-Calculation-sheet'!B6*'Output-Calculation-sheet'!B15</f>
        <v>25238.221015188385</v>
      </c>
      <c r="C29" s="2">
        <f>C7/'Output-Calculation-sheet'!C6*'Output-Calculation-sheet'!C15</f>
        <v>0</v>
      </c>
      <c r="D29" s="2">
        <f>D7/'Output-Calculation-sheet'!D6*'Output-Calculation-sheet'!D15</f>
        <v>5595.5848178690712</v>
      </c>
      <c r="E29" s="2">
        <f>E7/'Output-Calculation-sheet'!E6*'Output-Calculation-sheet'!E15</f>
        <v>7012.6481771308863</v>
      </c>
      <c r="F29" s="2">
        <f>F7/'Output-Calculation-sheet'!F6*'Output-Calculation-sheet'!F15</f>
        <v>3420.7072630273583</v>
      </c>
      <c r="G29" s="2">
        <f>G7/'Output-Calculation-sheet'!G6*'Output-Calculation-sheet'!G15</f>
        <v>2083.3846664252178</v>
      </c>
      <c r="H29" s="2">
        <f>H7/'Output-Calculation-sheet'!H6*'Output-Calculation-sheet'!H15</f>
        <v>0</v>
      </c>
      <c r="I29" s="2">
        <f>I7/'Output-Calculation-sheet'!I6*'Output-Calculation-sheet'!I15</f>
        <v>1959.0541572421791</v>
      </c>
      <c r="J29" s="2">
        <f>J7/'Output-Calculation-sheet'!J6*'Output-Calculation-sheet'!J15</f>
        <v>2118.4282884130107</v>
      </c>
      <c r="K29" s="2">
        <f>K7/'Output-Calculation-sheet'!K6*'Output-Calculation-sheet'!K15</f>
        <v>2033.3353957669638</v>
      </c>
      <c r="L29" s="2">
        <f>L7/'Output-Calculation-sheet'!L6*'Output-Calculation-sheet'!L15</f>
        <v>2251.3371125092513</v>
      </c>
      <c r="M29" s="2">
        <f>M7/'Output-Calculation-sheet'!M6*'Output-Calculation-sheet'!M15</f>
        <v>0</v>
      </c>
      <c r="N29" s="2">
        <f>N7/'Output-Calculation-sheet'!N6*'Output-Calculation-sheet'!N15</f>
        <v>1084.5600537822866</v>
      </c>
      <c r="O29" s="2">
        <f>O7/'Output-Calculation-sheet'!O6*'Output-Calculation-sheet'!O15</f>
        <v>0</v>
      </c>
      <c r="P29" s="2">
        <f>P7/'Output-Calculation-sheet'!P6*'Output-Calculation-sheet'!P15</f>
        <v>1922.9290576256456</v>
      </c>
      <c r="Q29" s="2">
        <f>Q7/'Output-Calculation-sheet'!Q6*'Output-Calculation-sheet'!Q15</f>
        <v>1887.7378044763277</v>
      </c>
      <c r="R29" s="2">
        <f>R7/'Output-Calculation-sheet'!R6*'Output-Calculation-sheet'!R15</f>
        <v>1658.3744722790489</v>
      </c>
      <c r="S29" s="2">
        <f>S7/'Output-Calculation-sheet'!S6*'Output-Calculation-sheet'!S15</f>
        <v>927.04711259778333</v>
      </c>
      <c r="T29" s="2">
        <f>T7/'Output-Calculation-sheet'!T6*'Output-Calculation-sheet'!T15</f>
        <v>633.21874799381078</v>
      </c>
      <c r="U29" s="2">
        <f>U7/'Output-Calculation-sheet'!U6*'Output-Calculation-sheet'!U15</f>
        <v>482.65787441763473</v>
      </c>
      <c r="V29" s="2">
        <f>V7/'Output-Calculation-sheet'!V6*'Output-Calculation-sheet'!V15</f>
        <v>634.73146574247255</v>
      </c>
      <c r="W29" s="2">
        <f>W7/'Output-Calculation-sheet'!W6*'Output-Calculation-sheet'!W15</f>
        <v>305.20024749547622</v>
      </c>
      <c r="X29" s="2">
        <f>X7/'Output-Calculation-sheet'!X6*'Output-Calculation-sheet'!X15</f>
        <v>0</v>
      </c>
      <c r="Y29" s="2">
        <f>Y7/'Output-Calculation-sheet'!Y6*'Output-Calculation-sheet'!Y15</f>
        <v>207.87713676229851</v>
      </c>
      <c r="AA29" s="2">
        <f t="shared" si="1"/>
        <v>61.457034866745119</v>
      </c>
    </row>
    <row r="30" spans="1:27" x14ac:dyDescent="0.25">
      <c r="A30" s="2">
        <v>2031</v>
      </c>
      <c r="B30" s="2">
        <f>B8/'Output-Calculation-sheet'!B7*'Output-Calculation-sheet'!B16</f>
        <v>29391.29142441721</v>
      </c>
      <c r="C30" s="2">
        <f>C8/'Output-Calculation-sheet'!C7*'Output-Calculation-sheet'!C16</f>
        <v>0</v>
      </c>
      <c r="D30" s="2">
        <f>D8/'Output-Calculation-sheet'!D7*'Output-Calculation-sheet'!D16</f>
        <v>6621.5746076024843</v>
      </c>
      <c r="E30" s="2">
        <f>E8/'Output-Calculation-sheet'!E7*'Output-Calculation-sheet'!E16</f>
        <v>8297.890752402207</v>
      </c>
      <c r="F30" s="2">
        <f>F8/'Output-Calculation-sheet'!F7*'Output-Calculation-sheet'!F16</f>
        <v>4052.689075240753</v>
      </c>
      <c r="G30" s="2">
        <f>G8/'Output-Calculation-sheet'!G7*'Output-Calculation-sheet'!G16</f>
        <v>2469.65609736851</v>
      </c>
      <c r="H30" s="2">
        <f>H8/'Output-Calculation-sheet'!H7*'Output-Calculation-sheet'!H16</f>
        <v>0</v>
      </c>
      <c r="I30" s="2">
        <f>I8/'Output-Calculation-sheet'!I7*'Output-Calculation-sheet'!I16</f>
        <v>2324.8764074169521</v>
      </c>
      <c r="J30" s="2">
        <f>J8/'Output-Calculation-sheet'!J7*'Output-Calculation-sheet'!J16</f>
        <v>2492.1669950532687</v>
      </c>
      <c r="K30" s="2">
        <f>K8/'Output-Calculation-sheet'!K7*'Output-Calculation-sheet'!K16</f>
        <v>2412.1375160133002</v>
      </c>
      <c r="L30" s="2">
        <f>L8/'Output-Calculation-sheet'!L7*'Output-Calculation-sheet'!L16</f>
        <v>2666.234432240597</v>
      </c>
      <c r="M30" s="2">
        <f>M8/'Output-Calculation-sheet'!M7*'Output-Calculation-sheet'!M16</f>
        <v>0</v>
      </c>
      <c r="N30" s="2">
        <f>N8/'Output-Calculation-sheet'!N7*'Output-Calculation-sheet'!N16</f>
        <v>1195.6108385507039</v>
      </c>
      <c r="O30" s="2">
        <f>O8/'Output-Calculation-sheet'!O7*'Output-Calculation-sheet'!O16</f>
        <v>0</v>
      </c>
      <c r="P30" s="2">
        <f>P8/'Output-Calculation-sheet'!P7*'Output-Calculation-sheet'!P16</f>
        <v>2282.4289448077066</v>
      </c>
      <c r="Q30" s="2">
        <f>Q8/'Output-Calculation-sheet'!Q7*'Output-Calculation-sheet'!Q16</f>
        <v>2239.1758701534131</v>
      </c>
      <c r="R30" s="2">
        <f>R8/'Output-Calculation-sheet'!R7*'Output-Calculation-sheet'!R16</f>
        <v>1987.0969624014238</v>
      </c>
      <c r="S30" s="2">
        <f>S8/'Output-Calculation-sheet'!S7*'Output-Calculation-sheet'!S16</f>
        <v>1052.429780442985</v>
      </c>
      <c r="T30" s="2">
        <f>T8/'Output-Calculation-sheet'!T7*'Output-Calculation-sheet'!T16</f>
        <v>750.55610828254578</v>
      </c>
      <c r="U30" s="2">
        <f>U8/'Output-Calculation-sheet'!U7*'Output-Calculation-sheet'!U16</f>
        <v>579.13108250998255</v>
      </c>
      <c r="V30" s="2">
        <f>V8/'Output-Calculation-sheet'!V7*'Output-Calculation-sheet'!V16</f>
        <v>749.85894335840976</v>
      </c>
      <c r="W30" s="2">
        <f>W8/'Output-Calculation-sheet'!W7*'Output-Calculation-sheet'!W16</f>
        <v>361.04175484999627</v>
      </c>
      <c r="X30" s="2">
        <f>X8/'Output-Calculation-sheet'!X7*'Output-Calculation-sheet'!X16</f>
        <v>0</v>
      </c>
      <c r="Y30" s="2">
        <f>Y8/'Output-Calculation-sheet'!Y7*'Output-Calculation-sheet'!Y16</f>
        <v>246.23834798081566</v>
      </c>
      <c r="AA30" s="2">
        <f t="shared" si="1"/>
        <v>72.172085941093272</v>
      </c>
    </row>
    <row r="31" spans="1:27" x14ac:dyDescent="0.25">
      <c r="A31" s="2">
        <v>2032</v>
      </c>
      <c r="B31" s="2">
        <f>B9/'Output-Calculation-sheet'!B8*'Output-Calculation-sheet'!B17</f>
        <v>31659.776275743508</v>
      </c>
      <c r="C31" s="2">
        <f>C9/'Output-Calculation-sheet'!C8*'Output-Calculation-sheet'!C17</f>
        <v>0</v>
      </c>
      <c r="D31" s="2">
        <f>D9/'Output-Calculation-sheet'!D8*'Output-Calculation-sheet'!D17</f>
        <v>7246.2694548777818</v>
      </c>
      <c r="E31" s="2">
        <f>E9/'Output-Calculation-sheet'!E8*'Output-Calculation-sheet'!E17</f>
        <v>9102.2717249352754</v>
      </c>
      <c r="F31" s="2">
        <f>F9/'Output-Calculation-sheet'!F8*'Output-Calculation-sheet'!F17</f>
        <v>4441.1724925827602</v>
      </c>
      <c r="G31" s="2">
        <f>G9/'Output-Calculation-sheet'!G8*'Output-Calculation-sheet'!G17</f>
        <v>2703.4604569087705</v>
      </c>
      <c r="H31" s="2">
        <f>H9/'Output-Calculation-sheet'!H8*'Output-Calculation-sheet'!H17</f>
        <v>0</v>
      </c>
      <c r="I31" s="2">
        <f>I9/'Output-Calculation-sheet'!I8*'Output-Calculation-sheet'!I17</f>
        <v>2543.7009185774396</v>
      </c>
      <c r="J31" s="2">
        <f>J9/'Output-Calculation-sheet'!J8*'Output-Calculation-sheet'!J17</f>
        <v>2728.9544126793207</v>
      </c>
      <c r="K31" s="2">
        <f>K9/'Output-Calculation-sheet'!K8*'Output-Calculation-sheet'!K17</f>
        <v>2639.2821556920512</v>
      </c>
      <c r="L31" s="2">
        <f>L9/'Output-Calculation-sheet'!L8*'Output-Calculation-sheet'!L17</f>
        <v>2916.3124294475833</v>
      </c>
      <c r="M31" s="2">
        <f>M9/'Output-Calculation-sheet'!M8*'Output-Calculation-sheet'!M17</f>
        <v>0</v>
      </c>
      <c r="N31" s="2">
        <f>N9/'Output-Calculation-sheet'!N8*'Output-Calculation-sheet'!N17</f>
        <v>1229.6280638143667</v>
      </c>
      <c r="O31" s="2">
        <f>O9/'Output-Calculation-sheet'!O8*'Output-Calculation-sheet'!O17</f>
        <v>0</v>
      </c>
      <c r="P31" s="2">
        <f>P9/'Output-Calculation-sheet'!P8*'Output-Calculation-sheet'!P17</f>
        <v>2512.069675718591</v>
      </c>
      <c r="Q31" s="2">
        <f>Q9/'Output-Calculation-sheet'!Q8*'Output-Calculation-sheet'!Q17</f>
        <v>2456.6954095888041</v>
      </c>
      <c r="R31" s="2">
        <f>R9/'Output-Calculation-sheet'!R8*'Output-Calculation-sheet'!R17</f>
        <v>2198.6703724682761</v>
      </c>
      <c r="S31" s="2">
        <f>S9/'Output-Calculation-sheet'!S8*'Output-Calculation-sheet'!S17</f>
        <v>1100.6103296369936</v>
      </c>
      <c r="T31" s="2">
        <f>T9/'Output-Calculation-sheet'!T8*'Output-Calculation-sheet'!T17</f>
        <v>823.67226545627375</v>
      </c>
      <c r="U31" s="2">
        <f>U9/'Output-Calculation-sheet'!U8*'Output-Calculation-sheet'!U17</f>
        <v>637.76178221827968</v>
      </c>
      <c r="V31" s="2">
        <f>V9/'Output-Calculation-sheet'!V8*'Output-Calculation-sheet'!V17</f>
        <v>811.01637290571387</v>
      </c>
      <c r="W31" s="2">
        <f>W9/'Output-Calculation-sheet'!W8*'Output-Calculation-sheet'!W17</f>
        <v>395.28458367448832</v>
      </c>
      <c r="X31" s="2">
        <f>X9/'Output-Calculation-sheet'!X8*'Output-Calculation-sheet'!X17</f>
        <v>0</v>
      </c>
      <c r="Y31" s="2">
        <f>Y9/'Output-Calculation-sheet'!Y8*'Output-Calculation-sheet'!Y17</f>
        <v>269.47034959704922</v>
      </c>
      <c r="AA31" s="2">
        <f t="shared" si="1"/>
        <v>78.416079526523319</v>
      </c>
    </row>
    <row r="32" spans="1:27" x14ac:dyDescent="0.25">
      <c r="A32" s="2">
        <v>2033</v>
      </c>
      <c r="B32" s="2">
        <f>B10/'Output-Calculation-sheet'!B9*'Output-Calculation-sheet'!B18</f>
        <v>33472.405485677984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2039.692221884105</v>
      </c>
      <c r="O32" s="2">
        <f>O10/'Output-Calculation-sheet'!O9*'Output-Calculation-sheet'!O18</f>
        <v>0</v>
      </c>
      <c r="P32" s="2">
        <f>P10/'Output-Calculation-sheet'!P9*'Output-Calculation-sheet'!P18</f>
        <v>3283.8690997385052</v>
      </c>
      <c r="Q32" s="2">
        <f>Q10/'Output-Calculation-sheet'!Q9*'Output-Calculation-sheet'!Q18</f>
        <v>3574.5835835716807</v>
      </c>
      <c r="R32" s="2">
        <f>R10/'Output-Calculation-sheet'!R9*'Output-Calculation-sheet'!R18</f>
        <v>2357.988567188263</v>
      </c>
      <c r="S32" s="2">
        <f>S10/'Output-Calculation-sheet'!S9*'Output-Calculation-sheet'!S18</f>
        <v>1547.3258069797826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761.23032666185736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80.445365495485575</v>
      </c>
    </row>
    <row r="33" spans="1:27" x14ac:dyDescent="0.25">
      <c r="A33" s="2">
        <v>2034</v>
      </c>
      <c r="B33" s="2">
        <f>B11/'Output-Calculation-sheet'!B10*'Output-Calculation-sheet'!B19</f>
        <v>30713.853010332328</v>
      </c>
      <c r="C33" s="2">
        <f>C11/'Output-Calculation-sheet'!C10*'Output-Calculation-sheet'!C19</f>
        <v>0</v>
      </c>
      <c r="D33" s="2">
        <f>D11/'Output-Calculation-sheet'!D10*'Output-Calculation-sheet'!D19</f>
        <v>9161.6050092169007</v>
      </c>
      <c r="E33" s="2">
        <f>E11/'Output-Calculation-sheet'!E10*'Output-Calculation-sheet'!E19</f>
        <v>11347.260420987874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3118.5236965198856</v>
      </c>
      <c r="H33" s="2">
        <f>H11/'Output-Calculation-sheet'!H10*'Output-Calculation-sheet'!H19</f>
        <v>0</v>
      </c>
      <c r="I33" s="2">
        <f>I11/'Output-Calculation-sheet'!I10*'Output-Calculation-sheet'!I19</f>
        <v>3402.7466711808456</v>
      </c>
      <c r="J33" s="2">
        <f>J11/'Output-Calculation-sheet'!J10*'Output-Calculation-sheet'!J19</f>
        <v>2877.2415853579046</v>
      </c>
      <c r="K33" s="2">
        <f>K11/'Output-Calculation-sheet'!K10*'Output-Calculation-sheet'!K19</f>
        <v>3992.5879019280269</v>
      </c>
      <c r="L33" s="2">
        <f>L11/'Output-Calculation-sheet'!L10*'Output-Calculation-sheet'!L19</f>
        <v>3246.9250949780553</v>
      </c>
      <c r="M33" s="2">
        <f>M11/'Output-Calculation-sheet'!M10*'Output-Calculation-sheet'!M19</f>
        <v>0</v>
      </c>
      <c r="N33" s="2">
        <f>N11/'Output-Calculation-sheet'!N10*'Output-Calculation-sheet'!N19</f>
        <v>1835.9981726877827</v>
      </c>
      <c r="O33" s="2">
        <f>O11/'Output-Calculation-sheet'!O10*'Output-Calculation-sheet'!O19</f>
        <v>0</v>
      </c>
      <c r="P33" s="2">
        <f>P11/'Output-Calculation-sheet'!P10*'Output-Calculation-sheet'!P19</f>
        <v>4039.79465849904</v>
      </c>
      <c r="Q33" s="2">
        <f>Q11/'Output-Calculation-sheet'!Q10*'Output-Calculation-sheet'!Q19</f>
        <v>3326.7284898377693</v>
      </c>
      <c r="R33" s="2">
        <f>R11/'Output-Calculation-sheet'!R10*'Output-Calculation-sheet'!R19</f>
        <v>2884.348272266267</v>
      </c>
      <c r="S33" s="2">
        <f>S11/'Output-Calculation-sheet'!S10*'Output-Calculation-sheet'!S19</f>
        <v>1344.5816052154439</v>
      </c>
      <c r="T33" s="2">
        <f>T11/'Output-Calculation-sheet'!T10*'Output-Calculation-sheet'!T19</f>
        <v>846.35139667522299</v>
      </c>
      <c r="U33" s="2">
        <f>U11/'Output-Calculation-sheet'!U10*'Output-Calculation-sheet'!U19</f>
        <v>974.07754989540683</v>
      </c>
      <c r="V33" s="2">
        <f>V11/'Output-Calculation-sheet'!V10*'Output-Calculation-sheet'!V19</f>
        <v>663.70467739511082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119.67759622544442</v>
      </c>
      <c r="Y33" s="2">
        <f>Y11/'Output-Calculation-sheet'!Y10*'Output-Calculation-sheet'!Y19</f>
        <v>372.49070887771717</v>
      </c>
      <c r="AA33" s="2">
        <f t="shared" si="1"/>
        <v>89.889326451847822</v>
      </c>
    </row>
    <row r="34" spans="1:27" x14ac:dyDescent="0.25">
      <c r="A34" s="2">
        <v>2035</v>
      </c>
      <c r="B34" s="2">
        <f>B12/'Output-Calculation-sheet'!B11*'Output-Calculation-sheet'!B20</f>
        <v>27194.892250561581</v>
      </c>
      <c r="C34" s="2">
        <f>C12/'Output-Calculation-sheet'!C11*'Output-Calculation-sheet'!C20</f>
        <v>0</v>
      </c>
      <c r="D34" s="2">
        <f>D12/'Output-Calculation-sheet'!D11*'Output-Calculation-sheet'!D20</f>
        <v>8534.5865379877068</v>
      </c>
      <c r="E34" s="2">
        <f>E12/'Output-Calculation-sheet'!E11*'Output-Calculation-sheet'!E20</f>
        <v>9325.2899015911826</v>
      </c>
      <c r="F34" s="2">
        <f>F12/'Output-Calculation-sheet'!F11*'Output-Calculation-sheet'!F20</f>
        <v>5875.3699151786113</v>
      </c>
      <c r="G34" s="2">
        <f>G12/'Output-Calculation-sheet'!G11*'Output-Calculation-sheet'!G20</f>
        <v>3139.6232460611927</v>
      </c>
      <c r="H34" s="2">
        <f>H12/'Output-Calculation-sheet'!H11*'Output-Calculation-sheet'!H20</f>
        <v>0</v>
      </c>
      <c r="I34" s="2">
        <f>I12/'Output-Calculation-sheet'!I11*'Output-Calculation-sheet'!I20</f>
        <v>3412.3429491500756</v>
      </c>
      <c r="J34" s="2">
        <f>J12/'Output-Calculation-sheet'!J11*'Output-Calculation-sheet'!J20</f>
        <v>2929.4993684847891</v>
      </c>
      <c r="K34" s="2">
        <f>K12/'Output-Calculation-sheet'!K11*'Output-Calculation-sheet'!K20</f>
        <v>3851.5783998540992</v>
      </c>
      <c r="L34" s="2">
        <f>L12/'Output-Calculation-sheet'!L11*'Output-Calculation-sheet'!L20</f>
        <v>3043.9641015313114</v>
      </c>
      <c r="M34" s="2">
        <f>M12/'Output-Calculation-sheet'!M11*'Output-Calculation-sheet'!M20</f>
        <v>0</v>
      </c>
      <c r="N34" s="2">
        <f>N12/'Output-Calculation-sheet'!N11*'Output-Calculation-sheet'!N20</f>
        <v>1693.9665230920841</v>
      </c>
      <c r="O34" s="2">
        <f>O12/'Output-Calculation-sheet'!O11*'Output-Calculation-sheet'!O20</f>
        <v>0</v>
      </c>
      <c r="P34" s="2">
        <f>P12/'Output-Calculation-sheet'!P11*'Output-Calculation-sheet'!P20</f>
        <v>3785.7057494567621</v>
      </c>
      <c r="Q34" s="2">
        <f>Q12/'Output-Calculation-sheet'!Q11*'Output-Calculation-sheet'!Q20</f>
        <v>2995.5169474572835</v>
      </c>
      <c r="R34" s="2">
        <f>R12/'Output-Calculation-sheet'!R11*'Output-Calculation-sheet'!R20</f>
        <v>3006.6006227921143</v>
      </c>
      <c r="S34" s="2">
        <f>S12/'Output-Calculation-sheet'!S11*'Output-Calculation-sheet'!S20</f>
        <v>1148.4484843104065</v>
      </c>
      <c r="T34" s="2">
        <f>T12/'Output-Calculation-sheet'!T11*'Output-Calculation-sheet'!T20</f>
        <v>944.58103954857904</v>
      </c>
      <c r="U34" s="2">
        <f>U12/'Output-Calculation-sheet'!U11*'Output-Calculation-sheet'!U20</f>
        <v>861.7838257003059</v>
      </c>
      <c r="V34" s="2">
        <f>V12/'Output-Calculation-sheet'!V11*'Output-Calculation-sheet'!V20</f>
        <v>791.63677636364719</v>
      </c>
      <c r="W34" s="2">
        <f>W12/'Output-Calculation-sheet'!W11*'Output-Calculation-sheet'!W20</f>
        <v>509.31114669333016</v>
      </c>
      <c r="X34" s="2">
        <f>X12/'Output-Calculation-sheet'!X11*'Output-Calculation-sheet'!X20</f>
        <v>102.93369896158141</v>
      </c>
      <c r="Y34" s="2">
        <f>Y12/'Output-Calculation-sheet'!Y11*'Output-Calculation-sheet'!Y20</f>
        <v>285.48813840190752</v>
      </c>
      <c r="AA34" s="2">
        <f t="shared" si="1"/>
        <v>83.433119623178541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 t="shared" ref="AA38:AA45" si="2"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si="2"/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1.3409915311346294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0.78155573631775055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2.1225472674523802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2.6008806351784264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0.40031603078156325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0.27545660234425146</v>
      </c>
      <c r="N44" s="2">
        <f>N11/'Output-Calculation-sheet'!N10*'Output-Calculation-sheet'!N37*0.0114</f>
        <v>0</v>
      </c>
      <c r="O44" s="2">
        <f>O11/'Output-Calculation-sheet'!O10*'Output-Calculation-sheet'!O37*0.0114</f>
        <v>1.010562275602906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0.23719989232354863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3.0218268333076399E-2</v>
      </c>
      <c r="Y44" s="2">
        <f>Y11/'Output-Calculation-sheet'!Y10*'Output-Calculation-sheet'!Y37*0.0114</f>
        <v>0</v>
      </c>
      <c r="AA44" s="2">
        <f t="shared" si="2"/>
        <v>4.5546337045637717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2.4128172537182899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0.93749096423421041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2.8033258514585348E-2</v>
      </c>
      <c r="Y45" s="2">
        <f>Y12/'Output-Calculation-sheet'!Y11*'Output-Calculation-sheet'!Y38*0.0114</f>
        <v>2.7052614419864059E-2</v>
      </c>
      <c r="AA45" s="2">
        <f t="shared" si="2"/>
        <v>12.021415444700029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68.003077506172787</v>
      </c>
      <c r="U49" s="2">
        <f>U5/'Output-Calculation-sheet'!U4*'Output-Calculation-sheet'!U40</f>
        <v>0</v>
      </c>
      <c r="V49" s="2">
        <f>V5/'Output-Calculation-sheet'!V4*'Output-Calculation-sheet'!V40</f>
        <v>342.00644247272919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 t="shared" ref="AA49:AA56" si="3">SUM(B49:Y49)/1000</f>
        <v>0.41000951997890195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175.20649272243631</v>
      </c>
      <c r="U50" s="2">
        <f>U6/'Output-Calculation-sheet'!U5*'Output-Calculation-sheet'!U41</f>
        <v>0</v>
      </c>
      <c r="V50" s="2">
        <f>V6/'Output-Calculation-sheet'!V5*'Output-Calculation-sheet'!V41</f>
        <v>533.46042917851037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si="3"/>
        <v>0.70866692190094671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389.67091574992338</v>
      </c>
      <c r="S51" s="2">
        <f>S7/'Output-Calculation-sheet'!S6*'Output-Calculation-sheet'!S42</f>
        <v>0</v>
      </c>
      <c r="T51" s="2">
        <f>T7/'Output-Calculation-sheet'!T6*'Output-Calculation-sheet'!T42</f>
        <v>396.45250595347494</v>
      </c>
      <c r="U51" s="2">
        <f>U7/'Output-Calculation-sheet'!U6*'Output-Calculation-sheet'!U42</f>
        <v>0</v>
      </c>
      <c r="V51" s="2">
        <f>V7/'Output-Calculation-sheet'!V6*'Output-Calculation-sheet'!V42</f>
        <v>765.32392318183122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1.5514473448852295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167.95125997092813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149.50191334348756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650.10292830961475</v>
      </c>
      <c r="S52" s="2">
        <f>S8/'Output-Calculation-sheet'!S7*'Output-Calculation-sheet'!S43</f>
        <v>0</v>
      </c>
      <c r="T52" s="2">
        <f>T8/'Output-Calculation-sheet'!T7*'Output-Calculation-sheet'!T43</f>
        <v>523.47435003353769</v>
      </c>
      <c r="U52" s="2">
        <f>U8/'Output-Calculation-sheet'!U7*'Output-Calculation-sheet'!U43</f>
        <v>55.366260278201004</v>
      </c>
      <c r="V52" s="2">
        <f>V8/'Output-Calculation-sheet'!V7*'Output-Calculation-sheet'!V43</f>
        <v>943.97657946281925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2.4903732913985888</v>
      </c>
    </row>
    <row r="53" spans="1:27" x14ac:dyDescent="0.25">
      <c r="A53" s="2">
        <v>2032</v>
      </c>
      <c r="B53" s="2">
        <f>B9/'Output-Calculation-sheet'!B8*'Output-Calculation-sheet'!B44</f>
        <v>1940.9779309215116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365.92093459871558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293.15226261460094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916.49452791507974</v>
      </c>
      <c r="S53" s="2">
        <f>S9/'Output-Calculation-sheet'!S8*'Output-Calculation-sheet'!S44</f>
        <v>0</v>
      </c>
      <c r="T53" s="2">
        <f>T9/'Output-Calculation-sheet'!T8*'Output-Calculation-sheet'!T44</f>
        <v>631.90462429166337</v>
      </c>
      <c r="U53" s="2">
        <f>U9/'Output-Calculation-sheet'!U8*'Output-Calculation-sheet'!U44</f>
        <v>107.22514885035071</v>
      </c>
      <c r="V53" s="2">
        <f>V9/'Output-Calculation-sheet'!V8*'Output-Calculation-sheet'!V44</f>
        <v>1059.3415301262949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5.3150169593182168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72695.856687824649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0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944.05635993057672</v>
      </c>
      <c r="R54" s="2">
        <f>R10/'Output-Calculation-sheet'!R9*'Output-Calculation-sheet'!R45</f>
        <v>1574.5314874611443</v>
      </c>
      <c r="S54" s="2">
        <f>S10/'Output-Calculation-sheet'!S9*'Output-Calculation-sheet'!S45</f>
        <v>3762.1188854769448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568.19472574087808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163.52158860832461</v>
      </c>
    </row>
    <row r="55" spans="1:27" x14ac:dyDescent="0.25">
      <c r="A55" s="2">
        <v>2034</v>
      </c>
      <c r="B55" s="2">
        <f>B11/'Output-Calculation-sheet'!B10*'Output-Calculation-sheet'!B46</f>
        <v>87486.051301048341</v>
      </c>
      <c r="C55" s="2">
        <f>C11/'Output-Calculation-sheet'!C10*'Output-Calculation-sheet'!C46</f>
        <v>71980.512315683649</v>
      </c>
      <c r="D55" s="2">
        <f>D11/'Output-Calculation-sheet'!D10*'Output-Calculation-sheet'!D46</f>
        <v>8084.0068906881679</v>
      </c>
      <c r="E55" s="2">
        <f>E11/'Output-Calculation-sheet'!E10*'Output-Calculation-sheet'!E46</f>
        <v>9958.1752776244102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25950.311118208352</v>
      </c>
      <c r="I55" s="2">
        <f>I11/'Output-Calculation-sheet'!I10*'Output-Calculation-sheet'!I46</f>
        <v>1956.2198805259395</v>
      </c>
      <c r="J55" s="2">
        <f>J11/'Output-Calculation-sheet'!J10*'Output-Calculation-sheet'!J46</f>
        <v>1419.7446423208232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1401.4037528352274</v>
      </c>
      <c r="M55" s="2">
        <f>M11/'Output-Calculation-sheet'!M10*'Output-Calculation-sheet'!M46</f>
        <v>18339.610629762006</v>
      </c>
      <c r="N55" s="2">
        <f>N11/'Output-Calculation-sheet'!N10*'Output-Calculation-sheet'!N46</f>
        <v>13987.698047019232</v>
      </c>
      <c r="O55" s="2">
        <f>O11/'Output-Calculation-sheet'!O10*'Output-Calculation-sheet'!O46</f>
        <v>310.260347772822</v>
      </c>
      <c r="P55" s="2">
        <f>P11/'Output-Calculation-sheet'!P10*'Output-Calculation-sheet'!P46</f>
        <v>5199.5597520556566</v>
      </c>
      <c r="Q55" s="2">
        <f>Q11/'Output-Calculation-sheet'!Q10*'Output-Calculation-sheet'!Q46</f>
        <v>3058.6301904878637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6874.695865483438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1593.2896602186211</v>
      </c>
      <c r="V55" s="2">
        <f>V11/'Output-Calculation-sheet'!V10*'Output-Calculation-sheet'!V46</f>
        <v>644.99968648698825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1876.713507001587</v>
      </c>
      <c r="Y55" s="2">
        <f>Y11/'Output-Calculation-sheet'!Y10*'Output-Calculation-sheet'!Y46</f>
        <v>488.57782276671827</v>
      </c>
      <c r="AA55" s="2">
        <f t="shared" si="3"/>
        <v>273.56320895777753</v>
      </c>
    </row>
    <row r="56" spans="1:27" x14ac:dyDescent="0.25">
      <c r="A56" s="2">
        <v>2035</v>
      </c>
      <c r="B56" s="2">
        <f>B12/'Output-Calculation-sheet'!B11*'Output-Calculation-sheet'!B47</f>
        <v>103233.92293068682</v>
      </c>
      <c r="C56" s="2">
        <f>C12/'Output-Calculation-sheet'!C11*'Output-Calculation-sheet'!C47</f>
        <v>67834.028931290522</v>
      </c>
      <c r="D56" s="2">
        <f>D12/'Output-Calculation-sheet'!D11*'Output-Calculation-sheet'!D47</f>
        <v>8249.4191180215512</v>
      </c>
      <c r="E56" s="2">
        <f>E12/'Output-Calculation-sheet'!E11*'Output-Calculation-sheet'!E47</f>
        <v>23169.810333105837</v>
      </c>
      <c r="F56" s="2">
        <f>F12/'Output-Calculation-sheet'!F11*'Output-Calculation-sheet'!F47</f>
        <v>2858.2171496259357</v>
      </c>
      <c r="G56" s="2">
        <f>G12/'Output-Calculation-sheet'!G11*'Output-Calculation-sheet'!G47</f>
        <v>6456.5321027778264</v>
      </c>
      <c r="H56" s="2">
        <f>H12/'Output-Calculation-sheet'!H11*'Output-Calculation-sheet'!H47</f>
        <v>24660.280869965609</v>
      </c>
      <c r="I56" s="2">
        <f>I12/'Output-Calculation-sheet'!I11*'Output-Calculation-sheet'!I47</f>
        <v>3266.5866432800162</v>
      </c>
      <c r="J56" s="2">
        <f>J12/'Output-Calculation-sheet'!J11*'Output-Calculation-sheet'!J47</f>
        <v>2963.4442756421445</v>
      </c>
      <c r="K56" s="2">
        <f>K12/'Output-Calculation-sheet'!K11*'Output-Calculation-sheet'!K47</f>
        <v>4280.7206444613494</v>
      </c>
      <c r="L56" s="2">
        <f>L12/'Output-Calculation-sheet'!L11*'Output-Calculation-sheet'!L47</f>
        <v>2363.7666191924827</v>
      </c>
      <c r="M56" s="2">
        <f>M12/'Output-Calculation-sheet'!M11*'Output-Calculation-sheet'!M47</f>
        <v>17192.843404807532</v>
      </c>
      <c r="N56" s="2">
        <f>N12/'Output-Calculation-sheet'!N11*'Output-Calculation-sheet'!N47</f>
        <v>13130.498735373678</v>
      </c>
      <c r="O56" s="2">
        <f>O12/'Output-Calculation-sheet'!O11*'Output-Calculation-sheet'!O47</f>
        <v>1233.5407424134346</v>
      </c>
      <c r="P56" s="2">
        <f>P12/'Output-Calculation-sheet'!P11*'Output-Calculation-sheet'!P47</f>
        <v>6818.1577165560893</v>
      </c>
      <c r="Q56" s="2">
        <f>Q12/'Output-Calculation-sheet'!Q11*'Output-Calculation-sheet'!Q47</f>
        <v>3455.1481660621557</v>
      </c>
      <c r="R56" s="2">
        <f>R12/'Output-Calculation-sheet'!R11*'Output-Calculation-sheet'!R47</f>
        <v>5034.3543165656019</v>
      </c>
      <c r="S56" s="2">
        <f>S12/'Output-Calculation-sheet'!S11*'Output-Calculation-sheet'!S47</f>
        <v>6668.068351139178</v>
      </c>
      <c r="T56" s="2">
        <f>T12/'Output-Calculation-sheet'!T11*'Output-Calculation-sheet'!T47</f>
        <v>1763.387905590015</v>
      </c>
      <c r="U56" s="2">
        <f>U12/'Output-Calculation-sheet'!U11*'Output-Calculation-sheet'!U47</f>
        <v>1687.4777977694835</v>
      </c>
      <c r="V56" s="2">
        <f>V12/'Output-Calculation-sheet'!V11*'Output-Calculation-sheet'!V47</f>
        <v>1177.7270441825356</v>
      </c>
      <c r="W56" s="2">
        <f>W12/'Output-Calculation-sheet'!W11*'Output-Calculation-sheet'!W47</f>
        <v>670.28692582405745</v>
      </c>
      <c r="X56" s="2">
        <f>X12/'Output-Calculation-sheet'!X11*'Output-Calculation-sheet'!X47</f>
        <v>1775.4397059237388</v>
      </c>
      <c r="Y56" s="2">
        <f>Y12/'Output-Calculation-sheet'!Y11*'Output-Calculation-sheet'!Y47</f>
        <v>908.87292305332755</v>
      </c>
      <c r="AA56" s="2">
        <f t="shared" si="3"/>
        <v>310.85253335331095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4.0028295763699839</v>
      </c>
      <c r="C60" s="2">
        <f>C5*'Output-Calculation-sheet'!C49/10^9</f>
        <v>2.0184965732117237</v>
      </c>
      <c r="D60" s="2">
        <f>D5*'Output-Calculation-sheet'!D49/10^9</f>
        <v>0.70812472927149073</v>
      </c>
      <c r="E60" s="2">
        <f>E5*'Output-Calculation-sheet'!E49/10^9</f>
        <v>0.91112113575580955</v>
      </c>
      <c r="F60" s="2">
        <f>F5*'Output-Calculation-sheet'!F49/10^9</f>
        <v>0.38062297738962897</v>
      </c>
      <c r="G60" s="2">
        <f>G5*'Output-Calculation-sheet'!G49/10^9</f>
        <v>0.27194876806799484</v>
      </c>
      <c r="H60" s="2">
        <f>H5*'Output-Calculation-sheet'!H49/10^9</f>
        <v>0.52561011880258468</v>
      </c>
      <c r="I60" s="2">
        <f>I5*'Output-Calculation-sheet'!I49/10^9</f>
        <v>0.24404244061627295</v>
      </c>
      <c r="J60" s="2">
        <f>J5*'Output-Calculation-sheet'!J49/10^9</f>
        <v>0.26246253519750806</v>
      </c>
      <c r="K60" s="2">
        <f>K5*'Output-Calculation-sheet'!K49/10^9</f>
        <v>0.26751700406539791</v>
      </c>
      <c r="L60" s="2">
        <f>L5*'Output-Calculation-sheet'!L49/10^9</f>
        <v>0.27868240051215976</v>
      </c>
      <c r="M60" s="2">
        <f>M5*'Output-Calculation-sheet'!M49/10^9</f>
        <v>0.39715932735793119</v>
      </c>
      <c r="N60" s="2">
        <f>N5*'Output-Calculation-sheet'!N49/10^9</f>
        <v>0.33524976116967986</v>
      </c>
      <c r="O60" s="2">
        <f>O5*'Output-Calculation-sheet'!O49/10^9</f>
        <v>0.34342409634068782</v>
      </c>
      <c r="P60" s="2">
        <f>P5*'Output-Calculation-sheet'!P49/10^9</f>
        <v>0.2871518290677505</v>
      </c>
      <c r="Q60" s="2">
        <f>Q5*'Output-Calculation-sheet'!Q49/10^9</f>
        <v>0.27186391047223751</v>
      </c>
      <c r="R60" s="2">
        <f>R5*'Output-Calculation-sheet'!R49/10^9</f>
        <v>0.22982201389548595</v>
      </c>
      <c r="S60" s="2">
        <f>S5*'Output-Calculation-sheet'!S49/10^9</f>
        <v>0.21075285634203475</v>
      </c>
      <c r="T60" s="2">
        <f>T5*'Output-Calculation-sheet'!T49/10^9</f>
        <v>7.6429381227677215E-2</v>
      </c>
      <c r="U60" s="2">
        <f>U5*'Output-Calculation-sheet'!U49/10^9</f>
        <v>7.3501525277060012E-2</v>
      </c>
      <c r="V60" s="2">
        <f>V5*'Output-Calculation-sheet'!V49/10^9</f>
        <v>6.9252329635332552E-2</v>
      </c>
      <c r="W60" s="2">
        <f>W5*'Output-Calculation-sheet'!W49/10^9</f>
        <v>3.4637783534333708E-2</v>
      </c>
      <c r="X60" s="2">
        <f>X5*'Output-Calculation-sheet'!X49/10^9</f>
        <v>5.5646209753627898E-2</v>
      </c>
      <c r="Y60" s="2">
        <f>Y5*'Output-Calculation-sheet'!Y49/10^9</f>
        <v>2.8718983592353704E-2</v>
      </c>
      <c r="AA60" s="2">
        <f t="shared" ref="AA60:AA67" si="4">SUM(B60:Y60)</f>
        <v>12.28506826692675</v>
      </c>
    </row>
    <row r="61" spans="1:27" x14ac:dyDescent="0.25">
      <c r="A61" s="2">
        <v>2029</v>
      </c>
      <c r="B61" s="2">
        <f>B6*'Output-Calculation-sheet'!B50/10^9</f>
        <v>5.5201467851786203</v>
      </c>
      <c r="C61" s="2">
        <f>C6*'Output-Calculation-sheet'!C50/10^9</f>
        <v>2.7920156849419122</v>
      </c>
      <c r="D61" s="2">
        <f>D6*'Output-Calculation-sheet'!D50/10^9</f>
        <v>0.97623492452924798</v>
      </c>
      <c r="E61" s="2">
        <f>E6*'Output-Calculation-sheet'!E50/10^9</f>
        <v>1.2564769314202395</v>
      </c>
      <c r="F61" s="2">
        <f>F6*'Output-Calculation-sheet'!F50/10^9</f>
        <v>0.52398845749520628</v>
      </c>
      <c r="G61" s="2">
        <f>G6*'Output-Calculation-sheet'!G50/10^9</f>
        <v>0.37503031797615</v>
      </c>
      <c r="H61" s="2">
        <f>H6*'Output-Calculation-sheet'!H50/10^9</f>
        <v>0.72601660500574883</v>
      </c>
      <c r="I61" s="2">
        <f>I6*'Output-Calculation-sheet'!I50/10^9</f>
        <v>0.3363905340849061</v>
      </c>
      <c r="J61" s="2">
        <f>J6*'Output-Calculation-sheet'!J50/10^9</f>
        <v>0.36175667018387092</v>
      </c>
      <c r="K61" s="2">
        <f>K6*'Output-Calculation-sheet'!K50/10^9</f>
        <v>0.36897173465186794</v>
      </c>
      <c r="L61" s="2">
        <f>L6*'Output-Calculation-sheet'!L50/10^9</f>
        <v>0.38410525137683499</v>
      </c>
      <c r="M61" s="2">
        <f>M6*'Output-Calculation-sheet'!M50/10^9</f>
        <v>0.5487112326086051</v>
      </c>
      <c r="N61" s="2">
        <f>N6*'Output-Calculation-sheet'!N50/10^9</f>
        <v>0.46312635245762984</v>
      </c>
      <c r="O61" s="2">
        <f>O6*'Output-Calculation-sheet'!O50/10^9</f>
        <v>0.47827828627284669</v>
      </c>
      <c r="P61" s="2">
        <f>P6*'Output-Calculation-sheet'!P50/10^9</f>
        <v>0.39653844755202206</v>
      </c>
      <c r="Q61" s="2">
        <f>Q6*'Output-Calculation-sheet'!Q50/10^9</f>
        <v>0.37530931294669573</v>
      </c>
      <c r="R61" s="2">
        <f>R6*'Output-Calculation-sheet'!R50/10^9</f>
        <v>0.31719270243308034</v>
      </c>
      <c r="S61" s="2">
        <f>S6*'Output-Calculation-sheet'!S50/10^9</f>
        <v>0.29114317982510901</v>
      </c>
      <c r="T61" s="2">
        <f>T6*'Output-Calculation-sheet'!T50/10^9</f>
        <v>0.10484124708343855</v>
      </c>
      <c r="U61" s="2">
        <f>U6*'Output-Calculation-sheet'!U50/10^9</f>
        <v>0.10151213721942728</v>
      </c>
      <c r="V61" s="2">
        <f>V6*'Output-Calculation-sheet'!V50/10^9</f>
        <v>9.3645397718286436E-2</v>
      </c>
      <c r="W61" s="2">
        <f>W6*'Output-Calculation-sheet'!W50/10^9</f>
        <v>4.769438101492901E-2</v>
      </c>
      <c r="X61" s="2">
        <f>X6*'Output-Calculation-sheet'!X50/10^9</f>
        <v>7.6932655675947106E-2</v>
      </c>
      <c r="Y61" s="2">
        <f>Y6*'Output-Calculation-sheet'!Y50/10^9</f>
        <v>3.9628522072969852E-2</v>
      </c>
      <c r="AA61" s="2">
        <f t="shared" si="4"/>
        <v>16.955687751725591</v>
      </c>
    </row>
    <row r="62" spans="1:27" x14ac:dyDescent="0.25">
      <c r="A62" s="2">
        <v>2030</v>
      </c>
      <c r="B62" s="2">
        <f>B7*'Output-Calculation-sheet'!B51/10^9</f>
        <v>6.9308271262017334</v>
      </c>
      <c r="C62" s="2">
        <f>C7*'Output-Calculation-sheet'!C51/10^9</f>
        <v>3.5167247475269336</v>
      </c>
      <c r="D62" s="2">
        <f>D7*'Output-Calculation-sheet'!D51/10^9</f>
        <v>1.225638400452969</v>
      </c>
      <c r="E62" s="2">
        <f>E7*'Output-Calculation-sheet'!E51/10^9</f>
        <v>1.5779086394767499</v>
      </c>
      <c r="F62" s="2">
        <f>F7*'Output-Calculation-sheet'!F51/10^9</f>
        <v>0.65689288072315255</v>
      </c>
      <c r="G62" s="2">
        <f>G7*'Output-Calculation-sheet'!G51/10^9</f>
        <v>0.47098866162135489</v>
      </c>
      <c r="H62" s="2">
        <f>H7*'Output-Calculation-sheet'!H51/10^9</f>
        <v>0.91319324096612642</v>
      </c>
      <c r="I62" s="2">
        <f>I7*'Output-Calculation-sheet'!I51/10^9</f>
        <v>0.42225832857451079</v>
      </c>
      <c r="J62" s="2">
        <f>J7*'Output-Calculation-sheet'!J51/10^9</f>
        <v>0.45406971327024603</v>
      </c>
      <c r="K62" s="2">
        <f>K7*'Output-Calculation-sheet'!K51/10^9</f>
        <v>0.46342610992904132</v>
      </c>
      <c r="L62" s="2">
        <f>L7*'Output-Calculation-sheet'!L51/10^9</f>
        <v>0.48211684211161743</v>
      </c>
      <c r="M62" s="2">
        <f>M7*'Output-Calculation-sheet'!M51/10^9</f>
        <v>0.69034844612031498</v>
      </c>
      <c r="N62" s="2">
        <f>N7*'Output-Calculation-sheet'!N51/10^9</f>
        <v>0.58241989535940752</v>
      </c>
      <c r="O62" s="2">
        <f>O7*'Output-Calculation-sheet'!O51/10^9</f>
        <v>0.60330976686124826</v>
      </c>
      <c r="P62" s="2">
        <f>P7*'Output-Calculation-sheet'!P51/10^9</f>
        <v>0.49865751886646831</v>
      </c>
      <c r="Q62" s="2">
        <f>Q7*'Output-Calculation-sheet'!Q51/10^9</f>
        <v>0.47180127937002103</v>
      </c>
      <c r="R62" s="2">
        <f>R7*'Output-Calculation-sheet'!R51/10^9</f>
        <v>0.39794447449300652</v>
      </c>
      <c r="S62" s="2">
        <f>S7*'Output-Calculation-sheet'!S51/10^9</f>
        <v>0.36612163679181542</v>
      </c>
      <c r="T62" s="2">
        <f>T7*'Output-Calculation-sheet'!T51/10^9</f>
        <v>0.13061961748150488</v>
      </c>
      <c r="U62" s="2">
        <f>U7*'Output-Calculation-sheet'!U51/10^9</f>
        <v>0.12767425435755089</v>
      </c>
      <c r="V62" s="2">
        <f>V7*'Output-Calculation-sheet'!V51/10^9</f>
        <v>0.11524338370554288</v>
      </c>
      <c r="W62" s="2">
        <f>W7*'Output-Calculation-sheet'!W51/10^9</f>
        <v>5.9805615776680893E-2</v>
      </c>
      <c r="X62" s="2">
        <f>X7*'Output-Calculation-sheet'!X51/10^9</f>
        <v>9.6855230249912369E-2</v>
      </c>
      <c r="Y62" s="2">
        <f>Y7*'Output-Calculation-sheet'!Y51/10^9</f>
        <v>4.9797418252229546E-2</v>
      </c>
      <c r="AA62" s="2">
        <f t="shared" si="4"/>
        <v>21.304643228540137</v>
      </c>
    </row>
    <row r="63" spans="1:27" x14ac:dyDescent="0.25">
      <c r="A63" s="2">
        <v>2031</v>
      </c>
      <c r="B63" s="2">
        <f>B8*'Output-Calculation-sheet'!B52/10^9</f>
        <v>8.1100127654223879</v>
      </c>
      <c r="C63" s="2">
        <f>C8*'Output-Calculation-sheet'!C52/10^9</f>
        <v>4.1107771124309407</v>
      </c>
      <c r="D63" s="2">
        <f>D8*'Output-Calculation-sheet'!D52/10^9</f>
        <v>1.4360775796375462</v>
      </c>
      <c r="E63" s="2">
        <f>E8*'Output-Calculation-sheet'!E52/10^9</f>
        <v>1.8490772166965423</v>
      </c>
      <c r="F63" s="2">
        <f>F8*'Output-Calculation-sheet'!F52/10^9</f>
        <v>0.76912796068075173</v>
      </c>
      <c r="G63" s="2">
        <f>G8*'Output-Calculation-sheet'!G52/10^9</f>
        <v>0.55186760922383471</v>
      </c>
      <c r="H63" s="2">
        <f>H8*'Output-Calculation-sheet'!H52/10^9</f>
        <v>1.0660461009492579</v>
      </c>
      <c r="I63" s="2">
        <f>I8*'Output-Calculation-sheet'!I52/10^9</f>
        <v>0.49471399701093927</v>
      </c>
      <c r="J63" s="2">
        <f>J8*'Output-Calculation-sheet'!J52/10^9</f>
        <v>0.53183688125971862</v>
      </c>
      <c r="K63" s="2">
        <f>K8*'Output-Calculation-sheet'!K52/10^9</f>
        <v>0.54309806536622263</v>
      </c>
      <c r="L63" s="2">
        <f>L8*'Output-Calculation-sheet'!L52/10^9</f>
        <v>0.5648278587393587</v>
      </c>
      <c r="M63" s="2">
        <f>M8*'Output-Calculation-sheet'!M52/10^9</f>
        <v>0.80610267185892892</v>
      </c>
      <c r="N63" s="2">
        <f>N8*'Output-Calculation-sheet'!N52/10^9</f>
        <v>0.68106366544791841</v>
      </c>
      <c r="O63" s="2">
        <f>O8*'Output-Calculation-sheet'!O52/10^9</f>
        <v>0.70553938653598602</v>
      </c>
      <c r="P63" s="2">
        <f>P8*'Output-Calculation-sheet'!P52/10^9</f>
        <v>0.58473220916370239</v>
      </c>
      <c r="Q63" s="2">
        <f>Q8*'Output-Calculation-sheet'!Q52/10^9</f>
        <v>0.55315203542775149</v>
      </c>
      <c r="R63" s="2">
        <f>R8*'Output-Calculation-sheet'!R52/10^9</f>
        <v>0.46599824485049623</v>
      </c>
      <c r="S63" s="2">
        <f>S8*'Output-Calculation-sheet'!S52/10^9</f>
        <v>0.42845638478426212</v>
      </c>
      <c r="T63" s="2">
        <f>T8*'Output-Calculation-sheet'!T52/10^9</f>
        <v>0.15259397863741578</v>
      </c>
      <c r="U63" s="2">
        <f>U8*'Output-Calculation-sheet'!U52/10^9</f>
        <v>0.14968404493157753</v>
      </c>
      <c r="V63" s="2">
        <f>V8*'Output-Calculation-sheet'!V52/10^9</f>
        <v>0.13415675856119766</v>
      </c>
      <c r="W63" s="2">
        <f>W8*'Output-Calculation-sheet'!W52/10^9</f>
        <v>7.003205550060769E-2</v>
      </c>
      <c r="X63" s="2">
        <f>X8*'Output-Calculation-sheet'!X52/10^9</f>
        <v>0.11317330822145158</v>
      </c>
      <c r="Y63" s="2">
        <f>Y8*'Output-Calculation-sheet'!Y52/10^9</f>
        <v>5.8372525243851434E-2</v>
      </c>
      <c r="AA63" s="2">
        <f t="shared" si="4"/>
        <v>24.930520416582649</v>
      </c>
    </row>
    <row r="64" spans="1:27" x14ac:dyDescent="0.25">
      <c r="A64" s="2">
        <v>2032</v>
      </c>
      <c r="B64" s="2">
        <f>B9*'Output-Calculation-sheet'!B53/10^9</f>
        <v>8.7739032471005345</v>
      </c>
      <c r="C64" s="2">
        <f>C9*'Output-Calculation-sheet'!C53/10^9</f>
        <v>4.4433090266884019</v>
      </c>
      <c r="D64" s="2">
        <f>D9*'Output-Calculation-sheet'!D53/10^9</f>
        <v>1.5564283723552004</v>
      </c>
      <c r="E64" s="2">
        <f>E9*'Output-Calculation-sheet'!E53/10^9</f>
        <v>2.0043000543244385</v>
      </c>
      <c r="F64" s="2">
        <f>F9*'Output-Calculation-sheet'!F53/10^9</f>
        <v>0.83296960756598648</v>
      </c>
      <c r="G64" s="2">
        <f>G9*'Output-Calculation-sheet'!G53/10^9</f>
        <v>0.59798888915227821</v>
      </c>
      <c r="H64" s="2">
        <f>H9*'Output-Calculation-sheet'!H53/10^9</f>
        <v>1.1508632024902177</v>
      </c>
      <c r="I64" s="2">
        <f>I9*'Output-Calculation-sheet'!I53/10^9</f>
        <v>0.53612107978811596</v>
      </c>
      <c r="J64" s="2">
        <f>J9*'Output-Calculation-sheet'!J53/10^9</f>
        <v>0.5761724442586631</v>
      </c>
      <c r="K64" s="2">
        <f>K9*'Output-Calculation-sheet'!K53/10^9</f>
        <v>0.58872372334377376</v>
      </c>
      <c r="L64" s="2">
        <f>L9*'Output-Calculation-sheet'!L53/10^9</f>
        <v>0.61209027773667601</v>
      </c>
      <c r="M64" s="2">
        <f>M9*'Output-Calculation-sheet'!M53/10^9</f>
        <v>0.87044939021562295</v>
      </c>
      <c r="N64" s="2">
        <f>N9*'Output-Calculation-sheet'!N53/10^9</f>
        <v>0.73623954302157379</v>
      </c>
      <c r="O64" s="2">
        <f>O9*'Output-Calculation-sheet'!O53/10^9</f>
        <v>0.76285199324197817</v>
      </c>
      <c r="P64" s="2">
        <f>P9*'Output-Calculation-sheet'!P53/10^9</f>
        <v>0.63422621280668268</v>
      </c>
      <c r="Q64" s="2">
        <f>Q9*'Output-Calculation-sheet'!Q53/10^9</f>
        <v>0.59988204314520399</v>
      </c>
      <c r="R64" s="2">
        <f>R9*'Output-Calculation-sheet'!R53/10^9</f>
        <v>0.50455148709852626</v>
      </c>
      <c r="S64" s="2">
        <f>S9*'Output-Calculation-sheet'!S53/10^9</f>
        <v>0.46358370134130011</v>
      </c>
      <c r="T64" s="2">
        <f>T9*'Output-Calculation-sheet'!T53/10^9</f>
        <v>0.16485622142558198</v>
      </c>
      <c r="U64" s="2">
        <f>U9*'Output-Calculation-sheet'!U53/10^9</f>
        <v>0.16229321398273039</v>
      </c>
      <c r="V64" s="2">
        <f>V9*'Output-Calculation-sheet'!V53/10^9</f>
        <v>0.14445793059248335</v>
      </c>
      <c r="W64" s="2">
        <f>W9*'Output-Calculation-sheet'!W53/10^9</f>
        <v>7.5855081003032329E-2</v>
      </c>
      <c r="X64" s="2">
        <f>X9*'Output-Calculation-sheet'!X53/10^9</f>
        <v>0.12229407931770986</v>
      </c>
      <c r="Y64" s="2">
        <f>Y9*'Output-Calculation-sheet'!Y53/10^9</f>
        <v>6.3292142019348296E-2</v>
      </c>
      <c r="AA64" s="2">
        <f t="shared" si="4"/>
        <v>26.977702964016061</v>
      </c>
    </row>
    <row r="65" spans="1:27" x14ac:dyDescent="0.25">
      <c r="A65" s="2">
        <v>2033</v>
      </c>
      <c r="B65" s="2">
        <f>B10*'Output-Calculation-sheet'!B54/10^9</f>
        <v>8.9802282754626752</v>
      </c>
      <c r="C65" s="2">
        <f>C10*'Output-Calculation-sheet'!C54/10^9</f>
        <v>5.9020237393423507</v>
      </c>
      <c r="D65" s="2">
        <f>D10*'Output-Calculation-sheet'!D54/10^9</f>
        <v>1.6006917109118306</v>
      </c>
      <c r="E65" s="2">
        <f>E10*'Output-Calculation-sheet'!E54/10^9</f>
        <v>2.03851265850916</v>
      </c>
      <c r="F65" s="2">
        <f>F10*'Output-Calculation-sheet'!F54/10^9</f>
        <v>0.87596647872468103</v>
      </c>
      <c r="G65" s="2">
        <f>G10*'Output-Calculation-sheet'!G54/10^9</f>
        <v>0.62364489496234199</v>
      </c>
      <c r="H65" s="2">
        <f>H10*'Output-Calculation-sheet'!H54/10^9</f>
        <v>1.4653933682693736</v>
      </c>
      <c r="I65" s="2">
        <f>I10*'Output-Calculation-sheet'!I54/10^9</f>
        <v>0.54680625606852973</v>
      </c>
      <c r="J65" s="2">
        <f>J10*'Output-Calculation-sheet'!J54/10^9</f>
        <v>0.64695861653536602</v>
      </c>
      <c r="K65" s="2">
        <f>K10*'Output-Calculation-sheet'!K54/10^9</f>
        <v>0.60538919769220123</v>
      </c>
      <c r="L65" s="2">
        <f>L10*'Output-Calculation-sheet'!L54/10^9</f>
        <v>0.62435694949783771</v>
      </c>
      <c r="M65" s="2">
        <f>M10*'Output-Calculation-sheet'!M54/10^9</f>
        <v>1.0419862053069813</v>
      </c>
      <c r="N65" s="2">
        <f>N10*'Output-Calculation-sheet'!N54/10^9</f>
        <v>0.88787956083019914</v>
      </c>
      <c r="O65" s="2">
        <f>O10*'Output-Calculation-sheet'!O54/10^9</f>
        <v>1.0331021835457446</v>
      </c>
      <c r="P65" s="2">
        <f>P10*'Output-Calculation-sheet'!P54/10^9</f>
        <v>0.65496440913571818</v>
      </c>
      <c r="Q65" s="2">
        <f>Q10*'Output-Calculation-sheet'!Q54/10^9</f>
        <v>0.64631570018517814</v>
      </c>
      <c r="R65" s="2">
        <f>R10*'Output-Calculation-sheet'!R54/10^9</f>
        <v>0.51237194665863917</v>
      </c>
      <c r="S65" s="2">
        <f>S10*'Output-Calculation-sheet'!S54/10^9</f>
        <v>0.51424481298185531</v>
      </c>
      <c r="T65" s="2">
        <f>T10*'Output-Calculation-sheet'!T54/10^9</f>
        <v>0.17350857976222414</v>
      </c>
      <c r="U65" s="2">
        <f>U10*'Output-Calculation-sheet'!U54/10^9</f>
        <v>0.16664353887495706</v>
      </c>
      <c r="V65" s="2">
        <f>V10*'Output-Calculation-sheet'!V54/10^9</f>
        <v>0.19634466333096876</v>
      </c>
      <c r="W65" s="2">
        <f>W10*'Output-Calculation-sheet'!W54/10^9</f>
        <v>8.3913846866654498E-2</v>
      </c>
      <c r="X65" s="2">
        <f>X10*'Output-Calculation-sheet'!X54/10^9</f>
        <v>0.13488849547226603</v>
      </c>
      <c r="Y65" s="2">
        <f>Y10*'Output-Calculation-sheet'!Y54/10^9</f>
        <v>6.5095698704330657E-2</v>
      </c>
      <c r="AA65" s="2">
        <f t="shared" si="4"/>
        <v>30.021231787632061</v>
      </c>
    </row>
    <row r="66" spans="1:27" x14ac:dyDescent="0.25">
      <c r="A66" s="2">
        <v>2034</v>
      </c>
      <c r="B66" s="2">
        <f>B11*'Output-Calculation-sheet'!B55/10^9</f>
        <v>8.991632300796887</v>
      </c>
      <c r="C66" s="2">
        <f>C11*'Output-Calculation-sheet'!C55/10^9</f>
        <v>5.9758341311810739</v>
      </c>
      <c r="D66" s="2">
        <f>D11*'Output-Calculation-sheet'!D55/10^9</f>
        <v>1.6267355437078865</v>
      </c>
      <c r="E66" s="2">
        <f>E11*'Output-Calculation-sheet'!E55/10^9</f>
        <v>2.1068823742336891</v>
      </c>
      <c r="F66" s="2">
        <f>F11*'Output-Calculation-sheet'!F55/10^9</f>
        <v>0.82916069588637109</v>
      </c>
      <c r="G66" s="2">
        <f>G11*'Output-Calculation-sheet'!G55/10^9</f>
        <v>0.60490617273145353</v>
      </c>
      <c r="H66" s="2">
        <f>H11*'Output-Calculation-sheet'!H55/10^9</f>
        <v>1.5095942102683364</v>
      </c>
      <c r="I66" s="2">
        <f>I11*'Output-Calculation-sheet'!I55/10^9</f>
        <v>0.56233001756154632</v>
      </c>
      <c r="J66" s="2">
        <f>J11*'Output-Calculation-sheet'!J55/10^9</f>
        <v>0.56618658225249974</v>
      </c>
      <c r="K66" s="2">
        <f>K11*'Output-Calculation-sheet'!K55/10^9</f>
        <v>0.64465431368585602</v>
      </c>
      <c r="L66" s="2">
        <f>L11*'Output-Calculation-sheet'!L55/10^9</f>
        <v>0.62498425615030218</v>
      </c>
      <c r="M66" s="2">
        <f>M11*'Output-Calculation-sheet'!M55/10^9</f>
        <v>1.0609608012089966</v>
      </c>
      <c r="N66" s="2">
        <f>N11*'Output-Calculation-sheet'!N55/10^9</f>
        <v>0.92231360147558461</v>
      </c>
      <c r="O66" s="2">
        <f>O11*'Output-Calculation-sheet'!O55/10^9</f>
        <v>1.0515625343008268</v>
      </c>
      <c r="P66" s="2">
        <f>P11*'Output-Calculation-sheet'!P55/10^9</f>
        <v>0.67430378778861144</v>
      </c>
      <c r="Q66" s="2">
        <f>Q11*'Output-Calculation-sheet'!Q55/10^9</f>
        <v>0.69359170301676421</v>
      </c>
      <c r="R66" s="2">
        <f>R11*'Output-Calculation-sheet'!R55/10^9</f>
        <v>0.51317560774891047</v>
      </c>
      <c r="S66" s="2">
        <f>S11*'Output-Calculation-sheet'!S55/10^9</f>
        <v>0.53270788481277953</v>
      </c>
      <c r="T66" s="2">
        <f>T11*'Output-Calculation-sheet'!T55/10^9</f>
        <v>0.16078818296672343</v>
      </c>
      <c r="U66" s="2">
        <f>U11*'Output-Calculation-sheet'!U55/10^9</f>
        <v>0.17499670611640458</v>
      </c>
      <c r="V66" s="2">
        <f>V11*'Output-Calculation-sheet'!V55/10^9</f>
        <v>0.15195969092539049</v>
      </c>
      <c r="W66" s="2">
        <f>W11*'Output-Calculation-sheet'!W55/10^9</f>
        <v>7.4445639260363572E-2</v>
      </c>
      <c r="X66" s="2">
        <f>X11*'Output-Calculation-sheet'!X55/10^9</f>
        <v>0.13911525788426798</v>
      </c>
      <c r="Y66" s="2">
        <f>Y11*'Output-Calculation-sheet'!Y55/10^9</f>
        <v>7.1430150740236203E-2</v>
      </c>
      <c r="AA66" s="2">
        <f t="shared" si="4"/>
        <v>30.264252146701761</v>
      </c>
    </row>
    <row r="67" spans="1:27" x14ac:dyDescent="0.25">
      <c r="A67" s="2">
        <v>2035</v>
      </c>
      <c r="B67" s="2">
        <f>B12*'Output-Calculation-sheet'!B56/10^9</f>
        <v>9.1411580900948213</v>
      </c>
      <c r="C67" s="2">
        <f>C12*'Output-Calculation-sheet'!C56/10^9</f>
        <v>5.7765300053734867</v>
      </c>
      <c r="D67" s="2">
        <f>D12*'Output-Calculation-sheet'!D56/10^9</f>
        <v>1.8131452903185759</v>
      </c>
      <c r="E67" s="2">
        <f>E12*'Output-Calculation-sheet'!E56/10^9</f>
        <v>2.4795772563695335</v>
      </c>
      <c r="F67" s="2">
        <f>F12*'Output-Calculation-sheet'!F56/10^9</f>
        <v>0.97182947858004143</v>
      </c>
      <c r="G67" s="2">
        <f>G12*'Output-Calculation-sheet'!G56/10^9</f>
        <v>0.7170436755037316</v>
      </c>
      <c r="H67" s="2">
        <f>H12*'Output-Calculation-sheet'!H56/10^9</f>
        <v>1.5247257456887546</v>
      </c>
      <c r="I67" s="2">
        <f>I12*'Output-Calculation-sheet'!I56/10^9</f>
        <v>0.65698865443690257</v>
      </c>
      <c r="J67" s="2">
        <f>J12*'Output-Calculation-sheet'!J56/10^9</f>
        <v>0.60103284677523705</v>
      </c>
      <c r="K67" s="2">
        <f>K12*'Output-Calculation-sheet'!K56/10^9</f>
        <v>0.72011260339139904</v>
      </c>
      <c r="L67" s="2">
        <f>L12*'Output-Calculation-sheet'!L56/10^9</f>
        <v>0.671360919086474</v>
      </c>
      <c r="M67" s="2">
        <f>M12*'Output-Calculation-sheet'!M56/10^9</f>
        <v>1.0788181070317442</v>
      </c>
      <c r="N67" s="2">
        <f>N12*'Output-Calculation-sheet'!N56/10^9</f>
        <v>0.92141067523473574</v>
      </c>
      <c r="O67" s="2">
        <f>O12*'Output-Calculation-sheet'!O56/10^9</f>
        <v>1.0191185412981658</v>
      </c>
      <c r="P67" s="2">
        <f>P12*'Output-Calculation-sheet'!P56/10^9</f>
        <v>0.74774583006729833</v>
      </c>
      <c r="Q67" s="2">
        <f>Q12*'Output-Calculation-sheet'!Q56/10^9</f>
        <v>0.70635828205416307</v>
      </c>
      <c r="R67" s="2">
        <f>R12*'Output-Calculation-sheet'!R56/10^9</f>
        <v>0.55466093338582123</v>
      </c>
      <c r="S67" s="2">
        <f>S12*'Output-Calculation-sheet'!S56/10^9</f>
        <v>0.53543639580860691</v>
      </c>
      <c r="T67" s="2">
        <f>T12*'Output-Calculation-sheet'!T56/10^9</f>
        <v>0.17247716626940027</v>
      </c>
      <c r="U67" s="2">
        <f>U12*'Output-Calculation-sheet'!U56/10^9</f>
        <v>0.18647247614917331</v>
      </c>
      <c r="V67" s="2">
        <f>V12*'Output-Calculation-sheet'!V56/10^9</f>
        <v>0.13311853039209146</v>
      </c>
      <c r="W67" s="2">
        <f>W12*'Output-Calculation-sheet'!W56/10^9</f>
        <v>9.0269484735782932E-2</v>
      </c>
      <c r="X67" s="2">
        <f>X12*'Output-Calculation-sheet'!X56/10^9</f>
        <v>0.14013091609869971</v>
      </c>
      <c r="Y67" s="2">
        <f>Y12*'Output-Calculation-sheet'!Y56/10^9</f>
        <v>8.4230597144754324E-2</v>
      </c>
      <c r="AA67" s="2">
        <f t="shared" si="4"/>
        <v>31.443752501289392</v>
      </c>
    </row>
    <row r="68" spans="1:27" x14ac:dyDescent="0.25">
      <c r="B68" s="2">
        <f>SUM(B60:B67)</f>
        <v>60.450738166627637</v>
      </c>
      <c r="C68" s="2">
        <f t="shared" ref="C68:Y68" si="5">SUM(C60:C67)</f>
        <v>34.535711020696823</v>
      </c>
      <c r="D68" s="2">
        <f t="shared" si="5"/>
        <v>10.943076551184745</v>
      </c>
      <c r="E68" s="2">
        <f t="shared" si="5"/>
        <v>14.223856266786164</v>
      </c>
      <c r="F68" s="2">
        <f t="shared" si="5"/>
        <v>5.8405585370458191</v>
      </c>
      <c r="G68" s="2">
        <f t="shared" si="5"/>
        <v>4.2134189892391403</v>
      </c>
      <c r="H68" s="2">
        <f t="shared" si="5"/>
        <v>8.8814425924404006</v>
      </c>
      <c r="I68" s="2">
        <f t="shared" si="5"/>
        <v>3.7996513081417236</v>
      </c>
      <c r="J68" s="2">
        <f t="shared" si="5"/>
        <v>4.0004762897331094</v>
      </c>
      <c r="K68" s="2">
        <f t="shared" si="5"/>
        <v>4.2018927521257599</v>
      </c>
      <c r="L68" s="2">
        <f t="shared" si="5"/>
        <v>4.242524755211261</v>
      </c>
      <c r="M68" s="2">
        <f t="shared" si="5"/>
        <v>6.4945361817091261</v>
      </c>
      <c r="N68" s="2">
        <f t="shared" si="5"/>
        <v>5.5297030549967285</v>
      </c>
      <c r="O68" s="2">
        <f t="shared" si="5"/>
        <v>5.9971867883974834</v>
      </c>
      <c r="P68" s="2">
        <f t="shared" si="5"/>
        <v>4.4783202444482537</v>
      </c>
      <c r="Q68" s="2">
        <f t="shared" si="5"/>
        <v>4.3182742666180154</v>
      </c>
      <c r="R68" s="2">
        <f t="shared" si="5"/>
        <v>3.4957174105639659</v>
      </c>
      <c r="S68" s="2">
        <f t="shared" si="5"/>
        <v>3.3424468526877629</v>
      </c>
      <c r="T68" s="2">
        <f t="shared" si="5"/>
        <v>1.1361143748539662</v>
      </c>
      <c r="U68" s="2">
        <f t="shared" si="5"/>
        <v>1.1427778969088811</v>
      </c>
      <c r="V68" s="2">
        <f t="shared" si="5"/>
        <v>1.0381786848612937</v>
      </c>
      <c r="W68" s="2">
        <f t="shared" si="5"/>
        <v>0.53665388769238465</v>
      </c>
      <c r="X68" s="2">
        <f t="shared" si="5"/>
        <v>0.87903615267388235</v>
      </c>
      <c r="Y68" s="2">
        <f t="shared" si="5"/>
        <v>0.46056603777007399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24.90952729051109</v>
      </c>
      <c r="U71" s="2">
        <f>U5/'Output-Calculation-sheet'!U4*'Output-Calculation-sheet'!U58</f>
        <v>0</v>
      </c>
      <c r="V71" s="2">
        <f>V5/'Output-Calculation-sheet'!V4*'Output-Calculation-sheet'!V58</f>
        <v>67.539432259514555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 t="shared" ref="AA71:AA78" si="6">SUM(B71:Y71)/1000</f>
        <v>9.2448959550025647E-2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64.177664753167008</v>
      </c>
      <c r="U72" s="2">
        <f>U6/'Output-Calculation-sheet'!U5*'Output-Calculation-sheet'!U59</f>
        <v>0</v>
      </c>
      <c r="V72" s="2">
        <f>V6/'Output-Calculation-sheet'!V5*'Output-Calculation-sheet'!V59</f>
        <v>100.89705438778076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si="6"/>
        <v>0.16507471914094776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138.83650002406645</v>
      </c>
      <c r="S73" s="2">
        <f>S7/'Output-Calculation-sheet'!S6*'Output-Calculation-sheet'!S60</f>
        <v>0</v>
      </c>
      <c r="T73" s="2">
        <f>T7/'Output-Calculation-sheet'!T6*'Output-Calculation-sheet'!T60</f>
        <v>120.8279114735477</v>
      </c>
      <c r="U73" s="2">
        <f>U7/'Output-Calculation-sheet'!U6*'Output-Calculation-sheet'!U60</f>
        <v>0</v>
      </c>
      <c r="V73" s="2">
        <f>V7/'Output-Calculation-sheet'!V6*'Output-Calculation-sheet'!V60</f>
        <v>148.48089713857192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0.40814530863618609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61.537341653348072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54.777501049053839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217.34470547339384</v>
      </c>
      <c r="S74" s="2">
        <f>S8/'Output-Calculation-sheet'!S7*'Output-Calculation-sheet'!S61</f>
        <v>0</v>
      </c>
      <c r="T74" s="2">
        <f>T8/'Output-Calculation-sheet'!T7*'Output-Calculation-sheet'!T61</f>
        <v>160.11241133323099</v>
      </c>
      <c r="U74" s="2">
        <f>U8/'Output-Calculation-sheet'!U7*'Output-Calculation-sheet'!U61</f>
        <v>20.282506681914303</v>
      </c>
      <c r="V74" s="2">
        <f>V8/'Output-Calculation-sheet'!V7*'Output-Calculation-sheet'!V61</f>
        <v>183.78607334023854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0.69784053953117964</v>
      </c>
    </row>
    <row r="75" spans="1:27" x14ac:dyDescent="0.25">
      <c r="A75" s="2">
        <v>2032</v>
      </c>
      <c r="B75" s="2">
        <f>B9/'Output-Calculation-sheet'!B8*'Output-Calculation-sheet'!B62</f>
        <v>660.90298547877478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134.03683834350952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107.39144553781549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284.15496249585266</v>
      </c>
      <c r="S75" s="2">
        <f>S9/'Output-Calculation-sheet'!S8*'Output-Calculation-sheet'!S62</f>
        <v>0</v>
      </c>
      <c r="T75" s="2">
        <f>T9/'Output-Calculation-sheet'!T8*'Output-Calculation-sheet'!T62</f>
        <v>187.69108572253359</v>
      </c>
      <c r="U75" s="2">
        <f>U9/'Output-Calculation-sheet'!U8*'Output-Calculation-sheet'!U62</f>
        <v>38.366498573016109</v>
      </c>
      <c r="V75" s="2">
        <f>V9/'Output-Calculation-sheet'!V8*'Output-Calculation-sheet'!V62</f>
        <v>201.05785489831163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6"/>
        <v>1.6136016710498138</v>
      </c>
    </row>
    <row r="76" spans="1:27" x14ac:dyDescent="0.25">
      <c r="A76" s="2">
        <v>2033</v>
      </c>
      <c r="B76" s="2">
        <f>B10/'Output-Calculation-sheet'!B9*'Output-Calculation-sheet'!B63</f>
        <v>6382.8954720867696</v>
      </c>
      <c r="C76" s="2">
        <f>C10/'Output-Calculation-sheet'!C9*'Output-Calculation-sheet'!C63</f>
        <v>13036.790299349886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4156.5958159421598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2830.2201641537899</v>
      </c>
      <c r="N76" s="2">
        <f>N10/'Output-Calculation-sheet'!N9*'Output-Calculation-sheet'!N63</f>
        <v>1616.7470733787397</v>
      </c>
      <c r="O76" s="2">
        <f>O10/'Output-Calculation-sheet'!O9*'Output-Calculation-sheet'!O63</f>
        <v>0</v>
      </c>
      <c r="P76" s="2">
        <f>P10/'Output-Calculation-sheet'!P9*'Output-Calculation-sheet'!P63</f>
        <v>561.4170753960301</v>
      </c>
      <c r="Q76" s="2">
        <f>Q10/'Output-Calculation-sheet'!Q9*'Output-Calculation-sheet'!Q63</f>
        <v>253.22166272501514</v>
      </c>
      <c r="R76" s="2">
        <f>R10/'Output-Calculation-sheet'!R9*'Output-Calculation-sheet'!R63</f>
        <v>427.88957044383255</v>
      </c>
      <c r="S76" s="2">
        <f>S10/'Output-Calculation-sheet'!S9*'Output-Calculation-sheet'!S63</f>
        <v>718.92968880901583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151.20140852335874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333.27853502812928</v>
      </c>
      <c r="Y76" s="2">
        <f>Y10/'Output-Calculation-sheet'!Y9*'Output-Calculation-sheet'!Y63</f>
        <v>6.3227211161056562</v>
      </c>
      <c r="AA76" s="2">
        <f t="shared" si="6"/>
        <v>30.625158863778836</v>
      </c>
    </row>
    <row r="77" spans="1:27" x14ac:dyDescent="0.25">
      <c r="A77" s="2">
        <v>2034</v>
      </c>
      <c r="B77" s="2">
        <f>B11/'Output-Calculation-sheet'!B10*'Output-Calculation-sheet'!B64</f>
        <v>14982.707324188877</v>
      </c>
      <c r="C77" s="2">
        <f>C11/'Output-Calculation-sheet'!C10*'Output-Calculation-sheet'!C64</f>
        <v>13161.7108248356</v>
      </c>
      <c r="D77" s="2">
        <f>D11/'Output-Calculation-sheet'!D10*'Output-Calculation-sheet'!D64</f>
        <v>1846.6903240915781</v>
      </c>
      <c r="E77" s="2">
        <f>E11/'Output-Calculation-sheet'!E10*'Output-Calculation-sheet'!E64</f>
        <v>2281.8676801485485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975.05746664212211</v>
      </c>
      <c r="H77" s="2">
        <f>H11/'Output-Calculation-sheet'!H10*'Output-Calculation-sheet'!H64</f>
        <v>4830.9014900597558</v>
      </c>
      <c r="I77" s="2">
        <f>I11/'Output-Calculation-sheet'!I10*'Output-Calculation-sheet'!I64</f>
        <v>575.22645586865258</v>
      </c>
      <c r="J77" s="2">
        <f>J11/'Output-Calculation-sheet'!J10*'Output-Calculation-sheet'!J64</f>
        <v>410.04806624120505</v>
      </c>
      <c r="K77" s="2">
        <f>K11/'Output-Calculation-sheet'!K10*'Output-Calculation-sheet'!K64</f>
        <v>869.39309742856358</v>
      </c>
      <c r="L77" s="2">
        <f>L11/'Output-Calculation-sheet'!L10*'Output-Calculation-sheet'!L64</f>
        <v>377.4872108773435</v>
      </c>
      <c r="M77" s="2">
        <f>M11/'Output-Calculation-sheet'!M10*'Output-Calculation-sheet'!M64</f>
        <v>3435.9828342065703</v>
      </c>
      <c r="N77" s="2">
        <f>N11/'Output-Calculation-sheet'!N10*'Output-Calculation-sheet'!N64</f>
        <v>2444.6174011241301</v>
      </c>
      <c r="O77" s="2">
        <f>O11/'Output-Calculation-sheet'!O10*'Output-Calculation-sheet'!O64</f>
        <v>85.23294982387668</v>
      </c>
      <c r="P77" s="2">
        <f>P11/'Output-Calculation-sheet'!P10*'Output-Calculation-sheet'!P64</f>
        <v>1078.9634962282582</v>
      </c>
      <c r="Q77" s="2">
        <f>Q11/'Output-Calculation-sheet'!Q10*'Output-Calculation-sheet'!Q64</f>
        <v>615.67936963629859</v>
      </c>
      <c r="R77" s="2">
        <f>R11/'Output-Calculation-sheet'!R10*'Output-Calculation-sheet'!R64</f>
        <v>923.31086188243921</v>
      </c>
      <c r="S77" s="2">
        <f>S11/'Output-Calculation-sheet'!S10*'Output-Calculation-sheet'!S64</f>
        <v>1234.5184050720111</v>
      </c>
      <c r="T77" s="2">
        <f>T11/'Output-Calculation-sheet'!T10*'Output-Calculation-sheet'!T64</f>
        <v>254.01687343839561</v>
      </c>
      <c r="U77" s="2">
        <f>U11/'Output-Calculation-sheet'!U10*'Output-Calculation-sheet'!U64</f>
        <v>337.61807900032585</v>
      </c>
      <c r="V77" s="2">
        <f>V11/'Output-Calculation-sheet'!V10*'Output-Calculation-sheet'!V64</f>
        <v>134.58481553515404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349.13232970931216</v>
      </c>
      <c r="Y77" s="2">
        <f>Y11/'Output-Calculation-sheet'!Y10*'Output-Calculation-sheet'!Y64</f>
        <v>84.534195334930558</v>
      </c>
      <c r="AA77" s="2">
        <f t="shared" si="6"/>
        <v>51.459796772270536</v>
      </c>
    </row>
    <row r="78" spans="1:27" x14ac:dyDescent="0.25">
      <c r="A78" s="2">
        <v>2035</v>
      </c>
      <c r="B78" s="2">
        <f>B12/'Output-Calculation-sheet'!B11*'Output-Calculation-sheet'!B65</f>
        <v>17690.682317854327</v>
      </c>
      <c r="C78" s="2">
        <f>C12/'Output-Calculation-sheet'!C11*'Output-Calculation-sheet'!C65</f>
        <v>12492.784632399029</v>
      </c>
      <c r="D78" s="2">
        <f>D12/'Output-Calculation-sheet'!D11*'Output-Calculation-sheet'!D65</f>
        <v>1878.1490003359295</v>
      </c>
      <c r="E78" s="2">
        <f>E12/'Output-Calculation-sheet'!E11*'Output-Calculation-sheet'!E65</f>
        <v>3570.3113202361128</v>
      </c>
      <c r="F78" s="2">
        <f>F12/'Output-Calculation-sheet'!F11*'Output-Calculation-sheet'!F65</f>
        <v>756.25614417971474</v>
      </c>
      <c r="G78" s="2">
        <f>G12/'Output-Calculation-sheet'!G11*'Output-Calculation-sheet'!G65</f>
        <v>1419.0246962136391</v>
      </c>
      <c r="H78" s="2">
        <f>H12/'Output-Calculation-sheet'!H11*'Output-Calculation-sheet'!H65</f>
        <v>4568.6998030240384</v>
      </c>
      <c r="I78" s="2">
        <f>I12/'Output-Calculation-sheet'!I11*'Output-Calculation-sheet'!I65</f>
        <v>834.43141032230631</v>
      </c>
      <c r="J78" s="2">
        <f>J12/'Output-Calculation-sheet'!J11*'Output-Calculation-sheet'!J65</f>
        <v>748.34451405104664</v>
      </c>
      <c r="K78" s="2">
        <f>K12/'Output-Calculation-sheet'!K11*'Output-Calculation-sheet'!K65</f>
        <v>944.37453773088998</v>
      </c>
      <c r="L78" s="2">
        <f>L12/'Output-Calculation-sheet'!L11*'Output-Calculation-sheet'!L65</f>
        <v>561.51276038917422</v>
      </c>
      <c r="M78" s="2">
        <f>M12/'Output-Calculation-sheet'!M11*'Output-Calculation-sheet'!M65</f>
        <v>3252.1372877440563</v>
      </c>
      <c r="N78" s="2">
        <f>N12/'Output-Calculation-sheet'!N11*'Output-Calculation-sheet'!N65</f>
        <v>2286.7776975408005</v>
      </c>
      <c r="O78" s="2">
        <f>O12/'Output-Calculation-sheet'!O11*'Output-Calculation-sheet'!O65</f>
        <v>320.57667994087814</v>
      </c>
      <c r="P78" s="2">
        <f>P12/'Output-Calculation-sheet'!P11*'Output-Calculation-sheet'!P65</f>
        <v>1300.0089730964287</v>
      </c>
      <c r="Q78" s="2">
        <f>Q12/'Output-Calculation-sheet'!Q11*'Output-Calculation-sheet'!Q65</f>
        <v>653.89161605319316</v>
      </c>
      <c r="R78" s="2">
        <f>R12/'Output-Calculation-sheet'!R11*'Output-Calculation-sheet'!R65</f>
        <v>1077.8112325039649</v>
      </c>
      <c r="S78" s="2">
        <f>S12/'Output-Calculation-sheet'!S11*'Output-Calculation-sheet'!S65</f>
        <v>1215.9374185310271</v>
      </c>
      <c r="T78" s="2">
        <f>T12/'Output-Calculation-sheet'!T11*'Output-Calculation-sheet'!T65</f>
        <v>387.55583587716291</v>
      </c>
      <c r="U78" s="2">
        <f>U12/'Output-Calculation-sheet'!U11*'Output-Calculation-sheet'!U65</f>
        <v>332.06360547494529</v>
      </c>
      <c r="V78" s="2">
        <f>V12/'Output-Calculation-sheet'!V11*'Output-Calculation-sheet'!V65</f>
        <v>209.15577502794923</v>
      </c>
      <c r="W78" s="2">
        <f>W12/'Output-Calculation-sheet'!W11*'Output-Calculation-sheet'!W65</f>
        <v>147.31508485104928</v>
      </c>
      <c r="X78" s="2">
        <f>X12/'Output-Calculation-sheet'!X11*'Output-Calculation-sheet'!X65</f>
        <v>335.18924575492099</v>
      </c>
      <c r="Y78" s="2">
        <f>Y12/'Output-Calculation-sheet'!Y11*'Output-Calculation-sheet'!Y65</f>
        <v>143.79413778698796</v>
      </c>
      <c r="AA78" s="2">
        <f t="shared" si="6"/>
        <v>57.126785726919564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 t="shared" ref="AA82:AA89" si="7"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si="7"/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470.52334425776468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457.05013819751503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0.9275734824552796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912.58969655383385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35.115441296628354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24.162859854758899</v>
      </c>
      <c r="N88" s="2">
        <f>N11/'Output-Calculation-sheet'!N10*'Output-Calculation-sheet'!N73</f>
        <v>0</v>
      </c>
      <c r="O88" s="2">
        <f>O11/'Output-Calculation-sheet'!O10*'Output-Calculation-sheet'!O73</f>
        <v>509.71342848392186</v>
      </c>
      <c r="P88" s="2">
        <f>P11/'Output-Calculation-sheet'!P10*'Output-Calculation-sheet'!P73</f>
        <v>0</v>
      </c>
      <c r="Q88" s="2">
        <f>Q11/'Output-Calculation-sheet'!Q10*'Output-Calculation-sheet'!Q73</f>
        <v>20.807008098556896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2.6507252923751228</v>
      </c>
      <c r="Y88" s="2">
        <f>Y11/'Output-Calculation-sheet'!Y10*'Output-Calculation-sheet'!Y73</f>
        <v>0</v>
      </c>
      <c r="AA88" s="2">
        <f t="shared" si="7"/>
        <v>1.5050391595800752</v>
      </c>
    </row>
    <row r="89" spans="1:27" x14ac:dyDescent="0.25">
      <c r="A89" s="2">
        <v>2035</v>
      </c>
      <c r="B89" s="2">
        <f>B12/'Output-Calculation-sheet'!B11*'Output-Calculation-sheet'!B74</f>
        <v>445.93487227078543</v>
      </c>
      <c r="C89" s="2">
        <f>C12/'Output-Calculation-sheet'!C11*'Output-Calculation-sheet'!C74</f>
        <v>1375.7291358920074</v>
      </c>
      <c r="D89" s="2">
        <f>D12/'Output-Calculation-sheet'!D11*'Output-Calculation-sheet'!D74</f>
        <v>187.48679813685345</v>
      </c>
      <c r="E89" s="2">
        <f>E12/'Output-Calculation-sheet'!E11*'Output-Calculation-sheet'!E74</f>
        <v>149.00199571129156</v>
      </c>
      <c r="F89" s="2">
        <f>F12/'Output-Calculation-sheet'!F11*'Output-Calculation-sheet'!F74</f>
        <v>46.856018846326812</v>
      </c>
      <c r="G89" s="2">
        <f>G12/'Output-Calculation-sheet'!G11*'Output-Calculation-sheet'!G74</f>
        <v>67.255542737269025</v>
      </c>
      <c r="H89" s="2">
        <f>H12/'Output-Calculation-sheet'!H11*'Output-Calculation-sheet'!H74</f>
        <v>162.88164379105422</v>
      </c>
      <c r="I89" s="2">
        <f>I12/'Output-Calculation-sheet'!I11*'Output-Calculation-sheet'!I74</f>
        <v>60.492345245926224</v>
      </c>
      <c r="J89" s="2">
        <f>J12/'Output-Calculation-sheet'!J11*'Output-Calculation-sheet'!J74</f>
        <v>29.933780562041864</v>
      </c>
      <c r="K89" s="2">
        <f>K12/'Output-Calculation-sheet'!K11*'Output-Calculation-sheet'!K74</f>
        <v>59.454453395296525</v>
      </c>
      <c r="L89" s="2">
        <f>L12/'Output-Calculation-sheet'!L11*'Output-Calculation-sheet'!L74</f>
        <v>47.275332383849651</v>
      </c>
      <c r="M89" s="2">
        <f>M12/'Output-Calculation-sheet'!M11*'Output-Calculation-sheet'!M74</f>
        <v>89.662807847757662</v>
      </c>
      <c r="N89" s="2">
        <f>N12/'Output-Calculation-sheet'!N11*'Output-Calculation-sheet'!N74</f>
        <v>66.093114439800388</v>
      </c>
      <c r="O89" s="2">
        <f>O12/'Output-Calculation-sheet'!O11*'Output-Calculation-sheet'!O74</f>
        <v>534.53432171248835</v>
      </c>
      <c r="P89" s="2">
        <f>P12/'Output-Calculation-sheet'!P11*'Output-Calculation-sheet'!P74</f>
        <v>40.705419203319934</v>
      </c>
      <c r="Q89" s="2">
        <f>Q12/'Output-Calculation-sheet'!Q11*'Output-Calculation-sheet'!Q74</f>
        <v>57.907511163052888</v>
      </c>
      <c r="R89" s="2">
        <f>R12/'Output-Calculation-sheet'!R11*'Output-Calculation-sheet'!R74</f>
        <v>38.284063243844884</v>
      </c>
      <c r="S89" s="2">
        <f>S12/'Output-Calculation-sheet'!S11*'Output-Calculation-sheet'!S74</f>
        <v>37.886751995108966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12.317356188098419</v>
      </c>
      <c r="V89" s="2">
        <f>V12/'Output-Calculation-sheet'!V11*'Output-Calculation-sheet'!V74</f>
        <v>4.7488993717037724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14.754346586623868</v>
      </c>
      <c r="Y89" s="2">
        <f>Y12/'Output-Calculation-sheet'!Y11*'Output-Calculation-sheet'!Y74</f>
        <v>4.7460727052393086</v>
      </c>
      <c r="AA89" s="2">
        <f t="shared" si="7"/>
        <v>3.5451366522976375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8678677473.1126938</v>
      </c>
      <c r="C93" s="2">
        <f>C5/'Output-Calculation-sheet'!C4*'Output-Calculation-sheet'!C76</f>
        <v>983419640.68883765</v>
      </c>
      <c r="D93" s="2">
        <f>D5/'Output-Calculation-sheet'!D4*'Output-Calculation-sheet'!D76</f>
        <v>4006313924.9839611</v>
      </c>
      <c r="E93" s="2">
        <f>E5/'Output-Calculation-sheet'!E4*'Output-Calculation-sheet'!E76</f>
        <v>6419977926.5662022</v>
      </c>
      <c r="F93" s="2">
        <f>F5/'Output-Calculation-sheet'!F4*'Output-Calculation-sheet'!F76</f>
        <v>3009371453.542871</v>
      </c>
      <c r="G93" s="2">
        <f>G5/'Output-Calculation-sheet'!G4*'Output-Calculation-sheet'!G76</f>
        <v>2276602874.3854961</v>
      </c>
      <c r="H93" s="2">
        <f>H5/'Output-Calculation-sheet'!H4*'Output-Calculation-sheet'!H76</f>
        <v>626166080.29627466</v>
      </c>
      <c r="I93" s="2">
        <f>I5/'Output-Calculation-sheet'!I4*'Output-Calculation-sheet'!I76</f>
        <v>1522008202.2461827</v>
      </c>
      <c r="J93" s="2">
        <f>J5/'Output-Calculation-sheet'!J4*'Output-Calculation-sheet'!J76</f>
        <v>1135908051.6044307</v>
      </c>
      <c r="K93" s="2">
        <f>K5/'Output-Calculation-sheet'!K4*'Output-Calculation-sheet'!K76</f>
        <v>1326154489.8065472</v>
      </c>
      <c r="L93" s="2">
        <f>L5/'Output-Calculation-sheet'!L4*'Output-Calculation-sheet'!L76</f>
        <v>1007278556.7290549</v>
      </c>
      <c r="M93" s="2">
        <f>M5/'Output-Calculation-sheet'!M4*'Output-Calculation-sheet'!M76</f>
        <v>478726955.61997372</v>
      </c>
      <c r="N93" s="2">
        <f>N5/'Output-Calculation-sheet'!N4*'Output-Calculation-sheet'!N76</f>
        <v>481202613.5959264</v>
      </c>
      <c r="O93" s="2">
        <f>O5/'Output-Calculation-sheet'!O4*'Output-Calculation-sheet'!O76</f>
        <v>0</v>
      </c>
      <c r="P93" s="2">
        <f>P5/'Output-Calculation-sheet'!P4*'Output-Calculation-sheet'!P76</f>
        <v>1378164463.9726412</v>
      </c>
      <c r="Q93" s="2">
        <f>Q5/'Output-Calculation-sheet'!Q4*'Output-Calculation-sheet'!Q76</f>
        <v>597552505.86640728</v>
      </c>
      <c r="R93" s="2">
        <f>R5/'Output-Calculation-sheet'!R4*'Output-Calculation-sheet'!R76</f>
        <v>887725344.88257587</v>
      </c>
      <c r="S93" s="2">
        <f>S5/'Output-Calculation-sheet'!S4*'Output-Calculation-sheet'!S76</f>
        <v>354927090.64965397</v>
      </c>
      <c r="T93" s="2">
        <f>T5/'Output-Calculation-sheet'!T4*'Output-Calculation-sheet'!T76</f>
        <v>485653838.45657134</v>
      </c>
      <c r="U93" s="2">
        <f>U5/'Output-Calculation-sheet'!U4*'Output-Calculation-sheet'!U76</f>
        <v>252657059.37878236</v>
      </c>
      <c r="V93" s="2">
        <f>V5/'Output-Calculation-sheet'!V4*'Output-Calculation-sheet'!V76</f>
        <v>187616024.57647094</v>
      </c>
      <c r="W93" s="2">
        <f>W5/'Output-Calculation-sheet'!W4*'Output-Calculation-sheet'!W76</f>
        <v>476095703.83823991</v>
      </c>
      <c r="X93" s="2">
        <f>X5/'Output-Calculation-sheet'!X4*'Output-Calculation-sheet'!X76</f>
        <v>53258581.714347184</v>
      </c>
      <c r="Y93" s="2">
        <f>Y5/'Output-Calculation-sheet'!Y4*'Output-Calculation-sheet'!Y76</f>
        <v>210678630.97651792</v>
      </c>
      <c r="AA93" s="2">
        <f t="shared" ref="AA93:AA100" si="8">SUM(B93:Y93)/10^9</f>
        <v>36.836137487490653</v>
      </c>
    </row>
    <row r="94" spans="1:27" x14ac:dyDescent="0.25">
      <c r="A94" s="2">
        <v>2029</v>
      </c>
      <c r="B94" s="2">
        <f>B6/'Output-Calculation-sheet'!B5*'Output-Calculation-sheet'!B77</f>
        <v>11988832741.892843</v>
      </c>
      <c r="C94" s="2">
        <f>C6/'Output-Calculation-sheet'!C5*'Output-Calculation-sheet'!C77</f>
        <v>1388932312.0863962</v>
      </c>
      <c r="D94" s="2">
        <f>D6/'Output-Calculation-sheet'!D5*'Output-Calculation-sheet'!D77</f>
        <v>5492046324.4438477</v>
      </c>
      <c r="E94" s="2">
        <f>E6/'Output-Calculation-sheet'!E5*'Output-Calculation-sheet'!E77</f>
        <v>8972617760.0951538</v>
      </c>
      <c r="F94" s="2">
        <f>F6/'Output-Calculation-sheet'!F5*'Output-Calculation-sheet'!F77</f>
        <v>4122573727.5453095</v>
      </c>
      <c r="G94" s="2">
        <f>G6/'Output-Calculation-sheet'!G5*'Output-Calculation-sheet'!G77</f>
        <v>3159991719.5502887</v>
      </c>
      <c r="H94" s="2">
        <f>H6/'Output-Calculation-sheet'!H5*'Output-Calculation-sheet'!H77</f>
        <v>878179307.32203352</v>
      </c>
      <c r="I94" s="2">
        <f>I6/'Output-Calculation-sheet'!I5*'Output-Calculation-sheet'!I77</f>
        <v>2081130279.3114321</v>
      </c>
      <c r="J94" s="2">
        <f>J6/'Output-Calculation-sheet'!J5*'Output-Calculation-sheet'!J77</f>
        <v>1570074922.5887587</v>
      </c>
      <c r="K94" s="2">
        <f>K6/'Output-Calculation-sheet'!K5*'Output-Calculation-sheet'!K77</f>
        <v>1816339196.9411726</v>
      </c>
      <c r="L94" s="2">
        <f>L6/'Output-Calculation-sheet'!L5*'Output-Calculation-sheet'!L77</f>
        <v>1391576177.1780217</v>
      </c>
      <c r="M94" s="2">
        <f>M6/'Output-Calculation-sheet'!M5*'Output-Calculation-sheet'!M77</f>
        <v>675561687.97372925</v>
      </c>
      <c r="N94" s="2">
        <f>N6/'Output-Calculation-sheet'!N5*'Output-Calculation-sheet'!N77</f>
        <v>692167875.88358212</v>
      </c>
      <c r="O94" s="2">
        <f>O6/'Output-Calculation-sheet'!O5*'Output-Calculation-sheet'!O77</f>
        <v>0</v>
      </c>
      <c r="P94" s="2">
        <f>P6/'Output-Calculation-sheet'!P5*'Output-Calculation-sheet'!P77</f>
        <v>1911551452.1963601</v>
      </c>
      <c r="Q94" s="2">
        <f>Q6/'Output-Calculation-sheet'!Q5*'Output-Calculation-sheet'!Q77</f>
        <v>839595663.84309888</v>
      </c>
      <c r="R94" s="2">
        <f>R6/'Output-Calculation-sheet'!R5*'Output-Calculation-sheet'!R77</f>
        <v>1222863422.9196246</v>
      </c>
      <c r="S94" s="2">
        <f>S6/'Output-Calculation-sheet'!S5*'Output-Calculation-sheet'!S77</f>
        <v>495103138.49884063</v>
      </c>
      <c r="T94" s="2">
        <f>T6/'Output-Calculation-sheet'!T5*'Output-Calculation-sheet'!T77</f>
        <v>676233608.74637485</v>
      </c>
      <c r="U94" s="2">
        <f>U6/'Output-Calculation-sheet'!U5*'Output-Calculation-sheet'!U77</f>
        <v>340351603.94654149</v>
      </c>
      <c r="V94" s="2">
        <f>V6/'Output-Calculation-sheet'!V5*'Output-Calculation-sheet'!V77</f>
        <v>252058369.84620649</v>
      </c>
      <c r="W94" s="2">
        <f>W6/'Output-Calculation-sheet'!W5*'Output-Calculation-sheet'!W77</f>
        <v>661524027.53328741</v>
      </c>
      <c r="X94" s="2">
        <f>X6/'Output-Calculation-sheet'!X5*'Output-Calculation-sheet'!X77</f>
        <v>74773383.714763492</v>
      </c>
      <c r="Y94" s="2">
        <f>Y6/'Output-Calculation-sheet'!Y5*'Output-Calculation-sheet'!Y77</f>
        <v>294350257.7767967</v>
      </c>
      <c r="AA94" s="2">
        <f t="shared" si="8"/>
        <v>50.998428961834463</v>
      </c>
    </row>
    <row r="95" spans="1:27" x14ac:dyDescent="0.25">
      <c r="A95" s="2">
        <v>2030</v>
      </c>
      <c r="B95" s="2">
        <f>B7/'Output-Calculation-sheet'!B6*'Output-Calculation-sheet'!B78</f>
        <v>15053432903.506229</v>
      </c>
      <c r="C95" s="2">
        <f>C7/'Output-Calculation-sheet'!C6*'Output-Calculation-sheet'!C78</f>
        <v>1787715846.2731683</v>
      </c>
      <c r="D95" s="2">
        <f>D7/'Output-Calculation-sheet'!D6*'Output-Calculation-sheet'!D78</f>
        <v>6857812085.4336948</v>
      </c>
      <c r="E95" s="2">
        <f>E7/'Output-Calculation-sheet'!E6*'Output-Calculation-sheet'!E78</f>
        <v>11399189976.63501</v>
      </c>
      <c r="F95" s="2">
        <f>F7/'Output-Calculation-sheet'!F6*'Output-Calculation-sheet'!F78</f>
        <v>5136891239.0918236</v>
      </c>
      <c r="G95" s="2">
        <f>G7/'Output-Calculation-sheet'!G6*'Output-Calculation-sheet'!G78</f>
        <v>3993816630.7976995</v>
      </c>
      <c r="H95" s="2">
        <f>H7/'Output-Calculation-sheet'!H6*'Output-Calculation-sheet'!H78</f>
        <v>1119615779.9919689</v>
      </c>
      <c r="I95" s="2">
        <f>I7/'Output-Calculation-sheet'!I6*'Output-Calculation-sheet'!I78</f>
        <v>2590055234.226768</v>
      </c>
      <c r="J95" s="2">
        <f>J7/'Output-Calculation-sheet'!J6*'Output-Calculation-sheet'!J78</f>
        <v>1975758861.3451266</v>
      </c>
      <c r="K95" s="2">
        <f>K7/'Output-Calculation-sheet'!K6*'Output-Calculation-sheet'!K78</f>
        <v>2263556083.7243619</v>
      </c>
      <c r="L95" s="2">
        <f>L7/'Output-Calculation-sheet'!L6*'Output-Calculation-sheet'!L78</f>
        <v>1749346217.8108346</v>
      </c>
      <c r="M95" s="2">
        <f>M7/'Output-Calculation-sheet'!M6*'Output-Calculation-sheet'!M78</f>
        <v>866463738.68835604</v>
      </c>
      <c r="N95" s="2">
        <f>N7/'Output-Calculation-sheet'!N6*'Output-Calculation-sheet'!N78</f>
        <v>902872559.32313979</v>
      </c>
      <c r="O95" s="2">
        <f>O7/'Output-Calculation-sheet'!O6*'Output-Calculation-sheet'!O78</f>
        <v>204740536.83672199</v>
      </c>
      <c r="P95" s="2">
        <f>P7/'Output-Calculation-sheet'!P6*'Output-Calculation-sheet'!P78</f>
        <v>2412252346.6891365</v>
      </c>
      <c r="Q95" s="2">
        <f>Q7/'Output-Calculation-sheet'!Q6*'Output-Calculation-sheet'!Q78</f>
        <v>1067193847.0329591</v>
      </c>
      <c r="R95" s="2">
        <f>R7/'Output-Calculation-sheet'!R6*'Output-Calculation-sheet'!R78</f>
        <v>1584534918.6391881</v>
      </c>
      <c r="S95" s="2">
        <f>S7/'Output-Calculation-sheet'!S6*'Output-Calculation-sheet'!S78</f>
        <v>626670736.80086517</v>
      </c>
      <c r="T95" s="2">
        <f>T7/'Output-Calculation-sheet'!T6*'Output-Calculation-sheet'!T78</f>
        <v>861719555.97063184</v>
      </c>
      <c r="U95" s="2">
        <f>U7/'Output-Calculation-sheet'!U6*'Output-Calculation-sheet'!U78</f>
        <v>416559979.52697444</v>
      </c>
      <c r="V95" s="2">
        <f>V7/'Output-Calculation-sheet'!V6*'Output-Calculation-sheet'!V78</f>
        <v>307776385.23459387</v>
      </c>
      <c r="W95" s="2">
        <f>W7/'Output-Calculation-sheet'!W6*'Output-Calculation-sheet'!W78</f>
        <v>836843585.10110044</v>
      </c>
      <c r="X95" s="2">
        <f>X7/'Output-Calculation-sheet'!X6*'Output-Calculation-sheet'!X78</f>
        <v>95583161.846152335</v>
      </c>
      <c r="Y95" s="2">
        <f>Y7/'Output-Calculation-sheet'!Y6*'Output-Calculation-sheet'!Y78</f>
        <v>375238994.00691855</v>
      </c>
      <c r="AA95" s="2">
        <f t="shared" si="8"/>
        <v>64.485641204533437</v>
      </c>
    </row>
    <row r="96" spans="1:27" x14ac:dyDescent="0.25">
      <c r="A96" s="2">
        <v>2031</v>
      </c>
      <c r="B96" s="2">
        <f>B8/'Output-Calculation-sheet'!B7*'Output-Calculation-sheet'!B79</f>
        <v>17807827257.820625</v>
      </c>
      <c r="C96" s="2">
        <f>C8/'Output-Calculation-sheet'!C7*'Output-Calculation-sheet'!C79</f>
        <v>2191954968.7908368</v>
      </c>
      <c r="D96" s="2">
        <f>D8/'Output-Calculation-sheet'!D7*'Output-Calculation-sheet'!D79</f>
        <v>7762383686.0083122</v>
      </c>
      <c r="E96" s="2">
        <f>E8/'Output-Calculation-sheet'!E7*'Output-Calculation-sheet'!E79</f>
        <v>13271921994.133101</v>
      </c>
      <c r="F96" s="2">
        <f>F8/'Output-Calculation-sheet'!F7*'Output-Calculation-sheet'!F79</f>
        <v>5972807843.7083921</v>
      </c>
      <c r="G96" s="2">
        <f>G8/'Output-Calculation-sheet'!G7*'Output-Calculation-sheet'!G79</f>
        <v>4536618817.7299252</v>
      </c>
      <c r="H96" s="2">
        <f>H8/'Output-Calculation-sheet'!H7*'Output-Calculation-sheet'!H79</f>
        <v>1319857159.0033081</v>
      </c>
      <c r="I96" s="2">
        <f>I8/'Output-Calculation-sheet'!I7*'Output-Calculation-sheet'!I79</f>
        <v>3043040884.0644903</v>
      </c>
      <c r="J96" s="2">
        <f>J8/'Output-Calculation-sheet'!J7*'Output-Calculation-sheet'!J79</f>
        <v>2254946030.0707965</v>
      </c>
      <c r="K96" s="2">
        <f>K8/'Output-Calculation-sheet'!K7*'Output-Calculation-sheet'!K79</f>
        <v>2607284497.9570684</v>
      </c>
      <c r="L96" s="2">
        <f>L8/'Output-Calculation-sheet'!L7*'Output-Calculation-sheet'!L79</f>
        <v>2074046911.0989912</v>
      </c>
      <c r="M96" s="2">
        <f>M8/'Output-Calculation-sheet'!M7*'Output-Calculation-sheet'!M79</f>
        <v>1026071157.95012</v>
      </c>
      <c r="N96" s="2">
        <f>N8/'Output-Calculation-sheet'!N7*'Output-Calculation-sheet'!N79</f>
        <v>1042077065.7922462</v>
      </c>
      <c r="O96" s="2">
        <f>O8/'Output-Calculation-sheet'!O7*'Output-Calculation-sheet'!O79</f>
        <v>254371109.28251511</v>
      </c>
      <c r="P96" s="2">
        <f>P8/'Output-Calculation-sheet'!P7*'Output-Calculation-sheet'!P79</f>
        <v>2771566749.2700152</v>
      </c>
      <c r="Q96" s="2">
        <f>Q8/'Output-Calculation-sheet'!Q7*'Output-Calculation-sheet'!Q79</f>
        <v>1229000484.0271204</v>
      </c>
      <c r="R96" s="2">
        <f>R8/'Output-Calculation-sheet'!R7*'Output-Calculation-sheet'!R79</f>
        <v>1869904245.9622545</v>
      </c>
      <c r="S96" s="2">
        <f>S8/'Output-Calculation-sheet'!S7*'Output-Calculation-sheet'!S79</f>
        <v>730892979.99523187</v>
      </c>
      <c r="T96" s="2">
        <f>T8/'Output-Calculation-sheet'!T7*'Output-Calculation-sheet'!T79</f>
        <v>989862407.40037751</v>
      </c>
      <c r="U96" s="2">
        <f>U8/'Output-Calculation-sheet'!U7*'Output-Calculation-sheet'!U79</f>
        <v>491637073.27174795</v>
      </c>
      <c r="V96" s="2">
        <f>V8/'Output-Calculation-sheet'!V7*'Output-Calculation-sheet'!V79</f>
        <v>362272168.828879</v>
      </c>
      <c r="W96" s="2">
        <f>W8/'Output-Calculation-sheet'!W7*'Output-Calculation-sheet'!W79</f>
        <v>965108939.951074</v>
      </c>
      <c r="X96" s="2">
        <f>X8/'Output-Calculation-sheet'!X7*'Output-Calculation-sheet'!X79</f>
        <v>114363308.51388961</v>
      </c>
      <c r="Y96" s="2">
        <f>Y8/'Output-Calculation-sheet'!Y7*'Output-Calculation-sheet'!Y79</f>
        <v>433129037.17676711</v>
      </c>
      <c r="AA96" s="2">
        <f t="shared" si="8"/>
        <v>75.122946777808082</v>
      </c>
    </row>
    <row r="97" spans="1:27" x14ac:dyDescent="0.25">
      <c r="A97" s="2">
        <v>2032</v>
      </c>
      <c r="B97" s="2">
        <f>B9/'Output-Calculation-sheet'!B8*'Output-Calculation-sheet'!B80</f>
        <v>19657081733.616241</v>
      </c>
      <c r="C97" s="2">
        <f>C9/'Output-Calculation-sheet'!C8*'Output-Calculation-sheet'!C80</f>
        <v>2469583059.3544397</v>
      </c>
      <c r="D97" s="2">
        <f>D9/'Output-Calculation-sheet'!D8*'Output-Calculation-sheet'!D80</f>
        <v>8133560802.3465881</v>
      </c>
      <c r="E97" s="2">
        <f>E9/'Output-Calculation-sheet'!E8*'Output-Calculation-sheet'!E80</f>
        <v>14319991982.154205</v>
      </c>
      <c r="F97" s="2">
        <f>F9/'Output-Calculation-sheet'!F8*'Output-Calculation-sheet'!F80</f>
        <v>6429592055.6185799</v>
      </c>
      <c r="G97" s="2">
        <f>G9/'Output-Calculation-sheet'!G8*'Output-Calculation-sheet'!G80</f>
        <v>4759061558.3198614</v>
      </c>
      <c r="H97" s="2">
        <f>H9/'Output-Calculation-sheet'!H8*'Output-Calculation-sheet'!H80</f>
        <v>1442026411.3515987</v>
      </c>
      <c r="I97" s="2">
        <f>I9/'Output-Calculation-sheet'!I8*'Output-Calculation-sheet'!I80</f>
        <v>3305507862.9775677</v>
      </c>
      <c r="J97" s="2">
        <f>J9/'Output-Calculation-sheet'!J8*'Output-Calculation-sheet'!J80</f>
        <v>2385117101.0328636</v>
      </c>
      <c r="K97" s="2">
        <f>K9/'Output-Calculation-sheet'!K8*'Output-Calculation-sheet'!K80</f>
        <v>2776346527.2004466</v>
      </c>
      <c r="L97" s="2">
        <f>L9/'Output-Calculation-sheet'!L8*'Output-Calculation-sheet'!L80</f>
        <v>2276445996.5917487</v>
      </c>
      <c r="M97" s="2">
        <f>M9/'Output-Calculation-sheet'!M8*'Output-Calculation-sheet'!M80</f>
        <v>1120861330.702909</v>
      </c>
      <c r="N97" s="2">
        <f>N9/'Output-Calculation-sheet'!N8*'Output-Calculation-sheet'!N80</f>
        <v>1110915927.1669025</v>
      </c>
      <c r="O97" s="2">
        <f>O9/'Output-Calculation-sheet'!O8*'Output-Calculation-sheet'!O80</f>
        <v>289928152.42870718</v>
      </c>
      <c r="P97" s="2">
        <f>P9/'Output-Calculation-sheet'!P8*'Output-Calculation-sheet'!P80</f>
        <v>2948417427.4716458</v>
      </c>
      <c r="Q97" s="2">
        <f>Q9/'Output-Calculation-sheet'!Q8*'Output-Calculation-sheet'!Q80</f>
        <v>1311033674.8709731</v>
      </c>
      <c r="R97" s="2">
        <f>R9/'Output-Calculation-sheet'!R8*'Output-Calculation-sheet'!R80</f>
        <v>2040161394.1000979</v>
      </c>
      <c r="S97" s="2">
        <f>S9/'Output-Calculation-sheet'!S8*'Output-Calculation-sheet'!S80</f>
        <v>786826173.49362576</v>
      </c>
      <c r="T97" s="2">
        <f>T9/'Output-Calculation-sheet'!T8*'Output-Calculation-sheet'!T80</f>
        <v>1052066485.7525406</v>
      </c>
      <c r="U97" s="2">
        <f>U9/'Output-Calculation-sheet'!U8*'Output-Calculation-sheet'!U80</f>
        <v>533945923.99134392</v>
      </c>
      <c r="V97" s="2">
        <f>V9/'Output-Calculation-sheet'!V8*'Output-Calculation-sheet'!V80</f>
        <v>393320384.63595909</v>
      </c>
      <c r="W97" s="2">
        <f>W9/'Output-Calculation-sheet'!W8*'Output-Calculation-sheet'!W80</f>
        <v>1028593687.1495978</v>
      </c>
      <c r="X97" s="2">
        <f>X9/'Output-Calculation-sheet'!X8*'Output-Calculation-sheet'!X80</f>
        <v>125962297.23846826</v>
      </c>
      <c r="Y97" s="2">
        <f>Y9/'Output-Calculation-sheet'!Y8*'Output-Calculation-sheet'!Y80</f>
        <v>461885131.63444084</v>
      </c>
      <c r="AA97" s="2">
        <f t="shared" si="8"/>
        <v>81.158233081201359</v>
      </c>
    </row>
    <row r="98" spans="1:27" x14ac:dyDescent="0.25">
      <c r="A98" s="2">
        <v>2033</v>
      </c>
      <c r="B98" s="2">
        <f>B10/'Output-Calculation-sheet'!B9*'Output-Calculation-sheet'!B81</f>
        <v>23256191428.81039</v>
      </c>
      <c r="C98" s="2">
        <f>C10/'Output-Calculation-sheet'!C9*'Output-Calculation-sheet'!C81</f>
        <v>7973375666.1894579</v>
      </c>
      <c r="D98" s="2">
        <f>D10/'Output-Calculation-sheet'!D9*'Output-Calculation-sheet'!D81</f>
        <v>7588225139.4941511</v>
      </c>
      <c r="E98" s="2">
        <f>E10/'Output-Calculation-sheet'!E9*'Output-Calculation-sheet'!E81</f>
        <v>14273928936.436104</v>
      </c>
      <c r="F98" s="2">
        <f>F10/'Output-Calculation-sheet'!F9*'Output-Calculation-sheet'!F81</f>
        <v>5886913309.7032347</v>
      </c>
      <c r="G98" s="2">
        <f>G10/'Output-Calculation-sheet'!G9*'Output-Calculation-sheet'!G81</f>
        <v>4322351868.6742964</v>
      </c>
      <c r="H98" s="2">
        <f>H10/'Output-Calculation-sheet'!H9*'Output-Calculation-sheet'!H81</f>
        <v>3916086107.696774</v>
      </c>
      <c r="I98" s="2">
        <f>I10/'Output-Calculation-sheet'!I9*'Output-Calculation-sheet'!I81</f>
        <v>3255423686.0755353</v>
      </c>
      <c r="J98" s="2">
        <f>J10/'Output-Calculation-sheet'!J9*'Output-Calculation-sheet'!J81</f>
        <v>2081599956.7232056</v>
      </c>
      <c r="K98" s="2">
        <f>K10/'Output-Calculation-sheet'!K9*'Output-Calculation-sheet'!K81</f>
        <v>3023606486.8327589</v>
      </c>
      <c r="L98" s="2">
        <f>L10/'Output-Calculation-sheet'!L9*'Output-Calculation-sheet'!L81</f>
        <v>2267750125.0663075</v>
      </c>
      <c r="M98" s="2">
        <f>M10/'Output-Calculation-sheet'!M9*'Output-Calculation-sheet'!M81</f>
        <v>2940816245.1354823</v>
      </c>
      <c r="N98" s="2">
        <f>N10/'Output-Calculation-sheet'!N9*'Output-Calculation-sheet'!N81</f>
        <v>2109806198.1528327</v>
      </c>
      <c r="O98" s="2">
        <f>O10/'Output-Calculation-sheet'!O9*'Output-Calculation-sheet'!O81</f>
        <v>1117261576.5995855</v>
      </c>
      <c r="P98" s="2">
        <f>P10/'Output-Calculation-sheet'!P9*'Output-Calculation-sheet'!P81</f>
        <v>3570443830.5236492</v>
      </c>
      <c r="Q98" s="2">
        <f>Q10/'Output-Calculation-sheet'!Q9*'Output-Calculation-sheet'!Q81</f>
        <v>1678732176.2582598</v>
      </c>
      <c r="R98" s="2">
        <f>R10/'Output-Calculation-sheet'!R9*'Output-Calculation-sheet'!R81</f>
        <v>2147352425.8352685</v>
      </c>
      <c r="S98" s="2">
        <f>S10/'Output-Calculation-sheet'!S9*'Output-Calculation-sheet'!S81</f>
        <v>1241552014.1738448</v>
      </c>
      <c r="T98" s="2">
        <f>T10/'Output-Calculation-sheet'!T9*'Output-Calculation-sheet'!T81</f>
        <v>921282671.46686625</v>
      </c>
      <c r="U98" s="2">
        <f>U10/'Output-Calculation-sheet'!U9*'Output-Calculation-sheet'!U81</f>
        <v>599446257.14297688</v>
      </c>
      <c r="V98" s="2">
        <f>V10/'Output-Calculation-sheet'!V9*'Output-Calculation-sheet'!V81</f>
        <v>317476832.31784177</v>
      </c>
      <c r="W98" s="2">
        <f>W10/'Output-Calculation-sheet'!W9*'Output-Calculation-sheet'!W81</f>
        <v>900156349.22631598</v>
      </c>
      <c r="X98" s="2">
        <f>X10/'Output-Calculation-sheet'!X9*'Output-Calculation-sheet'!X81</f>
        <v>330780223.8715077</v>
      </c>
      <c r="Y98" s="2">
        <f>Y10/'Output-Calculation-sheet'!Y9*'Output-Calculation-sheet'!Y81</f>
        <v>494961706.38255167</v>
      </c>
      <c r="AA98" s="2">
        <f t="shared" si="8"/>
        <v>96.215521218789206</v>
      </c>
    </row>
    <row r="99" spans="1:27" x14ac:dyDescent="0.25">
      <c r="A99" s="2">
        <v>2034</v>
      </c>
      <c r="B99" s="2">
        <f>B11/'Output-Calculation-sheet'!B10*'Output-Calculation-sheet'!B82</f>
        <v>26302825531.437054</v>
      </c>
      <c r="C99" s="2">
        <f>C11/'Output-Calculation-sheet'!C10*'Output-Calculation-sheet'!C82</f>
        <v>9075553954.9279461</v>
      </c>
      <c r="D99" s="2">
        <f>D11/'Output-Calculation-sheet'!D10*'Output-Calculation-sheet'!D82</f>
        <v>8256201289.9641323</v>
      </c>
      <c r="E99" s="2">
        <f>E11/'Output-Calculation-sheet'!E10*'Output-Calculation-sheet'!E82</f>
        <v>15970897417.894487</v>
      </c>
      <c r="F99" s="2">
        <f>F11/'Output-Calculation-sheet'!F10*'Output-Calculation-sheet'!F82</f>
        <v>6577594281.5074577</v>
      </c>
      <c r="G99" s="2">
        <f>G11/'Output-Calculation-sheet'!G10*'Output-Calculation-sheet'!G82</f>
        <v>4676201470.6026373</v>
      </c>
      <c r="H99" s="2">
        <f>H11/'Output-Calculation-sheet'!H10*'Output-Calculation-sheet'!H82</f>
        <v>4370759281.9411268</v>
      </c>
      <c r="I99" s="2">
        <f>I11/'Output-Calculation-sheet'!I10*'Output-Calculation-sheet'!I82</f>
        <v>3671133518.0560694</v>
      </c>
      <c r="J99" s="2">
        <f>J11/'Output-Calculation-sheet'!J10*'Output-Calculation-sheet'!J82</f>
        <v>2284544984.2283101</v>
      </c>
      <c r="K99" s="2">
        <f>K11/'Output-Calculation-sheet'!K10*'Output-Calculation-sheet'!K82</f>
        <v>3342589105.5150695</v>
      </c>
      <c r="L99" s="2">
        <f>L11/'Output-Calculation-sheet'!L10*'Output-Calculation-sheet'!L82</f>
        <v>2580723230.9484215</v>
      </c>
      <c r="M99" s="2">
        <f>M11/'Output-Calculation-sheet'!M10*'Output-Calculation-sheet'!M82</f>
        <v>3292411953.521564</v>
      </c>
      <c r="N99" s="2">
        <f>N11/'Output-Calculation-sheet'!N10*'Output-Calculation-sheet'!N82</f>
        <v>2319507297.602354</v>
      </c>
      <c r="O99" s="2">
        <f>O11/'Output-Calculation-sheet'!O10*'Output-Calculation-sheet'!O82</f>
        <v>1257521312.6923096</v>
      </c>
      <c r="P99" s="2">
        <f>P11/'Output-Calculation-sheet'!P10*'Output-Calculation-sheet'!P82</f>
        <v>3919978811.7737169</v>
      </c>
      <c r="Q99" s="2">
        <f>Q11/'Output-Calculation-sheet'!Q10*'Output-Calculation-sheet'!Q82</f>
        <v>1855180307.318023</v>
      </c>
      <c r="R99" s="2">
        <f>R11/'Output-Calculation-sheet'!R10*'Output-Calculation-sheet'!R82</f>
        <v>2401522328.3455992</v>
      </c>
      <c r="S99" s="2">
        <f>S11/'Output-Calculation-sheet'!S10*'Output-Calculation-sheet'!S82</f>
        <v>1383343999.2894588</v>
      </c>
      <c r="T99" s="2">
        <f>T11/'Output-Calculation-sheet'!T10*'Output-Calculation-sheet'!T82</f>
        <v>1011062731.552945</v>
      </c>
      <c r="U99" s="2">
        <f>U11/'Output-Calculation-sheet'!U10*'Output-Calculation-sheet'!U82</f>
        <v>669546122.30159593</v>
      </c>
      <c r="V99" s="2">
        <f>V11/'Output-Calculation-sheet'!V10*'Output-Calculation-sheet'!V82</f>
        <v>357997964.08426988</v>
      </c>
      <c r="W99" s="2">
        <f>W11/'Output-Calculation-sheet'!W10*'Output-Calculation-sheet'!W82</f>
        <v>992740888.56344557</v>
      </c>
      <c r="X99" s="2">
        <f>X11/'Output-Calculation-sheet'!X10*'Output-Calculation-sheet'!X82</f>
        <v>373893549.88297588</v>
      </c>
      <c r="Y99" s="2">
        <f>Y11/'Output-Calculation-sheet'!Y10*'Output-Calculation-sheet'!Y82</f>
        <v>546322349.61969304</v>
      </c>
      <c r="AA99" s="2">
        <f t="shared" si="8"/>
        <v>107.49005368357068</v>
      </c>
    </row>
    <row r="100" spans="1:27" x14ac:dyDescent="0.25">
      <c r="A100" s="2">
        <v>2035</v>
      </c>
      <c r="B100" s="2">
        <f>B12/'Output-Calculation-sheet'!B11*'Output-Calculation-sheet'!B83</f>
        <v>27879759027.39505</v>
      </c>
      <c r="C100" s="2">
        <f>C12/'Output-Calculation-sheet'!C11*'Output-Calculation-sheet'!C83</f>
        <v>9679399500.942606</v>
      </c>
      <c r="D100" s="2">
        <f>D12/'Output-Calculation-sheet'!D11*'Output-Calculation-sheet'!D83</f>
        <v>8424676152.315938</v>
      </c>
      <c r="E100" s="2">
        <f>E12/'Output-Calculation-sheet'!E11*'Output-Calculation-sheet'!E83</f>
        <v>16754507057.456821</v>
      </c>
      <c r="F100" s="2">
        <f>F12/'Output-Calculation-sheet'!F11*'Output-Calculation-sheet'!F83</f>
        <v>6892136152.940134</v>
      </c>
      <c r="G100" s="2">
        <f>G12/'Output-Calculation-sheet'!G11*'Output-Calculation-sheet'!G83</f>
        <v>4736239565.6497278</v>
      </c>
      <c r="H100" s="2">
        <f>H12/'Output-Calculation-sheet'!H11*'Output-Calculation-sheet'!H83</f>
        <v>4574853471.5264635</v>
      </c>
      <c r="I100" s="2">
        <f>I12/'Output-Calculation-sheet'!I11*'Output-Calculation-sheet'!I83</f>
        <v>3881672809.7405939</v>
      </c>
      <c r="J100" s="2">
        <f>J12/'Output-Calculation-sheet'!J11*'Output-Calculation-sheet'!J83</f>
        <v>2352460791.8476124</v>
      </c>
      <c r="K100" s="2">
        <f>K12/'Output-Calculation-sheet'!K11*'Output-Calculation-sheet'!K83</f>
        <v>3466176796.6097689</v>
      </c>
      <c r="L100" s="2">
        <f>L12/'Output-Calculation-sheet'!L11*'Output-Calculation-sheet'!L83</f>
        <v>2751946737.1628914</v>
      </c>
      <c r="M100" s="2">
        <f>M12/'Output-Calculation-sheet'!M11*'Output-Calculation-sheet'!M83</f>
        <v>3457054910.3695178</v>
      </c>
      <c r="N100" s="2">
        <f>N12/'Output-Calculation-sheet'!N11*'Output-Calculation-sheet'!N83</f>
        <v>2392008951.2480359</v>
      </c>
      <c r="O100" s="2">
        <f>O12/'Output-Calculation-sheet'!O11*'Output-Calculation-sheet'!O83</f>
        <v>1327716849.5238545</v>
      </c>
      <c r="P100" s="2">
        <f>P12/'Output-Calculation-sheet'!P11*'Output-Calculation-sheet'!P83</f>
        <v>4032370413.4740801</v>
      </c>
      <c r="Q100" s="2">
        <f>Q12/'Output-Calculation-sheet'!Q11*'Output-Calculation-sheet'!Q83</f>
        <v>1923459172.2175972</v>
      </c>
      <c r="R100" s="2">
        <f>R12/'Output-Calculation-sheet'!R11*'Output-Calculation-sheet'!R83</f>
        <v>2518662579.9366622</v>
      </c>
      <c r="S100" s="2">
        <f>S12/'Output-Calculation-sheet'!S11*'Output-Calculation-sheet'!S83</f>
        <v>1445582914.1824474</v>
      </c>
      <c r="T100" s="2">
        <f>T12/'Output-Calculation-sheet'!T11*'Output-Calculation-sheet'!T83</f>
        <v>1040318839.063839</v>
      </c>
      <c r="U100" s="2">
        <f>U12/'Output-Calculation-sheet'!U11*'Output-Calculation-sheet'!U83</f>
        <v>701057108.27304721</v>
      </c>
      <c r="V100" s="2">
        <f>V12/'Output-Calculation-sheet'!V11*'Output-Calculation-sheet'!V83</f>
        <v>378261042.35872269</v>
      </c>
      <c r="W100" s="2">
        <f>W12/'Output-Calculation-sheet'!W11*'Output-Calculation-sheet'!W83</f>
        <v>1024802092.1113744</v>
      </c>
      <c r="X100" s="2">
        <f>X12/'Output-Calculation-sheet'!X11*'Output-Calculation-sheet'!X83</f>
        <v>396198222.98483425</v>
      </c>
      <c r="Y100" s="2">
        <f>Y12/'Output-Calculation-sheet'!Y11*'Output-Calculation-sheet'!Y83</f>
        <v>564727122.87282646</v>
      </c>
      <c r="AA100" s="2">
        <f t="shared" si="8"/>
        <v>112.59604828220444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133.22300000000001</v>
      </c>
      <c r="C13" s="7">
        <v>0</v>
      </c>
      <c r="D13" s="7">
        <v>69.117000000000004</v>
      </c>
      <c r="E13" s="7">
        <v>108.04300000000001</v>
      </c>
      <c r="F13" s="7">
        <v>84.61</v>
      </c>
      <c r="G13" s="7">
        <v>71.694000000000003</v>
      </c>
      <c r="H13" s="7">
        <v>0</v>
      </c>
      <c r="I13" s="7">
        <v>74.795000000000002</v>
      </c>
      <c r="J13" s="7">
        <v>81.825000000000003</v>
      </c>
      <c r="K13" s="7">
        <v>78.384</v>
      </c>
      <c r="L13" s="7">
        <v>110.178</v>
      </c>
      <c r="M13" s="7">
        <v>0</v>
      </c>
      <c r="N13" s="7">
        <v>59.024999999999999</v>
      </c>
      <c r="O13" s="7">
        <v>0</v>
      </c>
      <c r="P13" s="7">
        <v>107.224</v>
      </c>
      <c r="Q13" s="7">
        <v>110.626</v>
      </c>
      <c r="R13" s="7">
        <v>97.575999999999993</v>
      </c>
      <c r="S13" s="7">
        <v>90.942999999999998</v>
      </c>
      <c r="T13" s="7">
        <v>102.93</v>
      </c>
      <c r="U13" s="7">
        <v>89.555999999999997</v>
      </c>
      <c r="V13" s="7">
        <v>159.75700000000001</v>
      </c>
      <c r="W13" s="7">
        <v>86.191999999999993</v>
      </c>
      <c r="X13" s="7">
        <v>0</v>
      </c>
      <c r="Y13" s="7">
        <v>100.67100000000001</v>
      </c>
    </row>
    <row r="14" spans="1:25" ht="28.5" customHeight="1" x14ac:dyDescent="0.25">
      <c r="A14" s="4"/>
      <c r="B14" s="7">
        <v>133.07900000000001</v>
      </c>
      <c r="C14" s="7">
        <v>0</v>
      </c>
      <c r="D14" s="7">
        <v>69.721000000000004</v>
      </c>
      <c r="E14" s="7">
        <v>109.773</v>
      </c>
      <c r="F14" s="7">
        <v>85.408000000000001</v>
      </c>
      <c r="G14" s="7">
        <v>72.382000000000005</v>
      </c>
      <c r="H14" s="7">
        <v>0</v>
      </c>
      <c r="I14" s="7">
        <v>75.587999999999994</v>
      </c>
      <c r="J14" s="7">
        <v>82.7</v>
      </c>
      <c r="K14" s="7">
        <v>79.528999999999996</v>
      </c>
      <c r="L14" s="7">
        <v>111.295</v>
      </c>
      <c r="M14" s="7">
        <v>0</v>
      </c>
      <c r="N14" s="7">
        <v>58.042000000000002</v>
      </c>
      <c r="O14" s="7">
        <v>0</v>
      </c>
      <c r="P14" s="7">
        <v>109.29300000000001</v>
      </c>
      <c r="Q14" s="7">
        <v>113.47</v>
      </c>
      <c r="R14" s="7">
        <v>98.731999999999999</v>
      </c>
      <c r="S14" s="7">
        <v>88.161000000000001</v>
      </c>
      <c r="T14" s="7">
        <v>104.07599999999999</v>
      </c>
      <c r="U14" s="7">
        <v>91.025000000000006</v>
      </c>
      <c r="V14" s="7">
        <v>159.011</v>
      </c>
      <c r="W14" s="7">
        <v>86.885999999999996</v>
      </c>
      <c r="X14" s="7">
        <v>0</v>
      </c>
      <c r="Y14" s="7">
        <v>101.749</v>
      </c>
    </row>
    <row r="15" spans="1:25" ht="28.5" customHeight="1" x14ac:dyDescent="0.25">
      <c r="A15" s="4"/>
      <c r="B15" s="7">
        <v>133.44999999999999</v>
      </c>
      <c r="C15" s="7">
        <v>0</v>
      </c>
      <c r="D15" s="7">
        <v>70.373000000000005</v>
      </c>
      <c r="E15" s="7">
        <v>110.974</v>
      </c>
      <c r="F15" s="7">
        <v>86.07</v>
      </c>
      <c r="G15" s="7">
        <v>73.042000000000002</v>
      </c>
      <c r="H15" s="7">
        <v>0</v>
      </c>
      <c r="I15" s="7">
        <v>76.361999999999995</v>
      </c>
      <c r="J15" s="7">
        <v>83.436000000000007</v>
      </c>
      <c r="K15" s="7">
        <v>80.641000000000005</v>
      </c>
      <c r="L15" s="7">
        <v>112.289</v>
      </c>
      <c r="M15" s="7">
        <v>0</v>
      </c>
      <c r="N15" s="7">
        <v>58.039000000000001</v>
      </c>
      <c r="O15" s="7">
        <v>0</v>
      </c>
      <c r="P15" s="7">
        <v>111.389</v>
      </c>
      <c r="Q15" s="7">
        <v>115.3</v>
      </c>
      <c r="R15" s="7">
        <v>102.14</v>
      </c>
      <c r="S15" s="7">
        <v>86.543999999999997</v>
      </c>
      <c r="T15" s="7">
        <v>105.416</v>
      </c>
      <c r="U15" s="7">
        <v>92.396000000000001</v>
      </c>
      <c r="V15" s="7">
        <v>157.57900000000001</v>
      </c>
      <c r="W15" s="7">
        <v>87.501000000000005</v>
      </c>
      <c r="X15" s="7">
        <v>0</v>
      </c>
      <c r="Y15" s="7">
        <v>103.277</v>
      </c>
    </row>
    <row r="16" spans="1:25" ht="28.5" customHeight="1" x14ac:dyDescent="0.25">
      <c r="A16" s="4"/>
      <c r="B16" s="7">
        <v>131.96600000000001</v>
      </c>
      <c r="C16" s="7">
        <v>0</v>
      </c>
      <c r="D16" s="7">
        <v>70.713999999999999</v>
      </c>
      <c r="E16" s="7">
        <v>111.504</v>
      </c>
      <c r="F16" s="7">
        <v>86.588999999999999</v>
      </c>
      <c r="G16" s="7">
        <v>73.522999999999996</v>
      </c>
      <c r="H16" s="7">
        <v>0</v>
      </c>
      <c r="I16" s="7">
        <v>76.950999999999993</v>
      </c>
      <c r="J16" s="7">
        <v>83.349000000000004</v>
      </c>
      <c r="K16" s="7">
        <v>81.233000000000004</v>
      </c>
      <c r="L16" s="7">
        <v>112.922</v>
      </c>
      <c r="M16" s="7">
        <v>0</v>
      </c>
      <c r="N16" s="7">
        <v>54.33</v>
      </c>
      <c r="O16" s="7">
        <v>0</v>
      </c>
      <c r="P16" s="7">
        <v>112.26900000000001</v>
      </c>
      <c r="Q16" s="7">
        <v>116.134</v>
      </c>
      <c r="R16" s="7">
        <v>103.92400000000001</v>
      </c>
      <c r="S16" s="7">
        <v>83.427999999999997</v>
      </c>
      <c r="T16" s="7">
        <v>106.101</v>
      </c>
      <c r="U16" s="7">
        <v>94.14</v>
      </c>
      <c r="V16" s="7">
        <v>158.078</v>
      </c>
      <c r="W16" s="7">
        <v>87.896000000000001</v>
      </c>
      <c r="X16" s="7">
        <v>0</v>
      </c>
      <c r="Y16" s="7">
        <v>103.881</v>
      </c>
    </row>
    <row r="17" spans="1:25" ht="28.5" customHeight="1" x14ac:dyDescent="0.25">
      <c r="A17" s="4"/>
      <c r="B17" s="7">
        <v>130.49</v>
      </c>
      <c r="C17" s="7">
        <v>0</v>
      </c>
      <c r="D17" s="7">
        <v>71.037000000000006</v>
      </c>
      <c r="E17" s="7">
        <v>112.279</v>
      </c>
      <c r="F17" s="7">
        <v>87.105000000000004</v>
      </c>
      <c r="G17" s="7">
        <v>73.881</v>
      </c>
      <c r="H17" s="7">
        <v>0</v>
      </c>
      <c r="I17" s="7">
        <v>77.287000000000006</v>
      </c>
      <c r="J17" s="7">
        <v>83.781000000000006</v>
      </c>
      <c r="K17" s="7">
        <v>81.590999999999994</v>
      </c>
      <c r="L17" s="7">
        <v>113.381</v>
      </c>
      <c r="M17" s="7">
        <v>0</v>
      </c>
      <c r="N17" s="7">
        <v>51.292000000000002</v>
      </c>
      <c r="O17" s="7">
        <v>0</v>
      </c>
      <c r="P17" s="7">
        <v>113.428</v>
      </c>
      <c r="Q17" s="7">
        <v>116.96299999999999</v>
      </c>
      <c r="R17" s="7">
        <v>105.556</v>
      </c>
      <c r="S17" s="7">
        <v>80.09</v>
      </c>
      <c r="T17" s="7">
        <v>106.88500000000001</v>
      </c>
      <c r="U17" s="7">
        <v>95.165999999999997</v>
      </c>
      <c r="V17" s="7">
        <v>156.94499999999999</v>
      </c>
      <c r="W17" s="7">
        <v>88.337999999999994</v>
      </c>
      <c r="X17" s="7">
        <v>0</v>
      </c>
      <c r="Y17" s="7">
        <v>104.35599999999999</v>
      </c>
    </row>
    <row r="18" spans="1:25" ht="28.5" customHeight="1" x14ac:dyDescent="0.25">
      <c r="A18" s="4"/>
      <c r="B18" s="7">
        <v>135.05600000000001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83.290999999999997</v>
      </c>
      <c r="O18" s="7">
        <v>0</v>
      </c>
      <c r="P18" s="7">
        <v>145.155</v>
      </c>
      <c r="Q18" s="7">
        <v>166.602</v>
      </c>
      <c r="R18" s="7">
        <v>110.821</v>
      </c>
      <c r="S18" s="7">
        <v>110.226</v>
      </c>
      <c r="T18" s="7">
        <v>87.435000000000002</v>
      </c>
      <c r="U18" s="7">
        <v>111.19799999999999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127.79</v>
      </c>
      <c r="C19" s="7">
        <v>0</v>
      </c>
      <c r="D19" s="7">
        <v>90.664000000000001</v>
      </c>
      <c r="E19" s="7">
        <v>141.297</v>
      </c>
      <c r="F19" s="7">
        <v>103.09099999999999</v>
      </c>
      <c r="G19" s="7">
        <v>86.031000000000006</v>
      </c>
      <c r="H19" s="7">
        <v>0</v>
      </c>
      <c r="I19" s="7">
        <v>104.367</v>
      </c>
      <c r="J19" s="7">
        <v>89.17</v>
      </c>
      <c r="K19" s="7">
        <v>124.596</v>
      </c>
      <c r="L19" s="7">
        <v>127.43</v>
      </c>
      <c r="M19" s="7">
        <v>0</v>
      </c>
      <c r="N19" s="7">
        <v>77.311000000000007</v>
      </c>
      <c r="O19" s="7">
        <v>0</v>
      </c>
      <c r="P19" s="7">
        <v>184.137</v>
      </c>
      <c r="Q19" s="7">
        <v>159.88499999999999</v>
      </c>
      <c r="R19" s="7">
        <v>139.786</v>
      </c>
      <c r="S19" s="7">
        <v>98.77</v>
      </c>
      <c r="T19" s="7">
        <v>110.86799999999999</v>
      </c>
      <c r="U19" s="7">
        <v>146.727</v>
      </c>
      <c r="V19" s="7">
        <v>129.654</v>
      </c>
      <c r="W19" s="7">
        <v>93.373000000000005</v>
      </c>
      <c r="X19" s="7">
        <v>45.149000000000001</v>
      </c>
      <c r="Y19" s="7">
        <v>145.61799999999999</v>
      </c>
    </row>
    <row r="20" spans="1:25" ht="28.5" customHeight="1" x14ac:dyDescent="0.25">
      <c r="A20" s="4"/>
      <c r="B20" s="7">
        <v>121.968</v>
      </c>
      <c r="C20" s="7">
        <v>0</v>
      </c>
      <c r="D20" s="7">
        <v>91.042000000000002</v>
      </c>
      <c r="E20" s="7">
        <v>125.17</v>
      </c>
      <c r="F20" s="7">
        <v>125.392</v>
      </c>
      <c r="G20" s="7">
        <v>93.364000000000004</v>
      </c>
      <c r="H20" s="7">
        <v>0</v>
      </c>
      <c r="I20" s="7">
        <v>112.819</v>
      </c>
      <c r="J20" s="7">
        <v>97.866</v>
      </c>
      <c r="K20" s="7">
        <v>129.56399999999999</v>
      </c>
      <c r="L20" s="7">
        <v>128.77600000000001</v>
      </c>
      <c r="M20" s="7">
        <v>0</v>
      </c>
      <c r="N20" s="7">
        <v>76.89</v>
      </c>
      <c r="O20" s="7">
        <v>0</v>
      </c>
      <c r="P20" s="7">
        <v>186.005</v>
      </c>
      <c r="Q20" s="7">
        <v>155.18799999999999</v>
      </c>
      <c r="R20" s="7">
        <v>157.06800000000001</v>
      </c>
      <c r="S20" s="7">
        <v>90.938000000000002</v>
      </c>
      <c r="T20" s="7">
        <v>133.38</v>
      </c>
      <c r="U20" s="7">
        <v>139.93</v>
      </c>
      <c r="V20" s="7">
        <v>166.69900000000001</v>
      </c>
      <c r="W20" s="7">
        <v>123.854</v>
      </c>
      <c r="X20" s="7">
        <v>41.859000000000002</v>
      </c>
      <c r="Y20" s="7">
        <v>120.30500000000001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15.545999999999999</v>
      </c>
      <c r="C22" s="7">
        <v>67.358999999999995</v>
      </c>
      <c r="D22" s="7">
        <v>0</v>
      </c>
      <c r="E22" s="7">
        <v>0</v>
      </c>
      <c r="F22" s="7">
        <v>0</v>
      </c>
      <c r="G22" s="7">
        <v>0</v>
      </c>
      <c r="H22" s="7">
        <v>83.162000000000006</v>
      </c>
      <c r="I22" s="7">
        <v>0</v>
      </c>
      <c r="J22" s="7">
        <v>0</v>
      </c>
      <c r="K22" s="7">
        <v>0</v>
      </c>
      <c r="L22" s="7">
        <v>0</v>
      </c>
      <c r="M22" s="7">
        <v>88.429000000000002</v>
      </c>
      <c r="N22" s="7">
        <v>33.137</v>
      </c>
      <c r="O22" s="7">
        <v>0</v>
      </c>
      <c r="P22" s="7">
        <v>0</v>
      </c>
      <c r="Q22" s="7">
        <v>0</v>
      </c>
      <c r="R22" s="7">
        <v>0</v>
      </c>
      <c r="S22" s="7">
        <v>18.010000000000002</v>
      </c>
      <c r="T22" s="7">
        <v>0</v>
      </c>
      <c r="U22" s="7">
        <v>0</v>
      </c>
      <c r="V22" s="7">
        <v>0</v>
      </c>
      <c r="W22" s="7">
        <v>0</v>
      </c>
      <c r="X22" s="7">
        <v>92.283000000000001</v>
      </c>
      <c r="Y22" s="7">
        <v>0</v>
      </c>
    </row>
    <row r="23" spans="1:25" x14ac:dyDescent="0.25">
      <c r="B23" s="7">
        <v>19.561</v>
      </c>
      <c r="C23" s="7">
        <v>69.591999999999999</v>
      </c>
      <c r="D23" s="7">
        <v>0</v>
      </c>
      <c r="E23" s="7">
        <v>0</v>
      </c>
      <c r="F23" s="7">
        <v>0</v>
      </c>
      <c r="G23" s="7">
        <v>0</v>
      </c>
      <c r="H23" s="7">
        <v>85.188000000000002</v>
      </c>
      <c r="I23" s="7">
        <v>0</v>
      </c>
      <c r="J23" s="7">
        <v>0</v>
      </c>
      <c r="K23" s="7">
        <v>0</v>
      </c>
      <c r="L23" s="7">
        <v>0</v>
      </c>
      <c r="M23" s="7">
        <v>90.475999999999999</v>
      </c>
      <c r="N23" s="7">
        <v>39.023000000000003</v>
      </c>
      <c r="O23" s="7">
        <v>0</v>
      </c>
      <c r="P23" s="7">
        <v>0</v>
      </c>
      <c r="Q23" s="7">
        <v>0</v>
      </c>
      <c r="R23" s="7">
        <v>0</v>
      </c>
      <c r="S23" s="7">
        <v>25.962</v>
      </c>
      <c r="T23" s="7">
        <v>0</v>
      </c>
      <c r="U23" s="7">
        <v>0</v>
      </c>
      <c r="V23" s="7">
        <v>0</v>
      </c>
      <c r="W23" s="7">
        <v>0</v>
      </c>
      <c r="X23" s="7">
        <v>94.634</v>
      </c>
      <c r="Y23" s="7">
        <v>0</v>
      </c>
    </row>
    <row r="24" spans="1:25" x14ac:dyDescent="0.25">
      <c r="B24" s="7">
        <v>22.698</v>
      </c>
      <c r="C24" s="7">
        <v>72.126999999999995</v>
      </c>
      <c r="D24" s="7">
        <v>0</v>
      </c>
      <c r="E24" s="7">
        <v>0</v>
      </c>
      <c r="F24" s="7">
        <v>0</v>
      </c>
      <c r="G24" s="7">
        <v>0</v>
      </c>
      <c r="H24" s="7">
        <v>87.206000000000003</v>
      </c>
      <c r="I24" s="7">
        <v>0</v>
      </c>
      <c r="J24" s="7">
        <v>0</v>
      </c>
      <c r="K24" s="7">
        <v>0</v>
      </c>
      <c r="L24" s="7">
        <v>0</v>
      </c>
      <c r="M24" s="7">
        <v>92.391000000000005</v>
      </c>
      <c r="N24" s="7">
        <v>43.292000000000002</v>
      </c>
      <c r="O24" s="7">
        <v>55.061</v>
      </c>
      <c r="P24" s="7">
        <v>0</v>
      </c>
      <c r="Q24" s="7">
        <v>0</v>
      </c>
      <c r="R24" s="7">
        <v>0</v>
      </c>
      <c r="S24" s="7">
        <v>32.042999999999999</v>
      </c>
      <c r="T24" s="7">
        <v>0</v>
      </c>
      <c r="U24" s="7">
        <v>0</v>
      </c>
      <c r="V24" s="7">
        <v>0</v>
      </c>
      <c r="W24" s="7">
        <v>0</v>
      </c>
      <c r="X24" s="7">
        <v>97.072999999999993</v>
      </c>
      <c r="Y24" s="7">
        <v>0</v>
      </c>
    </row>
    <row r="25" spans="1:25" x14ac:dyDescent="0.25">
      <c r="B25" s="7">
        <v>26.834</v>
      </c>
      <c r="C25" s="7">
        <v>75.385000000000005</v>
      </c>
      <c r="D25" s="7">
        <v>0</v>
      </c>
      <c r="E25" s="7">
        <v>0</v>
      </c>
      <c r="F25" s="7">
        <v>0</v>
      </c>
      <c r="G25" s="7">
        <v>0</v>
      </c>
      <c r="H25" s="7">
        <v>89.23</v>
      </c>
      <c r="I25" s="7">
        <v>0</v>
      </c>
      <c r="J25" s="7">
        <v>0</v>
      </c>
      <c r="K25" s="7">
        <v>0</v>
      </c>
      <c r="L25" s="7">
        <v>0</v>
      </c>
      <c r="M25" s="7">
        <v>94.917000000000002</v>
      </c>
      <c r="N25" s="7">
        <v>50.311999999999998</v>
      </c>
      <c r="O25" s="7">
        <v>58.795000000000002</v>
      </c>
      <c r="P25" s="7">
        <v>0</v>
      </c>
      <c r="Q25" s="7">
        <v>0</v>
      </c>
      <c r="R25" s="7">
        <v>0</v>
      </c>
      <c r="S25" s="7">
        <v>38.262</v>
      </c>
      <c r="T25" s="7">
        <v>0</v>
      </c>
      <c r="U25" s="7">
        <v>0</v>
      </c>
      <c r="V25" s="7">
        <v>0</v>
      </c>
      <c r="W25" s="7">
        <v>0</v>
      </c>
      <c r="X25" s="7">
        <v>100.014</v>
      </c>
      <c r="Y25" s="7">
        <v>0</v>
      </c>
    </row>
    <row r="26" spans="1:25" x14ac:dyDescent="0.25">
      <c r="B26" s="7">
        <v>32.204999999999998</v>
      </c>
      <c r="C26" s="7">
        <v>78.206999999999994</v>
      </c>
      <c r="D26" s="7">
        <v>0</v>
      </c>
      <c r="E26" s="7">
        <v>0</v>
      </c>
      <c r="F26" s="7">
        <v>0</v>
      </c>
      <c r="G26" s="7">
        <v>0</v>
      </c>
      <c r="H26" s="7">
        <v>91.462000000000003</v>
      </c>
      <c r="I26" s="7">
        <v>0</v>
      </c>
      <c r="J26" s="7">
        <v>0</v>
      </c>
      <c r="K26" s="7">
        <v>0</v>
      </c>
      <c r="L26" s="7">
        <v>0</v>
      </c>
      <c r="M26" s="7">
        <v>97.061999999999998</v>
      </c>
      <c r="N26" s="7">
        <v>56.173999999999999</v>
      </c>
      <c r="O26" s="7">
        <v>62.273000000000003</v>
      </c>
      <c r="P26" s="7">
        <v>0</v>
      </c>
      <c r="Q26" s="7">
        <v>0</v>
      </c>
      <c r="R26" s="7">
        <v>0</v>
      </c>
      <c r="S26" s="7">
        <v>44.298000000000002</v>
      </c>
      <c r="T26" s="7">
        <v>0</v>
      </c>
      <c r="U26" s="7">
        <v>0</v>
      </c>
      <c r="V26" s="7">
        <v>0</v>
      </c>
      <c r="W26" s="7">
        <v>0</v>
      </c>
      <c r="X26" s="7">
        <v>102.203</v>
      </c>
      <c r="Y26" s="7">
        <v>0</v>
      </c>
    </row>
    <row r="27" spans="1:25" x14ac:dyDescent="0.25">
      <c r="B27" s="7">
        <v>66.525999999999996</v>
      </c>
      <c r="C27" s="7">
        <v>240.71199999999999</v>
      </c>
      <c r="D27" s="7">
        <v>0</v>
      </c>
      <c r="E27" s="7">
        <v>0</v>
      </c>
      <c r="F27" s="7">
        <v>0</v>
      </c>
      <c r="G27" s="7">
        <v>0</v>
      </c>
      <c r="H27" s="7">
        <v>263.55599999999998</v>
      </c>
      <c r="I27" s="7">
        <v>0</v>
      </c>
      <c r="J27" s="7">
        <v>0</v>
      </c>
      <c r="K27" s="7">
        <v>0</v>
      </c>
      <c r="L27" s="7">
        <v>0</v>
      </c>
      <c r="M27" s="7">
        <v>266.03199999999998</v>
      </c>
      <c r="N27" s="7">
        <v>148.10900000000001</v>
      </c>
      <c r="O27" s="7">
        <v>123.624</v>
      </c>
      <c r="P27" s="7">
        <v>0</v>
      </c>
      <c r="Q27" s="7">
        <v>11.53</v>
      </c>
      <c r="R27" s="7">
        <v>0</v>
      </c>
      <c r="S27" s="7">
        <v>112.22199999999999</v>
      </c>
      <c r="T27" s="7">
        <v>0</v>
      </c>
      <c r="U27" s="7">
        <v>0</v>
      </c>
      <c r="V27" s="7">
        <v>0</v>
      </c>
      <c r="W27" s="7">
        <v>0</v>
      </c>
      <c r="X27" s="7">
        <v>285.16300000000001</v>
      </c>
      <c r="Y27" s="7">
        <v>0</v>
      </c>
    </row>
    <row r="28" spans="1:25" x14ac:dyDescent="0.25">
      <c r="B28" s="7">
        <v>126.693</v>
      </c>
      <c r="C28" s="7">
        <v>256.08999999999997</v>
      </c>
      <c r="D28" s="7">
        <v>0</v>
      </c>
      <c r="E28" s="7">
        <v>19.428000000000001</v>
      </c>
      <c r="F28" s="7">
        <v>0</v>
      </c>
      <c r="G28" s="7">
        <v>0</v>
      </c>
      <c r="H28" s="7">
        <v>317.45800000000003</v>
      </c>
      <c r="I28" s="7">
        <v>0</v>
      </c>
      <c r="J28" s="7">
        <v>0</v>
      </c>
      <c r="K28" s="7">
        <v>0</v>
      </c>
      <c r="L28" s="7">
        <v>36.512999999999998</v>
      </c>
      <c r="M28" s="7">
        <v>336.36900000000003</v>
      </c>
      <c r="N28" s="7">
        <v>204.24600000000001</v>
      </c>
      <c r="O28" s="7">
        <v>135.27600000000001</v>
      </c>
      <c r="P28" s="7">
        <v>0</v>
      </c>
      <c r="Q28" s="7">
        <v>52.957000000000001</v>
      </c>
      <c r="R28" s="7">
        <v>0</v>
      </c>
      <c r="S28" s="7">
        <v>181.76599999999999</v>
      </c>
      <c r="T28" s="7">
        <v>0</v>
      </c>
      <c r="U28" s="7">
        <v>0</v>
      </c>
      <c r="V28" s="7">
        <v>0</v>
      </c>
      <c r="W28" s="7">
        <v>0</v>
      </c>
      <c r="X28" s="7">
        <v>307.89800000000002</v>
      </c>
      <c r="Y28" s="7">
        <v>33.094999999999999</v>
      </c>
    </row>
    <row r="29" spans="1:25" x14ac:dyDescent="0.25">
      <c r="B29" s="7">
        <v>153.24700000000001</v>
      </c>
      <c r="C29" s="7">
        <v>263.726</v>
      </c>
      <c r="D29" s="7">
        <v>0</v>
      </c>
      <c r="E29" s="7">
        <v>70.710999999999999</v>
      </c>
      <c r="F29" s="7">
        <v>0</v>
      </c>
      <c r="G29" s="7">
        <v>0</v>
      </c>
      <c r="H29" s="7">
        <v>329.79300000000001</v>
      </c>
      <c r="I29" s="7">
        <v>0</v>
      </c>
      <c r="J29" s="7">
        <v>0</v>
      </c>
      <c r="K29" s="7">
        <v>0</v>
      </c>
      <c r="L29" s="7">
        <v>50.521999999999998</v>
      </c>
      <c r="M29" s="7">
        <v>351.15</v>
      </c>
      <c r="N29" s="7">
        <v>208.422</v>
      </c>
      <c r="O29" s="7">
        <v>150.56200000000001</v>
      </c>
      <c r="P29" s="7">
        <v>27.553999999999998</v>
      </c>
      <c r="Q29" s="7">
        <v>65.224000000000004</v>
      </c>
      <c r="R29" s="7">
        <v>0</v>
      </c>
      <c r="S29" s="7">
        <v>194.63</v>
      </c>
      <c r="T29" s="7">
        <v>0</v>
      </c>
      <c r="U29" s="7">
        <v>17.404</v>
      </c>
      <c r="V29" s="7">
        <v>0</v>
      </c>
      <c r="W29" s="7">
        <v>0</v>
      </c>
      <c r="X29" s="7">
        <v>317.10199999999998</v>
      </c>
      <c r="Y29" s="7">
        <v>97.283000000000001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3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2</v>
      </c>
      <c r="D37" s="7">
        <v>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1</v>
      </c>
      <c r="N37" s="7">
        <v>0</v>
      </c>
      <c r="O37" s="7">
        <v>4</v>
      </c>
      <c r="P37" s="7">
        <v>0</v>
      </c>
      <c r="Q37" s="7">
        <v>1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1</v>
      </c>
      <c r="Y37" s="7">
        <v>0</v>
      </c>
    </row>
    <row r="38" spans="1:25" x14ac:dyDescent="0.25">
      <c r="B38" s="7">
        <v>1</v>
      </c>
      <c r="C38" s="7">
        <v>2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4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20</v>
      </c>
      <c r="U40" s="7">
        <v>0</v>
      </c>
      <c r="V40" s="7">
        <v>150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37</v>
      </c>
      <c r="U41" s="7">
        <v>0</v>
      </c>
      <c r="V41" s="7">
        <v>168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24</v>
      </c>
      <c r="S42" s="7">
        <v>0</v>
      </c>
      <c r="T42" s="7">
        <v>66</v>
      </c>
      <c r="U42" s="7">
        <v>0</v>
      </c>
      <c r="V42" s="7">
        <v>190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5</v>
      </c>
      <c r="H43" s="7">
        <v>0</v>
      </c>
      <c r="I43" s="7">
        <v>0</v>
      </c>
      <c r="J43" s="7">
        <v>5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34</v>
      </c>
      <c r="S43" s="7">
        <v>0</v>
      </c>
      <c r="T43" s="7">
        <v>74</v>
      </c>
      <c r="U43" s="7">
        <v>9</v>
      </c>
      <c r="V43" s="7">
        <v>199</v>
      </c>
      <c r="W43" s="7">
        <v>0</v>
      </c>
      <c r="X43" s="7">
        <v>0</v>
      </c>
      <c r="Y43" s="7">
        <v>0</v>
      </c>
    </row>
    <row r="44" spans="1:25" x14ac:dyDescent="0.25">
      <c r="B44" s="7">
        <v>8</v>
      </c>
      <c r="C44" s="7">
        <v>0</v>
      </c>
      <c r="D44" s="7">
        <v>0</v>
      </c>
      <c r="E44" s="7">
        <v>0</v>
      </c>
      <c r="F44" s="7">
        <v>0</v>
      </c>
      <c r="G44" s="7">
        <v>10</v>
      </c>
      <c r="H44" s="7">
        <v>0</v>
      </c>
      <c r="I44" s="7">
        <v>0</v>
      </c>
      <c r="J44" s="7">
        <v>9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44</v>
      </c>
      <c r="S44" s="7">
        <v>0</v>
      </c>
      <c r="T44" s="7">
        <v>82</v>
      </c>
      <c r="U44" s="7">
        <v>16</v>
      </c>
      <c r="V44" s="7">
        <v>205</v>
      </c>
      <c r="W44" s="7">
        <v>0</v>
      </c>
      <c r="X44" s="7">
        <v>0</v>
      </c>
      <c r="Y44" s="7">
        <v>0</v>
      </c>
    </row>
    <row r="45" spans="1:25" x14ac:dyDescent="0.25">
      <c r="B45" s="7">
        <v>128</v>
      </c>
      <c r="C45" s="7">
        <v>618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0</v>
      </c>
      <c r="P45" s="7">
        <v>106</v>
      </c>
      <c r="Q45" s="7">
        <v>44</v>
      </c>
      <c r="R45" s="7">
        <v>74</v>
      </c>
      <c r="S45" s="7">
        <v>268</v>
      </c>
      <c r="T45" s="7">
        <v>10</v>
      </c>
      <c r="U45" s="7">
        <v>83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364</v>
      </c>
      <c r="C46" s="7">
        <v>631</v>
      </c>
      <c r="D46" s="7">
        <v>80</v>
      </c>
      <c r="E46" s="7">
        <v>124</v>
      </c>
      <c r="F46" s="7">
        <v>6</v>
      </c>
      <c r="G46" s="7">
        <v>99</v>
      </c>
      <c r="H46" s="7">
        <v>739</v>
      </c>
      <c r="I46" s="7">
        <v>60</v>
      </c>
      <c r="J46" s="7">
        <v>44</v>
      </c>
      <c r="K46" s="7">
        <v>119</v>
      </c>
      <c r="L46" s="7">
        <v>55</v>
      </c>
      <c r="M46" s="7">
        <v>759</v>
      </c>
      <c r="N46" s="7">
        <v>589</v>
      </c>
      <c r="O46" s="7">
        <v>14</v>
      </c>
      <c r="P46" s="7">
        <v>237</v>
      </c>
      <c r="Q46" s="7">
        <v>147</v>
      </c>
      <c r="R46" s="7">
        <v>204</v>
      </c>
      <c r="S46" s="7">
        <v>505</v>
      </c>
      <c r="T46" s="7">
        <v>125</v>
      </c>
      <c r="U46" s="7">
        <v>240</v>
      </c>
      <c r="V46" s="7">
        <v>126</v>
      </c>
      <c r="W46" s="7">
        <v>19</v>
      </c>
      <c r="X46" s="7">
        <v>708</v>
      </c>
      <c r="Y46" s="7">
        <v>191</v>
      </c>
    </row>
    <row r="47" spans="1:25" x14ac:dyDescent="0.25">
      <c r="B47" s="7">
        <v>463</v>
      </c>
      <c r="C47" s="7">
        <v>641</v>
      </c>
      <c r="D47" s="7">
        <v>88</v>
      </c>
      <c r="E47" s="7">
        <v>311</v>
      </c>
      <c r="F47" s="7">
        <v>61</v>
      </c>
      <c r="G47" s="7">
        <v>192</v>
      </c>
      <c r="H47" s="7">
        <v>757</v>
      </c>
      <c r="I47" s="7">
        <v>108</v>
      </c>
      <c r="J47" s="7">
        <v>99</v>
      </c>
      <c r="K47" s="7">
        <v>144</v>
      </c>
      <c r="L47" s="7">
        <v>100</v>
      </c>
      <c r="M47" s="7">
        <v>767</v>
      </c>
      <c r="N47" s="7">
        <v>596</v>
      </c>
      <c r="O47" s="7">
        <v>60</v>
      </c>
      <c r="P47" s="7">
        <v>335</v>
      </c>
      <c r="Q47" s="7">
        <v>179</v>
      </c>
      <c r="R47" s="7">
        <v>263</v>
      </c>
      <c r="S47" s="7">
        <v>528</v>
      </c>
      <c r="T47" s="7">
        <v>249</v>
      </c>
      <c r="U47" s="7">
        <v>274</v>
      </c>
      <c r="V47" s="7">
        <v>248</v>
      </c>
      <c r="W47" s="7">
        <v>163</v>
      </c>
      <c r="X47" s="7">
        <v>722</v>
      </c>
      <c r="Y47" s="7">
        <v>383</v>
      </c>
    </row>
    <row r="49" spans="1:25" x14ac:dyDescent="0.25">
      <c r="A49" s="6" t="s">
        <v>20</v>
      </c>
      <c r="B49" s="7">
        <v>7.2999319720340045E-2</v>
      </c>
      <c r="C49" s="7">
        <v>7.811385487685156E-2</v>
      </c>
      <c r="D49" s="7">
        <v>3.0746831046726028E-2</v>
      </c>
      <c r="E49" s="7">
        <v>4.9862647474890255E-2</v>
      </c>
      <c r="F49" s="7">
        <v>3.235835947639823E-2</v>
      </c>
      <c r="G49" s="7">
        <v>3.2904362412912634E-2</v>
      </c>
      <c r="H49" s="7">
        <v>6.5195844922532331E-2</v>
      </c>
      <c r="I49" s="7">
        <v>3.2409762021052529E-2</v>
      </c>
      <c r="J49" s="7">
        <v>3.5811068234190807E-2</v>
      </c>
      <c r="K49" s="7">
        <v>3.6854017749554296E-2</v>
      </c>
      <c r="L49" s="7">
        <v>4.7857862225018179E-2</v>
      </c>
      <c r="M49" s="7">
        <v>7.140469157789818E-2</v>
      </c>
      <c r="N49" s="7">
        <v>6.1410330156127173E-2</v>
      </c>
      <c r="O49" s="7">
        <v>6.8399996039807592E-2</v>
      </c>
      <c r="P49" s="7">
        <v>5.778007934277099E-2</v>
      </c>
      <c r="Q49" s="7">
        <v>5.5602503244984267E-2</v>
      </c>
      <c r="R49" s="7">
        <v>4.8858325022836671E-2</v>
      </c>
      <c r="S49" s="7">
        <v>6.7410353871292808E-2</v>
      </c>
      <c r="T49" s="7">
        <v>4.4202002829331448E-2</v>
      </c>
      <c r="U49" s="7">
        <v>4.8806407123250267E-2</v>
      </c>
      <c r="V49" s="7">
        <v>5.9719047049446243E-2</v>
      </c>
      <c r="W49" s="7">
        <v>3.450021802917598E-2</v>
      </c>
      <c r="X49" s="7">
        <v>9.2375347241568692E-2</v>
      </c>
      <c r="Y49" s="7">
        <v>4.9023511579652415E-2</v>
      </c>
    </row>
    <row r="50" spans="1:25" x14ac:dyDescent="0.25">
      <c r="B50" s="7">
        <v>7.22857079427804E-2</v>
      </c>
      <c r="C50" s="7">
        <v>7.7583256979599058E-2</v>
      </c>
      <c r="D50" s="7">
        <v>3.0436523154756159E-2</v>
      </c>
      <c r="E50" s="7">
        <v>4.9374627442107542E-2</v>
      </c>
      <c r="F50" s="7">
        <v>3.1986248967934713E-2</v>
      </c>
      <c r="G50" s="7">
        <v>3.2582384313516413E-2</v>
      </c>
      <c r="H50" s="7">
        <v>6.4662553988163063E-2</v>
      </c>
      <c r="I50" s="7">
        <v>3.2077783253407585E-2</v>
      </c>
      <c r="J50" s="7">
        <v>3.5441868006618207E-2</v>
      </c>
      <c r="K50" s="7">
        <v>3.6498636977711087E-2</v>
      </c>
      <c r="L50" s="7">
        <v>4.7363533697828135E-2</v>
      </c>
      <c r="M50" s="7">
        <v>7.0836310269400016E-2</v>
      </c>
      <c r="N50" s="7">
        <v>6.0914761536421676E-2</v>
      </c>
      <c r="O50" s="7">
        <v>6.8399996039807592E-2</v>
      </c>
      <c r="P50" s="7">
        <v>5.7293050799816017E-2</v>
      </c>
      <c r="Q50" s="7">
        <v>5.5116575415035451E-2</v>
      </c>
      <c r="R50" s="7">
        <v>4.8419492711625663E-2</v>
      </c>
      <c r="S50" s="7">
        <v>6.6866695053117473E-2</v>
      </c>
      <c r="T50" s="7">
        <v>4.3537539593310359E-2</v>
      </c>
      <c r="U50" s="7">
        <v>4.8400356213546956E-2</v>
      </c>
      <c r="V50" s="7">
        <v>5.7984914293890993E-2</v>
      </c>
      <c r="W50" s="7">
        <v>3.411057673109575E-2</v>
      </c>
      <c r="X50" s="7">
        <v>9.1702530386124664E-2</v>
      </c>
      <c r="Y50" s="7">
        <v>4.8572820970935751E-2</v>
      </c>
    </row>
    <row r="51" spans="1:25" x14ac:dyDescent="0.25">
      <c r="B51" s="7">
        <v>7.1546454854960889E-2</v>
      </c>
      <c r="C51" s="7">
        <v>7.7035298822456924E-2</v>
      </c>
      <c r="D51" s="7">
        <v>3.0123421555231598E-2</v>
      </c>
      <c r="E51" s="7">
        <v>4.8880136091651663E-2</v>
      </c>
      <c r="F51" s="7">
        <v>3.1610938377449674E-2</v>
      </c>
      <c r="G51" s="7">
        <v>3.2257312101692526E-2</v>
      </c>
      <c r="H51" s="7">
        <v>6.411656227392494E-2</v>
      </c>
      <c r="I51" s="7">
        <v>3.1742420943375475E-2</v>
      </c>
      <c r="J51" s="7">
        <v>3.5069036301397356E-2</v>
      </c>
      <c r="K51" s="7">
        <v>3.6138097658802201E-2</v>
      </c>
      <c r="L51" s="7">
        <v>4.6864867705737515E-2</v>
      </c>
      <c r="M51" s="7">
        <v>7.0255717367463347E-2</v>
      </c>
      <c r="N51" s="7">
        <v>6.038936972339972E-2</v>
      </c>
      <c r="O51" s="7">
        <v>6.801692726755347E-2</v>
      </c>
      <c r="P51" s="7">
        <v>5.6796328001226554E-2</v>
      </c>
      <c r="Q51" s="7">
        <v>5.4620194047826705E-2</v>
      </c>
      <c r="R51" s="7">
        <v>4.7887345848486369E-2</v>
      </c>
      <c r="S51" s="7">
        <v>6.6287230240108103E-2</v>
      </c>
      <c r="T51" s="7">
        <v>4.2760359906804879E-2</v>
      </c>
      <c r="U51" s="7">
        <v>4.7988276976446143E-2</v>
      </c>
      <c r="V51" s="7">
        <v>5.6253017356818584E-2</v>
      </c>
      <c r="W51" s="7">
        <v>3.3718251997003498E-2</v>
      </c>
      <c r="X51" s="7">
        <v>9.1011215206195831E-2</v>
      </c>
      <c r="Y51" s="7">
        <v>4.8116443414475019E-2</v>
      </c>
    </row>
    <row r="52" spans="1:25" x14ac:dyDescent="0.25">
      <c r="B52" s="7">
        <v>7.1089938045393208E-2</v>
      </c>
      <c r="C52" s="7">
        <v>7.6464326742130828E-2</v>
      </c>
      <c r="D52" s="7">
        <v>2.9971148620162442E-2</v>
      </c>
      <c r="E52" s="7">
        <v>4.8639504834487701E-2</v>
      </c>
      <c r="F52" s="7">
        <v>3.1428595839738026E-2</v>
      </c>
      <c r="G52" s="7">
        <v>3.2094910867347941E-2</v>
      </c>
      <c r="H52" s="7">
        <v>6.355753886619854E-2</v>
      </c>
      <c r="I52" s="7">
        <v>3.1579086700454055E-2</v>
      </c>
      <c r="J52" s="7">
        <v>3.4878941188538036E-2</v>
      </c>
      <c r="K52" s="7">
        <v>3.5962227936550829E-2</v>
      </c>
      <c r="L52" s="7">
        <v>4.6622412915894022E-2</v>
      </c>
      <c r="M52" s="7">
        <v>6.9660602570626853E-2</v>
      </c>
      <c r="N52" s="7">
        <v>5.9964684303006791E-2</v>
      </c>
      <c r="O52" s="7">
        <v>6.7543173283009086E-2</v>
      </c>
      <c r="P52" s="7">
        <v>5.6553364721214291E-2</v>
      </c>
      <c r="Q52" s="7">
        <v>5.4377869045659791E-2</v>
      </c>
      <c r="R52" s="7">
        <v>4.7617447789873403E-2</v>
      </c>
      <c r="S52" s="7">
        <v>6.5871058406619054E-2</v>
      </c>
      <c r="T52" s="7">
        <v>4.2418361233463292E-2</v>
      </c>
      <c r="U52" s="7">
        <v>4.7773920498801033E-2</v>
      </c>
      <c r="V52" s="7">
        <v>5.560654641263723E-2</v>
      </c>
      <c r="W52" s="7">
        <v>3.3527680121649098E-2</v>
      </c>
      <c r="X52" s="7">
        <v>9.0302420542373418E-2</v>
      </c>
      <c r="Y52" s="7">
        <v>4.7893736221986845E-2</v>
      </c>
    </row>
    <row r="53" spans="1:25" x14ac:dyDescent="0.25">
      <c r="B53" s="7">
        <v>7.0600120832890648E-2</v>
      </c>
      <c r="C53" s="7">
        <v>7.5869542198607448E-2</v>
      </c>
      <c r="D53" s="7">
        <v>2.9818145511527852E-2</v>
      </c>
      <c r="E53" s="7">
        <v>4.8397490273545937E-2</v>
      </c>
      <c r="F53" s="7">
        <v>3.1245072689241742E-2</v>
      </c>
      <c r="G53" s="7">
        <v>3.1924226932043137E-2</v>
      </c>
      <c r="H53" s="7">
        <v>6.2985531038358092E-2</v>
      </c>
      <c r="I53" s="7">
        <v>3.1414796920099214E-2</v>
      </c>
      <c r="J53" s="7">
        <v>3.4686727713717239E-2</v>
      </c>
      <c r="K53" s="7">
        <v>3.5785399970262491E-2</v>
      </c>
      <c r="L53" s="7">
        <v>4.6378865844743454E-2</v>
      </c>
      <c r="M53" s="7">
        <v>6.9050431523450501E-2</v>
      </c>
      <c r="N53" s="7">
        <v>5.9504934990946813E-2</v>
      </c>
      <c r="O53" s="7">
        <v>6.7038839586977483E-2</v>
      </c>
      <c r="P53" s="7">
        <v>5.6308197475341139E-2</v>
      </c>
      <c r="Q53" s="7">
        <v>5.4133927517112469E-2</v>
      </c>
      <c r="R53" s="7">
        <v>4.7327474406738457E-2</v>
      </c>
      <c r="S53" s="7">
        <v>6.5424767320106381E-2</v>
      </c>
      <c r="T53" s="7">
        <v>4.2067609745205237E-2</v>
      </c>
      <c r="U53" s="7">
        <v>4.7549038370144403E-2</v>
      </c>
      <c r="V53" s="7">
        <v>5.4964307553441255E-2</v>
      </c>
      <c r="W53" s="7">
        <v>3.3336293631791053E-2</v>
      </c>
      <c r="X53" s="7">
        <v>8.9575000198992297E-2</v>
      </c>
      <c r="Y53" s="7">
        <v>4.7670097001951732E-2</v>
      </c>
    </row>
    <row r="54" spans="1:25" x14ac:dyDescent="0.25">
      <c r="B54" s="7">
        <v>7.0738777367777575E-2</v>
      </c>
      <c r="C54" s="7">
        <v>9.8655082938761407E-2</v>
      </c>
      <c r="D54" s="7">
        <v>3.0020419462490667E-2</v>
      </c>
      <c r="E54" s="7">
        <v>4.8187132699059401E-2</v>
      </c>
      <c r="F54" s="7">
        <v>3.2166028333153393E-2</v>
      </c>
      <c r="G54" s="7">
        <v>3.2592840826797614E-2</v>
      </c>
      <c r="H54" s="7">
        <v>7.8510705922266499E-2</v>
      </c>
      <c r="I54" s="7">
        <v>3.1366236821024081E-2</v>
      </c>
      <c r="J54" s="7">
        <v>3.8128078394045903E-2</v>
      </c>
      <c r="K54" s="7">
        <v>3.6023555554916729E-2</v>
      </c>
      <c r="L54" s="7">
        <v>4.6312173364356231E-2</v>
      </c>
      <c r="M54" s="7">
        <v>8.0917491433810801E-2</v>
      </c>
      <c r="N54" s="7">
        <v>7.024986170379352E-2</v>
      </c>
      <c r="O54" s="7">
        <v>8.8876522159033022E-2</v>
      </c>
      <c r="P54" s="7">
        <v>5.6924956559513469E-2</v>
      </c>
      <c r="Q54" s="7">
        <v>5.7096035061071596E-2</v>
      </c>
      <c r="R54" s="7">
        <v>4.7049038384020483E-2</v>
      </c>
      <c r="S54" s="7">
        <v>7.104630850905129E-2</v>
      </c>
      <c r="T54" s="7">
        <v>4.3343204740959006E-2</v>
      </c>
      <c r="U54" s="7">
        <v>4.7795545927242875E-2</v>
      </c>
      <c r="V54" s="7">
        <v>7.3133446902265503E-2</v>
      </c>
      <c r="W54" s="7">
        <v>3.6101382768187869E-2</v>
      </c>
      <c r="X54" s="7">
        <v>9.671946065126201E-2</v>
      </c>
      <c r="Y54" s="7">
        <v>4.7996117078456975E-2</v>
      </c>
    </row>
    <row r="55" spans="1:25" x14ac:dyDescent="0.25">
      <c r="B55" s="7">
        <v>7.3037234607681606E-2</v>
      </c>
      <c r="C55" s="7">
        <v>0.10300366034771306</v>
      </c>
      <c r="D55" s="7">
        <v>3.1460210620152279E-2</v>
      </c>
      <c r="E55" s="7">
        <v>5.1356281654005194E-2</v>
      </c>
      <c r="F55" s="7">
        <v>3.1396719294552795E-2</v>
      </c>
      <c r="G55" s="7">
        <v>3.2599314662030893E-2</v>
      </c>
      <c r="H55" s="7">
        <v>8.3400852843186185E-2</v>
      </c>
      <c r="I55" s="7">
        <v>3.3262571348100407E-2</v>
      </c>
      <c r="J55" s="7">
        <v>3.440833035488456E-2</v>
      </c>
      <c r="K55" s="7">
        <v>3.955618608013188E-2</v>
      </c>
      <c r="L55" s="7">
        <v>4.7804292950479763E-2</v>
      </c>
      <c r="M55" s="7">
        <v>8.4960173231747121E-2</v>
      </c>
      <c r="N55" s="7">
        <v>7.5249849900418858E-2</v>
      </c>
      <c r="O55" s="7">
        <v>9.328557362588509E-2</v>
      </c>
      <c r="P55" s="7">
        <v>6.0433286911636942E-2</v>
      </c>
      <c r="Q55" s="7">
        <v>6.3183072844219659E-2</v>
      </c>
      <c r="R55" s="7">
        <v>4.8592251591267024E-2</v>
      </c>
      <c r="S55" s="7">
        <v>7.5892058394174386E-2</v>
      </c>
      <c r="T55" s="7">
        <v>4.1418064628038112E-2</v>
      </c>
      <c r="U55" s="7">
        <v>5.1756444090612461E-2</v>
      </c>
      <c r="V55" s="7">
        <v>5.8366137315347344E-2</v>
      </c>
      <c r="W55" s="7">
        <v>3.3026692201903005E-2</v>
      </c>
      <c r="X55" s="7">
        <v>0.102860665589455</v>
      </c>
      <c r="Y55" s="7">
        <v>5.430889762467251E-2</v>
      </c>
    </row>
    <row r="56" spans="1:25" x14ac:dyDescent="0.25">
      <c r="B56" s="7">
        <v>8.0039246903458955E-2</v>
      </c>
      <c r="C56" s="7">
        <v>0.10732901621307731</v>
      </c>
      <c r="D56" s="7">
        <v>3.7798387014847286E-2</v>
      </c>
      <c r="E56" s="7">
        <v>6.5151874829770154E-2</v>
      </c>
      <c r="F56" s="7">
        <v>3.9667207004140691E-2</v>
      </c>
      <c r="G56" s="7">
        <v>4.1654512358361054E-2</v>
      </c>
      <c r="H56" s="7">
        <v>9.0802539588693276E-2</v>
      </c>
      <c r="I56" s="7">
        <v>4.1890776745414436E-2</v>
      </c>
      <c r="J56" s="7">
        <v>3.937297441592142E-2</v>
      </c>
      <c r="K56" s="7">
        <v>4.7630366306350938E-2</v>
      </c>
      <c r="L56" s="7">
        <v>5.5354109684672637E-2</v>
      </c>
      <c r="M56" s="7">
        <v>9.3123709885229874E-2</v>
      </c>
      <c r="N56" s="7">
        <v>8.1035675306474625E-2</v>
      </c>
      <c r="O56" s="7">
        <v>9.7454091309900709E-2</v>
      </c>
      <c r="P56" s="7">
        <v>7.2238814074717633E-2</v>
      </c>
      <c r="Q56" s="7">
        <v>6.9361405879137097E-2</v>
      </c>
      <c r="R56" s="7">
        <v>5.6614097353104166E-2</v>
      </c>
      <c r="S56" s="7">
        <v>8.2226364144604547E-2</v>
      </c>
      <c r="T56" s="7">
        <v>4.7892033069668091E-2</v>
      </c>
      <c r="U56" s="7">
        <v>5.9449100184422163E-2</v>
      </c>
      <c r="V56" s="7">
        <v>5.5114650376280265E-2</v>
      </c>
      <c r="W56" s="7">
        <v>4.3168083723203576E-2</v>
      </c>
      <c r="X56" s="7">
        <v>0.11168748656801955</v>
      </c>
      <c r="Y56" s="7">
        <v>6.9032768666813585E-2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7.3259999999999996</v>
      </c>
      <c r="U58" s="7">
        <v>0</v>
      </c>
      <c r="V58" s="7">
        <v>29.622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13.553000000000001</v>
      </c>
      <c r="U59" s="7">
        <v>0</v>
      </c>
      <c r="V59" s="7">
        <v>31.774999999999999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8.5510000000000002</v>
      </c>
      <c r="S60" s="7">
        <v>0</v>
      </c>
      <c r="T60" s="7">
        <v>20.114999999999998</v>
      </c>
      <c r="U60" s="7">
        <v>0</v>
      </c>
      <c r="V60" s="7">
        <v>36.862000000000002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1.8320000000000001</v>
      </c>
      <c r="H61" s="7">
        <v>0</v>
      </c>
      <c r="I61" s="7">
        <v>0</v>
      </c>
      <c r="J61" s="7">
        <v>1.8320000000000001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11.367000000000001</v>
      </c>
      <c r="S61" s="7">
        <v>0</v>
      </c>
      <c r="T61" s="7">
        <v>22.634</v>
      </c>
      <c r="U61" s="7">
        <v>3.2970000000000002</v>
      </c>
      <c r="V61" s="7">
        <v>38.744</v>
      </c>
      <c r="W61" s="7">
        <v>0</v>
      </c>
      <c r="X61" s="7">
        <v>0</v>
      </c>
      <c r="Y61" s="7">
        <v>0</v>
      </c>
    </row>
    <row r="62" spans="1:25" x14ac:dyDescent="0.25">
      <c r="B62" s="7">
        <v>2.7240000000000002</v>
      </c>
      <c r="C62" s="7">
        <v>0</v>
      </c>
      <c r="D62" s="7">
        <v>0</v>
      </c>
      <c r="E62" s="7">
        <v>0</v>
      </c>
      <c r="F62" s="7">
        <v>0</v>
      </c>
      <c r="G62" s="7">
        <v>3.6629999999999998</v>
      </c>
      <c r="H62" s="7">
        <v>0</v>
      </c>
      <c r="I62" s="7">
        <v>0</v>
      </c>
      <c r="J62" s="7">
        <v>3.2970000000000002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13.641999999999999</v>
      </c>
      <c r="S62" s="7">
        <v>0</v>
      </c>
      <c r="T62" s="7">
        <v>24.356000000000002</v>
      </c>
      <c r="U62" s="7">
        <v>5.7249999999999996</v>
      </c>
      <c r="V62" s="7">
        <v>38.908000000000001</v>
      </c>
      <c r="W62" s="7">
        <v>0</v>
      </c>
      <c r="X62" s="7">
        <v>0</v>
      </c>
      <c r="Y62" s="7">
        <v>0</v>
      </c>
    </row>
    <row r="63" spans="1:25" x14ac:dyDescent="0.25">
      <c r="B63" s="7">
        <v>25.754000000000001</v>
      </c>
      <c r="C63" s="7">
        <v>110.828</v>
      </c>
      <c r="D63" s="7">
        <v>0</v>
      </c>
      <c r="E63" s="7">
        <v>0</v>
      </c>
      <c r="F63" s="7">
        <v>0</v>
      </c>
      <c r="G63" s="7">
        <v>0</v>
      </c>
      <c r="H63" s="7">
        <v>114.79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113.589</v>
      </c>
      <c r="N63" s="7">
        <v>66.02</v>
      </c>
      <c r="O63" s="7">
        <v>0</v>
      </c>
      <c r="P63" s="7">
        <v>24.815999999999999</v>
      </c>
      <c r="Q63" s="7">
        <v>11.802</v>
      </c>
      <c r="R63" s="7">
        <v>20.11</v>
      </c>
      <c r="S63" s="7">
        <v>51.213999999999999</v>
      </c>
      <c r="T63" s="7">
        <v>3.6970000000000001</v>
      </c>
      <c r="U63" s="7">
        <v>22.087</v>
      </c>
      <c r="V63" s="7">
        <v>2.198</v>
      </c>
      <c r="W63" s="7">
        <v>0</v>
      </c>
      <c r="X63" s="7">
        <v>121.929</v>
      </c>
      <c r="Y63" s="7">
        <v>2.3969999999999998</v>
      </c>
    </row>
    <row r="64" spans="1:25" x14ac:dyDescent="0.25">
      <c r="B64" s="7">
        <v>62.338000000000001</v>
      </c>
      <c r="C64" s="7">
        <v>115.379</v>
      </c>
      <c r="D64" s="7">
        <v>18.274999999999999</v>
      </c>
      <c r="E64" s="7">
        <v>28.414000000000001</v>
      </c>
      <c r="F64" s="7">
        <v>2.8130000000000002</v>
      </c>
      <c r="G64" s="7">
        <v>26.899000000000001</v>
      </c>
      <c r="H64" s="7">
        <v>137.572</v>
      </c>
      <c r="I64" s="7">
        <v>17.643000000000001</v>
      </c>
      <c r="J64" s="7">
        <v>12.708</v>
      </c>
      <c r="K64" s="7">
        <v>27.131</v>
      </c>
      <c r="L64" s="7">
        <v>14.815</v>
      </c>
      <c r="M64" s="7">
        <v>142.20099999999999</v>
      </c>
      <c r="N64" s="7">
        <v>102.93899999999999</v>
      </c>
      <c r="O64" s="7">
        <v>3.8460000000000001</v>
      </c>
      <c r="P64" s="7">
        <v>49.18</v>
      </c>
      <c r="Q64" s="7">
        <v>29.59</v>
      </c>
      <c r="R64" s="7">
        <v>44.747</v>
      </c>
      <c r="S64" s="7">
        <v>90.685000000000002</v>
      </c>
      <c r="T64" s="7">
        <v>33.274999999999999</v>
      </c>
      <c r="U64" s="7">
        <v>50.856000000000002</v>
      </c>
      <c r="V64" s="7">
        <v>26.291</v>
      </c>
      <c r="W64" s="7">
        <v>6.415</v>
      </c>
      <c r="X64" s="7">
        <v>131.71199999999999</v>
      </c>
      <c r="Y64" s="7">
        <v>33.046999999999997</v>
      </c>
    </row>
    <row r="65" spans="1:25" x14ac:dyDescent="0.25">
      <c r="B65" s="7">
        <v>79.341999999999999</v>
      </c>
      <c r="C65" s="7">
        <v>118.051</v>
      </c>
      <c r="D65" s="7">
        <v>20.035</v>
      </c>
      <c r="E65" s="7">
        <v>47.923000000000002</v>
      </c>
      <c r="F65" s="7">
        <v>16.14</v>
      </c>
      <c r="G65" s="7">
        <v>42.198</v>
      </c>
      <c r="H65" s="7">
        <v>140.24600000000001</v>
      </c>
      <c r="I65" s="7">
        <v>27.588000000000001</v>
      </c>
      <c r="J65" s="7">
        <v>25</v>
      </c>
      <c r="K65" s="7">
        <v>31.768000000000001</v>
      </c>
      <c r="L65" s="7">
        <v>23.754999999999999</v>
      </c>
      <c r="M65" s="7">
        <v>145.083</v>
      </c>
      <c r="N65" s="7">
        <v>103.798</v>
      </c>
      <c r="O65" s="7">
        <v>15.593</v>
      </c>
      <c r="P65" s="7">
        <v>63.874000000000002</v>
      </c>
      <c r="Q65" s="7">
        <v>33.875999999999998</v>
      </c>
      <c r="R65" s="7">
        <v>56.305999999999997</v>
      </c>
      <c r="S65" s="7">
        <v>96.281999999999996</v>
      </c>
      <c r="T65" s="7">
        <v>54.725000000000001</v>
      </c>
      <c r="U65" s="7">
        <v>53.917999999999999</v>
      </c>
      <c r="V65" s="7">
        <v>44.042999999999999</v>
      </c>
      <c r="W65" s="7">
        <v>35.823999999999998</v>
      </c>
      <c r="X65" s="7">
        <v>136.30799999999999</v>
      </c>
      <c r="Y65" s="7">
        <v>60.594999999999999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4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20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8</v>
      </c>
      <c r="D73" s="7">
        <v>0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  <c r="L73" s="7">
        <v>0</v>
      </c>
      <c r="M73" s="7">
        <v>1</v>
      </c>
      <c r="N73" s="7">
        <v>0</v>
      </c>
      <c r="O73" s="7">
        <v>23</v>
      </c>
      <c r="P73" s="7">
        <v>0</v>
      </c>
      <c r="Q73" s="7">
        <v>1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1</v>
      </c>
      <c r="Y73" s="7">
        <v>0</v>
      </c>
    </row>
    <row r="74" spans="1:25" x14ac:dyDescent="0.25">
      <c r="B74" s="7">
        <v>2</v>
      </c>
      <c r="C74" s="7">
        <v>13</v>
      </c>
      <c r="D74" s="7">
        <v>2</v>
      </c>
      <c r="E74" s="7">
        <v>2</v>
      </c>
      <c r="F74" s="7">
        <v>1</v>
      </c>
      <c r="G74" s="7">
        <v>2</v>
      </c>
      <c r="H74" s="7">
        <v>5</v>
      </c>
      <c r="I74" s="7">
        <v>2</v>
      </c>
      <c r="J74" s="7">
        <v>1</v>
      </c>
      <c r="K74" s="7">
        <v>2</v>
      </c>
      <c r="L74" s="7">
        <v>2</v>
      </c>
      <c r="M74" s="7">
        <v>4</v>
      </c>
      <c r="N74" s="7">
        <v>3</v>
      </c>
      <c r="O74" s="7">
        <v>26</v>
      </c>
      <c r="P74" s="7">
        <v>2</v>
      </c>
      <c r="Q74" s="7">
        <v>3</v>
      </c>
      <c r="R74" s="7">
        <v>2</v>
      </c>
      <c r="S74" s="7">
        <v>3</v>
      </c>
      <c r="T74" s="7">
        <v>1</v>
      </c>
      <c r="U74" s="7">
        <v>2</v>
      </c>
      <c r="V74" s="7">
        <v>1</v>
      </c>
      <c r="W74" s="7">
        <v>1</v>
      </c>
      <c r="X74" s="7">
        <v>6</v>
      </c>
      <c r="Y74" s="7">
        <v>2</v>
      </c>
    </row>
    <row r="76" spans="1:25" ht="45" x14ac:dyDescent="0.25">
      <c r="A76" s="5" t="s">
        <v>11</v>
      </c>
      <c r="B76" s="7">
        <v>81070350</v>
      </c>
      <c r="C76" s="7">
        <v>19355270</v>
      </c>
      <c r="D76" s="7">
        <v>89013160</v>
      </c>
      <c r="E76" s="7">
        <v>179482200</v>
      </c>
      <c r="F76" s="7">
        <v>133770500</v>
      </c>
      <c r="G76" s="7">
        <v>141006500</v>
      </c>
      <c r="H76" s="7">
        <v>40034770</v>
      </c>
      <c r="I76" s="7">
        <v>104808500</v>
      </c>
      <c r="J76" s="7">
        <v>79037200</v>
      </c>
      <c r="K76" s="7">
        <v>92915820</v>
      </c>
      <c r="L76" s="7">
        <v>88755430</v>
      </c>
      <c r="M76" s="7">
        <v>44482120</v>
      </c>
      <c r="N76" s="7">
        <v>45492830</v>
      </c>
      <c r="O76" s="7">
        <v>0</v>
      </c>
      <c r="P76" s="7">
        <v>141035600</v>
      </c>
      <c r="Q76" s="7">
        <v>64478120</v>
      </c>
      <c r="R76" s="7">
        <v>96591860</v>
      </c>
      <c r="S76" s="7">
        <v>58535990</v>
      </c>
      <c r="T76" s="7">
        <v>142832900</v>
      </c>
      <c r="U76" s="7">
        <v>85446420</v>
      </c>
      <c r="V76" s="7">
        <v>82286180</v>
      </c>
      <c r="W76" s="7">
        <v>241141000</v>
      </c>
      <c r="X76" s="7">
        <v>45109790</v>
      </c>
      <c r="Y76" s="7">
        <v>184912400</v>
      </c>
    </row>
    <row r="77" spans="1:25" x14ac:dyDescent="0.25">
      <c r="B77" s="7">
        <v>80414710</v>
      </c>
      <c r="C77" s="7">
        <v>19628700</v>
      </c>
      <c r="D77" s="7">
        <v>87618040</v>
      </c>
      <c r="E77" s="7">
        <v>180118000</v>
      </c>
      <c r="F77" s="7">
        <v>131584000</v>
      </c>
      <c r="G77" s="7">
        <v>140536100</v>
      </c>
      <c r="H77" s="7">
        <v>40316340</v>
      </c>
      <c r="I77" s="7">
        <v>102903200</v>
      </c>
      <c r="J77" s="7">
        <v>78443840</v>
      </c>
      <c r="K77" s="7">
        <v>91378200</v>
      </c>
      <c r="L77" s="7">
        <v>88044540</v>
      </c>
      <c r="M77" s="7">
        <v>45072610</v>
      </c>
      <c r="N77" s="7">
        <v>46986870</v>
      </c>
      <c r="O77" s="7">
        <v>0</v>
      </c>
      <c r="P77" s="7">
        <v>140463600</v>
      </c>
      <c r="Q77" s="7">
        <v>65051390</v>
      </c>
      <c r="R77" s="7">
        <v>95541040</v>
      </c>
      <c r="S77" s="7">
        <v>58631310</v>
      </c>
      <c r="T77" s="7">
        <v>142806600</v>
      </c>
      <c r="U77" s="7">
        <v>82649520</v>
      </c>
      <c r="V77" s="7">
        <v>79379470</v>
      </c>
      <c r="W77" s="7">
        <v>240587200</v>
      </c>
      <c r="X77" s="7">
        <v>45475590</v>
      </c>
      <c r="Y77" s="7">
        <v>185506900</v>
      </c>
    </row>
    <row r="78" spans="1:25" x14ac:dyDescent="0.25">
      <c r="B78" s="7">
        <v>79596760</v>
      </c>
      <c r="C78" s="7">
        <v>19916370</v>
      </c>
      <c r="D78" s="7">
        <v>86247430</v>
      </c>
      <c r="E78" s="7">
        <v>180390300</v>
      </c>
      <c r="F78" s="7">
        <v>129251700</v>
      </c>
      <c r="G78" s="7">
        <v>140020400</v>
      </c>
      <c r="H78" s="7">
        <v>40519880</v>
      </c>
      <c r="I78" s="7">
        <v>100957800</v>
      </c>
      <c r="J78" s="7">
        <v>77816850</v>
      </c>
      <c r="K78" s="7">
        <v>89771430</v>
      </c>
      <c r="L78" s="7">
        <v>87251410</v>
      </c>
      <c r="M78" s="7">
        <v>45572130</v>
      </c>
      <c r="N78" s="7">
        <v>48316200</v>
      </c>
      <c r="O78" s="7">
        <v>11740940</v>
      </c>
      <c r="P78" s="7">
        <v>139733900</v>
      </c>
      <c r="Q78" s="7">
        <v>65182490</v>
      </c>
      <c r="R78" s="7">
        <v>97592190</v>
      </c>
      <c r="S78" s="7">
        <v>58502520</v>
      </c>
      <c r="T78" s="7">
        <v>143456000</v>
      </c>
      <c r="U78" s="7">
        <v>79742770</v>
      </c>
      <c r="V78" s="7">
        <v>76408840</v>
      </c>
      <c r="W78" s="7">
        <v>239923300</v>
      </c>
      <c r="X78" s="7">
        <v>45826210</v>
      </c>
      <c r="Y78" s="7">
        <v>186425300</v>
      </c>
    </row>
    <row r="79" spans="1:25" x14ac:dyDescent="0.25">
      <c r="B79" s="7">
        <v>79956600</v>
      </c>
      <c r="C79" s="7">
        <v>20736090</v>
      </c>
      <c r="D79" s="7">
        <v>82897080</v>
      </c>
      <c r="E79" s="7">
        <v>178343200</v>
      </c>
      <c r="F79" s="7">
        <v>127613900</v>
      </c>
      <c r="G79" s="7">
        <v>135057600</v>
      </c>
      <c r="H79" s="7">
        <v>40561090</v>
      </c>
      <c r="I79" s="7">
        <v>100721500</v>
      </c>
      <c r="J79" s="7">
        <v>75415290</v>
      </c>
      <c r="K79" s="7">
        <v>87804920</v>
      </c>
      <c r="L79" s="7">
        <v>87841310</v>
      </c>
      <c r="M79" s="7">
        <v>45825790</v>
      </c>
      <c r="N79" s="7">
        <v>47353240</v>
      </c>
      <c r="O79" s="7">
        <v>12386550</v>
      </c>
      <c r="P79" s="7">
        <v>136328900</v>
      </c>
      <c r="Q79" s="7">
        <v>63741640</v>
      </c>
      <c r="R79" s="7">
        <v>97794890</v>
      </c>
      <c r="S79" s="7">
        <v>57939200</v>
      </c>
      <c r="T79" s="7">
        <v>139930100</v>
      </c>
      <c r="U79" s="7">
        <v>79917510</v>
      </c>
      <c r="V79" s="7">
        <v>76370710</v>
      </c>
      <c r="W79" s="7">
        <v>234956800</v>
      </c>
      <c r="X79" s="7">
        <v>46558910</v>
      </c>
      <c r="Y79" s="7">
        <v>182724900</v>
      </c>
    </row>
    <row r="80" spans="1:25" x14ac:dyDescent="0.25">
      <c r="B80" s="7">
        <v>81019290</v>
      </c>
      <c r="C80" s="7">
        <v>21445930</v>
      </c>
      <c r="D80" s="7">
        <v>79735340</v>
      </c>
      <c r="E80" s="7">
        <v>176641000</v>
      </c>
      <c r="F80" s="7">
        <v>126104000</v>
      </c>
      <c r="G80" s="7">
        <v>130057100</v>
      </c>
      <c r="H80" s="7">
        <v>40680090</v>
      </c>
      <c r="I80" s="7">
        <v>100433500</v>
      </c>
      <c r="J80" s="7">
        <v>73224930</v>
      </c>
      <c r="K80" s="7">
        <v>85828220</v>
      </c>
      <c r="L80" s="7">
        <v>88504140</v>
      </c>
      <c r="M80" s="7">
        <v>45952630</v>
      </c>
      <c r="N80" s="7">
        <v>46340110</v>
      </c>
      <c r="O80" s="7">
        <v>12959820</v>
      </c>
      <c r="P80" s="7">
        <v>133130500</v>
      </c>
      <c r="Q80" s="7">
        <v>62418170</v>
      </c>
      <c r="R80" s="7">
        <v>97946140</v>
      </c>
      <c r="S80" s="7">
        <v>57256330</v>
      </c>
      <c r="T80" s="7">
        <v>136522900</v>
      </c>
      <c r="U80" s="7">
        <v>79674730</v>
      </c>
      <c r="V80" s="7">
        <v>76113960</v>
      </c>
      <c r="W80" s="7">
        <v>229869600</v>
      </c>
      <c r="X80" s="7">
        <v>47074170</v>
      </c>
      <c r="Y80" s="7">
        <v>178871200</v>
      </c>
    </row>
    <row r="81" spans="1:25" x14ac:dyDescent="0.25">
      <c r="B81" s="7">
        <v>93835150</v>
      </c>
      <c r="C81" s="7">
        <v>67783040</v>
      </c>
      <c r="D81" s="7">
        <v>72822890</v>
      </c>
      <c r="E81" s="7">
        <v>172365300</v>
      </c>
      <c r="F81" s="7">
        <v>113029200</v>
      </c>
      <c r="G81" s="7">
        <v>115635300</v>
      </c>
      <c r="H81" s="7">
        <v>108148000</v>
      </c>
      <c r="I81" s="7">
        <v>96829010</v>
      </c>
      <c r="J81" s="7">
        <v>62561060</v>
      </c>
      <c r="K81" s="7">
        <v>91503830</v>
      </c>
      <c r="L81" s="7">
        <v>86309580</v>
      </c>
      <c r="M81" s="7">
        <v>118027700</v>
      </c>
      <c r="N81" s="7">
        <v>86154110</v>
      </c>
      <c r="O81" s="7">
        <v>48890110</v>
      </c>
      <c r="P81" s="7">
        <v>157822300</v>
      </c>
      <c r="Q81" s="7">
        <v>78241320</v>
      </c>
      <c r="R81" s="7">
        <v>100921500</v>
      </c>
      <c r="S81" s="7">
        <v>88443760</v>
      </c>
      <c r="T81" s="7">
        <v>117034200</v>
      </c>
      <c r="U81" s="7">
        <v>87565120</v>
      </c>
      <c r="V81" s="7">
        <v>60143330</v>
      </c>
      <c r="W81" s="7">
        <v>196930600</v>
      </c>
      <c r="X81" s="7">
        <v>121015000</v>
      </c>
      <c r="Y81" s="7">
        <v>187644400</v>
      </c>
    </row>
    <row r="82" spans="1:25" x14ac:dyDescent="0.25">
      <c r="B82" s="7">
        <v>109437200</v>
      </c>
      <c r="C82" s="7">
        <v>79558680</v>
      </c>
      <c r="D82" s="7">
        <v>81704050</v>
      </c>
      <c r="E82" s="7">
        <v>198870900</v>
      </c>
      <c r="F82" s="7">
        <v>130228400</v>
      </c>
      <c r="G82" s="7">
        <v>129002800</v>
      </c>
      <c r="H82" s="7">
        <v>124468300</v>
      </c>
      <c r="I82" s="7">
        <v>112598800</v>
      </c>
      <c r="J82" s="7">
        <v>70801450</v>
      </c>
      <c r="K82" s="7">
        <v>104311600</v>
      </c>
      <c r="L82" s="7">
        <v>101284000</v>
      </c>
      <c r="M82" s="7">
        <v>136259200</v>
      </c>
      <c r="N82" s="7">
        <v>97670810</v>
      </c>
      <c r="O82" s="7">
        <v>56743630</v>
      </c>
      <c r="P82" s="7">
        <v>178675700</v>
      </c>
      <c r="Q82" s="7">
        <v>89161320</v>
      </c>
      <c r="R82" s="7">
        <v>116386500</v>
      </c>
      <c r="S82" s="7">
        <v>101617400</v>
      </c>
      <c r="T82" s="7">
        <v>132444400</v>
      </c>
      <c r="U82" s="7">
        <v>100854900</v>
      </c>
      <c r="V82" s="7">
        <v>69934520</v>
      </c>
      <c r="W82" s="7">
        <v>223958100</v>
      </c>
      <c r="X82" s="7">
        <v>141053300</v>
      </c>
      <c r="Y82" s="7">
        <v>213574100</v>
      </c>
    </row>
    <row r="83" spans="1:25" x14ac:dyDescent="0.25">
      <c r="B83" s="7">
        <v>125039600</v>
      </c>
      <c r="C83" s="7">
        <v>91465820</v>
      </c>
      <c r="D83" s="7">
        <v>89869540</v>
      </c>
      <c r="E83" s="7">
        <v>224889700</v>
      </c>
      <c r="F83" s="7">
        <v>147091800</v>
      </c>
      <c r="G83" s="7">
        <v>140843100</v>
      </c>
      <c r="H83" s="7">
        <v>140434900</v>
      </c>
      <c r="I83" s="7">
        <v>128336000</v>
      </c>
      <c r="J83" s="7">
        <v>78588830</v>
      </c>
      <c r="K83" s="7">
        <v>116599400</v>
      </c>
      <c r="L83" s="7">
        <v>116422100</v>
      </c>
      <c r="M83" s="7">
        <v>154224700</v>
      </c>
      <c r="N83" s="7">
        <v>108574500</v>
      </c>
      <c r="O83" s="7">
        <v>64580770</v>
      </c>
      <c r="P83" s="7">
        <v>198124500</v>
      </c>
      <c r="Q83" s="7">
        <v>99648170</v>
      </c>
      <c r="R83" s="7">
        <v>131577600</v>
      </c>
      <c r="S83" s="7">
        <v>114466100</v>
      </c>
      <c r="T83" s="7">
        <v>146898700</v>
      </c>
      <c r="U83" s="7">
        <v>113832400</v>
      </c>
      <c r="V83" s="7">
        <v>79652360</v>
      </c>
      <c r="W83" s="7">
        <v>249210800</v>
      </c>
      <c r="X83" s="7">
        <v>161117900</v>
      </c>
      <c r="Y83" s="7">
        <v>237976600</v>
      </c>
    </row>
    <row r="85" spans="1:25" ht="45" x14ac:dyDescent="0.25">
      <c r="A85" s="6" t="s">
        <v>46</v>
      </c>
      <c r="B85" s="7">
        <v>16001370</v>
      </c>
      <c r="C85" s="7">
        <v>108062400</v>
      </c>
      <c r="D85" s="7">
        <v>0</v>
      </c>
      <c r="E85" s="7">
        <v>0</v>
      </c>
      <c r="F85" s="7">
        <v>0</v>
      </c>
      <c r="G85" s="7">
        <v>0</v>
      </c>
      <c r="H85" s="7">
        <v>133189800</v>
      </c>
      <c r="I85" s="7">
        <v>0</v>
      </c>
      <c r="J85" s="7">
        <v>0</v>
      </c>
      <c r="K85" s="7">
        <v>0</v>
      </c>
      <c r="L85" s="7">
        <v>0</v>
      </c>
      <c r="M85" s="7">
        <v>139750400</v>
      </c>
      <c r="N85" s="7">
        <v>51042140</v>
      </c>
      <c r="O85" s="7">
        <v>0</v>
      </c>
      <c r="P85" s="7">
        <v>0</v>
      </c>
      <c r="Q85" s="7">
        <v>0</v>
      </c>
      <c r="R85" s="7">
        <v>0</v>
      </c>
      <c r="S85" s="7">
        <v>23421510</v>
      </c>
      <c r="T85" s="7">
        <v>2.430897E-8</v>
      </c>
      <c r="U85" s="7">
        <v>0</v>
      </c>
      <c r="V85" s="7">
        <v>1.0550140000000001E-9</v>
      </c>
      <c r="W85" s="7">
        <v>0</v>
      </c>
      <c r="X85" s="7">
        <v>139538100</v>
      </c>
      <c r="Y85" s="7">
        <v>0</v>
      </c>
    </row>
    <row r="86" spans="1:25" x14ac:dyDescent="0.25">
      <c r="B86" s="7">
        <v>19829780</v>
      </c>
      <c r="C86" s="7">
        <v>110990000</v>
      </c>
      <c r="D86" s="7">
        <v>0</v>
      </c>
      <c r="E86" s="7">
        <v>0</v>
      </c>
      <c r="F86" s="7">
        <v>0</v>
      </c>
      <c r="G86" s="7">
        <v>0</v>
      </c>
      <c r="H86" s="7">
        <v>135817500</v>
      </c>
      <c r="I86" s="7">
        <v>0</v>
      </c>
      <c r="J86" s="7">
        <v>0</v>
      </c>
      <c r="K86" s="7">
        <v>0</v>
      </c>
      <c r="L86" s="7">
        <v>0</v>
      </c>
      <c r="M86" s="7">
        <v>142129600</v>
      </c>
      <c r="N86" s="7">
        <v>59699600</v>
      </c>
      <c r="O86" s="7">
        <v>0</v>
      </c>
      <c r="P86" s="7">
        <v>0</v>
      </c>
      <c r="Q86" s="7">
        <v>0</v>
      </c>
      <c r="R86" s="7">
        <v>0</v>
      </c>
      <c r="S86" s="7">
        <v>33478100</v>
      </c>
      <c r="T86" s="7">
        <v>8.8330129999999996E-9</v>
      </c>
      <c r="U86" s="7">
        <v>0</v>
      </c>
      <c r="V86" s="7">
        <v>0</v>
      </c>
      <c r="W86" s="7">
        <v>0</v>
      </c>
      <c r="X86" s="7">
        <v>141825800</v>
      </c>
      <c r="Y86" s="7">
        <v>0</v>
      </c>
    </row>
    <row r="87" spans="1:25" x14ac:dyDescent="0.25">
      <c r="B87" s="7">
        <v>22655080</v>
      </c>
      <c r="C87" s="7">
        <v>114185300</v>
      </c>
      <c r="D87" s="7">
        <v>0</v>
      </c>
      <c r="E87" s="7">
        <v>0</v>
      </c>
      <c r="F87" s="7">
        <v>0</v>
      </c>
      <c r="G87" s="7">
        <v>0</v>
      </c>
      <c r="H87" s="7">
        <v>138337100</v>
      </c>
      <c r="I87" s="7">
        <v>0</v>
      </c>
      <c r="J87" s="7">
        <v>0</v>
      </c>
      <c r="K87" s="7">
        <v>0</v>
      </c>
      <c r="L87" s="7">
        <v>0</v>
      </c>
      <c r="M87" s="7">
        <v>144269700</v>
      </c>
      <c r="N87" s="7">
        <v>65796700</v>
      </c>
      <c r="O87" s="7">
        <v>89584510</v>
      </c>
      <c r="P87" s="7">
        <v>0</v>
      </c>
      <c r="Q87" s="7">
        <v>0</v>
      </c>
      <c r="R87" s="7">
        <v>4.4514309999999997E-8</v>
      </c>
      <c r="S87" s="7">
        <v>40897800</v>
      </c>
      <c r="T87" s="7">
        <v>3.5819539999999998E-8</v>
      </c>
      <c r="U87" s="7">
        <v>0</v>
      </c>
      <c r="V87" s="7">
        <v>-5.0480599999999999E-8</v>
      </c>
      <c r="W87" s="7">
        <v>0</v>
      </c>
      <c r="X87" s="7">
        <v>144117000</v>
      </c>
      <c r="Y87" s="7">
        <v>0</v>
      </c>
    </row>
    <row r="88" spans="1:25" x14ac:dyDescent="0.25">
      <c r="B88" s="7">
        <v>26529830</v>
      </c>
      <c r="C88" s="7">
        <v>118137400</v>
      </c>
      <c r="D88" s="7">
        <v>0</v>
      </c>
      <c r="E88" s="7">
        <v>0</v>
      </c>
      <c r="F88" s="7">
        <v>0</v>
      </c>
      <c r="G88" s="7">
        <v>3.459718E-8</v>
      </c>
      <c r="H88" s="7">
        <v>140769400</v>
      </c>
      <c r="I88" s="7">
        <v>0</v>
      </c>
      <c r="J88" s="7">
        <v>4.2986360000000001E-8</v>
      </c>
      <c r="K88" s="7">
        <v>0</v>
      </c>
      <c r="L88" s="7">
        <v>0</v>
      </c>
      <c r="M88" s="7">
        <v>146988800</v>
      </c>
      <c r="N88" s="7">
        <v>78506870</v>
      </c>
      <c r="O88" s="7">
        <v>95343560</v>
      </c>
      <c r="P88" s="7">
        <v>0</v>
      </c>
      <c r="Q88" s="7">
        <v>0</v>
      </c>
      <c r="R88" s="7">
        <v>0</v>
      </c>
      <c r="S88" s="7">
        <v>48826570</v>
      </c>
      <c r="T88" s="7">
        <v>0</v>
      </c>
      <c r="U88" s="7">
        <v>6.9296220000000005E-8</v>
      </c>
      <c r="V88" s="7">
        <v>0</v>
      </c>
      <c r="W88" s="7">
        <v>0</v>
      </c>
      <c r="X88" s="7">
        <v>146763100</v>
      </c>
      <c r="Y88" s="7">
        <v>0</v>
      </c>
    </row>
    <row r="89" spans="1:25" x14ac:dyDescent="0.25">
      <c r="B89" s="7">
        <v>31946700</v>
      </c>
      <c r="C89" s="7">
        <v>121424200</v>
      </c>
      <c r="D89" s="7">
        <v>0</v>
      </c>
      <c r="E89" s="7">
        <v>0</v>
      </c>
      <c r="F89" s="7">
        <v>0</v>
      </c>
      <c r="G89" s="7">
        <v>1.1790690000000001E-7</v>
      </c>
      <c r="H89" s="7">
        <v>143341100</v>
      </c>
      <c r="I89" s="7">
        <v>0</v>
      </c>
      <c r="J89" s="7">
        <v>3.1592209999999997E-8</v>
      </c>
      <c r="K89" s="7">
        <v>0</v>
      </c>
      <c r="L89" s="7">
        <v>0</v>
      </c>
      <c r="M89" s="7">
        <v>149207400</v>
      </c>
      <c r="N89" s="7">
        <v>88822470</v>
      </c>
      <c r="O89" s="7">
        <v>100495000</v>
      </c>
      <c r="P89" s="7">
        <v>0</v>
      </c>
      <c r="Q89" s="7">
        <v>0</v>
      </c>
      <c r="R89" s="7">
        <v>0</v>
      </c>
      <c r="S89" s="7">
        <v>57166180</v>
      </c>
      <c r="T89" s="7">
        <v>3.7944119999999997E-8</v>
      </c>
      <c r="U89" s="7">
        <v>-2.22572E-8</v>
      </c>
      <c r="V89" s="7">
        <v>0</v>
      </c>
      <c r="W89" s="7">
        <v>0</v>
      </c>
      <c r="X89" s="7">
        <v>148655000</v>
      </c>
      <c r="Y89" s="7">
        <v>0</v>
      </c>
    </row>
    <row r="90" spans="1:25" x14ac:dyDescent="0.25">
      <c r="B90" s="7">
        <v>76428090</v>
      </c>
      <c r="C90" s="7">
        <v>343378800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232304900</v>
      </c>
      <c r="O90" s="7">
        <v>193169100</v>
      </c>
      <c r="P90" s="7">
        <v>0</v>
      </c>
      <c r="Q90" s="7">
        <v>8707354.0869999994</v>
      </c>
      <c r="R90" s="7">
        <v>0</v>
      </c>
      <c r="S90" s="7">
        <v>163083300</v>
      </c>
      <c r="T90" s="7">
        <v>0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174280300</v>
      </c>
      <c r="C91" s="7">
        <v>366340600</v>
      </c>
      <c r="D91" s="7">
        <v>0</v>
      </c>
      <c r="E91" s="7">
        <v>11065060</v>
      </c>
      <c r="F91" s="7">
        <v>0</v>
      </c>
      <c r="G91" s="7">
        <v>0</v>
      </c>
      <c r="H91" s="7">
        <v>440365500</v>
      </c>
      <c r="I91" s="7">
        <v>0</v>
      </c>
      <c r="J91" s="7">
        <v>0</v>
      </c>
      <c r="K91" s="7">
        <v>0</v>
      </c>
      <c r="L91" s="7">
        <v>28369590</v>
      </c>
      <c r="M91" s="7">
        <v>448626300</v>
      </c>
      <c r="N91" s="7">
        <v>318052900</v>
      </c>
      <c r="O91" s="7">
        <v>211046900</v>
      </c>
      <c r="P91" s="7">
        <v>0</v>
      </c>
      <c r="Q91" s="7">
        <v>45130650</v>
      </c>
      <c r="R91" s="7">
        <v>-4.4150500000000002E-8</v>
      </c>
      <c r="S91" s="7">
        <v>274167100</v>
      </c>
      <c r="T91" s="7">
        <v>0</v>
      </c>
      <c r="U91" s="7">
        <v>0</v>
      </c>
      <c r="V91" s="7">
        <v>0</v>
      </c>
      <c r="W91" s="7">
        <v>0</v>
      </c>
      <c r="X91" s="7">
        <v>404462300</v>
      </c>
      <c r="Y91" s="7">
        <v>18511280</v>
      </c>
    </row>
    <row r="92" spans="1:25" x14ac:dyDescent="0.25">
      <c r="B92" s="7">
        <v>217924700</v>
      </c>
      <c r="C92" s="7">
        <v>385081200</v>
      </c>
      <c r="D92" s="7">
        <v>0</v>
      </c>
      <c r="E92" s="7">
        <v>51769500</v>
      </c>
      <c r="F92" s="7">
        <v>0</v>
      </c>
      <c r="G92" s="7">
        <v>4.6893549999999998E-8</v>
      </c>
      <c r="H92" s="7">
        <v>467080900</v>
      </c>
      <c r="I92" s="7">
        <v>-5.9211699999999998E-8</v>
      </c>
      <c r="J92" s="7">
        <v>4.1698509999999998E-8</v>
      </c>
      <c r="K92" s="7">
        <v>0</v>
      </c>
      <c r="L92" s="7">
        <v>41938590</v>
      </c>
      <c r="M92" s="7">
        <v>476831000</v>
      </c>
      <c r="N92" s="7">
        <v>330168000</v>
      </c>
      <c r="O92" s="7">
        <v>235873000</v>
      </c>
      <c r="P92" s="7">
        <v>15402930</v>
      </c>
      <c r="Q92" s="7">
        <v>61460440</v>
      </c>
      <c r="R92" s="7">
        <v>0</v>
      </c>
      <c r="S92" s="7">
        <v>299918800</v>
      </c>
      <c r="T92" s="7">
        <v>0</v>
      </c>
      <c r="U92" s="7">
        <v>8842186.2569999993</v>
      </c>
      <c r="V92" s="7">
        <v>0</v>
      </c>
      <c r="W92" s="7">
        <v>0</v>
      </c>
      <c r="X92" s="7">
        <v>432076800</v>
      </c>
      <c r="Y92" s="7">
        <v>85363920</v>
      </c>
    </row>
    <row r="94" spans="1:25" ht="45" x14ac:dyDescent="0.25">
      <c r="A94" s="6" t="s">
        <v>47</v>
      </c>
      <c r="B94" s="7">
        <v>302198100</v>
      </c>
      <c r="C94" s="7">
        <v>0</v>
      </c>
      <c r="D94" s="7">
        <v>400153200</v>
      </c>
      <c r="E94" s="7">
        <v>382568200</v>
      </c>
      <c r="F94" s="7">
        <v>427181500</v>
      </c>
      <c r="G94" s="7">
        <v>406794000</v>
      </c>
      <c r="H94" s="7">
        <v>0</v>
      </c>
      <c r="I94" s="7">
        <v>396879000</v>
      </c>
      <c r="J94" s="7">
        <v>429286500</v>
      </c>
      <c r="K94" s="7">
        <v>341983700</v>
      </c>
      <c r="L94" s="7">
        <v>392594800</v>
      </c>
      <c r="M94" s="7">
        <v>0</v>
      </c>
      <c r="N94" s="7">
        <v>134732000</v>
      </c>
      <c r="O94" s="7">
        <v>0</v>
      </c>
      <c r="P94" s="7">
        <v>302597400</v>
      </c>
      <c r="Q94" s="7">
        <v>296462000</v>
      </c>
      <c r="R94" s="7">
        <v>341460400</v>
      </c>
      <c r="S94" s="7">
        <v>210032500</v>
      </c>
      <c r="T94" s="7">
        <v>409697300</v>
      </c>
      <c r="U94" s="7">
        <v>329279600</v>
      </c>
      <c r="V94" s="7">
        <v>476373400</v>
      </c>
      <c r="W94" s="7">
        <v>431483800</v>
      </c>
      <c r="X94" s="7">
        <v>0</v>
      </c>
      <c r="Y94" s="7">
        <v>353151400</v>
      </c>
    </row>
    <row r="95" spans="1:25" x14ac:dyDescent="0.25">
      <c r="B95" s="7">
        <v>302003000</v>
      </c>
      <c r="C95" s="7">
        <v>0</v>
      </c>
      <c r="D95" s="7">
        <v>401327400</v>
      </c>
      <c r="E95" s="7">
        <v>384864000</v>
      </c>
      <c r="F95" s="7">
        <v>428671300</v>
      </c>
      <c r="G95" s="7">
        <v>407929600</v>
      </c>
      <c r="H95" s="7">
        <v>0</v>
      </c>
      <c r="I95" s="7">
        <v>398481000</v>
      </c>
      <c r="J95" s="7">
        <v>430374100</v>
      </c>
      <c r="K95" s="7">
        <v>344623500</v>
      </c>
      <c r="L95" s="7">
        <v>394143000</v>
      </c>
      <c r="M95" s="7">
        <v>0</v>
      </c>
      <c r="N95" s="7">
        <v>132532000</v>
      </c>
      <c r="O95" s="7">
        <v>0</v>
      </c>
      <c r="P95" s="7">
        <v>305898700</v>
      </c>
      <c r="Q95" s="7">
        <v>301709200</v>
      </c>
      <c r="R95" s="7">
        <v>343362300</v>
      </c>
      <c r="S95" s="7">
        <v>205043600</v>
      </c>
      <c r="T95" s="7">
        <v>416509300</v>
      </c>
      <c r="U95" s="7">
        <v>331677400</v>
      </c>
      <c r="V95" s="7">
        <v>478392000</v>
      </c>
      <c r="W95" s="7">
        <v>432462700</v>
      </c>
      <c r="X95" s="7">
        <v>0</v>
      </c>
      <c r="Y95" s="7">
        <v>354855200</v>
      </c>
    </row>
    <row r="96" spans="1:25" x14ac:dyDescent="0.25">
      <c r="B96" s="7">
        <v>302504700</v>
      </c>
      <c r="C96" s="7">
        <v>0</v>
      </c>
      <c r="D96" s="7">
        <v>402572000</v>
      </c>
      <c r="E96" s="7">
        <v>386429200</v>
      </c>
      <c r="F96" s="7">
        <v>429884600</v>
      </c>
      <c r="G96" s="7">
        <v>408998600</v>
      </c>
      <c r="H96" s="7">
        <v>0</v>
      </c>
      <c r="I96" s="7">
        <v>400015400</v>
      </c>
      <c r="J96" s="7">
        <v>431273000</v>
      </c>
      <c r="K96" s="7">
        <v>347141900</v>
      </c>
      <c r="L96" s="7">
        <v>395492700</v>
      </c>
      <c r="M96" s="7">
        <v>0</v>
      </c>
      <c r="N96" s="7">
        <v>132255900</v>
      </c>
      <c r="O96" s="7">
        <v>0</v>
      </c>
      <c r="P96" s="7">
        <v>309182400</v>
      </c>
      <c r="Q96" s="7">
        <v>305025200</v>
      </c>
      <c r="R96" s="7">
        <v>356840700</v>
      </c>
      <c r="S96" s="7">
        <v>202096200</v>
      </c>
      <c r="T96" s="7">
        <v>425701000</v>
      </c>
      <c r="U96" s="7">
        <v>333872600</v>
      </c>
      <c r="V96" s="7">
        <v>480182100</v>
      </c>
      <c r="W96" s="7">
        <v>433311900</v>
      </c>
      <c r="X96" s="7">
        <v>0</v>
      </c>
      <c r="Y96" s="7">
        <v>357224000</v>
      </c>
    </row>
    <row r="97" spans="1:25" x14ac:dyDescent="0.25">
      <c r="B97" s="7">
        <v>300487800</v>
      </c>
      <c r="C97" s="7">
        <v>0</v>
      </c>
      <c r="D97" s="7">
        <v>403214600</v>
      </c>
      <c r="E97" s="7">
        <v>387109600</v>
      </c>
      <c r="F97" s="7">
        <v>430822200</v>
      </c>
      <c r="G97" s="7">
        <v>411292500</v>
      </c>
      <c r="H97" s="7">
        <v>0</v>
      </c>
      <c r="I97" s="7">
        <v>401166200</v>
      </c>
      <c r="J97" s="7">
        <v>432343100</v>
      </c>
      <c r="K97" s="7">
        <v>348463300</v>
      </c>
      <c r="L97" s="7">
        <v>396340600</v>
      </c>
      <c r="M97" s="7">
        <v>0</v>
      </c>
      <c r="N97" s="7">
        <v>121845100</v>
      </c>
      <c r="O97" s="7">
        <v>0</v>
      </c>
      <c r="P97" s="7">
        <v>310540800</v>
      </c>
      <c r="Q97" s="7">
        <v>306515100</v>
      </c>
      <c r="R97" s="7">
        <v>362615500</v>
      </c>
      <c r="S97" s="7">
        <v>196235400</v>
      </c>
      <c r="T97" s="7">
        <v>428551200</v>
      </c>
      <c r="U97" s="7">
        <v>339371600</v>
      </c>
      <c r="V97" s="7">
        <v>481303200</v>
      </c>
      <c r="W97" s="7">
        <v>433851300</v>
      </c>
      <c r="X97" s="7">
        <v>0</v>
      </c>
      <c r="Y97" s="7">
        <v>358149300</v>
      </c>
    </row>
    <row r="98" spans="1:25" x14ac:dyDescent="0.25">
      <c r="B98" s="7">
        <v>299600700</v>
      </c>
      <c r="C98" s="7">
        <v>0</v>
      </c>
      <c r="D98" s="7">
        <v>403818300</v>
      </c>
      <c r="E98" s="7">
        <v>388096500</v>
      </c>
      <c r="F98" s="7">
        <v>431747400</v>
      </c>
      <c r="G98" s="7">
        <v>413325500</v>
      </c>
      <c r="H98" s="7">
        <v>0</v>
      </c>
      <c r="I98" s="7">
        <v>401816700</v>
      </c>
      <c r="J98" s="7">
        <v>433741800</v>
      </c>
      <c r="K98" s="7">
        <v>349255900</v>
      </c>
      <c r="L98" s="7">
        <v>396948700</v>
      </c>
      <c r="M98" s="7">
        <v>0</v>
      </c>
      <c r="N98" s="7">
        <v>113305500</v>
      </c>
      <c r="O98" s="7">
        <v>0</v>
      </c>
      <c r="P98" s="7">
        <v>312315700</v>
      </c>
      <c r="Q98" s="7">
        <v>307982500</v>
      </c>
      <c r="R98" s="7">
        <v>367967300</v>
      </c>
      <c r="S98" s="7">
        <v>189170200</v>
      </c>
      <c r="T98" s="7">
        <v>431364500</v>
      </c>
      <c r="U98" s="7">
        <v>342991500</v>
      </c>
      <c r="V98" s="7">
        <v>481394000</v>
      </c>
      <c r="W98" s="7">
        <v>434448300</v>
      </c>
      <c r="X98" s="7">
        <v>0</v>
      </c>
      <c r="Y98" s="7">
        <v>358868800</v>
      </c>
    </row>
    <row r="99" spans="1:25" x14ac:dyDescent="0.25">
      <c r="B99" s="7">
        <v>307713700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381437400</v>
      </c>
      <c r="L99" s="7">
        <v>384824600</v>
      </c>
      <c r="M99" s="7">
        <v>0</v>
      </c>
      <c r="N99" s="7">
        <v>154719300</v>
      </c>
      <c r="O99" s="7">
        <v>0</v>
      </c>
      <c r="P99" s="7">
        <v>381414100</v>
      </c>
      <c r="Q99" s="7">
        <v>386978400</v>
      </c>
      <c r="R99" s="7">
        <v>383844600</v>
      </c>
      <c r="S99" s="7">
        <v>223585900</v>
      </c>
      <c r="T99" s="7">
        <v>381397000</v>
      </c>
      <c r="U99" s="7">
        <v>382065300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273855700</v>
      </c>
      <c r="C100" s="7">
        <v>0</v>
      </c>
      <c r="D100" s="7">
        <v>447740800</v>
      </c>
      <c r="E100" s="7">
        <v>435904700</v>
      </c>
      <c r="F100" s="7">
        <v>457508000</v>
      </c>
      <c r="G100" s="7">
        <v>447888400</v>
      </c>
      <c r="H100" s="7">
        <v>-2.1216700000000001E-8</v>
      </c>
      <c r="I100" s="7">
        <v>453692700</v>
      </c>
      <c r="J100" s="7">
        <v>446205800</v>
      </c>
      <c r="K100" s="7">
        <v>445010400</v>
      </c>
      <c r="L100" s="7">
        <v>420579000</v>
      </c>
      <c r="M100" s="7">
        <v>0</v>
      </c>
      <c r="N100" s="7">
        <v>133485100</v>
      </c>
      <c r="O100" s="7">
        <v>0</v>
      </c>
      <c r="P100" s="7">
        <v>444964700</v>
      </c>
      <c r="Q100" s="7">
        <v>393956300</v>
      </c>
      <c r="R100" s="7">
        <v>447799400</v>
      </c>
      <c r="S100" s="7">
        <v>176943400</v>
      </c>
      <c r="T100" s="7">
        <v>444936800</v>
      </c>
      <c r="U100" s="7">
        <v>445886000</v>
      </c>
      <c r="V100" s="7">
        <v>445153200</v>
      </c>
      <c r="W100" s="7">
        <v>444965100</v>
      </c>
      <c r="X100" s="7">
        <v>31894180</v>
      </c>
      <c r="Y100" s="7">
        <v>431383400</v>
      </c>
    </row>
    <row r="101" spans="1:25" x14ac:dyDescent="0.25">
      <c r="B101" s="7">
        <v>262947600</v>
      </c>
      <c r="C101" s="7">
        <v>0</v>
      </c>
      <c r="D101" s="7">
        <v>462980000</v>
      </c>
      <c r="E101" s="7">
        <v>442792600</v>
      </c>
      <c r="F101" s="7">
        <v>500361800</v>
      </c>
      <c r="G101" s="7">
        <v>482248300</v>
      </c>
      <c r="H101" s="7">
        <v>0</v>
      </c>
      <c r="I101" s="7">
        <v>484051200</v>
      </c>
      <c r="J101" s="7">
        <v>471095700</v>
      </c>
      <c r="K101" s="7">
        <v>469601000</v>
      </c>
      <c r="L101" s="7">
        <v>435316600</v>
      </c>
      <c r="M101" s="7">
        <v>0</v>
      </c>
      <c r="N101" s="7">
        <v>140208100</v>
      </c>
      <c r="O101" s="7">
        <v>0</v>
      </c>
      <c r="P101" s="7">
        <v>473087900</v>
      </c>
      <c r="Q101" s="7">
        <v>398390300</v>
      </c>
      <c r="R101" s="7">
        <v>484359900</v>
      </c>
      <c r="S101" s="7">
        <v>171186700</v>
      </c>
      <c r="T101" s="7">
        <v>492246400</v>
      </c>
      <c r="U101" s="7">
        <v>459290000</v>
      </c>
      <c r="V101" s="7">
        <v>493990000</v>
      </c>
      <c r="W101" s="7">
        <v>500721200</v>
      </c>
      <c r="X101" s="7">
        <v>31032250</v>
      </c>
      <c r="Y101" s="7">
        <v>413105000</v>
      </c>
    </row>
    <row r="103" spans="1:25" ht="45" x14ac:dyDescent="0.25">
      <c r="A103" s="6" t="s">
        <v>49</v>
      </c>
      <c r="B103" s="7">
        <v>194020800</v>
      </c>
      <c r="C103" s="7">
        <v>400518800</v>
      </c>
      <c r="D103" s="7">
        <v>111550600</v>
      </c>
      <c r="E103" s="7">
        <v>128276200</v>
      </c>
      <c r="F103" s="7">
        <v>95687720</v>
      </c>
      <c r="G103" s="7">
        <v>105106500</v>
      </c>
      <c r="H103" s="7">
        <v>382266200</v>
      </c>
      <c r="I103" s="7">
        <v>121645200</v>
      </c>
      <c r="J103" s="7">
        <v>80676240</v>
      </c>
      <c r="K103" s="7">
        <v>166599600</v>
      </c>
      <c r="L103" s="7">
        <v>120504700</v>
      </c>
      <c r="M103" s="7">
        <v>377065200</v>
      </c>
      <c r="N103" s="7">
        <v>330335600</v>
      </c>
      <c r="O103" s="7">
        <v>508653900</v>
      </c>
      <c r="P103" s="7">
        <v>205984800</v>
      </c>
      <c r="Q103" s="7">
        <v>231124300</v>
      </c>
      <c r="R103" s="7">
        <v>170356900</v>
      </c>
      <c r="S103" s="7">
        <v>282167100</v>
      </c>
      <c r="T103" s="7">
        <v>98829780</v>
      </c>
      <c r="U103" s="7">
        <v>180030100</v>
      </c>
      <c r="V103" s="7">
        <v>32229100</v>
      </c>
      <c r="W103" s="7">
        <v>77032660</v>
      </c>
      <c r="X103" s="7">
        <v>370685700</v>
      </c>
      <c r="Y103" s="7">
        <v>161022700</v>
      </c>
    </row>
    <row r="104" spans="1:25" x14ac:dyDescent="0.25">
      <c r="B104" s="7">
        <v>190387500</v>
      </c>
      <c r="C104" s="7">
        <v>397591200</v>
      </c>
      <c r="D104" s="7">
        <v>110376400</v>
      </c>
      <c r="E104" s="7">
        <v>125980400</v>
      </c>
      <c r="F104" s="7">
        <v>94197880</v>
      </c>
      <c r="G104" s="7">
        <v>103970900</v>
      </c>
      <c r="H104" s="7">
        <v>379638500</v>
      </c>
      <c r="I104" s="7">
        <v>120043200</v>
      </c>
      <c r="J104" s="7">
        <v>79588590</v>
      </c>
      <c r="K104" s="7">
        <v>163959800</v>
      </c>
      <c r="L104" s="7">
        <v>118956500</v>
      </c>
      <c r="M104" s="7">
        <v>374686000</v>
      </c>
      <c r="N104" s="7">
        <v>323878100</v>
      </c>
      <c r="O104" s="7">
        <v>508653900</v>
      </c>
      <c r="P104" s="7">
        <v>202683500</v>
      </c>
      <c r="Q104" s="7">
        <v>225877100</v>
      </c>
      <c r="R104" s="7">
        <v>168455000</v>
      </c>
      <c r="S104" s="7">
        <v>277099400</v>
      </c>
      <c r="T104" s="7">
        <v>92012150</v>
      </c>
      <c r="U104" s="7">
        <v>177632300</v>
      </c>
      <c r="V104" s="7">
        <v>30378500</v>
      </c>
      <c r="W104" s="7">
        <v>76053740</v>
      </c>
      <c r="X104" s="7">
        <v>368398000</v>
      </c>
      <c r="Y104" s="7">
        <v>159318900</v>
      </c>
    </row>
    <row r="105" spans="1:25" x14ac:dyDescent="0.25">
      <c r="B105" s="7">
        <v>187060500</v>
      </c>
      <c r="C105" s="7">
        <v>394395900</v>
      </c>
      <c r="D105" s="7">
        <v>109131900</v>
      </c>
      <c r="E105" s="7">
        <v>124415200</v>
      </c>
      <c r="F105" s="7">
        <v>92984650</v>
      </c>
      <c r="G105" s="7">
        <v>102901800</v>
      </c>
      <c r="H105" s="7">
        <v>377118900</v>
      </c>
      <c r="I105" s="7">
        <v>118508800</v>
      </c>
      <c r="J105" s="7">
        <v>78689690</v>
      </c>
      <c r="K105" s="7">
        <v>161441300</v>
      </c>
      <c r="L105" s="7">
        <v>117606800</v>
      </c>
      <c r="M105" s="7">
        <v>372545900</v>
      </c>
      <c r="N105" s="7">
        <v>318057100</v>
      </c>
      <c r="O105" s="7">
        <v>419069400</v>
      </c>
      <c r="P105" s="7">
        <v>199399800</v>
      </c>
      <c r="Q105" s="7">
        <v>222561100</v>
      </c>
      <c r="R105" s="7">
        <v>154968800</v>
      </c>
      <c r="S105" s="7">
        <v>272627100</v>
      </c>
      <c r="T105" s="7">
        <v>82814490</v>
      </c>
      <c r="U105" s="7">
        <v>175437100</v>
      </c>
      <c r="V105" s="7">
        <v>28610400</v>
      </c>
      <c r="W105" s="7">
        <v>75204570</v>
      </c>
      <c r="X105" s="7">
        <v>366106700</v>
      </c>
      <c r="Y105" s="7">
        <v>156950100</v>
      </c>
    </row>
    <row r="106" spans="1:25" x14ac:dyDescent="0.25">
      <c r="B106" s="7">
        <v>185202700</v>
      </c>
      <c r="C106" s="7">
        <v>390443700</v>
      </c>
      <c r="D106" s="7">
        <v>108489300</v>
      </c>
      <c r="E106" s="7">
        <v>123734800</v>
      </c>
      <c r="F106" s="7">
        <v>92047040</v>
      </c>
      <c r="G106" s="7">
        <v>100606300</v>
      </c>
      <c r="H106" s="7">
        <v>374686600</v>
      </c>
      <c r="I106" s="7">
        <v>117358100</v>
      </c>
      <c r="J106" s="7">
        <v>77617950</v>
      </c>
      <c r="K106" s="7">
        <v>160120000</v>
      </c>
      <c r="L106" s="7">
        <v>116758900</v>
      </c>
      <c r="M106" s="7">
        <v>369826800</v>
      </c>
      <c r="N106" s="7">
        <v>315757800</v>
      </c>
      <c r="O106" s="7">
        <v>413310300</v>
      </c>
      <c r="P106" s="7">
        <v>198041400</v>
      </c>
      <c r="Q106" s="7">
        <v>221071100</v>
      </c>
      <c r="R106" s="7">
        <v>149191400</v>
      </c>
      <c r="S106" s="7">
        <v>270559100</v>
      </c>
      <c r="T106" s="7">
        <v>79962000</v>
      </c>
      <c r="U106" s="7">
        <v>169938100</v>
      </c>
      <c r="V106" s="7">
        <v>27299300</v>
      </c>
      <c r="W106" s="7">
        <v>74665170</v>
      </c>
      <c r="X106" s="7">
        <v>363460700</v>
      </c>
      <c r="Y106" s="7">
        <v>156024900</v>
      </c>
    </row>
    <row r="107" spans="1:25" x14ac:dyDescent="0.25">
      <c r="B107" s="7">
        <v>180670400</v>
      </c>
      <c r="C107" s="7">
        <v>387156900</v>
      </c>
      <c r="D107" s="7">
        <v>107885500</v>
      </c>
      <c r="E107" s="7">
        <v>122747900</v>
      </c>
      <c r="F107" s="7">
        <v>91121780</v>
      </c>
      <c r="G107" s="7">
        <v>98571640</v>
      </c>
      <c r="H107" s="7">
        <v>372114900</v>
      </c>
      <c r="I107" s="7">
        <v>116707500</v>
      </c>
      <c r="J107" s="7">
        <v>76217880</v>
      </c>
      <c r="K107" s="7">
        <v>159327400</v>
      </c>
      <c r="L107" s="7">
        <v>116150800</v>
      </c>
      <c r="M107" s="7">
        <v>367608200</v>
      </c>
      <c r="N107" s="7">
        <v>313981700</v>
      </c>
      <c r="O107" s="7">
        <v>408158900</v>
      </c>
      <c r="P107" s="7">
        <v>196266600</v>
      </c>
      <c r="Q107" s="7">
        <v>219603700</v>
      </c>
      <c r="R107" s="7">
        <v>143837500</v>
      </c>
      <c r="S107" s="7">
        <v>269284700</v>
      </c>
      <c r="T107" s="7">
        <v>77147090</v>
      </c>
      <c r="U107" s="7">
        <v>166318200</v>
      </c>
      <c r="V107" s="7">
        <v>27413460</v>
      </c>
      <c r="W107" s="7">
        <v>74068160</v>
      </c>
      <c r="X107" s="7">
        <v>361568800</v>
      </c>
      <c r="Y107" s="7">
        <v>155305300</v>
      </c>
    </row>
    <row r="108" spans="1:25" x14ac:dyDescent="0.25">
      <c r="B108" s="7">
        <v>128055100</v>
      </c>
      <c r="C108" s="7">
        <v>175877900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351076300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64027530</v>
      </c>
      <c r="C109" s="7">
        <v>164560900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80546290</v>
      </c>
      <c r="I109" s="7">
        <v>64815530</v>
      </c>
      <c r="J109" s="7">
        <v>63745340</v>
      </c>
      <c r="K109" s="7">
        <v>63572910</v>
      </c>
      <c r="L109" s="7">
        <v>64137440</v>
      </c>
      <c r="M109" s="7">
        <v>70234350</v>
      </c>
      <c r="N109" s="7">
        <v>64513720</v>
      </c>
      <c r="O109" s="7">
        <v>341560600</v>
      </c>
      <c r="P109" s="7">
        <v>63572780</v>
      </c>
      <c r="Q109" s="7">
        <v>95592870</v>
      </c>
      <c r="R109" s="7">
        <v>63977160</v>
      </c>
      <c r="S109" s="7">
        <v>64452640</v>
      </c>
      <c r="T109" s="7">
        <v>63566720</v>
      </c>
      <c r="U109" s="7">
        <v>63663710</v>
      </c>
      <c r="V109" s="7">
        <v>63575310</v>
      </c>
      <c r="W109" s="7">
        <v>63564560</v>
      </c>
      <c r="X109" s="7">
        <v>80270280</v>
      </c>
      <c r="Y109" s="7">
        <v>64271770</v>
      </c>
    </row>
    <row r="110" spans="1:25" x14ac:dyDescent="0.25">
      <c r="B110" s="7">
        <v>44872380</v>
      </c>
      <c r="C110" s="7">
        <v>158851400</v>
      </c>
      <c r="D110" s="7">
        <v>62293350</v>
      </c>
      <c r="E110" s="7">
        <v>35769820</v>
      </c>
      <c r="F110" s="7">
        <v>34569360</v>
      </c>
      <c r="G110" s="7">
        <v>44954880</v>
      </c>
      <c r="H110" s="7">
        <v>72963370</v>
      </c>
      <c r="I110" s="7">
        <v>49723270</v>
      </c>
      <c r="J110" s="7">
        <v>48024960</v>
      </c>
      <c r="K110" s="7">
        <v>54672970</v>
      </c>
      <c r="L110" s="7">
        <v>49855790</v>
      </c>
      <c r="M110" s="7">
        <v>63376120</v>
      </c>
      <c r="N110" s="7">
        <v>61793400</v>
      </c>
      <c r="O110" s="7">
        <v>323749000</v>
      </c>
      <c r="P110" s="7">
        <v>38762390</v>
      </c>
      <c r="Q110" s="7">
        <v>88440770</v>
      </c>
      <c r="R110" s="7">
        <v>40235610</v>
      </c>
      <c r="S110" s="7">
        <v>61342150</v>
      </c>
      <c r="T110" s="7">
        <v>25303360</v>
      </c>
      <c r="U110" s="7">
        <v>57349510</v>
      </c>
      <c r="V110" s="7">
        <v>18443010</v>
      </c>
      <c r="W110" s="7">
        <v>20293520</v>
      </c>
      <c r="X110" s="7">
        <v>77334470</v>
      </c>
      <c r="Y110" s="7">
        <v>36742130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topLeftCell="A103" zoomScaleNormal="100" workbookViewId="0">
      <selection activeCell="L132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B74" s="1"/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C102" s="1"/>
      <c r="H102" s="1"/>
      <c r="M102" s="1"/>
      <c r="O102" s="1"/>
      <c r="X102" s="1"/>
    </row>
    <row r="103" spans="2:25" x14ac:dyDescent="0.25">
      <c r="C103" s="1"/>
      <c r="H103" s="1"/>
      <c r="M103" s="1"/>
      <c r="O103" s="1"/>
      <c r="X103" s="1"/>
    </row>
    <row r="104" spans="2:25" x14ac:dyDescent="0.25">
      <c r="C104" s="1"/>
      <c r="H104" s="1"/>
      <c r="M104" s="1"/>
      <c r="N104" s="1"/>
      <c r="O104" s="1"/>
      <c r="S104" s="1"/>
      <c r="X104" s="1"/>
    </row>
    <row r="105" spans="2:25" x14ac:dyDescent="0.25">
      <c r="C105" s="1"/>
      <c r="H105" s="1"/>
      <c r="M105" s="1"/>
      <c r="N105" s="1"/>
      <c r="O105" s="1"/>
      <c r="S105" s="1"/>
      <c r="X105" s="1"/>
    </row>
    <row r="106" spans="2:25" x14ac:dyDescent="0.25">
      <c r="B106" s="1"/>
      <c r="C106" s="1"/>
      <c r="H106" s="1"/>
      <c r="M106" s="1"/>
      <c r="N106" s="1"/>
      <c r="O106" s="1"/>
      <c r="S106" s="1"/>
      <c r="X106" s="1"/>
    </row>
    <row r="107" spans="2:25" x14ac:dyDescent="0.25">
      <c r="B107" s="1"/>
      <c r="C107" s="1"/>
      <c r="H107" s="1"/>
      <c r="M107" s="1"/>
      <c r="N107" s="1"/>
      <c r="O107" s="1"/>
      <c r="S107" s="1"/>
      <c r="X107" s="1"/>
    </row>
    <row r="108" spans="2:25" x14ac:dyDescent="0.25">
      <c r="B108" s="1"/>
      <c r="C108" s="1"/>
      <c r="E108" s="1"/>
      <c r="H108" s="1"/>
      <c r="L108" s="1"/>
      <c r="M108" s="1"/>
      <c r="N108" s="1"/>
      <c r="O108" s="1"/>
      <c r="Q108" s="1"/>
      <c r="R108" s="1"/>
      <c r="S108" s="1"/>
      <c r="X108" s="1"/>
      <c r="Y108" s="1"/>
    </row>
    <row r="109" spans="2:25" x14ac:dyDescent="0.25">
      <c r="B109" s="1"/>
      <c r="C109" s="1"/>
      <c r="E109" s="1"/>
      <c r="G109" s="1"/>
      <c r="H109" s="1"/>
      <c r="I109" s="1"/>
      <c r="J109" s="1"/>
      <c r="L109" s="1"/>
      <c r="M109" s="1"/>
      <c r="N109" s="1"/>
      <c r="O109" s="1"/>
      <c r="P109" s="1"/>
      <c r="Q109" s="1"/>
      <c r="S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B5/'Output-Calculation-sheet'!B4*'Output-Calculation-sheet'!#REF!</f>
        <v>#REF!</v>
      </c>
      <c r="C115" s="2" t="e">
        <f>C5/'Output-Calculation-sheet'!C4*'Output-Calculation-sheet'!#REF!</f>
        <v>#REF!</v>
      </c>
      <c r="D115" s="2" t="e">
        <f>D5/'Output-Calculation-sheet'!D4*'Output-Calculation-sheet'!#REF!</f>
        <v>#REF!</v>
      </c>
      <c r="E115" s="2" t="e">
        <f>E5/'Output-Calculation-sheet'!E4*'Output-Calculation-sheet'!#REF!</f>
        <v>#REF!</v>
      </c>
      <c r="F115" s="2" t="e">
        <f>F5/'Output-Calculation-sheet'!F4*'Output-Calculation-sheet'!#REF!</f>
        <v>#REF!</v>
      </c>
      <c r="G115" s="2" t="e">
        <f>G5/'Output-Calculation-sheet'!G4*'Output-Calculation-sheet'!#REF!</f>
        <v>#REF!</v>
      </c>
      <c r="H115" s="2" t="e">
        <f>H5/'Output-Calculation-sheet'!H4*'Output-Calculation-sheet'!#REF!</f>
        <v>#REF!</v>
      </c>
      <c r="I115" s="2" t="e">
        <f>I5/'Output-Calculation-sheet'!I4*'Output-Calculation-sheet'!#REF!</f>
        <v>#REF!</v>
      </c>
      <c r="J115" s="2" t="e">
        <f>J5/'Output-Calculation-sheet'!J4*'Output-Calculation-sheet'!#REF!</f>
        <v>#REF!</v>
      </c>
      <c r="K115" s="2" t="e">
        <f>K5/'Output-Calculation-sheet'!K4*'Output-Calculation-sheet'!#REF!</f>
        <v>#REF!</v>
      </c>
      <c r="L115" s="2" t="e">
        <f>L5/'Output-Calculation-sheet'!L4*'Output-Calculation-sheet'!#REF!</f>
        <v>#REF!</v>
      </c>
      <c r="M115" s="2" t="e">
        <f>M5/'Output-Calculation-sheet'!M4*'Output-Calculation-sheet'!#REF!</f>
        <v>#REF!</v>
      </c>
      <c r="N115" s="2" t="e">
        <f>N5/'Output-Calculation-sheet'!N4*'Output-Calculation-sheet'!#REF!</f>
        <v>#REF!</v>
      </c>
      <c r="O115" s="2" t="e">
        <f>O5/'Output-Calculation-sheet'!O4*'Output-Calculation-sheet'!#REF!</f>
        <v>#REF!</v>
      </c>
      <c r="P115" s="2" t="e">
        <f>P5/'Output-Calculation-sheet'!P4*'Output-Calculation-sheet'!#REF!</f>
        <v>#REF!</v>
      </c>
      <c r="Q115" s="2" t="e">
        <f>Q5/'Output-Calculation-sheet'!Q4*'Output-Calculation-sheet'!#REF!</f>
        <v>#REF!</v>
      </c>
      <c r="R115" s="2" t="e">
        <f>R5/'Output-Calculation-sheet'!R4*'Output-Calculation-sheet'!#REF!</f>
        <v>#REF!</v>
      </c>
      <c r="S115" s="2" t="e">
        <f>S5/'Output-Calculation-sheet'!S4*'Output-Calculation-sheet'!#REF!</f>
        <v>#REF!</v>
      </c>
      <c r="T115" s="2" t="e">
        <f>T5/'Output-Calculation-sheet'!T4*'Output-Calculation-sheet'!#REF!</f>
        <v>#REF!</v>
      </c>
      <c r="U115" s="2" t="e">
        <f>U5/'Output-Calculation-sheet'!U4*'Output-Calculation-sheet'!#REF!</f>
        <v>#REF!</v>
      </c>
      <c r="V115" s="2" t="e">
        <f>V5/'Output-Calculation-sheet'!V4*'Output-Calculation-sheet'!#REF!</f>
        <v>#REF!</v>
      </c>
      <c r="W115" s="2" t="e">
        <f>W5/'Output-Calculation-sheet'!W4*'Output-Calculation-sheet'!#REF!</f>
        <v>#REF!</v>
      </c>
      <c r="X115" s="2" t="e">
        <f>X5/'Output-Calculation-sheet'!X4*'Output-Calculation-sheet'!#REF!</f>
        <v>#REF!</v>
      </c>
      <c r="Y115" s="2" t="e">
        <f>Y5/'Output-Calculation-sheet'!Y4*'Output-Calculation-sheet'!#REF!</f>
        <v>#REF!</v>
      </c>
      <c r="AA115" s="2" t="e">
        <f>SUM(B115:Y115)/10^6</f>
        <v>#REF!</v>
      </c>
    </row>
    <row r="116" spans="1:27" x14ac:dyDescent="0.25">
      <c r="A116" s="2">
        <v>2029</v>
      </c>
      <c r="B116" s="2" t="e">
        <f>B6/'Output-Calculation-sheet'!B5*'Output-Calculation-sheet'!#REF!</f>
        <v>#REF!</v>
      </c>
      <c r="C116" s="2" t="e">
        <f>C6/'Output-Calculation-sheet'!C5*'Output-Calculation-sheet'!#REF!</f>
        <v>#REF!</v>
      </c>
      <c r="D116" s="2" t="e">
        <f>D6/'Output-Calculation-sheet'!D5*'Output-Calculation-sheet'!#REF!</f>
        <v>#REF!</v>
      </c>
      <c r="E116" s="2" t="e">
        <f>E6/'Output-Calculation-sheet'!E5*'Output-Calculation-sheet'!#REF!</f>
        <v>#REF!</v>
      </c>
      <c r="F116" s="2" t="e">
        <f>F6/'Output-Calculation-sheet'!F5*'Output-Calculation-sheet'!#REF!</f>
        <v>#REF!</v>
      </c>
      <c r="G116" s="2" t="e">
        <f>G6/'Output-Calculation-sheet'!G5*'Output-Calculation-sheet'!#REF!</f>
        <v>#REF!</v>
      </c>
      <c r="H116" s="2" t="e">
        <f>H6/'Output-Calculation-sheet'!H5*'Output-Calculation-sheet'!#REF!</f>
        <v>#REF!</v>
      </c>
      <c r="I116" s="2" t="e">
        <f>I6/'Output-Calculation-sheet'!I5*'Output-Calculation-sheet'!#REF!</f>
        <v>#REF!</v>
      </c>
      <c r="J116" s="2" t="e">
        <f>J6/'Output-Calculation-sheet'!J5*'Output-Calculation-sheet'!#REF!</f>
        <v>#REF!</v>
      </c>
      <c r="K116" s="2" t="e">
        <f>K6/'Output-Calculation-sheet'!K5*'Output-Calculation-sheet'!#REF!</f>
        <v>#REF!</v>
      </c>
      <c r="L116" s="2" t="e">
        <f>L6/'Output-Calculation-sheet'!L5*'Output-Calculation-sheet'!#REF!</f>
        <v>#REF!</v>
      </c>
      <c r="M116" s="2" t="e">
        <f>M6/'Output-Calculation-sheet'!M5*'Output-Calculation-sheet'!#REF!</f>
        <v>#REF!</v>
      </c>
      <c r="N116" s="2" t="e">
        <f>N6/'Output-Calculation-sheet'!N5*'Output-Calculation-sheet'!#REF!</f>
        <v>#REF!</v>
      </c>
      <c r="O116" s="2" t="e">
        <f>O6/'Output-Calculation-sheet'!O5*'Output-Calculation-sheet'!#REF!</f>
        <v>#REF!</v>
      </c>
      <c r="P116" s="2" t="e">
        <f>P6/'Output-Calculation-sheet'!P5*'Output-Calculation-sheet'!#REF!</f>
        <v>#REF!</v>
      </c>
      <c r="Q116" s="2" t="e">
        <f>Q6/'Output-Calculation-sheet'!Q5*'Output-Calculation-sheet'!#REF!</f>
        <v>#REF!</v>
      </c>
      <c r="R116" s="2" t="e">
        <f>R6/'Output-Calculation-sheet'!R5*'Output-Calculation-sheet'!#REF!</f>
        <v>#REF!</v>
      </c>
      <c r="S116" s="2" t="e">
        <f>S6/'Output-Calculation-sheet'!S5*'Output-Calculation-sheet'!#REF!</f>
        <v>#REF!</v>
      </c>
      <c r="T116" s="2" t="e">
        <f>T6/'Output-Calculation-sheet'!T5*'Output-Calculation-sheet'!#REF!</f>
        <v>#REF!</v>
      </c>
      <c r="U116" s="2" t="e">
        <f>U6/'Output-Calculation-sheet'!U5*'Output-Calculation-sheet'!#REF!</f>
        <v>#REF!</v>
      </c>
      <c r="V116" s="2" t="e">
        <f>V6/'Output-Calculation-sheet'!V5*'Output-Calculation-sheet'!#REF!</f>
        <v>#REF!</v>
      </c>
      <c r="W116" s="2" t="e">
        <f>W6/'Output-Calculation-sheet'!W5*'Output-Calculation-sheet'!#REF!</f>
        <v>#REF!</v>
      </c>
      <c r="X116" s="2" t="e">
        <f>X6/'Output-Calculation-sheet'!X5*'Output-Calculation-sheet'!#REF!</f>
        <v>#REF!</v>
      </c>
      <c r="Y116" s="2" t="e">
        <f>Y6/'Output-Calculation-sheet'!Y5*'Output-Calculation-sheet'!#REF!</f>
        <v>#REF!</v>
      </c>
      <c r="AA116" s="2" t="e">
        <f t="shared" ref="AA116:AA122" si="9">SUM(B116:Y116)/10^6</f>
        <v>#REF!</v>
      </c>
    </row>
    <row r="117" spans="1:27" x14ac:dyDescent="0.25">
      <c r="A117" s="2">
        <v>2030</v>
      </c>
      <c r="B117" s="2" t="e">
        <f>B7/'Output-Calculation-sheet'!B6*'Output-Calculation-sheet'!#REF!</f>
        <v>#REF!</v>
      </c>
      <c r="C117" s="2" t="e">
        <f>C7/'Output-Calculation-sheet'!C6*'Output-Calculation-sheet'!#REF!</f>
        <v>#REF!</v>
      </c>
      <c r="D117" s="2" t="e">
        <f>D7/'Output-Calculation-sheet'!D6*'Output-Calculation-sheet'!#REF!</f>
        <v>#REF!</v>
      </c>
      <c r="E117" s="2" t="e">
        <f>E7/'Output-Calculation-sheet'!E6*'Output-Calculation-sheet'!#REF!</f>
        <v>#REF!</v>
      </c>
      <c r="F117" s="2" t="e">
        <f>F7/'Output-Calculation-sheet'!F6*'Output-Calculation-sheet'!#REF!</f>
        <v>#REF!</v>
      </c>
      <c r="G117" s="2" t="e">
        <f>G7/'Output-Calculation-sheet'!G6*'Output-Calculation-sheet'!#REF!</f>
        <v>#REF!</v>
      </c>
      <c r="H117" s="2" t="e">
        <f>H7/'Output-Calculation-sheet'!H6*'Output-Calculation-sheet'!#REF!</f>
        <v>#REF!</v>
      </c>
      <c r="I117" s="2" t="e">
        <f>I7/'Output-Calculation-sheet'!I6*'Output-Calculation-sheet'!#REF!</f>
        <v>#REF!</v>
      </c>
      <c r="J117" s="2" t="e">
        <f>J7/'Output-Calculation-sheet'!J6*'Output-Calculation-sheet'!#REF!</f>
        <v>#REF!</v>
      </c>
      <c r="K117" s="2" t="e">
        <f>K7/'Output-Calculation-sheet'!K6*'Output-Calculation-sheet'!#REF!</f>
        <v>#REF!</v>
      </c>
      <c r="L117" s="2" t="e">
        <f>L7/'Output-Calculation-sheet'!L6*'Output-Calculation-sheet'!#REF!</f>
        <v>#REF!</v>
      </c>
      <c r="M117" s="2" t="e">
        <f>M7/'Output-Calculation-sheet'!M6*'Output-Calculation-sheet'!#REF!</f>
        <v>#REF!</v>
      </c>
      <c r="N117" s="2" t="e">
        <f>N7/'Output-Calculation-sheet'!N6*'Output-Calculation-sheet'!#REF!</f>
        <v>#REF!</v>
      </c>
      <c r="O117" s="2" t="e">
        <f>O7/'Output-Calculation-sheet'!O6*'Output-Calculation-sheet'!#REF!</f>
        <v>#REF!</v>
      </c>
      <c r="P117" s="2" t="e">
        <f>P7/'Output-Calculation-sheet'!P6*'Output-Calculation-sheet'!#REF!</f>
        <v>#REF!</v>
      </c>
      <c r="Q117" s="2" t="e">
        <f>Q7/'Output-Calculation-sheet'!Q6*'Output-Calculation-sheet'!#REF!</f>
        <v>#REF!</v>
      </c>
      <c r="R117" s="2" t="e">
        <f>R7/'Output-Calculation-sheet'!R6*'Output-Calculation-sheet'!#REF!</f>
        <v>#REF!</v>
      </c>
      <c r="S117" s="2" t="e">
        <f>S7/'Output-Calculation-sheet'!S6*'Output-Calculation-sheet'!#REF!</f>
        <v>#REF!</v>
      </c>
      <c r="T117" s="2" t="e">
        <f>T7/'Output-Calculation-sheet'!T6*'Output-Calculation-sheet'!#REF!</f>
        <v>#REF!</v>
      </c>
      <c r="U117" s="2" t="e">
        <f>U7/'Output-Calculation-sheet'!U6*'Output-Calculation-sheet'!#REF!</f>
        <v>#REF!</v>
      </c>
      <c r="V117" s="2" t="e">
        <f>V7/'Output-Calculation-sheet'!V6*'Output-Calculation-sheet'!#REF!</f>
        <v>#REF!</v>
      </c>
      <c r="W117" s="2" t="e">
        <f>W7/'Output-Calculation-sheet'!W6*'Output-Calculation-sheet'!#REF!</f>
        <v>#REF!</v>
      </c>
      <c r="X117" s="2" t="e">
        <f>X7/'Output-Calculation-sheet'!X6*'Output-Calculation-sheet'!#REF!</f>
        <v>#REF!</v>
      </c>
      <c r="Y117" s="2" t="e">
        <f>Y7/'Output-Calculation-sheet'!Y6*'Output-Calculation-sheet'!#REF!</f>
        <v>#REF!</v>
      </c>
      <c r="AA117" s="2" t="e">
        <f t="shared" si="9"/>
        <v>#REF!</v>
      </c>
    </row>
    <row r="118" spans="1:27" x14ac:dyDescent="0.25">
      <c r="A118" s="2">
        <v>2031</v>
      </c>
      <c r="B118" s="2" t="e">
        <f>B8/'Output-Calculation-sheet'!B7*'Output-Calculation-sheet'!#REF!</f>
        <v>#REF!</v>
      </c>
      <c r="C118" s="2" t="e">
        <f>C8/'Output-Calculation-sheet'!C7*'Output-Calculation-sheet'!#REF!</f>
        <v>#REF!</v>
      </c>
      <c r="D118" s="2" t="e">
        <f>D8/'Output-Calculation-sheet'!D7*'Output-Calculation-sheet'!#REF!</f>
        <v>#REF!</v>
      </c>
      <c r="E118" s="2" t="e">
        <f>E8/'Output-Calculation-sheet'!E7*'Output-Calculation-sheet'!#REF!</f>
        <v>#REF!</v>
      </c>
      <c r="F118" s="2" t="e">
        <f>F8/'Output-Calculation-sheet'!F7*'Output-Calculation-sheet'!#REF!</f>
        <v>#REF!</v>
      </c>
      <c r="G118" s="2" t="e">
        <f>G8/'Output-Calculation-sheet'!G7*'Output-Calculation-sheet'!#REF!</f>
        <v>#REF!</v>
      </c>
      <c r="H118" s="2" t="e">
        <f>H8/'Output-Calculation-sheet'!H7*'Output-Calculation-sheet'!#REF!</f>
        <v>#REF!</v>
      </c>
      <c r="I118" s="2" t="e">
        <f>I8/'Output-Calculation-sheet'!I7*'Output-Calculation-sheet'!#REF!</f>
        <v>#REF!</v>
      </c>
      <c r="J118" s="2" t="e">
        <f>J8/'Output-Calculation-sheet'!J7*'Output-Calculation-sheet'!#REF!</f>
        <v>#REF!</v>
      </c>
      <c r="K118" s="2" t="e">
        <f>K8/'Output-Calculation-sheet'!K7*'Output-Calculation-sheet'!#REF!</f>
        <v>#REF!</v>
      </c>
      <c r="L118" s="2" t="e">
        <f>L8/'Output-Calculation-sheet'!L7*'Output-Calculation-sheet'!#REF!</f>
        <v>#REF!</v>
      </c>
      <c r="M118" s="2" t="e">
        <f>M8/'Output-Calculation-sheet'!M7*'Output-Calculation-sheet'!#REF!</f>
        <v>#REF!</v>
      </c>
      <c r="N118" s="2" t="e">
        <f>N8/'Output-Calculation-sheet'!N7*'Output-Calculation-sheet'!#REF!</f>
        <v>#REF!</v>
      </c>
      <c r="O118" s="2" t="e">
        <f>O8/'Output-Calculation-sheet'!O7*'Output-Calculation-sheet'!#REF!</f>
        <v>#REF!</v>
      </c>
      <c r="P118" s="2" t="e">
        <f>P8/'Output-Calculation-sheet'!P7*'Output-Calculation-sheet'!#REF!</f>
        <v>#REF!</v>
      </c>
      <c r="Q118" s="2" t="e">
        <f>Q8/'Output-Calculation-sheet'!Q7*'Output-Calculation-sheet'!#REF!</f>
        <v>#REF!</v>
      </c>
      <c r="R118" s="2" t="e">
        <f>R8/'Output-Calculation-sheet'!R7*'Output-Calculation-sheet'!#REF!</f>
        <v>#REF!</v>
      </c>
      <c r="S118" s="2" t="e">
        <f>S8/'Output-Calculation-sheet'!S7*'Output-Calculation-sheet'!#REF!</f>
        <v>#REF!</v>
      </c>
      <c r="T118" s="2" t="e">
        <f>T8/'Output-Calculation-sheet'!T7*'Output-Calculation-sheet'!#REF!</f>
        <v>#REF!</v>
      </c>
      <c r="U118" s="2" t="e">
        <f>U8/'Output-Calculation-sheet'!U7*'Output-Calculation-sheet'!#REF!</f>
        <v>#REF!</v>
      </c>
      <c r="V118" s="2" t="e">
        <f>V8/'Output-Calculation-sheet'!V7*'Output-Calculation-sheet'!#REF!</f>
        <v>#REF!</v>
      </c>
      <c r="W118" s="2" t="e">
        <f>W8/'Output-Calculation-sheet'!W7*'Output-Calculation-sheet'!#REF!</f>
        <v>#REF!</v>
      </c>
      <c r="X118" s="2" t="e">
        <f>X8/'Output-Calculation-sheet'!X7*'Output-Calculation-sheet'!#REF!</f>
        <v>#REF!</v>
      </c>
      <c r="Y118" s="2" t="e">
        <f>Y8/'Output-Calculation-sheet'!Y7*'Output-Calculation-sheet'!#REF!</f>
        <v>#REF!</v>
      </c>
      <c r="AA118" s="2" t="e">
        <f t="shared" si="9"/>
        <v>#REF!</v>
      </c>
    </row>
    <row r="119" spans="1:27" x14ac:dyDescent="0.25">
      <c r="A119" s="2">
        <v>2032</v>
      </c>
      <c r="B119" s="2" t="e">
        <f>B9/'Output-Calculation-sheet'!B8*'Output-Calculation-sheet'!#REF!</f>
        <v>#REF!</v>
      </c>
      <c r="C119" s="2" t="e">
        <f>C9/'Output-Calculation-sheet'!C8*'Output-Calculation-sheet'!#REF!</f>
        <v>#REF!</v>
      </c>
      <c r="D119" s="2" t="e">
        <f>D9/'Output-Calculation-sheet'!D8*'Output-Calculation-sheet'!#REF!</f>
        <v>#REF!</v>
      </c>
      <c r="E119" s="2" t="e">
        <f>E9/'Output-Calculation-sheet'!E8*'Output-Calculation-sheet'!#REF!</f>
        <v>#REF!</v>
      </c>
      <c r="F119" s="2" t="e">
        <f>F9/'Output-Calculation-sheet'!F8*'Output-Calculation-sheet'!#REF!</f>
        <v>#REF!</v>
      </c>
      <c r="G119" s="2" t="e">
        <f>G9/'Output-Calculation-sheet'!G8*'Output-Calculation-sheet'!#REF!</f>
        <v>#REF!</v>
      </c>
      <c r="H119" s="2" t="e">
        <f>H9/'Output-Calculation-sheet'!H8*'Output-Calculation-sheet'!#REF!</f>
        <v>#REF!</v>
      </c>
      <c r="I119" s="2" t="e">
        <f>I9/'Output-Calculation-sheet'!I8*'Output-Calculation-sheet'!#REF!</f>
        <v>#REF!</v>
      </c>
      <c r="J119" s="2" t="e">
        <f>J9/'Output-Calculation-sheet'!J8*'Output-Calculation-sheet'!#REF!</f>
        <v>#REF!</v>
      </c>
      <c r="K119" s="2" t="e">
        <f>K9/'Output-Calculation-sheet'!K8*'Output-Calculation-sheet'!#REF!</f>
        <v>#REF!</v>
      </c>
      <c r="L119" s="2" t="e">
        <f>L9/'Output-Calculation-sheet'!L8*'Output-Calculation-sheet'!#REF!</f>
        <v>#REF!</v>
      </c>
      <c r="M119" s="2" t="e">
        <f>M9/'Output-Calculation-sheet'!M8*'Output-Calculation-sheet'!#REF!</f>
        <v>#REF!</v>
      </c>
      <c r="N119" s="2" t="e">
        <f>N9/'Output-Calculation-sheet'!N8*'Output-Calculation-sheet'!#REF!</f>
        <v>#REF!</v>
      </c>
      <c r="O119" s="2" t="e">
        <f>O9/'Output-Calculation-sheet'!O8*'Output-Calculation-sheet'!#REF!</f>
        <v>#REF!</v>
      </c>
      <c r="P119" s="2" t="e">
        <f>P9/'Output-Calculation-sheet'!P8*'Output-Calculation-sheet'!#REF!</f>
        <v>#REF!</v>
      </c>
      <c r="Q119" s="2" t="e">
        <f>Q9/'Output-Calculation-sheet'!Q8*'Output-Calculation-sheet'!#REF!</f>
        <v>#REF!</v>
      </c>
      <c r="R119" s="2" t="e">
        <f>R9/'Output-Calculation-sheet'!R8*'Output-Calculation-sheet'!#REF!</f>
        <v>#REF!</v>
      </c>
      <c r="S119" s="2" t="e">
        <f>S9/'Output-Calculation-sheet'!S8*'Output-Calculation-sheet'!#REF!</f>
        <v>#REF!</v>
      </c>
      <c r="T119" s="2" t="e">
        <f>T9/'Output-Calculation-sheet'!T8*'Output-Calculation-sheet'!#REF!</f>
        <v>#REF!</v>
      </c>
      <c r="U119" s="2" t="e">
        <f>U9/'Output-Calculation-sheet'!U8*'Output-Calculation-sheet'!#REF!</f>
        <v>#REF!</v>
      </c>
      <c r="V119" s="2" t="e">
        <f>V9/'Output-Calculation-sheet'!V8*'Output-Calculation-sheet'!#REF!</f>
        <v>#REF!</v>
      </c>
      <c r="W119" s="2" t="e">
        <f>W9/'Output-Calculation-sheet'!W8*'Output-Calculation-sheet'!#REF!</f>
        <v>#REF!</v>
      </c>
      <c r="X119" s="2" t="e">
        <f>X9/'Output-Calculation-sheet'!X8*'Output-Calculation-sheet'!#REF!</f>
        <v>#REF!</v>
      </c>
      <c r="Y119" s="2" t="e">
        <f>Y9/'Output-Calculation-sheet'!Y8*'Output-Calculation-sheet'!#REF!</f>
        <v>#REF!</v>
      </c>
      <c r="AA119" s="2" t="e">
        <f t="shared" si="9"/>
        <v>#REF!</v>
      </c>
    </row>
    <row r="120" spans="1:27" x14ac:dyDescent="0.25">
      <c r="A120" s="2">
        <v>2033</v>
      </c>
      <c r="B120" s="2" t="e">
        <f>B10/'Output-Calculation-sheet'!B9*'Output-Calculation-sheet'!#REF!</f>
        <v>#REF!</v>
      </c>
      <c r="C120" s="2" t="e">
        <f>C10/'Output-Calculation-sheet'!C9*'Output-Calculation-sheet'!#REF!</f>
        <v>#REF!</v>
      </c>
      <c r="D120" s="2" t="e">
        <f>D10/'Output-Calculation-sheet'!D9*'Output-Calculation-sheet'!#REF!</f>
        <v>#REF!</v>
      </c>
      <c r="E120" s="2" t="e">
        <f>E10/'Output-Calculation-sheet'!E9*'Output-Calculation-sheet'!#REF!</f>
        <v>#REF!</v>
      </c>
      <c r="F120" s="2" t="e">
        <f>F10/'Output-Calculation-sheet'!F9*'Output-Calculation-sheet'!#REF!</f>
        <v>#REF!</v>
      </c>
      <c r="G120" s="2" t="e">
        <f>G10/'Output-Calculation-sheet'!G9*'Output-Calculation-sheet'!#REF!</f>
        <v>#REF!</v>
      </c>
      <c r="H120" s="2" t="e">
        <f>H10/'Output-Calculation-sheet'!H9*'Output-Calculation-sheet'!#REF!</f>
        <v>#REF!</v>
      </c>
      <c r="I120" s="2" t="e">
        <f>I10/'Output-Calculation-sheet'!I9*'Output-Calculation-sheet'!#REF!</f>
        <v>#REF!</v>
      </c>
      <c r="J120" s="2" t="e">
        <f>J10/'Output-Calculation-sheet'!J9*'Output-Calculation-sheet'!#REF!</f>
        <v>#REF!</v>
      </c>
      <c r="K120" s="2" t="e">
        <f>K10/'Output-Calculation-sheet'!K9*'Output-Calculation-sheet'!#REF!</f>
        <v>#REF!</v>
      </c>
      <c r="L120" s="2" t="e">
        <f>L10/'Output-Calculation-sheet'!L9*'Output-Calculation-sheet'!#REF!</f>
        <v>#REF!</v>
      </c>
      <c r="M120" s="2" t="e">
        <f>M10/'Output-Calculation-sheet'!M9*'Output-Calculation-sheet'!#REF!</f>
        <v>#REF!</v>
      </c>
      <c r="N120" s="2" t="e">
        <f>N10/'Output-Calculation-sheet'!N9*'Output-Calculation-sheet'!#REF!</f>
        <v>#REF!</v>
      </c>
      <c r="O120" s="2" t="e">
        <f>O10/'Output-Calculation-sheet'!O9*'Output-Calculation-sheet'!#REF!</f>
        <v>#REF!</v>
      </c>
      <c r="P120" s="2" t="e">
        <f>P10/'Output-Calculation-sheet'!P9*'Output-Calculation-sheet'!#REF!</f>
        <v>#REF!</v>
      </c>
      <c r="Q120" s="2" t="e">
        <f>Q10/'Output-Calculation-sheet'!Q9*'Output-Calculation-sheet'!#REF!</f>
        <v>#REF!</v>
      </c>
      <c r="R120" s="2" t="e">
        <f>R10/'Output-Calculation-sheet'!R9*'Output-Calculation-sheet'!#REF!</f>
        <v>#REF!</v>
      </c>
      <c r="S120" s="2" t="e">
        <f>S10/'Output-Calculation-sheet'!S9*'Output-Calculation-sheet'!#REF!</f>
        <v>#REF!</v>
      </c>
      <c r="T120" s="2" t="e">
        <f>T10/'Output-Calculation-sheet'!T9*'Output-Calculation-sheet'!#REF!</f>
        <v>#REF!</v>
      </c>
      <c r="U120" s="2" t="e">
        <f>U10/'Output-Calculation-sheet'!U9*'Output-Calculation-sheet'!#REF!</f>
        <v>#REF!</v>
      </c>
      <c r="V120" s="2" t="e">
        <f>V10/'Output-Calculation-sheet'!V9*'Output-Calculation-sheet'!#REF!</f>
        <v>#REF!</v>
      </c>
      <c r="W120" s="2" t="e">
        <f>W10/'Output-Calculation-sheet'!W9*'Output-Calculation-sheet'!#REF!</f>
        <v>#REF!</v>
      </c>
      <c r="X120" s="2" t="e">
        <f>X10/'Output-Calculation-sheet'!X9*'Output-Calculation-sheet'!#REF!</f>
        <v>#REF!</v>
      </c>
      <c r="Y120" s="2" t="e">
        <f>Y10/'Output-Calculation-sheet'!Y9*'Output-Calculation-sheet'!#REF!</f>
        <v>#REF!</v>
      </c>
      <c r="AA120" s="2" t="e">
        <f t="shared" si="9"/>
        <v>#REF!</v>
      </c>
    </row>
    <row r="121" spans="1:27" x14ac:dyDescent="0.25">
      <c r="A121" s="2">
        <v>2034</v>
      </c>
      <c r="B121" s="2" t="e">
        <f>B11/'Output-Calculation-sheet'!B10*'Output-Calculation-sheet'!#REF!</f>
        <v>#REF!</v>
      </c>
      <c r="C121" s="2" t="e">
        <f>C11/'Output-Calculation-sheet'!C10*'Output-Calculation-sheet'!#REF!</f>
        <v>#REF!</v>
      </c>
      <c r="D121" s="2" t="e">
        <f>D11/'Output-Calculation-sheet'!D10*'Output-Calculation-sheet'!#REF!</f>
        <v>#REF!</v>
      </c>
      <c r="E121" s="2" t="e">
        <f>E11/'Output-Calculation-sheet'!E10*'Output-Calculation-sheet'!#REF!</f>
        <v>#REF!</v>
      </c>
      <c r="F121" s="2" t="e">
        <f>F11/'Output-Calculation-sheet'!F10*'Output-Calculation-sheet'!#REF!</f>
        <v>#REF!</v>
      </c>
      <c r="G121" s="2" t="e">
        <f>G11/'Output-Calculation-sheet'!G10*'Output-Calculation-sheet'!#REF!</f>
        <v>#REF!</v>
      </c>
      <c r="H121" s="2" t="e">
        <f>H11/'Output-Calculation-sheet'!H10*'Output-Calculation-sheet'!#REF!</f>
        <v>#REF!</v>
      </c>
      <c r="I121" s="2" t="e">
        <f>I11/'Output-Calculation-sheet'!I10*'Output-Calculation-sheet'!#REF!</f>
        <v>#REF!</v>
      </c>
      <c r="J121" s="2" t="e">
        <f>J11/'Output-Calculation-sheet'!J10*'Output-Calculation-sheet'!#REF!</f>
        <v>#REF!</v>
      </c>
      <c r="K121" s="2" t="e">
        <f>K11/'Output-Calculation-sheet'!K10*'Output-Calculation-sheet'!#REF!</f>
        <v>#REF!</v>
      </c>
      <c r="L121" s="2" t="e">
        <f>L11/'Output-Calculation-sheet'!L10*'Output-Calculation-sheet'!#REF!</f>
        <v>#REF!</v>
      </c>
      <c r="M121" s="2" t="e">
        <f>M11/'Output-Calculation-sheet'!M10*'Output-Calculation-sheet'!#REF!</f>
        <v>#REF!</v>
      </c>
      <c r="N121" s="2" t="e">
        <f>N11/'Output-Calculation-sheet'!N10*'Output-Calculation-sheet'!#REF!</f>
        <v>#REF!</v>
      </c>
      <c r="O121" s="2" t="e">
        <f>O11/'Output-Calculation-sheet'!O10*'Output-Calculation-sheet'!#REF!</f>
        <v>#REF!</v>
      </c>
      <c r="P121" s="2" t="e">
        <f>P11/'Output-Calculation-sheet'!P10*'Output-Calculation-sheet'!#REF!</f>
        <v>#REF!</v>
      </c>
      <c r="Q121" s="2" t="e">
        <f>Q11/'Output-Calculation-sheet'!Q10*'Output-Calculation-sheet'!#REF!</f>
        <v>#REF!</v>
      </c>
      <c r="R121" s="2" t="e">
        <f>R11/'Output-Calculation-sheet'!R10*'Output-Calculation-sheet'!#REF!</f>
        <v>#REF!</v>
      </c>
      <c r="S121" s="2" t="e">
        <f>S11/'Output-Calculation-sheet'!S10*'Output-Calculation-sheet'!#REF!</f>
        <v>#REF!</v>
      </c>
      <c r="T121" s="2" t="e">
        <f>T11/'Output-Calculation-sheet'!T10*'Output-Calculation-sheet'!#REF!</f>
        <v>#REF!</v>
      </c>
      <c r="U121" s="2" t="e">
        <f>U11/'Output-Calculation-sheet'!U10*'Output-Calculation-sheet'!#REF!</f>
        <v>#REF!</v>
      </c>
      <c r="V121" s="2" t="e">
        <f>V11/'Output-Calculation-sheet'!V10*'Output-Calculation-sheet'!#REF!</f>
        <v>#REF!</v>
      </c>
      <c r="W121" s="2" t="e">
        <f>W11/'Output-Calculation-sheet'!W10*'Output-Calculation-sheet'!#REF!</f>
        <v>#REF!</v>
      </c>
      <c r="X121" s="2" t="e">
        <f>X11/'Output-Calculation-sheet'!X10*'Output-Calculation-sheet'!#REF!</f>
        <v>#REF!</v>
      </c>
      <c r="Y121" s="2" t="e">
        <f>Y11/'Output-Calculation-sheet'!Y10*'Output-Calculation-sheet'!#REF!</f>
        <v>#REF!</v>
      </c>
      <c r="AA121" s="2" t="e">
        <f t="shared" si="9"/>
        <v>#REF!</v>
      </c>
    </row>
    <row r="122" spans="1:27" x14ac:dyDescent="0.25">
      <c r="A122" s="2">
        <v>2035</v>
      </c>
      <c r="B122" s="2" t="e">
        <f>B12/'Output-Calculation-sheet'!B11*'Output-Calculation-sheet'!#REF!</f>
        <v>#REF!</v>
      </c>
      <c r="C122" s="2" t="e">
        <f>C12/'Output-Calculation-sheet'!C11*'Output-Calculation-sheet'!#REF!</f>
        <v>#REF!</v>
      </c>
      <c r="D122" s="2" t="e">
        <f>D12/'Output-Calculation-sheet'!D11*'Output-Calculation-sheet'!#REF!</f>
        <v>#REF!</v>
      </c>
      <c r="E122" s="2" t="e">
        <f>E12/'Output-Calculation-sheet'!E11*'Output-Calculation-sheet'!#REF!</f>
        <v>#REF!</v>
      </c>
      <c r="F122" s="2" t="e">
        <f>F12/'Output-Calculation-sheet'!F11*'Output-Calculation-sheet'!#REF!</f>
        <v>#REF!</v>
      </c>
      <c r="G122" s="2" t="e">
        <f>G12/'Output-Calculation-sheet'!G11*'Output-Calculation-sheet'!#REF!</f>
        <v>#REF!</v>
      </c>
      <c r="H122" s="2" t="e">
        <f>H12/'Output-Calculation-sheet'!H11*'Output-Calculation-sheet'!#REF!</f>
        <v>#REF!</v>
      </c>
      <c r="I122" s="2" t="e">
        <f>I12/'Output-Calculation-sheet'!I11*'Output-Calculation-sheet'!#REF!</f>
        <v>#REF!</v>
      </c>
      <c r="J122" s="2" t="e">
        <f>J12/'Output-Calculation-sheet'!J11*'Output-Calculation-sheet'!#REF!</f>
        <v>#REF!</v>
      </c>
      <c r="K122" s="2" t="e">
        <f>K12/'Output-Calculation-sheet'!K11*'Output-Calculation-sheet'!#REF!</f>
        <v>#REF!</v>
      </c>
      <c r="L122" s="2" t="e">
        <f>L12/'Output-Calculation-sheet'!L11*'Output-Calculation-sheet'!#REF!</f>
        <v>#REF!</v>
      </c>
      <c r="M122" s="2" t="e">
        <f>M12/'Output-Calculation-sheet'!M11*'Output-Calculation-sheet'!#REF!</f>
        <v>#REF!</v>
      </c>
      <c r="N122" s="2" t="e">
        <f>N12/'Output-Calculation-sheet'!N11*'Output-Calculation-sheet'!#REF!</f>
        <v>#REF!</v>
      </c>
      <c r="O122" s="2" t="e">
        <f>O12/'Output-Calculation-sheet'!O11*'Output-Calculation-sheet'!#REF!</f>
        <v>#REF!</v>
      </c>
      <c r="P122" s="2" t="e">
        <f>P12/'Output-Calculation-sheet'!P11*'Output-Calculation-sheet'!#REF!</f>
        <v>#REF!</v>
      </c>
      <c r="Q122" s="2" t="e">
        <f>Q12/'Output-Calculation-sheet'!Q11*'Output-Calculation-sheet'!#REF!</f>
        <v>#REF!</v>
      </c>
      <c r="R122" s="2" t="e">
        <f>R12/'Output-Calculation-sheet'!R11*'Output-Calculation-sheet'!#REF!</f>
        <v>#REF!</v>
      </c>
      <c r="S122" s="2" t="e">
        <f>S12/'Output-Calculation-sheet'!S11*'Output-Calculation-sheet'!#REF!</f>
        <v>#REF!</v>
      </c>
      <c r="T122" s="2" t="e">
        <f>T12/'Output-Calculation-sheet'!T11*'Output-Calculation-sheet'!#REF!</f>
        <v>#REF!</v>
      </c>
      <c r="U122" s="2" t="e">
        <f>U12/'Output-Calculation-sheet'!U11*'Output-Calculation-sheet'!#REF!</f>
        <v>#REF!</v>
      </c>
      <c r="V122" s="2" t="e">
        <f>V12/'Output-Calculation-sheet'!V11*'Output-Calculation-sheet'!#REF!</f>
        <v>#REF!</v>
      </c>
      <c r="W122" s="2" t="e">
        <f>W12/'Output-Calculation-sheet'!W11*'Output-Calculation-sheet'!#REF!</f>
        <v>#REF!</v>
      </c>
      <c r="X122" s="2" t="e">
        <f>X12/'Output-Calculation-sheet'!X11*'Output-Calculation-sheet'!#REF!</f>
        <v>#REF!</v>
      </c>
      <c r="Y122" s="2" t="e">
        <f>Y12/'Output-Calculation-sheet'!Y11*'Output-Calculation-sheet'!#REF!</f>
        <v>#REF!</v>
      </c>
      <c r="AA122" s="2" t="e">
        <f t="shared" si="9"/>
        <v>#REF!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B5/'Output-Calculation-sheet'!B4*'Output-Calculation-sheet'!#REF!</f>
        <v>#REF!</v>
      </c>
      <c r="C126" s="2" t="e">
        <f>C5/'Output-Calculation-sheet'!C4*'Output-Calculation-sheet'!#REF!</f>
        <v>#REF!</v>
      </c>
      <c r="D126" s="2" t="e">
        <f>D5/'Output-Calculation-sheet'!D4*'Output-Calculation-sheet'!#REF!</f>
        <v>#REF!</v>
      </c>
      <c r="E126" s="2" t="e">
        <f>E5/'Output-Calculation-sheet'!E4*'Output-Calculation-sheet'!#REF!</f>
        <v>#REF!</v>
      </c>
      <c r="F126" s="2" t="e">
        <f>F5/'Output-Calculation-sheet'!F4*'Output-Calculation-sheet'!#REF!</f>
        <v>#REF!</v>
      </c>
      <c r="G126" s="2" t="e">
        <f>G5/'Output-Calculation-sheet'!G4*'Output-Calculation-sheet'!#REF!</f>
        <v>#REF!</v>
      </c>
      <c r="H126" s="2" t="e">
        <f>H5/'Output-Calculation-sheet'!H4*'Output-Calculation-sheet'!#REF!</f>
        <v>#REF!</v>
      </c>
      <c r="I126" s="2" t="e">
        <f>I5/'Output-Calculation-sheet'!I4*'Output-Calculation-sheet'!#REF!</f>
        <v>#REF!</v>
      </c>
      <c r="J126" s="2" t="e">
        <f>J5/'Output-Calculation-sheet'!J4*'Output-Calculation-sheet'!#REF!</f>
        <v>#REF!</v>
      </c>
      <c r="K126" s="2" t="e">
        <f>K5/'Output-Calculation-sheet'!K4*'Output-Calculation-sheet'!#REF!</f>
        <v>#REF!</v>
      </c>
      <c r="L126" s="2" t="e">
        <f>L5/'Output-Calculation-sheet'!L4*'Output-Calculation-sheet'!#REF!</f>
        <v>#REF!</v>
      </c>
      <c r="M126" s="2" t="e">
        <f>M5/'Output-Calculation-sheet'!M4*'Output-Calculation-sheet'!#REF!</f>
        <v>#REF!</v>
      </c>
      <c r="N126" s="2" t="e">
        <f>N5/'Output-Calculation-sheet'!N4*'Output-Calculation-sheet'!#REF!</f>
        <v>#REF!</v>
      </c>
      <c r="O126" s="2" t="e">
        <f>O5/'Output-Calculation-sheet'!O4*'Output-Calculation-sheet'!#REF!</f>
        <v>#REF!</v>
      </c>
      <c r="P126" s="2" t="e">
        <f>P5/'Output-Calculation-sheet'!P4*'Output-Calculation-sheet'!#REF!</f>
        <v>#REF!</v>
      </c>
      <c r="Q126" s="2" t="e">
        <f>Q5/'Output-Calculation-sheet'!Q4*'Output-Calculation-sheet'!#REF!</f>
        <v>#REF!</v>
      </c>
      <c r="R126" s="2" t="e">
        <f>R5/'Output-Calculation-sheet'!R4*'Output-Calculation-sheet'!#REF!</f>
        <v>#REF!</v>
      </c>
      <c r="S126" s="2" t="e">
        <f>S5/'Output-Calculation-sheet'!S4*'Output-Calculation-sheet'!#REF!</f>
        <v>#REF!</v>
      </c>
      <c r="T126" s="2" t="e">
        <f>T5/'Output-Calculation-sheet'!T4*'Output-Calculation-sheet'!#REF!</f>
        <v>#REF!</v>
      </c>
      <c r="U126" s="2" t="e">
        <f>U5/'Output-Calculation-sheet'!U4*'Output-Calculation-sheet'!#REF!</f>
        <v>#REF!</v>
      </c>
      <c r="V126" s="2" t="e">
        <f>V5/'Output-Calculation-sheet'!V4*'Output-Calculation-sheet'!#REF!</f>
        <v>#REF!</v>
      </c>
      <c r="W126" s="2" t="e">
        <f>W5/'Output-Calculation-sheet'!W4*'Output-Calculation-sheet'!#REF!</f>
        <v>#REF!</v>
      </c>
      <c r="X126" s="2" t="e">
        <f>X5/'Output-Calculation-sheet'!X4*'Output-Calculation-sheet'!#REF!</f>
        <v>#REF!</v>
      </c>
      <c r="Y126" s="2" t="e">
        <f>Y5/'Output-Calculation-sheet'!Y4*'Output-Calculation-sheet'!#REF!</f>
        <v>#REF!</v>
      </c>
      <c r="AA126" s="2" t="e">
        <f>SUM(B126:Y126)/10^6</f>
        <v>#REF!</v>
      </c>
    </row>
    <row r="127" spans="1:27" x14ac:dyDescent="0.25">
      <c r="A127" s="2">
        <v>2029</v>
      </c>
      <c r="B127" s="2" t="e">
        <f>B6/'Output-Calculation-sheet'!B5*'Output-Calculation-sheet'!#REF!</f>
        <v>#REF!</v>
      </c>
      <c r="C127" s="2" t="e">
        <f>C6/'Output-Calculation-sheet'!C5*'Output-Calculation-sheet'!#REF!</f>
        <v>#REF!</v>
      </c>
      <c r="D127" s="2" t="e">
        <f>D6/'Output-Calculation-sheet'!D5*'Output-Calculation-sheet'!#REF!</f>
        <v>#REF!</v>
      </c>
      <c r="E127" s="2" t="e">
        <f>E6/'Output-Calculation-sheet'!E5*'Output-Calculation-sheet'!#REF!</f>
        <v>#REF!</v>
      </c>
      <c r="F127" s="2" t="e">
        <f>F6/'Output-Calculation-sheet'!F5*'Output-Calculation-sheet'!#REF!</f>
        <v>#REF!</v>
      </c>
      <c r="G127" s="2" t="e">
        <f>G6/'Output-Calculation-sheet'!G5*'Output-Calculation-sheet'!#REF!</f>
        <v>#REF!</v>
      </c>
      <c r="H127" s="2" t="e">
        <f>H6/'Output-Calculation-sheet'!H5*'Output-Calculation-sheet'!#REF!</f>
        <v>#REF!</v>
      </c>
      <c r="I127" s="2" t="e">
        <f>I6/'Output-Calculation-sheet'!I5*'Output-Calculation-sheet'!#REF!</f>
        <v>#REF!</v>
      </c>
      <c r="J127" s="2" t="e">
        <f>J6/'Output-Calculation-sheet'!J5*'Output-Calculation-sheet'!#REF!</f>
        <v>#REF!</v>
      </c>
      <c r="K127" s="2" t="e">
        <f>K6/'Output-Calculation-sheet'!K5*'Output-Calculation-sheet'!#REF!</f>
        <v>#REF!</v>
      </c>
      <c r="L127" s="2" t="e">
        <f>L6/'Output-Calculation-sheet'!L5*'Output-Calculation-sheet'!#REF!</f>
        <v>#REF!</v>
      </c>
      <c r="M127" s="2" t="e">
        <f>M6/'Output-Calculation-sheet'!M5*'Output-Calculation-sheet'!#REF!</f>
        <v>#REF!</v>
      </c>
      <c r="N127" s="2" t="e">
        <f>N6/'Output-Calculation-sheet'!N5*'Output-Calculation-sheet'!#REF!</f>
        <v>#REF!</v>
      </c>
      <c r="O127" s="2" t="e">
        <f>O6/'Output-Calculation-sheet'!O5*'Output-Calculation-sheet'!#REF!</f>
        <v>#REF!</v>
      </c>
      <c r="P127" s="2" t="e">
        <f>P6/'Output-Calculation-sheet'!P5*'Output-Calculation-sheet'!#REF!</f>
        <v>#REF!</v>
      </c>
      <c r="Q127" s="2" t="e">
        <f>Q6/'Output-Calculation-sheet'!Q5*'Output-Calculation-sheet'!#REF!</f>
        <v>#REF!</v>
      </c>
      <c r="R127" s="2" t="e">
        <f>R6/'Output-Calculation-sheet'!R5*'Output-Calculation-sheet'!#REF!</f>
        <v>#REF!</v>
      </c>
      <c r="S127" s="2" t="e">
        <f>S6/'Output-Calculation-sheet'!S5*'Output-Calculation-sheet'!#REF!</f>
        <v>#REF!</v>
      </c>
      <c r="T127" s="2" t="e">
        <f>T6/'Output-Calculation-sheet'!T5*'Output-Calculation-sheet'!#REF!</f>
        <v>#REF!</v>
      </c>
      <c r="U127" s="2" t="e">
        <f>U6/'Output-Calculation-sheet'!U5*'Output-Calculation-sheet'!#REF!</f>
        <v>#REF!</v>
      </c>
      <c r="V127" s="2" t="e">
        <f>V6/'Output-Calculation-sheet'!V5*'Output-Calculation-sheet'!#REF!</f>
        <v>#REF!</v>
      </c>
      <c r="W127" s="2" t="e">
        <f>W6/'Output-Calculation-sheet'!W5*'Output-Calculation-sheet'!#REF!</f>
        <v>#REF!</v>
      </c>
      <c r="X127" s="2" t="e">
        <f>X6/'Output-Calculation-sheet'!X5*'Output-Calculation-sheet'!#REF!</f>
        <v>#REF!</v>
      </c>
      <c r="Y127" s="2" t="e">
        <f>Y6/'Output-Calculation-sheet'!Y5*'Output-Calculation-sheet'!#REF!</f>
        <v>#REF!</v>
      </c>
      <c r="AA127" s="2" t="e">
        <f t="shared" ref="AA127:AA133" si="10">SUM(B127:Y127)/10^6</f>
        <v>#REF!</v>
      </c>
    </row>
    <row r="128" spans="1:27" x14ac:dyDescent="0.25">
      <c r="A128" s="2">
        <v>2030</v>
      </c>
      <c r="B128" s="2" t="e">
        <f>B7/'Output-Calculation-sheet'!B6*'Output-Calculation-sheet'!#REF!</f>
        <v>#REF!</v>
      </c>
      <c r="C128" s="2" t="e">
        <f>C7/'Output-Calculation-sheet'!C6*'Output-Calculation-sheet'!#REF!</f>
        <v>#REF!</v>
      </c>
      <c r="D128" s="2" t="e">
        <f>D7/'Output-Calculation-sheet'!D6*'Output-Calculation-sheet'!#REF!</f>
        <v>#REF!</v>
      </c>
      <c r="E128" s="2" t="e">
        <f>E7/'Output-Calculation-sheet'!E6*'Output-Calculation-sheet'!#REF!</f>
        <v>#REF!</v>
      </c>
      <c r="F128" s="2" t="e">
        <f>F7/'Output-Calculation-sheet'!F6*'Output-Calculation-sheet'!#REF!</f>
        <v>#REF!</v>
      </c>
      <c r="G128" s="2" t="e">
        <f>G7/'Output-Calculation-sheet'!G6*'Output-Calculation-sheet'!#REF!</f>
        <v>#REF!</v>
      </c>
      <c r="H128" s="2" t="e">
        <f>H7/'Output-Calculation-sheet'!H6*'Output-Calculation-sheet'!#REF!</f>
        <v>#REF!</v>
      </c>
      <c r="I128" s="2" t="e">
        <f>I7/'Output-Calculation-sheet'!I6*'Output-Calculation-sheet'!#REF!</f>
        <v>#REF!</v>
      </c>
      <c r="J128" s="2" t="e">
        <f>J7/'Output-Calculation-sheet'!J6*'Output-Calculation-sheet'!#REF!</f>
        <v>#REF!</v>
      </c>
      <c r="K128" s="2" t="e">
        <f>K7/'Output-Calculation-sheet'!K6*'Output-Calculation-sheet'!#REF!</f>
        <v>#REF!</v>
      </c>
      <c r="L128" s="2" t="e">
        <f>L7/'Output-Calculation-sheet'!L6*'Output-Calculation-sheet'!#REF!</f>
        <v>#REF!</v>
      </c>
      <c r="M128" s="2" t="e">
        <f>M7/'Output-Calculation-sheet'!M6*'Output-Calculation-sheet'!#REF!</f>
        <v>#REF!</v>
      </c>
      <c r="N128" s="2" t="e">
        <f>N7/'Output-Calculation-sheet'!N6*'Output-Calculation-sheet'!#REF!</f>
        <v>#REF!</v>
      </c>
      <c r="O128" s="2" t="e">
        <f>O7/'Output-Calculation-sheet'!O6*'Output-Calculation-sheet'!#REF!</f>
        <v>#REF!</v>
      </c>
      <c r="P128" s="2" t="e">
        <f>P7/'Output-Calculation-sheet'!P6*'Output-Calculation-sheet'!#REF!</f>
        <v>#REF!</v>
      </c>
      <c r="Q128" s="2" t="e">
        <f>Q7/'Output-Calculation-sheet'!Q6*'Output-Calculation-sheet'!#REF!</f>
        <v>#REF!</v>
      </c>
      <c r="R128" s="2" t="e">
        <f>R7/'Output-Calculation-sheet'!R6*'Output-Calculation-sheet'!#REF!</f>
        <v>#REF!</v>
      </c>
      <c r="S128" s="2" t="e">
        <f>S7/'Output-Calculation-sheet'!S6*'Output-Calculation-sheet'!#REF!</f>
        <v>#REF!</v>
      </c>
      <c r="T128" s="2" t="e">
        <f>T7/'Output-Calculation-sheet'!T6*'Output-Calculation-sheet'!#REF!</f>
        <v>#REF!</v>
      </c>
      <c r="U128" s="2" t="e">
        <f>U7/'Output-Calculation-sheet'!U6*'Output-Calculation-sheet'!#REF!</f>
        <v>#REF!</v>
      </c>
      <c r="V128" s="2" t="e">
        <f>V7/'Output-Calculation-sheet'!V6*'Output-Calculation-sheet'!#REF!</f>
        <v>#REF!</v>
      </c>
      <c r="W128" s="2" t="e">
        <f>W7/'Output-Calculation-sheet'!W6*'Output-Calculation-sheet'!#REF!</f>
        <v>#REF!</v>
      </c>
      <c r="X128" s="2" t="e">
        <f>X7/'Output-Calculation-sheet'!X6*'Output-Calculation-sheet'!#REF!</f>
        <v>#REF!</v>
      </c>
      <c r="Y128" s="2" t="e">
        <f>Y7/'Output-Calculation-sheet'!Y6*'Output-Calculation-sheet'!#REF!</f>
        <v>#REF!</v>
      </c>
      <c r="AA128" s="2" t="e">
        <f t="shared" si="10"/>
        <v>#REF!</v>
      </c>
    </row>
    <row r="129" spans="1:27" x14ac:dyDescent="0.25">
      <c r="A129" s="2">
        <v>2031</v>
      </c>
      <c r="B129" s="2" t="e">
        <f>B8/'Output-Calculation-sheet'!B7*'Output-Calculation-sheet'!#REF!</f>
        <v>#REF!</v>
      </c>
      <c r="C129" s="2" t="e">
        <f>C8/'Output-Calculation-sheet'!C7*'Output-Calculation-sheet'!#REF!</f>
        <v>#REF!</v>
      </c>
      <c r="D129" s="2" t="e">
        <f>D8/'Output-Calculation-sheet'!D7*'Output-Calculation-sheet'!#REF!</f>
        <v>#REF!</v>
      </c>
      <c r="E129" s="2" t="e">
        <f>E8/'Output-Calculation-sheet'!E7*'Output-Calculation-sheet'!#REF!</f>
        <v>#REF!</v>
      </c>
      <c r="F129" s="2" t="e">
        <f>F8/'Output-Calculation-sheet'!F7*'Output-Calculation-sheet'!#REF!</f>
        <v>#REF!</v>
      </c>
      <c r="G129" s="2" t="e">
        <f>G8/'Output-Calculation-sheet'!G7*'Output-Calculation-sheet'!#REF!</f>
        <v>#REF!</v>
      </c>
      <c r="H129" s="2" t="e">
        <f>H8/'Output-Calculation-sheet'!H7*'Output-Calculation-sheet'!#REF!</f>
        <v>#REF!</v>
      </c>
      <c r="I129" s="2" t="e">
        <f>I8/'Output-Calculation-sheet'!I7*'Output-Calculation-sheet'!#REF!</f>
        <v>#REF!</v>
      </c>
      <c r="J129" s="2" t="e">
        <f>J8/'Output-Calculation-sheet'!J7*'Output-Calculation-sheet'!#REF!</f>
        <v>#REF!</v>
      </c>
      <c r="K129" s="2" t="e">
        <f>K8/'Output-Calculation-sheet'!K7*'Output-Calculation-sheet'!#REF!</f>
        <v>#REF!</v>
      </c>
      <c r="L129" s="2" t="e">
        <f>L8/'Output-Calculation-sheet'!L7*'Output-Calculation-sheet'!#REF!</f>
        <v>#REF!</v>
      </c>
      <c r="M129" s="2" t="e">
        <f>M8/'Output-Calculation-sheet'!M7*'Output-Calculation-sheet'!#REF!</f>
        <v>#REF!</v>
      </c>
      <c r="N129" s="2" t="e">
        <f>N8/'Output-Calculation-sheet'!N7*'Output-Calculation-sheet'!#REF!</f>
        <v>#REF!</v>
      </c>
      <c r="O129" s="2" t="e">
        <f>O8/'Output-Calculation-sheet'!O7*'Output-Calculation-sheet'!#REF!</f>
        <v>#REF!</v>
      </c>
      <c r="P129" s="2" t="e">
        <f>P8/'Output-Calculation-sheet'!P7*'Output-Calculation-sheet'!#REF!</f>
        <v>#REF!</v>
      </c>
      <c r="Q129" s="2" t="e">
        <f>Q8/'Output-Calculation-sheet'!Q7*'Output-Calculation-sheet'!#REF!</f>
        <v>#REF!</v>
      </c>
      <c r="R129" s="2" t="e">
        <f>R8/'Output-Calculation-sheet'!R7*'Output-Calculation-sheet'!#REF!</f>
        <v>#REF!</v>
      </c>
      <c r="S129" s="2" t="e">
        <f>S8/'Output-Calculation-sheet'!S7*'Output-Calculation-sheet'!#REF!</f>
        <v>#REF!</v>
      </c>
      <c r="T129" s="2" t="e">
        <f>T8/'Output-Calculation-sheet'!T7*'Output-Calculation-sheet'!#REF!</f>
        <v>#REF!</v>
      </c>
      <c r="U129" s="2" t="e">
        <f>U8/'Output-Calculation-sheet'!U7*'Output-Calculation-sheet'!#REF!</f>
        <v>#REF!</v>
      </c>
      <c r="V129" s="2" t="e">
        <f>V8/'Output-Calculation-sheet'!V7*'Output-Calculation-sheet'!#REF!</f>
        <v>#REF!</v>
      </c>
      <c r="W129" s="2" t="e">
        <f>W8/'Output-Calculation-sheet'!W7*'Output-Calculation-sheet'!#REF!</f>
        <v>#REF!</v>
      </c>
      <c r="X129" s="2" t="e">
        <f>X8/'Output-Calculation-sheet'!X7*'Output-Calculation-sheet'!#REF!</f>
        <v>#REF!</v>
      </c>
      <c r="Y129" s="2" t="e">
        <f>Y8/'Output-Calculation-sheet'!Y7*'Output-Calculation-sheet'!#REF!</f>
        <v>#REF!</v>
      </c>
      <c r="AA129" s="2" t="e">
        <f t="shared" si="10"/>
        <v>#REF!</v>
      </c>
    </row>
    <row r="130" spans="1:27" x14ac:dyDescent="0.25">
      <c r="A130" s="2">
        <v>2032</v>
      </c>
      <c r="B130" s="2" t="e">
        <f>B9/'Output-Calculation-sheet'!B8*'Output-Calculation-sheet'!#REF!</f>
        <v>#REF!</v>
      </c>
      <c r="C130" s="2" t="e">
        <f>C9/'Output-Calculation-sheet'!C8*'Output-Calculation-sheet'!#REF!</f>
        <v>#REF!</v>
      </c>
      <c r="D130" s="2" t="e">
        <f>D9/'Output-Calculation-sheet'!D8*'Output-Calculation-sheet'!#REF!</f>
        <v>#REF!</v>
      </c>
      <c r="E130" s="2" t="e">
        <f>E9/'Output-Calculation-sheet'!E8*'Output-Calculation-sheet'!#REF!</f>
        <v>#REF!</v>
      </c>
      <c r="F130" s="2" t="e">
        <f>F9/'Output-Calculation-sheet'!F8*'Output-Calculation-sheet'!#REF!</f>
        <v>#REF!</v>
      </c>
      <c r="G130" s="2" t="e">
        <f>G9/'Output-Calculation-sheet'!G8*'Output-Calculation-sheet'!#REF!</f>
        <v>#REF!</v>
      </c>
      <c r="H130" s="2" t="e">
        <f>H9/'Output-Calculation-sheet'!H8*'Output-Calculation-sheet'!#REF!</f>
        <v>#REF!</v>
      </c>
      <c r="I130" s="2" t="e">
        <f>I9/'Output-Calculation-sheet'!I8*'Output-Calculation-sheet'!#REF!</f>
        <v>#REF!</v>
      </c>
      <c r="J130" s="2" t="e">
        <f>J9/'Output-Calculation-sheet'!J8*'Output-Calculation-sheet'!#REF!</f>
        <v>#REF!</v>
      </c>
      <c r="K130" s="2" t="e">
        <f>K9/'Output-Calculation-sheet'!K8*'Output-Calculation-sheet'!#REF!</f>
        <v>#REF!</v>
      </c>
      <c r="L130" s="2" t="e">
        <f>L9/'Output-Calculation-sheet'!L8*'Output-Calculation-sheet'!#REF!</f>
        <v>#REF!</v>
      </c>
      <c r="M130" s="2" t="e">
        <f>M9/'Output-Calculation-sheet'!M8*'Output-Calculation-sheet'!#REF!</f>
        <v>#REF!</v>
      </c>
      <c r="N130" s="2" t="e">
        <f>N9/'Output-Calculation-sheet'!N8*'Output-Calculation-sheet'!#REF!</f>
        <v>#REF!</v>
      </c>
      <c r="O130" s="2" t="e">
        <f>O9/'Output-Calculation-sheet'!O8*'Output-Calculation-sheet'!#REF!</f>
        <v>#REF!</v>
      </c>
      <c r="P130" s="2" t="e">
        <f>P9/'Output-Calculation-sheet'!P8*'Output-Calculation-sheet'!#REF!</f>
        <v>#REF!</v>
      </c>
      <c r="Q130" s="2" t="e">
        <f>Q9/'Output-Calculation-sheet'!Q8*'Output-Calculation-sheet'!#REF!</f>
        <v>#REF!</v>
      </c>
      <c r="R130" s="2" t="e">
        <f>R9/'Output-Calculation-sheet'!R8*'Output-Calculation-sheet'!#REF!</f>
        <v>#REF!</v>
      </c>
      <c r="S130" s="2" t="e">
        <f>S9/'Output-Calculation-sheet'!S8*'Output-Calculation-sheet'!#REF!</f>
        <v>#REF!</v>
      </c>
      <c r="T130" s="2" t="e">
        <f>T9/'Output-Calculation-sheet'!T8*'Output-Calculation-sheet'!#REF!</f>
        <v>#REF!</v>
      </c>
      <c r="U130" s="2" t="e">
        <f>U9/'Output-Calculation-sheet'!U8*'Output-Calculation-sheet'!#REF!</f>
        <v>#REF!</v>
      </c>
      <c r="V130" s="2" t="e">
        <f>V9/'Output-Calculation-sheet'!V8*'Output-Calculation-sheet'!#REF!</f>
        <v>#REF!</v>
      </c>
      <c r="W130" s="2" t="e">
        <f>W9/'Output-Calculation-sheet'!W8*'Output-Calculation-sheet'!#REF!</f>
        <v>#REF!</v>
      </c>
      <c r="X130" s="2" t="e">
        <f>X9/'Output-Calculation-sheet'!X8*'Output-Calculation-sheet'!#REF!</f>
        <v>#REF!</v>
      </c>
      <c r="Y130" s="2" t="e">
        <f>Y9/'Output-Calculation-sheet'!Y8*'Output-Calculation-sheet'!#REF!</f>
        <v>#REF!</v>
      </c>
      <c r="AA130" s="2" t="e">
        <f t="shared" si="10"/>
        <v>#REF!</v>
      </c>
    </row>
    <row r="131" spans="1:27" x14ac:dyDescent="0.25">
      <c r="A131" s="2">
        <v>2033</v>
      </c>
      <c r="B131" s="2" t="e">
        <f>B10/'Output-Calculation-sheet'!B9*'Output-Calculation-sheet'!#REF!</f>
        <v>#REF!</v>
      </c>
      <c r="C131" s="2" t="e">
        <f>C10/'Output-Calculation-sheet'!C9*'Output-Calculation-sheet'!#REF!</f>
        <v>#REF!</v>
      </c>
      <c r="D131" s="2" t="e">
        <f>D10/'Output-Calculation-sheet'!D9*'Output-Calculation-sheet'!#REF!</f>
        <v>#REF!</v>
      </c>
      <c r="E131" s="2" t="e">
        <f>E10/'Output-Calculation-sheet'!E9*'Output-Calculation-sheet'!#REF!</f>
        <v>#REF!</v>
      </c>
      <c r="F131" s="2" t="e">
        <f>F10/'Output-Calculation-sheet'!F9*'Output-Calculation-sheet'!#REF!</f>
        <v>#REF!</v>
      </c>
      <c r="G131" s="2" t="e">
        <f>G10/'Output-Calculation-sheet'!G9*'Output-Calculation-sheet'!#REF!</f>
        <v>#REF!</v>
      </c>
      <c r="H131" s="2" t="e">
        <f>H10/'Output-Calculation-sheet'!H9*'Output-Calculation-sheet'!#REF!</f>
        <v>#REF!</v>
      </c>
      <c r="I131" s="2" t="e">
        <f>I10/'Output-Calculation-sheet'!I9*'Output-Calculation-sheet'!#REF!</f>
        <v>#REF!</v>
      </c>
      <c r="J131" s="2" t="e">
        <f>J10/'Output-Calculation-sheet'!J9*'Output-Calculation-sheet'!#REF!</f>
        <v>#REF!</v>
      </c>
      <c r="K131" s="2" t="e">
        <f>K10/'Output-Calculation-sheet'!K9*'Output-Calculation-sheet'!#REF!</f>
        <v>#REF!</v>
      </c>
      <c r="L131" s="2" t="e">
        <f>L10/'Output-Calculation-sheet'!L9*'Output-Calculation-sheet'!#REF!</f>
        <v>#REF!</v>
      </c>
      <c r="M131" s="2" t="e">
        <f>M10/'Output-Calculation-sheet'!M9*'Output-Calculation-sheet'!#REF!</f>
        <v>#REF!</v>
      </c>
      <c r="N131" s="2" t="e">
        <f>N10/'Output-Calculation-sheet'!N9*'Output-Calculation-sheet'!#REF!</f>
        <v>#REF!</v>
      </c>
      <c r="O131" s="2" t="e">
        <f>O10/'Output-Calculation-sheet'!O9*'Output-Calculation-sheet'!#REF!</f>
        <v>#REF!</v>
      </c>
      <c r="P131" s="2" t="e">
        <f>P10/'Output-Calculation-sheet'!P9*'Output-Calculation-sheet'!#REF!</f>
        <v>#REF!</v>
      </c>
      <c r="Q131" s="2" t="e">
        <f>Q10/'Output-Calculation-sheet'!Q9*'Output-Calculation-sheet'!#REF!</f>
        <v>#REF!</v>
      </c>
      <c r="R131" s="2" t="e">
        <f>R10/'Output-Calculation-sheet'!R9*'Output-Calculation-sheet'!#REF!</f>
        <v>#REF!</v>
      </c>
      <c r="S131" s="2" t="e">
        <f>S10/'Output-Calculation-sheet'!S9*'Output-Calculation-sheet'!#REF!</f>
        <v>#REF!</v>
      </c>
      <c r="T131" s="2" t="e">
        <f>T10/'Output-Calculation-sheet'!T9*'Output-Calculation-sheet'!#REF!</f>
        <v>#REF!</v>
      </c>
      <c r="U131" s="2" t="e">
        <f>U10/'Output-Calculation-sheet'!U9*'Output-Calculation-sheet'!#REF!</f>
        <v>#REF!</v>
      </c>
      <c r="V131" s="2" t="e">
        <f>V10/'Output-Calculation-sheet'!V9*'Output-Calculation-sheet'!#REF!</f>
        <v>#REF!</v>
      </c>
      <c r="W131" s="2" t="e">
        <f>W10/'Output-Calculation-sheet'!W9*'Output-Calculation-sheet'!#REF!</f>
        <v>#REF!</v>
      </c>
      <c r="X131" s="2" t="e">
        <f>X10/'Output-Calculation-sheet'!X9*'Output-Calculation-sheet'!#REF!</f>
        <v>#REF!</v>
      </c>
      <c r="Y131" s="2" t="e">
        <f>Y10/'Output-Calculation-sheet'!Y9*'Output-Calculation-sheet'!#REF!</f>
        <v>#REF!</v>
      </c>
      <c r="AA131" s="2" t="e">
        <f t="shared" si="10"/>
        <v>#REF!</v>
      </c>
    </row>
    <row r="132" spans="1:27" x14ac:dyDescent="0.25">
      <c r="A132" s="2">
        <v>2034</v>
      </c>
      <c r="B132" s="2" t="e">
        <f>B11/'Output-Calculation-sheet'!B10*'Output-Calculation-sheet'!#REF!</f>
        <v>#REF!</v>
      </c>
      <c r="C132" s="2" t="e">
        <f>C11/'Output-Calculation-sheet'!C10*'Output-Calculation-sheet'!#REF!</f>
        <v>#REF!</v>
      </c>
      <c r="D132" s="2" t="e">
        <f>D11/'Output-Calculation-sheet'!D10*'Output-Calculation-sheet'!#REF!</f>
        <v>#REF!</v>
      </c>
      <c r="E132" s="2" t="e">
        <f>E11/'Output-Calculation-sheet'!E10*'Output-Calculation-sheet'!#REF!</f>
        <v>#REF!</v>
      </c>
      <c r="F132" s="2" t="e">
        <f>F11/'Output-Calculation-sheet'!F10*'Output-Calculation-sheet'!#REF!</f>
        <v>#REF!</v>
      </c>
      <c r="G132" s="2" t="e">
        <f>G11/'Output-Calculation-sheet'!G10*'Output-Calculation-sheet'!#REF!</f>
        <v>#REF!</v>
      </c>
      <c r="H132" s="2" t="e">
        <f>H11/'Output-Calculation-sheet'!H10*'Output-Calculation-sheet'!#REF!</f>
        <v>#REF!</v>
      </c>
      <c r="I132" s="2" t="e">
        <f>I11/'Output-Calculation-sheet'!I10*'Output-Calculation-sheet'!#REF!</f>
        <v>#REF!</v>
      </c>
      <c r="J132" s="2" t="e">
        <f>J11/'Output-Calculation-sheet'!J10*'Output-Calculation-sheet'!#REF!</f>
        <v>#REF!</v>
      </c>
      <c r="K132" s="2" t="e">
        <f>K11/'Output-Calculation-sheet'!K10*'Output-Calculation-sheet'!#REF!</f>
        <v>#REF!</v>
      </c>
      <c r="L132" s="2" t="e">
        <f>L11/'Output-Calculation-sheet'!L10*'Output-Calculation-sheet'!#REF!</f>
        <v>#REF!</v>
      </c>
      <c r="M132" s="2" t="e">
        <f>M11/'Output-Calculation-sheet'!M10*'Output-Calculation-sheet'!#REF!</f>
        <v>#REF!</v>
      </c>
      <c r="N132" s="2" t="e">
        <f>N11/'Output-Calculation-sheet'!N10*'Output-Calculation-sheet'!#REF!</f>
        <v>#REF!</v>
      </c>
      <c r="O132" s="2" t="e">
        <f>O11/'Output-Calculation-sheet'!O10*'Output-Calculation-sheet'!#REF!</f>
        <v>#REF!</v>
      </c>
      <c r="P132" s="2" t="e">
        <f>P11/'Output-Calculation-sheet'!P10*'Output-Calculation-sheet'!#REF!</f>
        <v>#REF!</v>
      </c>
      <c r="Q132" s="2" t="e">
        <f>Q11/'Output-Calculation-sheet'!Q10*'Output-Calculation-sheet'!#REF!</f>
        <v>#REF!</v>
      </c>
      <c r="R132" s="2" t="e">
        <f>R11/'Output-Calculation-sheet'!R10*'Output-Calculation-sheet'!#REF!</f>
        <v>#REF!</v>
      </c>
      <c r="S132" s="2" t="e">
        <f>S11/'Output-Calculation-sheet'!S10*'Output-Calculation-sheet'!#REF!</f>
        <v>#REF!</v>
      </c>
      <c r="T132" s="2" t="e">
        <f>T11/'Output-Calculation-sheet'!T10*'Output-Calculation-sheet'!#REF!</f>
        <v>#REF!</v>
      </c>
      <c r="U132" s="2" t="e">
        <f>U11/'Output-Calculation-sheet'!U10*'Output-Calculation-sheet'!#REF!</f>
        <v>#REF!</v>
      </c>
      <c r="V132" s="2" t="e">
        <f>V11/'Output-Calculation-sheet'!V10*'Output-Calculation-sheet'!#REF!</f>
        <v>#REF!</v>
      </c>
      <c r="W132" s="2" t="e">
        <f>W11/'Output-Calculation-sheet'!W10*'Output-Calculation-sheet'!#REF!</f>
        <v>#REF!</v>
      </c>
      <c r="X132" s="2" t="e">
        <f>X11/'Output-Calculation-sheet'!X10*'Output-Calculation-sheet'!#REF!</f>
        <v>#REF!</v>
      </c>
      <c r="Y132" s="2" t="e">
        <f>Y11/'Output-Calculation-sheet'!Y10*'Output-Calculation-sheet'!#REF!</f>
        <v>#REF!</v>
      </c>
      <c r="AA132" s="2" t="e">
        <f t="shared" si="10"/>
        <v>#REF!</v>
      </c>
    </row>
    <row r="133" spans="1:27" x14ac:dyDescent="0.25">
      <c r="A133" s="2">
        <v>2035</v>
      </c>
      <c r="B133" s="2" t="e">
        <f>B12/'Output-Calculation-sheet'!B11*'Output-Calculation-sheet'!#REF!</f>
        <v>#REF!</v>
      </c>
      <c r="C133" s="2" t="e">
        <f>C12/'Output-Calculation-sheet'!C11*'Output-Calculation-sheet'!#REF!</f>
        <v>#REF!</v>
      </c>
      <c r="D133" s="2" t="e">
        <f>D12/'Output-Calculation-sheet'!D11*'Output-Calculation-sheet'!#REF!</f>
        <v>#REF!</v>
      </c>
      <c r="E133" s="2" t="e">
        <f>E12/'Output-Calculation-sheet'!E11*'Output-Calculation-sheet'!#REF!</f>
        <v>#REF!</v>
      </c>
      <c r="F133" s="2" t="e">
        <f>F12/'Output-Calculation-sheet'!F11*'Output-Calculation-sheet'!#REF!</f>
        <v>#REF!</v>
      </c>
      <c r="G133" s="2" t="e">
        <f>G12/'Output-Calculation-sheet'!G11*'Output-Calculation-sheet'!#REF!</f>
        <v>#REF!</v>
      </c>
      <c r="H133" s="2" t="e">
        <f>H12/'Output-Calculation-sheet'!H11*'Output-Calculation-sheet'!#REF!</f>
        <v>#REF!</v>
      </c>
      <c r="I133" s="2" t="e">
        <f>I12/'Output-Calculation-sheet'!I11*'Output-Calculation-sheet'!#REF!</f>
        <v>#REF!</v>
      </c>
      <c r="J133" s="2" t="e">
        <f>J12/'Output-Calculation-sheet'!J11*'Output-Calculation-sheet'!#REF!</f>
        <v>#REF!</v>
      </c>
      <c r="K133" s="2" t="e">
        <f>K12/'Output-Calculation-sheet'!K11*'Output-Calculation-sheet'!#REF!</f>
        <v>#REF!</v>
      </c>
      <c r="L133" s="2" t="e">
        <f>L12/'Output-Calculation-sheet'!L11*'Output-Calculation-sheet'!#REF!</f>
        <v>#REF!</v>
      </c>
      <c r="M133" s="2" t="e">
        <f>M12/'Output-Calculation-sheet'!M11*'Output-Calculation-sheet'!#REF!</f>
        <v>#REF!</v>
      </c>
      <c r="N133" s="2" t="e">
        <f>N12/'Output-Calculation-sheet'!N11*'Output-Calculation-sheet'!#REF!</f>
        <v>#REF!</v>
      </c>
      <c r="O133" s="2" t="e">
        <f>O12/'Output-Calculation-sheet'!O11*'Output-Calculation-sheet'!#REF!</f>
        <v>#REF!</v>
      </c>
      <c r="P133" s="2" t="e">
        <f>P12/'Output-Calculation-sheet'!P11*'Output-Calculation-sheet'!#REF!</f>
        <v>#REF!</v>
      </c>
      <c r="Q133" s="2" t="e">
        <f>Q12/'Output-Calculation-sheet'!Q11*'Output-Calculation-sheet'!#REF!</f>
        <v>#REF!</v>
      </c>
      <c r="R133" s="2" t="e">
        <f>R12/'Output-Calculation-sheet'!R11*'Output-Calculation-sheet'!#REF!</f>
        <v>#REF!</v>
      </c>
      <c r="S133" s="2" t="e">
        <f>S12/'Output-Calculation-sheet'!S11*'Output-Calculation-sheet'!#REF!</f>
        <v>#REF!</v>
      </c>
      <c r="T133" s="2" t="e">
        <f>T12/'Output-Calculation-sheet'!T11*'Output-Calculation-sheet'!#REF!</f>
        <v>#REF!</v>
      </c>
      <c r="U133" s="2" t="e">
        <f>U12/'Output-Calculation-sheet'!U11*'Output-Calculation-sheet'!#REF!</f>
        <v>#REF!</v>
      </c>
      <c r="V133" s="2" t="e">
        <f>V12/'Output-Calculation-sheet'!V11*'Output-Calculation-sheet'!#REF!</f>
        <v>#REF!</v>
      </c>
      <c r="W133" s="2" t="e">
        <f>W12/'Output-Calculation-sheet'!W11*'Output-Calculation-sheet'!#REF!</f>
        <v>#REF!</v>
      </c>
      <c r="X133" s="2" t="e">
        <f>X12/'Output-Calculation-sheet'!X11*'Output-Calculation-sheet'!#REF!</f>
        <v>#REF!</v>
      </c>
      <c r="Y133" s="2" t="e">
        <f>Y12/'Output-Calculation-sheet'!Y11*'Output-Calculation-sheet'!#REF!</f>
        <v>#REF!</v>
      </c>
      <c r="AA133" s="2" t="e">
        <f t="shared" si="10"/>
        <v>#REF!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B5/'Output-Calculation-sheet'!B4*'Output-Calculation-sheet'!#REF!</f>
        <v>#REF!</v>
      </c>
      <c r="C148" s="2" t="e">
        <f>C5/'Output-Calculation-sheet'!C4*'Output-Calculation-sheet'!#REF!</f>
        <v>#REF!</v>
      </c>
      <c r="D148" s="2" t="e">
        <f>D5/'Output-Calculation-sheet'!D4*'Output-Calculation-sheet'!#REF!</f>
        <v>#REF!</v>
      </c>
      <c r="E148" s="2" t="e">
        <f>E5/'Output-Calculation-sheet'!E4*'Output-Calculation-sheet'!#REF!</f>
        <v>#REF!</v>
      </c>
      <c r="F148" s="2" t="e">
        <f>F5/'Output-Calculation-sheet'!F4*'Output-Calculation-sheet'!#REF!</f>
        <v>#REF!</v>
      </c>
      <c r="G148" s="2" t="e">
        <f>G5/'Output-Calculation-sheet'!G4*'Output-Calculation-sheet'!#REF!</f>
        <v>#REF!</v>
      </c>
      <c r="H148" s="2" t="e">
        <f>H5/'Output-Calculation-sheet'!H4*'Output-Calculation-sheet'!#REF!</f>
        <v>#REF!</v>
      </c>
      <c r="I148" s="2" t="e">
        <f>I5/'Output-Calculation-sheet'!I4*'Output-Calculation-sheet'!#REF!</f>
        <v>#REF!</v>
      </c>
      <c r="J148" s="2" t="e">
        <f>J5/'Output-Calculation-sheet'!J4*'Output-Calculation-sheet'!#REF!</f>
        <v>#REF!</v>
      </c>
      <c r="K148" s="2" t="e">
        <f>K5/'Output-Calculation-sheet'!K4*'Output-Calculation-sheet'!#REF!</f>
        <v>#REF!</v>
      </c>
      <c r="L148" s="2" t="e">
        <f>L5/'Output-Calculation-sheet'!L4*'Output-Calculation-sheet'!#REF!</f>
        <v>#REF!</v>
      </c>
      <c r="M148" s="2" t="e">
        <f>M5/'Output-Calculation-sheet'!M4*'Output-Calculation-sheet'!#REF!</f>
        <v>#REF!</v>
      </c>
      <c r="N148" s="2" t="e">
        <f>N5/'Output-Calculation-sheet'!N4*'Output-Calculation-sheet'!#REF!</f>
        <v>#REF!</v>
      </c>
      <c r="O148" s="2" t="e">
        <f>O5/'Output-Calculation-sheet'!O4*'Output-Calculation-sheet'!#REF!</f>
        <v>#REF!</v>
      </c>
      <c r="P148" s="2" t="e">
        <f>P5/'Output-Calculation-sheet'!P4*'Output-Calculation-sheet'!#REF!</f>
        <v>#REF!</v>
      </c>
      <c r="Q148" s="2" t="e">
        <f>Q5/'Output-Calculation-sheet'!Q4*'Output-Calculation-sheet'!#REF!</f>
        <v>#REF!</v>
      </c>
      <c r="R148" s="2" t="e">
        <f>R5/'Output-Calculation-sheet'!R4*'Output-Calculation-sheet'!#REF!</f>
        <v>#REF!</v>
      </c>
      <c r="S148" s="2" t="e">
        <f>S5/'Output-Calculation-sheet'!S4*'Output-Calculation-sheet'!#REF!</f>
        <v>#REF!</v>
      </c>
      <c r="T148" s="2" t="e">
        <f>T5/'Output-Calculation-sheet'!T4*'Output-Calculation-sheet'!#REF!</f>
        <v>#REF!</v>
      </c>
      <c r="U148" s="2" t="e">
        <f>U5/'Output-Calculation-sheet'!U4*'Output-Calculation-sheet'!#REF!</f>
        <v>#REF!</v>
      </c>
      <c r="V148" s="2" t="e">
        <f>V5/'Output-Calculation-sheet'!V4*'Output-Calculation-sheet'!#REF!</f>
        <v>#REF!</v>
      </c>
      <c r="W148" s="2" t="e">
        <f>W5/'Output-Calculation-sheet'!W4*'Output-Calculation-sheet'!#REF!</f>
        <v>#REF!</v>
      </c>
      <c r="X148" s="2" t="e">
        <f>X5/'Output-Calculation-sheet'!X4*'Output-Calculation-sheet'!#REF!</f>
        <v>#REF!</v>
      </c>
      <c r="Y148" s="2" t="e">
        <f>Y5/'Output-Calculation-sheet'!Y4*'Output-Calculation-sheet'!#REF!</f>
        <v>#REF!</v>
      </c>
      <c r="AA148" s="2" t="e">
        <f>SUM(B148:Y148)/10^6</f>
        <v>#REF!</v>
      </c>
    </row>
    <row r="149" spans="1:27" x14ac:dyDescent="0.25">
      <c r="A149" s="2">
        <v>2029</v>
      </c>
      <c r="B149" s="2" t="e">
        <f>B6/'Output-Calculation-sheet'!B5*'Output-Calculation-sheet'!#REF!</f>
        <v>#REF!</v>
      </c>
      <c r="C149" s="2" t="e">
        <f>C6/'Output-Calculation-sheet'!C5*'Output-Calculation-sheet'!#REF!</f>
        <v>#REF!</v>
      </c>
      <c r="D149" s="2" t="e">
        <f>D6/'Output-Calculation-sheet'!D5*'Output-Calculation-sheet'!#REF!</f>
        <v>#REF!</v>
      </c>
      <c r="E149" s="2" t="e">
        <f>E6/'Output-Calculation-sheet'!E5*'Output-Calculation-sheet'!#REF!</f>
        <v>#REF!</v>
      </c>
      <c r="F149" s="2" t="e">
        <f>F6/'Output-Calculation-sheet'!F5*'Output-Calculation-sheet'!#REF!</f>
        <v>#REF!</v>
      </c>
      <c r="G149" s="2" t="e">
        <f>G6/'Output-Calculation-sheet'!G5*'Output-Calculation-sheet'!#REF!</f>
        <v>#REF!</v>
      </c>
      <c r="H149" s="2" t="e">
        <f>H6/'Output-Calculation-sheet'!H5*'Output-Calculation-sheet'!#REF!</f>
        <v>#REF!</v>
      </c>
      <c r="I149" s="2" t="e">
        <f>I6/'Output-Calculation-sheet'!I5*'Output-Calculation-sheet'!#REF!</f>
        <v>#REF!</v>
      </c>
      <c r="J149" s="2" t="e">
        <f>J6/'Output-Calculation-sheet'!J5*'Output-Calculation-sheet'!#REF!</f>
        <v>#REF!</v>
      </c>
      <c r="K149" s="2" t="e">
        <f>K6/'Output-Calculation-sheet'!K5*'Output-Calculation-sheet'!#REF!</f>
        <v>#REF!</v>
      </c>
      <c r="L149" s="2" t="e">
        <f>L6/'Output-Calculation-sheet'!L5*'Output-Calculation-sheet'!#REF!</f>
        <v>#REF!</v>
      </c>
      <c r="M149" s="2" t="e">
        <f>M6/'Output-Calculation-sheet'!M5*'Output-Calculation-sheet'!#REF!</f>
        <v>#REF!</v>
      </c>
      <c r="N149" s="2" t="e">
        <f>N6/'Output-Calculation-sheet'!N5*'Output-Calculation-sheet'!#REF!</f>
        <v>#REF!</v>
      </c>
      <c r="O149" s="2" t="e">
        <f>O6/'Output-Calculation-sheet'!O5*'Output-Calculation-sheet'!#REF!</f>
        <v>#REF!</v>
      </c>
      <c r="P149" s="2" t="e">
        <f>P6/'Output-Calculation-sheet'!P5*'Output-Calculation-sheet'!#REF!</f>
        <v>#REF!</v>
      </c>
      <c r="Q149" s="2" t="e">
        <f>Q6/'Output-Calculation-sheet'!Q5*'Output-Calculation-sheet'!#REF!</f>
        <v>#REF!</v>
      </c>
      <c r="R149" s="2" t="e">
        <f>R6/'Output-Calculation-sheet'!R5*'Output-Calculation-sheet'!#REF!</f>
        <v>#REF!</v>
      </c>
      <c r="S149" s="2" t="e">
        <f>S6/'Output-Calculation-sheet'!S5*'Output-Calculation-sheet'!#REF!</f>
        <v>#REF!</v>
      </c>
      <c r="T149" s="2" t="e">
        <f>T6/'Output-Calculation-sheet'!T5*'Output-Calculation-sheet'!#REF!</f>
        <v>#REF!</v>
      </c>
      <c r="U149" s="2" t="e">
        <f>U6/'Output-Calculation-sheet'!U5*'Output-Calculation-sheet'!#REF!</f>
        <v>#REF!</v>
      </c>
      <c r="V149" s="2" t="e">
        <f>V6/'Output-Calculation-sheet'!V5*'Output-Calculation-sheet'!#REF!</f>
        <v>#REF!</v>
      </c>
      <c r="W149" s="2" t="e">
        <f>W6/'Output-Calculation-sheet'!W5*'Output-Calculation-sheet'!#REF!</f>
        <v>#REF!</v>
      </c>
      <c r="X149" s="2" t="e">
        <f>X6/'Output-Calculation-sheet'!X5*'Output-Calculation-sheet'!#REF!</f>
        <v>#REF!</v>
      </c>
      <c r="Y149" s="2" t="e">
        <f>Y6/'Output-Calculation-sheet'!Y5*'Output-Calculation-sheet'!#REF!</f>
        <v>#REF!</v>
      </c>
      <c r="AA149" s="2" t="e">
        <f t="shared" ref="AA149:AA155" si="12">SUM(B149:Y149)/10^6</f>
        <v>#REF!</v>
      </c>
    </row>
    <row r="150" spans="1:27" x14ac:dyDescent="0.25">
      <c r="A150" s="2">
        <v>2030</v>
      </c>
      <c r="B150" s="2" t="e">
        <f>B7/'Output-Calculation-sheet'!B6*'Output-Calculation-sheet'!#REF!</f>
        <v>#REF!</v>
      </c>
      <c r="C150" s="2" t="e">
        <f>C7/'Output-Calculation-sheet'!C6*'Output-Calculation-sheet'!#REF!</f>
        <v>#REF!</v>
      </c>
      <c r="D150" s="2" t="e">
        <f>D7/'Output-Calculation-sheet'!D6*'Output-Calculation-sheet'!#REF!</f>
        <v>#REF!</v>
      </c>
      <c r="E150" s="2" t="e">
        <f>E7/'Output-Calculation-sheet'!E6*'Output-Calculation-sheet'!#REF!</f>
        <v>#REF!</v>
      </c>
      <c r="F150" s="2" t="e">
        <f>F7/'Output-Calculation-sheet'!F6*'Output-Calculation-sheet'!#REF!</f>
        <v>#REF!</v>
      </c>
      <c r="G150" s="2" t="e">
        <f>G7/'Output-Calculation-sheet'!G6*'Output-Calculation-sheet'!#REF!</f>
        <v>#REF!</v>
      </c>
      <c r="H150" s="2" t="e">
        <f>H7/'Output-Calculation-sheet'!H6*'Output-Calculation-sheet'!#REF!</f>
        <v>#REF!</v>
      </c>
      <c r="I150" s="2" t="e">
        <f>I7/'Output-Calculation-sheet'!I6*'Output-Calculation-sheet'!#REF!</f>
        <v>#REF!</v>
      </c>
      <c r="J150" s="2" t="e">
        <f>J7/'Output-Calculation-sheet'!J6*'Output-Calculation-sheet'!#REF!</f>
        <v>#REF!</v>
      </c>
      <c r="K150" s="2" t="e">
        <f>K7/'Output-Calculation-sheet'!K6*'Output-Calculation-sheet'!#REF!</f>
        <v>#REF!</v>
      </c>
      <c r="L150" s="2" t="e">
        <f>L7/'Output-Calculation-sheet'!L6*'Output-Calculation-sheet'!#REF!</f>
        <v>#REF!</v>
      </c>
      <c r="M150" s="2" t="e">
        <f>M7/'Output-Calculation-sheet'!M6*'Output-Calculation-sheet'!#REF!</f>
        <v>#REF!</v>
      </c>
      <c r="N150" s="2" t="e">
        <f>N7/'Output-Calculation-sheet'!N6*'Output-Calculation-sheet'!#REF!</f>
        <v>#REF!</v>
      </c>
      <c r="O150" s="2" t="e">
        <f>O7/'Output-Calculation-sheet'!O6*'Output-Calculation-sheet'!#REF!</f>
        <v>#REF!</v>
      </c>
      <c r="P150" s="2" t="e">
        <f>P7/'Output-Calculation-sheet'!P6*'Output-Calculation-sheet'!#REF!</f>
        <v>#REF!</v>
      </c>
      <c r="Q150" s="2" t="e">
        <f>Q7/'Output-Calculation-sheet'!Q6*'Output-Calculation-sheet'!#REF!</f>
        <v>#REF!</v>
      </c>
      <c r="R150" s="2" t="e">
        <f>R7/'Output-Calculation-sheet'!R6*'Output-Calculation-sheet'!#REF!</f>
        <v>#REF!</v>
      </c>
      <c r="S150" s="2" t="e">
        <f>S7/'Output-Calculation-sheet'!S6*'Output-Calculation-sheet'!#REF!</f>
        <v>#REF!</v>
      </c>
      <c r="T150" s="2" t="e">
        <f>T7/'Output-Calculation-sheet'!T6*'Output-Calculation-sheet'!#REF!</f>
        <v>#REF!</v>
      </c>
      <c r="U150" s="2" t="e">
        <f>U7/'Output-Calculation-sheet'!U6*'Output-Calculation-sheet'!#REF!</f>
        <v>#REF!</v>
      </c>
      <c r="V150" s="2" t="e">
        <f>V7/'Output-Calculation-sheet'!V6*'Output-Calculation-sheet'!#REF!</f>
        <v>#REF!</v>
      </c>
      <c r="W150" s="2" t="e">
        <f>W7/'Output-Calculation-sheet'!W6*'Output-Calculation-sheet'!#REF!</f>
        <v>#REF!</v>
      </c>
      <c r="X150" s="2" t="e">
        <f>X7/'Output-Calculation-sheet'!X6*'Output-Calculation-sheet'!#REF!</f>
        <v>#REF!</v>
      </c>
      <c r="Y150" s="2" t="e">
        <f>Y7/'Output-Calculation-sheet'!Y6*'Output-Calculation-sheet'!#REF!</f>
        <v>#REF!</v>
      </c>
      <c r="AA150" s="2" t="e">
        <f t="shared" si="12"/>
        <v>#REF!</v>
      </c>
    </row>
    <row r="151" spans="1:27" x14ac:dyDescent="0.25">
      <c r="A151" s="2">
        <v>2031</v>
      </c>
      <c r="B151" s="2" t="e">
        <f>B8/'Output-Calculation-sheet'!B7*'Output-Calculation-sheet'!#REF!</f>
        <v>#REF!</v>
      </c>
      <c r="C151" s="2" t="e">
        <f>C8/'Output-Calculation-sheet'!C7*'Output-Calculation-sheet'!#REF!</f>
        <v>#REF!</v>
      </c>
      <c r="D151" s="2" t="e">
        <f>D8/'Output-Calculation-sheet'!D7*'Output-Calculation-sheet'!#REF!</f>
        <v>#REF!</v>
      </c>
      <c r="E151" s="2" t="e">
        <f>E8/'Output-Calculation-sheet'!E7*'Output-Calculation-sheet'!#REF!</f>
        <v>#REF!</v>
      </c>
      <c r="F151" s="2" t="e">
        <f>F8/'Output-Calculation-sheet'!F7*'Output-Calculation-sheet'!#REF!</f>
        <v>#REF!</v>
      </c>
      <c r="G151" s="2" t="e">
        <f>G8/'Output-Calculation-sheet'!G7*'Output-Calculation-sheet'!#REF!</f>
        <v>#REF!</v>
      </c>
      <c r="H151" s="2" t="e">
        <f>H8/'Output-Calculation-sheet'!H7*'Output-Calculation-sheet'!#REF!</f>
        <v>#REF!</v>
      </c>
      <c r="I151" s="2" t="e">
        <f>I8/'Output-Calculation-sheet'!I7*'Output-Calculation-sheet'!#REF!</f>
        <v>#REF!</v>
      </c>
      <c r="J151" s="2" t="e">
        <f>J8/'Output-Calculation-sheet'!J7*'Output-Calculation-sheet'!#REF!</f>
        <v>#REF!</v>
      </c>
      <c r="K151" s="2" t="e">
        <f>K8/'Output-Calculation-sheet'!K7*'Output-Calculation-sheet'!#REF!</f>
        <v>#REF!</v>
      </c>
      <c r="L151" s="2" t="e">
        <f>L8/'Output-Calculation-sheet'!L7*'Output-Calculation-sheet'!#REF!</f>
        <v>#REF!</v>
      </c>
      <c r="M151" s="2" t="e">
        <f>M8/'Output-Calculation-sheet'!M7*'Output-Calculation-sheet'!#REF!</f>
        <v>#REF!</v>
      </c>
      <c r="N151" s="2" t="e">
        <f>N8/'Output-Calculation-sheet'!N7*'Output-Calculation-sheet'!#REF!</f>
        <v>#REF!</v>
      </c>
      <c r="O151" s="2" t="e">
        <f>O8/'Output-Calculation-sheet'!O7*'Output-Calculation-sheet'!#REF!</f>
        <v>#REF!</v>
      </c>
      <c r="P151" s="2" t="e">
        <f>P8/'Output-Calculation-sheet'!P7*'Output-Calculation-sheet'!#REF!</f>
        <v>#REF!</v>
      </c>
      <c r="Q151" s="2" t="e">
        <f>Q8/'Output-Calculation-sheet'!Q7*'Output-Calculation-sheet'!#REF!</f>
        <v>#REF!</v>
      </c>
      <c r="R151" s="2" t="e">
        <f>R8/'Output-Calculation-sheet'!R7*'Output-Calculation-sheet'!#REF!</f>
        <v>#REF!</v>
      </c>
      <c r="S151" s="2" t="e">
        <f>S8/'Output-Calculation-sheet'!S7*'Output-Calculation-sheet'!#REF!</f>
        <v>#REF!</v>
      </c>
      <c r="T151" s="2" t="e">
        <f>T8/'Output-Calculation-sheet'!T7*'Output-Calculation-sheet'!#REF!</f>
        <v>#REF!</v>
      </c>
      <c r="U151" s="2" t="e">
        <f>U8/'Output-Calculation-sheet'!U7*'Output-Calculation-sheet'!#REF!</f>
        <v>#REF!</v>
      </c>
      <c r="V151" s="2" t="e">
        <f>V8/'Output-Calculation-sheet'!V7*'Output-Calculation-sheet'!#REF!</f>
        <v>#REF!</v>
      </c>
      <c r="W151" s="2" t="e">
        <f>W8/'Output-Calculation-sheet'!W7*'Output-Calculation-sheet'!#REF!</f>
        <v>#REF!</v>
      </c>
      <c r="X151" s="2" t="e">
        <f>X8/'Output-Calculation-sheet'!X7*'Output-Calculation-sheet'!#REF!</f>
        <v>#REF!</v>
      </c>
      <c r="Y151" s="2" t="e">
        <f>Y8/'Output-Calculation-sheet'!Y7*'Output-Calculation-sheet'!#REF!</f>
        <v>#REF!</v>
      </c>
      <c r="AA151" s="2" t="e">
        <f t="shared" si="12"/>
        <v>#REF!</v>
      </c>
    </row>
    <row r="152" spans="1:27" x14ac:dyDescent="0.25">
      <c r="A152" s="2">
        <v>2032</v>
      </c>
      <c r="B152" s="2" t="e">
        <f>B9/'Output-Calculation-sheet'!B8*'Output-Calculation-sheet'!#REF!</f>
        <v>#REF!</v>
      </c>
      <c r="C152" s="2" t="e">
        <f>C9/'Output-Calculation-sheet'!C8*'Output-Calculation-sheet'!#REF!</f>
        <v>#REF!</v>
      </c>
      <c r="D152" s="2" t="e">
        <f>D9/'Output-Calculation-sheet'!D8*'Output-Calculation-sheet'!#REF!</f>
        <v>#REF!</v>
      </c>
      <c r="E152" s="2" t="e">
        <f>E9/'Output-Calculation-sheet'!E8*'Output-Calculation-sheet'!#REF!</f>
        <v>#REF!</v>
      </c>
      <c r="F152" s="2" t="e">
        <f>F9/'Output-Calculation-sheet'!F8*'Output-Calculation-sheet'!#REF!</f>
        <v>#REF!</v>
      </c>
      <c r="G152" s="2" t="e">
        <f>G9/'Output-Calculation-sheet'!G8*'Output-Calculation-sheet'!#REF!</f>
        <v>#REF!</v>
      </c>
      <c r="H152" s="2" t="e">
        <f>H9/'Output-Calculation-sheet'!H8*'Output-Calculation-sheet'!#REF!</f>
        <v>#REF!</v>
      </c>
      <c r="I152" s="2" t="e">
        <f>I9/'Output-Calculation-sheet'!I8*'Output-Calculation-sheet'!#REF!</f>
        <v>#REF!</v>
      </c>
      <c r="J152" s="2" t="e">
        <f>J9/'Output-Calculation-sheet'!J8*'Output-Calculation-sheet'!#REF!</f>
        <v>#REF!</v>
      </c>
      <c r="K152" s="2" t="e">
        <f>K9/'Output-Calculation-sheet'!K8*'Output-Calculation-sheet'!#REF!</f>
        <v>#REF!</v>
      </c>
      <c r="L152" s="2" t="e">
        <f>L9/'Output-Calculation-sheet'!L8*'Output-Calculation-sheet'!#REF!</f>
        <v>#REF!</v>
      </c>
      <c r="M152" s="2" t="e">
        <f>M9/'Output-Calculation-sheet'!M8*'Output-Calculation-sheet'!#REF!</f>
        <v>#REF!</v>
      </c>
      <c r="N152" s="2" t="e">
        <f>N9/'Output-Calculation-sheet'!N8*'Output-Calculation-sheet'!#REF!</f>
        <v>#REF!</v>
      </c>
      <c r="O152" s="2" t="e">
        <f>O9/'Output-Calculation-sheet'!O8*'Output-Calculation-sheet'!#REF!</f>
        <v>#REF!</v>
      </c>
      <c r="P152" s="2" t="e">
        <f>P9/'Output-Calculation-sheet'!P8*'Output-Calculation-sheet'!#REF!</f>
        <v>#REF!</v>
      </c>
      <c r="Q152" s="2" t="e">
        <f>Q9/'Output-Calculation-sheet'!Q8*'Output-Calculation-sheet'!#REF!</f>
        <v>#REF!</v>
      </c>
      <c r="R152" s="2" t="e">
        <f>R9/'Output-Calculation-sheet'!R8*'Output-Calculation-sheet'!#REF!</f>
        <v>#REF!</v>
      </c>
      <c r="S152" s="2" t="e">
        <f>S9/'Output-Calculation-sheet'!S8*'Output-Calculation-sheet'!#REF!</f>
        <v>#REF!</v>
      </c>
      <c r="T152" s="2" t="e">
        <f>T9/'Output-Calculation-sheet'!T8*'Output-Calculation-sheet'!#REF!</f>
        <v>#REF!</v>
      </c>
      <c r="U152" s="2" t="e">
        <f>U9/'Output-Calculation-sheet'!U8*'Output-Calculation-sheet'!#REF!</f>
        <v>#REF!</v>
      </c>
      <c r="V152" s="2" t="e">
        <f>V9/'Output-Calculation-sheet'!V8*'Output-Calculation-sheet'!#REF!</f>
        <v>#REF!</v>
      </c>
      <c r="W152" s="2" t="e">
        <f>W9/'Output-Calculation-sheet'!W8*'Output-Calculation-sheet'!#REF!</f>
        <v>#REF!</v>
      </c>
      <c r="X152" s="2" t="e">
        <f>X9/'Output-Calculation-sheet'!X8*'Output-Calculation-sheet'!#REF!</f>
        <v>#REF!</v>
      </c>
      <c r="Y152" s="2" t="e">
        <f>Y9/'Output-Calculation-sheet'!Y8*'Output-Calculation-sheet'!#REF!</f>
        <v>#REF!</v>
      </c>
      <c r="AA152" s="2" t="e">
        <f t="shared" si="12"/>
        <v>#REF!</v>
      </c>
    </row>
    <row r="153" spans="1:27" x14ac:dyDescent="0.25">
      <c r="A153" s="2">
        <v>2033</v>
      </c>
      <c r="B153" s="2" t="e">
        <f>B10/'Output-Calculation-sheet'!B9*'Output-Calculation-sheet'!#REF!</f>
        <v>#REF!</v>
      </c>
      <c r="C153" s="2" t="e">
        <f>C10/'Output-Calculation-sheet'!C9*'Output-Calculation-sheet'!#REF!</f>
        <v>#REF!</v>
      </c>
      <c r="D153" s="2" t="e">
        <f>D10/'Output-Calculation-sheet'!D9*'Output-Calculation-sheet'!#REF!</f>
        <v>#REF!</v>
      </c>
      <c r="E153" s="2" t="e">
        <f>E10/'Output-Calculation-sheet'!E9*'Output-Calculation-sheet'!#REF!</f>
        <v>#REF!</v>
      </c>
      <c r="F153" s="2" t="e">
        <f>F10/'Output-Calculation-sheet'!F9*'Output-Calculation-sheet'!#REF!</f>
        <v>#REF!</v>
      </c>
      <c r="G153" s="2" t="e">
        <f>G10/'Output-Calculation-sheet'!G9*'Output-Calculation-sheet'!#REF!</f>
        <v>#REF!</v>
      </c>
      <c r="H153" s="2" t="e">
        <f>H10/'Output-Calculation-sheet'!H9*'Output-Calculation-sheet'!#REF!</f>
        <v>#REF!</v>
      </c>
      <c r="I153" s="2" t="e">
        <f>I10/'Output-Calculation-sheet'!I9*'Output-Calculation-sheet'!#REF!</f>
        <v>#REF!</v>
      </c>
      <c r="J153" s="2" t="e">
        <f>J10/'Output-Calculation-sheet'!J9*'Output-Calculation-sheet'!#REF!</f>
        <v>#REF!</v>
      </c>
      <c r="K153" s="2" t="e">
        <f>K10/'Output-Calculation-sheet'!K9*'Output-Calculation-sheet'!#REF!</f>
        <v>#REF!</v>
      </c>
      <c r="L153" s="2" t="e">
        <f>L10/'Output-Calculation-sheet'!L9*'Output-Calculation-sheet'!#REF!</f>
        <v>#REF!</v>
      </c>
      <c r="M153" s="2" t="e">
        <f>M10/'Output-Calculation-sheet'!M9*'Output-Calculation-sheet'!#REF!</f>
        <v>#REF!</v>
      </c>
      <c r="N153" s="2" t="e">
        <f>N10/'Output-Calculation-sheet'!N9*'Output-Calculation-sheet'!#REF!</f>
        <v>#REF!</v>
      </c>
      <c r="O153" s="2" t="e">
        <f>O10/'Output-Calculation-sheet'!O9*'Output-Calculation-sheet'!#REF!</f>
        <v>#REF!</v>
      </c>
      <c r="P153" s="2" t="e">
        <f>P10/'Output-Calculation-sheet'!P9*'Output-Calculation-sheet'!#REF!</f>
        <v>#REF!</v>
      </c>
      <c r="Q153" s="2" t="e">
        <f>Q10/'Output-Calculation-sheet'!Q9*'Output-Calculation-sheet'!#REF!</f>
        <v>#REF!</v>
      </c>
      <c r="R153" s="2" t="e">
        <f>R10/'Output-Calculation-sheet'!R9*'Output-Calculation-sheet'!#REF!</f>
        <v>#REF!</v>
      </c>
      <c r="S153" s="2" t="e">
        <f>S10/'Output-Calculation-sheet'!S9*'Output-Calculation-sheet'!#REF!</f>
        <v>#REF!</v>
      </c>
      <c r="T153" s="2" t="e">
        <f>T10/'Output-Calculation-sheet'!T9*'Output-Calculation-sheet'!#REF!</f>
        <v>#REF!</v>
      </c>
      <c r="U153" s="2" t="e">
        <f>U10/'Output-Calculation-sheet'!U9*'Output-Calculation-sheet'!#REF!</f>
        <v>#REF!</v>
      </c>
      <c r="V153" s="2" t="e">
        <f>V10/'Output-Calculation-sheet'!V9*'Output-Calculation-sheet'!#REF!</f>
        <v>#REF!</v>
      </c>
      <c r="W153" s="2" t="e">
        <f>W10/'Output-Calculation-sheet'!W9*'Output-Calculation-sheet'!#REF!</f>
        <v>#REF!</v>
      </c>
      <c r="X153" s="2" t="e">
        <f>X10/'Output-Calculation-sheet'!X9*'Output-Calculation-sheet'!#REF!</f>
        <v>#REF!</v>
      </c>
      <c r="Y153" s="2" t="e">
        <f>Y10/'Output-Calculation-sheet'!Y9*'Output-Calculation-sheet'!#REF!</f>
        <v>#REF!</v>
      </c>
      <c r="AA153" s="2" t="e">
        <f t="shared" si="12"/>
        <v>#REF!</v>
      </c>
    </row>
    <row r="154" spans="1:27" x14ac:dyDescent="0.25">
      <c r="A154" s="2">
        <v>2034</v>
      </c>
      <c r="B154" s="2" t="e">
        <f>B11/'Output-Calculation-sheet'!B10*'Output-Calculation-sheet'!#REF!</f>
        <v>#REF!</v>
      </c>
      <c r="C154" s="2" t="e">
        <f>C11/'Output-Calculation-sheet'!C10*'Output-Calculation-sheet'!#REF!</f>
        <v>#REF!</v>
      </c>
      <c r="D154" s="2" t="e">
        <f>D11/'Output-Calculation-sheet'!D10*'Output-Calculation-sheet'!#REF!</f>
        <v>#REF!</v>
      </c>
      <c r="E154" s="2" t="e">
        <f>E11/'Output-Calculation-sheet'!E10*'Output-Calculation-sheet'!#REF!</f>
        <v>#REF!</v>
      </c>
      <c r="F154" s="2" t="e">
        <f>F11/'Output-Calculation-sheet'!F10*'Output-Calculation-sheet'!#REF!</f>
        <v>#REF!</v>
      </c>
      <c r="G154" s="2" t="e">
        <f>G11/'Output-Calculation-sheet'!G10*'Output-Calculation-sheet'!#REF!</f>
        <v>#REF!</v>
      </c>
      <c r="H154" s="2" t="e">
        <f>H11/'Output-Calculation-sheet'!H10*'Output-Calculation-sheet'!#REF!</f>
        <v>#REF!</v>
      </c>
      <c r="I154" s="2" t="e">
        <f>I11/'Output-Calculation-sheet'!I10*'Output-Calculation-sheet'!#REF!</f>
        <v>#REF!</v>
      </c>
      <c r="J154" s="2" t="e">
        <f>J11/'Output-Calculation-sheet'!J10*'Output-Calculation-sheet'!#REF!</f>
        <v>#REF!</v>
      </c>
      <c r="K154" s="2" t="e">
        <f>K11/'Output-Calculation-sheet'!K10*'Output-Calculation-sheet'!#REF!</f>
        <v>#REF!</v>
      </c>
      <c r="L154" s="2" t="e">
        <f>L11/'Output-Calculation-sheet'!L10*'Output-Calculation-sheet'!#REF!</f>
        <v>#REF!</v>
      </c>
      <c r="M154" s="2" t="e">
        <f>M11/'Output-Calculation-sheet'!M10*'Output-Calculation-sheet'!#REF!</f>
        <v>#REF!</v>
      </c>
      <c r="N154" s="2" t="e">
        <f>N11/'Output-Calculation-sheet'!N10*'Output-Calculation-sheet'!#REF!</f>
        <v>#REF!</v>
      </c>
      <c r="O154" s="2" t="e">
        <f>O11/'Output-Calculation-sheet'!O10*'Output-Calculation-sheet'!#REF!</f>
        <v>#REF!</v>
      </c>
      <c r="P154" s="2" t="e">
        <f>P11/'Output-Calculation-sheet'!P10*'Output-Calculation-sheet'!#REF!</f>
        <v>#REF!</v>
      </c>
      <c r="Q154" s="2" t="e">
        <f>Q11/'Output-Calculation-sheet'!Q10*'Output-Calculation-sheet'!#REF!</f>
        <v>#REF!</v>
      </c>
      <c r="R154" s="2" t="e">
        <f>R11/'Output-Calculation-sheet'!R10*'Output-Calculation-sheet'!#REF!</f>
        <v>#REF!</v>
      </c>
      <c r="S154" s="2" t="e">
        <f>S11/'Output-Calculation-sheet'!S10*'Output-Calculation-sheet'!#REF!</f>
        <v>#REF!</v>
      </c>
      <c r="T154" s="2" t="e">
        <f>T11/'Output-Calculation-sheet'!T10*'Output-Calculation-sheet'!#REF!</f>
        <v>#REF!</v>
      </c>
      <c r="U154" s="2" t="e">
        <f>U11/'Output-Calculation-sheet'!U10*'Output-Calculation-sheet'!#REF!</f>
        <v>#REF!</v>
      </c>
      <c r="V154" s="2" t="e">
        <f>V11/'Output-Calculation-sheet'!V10*'Output-Calculation-sheet'!#REF!</f>
        <v>#REF!</v>
      </c>
      <c r="W154" s="2" t="e">
        <f>W11/'Output-Calculation-sheet'!W10*'Output-Calculation-sheet'!#REF!</f>
        <v>#REF!</v>
      </c>
      <c r="X154" s="2" t="e">
        <f>X11/'Output-Calculation-sheet'!X10*'Output-Calculation-sheet'!#REF!</f>
        <v>#REF!</v>
      </c>
      <c r="Y154" s="2" t="e">
        <f>Y11/'Output-Calculation-sheet'!Y10*'Output-Calculation-sheet'!#REF!</f>
        <v>#REF!</v>
      </c>
      <c r="AA154" s="2" t="e">
        <f t="shared" si="12"/>
        <v>#REF!</v>
      </c>
    </row>
    <row r="155" spans="1:27" x14ac:dyDescent="0.25">
      <c r="A155" s="2">
        <v>2035</v>
      </c>
      <c r="B155" s="2" t="e">
        <f>B12/'Output-Calculation-sheet'!B11*'Output-Calculation-sheet'!#REF!</f>
        <v>#REF!</v>
      </c>
      <c r="C155" s="2" t="e">
        <f>C12/'Output-Calculation-sheet'!C11*'Output-Calculation-sheet'!#REF!</f>
        <v>#REF!</v>
      </c>
      <c r="D155" s="2" t="e">
        <f>D12/'Output-Calculation-sheet'!D11*'Output-Calculation-sheet'!#REF!</f>
        <v>#REF!</v>
      </c>
      <c r="E155" s="2" t="e">
        <f>E12/'Output-Calculation-sheet'!E11*'Output-Calculation-sheet'!#REF!</f>
        <v>#REF!</v>
      </c>
      <c r="F155" s="2" t="e">
        <f>F12/'Output-Calculation-sheet'!F11*'Output-Calculation-sheet'!#REF!</f>
        <v>#REF!</v>
      </c>
      <c r="G155" s="2" t="e">
        <f>G12/'Output-Calculation-sheet'!G11*'Output-Calculation-sheet'!#REF!</f>
        <v>#REF!</v>
      </c>
      <c r="H155" s="2" t="e">
        <f>H12/'Output-Calculation-sheet'!H11*'Output-Calculation-sheet'!#REF!</f>
        <v>#REF!</v>
      </c>
      <c r="I155" s="2" t="e">
        <f>I12/'Output-Calculation-sheet'!I11*'Output-Calculation-sheet'!#REF!</f>
        <v>#REF!</v>
      </c>
      <c r="J155" s="2" t="e">
        <f>J12/'Output-Calculation-sheet'!J11*'Output-Calculation-sheet'!#REF!</f>
        <v>#REF!</v>
      </c>
      <c r="K155" s="2" t="e">
        <f>K12/'Output-Calculation-sheet'!K11*'Output-Calculation-sheet'!#REF!</f>
        <v>#REF!</v>
      </c>
      <c r="L155" s="2" t="e">
        <f>L12/'Output-Calculation-sheet'!L11*'Output-Calculation-sheet'!#REF!</f>
        <v>#REF!</v>
      </c>
      <c r="M155" s="2" t="e">
        <f>M12/'Output-Calculation-sheet'!M11*'Output-Calculation-sheet'!#REF!</f>
        <v>#REF!</v>
      </c>
      <c r="N155" s="2" t="e">
        <f>N12/'Output-Calculation-sheet'!N11*'Output-Calculation-sheet'!#REF!</f>
        <v>#REF!</v>
      </c>
      <c r="O155" s="2" t="e">
        <f>O12/'Output-Calculation-sheet'!O11*'Output-Calculation-sheet'!#REF!</f>
        <v>#REF!</v>
      </c>
      <c r="P155" s="2" t="e">
        <f>P12/'Output-Calculation-sheet'!P11*'Output-Calculation-sheet'!#REF!</f>
        <v>#REF!</v>
      </c>
      <c r="Q155" s="2" t="e">
        <f>Q12/'Output-Calculation-sheet'!Q11*'Output-Calculation-sheet'!#REF!</f>
        <v>#REF!</v>
      </c>
      <c r="R155" s="2" t="e">
        <f>R12/'Output-Calculation-sheet'!R11*'Output-Calculation-sheet'!#REF!</f>
        <v>#REF!</v>
      </c>
      <c r="S155" s="2" t="e">
        <f>S12/'Output-Calculation-sheet'!S11*'Output-Calculation-sheet'!#REF!</f>
        <v>#REF!</v>
      </c>
      <c r="T155" s="2" t="e">
        <f>T12/'Output-Calculation-sheet'!T11*'Output-Calculation-sheet'!#REF!</f>
        <v>#REF!</v>
      </c>
      <c r="U155" s="2" t="e">
        <f>U12/'Output-Calculation-sheet'!U11*'Output-Calculation-sheet'!#REF!</f>
        <v>#REF!</v>
      </c>
      <c r="V155" s="2" t="e">
        <f>V12/'Output-Calculation-sheet'!V11*'Output-Calculation-sheet'!#REF!</f>
        <v>#REF!</v>
      </c>
      <c r="W155" s="2" t="e">
        <f>W12/'Output-Calculation-sheet'!W11*'Output-Calculation-sheet'!#REF!</f>
        <v>#REF!</v>
      </c>
      <c r="X155" s="2" t="e">
        <f>X12/'Output-Calculation-sheet'!X11*'Output-Calculation-sheet'!#REF!</f>
        <v>#REF!</v>
      </c>
      <c r="Y155" s="2" t="e">
        <f>Y12/'Output-Calculation-sheet'!Y11*'Output-Calculation-sheet'!#REF!</f>
        <v>#REF!</v>
      </c>
      <c r="AA155" s="2" t="e">
        <f t="shared" si="12"/>
        <v>#REF!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2026-03-02T20:36:27Z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